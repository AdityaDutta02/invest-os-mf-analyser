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L:\SAMCWEB_V2.0\uploaddir\MonthlyPortfolio\"/>
    </mc:Choice>
  </mc:AlternateContent>
  <xr:revisionPtr revIDLastSave="0" documentId="13_ncr:1_{AB43015C-91AB-4079-8A95-249A32336501}" xr6:coauthVersionLast="47" xr6:coauthVersionMax="47" xr10:uidLastSave="{00000000-0000-0000-0000-000000000000}"/>
  <bookViews>
    <workbookView xWindow="-120" yWindow="-120" windowWidth="29040" windowHeight="15720" tabRatio="954" xr2:uid="{00000000-000D-0000-FFFF-FFFF00000000}"/>
  </bookViews>
  <sheets>
    <sheet name="Index" sheetId="35" r:id="rId1"/>
    <sheet name="CAPEXG" sheetId="1" r:id="rId2"/>
    <sheet name="MIDCAP" sheetId="2" r:id="rId3"/>
    <sheet name="MULTI1" sheetId="3" r:id="rId4"/>
    <sheet name="MULTI2" sheetId="4" r:id="rId5"/>
    <sheet name="MULTIP" sheetId="5" r:id="rId6"/>
    <sheet name="SESCAP1" sheetId="6" r:id="rId7"/>
    <sheet name="SESCAP2" sheetId="7" r:id="rId8"/>
    <sheet name="SESCAP3" sheetId="8" r:id="rId9"/>
    <sheet name="SESCAP4" sheetId="9" r:id="rId10"/>
    <sheet name="SESCAP5" sheetId="10" r:id="rId11"/>
    <sheet name="SESCAP6" sheetId="11" r:id="rId12"/>
    <sheet name="SESCAP7" sheetId="12" r:id="rId13"/>
    <sheet name="SLTADV3" sheetId="13" r:id="rId14"/>
    <sheet name="SLTADV4" sheetId="14" r:id="rId15"/>
    <sheet name="SLTAX1" sheetId="15" r:id="rId16"/>
    <sheet name="SLTAX2" sheetId="16" r:id="rId17"/>
    <sheet name="SLTAX3" sheetId="17" r:id="rId18"/>
    <sheet name="SLTAX4" sheetId="18" r:id="rId19"/>
    <sheet name="SLTAX5" sheetId="19" r:id="rId20"/>
    <sheet name="SLTAX6" sheetId="20" r:id="rId21"/>
    <sheet name="SMILE" sheetId="21" r:id="rId22"/>
    <sheet name="SPAHF" sheetId="36" r:id="rId23"/>
    <sheet name="SPARF" sheetId="22" r:id="rId24"/>
    <sheet name="SPBAF" sheetId="37" r:id="rId25"/>
    <sheet name="SPDYF" sheetId="23" r:id="rId26"/>
    <sheet name="SPESF" sheetId="24" r:id="rId27"/>
    <sheet name="SPFOCUS" sheetId="25" r:id="rId28"/>
    <sheet name="SPMUCF" sheetId="26" r:id="rId29"/>
    <sheet name="SPSN100" sheetId="27" r:id="rId30"/>
    <sheet name="SPTAX" sheetId="28" r:id="rId31"/>
    <sheet name="SRURAL" sheetId="29" r:id="rId32"/>
    <sheet name="SSFUND" sheetId="30" r:id="rId33"/>
    <sheet name="STAX" sheetId="31" r:id="rId34"/>
    <sheet name="SUNBCF" sheetId="32" r:id="rId35"/>
    <sheet name="SUNFCF" sheetId="33" r:id="rId36"/>
    <sheet name="SUNFOP" sheetId="34" r:id="rId37"/>
    <sheet name="GLOB" sheetId="38" r:id="rId38"/>
    <sheet name="Annexure-A" sheetId="39"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1" i="39" l="1"/>
  <c r="G124" i="39"/>
  <c r="G123" i="39"/>
  <c r="G122" i="39"/>
  <c r="G121" i="39"/>
  <c r="G120" i="39"/>
  <c r="F120" i="39"/>
  <c r="E120" i="39"/>
  <c r="D120" i="39"/>
  <c r="C120" i="39"/>
  <c r="G119" i="39"/>
  <c r="F118" i="39"/>
  <c r="G118" i="39" s="1"/>
  <c r="E118" i="39"/>
  <c r="D118" i="39"/>
  <c r="C118" i="39"/>
  <c r="F117" i="39"/>
  <c r="G117" i="39" s="1"/>
  <c r="E117" i="39"/>
  <c r="D117" i="39"/>
  <c r="C117" i="39"/>
  <c r="G116" i="39"/>
  <c r="F116" i="39"/>
  <c r="E116" i="39"/>
  <c r="D116" i="39"/>
  <c r="C116" i="39"/>
  <c r="F115" i="39"/>
  <c r="G115" i="39" s="1"/>
  <c r="E115" i="39"/>
  <c r="D115" i="39"/>
  <c r="C115" i="39"/>
  <c r="F98" i="39"/>
  <c r="G98" i="39" s="1"/>
  <c r="E98" i="39"/>
  <c r="D98" i="39"/>
  <c r="C98" i="39"/>
  <c r="F97" i="39"/>
  <c r="G97" i="39" s="1"/>
  <c r="E97" i="39"/>
  <c r="D97" i="39"/>
  <c r="C97" i="39"/>
  <c r="G96" i="39"/>
  <c r="F96" i="39"/>
  <c r="E96" i="39"/>
  <c r="D96" i="39"/>
  <c r="C96" i="39"/>
  <c r="G95" i="39"/>
  <c r="F94" i="39"/>
  <c r="G94" i="39" s="1"/>
  <c r="E94" i="39"/>
  <c r="D94" i="39"/>
  <c r="C94" i="39"/>
  <c r="F93" i="39"/>
  <c r="G93" i="39" s="1"/>
  <c r="E93" i="39"/>
  <c r="D93" i="39"/>
  <c r="C93" i="39"/>
  <c r="G92" i="39"/>
  <c r="F91" i="39"/>
  <c r="G91" i="39" s="1"/>
  <c r="E91" i="39"/>
  <c r="D91" i="39"/>
  <c r="C91" i="39"/>
  <c r="F75" i="32"/>
  <c r="G44" i="15" l="1"/>
  <c r="F44" i="15"/>
  <c r="G63" i="1"/>
  <c r="F63" i="1"/>
</calcChain>
</file>

<file path=xl/sharedStrings.xml><?xml version="1.0" encoding="utf-8"?>
<sst xmlns="http://schemas.openxmlformats.org/spreadsheetml/2006/main" count="10388" uniqueCount="1160">
  <si>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</si>
  <si>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</si>
  <si>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</si>
  <si>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</si>
  <si>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</si>
  <si>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</si>
  <si>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</si>
  <si>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</si>
  <si>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</si>
  <si>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</si>
  <si>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</si>
  <si>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</si>
  <si>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</si>
  <si>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</si>
  <si>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</si>
  <si>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</si>
  <si>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</si>
  <si>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INE090A01021</t>
  </si>
  <si>
    <t>ICICI Bank Ltd</t>
  </si>
  <si>
    <t>Banks</t>
  </si>
  <si>
    <t>INE002A01018</t>
  </si>
  <si>
    <t>Reliance Industries Ltd</t>
  </si>
  <si>
    <t>Petroleum Products</t>
  </si>
  <si>
    <t>INE481G01011</t>
  </si>
  <si>
    <t>Ultratech Cement Ltd</t>
  </si>
  <si>
    <t>Cement And Cement Products</t>
  </si>
  <si>
    <t>INE733E01010</t>
  </si>
  <si>
    <t>NTPC Ltd</t>
  </si>
  <si>
    <t>Power</t>
  </si>
  <si>
    <t>INE062A01020</t>
  </si>
  <si>
    <t>State Bank of India</t>
  </si>
  <si>
    <t>INE999A01015</t>
  </si>
  <si>
    <t>KSB Ltd</t>
  </si>
  <si>
    <t>Industrial Products</t>
  </si>
  <si>
    <t>INE284A01012</t>
  </si>
  <si>
    <t>ESAB India Ltd</t>
  </si>
  <si>
    <t>INE536A01023</t>
  </si>
  <si>
    <t>Grindwell Norton Ltd</t>
  </si>
  <si>
    <t>INE111A01025</t>
  </si>
  <si>
    <t>Container Corporation of India Ltd</t>
  </si>
  <si>
    <t>Transport Services</t>
  </si>
  <si>
    <t>INE195J01029</t>
  </si>
  <si>
    <t>PNC Infratech Ltd</t>
  </si>
  <si>
    <t>INE117A01022</t>
  </si>
  <si>
    <t>ABB India Ltd</t>
  </si>
  <si>
    <t>Electrical Equipment</t>
  </si>
  <si>
    <t>INE208A01029</t>
  </si>
  <si>
    <t>Ashok Leyland Ltd</t>
  </si>
  <si>
    <t>Agricultural, Commercial And Construction Vehicles</t>
  </si>
  <si>
    <t>INE671A01010</t>
  </si>
  <si>
    <t>Honeywell Automation India Ltd</t>
  </si>
  <si>
    <t>Industrial Manufacturing</t>
  </si>
  <si>
    <t>INE752E01010</t>
  </si>
  <si>
    <t>Power Grid Corporation of India Ltd</t>
  </si>
  <si>
    <t>INE455K01017</t>
  </si>
  <si>
    <t>Polycab India Ltd</t>
  </si>
  <si>
    <t>INE868B01028</t>
  </si>
  <si>
    <t>NCC Ltd</t>
  </si>
  <si>
    <t>INE742F01042</t>
  </si>
  <si>
    <t>Adani Ports and Special Economic Zone Ltd</t>
  </si>
  <si>
    <t>Transport Infrastructure</t>
  </si>
  <si>
    <t>INE003A01024</t>
  </si>
  <si>
    <t>Siemens Ltd</t>
  </si>
  <si>
    <t>INE263A01024</t>
  </si>
  <si>
    <t>Bharat Electronics Ltd</t>
  </si>
  <si>
    <t>Aerospace And Defense</t>
  </si>
  <si>
    <t>INE245A01021</t>
  </si>
  <si>
    <t>Tata Power Company Ltd</t>
  </si>
  <si>
    <t>INE823G01014</t>
  </si>
  <si>
    <t>JK Cement Ltd</t>
  </si>
  <si>
    <t>INE585B01010</t>
  </si>
  <si>
    <t>Maruti Suzuki India Ltd</t>
  </si>
  <si>
    <t>Automobiles</t>
  </si>
  <si>
    <t>INE702C01027</t>
  </si>
  <si>
    <t>APL Apollo Tubes Ltd</t>
  </si>
  <si>
    <t>INE152M01016</t>
  </si>
  <si>
    <t>Triveni Turbine Ltd</t>
  </si>
  <si>
    <t>INE634I01029</t>
  </si>
  <si>
    <t>KNR Construction Ltd</t>
  </si>
  <si>
    <t>INE070A01015</t>
  </si>
  <si>
    <t>Shree Cement Ltd</t>
  </si>
  <si>
    <t>INE079A01024</t>
  </si>
  <si>
    <t>Ambuja Cements Ltd</t>
  </si>
  <si>
    <t>INE878B01027</t>
  </si>
  <si>
    <t>KEI Industries Ltd</t>
  </si>
  <si>
    <t>INE513A01022</t>
  </si>
  <si>
    <t>Schaeffler India Ltd</t>
  </si>
  <si>
    <t>Auto Components</t>
  </si>
  <si>
    <t>INE541A01023</t>
  </si>
  <si>
    <t>GMM Pfaudler Ltd</t>
  </si>
  <si>
    <t>INE258A01016</t>
  </si>
  <si>
    <t>BEML Ltd</t>
  </si>
  <si>
    <t>INE766P01016</t>
  </si>
  <si>
    <t>Mahindra Logistics Ltd</t>
  </si>
  <si>
    <t>INE791I01019</t>
  </si>
  <si>
    <t>Brigade Enterprises Ltd</t>
  </si>
  <si>
    <t>Realty</t>
  </si>
  <si>
    <t>INE093I01010</t>
  </si>
  <si>
    <t>Oberoi Realty Ltd</t>
  </si>
  <si>
    <t>INE298A01020</t>
  </si>
  <si>
    <t>Cummins India Ltd</t>
  </si>
  <si>
    <t>INE029A01011</t>
  </si>
  <si>
    <t>Bharat Petroleum Corporation Ltd</t>
  </si>
  <si>
    <t>INE038A01020</t>
  </si>
  <si>
    <t>Hindalco Industries Ltd</t>
  </si>
  <si>
    <t>Non - Ferrous Metals</t>
  </si>
  <si>
    <t>INE00R701025</t>
  </si>
  <si>
    <t>Dalmia Cement (Bharat) Ltd.</t>
  </si>
  <si>
    <t>INE646L01027</t>
  </si>
  <si>
    <t>Interglobe Aviation Ltd</t>
  </si>
  <si>
    <t>INE811K01011</t>
  </si>
  <si>
    <t>Prestige Estates Projects Ltd</t>
  </si>
  <si>
    <t>INE073K01018</t>
  </si>
  <si>
    <t>Sona BLW Precision Forgings Ltd</t>
  </si>
  <si>
    <t>INE08ZM01014</t>
  </si>
  <si>
    <t>Green Panel Industries Ltd</t>
  </si>
  <si>
    <t>Consumer Durables</t>
  </si>
  <si>
    <t>INE121A01024</t>
  </si>
  <si>
    <t>Cholamandalam Investment and Finance Company Ltd</t>
  </si>
  <si>
    <t>Finance</t>
  </si>
  <si>
    <t>INE213A01029</t>
  </si>
  <si>
    <t>Oil &amp; Natural Gas Corporation Ltd</t>
  </si>
  <si>
    <t>Oil</t>
  </si>
  <si>
    <t>INE201P01022</t>
  </si>
  <si>
    <t>GR Infraprojects Ltd</t>
  </si>
  <si>
    <t>INE371P01015</t>
  </si>
  <si>
    <t>Amber Enterprises India Ltd</t>
  </si>
  <si>
    <t>INE0N7W01012</t>
  </si>
  <si>
    <t>BEML Land and Assets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</si>
  <si>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</si>
  <si>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</si>
  <si>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</si>
  <si>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</si>
  <si>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</si>
  <si>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</si>
  <si>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</si>
  <si>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</si>
  <si>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</si>
  <si>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</si>
  <si>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</si>
  <si>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</si>
  <si>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</si>
  <si>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</si>
  <si>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</si>
  <si>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</si>
  <si>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</si>
  <si>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</si>
  <si>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</si>
  <si>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</si>
  <si>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</si>
  <si>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</si>
  <si>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</si>
  <si>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</si>
  <si>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</si>
  <si>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</si>
  <si>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</si>
  <si>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</si>
  <si>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</si>
  <si>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</si>
  <si>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</si>
  <si>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</si>
  <si>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</si>
  <si>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</si>
  <si>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</si>
  <si>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</si>
  <si>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</si>
  <si>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</si>
  <si>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</si>
  <si>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30/11/2022</t>
  </si>
  <si>
    <t>31/12/2022</t>
  </si>
  <si>
    <t>Direct Plan - Growth</t>
  </si>
  <si>
    <t>Regular Plan - Growth</t>
  </si>
  <si>
    <t>e) Total outstanding exposure in derivative instruments at the end of the period</t>
  </si>
  <si>
    <t>f) Total investments in foreign securities /ADR'S/GDR'S at the end of the period</t>
  </si>
  <si>
    <t>g) Portfolio Turnover Ratio</t>
  </si>
  <si>
    <t>h) Repo in corporate debt</t>
  </si>
  <si>
    <t>Sundaram Mid Cap Fund</t>
  </si>
  <si>
    <t>INE171A01029</t>
  </si>
  <si>
    <t>The Federal Bank  Ltd</t>
  </si>
  <si>
    <t>INE028A01039</t>
  </si>
  <si>
    <t>Bank of Baroda</t>
  </si>
  <si>
    <t>INE238A01034</t>
  </si>
  <si>
    <t>Axis Bank Ltd</t>
  </si>
  <si>
    <t>INE721A01013</t>
  </si>
  <si>
    <t>Shriram Finance Ltd</t>
  </si>
  <si>
    <t>INE200M01013</t>
  </si>
  <si>
    <t>Varun Beverages Ltd</t>
  </si>
  <si>
    <t>Beverages</t>
  </si>
  <si>
    <t>INE849A01020</t>
  </si>
  <si>
    <t>Trent Ltd</t>
  </si>
  <si>
    <t>Retailing</t>
  </si>
  <si>
    <t>INE299U01018</t>
  </si>
  <si>
    <t>Crompton Greaves Consumer Electricals Ltd</t>
  </si>
  <si>
    <t>INE949L01017</t>
  </si>
  <si>
    <t>AU Small Finance Bank Ltd</t>
  </si>
  <si>
    <t>INE974X01010</t>
  </si>
  <si>
    <t>Tube Investments of India Ltd</t>
  </si>
  <si>
    <t>INE048G01026</t>
  </si>
  <si>
    <t>Navin Fluorine International Ltd</t>
  </si>
  <si>
    <t>Chemicals And Petrochemicals</t>
  </si>
  <si>
    <t>INE647A01010</t>
  </si>
  <si>
    <t>SRF Ltd</t>
  </si>
  <si>
    <t>INE169A01031</t>
  </si>
  <si>
    <t>Coromandel International Ltd</t>
  </si>
  <si>
    <t>Fertilizers And Agrochemicals</t>
  </si>
  <si>
    <t>INE262H01013</t>
  </si>
  <si>
    <t>Persistent Systems Ltd</t>
  </si>
  <si>
    <t>INE246F01010</t>
  </si>
  <si>
    <t>Gujarat State Petronet Ltd</t>
  </si>
  <si>
    <t>Gas</t>
  </si>
  <si>
    <t>INE761H01022</t>
  </si>
  <si>
    <t>Page Industries Ltd</t>
  </si>
  <si>
    <t>Textiles And Apparels</t>
  </si>
  <si>
    <t>INE303R01014</t>
  </si>
  <si>
    <t>Kalyan Jewellers India Ltd</t>
  </si>
  <si>
    <t>INE603J01030</t>
  </si>
  <si>
    <t>PI Industries Ltd</t>
  </si>
  <si>
    <t>INE749A01030</t>
  </si>
  <si>
    <t>Jindal Steel &amp; Power Ltd</t>
  </si>
  <si>
    <t>Ferrous Metals</t>
  </si>
  <si>
    <t>INE686F01025</t>
  </si>
  <si>
    <t>United Breweries Ltd</t>
  </si>
  <si>
    <t>INE797F01020</t>
  </si>
  <si>
    <t>Jubilant Foodworks Ltd</t>
  </si>
  <si>
    <t>Leisure Services</t>
  </si>
  <si>
    <t>INE947Q01028</t>
  </si>
  <si>
    <t>Laurus Labs Ltd</t>
  </si>
  <si>
    <t>Pharmaceuticals And Biotechnology</t>
  </si>
  <si>
    <t>INE214T01019</t>
  </si>
  <si>
    <t>LTIMindtree Ltd</t>
  </si>
  <si>
    <t>INE105A01035</t>
  </si>
  <si>
    <t>Sundaram Clayton Ltd</t>
  </si>
  <si>
    <t>INE256A01028</t>
  </si>
  <si>
    <t>Zee Entertainment Enterprises Ltd</t>
  </si>
  <si>
    <t>Entertainment</t>
  </si>
  <si>
    <t>INE437A01024</t>
  </si>
  <si>
    <t>Apollo Hospitals Enterprise Ltd</t>
  </si>
  <si>
    <t>Healthcare Services</t>
  </si>
  <si>
    <t>INE061F01013</t>
  </si>
  <si>
    <t>Fortis Health Care Ltd</t>
  </si>
  <si>
    <t>INE465A01025</t>
  </si>
  <si>
    <t>Bharat Forge Ltd</t>
  </si>
  <si>
    <t>INE006I01046</t>
  </si>
  <si>
    <t>Astral Ltd</t>
  </si>
  <si>
    <t>INE226A01021</t>
  </si>
  <si>
    <t>Voltas Ltd</t>
  </si>
  <si>
    <t>INE180A01020</t>
  </si>
  <si>
    <t>Max Financial Services Ltd</t>
  </si>
  <si>
    <t>Insurance</t>
  </si>
  <si>
    <t>INE010B01027</t>
  </si>
  <si>
    <t>Zydus Lifesciences Ltd</t>
  </si>
  <si>
    <t>INE571A01038</t>
  </si>
  <si>
    <t>IPCA Laboratories Ltd</t>
  </si>
  <si>
    <t>INE149A01033</t>
  </si>
  <si>
    <t>Cholamandalam Financial Holdings Ltd</t>
  </si>
  <si>
    <t>INE342J01019</t>
  </si>
  <si>
    <t>ZF Commercial Vehicle Control Systems I Ltd</t>
  </si>
  <si>
    <t>INE068V01023</t>
  </si>
  <si>
    <t>Gland Pharma Ltd</t>
  </si>
  <si>
    <t>INE317I01021</t>
  </si>
  <si>
    <t>Metro Brands Ltd</t>
  </si>
  <si>
    <t>INE918I01026</t>
  </si>
  <si>
    <t>Bajaj Finserv Ltd</t>
  </si>
  <si>
    <t>INE473B01035</t>
  </si>
  <si>
    <t>Hatsun Agro Product Ltd</t>
  </si>
  <si>
    <t>Food Products</t>
  </si>
  <si>
    <t>INE040A01034</t>
  </si>
  <si>
    <t>HDFC Bank Ltd</t>
  </si>
  <si>
    <t>INE405E01023</t>
  </si>
  <si>
    <t>UNO Minda Ltd</t>
  </si>
  <si>
    <t>INE494B01023</t>
  </si>
  <si>
    <t>TVS Motor Company Ltd</t>
  </si>
  <si>
    <t>INE356A01018</t>
  </si>
  <si>
    <t>MphasiS Ltd</t>
  </si>
  <si>
    <t>INE217B01036</t>
  </si>
  <si>
    <t>Kajaria Ceramics Ltd</t>
  </si>
  <si>
    <t>INE548C01032</t>
  </si>
  <si>
    <t>Emami Ltd</t>
  </si>
  <si>
    <t>Personal Products</t>
  </si>
  <si>
    <t>INE203G01027</t>
  </si>
  <si>
    <t>Indraprastha Gas Ltd</t>
  </si>
  <si>
    <t>INE787D01026</t>
  </si>
  <si>
    <t>Balkrishna Industries Ltd</t>
  </si>
  <si>
    <t>INE094A01015</t>
  </si>
  <si>
    <t>Hindustan Petroleum Corporation Ltd</t>
  </si>
  <si>
    <t>INE930P01018</t>
  </si>
  <si>
    <t>Anupam Rasayan India Ltd</t>
  </si>
  <si>
    <t>INE935N01020</t>
  </si>
  <si>
    <t>Dixon Technologies (India) Ltd</t>
  </si>
  <si>
    <t>INE473B20019</t>
  </si>
  <si>
    <t>Sundaram Multi Cap Fund Series I</t>
  </si>
  <si>
    <t>INE009A01021</t>
  </si>
  <si>
    <t>Infosys Ltd</t>
  </si>
  <si>
    <t>INE001A01036</t>
  </si>
  <si>
    <t>Housing Development Finance Corporation Ltd</t>
  </si>
  <si>
    <t>INE123W01016</t>
  </si>
  <si>
    <t>SBI Life Insurance Company Ltd</t>
  </si>
  <si>
    <t>INE467B01029</t>
  </si>
  <si>
    <t>Tata Consultancy Services Ltd</t>
  </si>
  <si>
    <t>INE044A01036</t>
  </si>
  <si>
    <t>Sun Pharmaceutical Industries Ltd</t>
  </si>
  <si>
    <t>INE312H01016</t>
  </si>
  <si>
    <t>INOX Leisure Ltd</t>
  </si>
  <si>
    <t>INE030A01027</t>
  </si>
  <si>
    <t>Hindustan UniLever Ltd</t>
  </si>
  <si>
    <t>Diversified Fmcg</t>
  </si>
  <si>
    <t>INE101A01026</t>
  </si>
  <si>
    <t>Mahindra &amp; Mahindra Ltd</t>
  </si>
  <si>
    <t>INE860A01027</t>
  </si>
  <si>
    <t>HCL Technologies Ltd</t>
  </si>
  <si>
    <t>INE154A01025</t>
  </si>
  <si>
    <t>ITC Ltd</t>
  </si>
  <si>
    <t>INE806T01012</t>
  </si>
  <si>
    <t>Sapphire Foods India Ltd</t>
  </si>
  <si>
    <t>INE488A01050</t>
  </si>
  <si>
    <t>Chemplast Sanmar Ltd</t>
  </si>
  <si>
    <t>INE075A01022</t>
  </si>
  <si>
    <t>Wipro Ltd</t>
  </si>
  <si>
    <t>INE732I01013</t>
  </si>
  <si>
    <t>Angel One Ltd</t>
  </si>
  <si>
    <t>Capital Markets</t>
  </si>
  <si>
    <t>INE763G01038</t>
  </si>
  <si>
    <t>ICICI Securities Ltd</t>
  </si>
  <si>
    <t>INE669C01036</t>
  </si>
  <si>
    <t>Tech Mahindra Ltd</t>
  </si>
  <si>
    <t>INE081A01020</t>
  </si>
  <si>
    <t>Tata Steel Ltd</t>
  </si>
  <si>
    <t>INE095A01012</t>
  </si>
  <si>
    <t>IndusInd Bank Ltd</t>
  </si>
  <si>
    <t>INE237A01028</t>
  </si>
  <si>
    <t>Kotak Mahindra Bank Ltd</t>
  </si>
  <si>
    <t>INE217L01019</t>
  </si>
  <si>
    <t>Shriram Properties Ltd</t>
  </si>
  <si>
    <t>IN9397D01014</t>
  </si>
  <si>
    <t>Sundaram Multi Cap Fund -Series II</t>
  </si>
  <si>
    <t>Sundaram Large and Mid Cap Fund</t>
  </si>
  <si>
    <t>INE476A01014</t>
  </si>
  <si>
    <t>Canara Bank</t>
  </si>
  <si>
    <t>INE893J01029</t>
  </si>
  <si>
    <t>Mold-Tek Packaging Ltd</t>
  </si>
  <si>
    <t>INE053A01029</t>
  </si>
  <si>
    <t>The Indian Hotels Company Ltd</t>
  </si>
  <si>
    <t>INE296A01024</t>
  </si>
  <si>
    <t>Bajaj Finance Ltd</t>
  </si>
  <si>
    <t>INE361B01024</t>
  </si>
  <si>
    <t>Divis Laboratories Ltd</t>
  </si>
  <si>
    <t>INE586V01016</t>
  </si>
  <si>
    <t>TCI Express Ltd</t>
  </si>
  <si>
    <t>INE192R01011</t>
  </si>
  <si>
    <t>Avenue Supermarts Ltd</t>
  </si>
  <si>
    <t>INE155A01022</t>
  </si>
  <si>
    <t>Tata Motors Ltd</t>
  </si>
  <si>
    <t>INE100A01010</t>
  </si>
  <si>
    <t>Atul Ltd</t>
  </si>
  <si>
    <t>INE280A01028</t>
  </si>
  <si>
    <t>Titan Company Ltd</t>
  </si>
  <si>
    <t>INE387A01021</t>
  </si>
  <si>
    <t>Sundram Fasteners Ltd</t>
  </si>
  <si>
    <t>INE131B01039</t>
  </si>
  <si>
    <t>Relaxo Footwears Ltd</t>
  </si>
  <si>
    <t>INE388Y01029</t>
  </si>
  <si>
    <t>FSN E–Commerce Ventures Ltd(NYKAA)</t>
  </si>
  <si>
    <t>Sundaram Emerging Small Cap Series I</t>
  </si>
  <si>
    <t>INE348B01021</t>
  </si>
  <si>
    <t>Century Plyboards (India) Ltd</t>
  </si>
  <si>
    <t>INE477A01020</t>
  </si>
  <si>
    <t>Can Fin Homes Ltd</t>
  </si>
  <si>
    <t>INE00IN01015</t>
  </si>
  <si>
    <t>Stove Kraft Ltd</t>
  </si>
  <si>
    <t>INE02A801020</t>
  </si>
  <si>
    <t>Rossari Biotech Ltd</t>
  </si>
  <si>
    <t>INE285J01028</t>
  </si>
  <si>
    <t>SIS Ltd</t>
  </si>
  <si>
    <t>Commercial Services And Supplies</t>
  </si>
  <si>
    <t>INE988K01017</t>
  </si>
  <si>
    <t>Equitas Holdings Ltd</t>
  </si>
  <si>
    <t>INE199A01012</t>
  </si>
  <si>
    <t>Procter &amp; Gamble Health Ltd</t>
  </si>
  <si>
    <t>Sundaram Emerging Small Cap Series II</t>
  </si>
  <si>
    <t>INE045A01017</t>
  </si>
  <si>
    <t>Ador Welding Ltd</t>
  </si>
  <si>
    <t>INE429E01023</t>
  </si>
  <si>
    <t>Safari Industries (India) Ltd</t>
  </si>
  <si>
    <t>INE00WC01027</t>
  </si>
  <si>
    <t>Affle (India) Ltd</t>
  </si>
  <si>
    <t>INE741K01010</t>
  </si>
  <si>
    <t>Creditaccess Grameen Ltd</t>
  </si>
  <si>
    <t>INE864I01014</t>
  </si>
  <si>
    <t>MTAR Technologies Ltd</t>
  </si>
  <si>
    <t>INE481N01025</t>
  </si>
  <si>
    <t>Home First Finance Company Ltd</t>
  </si>
  <si>
    <t>INE782A01015</t>
  </si>
  <si>
    <t>Johnson Controls-Hitachi AirConditioning India Ltd</t>
  </si>
  <si>
    <t>INE296E01026</t>
  </si>
  <si>
    <t>Rajapalayam Mills Ltd</t>
  </si>
  <si>
    <t>INE834I01025</t>
  </si>
  <si>
    <t>Khadim India Ltd</t>
  </si>
  <si>
    <t>INE0JS101016</t>
  </si>
  <si>
    <t>Dreamfolks Services Ltd</t>
  </si>
  <si>
    <t>INE296E20018</t>
  </si>
  <si>
    <t>Sundaram Emerging Small Cap Series III</t>
  </si>
  <si>
    <t>INE873D01024</t>
  </si>
  <si>
    <t>Indoco Remedies Ltd</t>
  </si>
  <si>
    <t>INE442H01029</t>
  </si>
  <si>
    <t>Ashoka Buildcon Ltd</t>
  </si>
  <si>
    <t>INE745G01035</t>
  </si>
  <si>
    <t>Multi Commodity Exchange of India Ltd</t>
  </si>
  <si>
    <t>INE717A01029</t>
  </si>
  <si>
    <t>Kennametal India Ltd</t>
  </si>
  <si>
    <t>INE060A01024</t>
  </si>
  <si>
    <t>Navneet Education Ltd</t>
  </si>
  <si>
    <t>Printing And Publication</t>
  </si>
  <si>
    <t>INE120A01034</t>
  </si>
  <si>
    <t>Carborundum Universal Ltd</t>
  </si>
  <si>
    <t>INE934S01014</t>
  </si>
  <si>
    <t>GNA Axles Ltd</t>
  </si>
  <si>
    <t>INE056C01010</t>
  </si>
  <si>
    <t>Tata Metaliks Ltd</t>
  </si>
  <si>
    <t>INE572A01028</t>
  </si>
  <si>
    <t>JB Chemicals &amp; Pharmaceuticals Ltd</t>
  </si>
  <si>
    <t>INE274F01020</t>
  </si>
  <si>
    <t>Westlife Foodworld Ltd</t>
  </si>
  <si>
    <t>INE978A01027</t>
  </si>
  <si>
    <t>Heritage Foods Ltd</t>
  </si>
  <si>
    <t>INE0H5O01029</t>
  </si>
  <si>
    <t>Windlas Biotech Ltd</t>
  </si>
  <si>
    <t>INE227C01017</t>
  </si>
  <si>
    <t>MM Forgings Ltd</t>
  </si>
  <si>
    <t>INE126A01031</t>
  </si>
  <si>
    <t>EID Parry India Ltd</t>
  </si>
  <si>
    <t>Agricultural Food And Other Products</t>
  </si>
  <si>
    <t>INE565V01010</t>
  </si>
  <si>
    <t>Valiant Organics Ltd</t>
  </si>
  <si>
    <t>Sundaram Emerging Small Cap Series IV</t>
  </si>
  <si>
    <t>INE211B01039</t>
  </si>
  <si>
    <t>The Phoenix Mills Ltd</t>
  </si>
  <si>
    <t>INE075I01017</t>
  </si>
  <si>
    <t>Healthcare Global Enterprises Ltd</t>
  </si>
  <si>
    <t>INE04I401011</t>
  </si>
  <si>
    <t>KPIT Technologies Ltd</t>
  </si>
  <si>
    <t>INE472A01039</t>
  </si>
  <si>
    <t>Blue Star Ltd</t>
  </si>
  <si>
    <t>INE043D01016</t>
  </si>
  <si>
    <t>IDFC Ltd</t>
  </si>
  <si>
    <t>INE731H01025</t>
  </si>
  <si>
    <t>Action Construction Equipment Ltd</t>
  </si>
  <si>
    <t>INE688A01022</t>
  </si>
  <si>
    <t>Transport Corporation of India Ltd</t>
  </si>
  <si>
    <t>INE220B01022</t>
  </si>
  <si>
    <t>Kalpataru Power Transmission Ltd</t>
  </si>
  <si>
    <t>INE421D01022</t>
  </si>
  <si>
    <t>CCL Products (India) Ltd</t>
  </si>
  <si>
    <t>INE679A01013</t>
  </si>
  <si>
    <t>CSB Bank Ltd</t>
  </si>
  <si>
    <t>INE067A01029</t>
  </si>
  <si>
    <t>CG Power and Industrial Solutions Ltd</t>
  </si>
  <si>
    <t>INE615P01015</t>
  </si>
  <si>
    <t>Quess Corp Ltd</t>
  </si>
  <si>
    <t>INE136B01020</t>
  </si>
  <si>
    <t>Cyient Ltd</t>
  </si>
  <si>
    <t>Sundaram Emerging Small Cap Series V</t>
  </si>
  <si>
    <t>Sundaram Emerging Small Cap Series VI</t>
  </si>
  <si>
    <t>Sundaram Emerging Small Cap Series VII</t>
  </si>
  <si>
    <t>INE435A01028</t>
  </si>
  <si>
    <t>International Paper APPM Ltd</t>
  </si>
  <si>
    <t>Paper, Forest And Jute Products</t>
  </si>
  <si>
    <t>INE058A01010</t>
  </si>
  <si>
    <t>Sanofi India Ltd</t>
  </si>
  <si>
    <t>INE586B01026</t>
  </si>
  <si>
    <t>Taj GVK Hotels &amp; Resorts Ltd</t>
  </si>
  <si>
    <t>INE716A01013</t>
  </si>
  <si>
    <t>Whirlpool of India Ltd</t>
  </si>
  <si>
    <t>INE517F01014</t>
  </si>
  <si>
    <t>Gujarat Pipavav Port Ltd</t>
  </si>
  <si>
    <t>INE182A01018</t>
  </si>
  <si>
    <t>Pfizer Ltd</t>
  </si>
  <si>
    <t>Sundaram Long Term Tax Advantage Fund Series III</t>
  </si>
  <si>
    <t>Sundaram Long Term Tax Advantage Fund Series IV</t>
  </si>
  <si>
    <t>Sundaram Long Term Tax Advantage Fund Series-I</t>
  </si>
  <si>
    <t>INE647O01011</t>
  </si>
  <si>
    <t>Aditya Birla Fashion and Retail Ltd</t>
  </si>
  <si>
    <t>INE059A01026</t>
  </si>
  <si>
    <t>Cipla Ltd</t>
  </si>
  <si>
    <t>INE340A01012</t>
  </si>
  <si>
    <t>Birla Corporation Ltd</t>
  </si>
  <si>
    <t>INE192A01025</t>
  </si>
  <si>
    <t>TATA Consumer Products Ltd</t>
  </si>
  <si>
    <t>Sundaram Long Term Tax Advantage Fund Series-II</t>
  </si>
  <si>
    <t>Sundaram Long Term Micro Cap Tax Advantage Fund Series III</t>
  </si>
  <si>
    <t>INE386C01029</t>
  </si>
  <si>
    <t>Astra Microwave Products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</si>
  <si>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</si>
  <si>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</si>
  <si>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</si>
  <si>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</si>
  <si>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</si>
  <si>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</si>
  <si>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INE743M01012</t>
  </si>
  <si>
    <t>RHI Magnesita India Ltd</t>
  </si>
  <si>
    <t>INE725G01011</t>
  </si>
  <si>
    <t>ICRA Ltd</t>
  </si>
  <si>
    <t>INE098F01031</t>
  </si>
  <si>
    <t>Amrutanjan Health Care Ltd</t>
  </si>
  <si>
    <t>INE094J01016</t>
  </si>
  <si>
    <t>UTI Asset Management Co Ltd</t>
  </si>
  <si>
    <t>INE596I01012</t>
  </si>
  <si>
    <t>Computer Age Management Services Ltd</t>
  </si>
  <si>
    <t>INE136S01016</t>
  </si>
  <si>
    <t>Neogen Chemicals Ltd</t>
  </si>
  <si>
    <t>INE03QK01018</t>
  </si>
  <si>
    <t>Suven Pharmaceuticals Ltd</t>
  </si>
  <si>
    <t>INE836A01035</t>
  </si>
  <si>
    <t>Birlasoft Ltd</t>
  </si>
  <si>
    <t>IN9155A01020</t>
  </si>
  <si>
    <t>INE142Z01019</t>
  </si>
  <si>
    <t>Orient Electric Ltd</t>
  </si>
  <si>
    <t>INE295F01017</t>
  </si>
  <si>
    <t>Butterfly Gandhimathi Appliances Ltd</t>
  </si>
  <si>
    <t>INE451A01017</t>
  </si>
  <si>
    <t>Force Motors Ltd</t>
  </si>
  <si>
    <t>INE0BV301023</t>
  </si>
  <si>
    <t>CE Info Systems Private Limited</t>
  </si>
  <si>
    <t>INE00F201020</t>
  </si>
  <si>
    <t>Prudent Corporate Advisory Services Ltd</t>
  </si>
  <si>
    <t>INE736A01011</t>
  </si>
  <si>
    <t>Central Depository Services (India) Ltd</t>
  </si>
  <si>
    <t>INE119A01028</t>
  </si>
  <si>
    <t>Balrampur Chini Mills Ltd</t>
  </si>
  <si>
    <t>INE739E01017</t>
  </si>
  <si>
    <t>Cera Sanitaryware Ltd</t>
  </si>
  <si>
    <t>INE287B01021</t>
  </si>
  <si>
    <t>Subros Ltd</t>
  </si>
  <si>
    <t>INE177F01017</t>
  </si>
  <si>
    <t>Kovai Medical Center &amp; Hospital Ltd</t>
  </si>
  <si>
    <t>INE0BJS01011</t>
  </si>
  <si>
    <t>Go Fashion (India ) Ltd</t>
  </si>
  <si>
    <t>INE054A01027</t>
  </si>
  <si>
    <t>VIP Industries Ltd</t>
  </si>
  <si>
    <t>INE930H01031</t>
  </si>
  <si>
    <t>K.P.R. Mill Ltd</t>
  </si>
  <si>
    <t>INE825V01034</t>
  </si>
  <si>
    <t>Vedant Fashions Ltd</t>
  </si>
  <si>
    <t>INE021A01026</t>
  </si>
  <si>
    <t>Asian Paints Ltd</t>
  </si>
  <si>
    <t>INE271C01023</t>
  </si>
  <si>
    <t>DLF Ltd</t>
  </si>
  <si>
    <t>INE406A01037</t>
  </si>
  <si>
    <t>Aurobindo Pharma Ltd</t>
  </si>
  <si>
    <t>INE498L01015</t>
  </si>
  <si>
    <t>L&amp;T Finance Holdings Ltd</t>
  </si>
  <si>
    <t>Stock Future</t>
  </si>
  <si>
    <t>IN002021Z434</t>
  </si>
  <si>
    <t>Sovereign</t>
  </si>
  <si>
    <t>IN002022Z093</t>
  </si>
  <si>
    <t>INF173K01GU0</t>
  </si>
  <si>
    <t>Margin Money For Derivatives</t>
  </si>
  <si>
    <t>Sundaram Dividend Yield Fund</t>
  </si>
  <si>
    <t>INE212H01026</t>
  </si>
  <si>
    <t>AIA Engineering Ltd</t>
  </si>
  <si>
    <t>INE917I01010</t>
  </si>
  <si>
    <t>Bajaj Auto Ltd</t>
  </si>
  <si>
    <t>INE216A01030</t>
  </si>
  <si>
    <t>Britannia Industries Ltd</t>
  </si>
  <si>
    <t>INE267A01025</t>
  </si>
  <si>
    <t>Hindustan Zinc Ltd</t>
  </si>
  <si>
    <t>INE710A01016</t>
  </si>
  <si>
    <t>VST Industries Ltd</t>
  </si>
  <si>
    <t>Cigarettes And Tobacco Products</t>
  </si>
  <si>
    <t>INE916U01025</t>
  </si>
  <si>
    <t>Sheela Foam Ltd</t>
  </si>
  <si>
    <t>IDIA00069480</t>
  </si>
  <si>
    <t>IDIA00069477</t>
  </si>
  <si>
    <t>INE02CF01010</t>
  </si>
  <si>
    <t>INE759J01022</t>
  </si>
  <si>
    <t>INE216A08027</t>
  </si>
  <si>
    <t>Britannia Industries Ltd - 5.5% - 03/06/2024**</t>
  </si>
  <si>
    <t>CRISIL AAA</t>
  </si>
  <si>
    <t>** Thinly traded / Non Traded Securities</t>
  </si>
  <si>
    <t>Sundaram Equity Savings Fund</t>
  </si>
  <si>
    <t>INE138Y01010</t>
  </si>
  <si>
    <t>Kfintech Technologies Ltd</t>
  </si>
  <si>
    <t>INE02YR01019</t>
  </si>
  <si>
    <t>Electronics Mart India Ltd</t>
  </si>
  <si>
    <t>INE854D01024</t>
  </si>
  <si>
    <t>United Spirits Ltd</t>
  </si>
  <si>
    <t>INE227W01023</t>
  </si>
  <si>
    <t>Clean Science &amp; Technology Ltd</t>
  </si>
  <si>
    <t>INE205A01025</t>
  </si>
  <si>
    <t>Vedanta Ltd</t>
  </si>
  <si>
    <t>Diversified Metals</t>
  </si>
  <si>
    <t>INE765G01017</t>
  </si>
  <si>
    <t>ICICI Lombard General Insurance Company Ltd</t>
  </si>
  <si>
    <t>INE795G01014</t>
  </si>
  <si>
    <t>HDFC Life Insurance Company Ltd</t>
  </si>
  <si>
    <t>INE768C01010</t>
  </si>
  <si>
    <t>Zydus Wellness Ltd</t>
  </si>
  <si>
    <t>INE115A07OV2</t>
  </si>
  <si>
    <t>LIC Housing Finance Ltd - 5.45% - 25/08/2023**</t>
  </si>
  <si>
    <t>CARE AAA</t>
  </si>
  <si>
    <t>INE020B08AT3</t>
  </si>
  <si>
    <t>REC Ltd - 7.99% - 23/02/2023**</t>
  </si>
  <si>
    <t>INE053F07BB3</t>
  </si>
  <si>
    <t>Indian Railway Finance Corporation Ltd - 8.25% - 28/02/2024**</t>
  </si>
  <si>
    <t>INE733E07JD2</t>
  </si>
  <si>
    <t>NTPC Ltd - 8.8% - 04/04/2023**</t>
  </si>
  <si>
    <t>IN0020200112</t>
  </si>
  <si>
    <t>5.22% Central Government Securities 15/06/2025</t>
  </si>
  <si>
    <t>IN0020200278</t>
  </si>
  <si>
    <t>5.15% Central Government Securities 09/11/2025</t>
  </si>
  <si>
    <t>IN2220150022</t>
  </si>
  <si>
    <t>8.14% Maharashtra State Development Loan 27/05/2025</t>
  </si>
  <si>
    <t>IN0020190396</t>
  </si>
  <si>
    <t>6.18% Central Government Securities 04/11/2024</t>
  </si>
  <si>
    <t>IN002021Z442</t>
  </si>
  <si>
    <t>IN002022Z085</t>
  </si>
  <si>
    <t>Sundaram Multi Cap Fund</t>
  </si>
  <si>
    <t>INE470A01017</t>
  </si>
  <si>
    <t>3M India Ltd</t>
  </si>
  <si>
    <t>Diversified</t>
  </si>
  <si>
    <t>INE216P01012</t>
  </si>
  <si>
    <t>Aavas Financiers Ltd</t>
  </si>
  <si>
    <t>INE852S01026</t>
  </si>
  <si>
    <t>Entertainment And Electronic Media</t>
  </si>
  <si>
    <t>INE147E01013</t>
  </si>
  <si>
    <t>INE348C01011</t>
  </si>
  <si>
    <t>INE604A01011</t>
  </si>
  <si>
    <t>IDIA00069359</t>
  </si>
  <si>
    <t>INE431E01011</t>
  </si>
  <si>
    <t>Healthcare Equipment And Supplies</t>
  </si>
  <si>
    <t>INE406B01019</t>
  </si>
  <si>
    <t>IDIA00069356</t>
  </si>
  <si>
    <t>INE019A01038</t>
  </si>
  <si>
    <t>JSW Steel Ltd</t>
  </si>
  <si>
    <t>INE127D01025</t>
  </si>
  <si>
    <t>HDFC Asset Management Company Ltd</t>
  </si>
  <si>
    <t>INE242A01010</t>
  </si>
  <si>
    <t>Indian Oil Corporation Ltd</t>
  </si>
  <si>
    <t>INE423A01024</t>
  </si>
  <si>
    <t>Adani Enterprises</t>
  </si>
  <si>
    <t>Metals And Minerals Trading</t>
  </si>
  <si>
    <t>INE129A01019</t>
  </si>
  <si>
    <t>GAIL (India) Ltd</t>
  </si>
  <si>
    <t>INE066F01012</t>
  </si>
  <si>
    <t>Hindustan Aeronautics Ltd</t>
  </si>
  <si>
    <t>INE323A01026</t>
  </si>
  <si>
    <t>Bosch Ltd</t>
  </si>
  <si>
    <t>INE399L01023</t>
  </si>
  <si>
    <t>Adani Total Gas Ltd</t>
  </si>
  <si>
    <t>INE0J1Y01017</t>
  </si>
  <si>
    <t>LIC of India Ltd</t>
  </si>
  <si>
    <t>INE628A01036</t>
  </si>
  <si>
    <t>UPL Ltd</t>
  </si>
  <si>
    <t>INE522F01014</t>
  </si>
  <si>
    <t>Coal India Ltd</t>
  </si>
  <si>
    <t>Consumable Fuels</t>
  </si>
  <si>
    <t>INE239A01016</t>
  </si>
  <si>
    <t>Nestle India Ltd</t>
  </si>
  <si>
    <t>INE012A01025</t>
  </si>
  <si>
    <t>ACC Ltd</t>
  </si>
  <si>
    <t>INE158A01026</t>
  </si>
  <si>
    <t>Hero MotoCorp Ltd</t>
  </si>
  <si>
    <t>INE414G01012</t>
  </si>
  <si>
    <t>Muthoot Finance Ltd</t>
  </si>
  <si>
    <t>INE047A01021</t>
  </si>
  <si>
    <t>Grasim Industries Ltd</t>
  </si>
  <si>
    <t>INE663F01024</t>
  </si>
  <si>
    <t>Info Edge (India) Ltd</t>
  </si>
  <si>
    <t>INE089A01023</t>
  </si>
  <si>
    <t>Dr. Reddys Laboratories Ltd</t>
  </si>
  <si>
    <t>INE685A01028</t>
  </si>
  <si>
    <t>Torrent Pharmaceuticals Ltd</t>
  </si>
  <si>
    <t>INE758T01015</t>
  </si>
  <si>
    <t>Zomato Ltd</t>
  </si>
  <si>
    <t>INE179A01014</t>
  </si>
  <si>
    <t>Procter &amp; Gamble Hygiene and Health Care Ltd</t>
  </si>
  <si>
    <t>INE016A01026</t>
  </si>
  <si>
    <t>Dabur India Ltd</t>
  </si>
  <si>
    <t>INE121J01017</t>
  </si>
  <si>
    <t>Indus Towers Ltd (Prev Bharti Infratel Ltd)</t>
  </si>
  <si>
    <t>INE102D01028</t>
  </si>
  <si>
    <t>Godrej Consumer Products Ltd</t>
  </si>
  <si>
    <t>INE775A01035</t>
  </si>
  <si>
    <t>Samvardhana Motherson International Ltd</t>
  </si>
  <si>
    <t>INE259A01022</t>
  </si>
  <si>
    <t>Colgate Palmolive (India) Ltd</t>
  </si>
  <si>
    <t>INE196A01026</t>
  </si>
  <si>
    <t>Marico Ltd</t>
  </si>
  <si>
    <t>INE335Y01020</t>
  </si>
  <si>
    <t>Indian Railway Catering &amp; Tourism Corporation Ltd</t>
  </si>
  <si>
    <t>INE376G01013</t>
  </si>
  <si>
    <t>Biocon Ltd</t>
  </si>
  <si>
    <t>INE463A01038</t>
  </si>
  <si>
    <t>Berger Paints (I) Ltd</t>
  </si>
  <si>
    <t>INE364U01010</t>
  </si>
  <si>
    <t>Adani Green Energy Ltd</t>
  </si>
  <si>
    <t>INE318A01026</t>
  </si>
  <si>
    <t>Pidilite Industries Ltd</t>
  </si>
  <si>
    <t>INE066A01021</t>
  </si>
  <si>
    <t>Eicher Motors Ltd</t>
  </si>
  <si>
    <t>INE545U01014</t>
  </si>
  <si>
    <t>Bandhan Bank Ltd</t>
  </si>
  <si>
    <t>INE018E01016</t>
  </si>
  <si>
    <t>SBI Cards and Payment Services Ltd</t>
  </si>
  <si>
    <t>INE118A01012</t>
  </si>
  <si>
    <t>Bajaj Holdings &amp; Investment Ltd</t>
  </si>
  <si>
    <t>INE726G01019</t>
  </si>
  <si>
    <t>ICICI Prudential Life Insurance Company Ltd</t>
  </si>
  <si>
    <t>INE176B01034</t>
  </si>
  <si>
    <t>Havells India Ltd</t>
  </si>
  <si>
    <t>INE982J01020</t>
  </si>
  <si>
    <t>One 97 Communications Ltd</t>
  </si>
  <si>
    <t>Financial Technology (Fintech)</t>
  </si>
  <si>
    <t>INE931S01010</t>
  </si>
  <si>
    <t>Adani Transmission Ltd</t>
  </si>
  <si>
    <t>INEDUMMYYESB</t>
  </si>
  <si>
    <t>Sundaram Tax Savings Fund (ELSS)</t>
  </si>
  <si>
    <t>INE591G01017</t>
  </si>
  <si>
    <t>Coforge Ltd</t>
  </si>
  <si>
    <t>Sundaram Consumption Fund</t>
  </si>
  <si>
    <t>INE872J01023</t>
  </si>
  <si>
    <t>Devyani international limited</t>
  </si>
  <si>
    <t>INE355A01028</t>
  </si>
  <si>
    <t>Somany Ceramics Ltd</t>
  </si>
  <si>
    <t>Sundaram Services Fund</t>
  </si>
  <si>
    <t>INE191H01014</t>
  </si>
  <si>
    <t>PVR Ltd</t>
  </si>
  <si>
    <t>INE474Q01031</t>
  </si>
  <si>
    <t>Global Health Ltd</t>
  </si>
  <si>
    <t>INE112L01020</t>
  </si>
  <si>
    <t>Metropolis Healthcare Ltd</t>
  </si>
  <si>
    <t>MU0295S00016</t>
  </si>
  <si>
    <t>Make My Trip Ltd (USD)</t>
  </si>
  <si>
    <t>Sundaram Diversified Equity</t>
  </si>
  <si>
    <t>Sundaram Large Cap Fund</t>
  </si>
  <si>
    <t>Sundaram Flexi Cap Fund</t>
  </si>
  <si>
    <t>INE0JUS01029</t>
  </si>
  <si>
    <t>Harsha Engineers International Ltd</t>
  </si>
  <si>
    <t>Sundaram Financial Services Opportunities Fund</t>
  </si>
  <si>
    <t>INE115A01026</t>
  </si>
  <si>
    <t>LIC Housing Finance Ltd</t>
  </si>
  <si>
    <t>Institutional Plan - Growth</t>
  </si>
  <si>
    <t>S.NO.</t>
  </si>
  <si>
    <t>ACRONYM</t>
  </si>
  <si>
    <t>SCHEME NAME</t>
  </si>
  <si>
    <t>CAPEXG</t>
  </si>
  <si>
    <t>MIDCAP</t>
  </si>
  <si>
    <t>MULTI1</t>
  </si>
  <si>
    <t>MULTI2</t>
  </si>
  <si>
    <t>Sundaram Multi Cap Fund Series II</t>
  </si>
  <si>
    <t>MULTIP</t>
  </si>
  <si>
    <t>Sundaram Large And Mid Cap Fund</t>
  </si>
  <si>
    <t>SESCAP1</t>
  </si>
  <si>
    <t>SESCAP2</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</si>
  <si>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</si>
  <si>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</si>
  <si>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</si>
  <si>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</si>
  <si>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</si>
  <si>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</si>
  <si>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</si>
  <si>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</si>
  <si>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</si>
  <si>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</si>
  <si>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</si>
  <si>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</si>
  <si>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</si>
  <si>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</si>
  <si>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</si>
  <si>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</si>
  <si>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</si>
  <si>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</si>
  <si>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</si>
  <si>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Sundaram Aggressive Hybrid Fund</t>
  </si>
  <si>
    <t>SPARF</t>
  </si>
  <si>
    <t xml:space="preserve">Sundaram Arbitrage Fund </t>
  </si>
  <si>
    <t>SPBAF</t>
  </si>
  <si>
    <t>Sundaram Balanced Advantage Fund</t>
  </si>
  <si>
    <t>SPDYF</t>
  </si>
  <si>
    <t>SPESF</t>
  </si>
  <si>
    <t>SPFOCUS</t>
  </si>
  <si>
    <t>Sundaram Focused  Fund</t>
  </si>
  <si>
    <t>SPMUCF</t>
  </si>
  <si>
    <t>SPSN100</t>
  </si>
  <si>
    <t>Sundaram NIFTY 100 Equal Weight Fund</t>
  </si>
  <si>
    <t>SPTAX</t>
  </si>
  <si>
    <t>SRURAL</t>
  </si>
  <si>
    <t>SSFUND</t>
  </si>
  <si>
    <t>STAX</t>
  </si>
  <si>
    <t>SUNBCF</t>
  </si>
  <si>
    <t>SUNFCF</t>
  </si>
  <si>
    <t>SUNFOP</t>
  </si>
  <si>
    <t>GLOB</t>
  </si>
  <si>
    <t>Sundaram Global Brand Fund</t>
  </si>
  <si>
    <t>INE062A08330</t>
  </si>
  <si>
    <t>State Bank of India - 7.51% - 06/12/2032**</t>
  </si>
  <si>
    <t>ICRA AAA</t>
  </si>
  <si>
    <t>INE134E08KO6</t>
  </si>
  <si>
    <t>Power Finance Corporation Ltd - 6.83% - 24/04/2023**</t>
  </si>
  <si>
    <t>INE020B08DR1</t>
  </si>
  <si>
    <t>REC Ltd - 5.74% - 20/06/2024**</t>
  </si>
  <si>
    <t>INE028A08158</t>
  </si>
  <si>
    <t>IND AAA</t>
  </si>
  <si>
    <t>INE557F08FG1</t>
  </si>
  <si>
    <t>National Housing Bank  - 7.05% - 18/12/2024**</t>
  </si>
  <si>
    <t>INE001A07SG6</t>
  </si>
  <si>
    <t>Housing Development Finance Corporation Ltd - 7.35% - 10/02/2025**</t>
  </si>
  <si>
    <t>INE134E08KD9</t>
  </si>
  <si>
    <t>Power Finance Corporation Ltd - 8.1% - 04/06/2024**</t>
  </si>
  <si>
    <t>INE018A08BA7</t>
  </si>
  <si>
    <t>Larsen &amp; Toubro Ltd - 7.7% - 28/04/2025**</t>
  </si>
  <si>
    <t>INE261F08BK1</t>
  </si>
  <si>
    <t>National Bank for Agricultural &amp; Rural Development - 7.69% - 29/05/2024**</t>
  </si>
  <si>
    <t>INE115A07OJ7</t>
  </si>
  <si>
    <t>LIC Housing Finance Ltd - 7.445% - 13/01/2023**</t>
  </si>
  <si>
    <t>INE115A07PC9</t>
  </si>
  <si>
    <t>LIC Housing Finance Ltd - 5.35% - 20/03/2023**</t>
  </si>
  <si>
    <t>INE261F08DI1</t>
  </si>
  <si>
    <t>National Bank for Agricultural &amp; Rural Development - 5.23% - 31/01/2025**</t>
  </si>
  <si>
    <t>INE090A08TU6</t>
  </si>
  <si>
    <t>ICICI Bank Ltd - 7.6% - 07/10/2023</t>
  </si>
  <si>
    <t>INE261F08AT4</t>
  </si>
  <si>
    <t>National Bank for Agricultural &amp; Rural Development - 8.5% - 31/01/2023</t>
  </si>
  <si>
    <t>INE557F08FI7</t>
  </si>
  <si>
    <t>National Housing Bank  - 6.55% - 17/04/2023**</t>
  </si>
  <si>
    <t>INE261F08DF7</t>
  </si>
  <si>
    <t>National Bank for Agricultural &amp; Rural Development - 5.27% - 23/07/2024**</t>
  </si>
  <si>
    <t>INE895D07487</t>
  </si>
  <si>
    <t>Tata Sons Pvt Ltd - 9.3% - 19/06/2024**</t>
  </si>
  <si>
    <t>IN0020220052</t>
  </si>
  <si>
    <t>6.69% Central Government Securities 27/06/2024</t>
  </si>
  <si>
    <t>IN0020220060</t>
  </si>
  <si>
    <t xml:space="preserve">7.26% Central Government Securities 22/08/2032 </t>
  </si>
  <si>
    <t>IN0020210186</t>
  </si>
  <si>
    <t>5.74% Central Government Securities 15/11/2026</t>
  </si>
  <si>
    <t>IN0020210160</t>
  </si>
  <si>
    <t>IN0020210244</t>
  </si>
  <si>
    <t>6.54% Central Government Securities 17/01/2032</t>
  </si>
  <si>
    <t>IN0020220037</t>
  </si>
  <si>
    <t>7.38% Central Government Securities 20/06/2027</t>
  </si>
  <si>
    <t>IN0020130012</t>
  </si>
  <si>
    <t>7.16% Central Government Securities 20/05/2023</t>
  </si>
  <si>
    <t>IN2220150030</t>
  </si>
  <si>
    <t>8.25% Maharashtra State Development Loan 10/06/2025</t>
  </si>
  <si>
    <t>IN1920140119</t>
  </si>
  <si>
    <t>8.08% Karnataka State Development Loan 11/03/2025</t>
  </si>
  <si>
    <t>IN2220140205</t>
  </si>
  <si>
    <t>8.06% Maharashtra State Development Loan 11/02/2025</t>
  </si>
  <si>
    <t>INE040A16DL7</t>
  </si>
  <si>
    <t>HDFC Bank Ltd - 16/01/2023**</t>
  </si>
  <si>
    <t>IND A1+</t>
  </si>
  <si>
    <t>INE028A16CO8</t>
  </si>
  <si>
    <t>Bank of Baroda - 14/02/2023**</t>
  </si>
  <si>
    <t>INE028A16CW1</t>
  </si>
  <si>
    <t>Bank of Baroda - 05/05/2023**</t>
  </si>
  <si>
    <t>INE028A16CT7</t>
  </si>
  <si>
    <t>Bank of Baroda - 17/08/2023**</t>
  </si>
  <si>
    <t>INE476A16TV8</t>
  </si>
  <si>
    <t>Canara Bank - 18/08/2023**</t>
  </si>
  <si>
    <t>CRISIL A1+</t>
  </si>
  <si>
    <t>INE556F16994</t>
  </si>
  <si>
    <t>Small Industries Development Bank of India - 01/09/2023**</t>
  </si>
  <si>
    <t>INE062A16465</t>
  </si>
  <si>
    <t>State Bank of India - 12/09/2023</t>
  </si>
  <si>
    <t>INE001A14YV9</t>
  </si>
  <si>
    <t>Housing Development Finance Corporation Ltd - 17/05/2023**</t>
  </si>
  <si>
    <t>INE001A14ZQ6</t>
  </si>
  <si>
    <t>Housing Development Finance Corporation Ltd - 18/10/2023**</t>
  </si>
  <si>
    <t>IN002021Z426</t>
  </si>
  <si>
    <t>364 Days - T Bill - 05/01/2023</t>
  </si>
  <si>
    <t>Cash and Other Net Current Assets^</t>
  </si>
  <si>
    <t>**Non Traded Securities</t>
  </si>
  <si>
    <t>^ Net current assets includes interest accrued on fixed income securities</t>
  </si>
  <si>
    <t>Individual &amp; HUF</t>
  </si>
  <si>
    <t>Others</t>
  </si>
  <si>
    <t>INE302A01020</t>
  </si>
  <si>
    <t>Exide Industries Ltd</t>
  </si>
  <si>
    <t>Index Future</t>
  </si>
  <si>
    <t>INE094A08085</t>
  </si>
  <si>
    <t>Hindustan Petroleum Corporation Ltd - 4.79% - 23/10/2023**</t>
  </si>
  <si>
    <t>INE001A07SH4</t>
  </si>
  <si>
    <t>Housing Development Finance Corporation Ltd - 6.99% - 13/02/2023**</t>
  </si>
  <si>
    <t>INE020B08CN2</t>
  </si>
  <si>
    <t>REC Ltd - 6.8% - 30/06/2023**</t>
  </si>
  <si>
    <t>INE261F08BW6</t>
  </si>
  <si>
    <t>National Bank for Agricultural &amp; Rural Development - 6.72% - 14/04/2023**</t>
  </si>
  <si>
    <t>INE001A07TS9</t>
  </si>
  <si>
    <t>Housing Development Finance Corporation Ltd - 7.7% - 18/11/2025**</t>
  </si>
  <si>
    <t>INE020B08DC3</t>
  </si>
  <si>
    <t>REC Ltd - 5.69% - 30/09/2023**</t>
  </si>
  <si>
    <t>INE134E08KJ6</t>
  </si>
  <si>
    <t>Power Finance Corporation Ltd - 7.04% - 14/04/2023**</t>
  </si>
  <si>
    <t>INE053F07BZ2</t>
  </si>
  <si>
    <t>Indian Railway Finance Corporation Ltd - 6.59% - 14/04/2023**</t>
  </si>
  <si>
    <t>INE261F08CA0</t>
  </si>
  <si>
    <t>National Bank for Agricultural &amp; Rural Development - 6.4% - 31/07/2023</t>
  </si>
  <si>
    <t>IN0020210046</t>
  </si>
  <si>
    <t>4.26% Central Government Securities 17/05/2023</t>
  </si>
  <si>
    <t>INE040A16DG7</t>
  </si>
  <si>
    <t>HDFC Bank Ltd - 13/04/2023**</t>
  </si>
  <si>
    <t>-</t>
  </si>
  <si>
    <t>IT - Software</t>
  </si>
  <si>
    <t>IT - Services</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</si>
  <si>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</si>
  <si>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</si>
  <si>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L&amp;T Finance Holdings Limited January 2023</t>
  </si>
  <si>
    <t>Housing Development Fin Corp Limited January 2023</t>
  </si>
  <si>
    <t>Zydus Lifesciences Limited January 2023</t>
  </si>
  <si>
    <t>Aurobindo Pharma Limited January 2023</t>
  </si>
  <si>
    <t>Larsen &amp; Toubro Limited January 2023</t>
  </si>
  <si>
    <t>Wipro Limited January 2023</t>
  </si>
  <si>
    <t>Jindal Steel &amp; Power Limited January 2023</t>
  </si>
  <si>
    <t>DLF Limited January 2023</t>
  </si>
  <si>
    <t>Siemens Limited January 2023</t>
  </si>
  <si>
    <t>Reliance Industries Limited January 2023</t>
  </si>
  <si>
    <t>Ambuja Cements Limited January 2023</t>
  </si>
  <si>
    <t>Asian Paints Limited January 2023</t>
  </si>
  <si>
    <t>Maruti Suzuki India Limited January 2023</t>
  </si>
  <si>
    <t>ICICI Bank Limited January 2023</t>
  </si>
  <si>
    <t>Kotak Mahindra Bank Limited January 2023</t>
  </si>
  <si>
    <t>Adani Ports &amp; SEZ Limited January 2023</t>
  </si>
  <si>
    <t>Bajaj Finance Limited January 2023</t>
  </si>
  <si>
    <t>Zee Entertainment Enterprises Limited January 2023</t>
  </si>
  <si>
    <t>HDFC Bank Limited January 2023</t>
  </si>
  <si>
    <t>Tata Power Company Limited January 2023</t>
  </si>
  <si>
    <t>Sun Pharmaceutical Industries Limited January 2023</t>
  </si>
  <si>
    <t>Exide Industries Limited January 2023</t>
  </si>
  <si>
    <t>Bharti Airtel Limited January 2023</t>
  </si>
  <si>
    <t>UltraTech Cement Limited January 2023</t>
  </si>
  <si>
    <t>United Spirits Limited January 2023</t>
  </si>
  <si>
    <t>HDFC Life Insurance Company Limited January 2023</t>
  </si>
  <si>
    <t>Tech Mahindra Limited January 2023</t>
  </si>
  <si>
    <t>Hindalco Industries Limited January 2023</t>
  </si>
  <si>
    <t>Infosys Limited January 2023</t>
  </si>
  <si>
    <t>Nifty January 2023</t>
  </si>
  <si>
    <t>Hindustan Petroleum Corporation Limited January 2023</t>
  </si>
  <si>
    <t>Divis Labarotories Limited January 2023</t>
  </si>
  <si>
    <t>Mahindra &amp; Mahindra Limited January 2023</t>
  </si>
  <si>
    <t>TATA Consumer Products Limited January 2023</t>
  </si>
  <si>
    <t>Titan Company Limited January 2023</t>
  </si>
  <si>
    <t>State Bank of India January 2023</t>
  </si>
  <si>
    <t>Bank of Baroda January 2023</t>
  </si>
  <si>
    <t>TATA Consultancy Services Limited January 2023</t>
  </si>
  <si>
    <t>Vedanta Limited January 2023</t>
  </si>
  <si>
    <t>Ashok Leyland Limited January 2023</t>
  </si>
  <si>
    <t>Axis Bank Limited January 2023</t>
  </si>
  <si>
    <t>Tata Steel Limited January 2023</t>
  </si>
  <si>
    <t>Hindustan Unilever Limited January 2023</t>
  </si>
  <si>
    <t>INE0GGX23010</t>
  </si>
  <si>
    <t>Power Grid Infrastructure Investment Trust (InvIT)</t>
  </si>
  <si>
    <t>INE041025011</t>
  </si>
  <si>
    <t>Embassy Office Parks (REIT)</t>
  </si>
  <si>
    <t>Sundaram Liquid Fund - Direct Growth @@</t>
  </si>
  <si>
    <t xml:space="preserve"> @@ Placed as margin for derivatives</t>
  </si>
  <si>
    <t>INE001A13049</t>
  </si>
  <si>
    <t>Housing Development Finance Corporation Ltd.</t>
  </si>
  <si>
    <t>Hindustan Dorr-Oliver Ltd @</t>
  </si>
  <si>
    <t>b) Total value and percentage of illiquid equity shares @</t>
  </si>
  <si>
    <t>0.00 / #</t>
  </si>
  <si>
    <t>Bharti Airtel Ltd - Partly Paid Right Shares</t>
  </si>
  <si>
    <t>Hatsun Agro Product Ltd - Rights Entitlement</t>
  </si>
  <si>
    <t>Rajapalayam Mills Ltd - Rights Entitlement</t>
  </si>
  <si>
    <t>Tirrihannah Company Ltd @</t>
  </si>
  <si>
    <t>Crystal Cable Industries Ltd @</t>
  </si>
  <si>
    <t>Sandur Laminates Ltd @</t>
  </si>
  <si>
    <t>Minerava Holdings Ltd @</t>
  </si>
  <si>
    <t>Rs. 5.21 lacs/ 0.01%</t>
  </si>
  <si>
    <t>Chennai Super Kings Ltd @</t>
  </si>
  <si>
    <t>Crescent Finstock Ltd @</t>
  </si>
  <si>
    <t>Mukerian Papers Ltd @</t>
  </si>
  <si>
    <t>Precision Fasteners Ltd @</t>
  </si>
  <si>
    <t>Noble Brothers Impex Ltd @</t>
  </si>
  <si>
    <t>Sangam Health Care Products Ltd @</t>
  </si>
  <si>
    <t>Virtual Dynamics Software Ltd @</t>
  </si>
  <si>
    <t>Balmer Lawrie Freight Containers Ltd @</t>
  </si>
  <si>
    <t>Rs.50.31 lacs / 0.03%</t>
  </si>
  <si>
    <t>Yes Bank Ltd ~</t>
  </si>
  <si>
    <t>~ Any realization beyond the carrying value shall be distributed to the investors existed as on March 13, 2020.</t>
  </si>
  <si>
    <t>Rs. 19.78 lacs / 0.02%</t>
  </si>
  <si>
    <t>Rs. 1.62 lacs / 0.00%</t>
  </si>
  <si>
    <t>Annexure-A</t>
  </si>
  <si>
    <t>859.66 Lacs</t>
  </si>
  <si>
    <t>Tata Motors Ltd - DVR</t>
  </si>
  <si>
    <t>364 Days - T Bill - 12/01/2023*</t>
  </si>
  <si>
    <t>364 Days - T Bill - 01/06/2023*</t>
  </si>
  <si>
    <t xml:space="preserve">* Investment earmarked for Derivative Margin </t>
  </si>
  <si>
    <t>364 Days - T Bill - 05/01/2023*</t>
  </si>
  <si>
    <t>364 Days - T Bill - 19/01/2023*</t>
  </si>
  <si>
    <t>364 Days - T Bill - 25/05/2023*</t>
  </si>
  <si>
    <t>YTM (%)</t>
  </si>
  <si>
    <t>SUNDARAM GLOBAL BRAND FUND</t>
  </si>
  <si>
    <t>Monthly Portfolio Statement for the period ended 31 Dec 2022</t>
  </si>
  <si>
    <t>S.NO</t>
  </si>
  <si>
    <t>ISIN CODE</t>
  </si>
  <si>
    <t>Name of the Instrument</t>
  </si>
  <si>
    <t>Industry/ Rating</t>
  </si>
  <si>
    <t>A) Investments in Foreign Securities - Units of Mutual Funds</t>
  </si>
  <si>
    <t>SG9999013908</t>
  </si>
  <si>
    <t>SUNDARAM GLOBAL BRAND FUND -MASTER CLASS (Singapore)</t>
  </si>
  <si>
    <t>Mutual Funds</t>
  </si>
  <si>
    <t>Total for Investments in Foreign Securities - Units of Mutual Funds</t>
  </si>
  <si>
    <t>B) Money Market Investments</t>
  </si>
  <si>
    <t>ReverseRepo / TREPS</t>
  </si>
  <si>
    <t>Cash and Other Net Curent Assets</t>
  </si>
  <si>
    <t>a) Total securities below investment grade or default  - Nil</t>
  </si>
  <si>
    <t>b) Total value and percentage of illiquid equity shares - Nil</t>
  </si>
  <si>
    <t xml:space="preserve"> </t>
  </si>
  <si>
    <t>Options</t>
  </si>
  <si>
    <t>Direct Plan - IDCW ^^</t>
  </si>
  <si>
    <t>Regular Plan - IDCW ^^</t>
  </si>
  <si>
    <t>d) IDCW declared during the period (Rupees per unit) - Nil</t>
  </si>
  <si>
    <t>e) Total outstanding exposure in derivative instrumentsat the end of the period - Nil</t>
  </si>
  <si>
    <t>f) Total investments in foreign securities /ADR'S/GDR'S  at the end of the period - Rs. 10896.65 lacs</t>
  </si>
  <si>
    <t>g) Repo in Corporate Debt - Nil</t>
  </si>
  <si>
    <t>Bank of Baroda - 8.55% - Call Dt 14/02/2024 (Tier II Bond under Basel III)**</t>
  </si>
  <si>
    <t>Yield to call date %</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</si>
  <si>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</si>
  <si>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</si>
  <si>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</si>
  <si>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</si>
  <si>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</si>
  <si>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</si>
  <si>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</si>
  <si>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</si>
  <si>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</si>
  <si>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</si>
  <si>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</si>
  <si>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</si>
  <si>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</si>
  <si>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</si>
  <si>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</si>
  <si>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</si>
  <si>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</si>
  <si>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</si>
  <si>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</si>
  <si>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to AUM as on 31/12/2022</t>
  </si>
  <si>
    <t>21.50% Dewan Rubber Ltd</t>
  </si>
  <si>
    <t>Not Available</t>
  </si>
  <si>
    <t>Chemox Chemicals Industries</t>
  </si>
  <si>
    <t>Refer below point i)</t>
  </si>
  <si>
    <t>15% Premier Vinyl Ltd</t>
  </si>
  <si>
    <t>18% Jord Engineering Ltd</t>
  </si>
  <si>
    <t>i) Exposure to securities classified as below investment grade or default as on December 31, 2022:-</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</si>
  <si>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</si>
  <si>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</si>
  <si>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</si>
  <si>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</si>
  <si>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</si>
  <si>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</si>
  <si>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</si>
  <si>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</si>
  <si>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</si>
  <si>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</si>
  <si>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December 2022</t>
  </si>
  <si>
    <t>Sundaram Large Cap Fund (Formerly Known As Sundaram Bluechip Fund)</t>
  </si>
  <si>
    <t>Sundaram Consumption Fund (Formerly Known as Sundaram Rural and Consumption Fund)</t>
  </si>
  <si>
    <t>Sundaram Tax Savings Fund (ELSS) (Formerly Known As Principal Tax Savings Fund)</t>
  </si>
  <si>
    <t>Sundaram NIFTY 100 Equal Weight Fund (Formerly Known As Principal Nifty 100 Equal Weight Fund)</t>
  </si>
  <si>
    <t>Sundaram Multi Cap Fund (Formerly Known As Principal Multi Cap Growth Fund)</t>
  </si>
  <si>
    <t>Sundaram Focused Fund (Formerly Known As Principal Focused Multicap Fund)</t>
  </si>
  <si>
    <t>Sundaram Equity Savings Fund (Formerly Known As Principal Equity Savings Fund)</t>
  </si>
  <si>
    <t>Sundaram Dividend Yield Fund (Formerly Known As Principal Dividend Yield Fund)</t>
  </si>
  <si>
    <t>Sundaram Balanced Advantage Fund (Formerly Known As Principal Balanced Advantage Fund)</t>
  </si>
  <si>
    <t>Sundaram Arbitrage Fund (Formerly Known As Principal Arbitrage Fund)</t>
  </si>
  <si>
    <t>Sundaram Aggressive Hybrid Fund (Formerly Known As Principal Hybrid Equity Fund)</t>
  </si>
  <si>
    <t>Portfolio Information</t>
  </si>
  <si>
    <t>Scheme Name :</t>
  </si>
  <si>
    <t>Description (if any)</t>
  </si>
  <si>
    <t xml:space="preserve">As on (Date) </t>
  </si>
  <si>
    <t>Macaulay Duration (years) - only for Debt portion (years)</t>
  </si>
  <si>
    <t>Residual Maturity (years) - only for Debt portion (years)</t>
  </si>
  <si>
    <t xml:space="preserve">Annualised Portfolio YTM %* : </t>
  </si>
  <si>
    <t>* in case of semi annual YTM,  it will be annualised </t>
  </si>
  <si>
    <t>Index</t>
  </si>
  <si>
    <t>Scheme Riskometer</t>
  </si>
  <si>
    <t>Benchmark Riskometer - NIFTY Infrastructure TRI</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</si>
  <si>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</si>
  <si>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</si>
  <si>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</si>
  <si>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</si>
  <si>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</si>
  <si>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Small Cap INDEX</t>
  </si>
  <si>
    <t>Benchmark Riskometer - S&amp;P BSE 250 SmallCap</t>
  </si>
  <si>
    <t xml:space="preserve">       Benchmark Riskometer - S&amp;P BSE 500 INDEX</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</si>
  <si>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</si>
  <si>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</si>
  <si>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</si>
  <si>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</si>
  <si>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</si>
  <si>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</si>
  <si>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</si>
  <si>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</si>
  <si>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</si>
  <si>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</si>
  <si>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</si>
  <si>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</si>
  <si>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</si>
  <si>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</si>
  <si>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</si>
  <si>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</si>
  <si>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</si>
  <si>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</si>
  <si>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</si>
  <si>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</si>
  <si>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</si>
  <si>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</si>
  <si>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</si>
  <si>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Benchmark Riskometer - MSCI ACWI TRI</t>
  </si>
  <si>
    <t>DERIVATIVES DISCLOSURE</t>
  </si>
  <si>
    <t>Disclosure regarding Derivative positions pursuant to SEBI Circular no CIR/IMD/DF/11/2010 dated August18,2010</t>
  </si>
  <si>
    <t>DETAILS OF INVESTMENTS IN DERIVATIVE INSTRUMENTS</t>
  </si>
  <si>
    <t>A. Hedging Positions through Futures as on December 31,2022 :</t>
  </si>
  <si>
    <t>Scheme Name</t>
  </si>
  <si>
    <t>Underlying</t>
  </si>
  <si>
    <t>Long/Short</t>
  </si>
  <si>
    <t>Futures Price When Purchased</t>
  </si>
  <si>
    <t>Current Price of the contract</t>
  </si>
  <si>
    <t>Margin maintained in       (Rs in Lakhs)*</t>
  </si>
  <si>
    <t>Sundaram Arbitrage Fund</t>
  </si>
  <si>
    <t>Short</t>
  </si>
  <si>
    <t xml:space="preserve">Total percentage of existing assets hedged through futures as a percentage of net assets </t>
  </si>
  <si>
    <t>%</t>
  </si>
  <si>
    <t>For the period ended December 31,2022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</si>
  <si>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</si>
  <si>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</si>
  <si>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</si>
  <si>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</si>
  <si>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</si>
  <si>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December 31,2022 :</t>
  </si>
  <si>
    <t>Margin maintained in       (Rs. in Lakhs) *</t>
  </si>
  <si>
    <t>LONG</t>
  </si>
  <si>
    <t>Total percentage of existing assets due to non-hedging positions as a percentage of net assets</t>
  </si>
  <si>
    <t>For the period ended December 31,2022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</si>
  <si>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</si>
  <si>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</si>
  <si>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December 31,2022 :</t>
  </si>
  <si>
    <t>Call/Put</t>
  </si>
  <si>
    <t>Number of Contracts</t>
  </si>
  <si>
    <t>Option Price when purchased</t>
  </si>
  <si>
    <t>Current Option Price</t>
  </si>
  <si>
    <t>Total % of existing assets hedged through Put Options</t>
  </si>
  <si>
    <t>For the period ended  December 31,2022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</si>
  <si>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</si>
  <si>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</si>
  <si>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</si>
  <si>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</si>
  <si>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December 31,2022 :</t>
  </si>
  <si>
    <t xml:space="preserve">Total Exposure through Options other than hedging as a percentage of net assets </t>
  </si>
  <si>
    <t>For the period ended December 31,2022 , the following non hedging transactions through options which have been already exercised/expired</t>
  </si>
  <si>
    <t>Gross Notional value of contracts  bought(Rs. in Lakhs)</t>
  </si>
  <si>
    <t>Gross Notional value of contracts  sold (Rs. in Lakhs)</t>
  </si>
  <si>
    <t>E. Hedging Positions through Swaps as on December 31,2022 - Nil</t>
  </si>
  <si>
    <t>F. Hedging Positions through Interest Rate Futures as on December 31,2022 :</t>
  </si>
  <si>
    <t xml:space="preserve">Futures Price
When Purchased </t>
  </si>
  <si>
    <t>Current Price of
the contract</t>
  </si>
  <si>
    <t>Margin maintained
in (Rs. in Lakhs)</t>
  </si>
  <si>
    <t>Total percentage of existing assets hedged through Interest Rate Futures a Percentage of net assets</t>
  </si>
  <si>
    <t>For the period ended December 31,2022 following were the hedging transactions through Interest Rate Futures which have been squared off/ expired</t>
  </si>
  <si>
    <t>For the period ended December 31,2022 following were the Non Hedging transactions through Interest Rate Futures which have been squared off/ expired</t>
  </si>
  <si>
    <t>* Note: Margin maintained denotes security specific margin.</t>
  </si>
  <si>
    <t>YTM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</si>
</sst>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0.00"/>
    <numFmt numFmtId="170" formatCode="[$-1014009]#,##0.00%"/>
    <numFmt numFmtId="171" formatCode="[$-1014009]#,##0.0000;\-#,##0.0000"/>
    <numFmt numFmtId="172" formatCode="[$-1014009]#,##0.000000;\-#,##0.000000"/>
    <numFmt numFmtId="173" formatCode="[$-1014009]#.0000"/>
    <numFmt numFmtId="174" formatCode="[$-1014009]#,##0.00;\(#,##0.00\)"/>
    <numFmt numFmtId="175" formatCode="0.000"/>
    <numFmt numFmtId="176" formatCode="#,##0.000"/>
    <numFmt numFmtId="177" formatCode="0.00000"/>
    <numFmt numFmtId="178" formatCode="0.0000"/>
    <numFmt numFmtId="179" formatCode="_(* #,##0_);_(* \(#,##0\);_(* &quot;-&quot;??_);_(@_)"/>
    <numFmt numFmtId="180" formatCode="0.000000000"/>
    <numFmt numFmtId="181" formatCode="#,##0.0000;\(#,##0.0000\)"/>
    <numFmt numFmtId="182" formatCode="_(* #,##0.000_);_(* \(#,##0.000\);_(* &quot;-&quot;??_);_(@_)"/>
  </numFmts>
  <fonts count="35"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b/>
      <sz val="9"/>
      <color indexed="8"/>
      <name val="Calibri"/>
      <family val="2"/>
    </font>
    <font>
      <sz val="10"/>
      <color indexed="8"/>
      <name val="Calibri"/>
      <family val="2"/>
    </font>
    <font>
      <b/>
      <i/>
      <sz val="10"/>
      <color indexed="8"/>
      <name val="Calibri"/>
      <family val="2"/>
    </font>
    <font>
      <b/>
      <sz val="10"/>
      <color indexed="8"/>
      <name val="Calibri"/>
      <family val="2"/>
    </font>
    <font>
      <b/>
      <sz val="9"/>
      <color indexed="8"/>
      <name val="Calibri"/>
      <family val="2"/>
    </font>
    <font>
      <sz val="10"/>
      <name val="Arial"/>
      <family val="2"/>
    </font>
    <font>
      <b/>
      <sz val="11"/>
      <name val="Calibri"/>
      <family val="2"/>
    </font>
    <font>
      <b/>
      <sz val="11"/>
      <color indexed="8"/>
      <name val="Calibri"/>
      <family val="2"/>
    </font>
    <font>
      <sz val="10"/>
      <name val="Calibri"/>
      <family val="2"/>
      <scheme val="minor"/>
    </font>
    <font>
      <b/>
      <sz val="10"/>
      <name val="Calibri"/>
      <family val="2"/>
      <scheme val="minor"/>
    </font>
    <font>
      <sz val="10"/>
      <color theme="1"/>
      <name val="Calibri"/>
      <family val="2"/>
      <scheme val="minor"/>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b/>
      <sz val="10"/>
      <color theme="1"/>
      <name val="Calibri"/>
      <family val="2"/>
      <scheme val="minor"/>
    </font>
    <font>
      <b/>
      <sz val="11"/>
      <color theme="0"/>
      <name val="Calibri"/>
      <family val="2"/>
      <scheme val="minor"/>
    </font>
    <font>
      <sz val="11"/>
      <color theme="0"/>
      <name val="Calibri"/>
      <family val="2"/>
      <scheme val="minor"/>
    </font>
    <font>
      <u/>
      <sz val="11"/>
      <color rgb="FF002060"/>
      <name val="Calibri"/>
      <family val="2"/>
      <scheme val="minor"/>
    </font>
    <font>
      <sz val="11"/>
      <name val="Calibri"/>
      <family val="2"/>
    </font>
    <font>
      <b/>
      <sz val="10"/>
      <name val="Arial"/>
      <family val="2"/>
    </font>
  </fonts>
  <fills count="5">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8" tint="0.79998168889431442"/>
        <bgColor indexed="64"/>
      </patternFill>
    </fill>
  </fills>
  <borders count="15">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bottom/>
      <diagonal/>
    </border>
  </borders>
  <cellStyleXfs count="16">
    <xf numFmtId="0" fontId="0" fillId="0" borderId="0">
      <alignment wrapText="1"/>
    </xf>
    <xf numFmtId="0" fontId="3" fillId="0" borderId="0"/>
    <xf numFmtId="0" fontId="10" fillId="0" borderId="0">
      <alignment wrapText="1"/>
    </xf>
    <xf numFmtId="0" fontId="12" fillId="0" borderId="0" applyNumberFormat="0" applyFill="0" applyBorder="0" applyAlignment="0" applyProtection="0">
      <alignment wrapText="1"/>
    </xf>
    <xf numFmtId="164" fontId="19" fillId="0" borderId="0" applyFont="0" applyFill="0" applyBorder="0" applyAlignment="0" applyProtection="0"/>
    <xf numFmtId="9" fontId="19" fillId="0" borderId="0" applyFont="0" applyFill="0" applyBorder="0" applyAlignment="0" applyProtection="0"/>
    <xf numFmtId="0" fontId="2" fillId="0" borderId="0"/>
    <xf numFmtId="0" fontId="10" fillId="0" borderId="0"/>
    <xf numFmtId="0" fontId="2" fillId="0" borderId="0"/>
    <xf numFmtId="43" fontId="10" fillId="0" borderId="0" applyFont="0" applyFill="0" applyBorder="0" applyAlignment="0" applyProtection="0"/>
    <xf numFmtId="0" fontId="10" fillId="0" borderId="0"/>
    <xf numFmtId="0" fontId="10" fillId="0" borderId="0"/>
    <xf numFmtId="0" fontId="2" fillId="0" borderId="0"/>
    <xf numFmtId="164" fontId="2" fillId="0" borderId="0" applyFont="0" applyFill="0" applyBorder="0" applyAlignment="0" applyProtection="0"/>
    <xf numFmtId="0" fontId="10" fillId="0" borderId="0">
      <alignment wrapText="1"/>
    </xf>
    <xf numFmtId="0" fontId="1" fillId="0" borderId="0"/>
  </cellStyleXfs>
  <cellXfs count="336">
    <xf numFmtId="0" fontId="0" fillId="0" borderId="0" xfId="0">
      <alignment wrapText="1"/>
    </xf>
    <xf numFmtId="0" fontId="5" fillId="2" borderId="1" xfId="0" applyFont="1" applyFill="1" applyBorder="1" applyAlignment="1">
      <alignment horizontal="right" vertical="top" wrapText="1" readingOrder="1"/>
    </xf>
    <xf numFmtId="0" fontId="6" fillId="2" borderId="1" xfId="0" applyFont="1" applyFill="1" applyBorder="1" applyAlignment="1">
      <alignment horizontal="left" vertical="center" wrapText="1" readingOrder="1"/>
    </xf>
    <xf numFmtId="165" fontId="5" fillId="2" borderId="1" xfId="0" applyNumberFormat="1" applyFont="1" applyFill="1" applyBorder="1" applyAlignment="1">
      <alignment horizontal="right" vertical="center" wrapText="1" readingOrder="1"/>
    </xf>
    <xf numFmtId="0" fontId="5" fillId="2" borderId="1" xfId="0" applyFont="1" applyFill="1" applyBorder="1" applyAlignment="1">
      <alignment horizontal="left" vertical="center" wrapText="1" readingOrder="1"/>
    </xf>
    <xf numFmtId="166" fontId="5" fillId="2" borderId="1" xfId="0" applyNumberFormat="1" applyFont="1" applyFill="1" applyBorder="1" applyAlignment="1">
      <alignment horizontal="right" vertical="center" wrapText="1" readingOrder="1"/>
    </xf>
    <xf numFmtId="167" fontId="5" fillId="2" borderId="1" xfId="0" applyNumberFormat="1" applyFont="1" applyFill="1" applyBorder="1" applyAlignment="1">
      <alignment horizontal="right" vertical="center" wrapText="1" readingOrder="1"/>
    </xf>
    <xf numFmtId="168" fontId="5" fillId="2" borderId="1" xfId="0" applyNumberFormat="1" applyFont="1" applyFill="1" applyBorder="1" applyAlignment="1">
      <alignment horizontal="right" vertical="center" wrapText="1" readingOrder="1"/>
    </xf>
    <xf numFmtId="0" fontId="5" fillId="2" borderId="1" xfId="0" applyFont="1" applyFill="1" applyBorder="1" applyAlignment="1">
      <alignment horizontal="right" vertical="center" wrapText="1" readingOrder="1"/>
    </xf>
    <xf numFmtId="167" fontId="6" fillId="2" borderId="1" xfId="0" applyNumberFormat="1" applyFont="1" applyFill="1" applyBorder="1" applyAlignment="1">
      <alignment horizontal="right" vertical="center" wrapText="1" readingOrder="1"/>
    </xf>
    <xf numFmtId="168" fontId="6" fillId="2" borderId="1" xfId="0" applyNumberFormat="1" applyFont="1" applyFill="1" applyBorder="1" applyAlignment="1">
      <alignment horizontal="right" vertical="center" wrapText="1" readingOrder="1"/>
    </xf>
    <xf numFmtId="0" fontId="7" fillId="2" borderId="1" xfId="0" applyFont="1" applyFill="1" applyBorder="1" applyAlignment="1">
      <alignment horizontal="left" vertical="center" wrapText="1" readingOrder="1"/>
    </xf>
    <xf numFmtId="0" fontId="7" fillId="2" borderId="1" xfId="0" applyFont="1" applyFill="1" applyBorder="1" applyAlignment="1">
      <alignment horizontal="right" vertical="center" wrapText="1" readingOrder="1"/>
    </xf>
    <xf numFmtId="169" fontId="6" fillId="2" borderId="1" xfId="0" applyNumberFormat="1" applyFont="1" applyFill="1" applyBorder="1" applyAlignment="1">
      <alignment horizontal="right" vertical="center" wrapText="1" readingOrder="1"/>
    </xf>
    <xf numFmtId="170" fontId="6" fillId="2" borderId="1" xfId="0" applyNumberFormat="1" applyFont="1" applyFill="1" applyBorder="1" applyAlignment="1">
      <alignment horizontal="right" vertical="center" wrapText="1" readingOrder="1"/>
    </xf>
    <xf numFmtId="0" fontId="6" fillId="2" borderId="1" xfId="0" applyFont="1" applyFill="1" applyBorder="1" applyAlignment="1">
      <alignment horizontal="right" vertical="center" wrapText="1" readingOrder="1"/>
    </xf>
    <xf numFmtId="0" fontId="7" fillId="2" borderId="2" xfId="0" applyFont="1" applyFill="1" applyBorder="1" applyAlignment="1">
      <alignment horizontal="left" vertical="center" wrapText="1" readingOrder="1"/>
    </xf>
    <xf numFmtId="0" fontId="7" fillId="2" borderId="2"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3" xfId="0" applyFont="1" applyFill="1" applyBorder="1" applyAlignment="1">
      <alignment horizontal="right" vertical="center" wrapText="1" readingOrder="1"/>
    </xf>
    <xf numFmtId="0" fontId="5" fillId="2" borderId="0" xfId="0" applyFont="1" applyFill="1" applyAlignment="1">
      <alignment horizontal="right" vertical="top" wrapText="1" readingOrder="1"/>
    </xf>
    <xf numFmtId="0" fontId="6" fillId="2" borderId="1" xfId="0" applyFont="1" applyFill="1" applyBorder="1" applyAlignment="1">
      <alignment horizontal="right" vertical="top" wrapText="1" readingOrder="1"/>
    </xf>
    <xf numFmtId="171" fontId="5" fillId="2" borderId="1"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0" fillId="2" borderId="0" xfId="0" applyFill="1" applyAlignment="1">
      <alignment horizontal="center" vertical="top" readingOrder="1"/>
    </xf>
    <xf numFmtId="0" fontId="5" fillId="2" borderId="2" xfId="0" applyFont="1" applyFill="1" applyBorder="1" applyAlignment="1">
      <alignment horizontal="right" vertical="top" wrapText="1" readingOrder="1"/>
    </xf>
    <xf numFmtId="170" fontId="6" fillId="2" borderId="1" xfId="0" applyNumberFormat="1" applyFont="1" applyFill="1" applyBorder="1" applyAlignment="1">
      <alignment horizontal="left" vertical="center" wrapText="1" readingOrder="1"/>
    </xf>
    <xf numFmtId="0" fontId="8" fillId="0" borderId="7" xfId="1" applyFont="1" applyBorder="1" applyAlignment="1">
      <alignment horizontal="center" vertical="center"/>
    </xf>
    <xf numFmtId="0" fontId="9" fillId="0" borderId="7" xfId="1" applyFont="1" applyBorder="1" applyAlignment="1">
      <alignment horizontal="center" vertical="center"/>
    </xf>
    <xf numFmtId="0" fontId="11" fillId="0" borderId="0" xfId="2" applyFont="1">
      <alignment wrapText="1"/>
    </xf>
    <xf numFmtId="0" fontId="11" fillId="0" borderId="7" xfId="2" applyFont="1" applyBorder="1">
      <alignment wrapText="1"/>
    </xf>
    <xf numFmtId="0" fontId="13" fillId="0" borderId="7" xfId="3" applyFont="1" applyBorder="1" applyAlignment="1"/>
    <xf numFmtId="0" fontId="11" fillId="0" borderId="7" xfId="2" applyFont="1" applyBorder="1" applyAlignment="1"/>
    <xf numFmtId="0" fontId="6" fillId="2" borderId="1" xfId="0" applyFont="1" applyFill="1" applyBorder="1" applyAlignment="1">
      <alignment horizontal="left" vertical="top" wrapText="1" readingOrder="1"/>
    </xf>
    <xf numFmtId="173" fontId="5" fillId="2" borderId="1" xfId="0" applyNumberFormat="1" applyFont="1" applyFill="1" applyBorder="1" applyAlignment="1">
      <alignment horizontal="right" vertical="center" wrapText="1" readingOrder="1"/>
    </xf>
    <xf numFmtId="0" fontId="14" fillId="2" borderId="1" xfId="0" applyFont="1" applyFill="1" applyBorder="1" applyAlignment="1">
      <alignment horizontal="left" vertical="center" wrapText="1" readingOrder="1"/>
    </xf>
    <xf numFmtId="0" fontId="14" fillId="2" borderId="1" xfId="0" applyFont="1" applyFill="1" applyBorder="1" applyAlignment="1">
      <alignment horizontal="right" vertical="center" wrapText="1" readingOrder="1"/>
    </xf>
    <xf numFmtId="172" fontId="5" fillId="2" borderId="1" xfId="0" applyNumberFormat="1" applyFont="1" applyFill="1" applyBorder="1" applyAlignment="1">
      <alignment horizontal="right" vertical="center" wrapText="1" readingOrder="1"/>
    </xf>
    <xf numFmtId="0" fontId="5" fillId="2" borderId="2"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5" fillId="2" borderId="3" xfId="0" applyFont="1" applyFill="1" applyBorder="1" applyAlignment="1">
      <alignment horizontal="right" vertical="top" wrapText="1" readingOrder="1"/>
    </xf>
    <xf numFmtId="0" fontId="15" fillId="0" borderId="1" xfId="0" applyFont="1" applyBorder="1" applyAlignment="1">
      <alignment horizontal="left" vertical="center" wrapText="1" readingOrder="1"/>
    </xf>
    <xf numFmtId="0" fontId="16" fillId="0" borderId="0" xfId="1" applyFont="1" applyAlignment="1">
      <alignment horizontal="left" vertical="center" wrapText="1" readingOrder="1"/>
    </xf>
    <xf numFmtId="0" fontId="16" fillId="0" borderId="0" xfId="1" applyFont="1" applyAlignment="1">
      <alignment horizontal="right" vertical="center" wrapText="1" readingOrder="1"/>
    </xf>
    <xf numFmtId="0" fontId="0" fillId="0" borderId="0" xfId="0" applyAlignment="1">
      <alignment vertical="center" wrapText="1"/>
    </xf>
    <xf numFmtId="0" fontId="3" fillId="0" borderId="0" xfId="1" applyAlignment="1">
      <alignment wrapText="1"/>
    </xf>
    <xf numFmtId="0" fontId="15" fillId="2" borderId="1" xfId="0" applyFont="1" applyFill="1" applyBorder="1" applyAlignment="1">
      <alignment horizontal="left" vertical="center" wrapText="1" readingOrder="1"/>
    </xf>
    <xf numFmtId="0" fontId="16" fillId="2" borderId="0" xfId="1" applyFont="1" applyFill="1" applyAlignment="1">
      <alignment horizontal="left" vertical="center" wrapText="1" readingOrder="1"/>
    </xf>
    <xf numFmtId="0" fontId="16" fillId="2" borderId="0" xfId="1" applyFont="1" applyFill="1" applyAlignment="1">
      <alignment horizontal="right" vertical="center" wrapText="1" readingOrder="1"/>
    </xf>
    <xf numFmtId="165" fontId="15" fillId="2" borderId="1" xfId="0" applyNumberFormat="1" applyFont="1" applyFill="1" applyBorder="1" applyAlignment="1">
      <alignment horizontal="right" vertical="center" wrapText="1" readingOrder="1"/>
    </xf>
    <xf numFmtId="166" fontId="15" fillId="0" borderId="1" xfId="0" applyNumberFormat="1" applyFont="1" applyBorder="1" applyAlignment="1">
      <alignment horizontal="right" vertical="center" wrapText="1" readingOrder="1"/>
    </xf>
    <xf numFmtId="167" fontId="15" fillId="0" borderId="1" xfId="0" applyNumberFormat="1" applyFont="1" applyBorder="1" applyAlignment="1">
      <alignment horizontal="right" vertical="center" wrapText="1" readingOrder="1"/>
    </xf>
    <xf numFmtId="168" fontId="15" fillId="0" borderId="1" xfId="0" applyNumberFormat="1" applyFont="1" applyBorder="1" applyAlignment="1">
      <alignment horizontal="right" vertical="center" wrapText="1" readingOrder="1"/>
    </xf>
    <xf numFmtId="167" fontId="15" fillId="2" borderId="1" xfId="0" applyNumberFormat="1" applyFont="1" applyFill="1" applyBorder="1" applyAlignment="1">
      <alignment horizontal="right" vertical="center" wrapText="1" readingOrder="1"/>
    </xf>
    <xf numFmtId="166" fontId="15" fillId="2" borderId="1" xfId="0" applyNumberFormat="1" applyFont="1" applyFill="1" applyBorder="1" applyAlignment="1">
      <alignment horizontal="right" vertical="center" wrapText="1" readingOrder="1"/>
    </xf>
    <xf numFmtId="168" fontId="15" fillId="2" borderId="1" xfId="0" applyNumberFormat="1" applyFont="1" applyFill="1" applyBorder="1" applyAlignment="1">
      <alignment horizontal="right" vertical="center" wrapText="1" readingOrder="1"/>
    </xf>
    <xf numFmtId="0" fontId="16" fillId="2" borderId="0" xfId="0" applyFont="1" applyFill="1" applyAlignment="1">
      <alignment horizontal="left" vertical="center" wrapText="1" readingOrder="1"/>
    </xf>
    <xf numFmtId="0" fontId="17" fillId="2" borderId="1" xfId="0" applyFont="1" applyFill="1" applyBorder="1" applyAlignment="1">
      <alignment horizontal="left" vertical="center" wrapText="1" readingOrder="1"/>
    </xf>
    <xf numFmtId="0" fontId="16" fillId="2" borderId="3" xfId="0" applyFont="1" applyFill="1" applyBorder="1" applyAlignment="1">
      <alignment horizontal="right" vertical="center" wrapText="1" readingOrder="1"/>
    </xf>
    <xf numFmtId="0" fontId="16" fillId="2" borderId="0" xfId="0" applyFont="1" applyFill="1" applyAlignment="1">
      <alignment horizontal="right" vertical="center" wrapText="1" readingOrder="1"/>
    </xf>
    <xf numFmtId="0" fontId="5" fillId="0" borderId="1" xfId="0" applyFont="1" applyBorder="1" applyAlignment="1">
      <alignment horizontal="left" vertical="center" wrapText="1" readingOrder="1"/>
    </xf>
    <xf numFmtId="0" fontId="15" fillId="2" borderId="0" xfId="0" applyFont="1" applyFill="1" applyAlignment="1">
      <alignment horizontal="left" vertical="center" readingOrder="1"/>
    </xf>
    <xf numFmtId="0" fontId="16" fillId="0" borderId="0" xfId="0" applyFont="1" applyAlignment="1">
      <alignment horizontal="left" vertical="center" wrapText="1" readingOrder="1"/>
    </xf>
    <xf numFmtId="0" fontId="17" fillId="0" borderId="1" xfId="0" applyFont="1" applyBorder="1" applyAlignment="1">
      <alignment horizontal="left" vertical="center" wrapText="1" readingOrder="1"/>
    </xf>
    <xf numFmtId="0" fontId="16" fillId="0" borderId="3" xfId="0" applyFont="1" applyBorder="1" applyAlignment="1">
      <alignment horizontal="right" vertical="center" wrapText="1" readingOrder="1"/>
    </xf>
    <xf numFmtId="0" fontId="16" fillId="0" borderId="0" xfId="0" applyFont="1" applyAlignment="1">
      <alignment horizontal="right" vertical="center" wrapText="1" readingOrder="1"/>
    </xf>
    <xf numFmtId="2" fontId="7" fillId="2" borderId="2" xfId="0" applyNumberFormat="1" applyFont="1" applyFill="1" applyBorder="1" applyAlignment="1">
      <alignment horizontal="right" vertical="center" wrapText="1" readingOrder="1"/>
    </xf>
    <xf numFmtId="0" fontId="15" fillId="2" borderId="0" xfId="0" applyFont="1" applyFill="1" applyAlignment="1">
      <alignment horizontal="left" vertical="center" wrapText="1" readingOrder="1"/>
    </xf>
    <xf numFmtId="0" fontId="18" fillId="0" borderId="1" xfId="0" applyFont="1" applyBorder="1" applyAlignment="1">
      <alignment horizontal="left" vertical="center" wrapText="1" readingOrder="1"/>
    </xf>
    <xf numFmtId="0" fontId="18" fillId="0" borderId="1" xfId="0" applyFont="1" applyBorder="1" applyAlignment="1">
      <alignment horizontal="right" vertical="center" wrapText="1" readingOrder="1"/>
    </xf>
    <xf numFmtId="172" fontId="15" fillId="0" borderId="1" xfId="0" applyNumberFormat="1" applyFont="1" applyBorder="1" applyAlignment="1">
      <alignment horizontal="right" vertical="center" wrapText="1" readingOrder="1"/>
    </xf>
    <xf numFmtId="0" fontId="15" fillId="0" borderId="0" xfId="0" applyFont="1" applyAlignment="1">
      <alignment horizontal="right" vertical="top" wrapText="1" readingOrder="1"/>
    </xf>
    <xf numFmtId="0" fontId="15" fillId="2" borderId="0" xfId="0" applyFont="1" applyFill="1" applyAlignment="1">
      <alignment horizontal="right" vertical="top" wrapText="1" readingOrder="1"/>
    </xf>
    <xf numFmtId="0" fontId="18" fillId="2" borderId="1" xfId="0" applyFont="1" applyFill="1" applyBorder="1" applyAlignment="1">
      <alignment horizontal="left" vertical="center" wrapText="1" readingOrder="1"/>
    </xf>
    <xf numFmtId="0" fontId="18" fillId="2" borderId="1" xfId="0" applyFont="1" applyFill="1" applyBorder="1" applyAlignment="1">
      <alignment horizontal="right" vertical="center" wrapText="1" readingOrder="1"/>
    </xf>
    <xf numFmtId="172" fontId="15" fillId="2" borderId="1" xfId="0" applyNumberFormat="1" applyFont="1" applyFill="1" applyBorder="1" applyAlignment="1">
      <alignment horizontal="right" vertical="center" wrapText="1" readingOrder="1"/>
    </xf>
    <xf numFmtId="0" fontId="15" fillId="2" borderId="1" xfId="0" applyFont="1" applyFill="1" applyBorder="1" applyAlignment="1">
      <alignment horizontal="right" vertical="center" wrapText="1" readingOrder="1"/>
    </xf>
    <xf numFmtId="0" fontId="15" fillId="2" borderId="0" xfId="0" applyFont="1" applyFill="1" applyAlignment="1">
      <alignment horizontal="right" vertical="center" wrapText="1" readingOrder="1"/>
    </xf>
    <xf numFmtId="0" fontId="10" fillId="0" borderId="0" xfId="2">
      <alignment wrapText="1"/>
    </xf>
    <xf numFmtId="0" fontId="16" fillId="0" borderId="0" xfId="2" applyFont="1" applyAlignment="1">
      <alignment horizontal="left" vertical="center" wrapText="1" readingOrder="1"/>
    </xf>
    <xf numFmtId="0" fontId="16" fillId="0" borderId="0" xfId="2" applyFont="1" applyAlignment="1">
      <alignment horizontal="right" vertical="center" wrapText="1" readingOrder="1"/>
    </xf>
    <xf numFmtId="0" fontId="20" fillId="0" borderId="7" xfId="6" applyFont="1" applyBorder="1" applyAlignment="1">
      <alignment horizontal="center" vertical="center" wrapText="1" readingOrder="1"/>
    </xf>
    <xf numFmtId="0" fontId="2" fillId="0" borderId="0" xfId="6"/>
    <xf numFmtId="0" fontId="9" fillId="0" borderId="7" xfId="7" applyFont="1" applyBorder="1" applyAlignment="1">
      <alignment horizontal="center" vertical="center" wrapText="1"/>
    </xf>
    <xf numFmtId="0" fontId="20" fillId="0" borderId="7" xfId="0" applyFont="1" applyBorder="1" applyAlignment="1">
      <alignment horizontal="center" vertical="center" wrapText="1" readingOrder="1"/>
    </xf>
    <xf numFmtId="0" fontId="22" fillId="0" borderId="7" xfId="8" applyFont="1" applyBorder="1" applyProtection="1">
      <protection locked="0"/>
    </xf>
    <xf numFmtId="0" fontId="23" fillId="0" borderId="7" xfId="8" applyFont="1" applyBorder="1" applyAlignment="1" applyProtection="1">
      <alignment wrapText="1"/>
      <protection locked="0"/>
    </xf>
    <xf numFmtId="0" fontId="22" fillId="0" borderId="7" xfId="8" applyFont="1" applyBorder="1" applyAlignment="1">
      <alignment horizontal="right"/>
    </xf>
    <xf numFmtId="0" fontId="2" fillId="0" borderId="7" xfId="6" applyBorder="1"/>
    <xf numFmtId="0" fontId="22" fillId="0" borderId="7" xfId="8" applyFont="1" applyBorder="1" applyAlignment="1" applyProtection="1">
      <alignment wrapText="1"/>
      <protection locked="0"/>
    </xf>
    <xf numFmtId="175" fontId="22" fillId="0" borderId="7" xfId="8" applyNumberFormat="1" applyFont="1" applyBorder="1" applyProtection="1">
      <protection locked="0"/>
    </xf>
    <xf numFmtId="164" fontId="22" fillId="0" borderId="7" xfId="4" applyFont="1" applyFill="1" applyBorder="1" applyAlignment="1">
      <alignment horizontal="right"/>
    </xf>
    <xf numFmtId="10" fontId="22" fillId="0" borderId="7" xfId="8" applyNumberFormat="1" applyFont="1" applyBorder="1" applyAlignment="1">
      <alignment horizontal="right"/>
    </xf>
    <xf numFmtId="0" fontId="22" fillId="0" borderId="7" xfId="8" applyFont="1" applyBorder="1" applyAlignment="1">
      <alignment horizontal="center"/>
    </xf>
    <xf numFmtId="176" fontId="2" fillId="0" borderId="7" xfId="6" applyNumberFormat="1" applyBorder="1"/>
    <xf numFmtId="0" fontId="22" fillId="0" borderId="7" xfId="8" applyFont="1" applyBorder="1"/>
    <xf numFmtId="0" fontId="23" fillId="0" borderId="7" xfId="7" applyFont="1" applyBorder="1" applyAlignment="1">
      <alignment vertical="center" wrapText="1"/>
    </xf>
    <xf numFmtId="175" fontId="23" fillId="0" borderId="7" xfId="7" applyNumberFormat="1" applyFont="1" applyBorder="1" applyAlignment="1">
      <alignment vertical="center" wrapText="1"/>
    </xf>
    <xf numFmtId="43" fontId="23" fillId="0" borderId="7" xfId="9" applyFont="1" applyFill="1" applyBorder="1" applyAlignment="1">
      <alignment vertical="center" wrapText="1"/>
    </xf>
    <xf numFmtId="10" fontId="23" fillId="0" borderId="7" xfId="4" applyNumberFormat="1" applyFont="1" applyBorder="1" applyAlignment="1">
      <alignment horizontal="right" vertical="center"/>
    </xf>
    <xf numFmtId="10" fontId="2" fillId="0" borderId="7" xfId="6" applyNumberFormat="1" applyBorder="1"/>
    <xf numFmtId="43" fontId="22" fillId="0" borderId="7" xfId="9" applyFont="1" applyFill="1" applyBorder="1" applyAlignment="1">
      <alignment horizontal="right"/>
    </xf>
    <xf numFmtId="0" fontId="23" fillId="0" borderId="7" xfId="8" applyFont="1" applyBorder="1" applyProtection="1">
      <protection locked="0"/>
    </xf>
    <xf numFmtId="43" fontId="22" fillId="0" borderId="7" xfId="9" applyFont="1" applyFill="1" applyBorder="1" applyAlignment="1" applyProtection="1">
      <alignment horizontal="right"/>
      <protection locked="0"/>
    </xf>
    <xf numFmtId="0" fontId="22" fillId="0" borderId="7" xfId="6" applyFont="1" applyBorder="1"/>
    <xf numFmtId="43" fontId="22" fillId="0" borderId="7" xfId="9" applyFont="1" applyFill="1" applyBorder="1"/>
    <xf numFmtId="10" fontId="22" fillId="0" borderId="7" xfId="9" applyNumberFormat="1" applyFont="1" applyFill="1" applyBorder="1"/>
    <xf numFmtId="2" fontId="24" fillId="0" borderId="7" xfId="6" applyNumberFormat="1" applyFont="1" applyBorder="1"/>
    <xf numFmtId="2" fontId="22" fillId="0" borderId="7" xfId="8" applyNumberFormat="1" applyFont="1" applyBorder="1" applyAlignment="1">
      <alignment horizontal="right"/>
    </xf>
    <xf numFmtId="0" fontId="23" fillId="0" borderId="7" xfId="8" applyFont="1" applyBorder="1"/>
    <xf numFmtId="43" fontId="23" fillId="0" borderId="7" xfId="9" applyFont="1" applyFill="1" applyBorder="1" applyAlignment="1">
      <alignment horizontal="right"/>
    </xf>
    <xf numFmtId="164" fontId="2" fillId="0" borderId="7" xfId="6" applyNumberFormat="1" applyBorder="1"/>
    <xf numFmtId="10" fontId="23" fillId="0" borderId="7" xfId="8" applyNumberFormat="1" applyFont="1" applyBorder="1" applyAlignment="1">
      <alignment horizontal="right"/>
    </xf>
    <xf numFmtId="4" fontId="25" fillId="0" borderId="7" xfId="0" applyNumberFormat="1" applyFont="1" applyBorder="1" applyAlignment="1"/>
    <xf numFmtId="4" fontId="2" fillId="0" borderId="0" xfId="6" applyNumberFormat="1"/>
    <xf numFmtId="177" fontId="2" fillId="0" borderId="0" xfId="6" applyNumberFormat="1"/>
    <xf numFmtId="0" fontId="26" fillId="0" borderId="0" xfId="10" applyFont="1" applyAlignment="1">
      <alignment horizontal="left" vertical="center" wrapText="1"/>
    </xf>
    <xf numFmtId="0" fontId="27" fillId="0" borderId="0" xfId="10" applyFont="1" applyAlignment="1">
      <alignment vertical="center"/>
    </xf>
    <xf numFmtId="164" fontId="27" fillId="0" borderId="0" xfId="10" applyNumberFormat="1" applyFont="1" applyAlignment="1">
      <alignment vertical="center"/>
    </xf>
    <xf numFmtId="4" fontId="28" fillId="0" borderId="0" xfId="6" applyNumberFormat="1" applyFont="1"/>
    <xf numFmtId="2" fontId="27" fillId="0" borderId="0" xfId="10" applyNumberFormat="1" applyFont="1" applyAlignment="1">
      <alignment vertical="center"/>
    </xf>
    <xf numFmtId="0" fontId="22" fillId="0" borderId="0" xfId="11" applyFont="1" applyAlignment="1">
      <alignment vertical="center"/>
    </xf>
    <xf numFmtId="0" fontId="27" fillId="0" borderId="7" xfId="10" applyFont="1" applyBorder="1" applyAlignment="1">
      <alignment vertical="center"/>
    </xf>
    <xf numFmtId="0" fontId="23" fillId="0" borderId="7" xfId="11" applyFont="1" applyBorder="1" applyAlignment="1">
      <alignment horizontal="center" vertical="center"/>
    </xf>
    <xf numFmtId="0" fontId="26" fillId="0" borderId="0" xfId="10" applyFont="1" applyAlignment="1">
      <alignment vertical="center"/>
    </xf>
    <xf numFmtId="0" fontId="23" fillId="0" borderId="7" xfId="11" applyFont="1" applyBorder="1" applyAlignment="1">
      <alignment vertical="center"/>
    </xf>
    <xf numFmtId="14" fontId="8" fillId="0" borderId="7" xfId="6" applyNumberFormat="1" applyFont="1" applyBorder="1"/>
    <xf numFmtId="14" fontId="26" fillId="0" borderId="0" xfId="10" applyNumberFormat="1" applyFont="1" applyAlignment="1">
      <alignment horizontal="center"/>
    </xf>
    <xf numFmtId="0" fontId="24" fillId="0" borderId="0" xfId="6" applyFont="1"/>
    <xf numFmtId="0" fontId="27" fillId="0" borderId="7" xfId="10" applyFont="1" applyBorder="1" applyAlignment="1">
      <alignment horizontal="left" vertical="center"/>
    </xf>
    <xf numFmtId="178" fontId="24" fillId="0" borderId="7" xfId="6" applyNumberFormat="1" applyFont="1" applyBorder="1"/>
    <xf numFmtId="178" fontId="24" fillId="0" borderId="0" xfId="6" applyNumberFormat="1" applyFont="1"/>
    <xf numFmtId="10" fontId="24" fillId="0" borderId="0" xfId="6" applyNumberFormat="1" applyFont="1"/>
    <xf numFmtId="0" fontId="15" fillId="0" borderId="7" xfId="0" applyFont="1" applyBorder="1" applyAlignment="1">
      <alignment horizontal="left" vertical="center" wrapText="1" readingOrder="1"/>
    </xf>
    <xf numFmtId="0" fontId="15" fillId="0" borderId="0" xfId="0" applyFont="1" applyAlignment="1">
      <alignment vertical="center" readingOrder="1"/>
    </xf>
    <xf numFmtId="0" fontId="15" fillId="0" borderId="0" xfId="0" applyFont="1" applyAlignment="1">
      <alignment vertical="center" wrapText="1" readingOrder="1"/>
    </xf>
    <xf numFmtId="0" fontId="22" fillId="0" borderId="0" xfId="10" applyFont="1" applyAlignment="1">
      <alignment horizontal="center" vertical="center"/>
    </xf>
    <xf numFmtId="0" fontId="27" fillId="0" borderId="0" xfId="10" quotePrefix="1" applyFont="1" applyAlignment="1">
      <alignment vertical="center"/>
    </xf>
    <xf numFmtId="0" fontId="22" fillId="0" borderId="0" xfId="6" applyFont="1" applyAlignment="1">
      <alignment vertical="center" wrapText="1"/>
    </xf>
    <xf numFmtId="0" fontId="20" fillId="0" borderId="11" xfId="0" applyFont="1" applyBorder="1" applyAlignment="1">
      <alignment horizontal="center" vertical="center" wrapText="1" readingOrder="1"/>
    </xf>
    <xf numFmtId="0" fontId="24" fillId="0" borderId="0" xfId="0" applyFont="1" applyAlignment="1">
      <alignment vertical="center"/>
    </xf>
    <xf numFmtId="0" fontId="29" fillId="0" borderId="7" xfId="0" applyFont="1" applyBorder="1" applyAlignment="1">
      <alignment horizontal="center"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4" fillId="0" borderId="7" xfId="5" applyNumberFormat="1" applyFont="1" applyFill="1" applyBorder="1" applyAlignment="1">
      <alignment vertical="center"/>
    </xf>
    <xf numFmtId="4" fontId="22" fillId="0" borderId="7" xfId="0" applyNumberFormat="1" applyFont="1" applyBorder="1" applyAlignment="1">
      <alignment vertical="center"/>
    </xf>
    <xf numFmtId="0" fontId="29" fillId="0" borderId="7" xfId="12" applyFont="1" applyBorder="1" applyAlignment="1">
      <alignment horizontal="center" vertical="center"/>
    </xf>
    <xf numFmtId="0" fontId="29" fillId="0" borderId="0" xfId="12" applyFont="1" applyAlignment="1">
      <alignment horizontal="center" vertical="center"/>
    </xf>
    <xf numFmtId="0" fontId="10" fillId="0" borderId="0" xfId="2" applyAlignment="1">
      <alignment vertical="center" wrapText="1"/>
    </xf>
    <xf numFmtId="0" fontId="24" fillId="0" borderId="7" xfId="12" applyFont="1" applyBorder="1" applyAlignment="1">
      <alignment vertical="center"/>
    </xf>
    <xf numFmtId="0" fontId="24" fillId="0" borderId="7" xfId="12" applyFont="1" applyBorder="1" applyAlignment="1">
      <alignment vertical="center" wrapText="1"/>
    </xf>
    <xf numFmtId="0" fontId="24" fillId="0" borderId="0" xfId="12" applyFont="1" applyAlignment="1">
      <alignment horizontal="center" vertical="center"/>
    </xf>
    <xf numFmtId="0" fontId="29" fillId="0" borderId="7" xfId="12" applyFont="1" applyBorder="1" applyAlignment="1">
      <alignment horizontal="center" vertical="center" wrapText="1"/>
    </xf>
    <xf numFmtId="0" fontId="24" fillId="0" borderId="7" xfId="12" applyFont="1" applyBorder="1" applyAlignment="1">
      <alignment horizontal="left" vertical="center"/>
    </xf>
    <xf numFmtId="2" fontId="24" fillId="0" borderId="7" xfId="12" applyNumberFormat="1" applyFont="1" applyBorder="1" applyAlignment="1">
      <alignment horizontal="right" vertical="center" wrapText="1"/>
    </xf>
    <xf numFmtId="4" fontId="24" fillId="0" borderId="7" xfId="12" applyNumberFormat="1" applyFont="1" applyBorder="1" applyAlignment="1">
      <alignment horizontal="right" vertical="center"/>
    </xf>
    <xf numFmtId="10" fontId="24" fillId="0" borderId="7" xfId="5" applyNumberFormat="1" applyFont="1" applyFill="1" applyBorder="1" applyAlignment="1">
      <alignment vertical="center" wrapText="1"/>
    </xf>
    <xf numFmtId="0" fontId="24" fillId="0" borderId="0" xfId="0" applyFont="1" applyAlignment="1"/>
    <xf numFmtId="179" fontId="24" fillId="0" borderId="0" xfId="4" applyNumberFormat="1" applyFont="1" applyFill="1"/>
    <xf numFmtId="164" fontId="24" fillId="0" borderId="0" xfId="4" applyFont="1" applyFill="1"/>
    <xf numFmtId="179" fontId="24" fillId="0" borderId="0" xfId="4" applyNumberFormat="1" applyFont="1"/>
    <xf numFmtId="164" fontId="24" fillId="0" borderId="0" xfId="4" applyFont="1"/>
    <xf numFmtId="0" fontId="29" fillId="0" borderId="7" xfId="0" applyFont="1" applyBorder="1" applyAlignment="1">
      <alignment horizontal="left" wrapText="1"/>
    </xf>
    <xf numFmtId="0" fontId="29" fillId="0" borderId="7" xfId="0" applyFont="1" applyBorder="1" applyAlignment="1">
      <alignment horizontal="center" wrapText="1"/>
    </xf>
    <xf numFmtId="0" fontId="22" fillId="0" borderId="7" xfId="0" applyFont="1" applyBorder="1" applyAlignment="1">
      <alignment horizontal="left" vertical="center" wrapText="1"/>
    </xf>
    <xf numFmtId="0" fontId="22" fillId="0" borderId="7" xfId="0" applyFont="1" applyBorder="1" applyAlignment="1">
      <alignment horizontal="center" vertical="center"/>
    </xf>
    <xf numFmtId="4" fontId="22" fillId="0" borderId="7" xfId="13" applyNumberFormat="1" applyFont="1" applyFill="1" applyBorder="1" applyAlignment="1">
      <alignment horizontal="center" vertical="center"/>
    </xf>
    <xf numFmtId="10" fontId="22" fillId="0" borderId="7" xfId="13" applyNumberFormat="1" applyFont="1" applyFill="1" applyBorder="1" applyAlignment="1">
      <alignment horizontal="center" vertical="center"/>
    </xf>
    <xf numFmtId="4" fontId="22" fillId="0" borderId="7" xfId="0" applyNumberFormat="1" applyFont="1" applyBorder="1" applyAlignment="1">
      <alignment horizontal="center" vertical="center"/>
    </xf>
    <xf numFmtId="0" fontId="22" fillId="0" borderId="0" xfId="0" applyFont="1" applyAlignment="1"/>
    <xf numFmtId="0" fontId="22" fillId="0" borderId="7" xfId="0" applyFont="1" applyBorder="1" applyAlignment="1">
      <alignment horizontal="left" vertical="center"/>
    </xf>
    <xf numFmtId="164" fontId="22" fillId="0" borderId="7" xfId="13" applyFont="1" applyFill="1" applyBorder="1" applyAlignment="1">
      <alignment horizontal="right" vertical="center"/>
    </xf>
    <xf numFmtId="164" fontId="22" fillId="0" borderId="7" xfId="13" applyFont="1" applyFill="1" applyBorder="1" applyAlignment="1">
      <alignment horizontal="center" vertical="center"/>
    </xf>
    <xf numFmtId="4" fontId="22" fillId="0" borderId="7" xfId="0" applyNumberFormat="1" applyFont="1" applyBorder="1" applyAlignment="1">
      <alignment horizontal="right" vertical="center"/>
    </xf>
    <xf numFmtId="0" fontId="4" fillId="2" borderId="1" xfId="0" applyFont="1" applyFill="1" applyBorder="1" applyAlignment="1">
      <alignment horizontal="center" vertical="center" wrapText="1" readingOrder="1"/>
    </xf>
    <xf numFmtId="0" fontId="0" fillId="0" borderId="0" xfId="0" applyAlignment="1">
      <alignment horizontal="center" vertical="center" wrapText="1"/>
    </xf>
    <xf numFmtId="0" fontId="2" fillId="0" borderId="0" xfId="6" applyAlignment="1">
      <alignment horizontal="center" vertical="center"/>
    </xf>
    <xf numFmtId="0" fontId="22" fillId="0" borderId="7" xfId="0" applyFont="1" applyBorder="1" applyAlignment="1">
      <alignment horizontal="justify" vertical="center"/>
    </xf>
    <xf numFmtId="0" fontId="22" fillId="0" borderId="7" xfId="0" applyFont="1" applyBorder="1">
      <alignment wrapText="1"/>
    </xf>
    <xf numFmtId="0" fontId="22" fillId="0" borderId="7" xfId="0" applyFont="1" applyBorder="1" applyAlignment="1">
      <alignment horizontal="justify" vertical="center" wrapText="1"/>
    </xf>
    <xf numFmtId="174" fontId="17" fillId="2" borderId="1" xfId="0" applyNumberFormat="1" applyFont="1" applyFill="1" applyBorder="1" applyAlignment="1">
      <alignment horizontal="left" vertical="center" wrapText="1" readingOrder="1"/>
    </xf>
    <xf numFmtId="14" fontId="22" fillId="0" borderId="7" xfId="0" applyNumberFormat="1" applyFont="1" applyBorder="1" applyAlignment="1">
      <alignment horizontal="justify" vertical="center" wrapText="1"/>
    </xf>
    <xf numFmtId="0" fontId="15" fillId="2" borderId="7" xfId="0" applyFont="1" applyFill="1" applyBorder="1" applyAlignment="1">
      <alignment horizontal="left" vertical="center" wrapText="1" readingOrder="1"/>
    </xf>
    <xf numFmtId="0" fontId="32" fillId="4" borderId="0" xfId="3" applyFont="1" applyFill="1" applyBorder="1" applyAlignment="1">
      <alignment horizontal="center" vertical="center" wrapText="1"/>
    </xf>
    <xf numFmtId="0" fontId="0" fillId="0" borderId="0" xfId="0" applyAlignment="1">
      <alignment horizontal="center" wrapText="1"/>
    </xf>
    <xf numFmtId="0" fontId="8" fillId="0" borderId="0" xfId="0" applyFont="1" applyAlignment="1">
      <alignment horizontal="left" vertical="center"/>
    </xf>
    <xf numFmtId="0" fontId="0" fillId="0" borderId="0" xfId="0" applyAlignment="1"/>
    <xf numFmtId="0" fontId="10" fillId="0" borderId="0" xfId="2" applyAlignment="1">
      <alignment horizontal="center" vertical="center" wrapText="1"/>
    </xf>
    <xf numFmtId="0" fontId="10" fillId="0" borderId="0" xfId="0" applyFont="1">
      <alignment wrapText="1"/>
    </xf>
    <xf numFmtId="0" fontId="30" fillId="0" borderId="0" xfId="12" applyFont="1" applyAlignment="1">
      <alignment horizontal="center" vertical="center"/>
    </xf>
    <xf numFmtId="4" fontId="31" fillId="0" borderId="0" xfId="12" applyNumberFormat="1" applyFont="1"/>
    <xf numFmtId="0" fontId="33" fillId="0" borderId="0" xfId="0" applyFont="1" applyAlignment="1">
      <alignment vertical="center" wrapText="1"/>
    </xf>
    <xf numFmtId="0" fontId="8" fillId="0" borderId="0" xfId="0" applyFont="1" applyAlignment="1">
      <alignment horizontal="left" vertical="top"/>
    </xf>
    <xf numFmtId="0" fontId="34" fillId="0" borderId="0" xfId="0" applyFont="1">
      <alignment wrapText="1"/>
    </xf>
    <xf numFmtId="0" fontId="8" fillId="0" borderId="0" xfId="0" applyFont="1" applyAlignment="1">
      <alignment horizontal="left"/>
    </xf>
    <xf numFmtId="0" fontId="11" fillId="0" borderId="0" xfId="15" applyFont="1"/>
    <xf numFmtId="0" fontId="1" fillId="0" borderId="0" xfId="15" applyAlignment="1">
      <alignment vertical="center"/>
    </xf>
    <xf numFmtId="0" fontId="1" fillId="0" borderId="0" xfId="15"/>
    <xf numFmtId="0" fontId="1" fillId="0" borderId="0" xfId="15" applyAlignment="1">
      <alignment horizontal="center" vertical="center"/>
    </xf>
    <xf numFmtId="0" fontId="11" fillId="0" borderId="0" xfId="15" applyFont="1" applyAlignment="1">
      <alignment horizontal="center" vertical="center"/>
    </xf>
    <xf numFmtId="175" fontId="11" fillId="0" borderId="0" xfId="15" applyNumberFormat="1" applyFont="1" applyAlignment="1">
      <alignment horizontal="center" vertical="center"/>
    </xf>
    <xf numFmtId="0" fontId="9" fillId="0" borderId="0" xfId="0" applyFont="1" applyAlignment="1">
      <alignment horizontal="left" vertical="center"/>
    </xf>
    <xf numFmtId="0" fontId="23" fillId="0" borderId="0" xfId="0" applyFont="1" applyAlignment="1"/>
    <xf numFmtId="0" fontId="23" fillId="0" borderId="7" xfId="0" applyFont="1" applyBorder="1" applyAlignment="1">
      <alignment horizontal="center" vertical="top"/>
    </xf>
    <xf numFmtId="0" fontId="23" fillId="0" borderId="7" xfId="0" applyFont="1" applyBorder="1" applyAlignment="1">
      <alignment horizontal="center" vertical="top" wrapText="1"/>
    </xf>
    <xf numFmtId="0" fontId="22" fillId="0" borderId="7" xfId="0" applyFont="1" applyBorder="1" applyAlignment="1">
      <alignment horizontal="left" vertical="top"/>
    </xf>
    <xf numFmtId="0" fontId="22" fillId="0" borderId="7" xfId="0" applyFont="1" applyBorder="1" applyAlignment="1">
      <alignment horizontal="center" vertical="top"/>
    </xf>
    <xf numFmtId="174" fontId="15" fillId="2" borderId="1" xfId="0" applyNumberFormat="1" applyFont="1" applyFill="1" applyBorder="1" applyAlignment="1">
      <alignment vertical="center" readingOrder="1"/>
    </xf>
    <xf numFmtId="174" fontId="15" fillId="2" borderId="1" xfId="0" applyNumberFormat="1" applyFont="1" applyFill="1" applyBorder="1" applyAlignment="1">
      <alignment horizontal="right" vertical="center" readingOrder="1"/>
    </xf>
    <xf numFmtId="2" fontId="22" fillId="0" borderId="7" xfId="0" applyNumberFormat="1" applyFont="1" applyBorder="1" applyAlignment="1">
      <alignment horizontal="right" vertical="top" wrapText="1"/>
    </xf>
    <xf numFmtId="0" fontId="15" fillId="2" borderId="11" xfId="0" applyFont="1" applyFill="1" applyBorder="1" applyAlignment="1">
      <alignment horizontal="left" vertical="center" readingOrder="1"/>
    </xf>
    <xf numFmtId="0" fontId="15" fillId="2" borderId="1" xfId="0" applyFont="1" applyFill="1" applyBorder="1" applyAlignment="1">
      <alignment horizontal="left" vertical="center" readingOrder="1"/>
    </xf>
    <xf numFmtId="0" fontId="22" fillId="0" borderId="12" xfId="0" applyFont="1" applyBorder="1" applyAlignment="1">
      <alignment horizontal="left" vertical="top"/>
    </xf>
    <xf numFmtId="0" fontId="15" fillId="0" borderId="13" xfId="0" applyFont="1" applyBorder="1" applyAlignment="1">
      <alignment horizontal="left" vertical="center" readingOrder="1"/>
    </xf>
    <xf numFmtId="174" fontId="15" fillId="0" borderId="1" xfId="0" applyNumberFormat="1" applyFont="1" applyBorder="1" applyAlignment="1">
      <alignment horizontal="right" vertical="center" readingOrder="1"/>
    </xf>
    <xf numFmtId="0" fontId="15" fillId="0" borderId="0" xfId="0" applyFont="1" applyAlignment="1">
      <alignment horizontal="left" vertical="center" readingOrder="1"/>
    </xf>
    <xf numFmtId="0" fontId="15" fillId="2" borderId="8" xfId="0" applyFont="1" applyFill="1" applyBorder="1" applyAlignment="1">
      <alignment horizontal="left" vertical="center" readingOrder="1"/>
    </xf>
    <xf numFmtId="174" fontId="15" fillId="2" borderId="1" xfId="0" applyNumberFormat="1" applyFont="1" applyFill="1" applyBorder="1" applyAlignment="1">
      <alignment horizontal="right" vertical="center" wrapText="1" readingOrder="1"/>
    </xf>
    <xf numFmtId="2" fontId="22" fillId="0" borderId="14" xfId="0" applyNumberFormat="1" applyFont="1" applyBorder="1" applyAlignment="1">
      <alignment horizontal="right" vertical="top" wrapText="1"/>
    </xf>
    <xf numFmtId="0" fontId="15" fillId="2" borderId="1" xfId="0" applyFont="1" applyFill="1" applyBorder="1" applyAlignment="1">
      <alignment horizontal="left" vertical="top" readingOrder="1"/>
    </xf>
    <xf numFmtId="4" fontId="22" fillId="0" borderId="7" xfId="0" applyNumberFormat="1" applyFont="1" applyBorder="1" applyAlignment="1"/>
    <xf numFmtId="2" fontId="22" fillId="0" borderId="0" xfId="0" applyNumberFormat="1" applyFont="1" applyAlignment="1">
      <alignment horizontal="right" vertical="top" wrapText="1"/>
    </xf>
    <xf numFmtId="174" fontId="15" fillId="2" borderId="7" xfId="0" applyNumberFormat="1" applyFont="1" applyFill="1" applyBorder="1" applyAlignment="1">
      <alignment horizontal="right" vertical="center" wrapText="1" readingOrder="1"/>
    </xf>
    <xf numFmtId="174" fontId="15" fillId="2" borderId="7" xfId="0" applyNumberFormat="1" applyFont="1" applyFill="1" applyBorder="1" applyAlignment="1">
      <alignment horizontal="right" vertical="center" readingOrder="1"/>
    </xf>
    <xf numFmtId="0" fontId="15" fillId="2" borderId="7" xfId="0" applyFont="1" applyFill="1" applyBorder="1" applyAlignment="1">
      <alignment horizontal="left" vertical="center" readingOrder="1"/>
    </xf>
    <xf numFmtId="174" fontId="22" fillId="0" borderId="0" xfId="0" applyNumberFormat="1" applyFont="1" applyAlignment="1"/>
    <xf numFmtId="0" fontId="23" fillId="0" borderId="7" xfId="0" applyFont="1" applyBorder="1" applyAlignment="1">
      <alignment horizontal="center"/>
    </xf>
    <xf numFmtId="10" fontId="22" fillId="0" borderId="7" xfId="5" applyNumberFormat="1" applyFont="1" applyFill="1" applyBorder="1" applyAlignment="1">
      <alignment horizontal="center"/>
    </xf>
    <xf numFmtId="10" fontId="22" fillId="0" borderId="7" xfId="0" applyNumberFormat="1" applyFont="1" applyBorder="1" applyAlignment="1">
      <alignment horizontal="center"/>
    </xf>
    <xf numFmtId="0" fontId="22" fillId="0" borderId="7" xfId="0" applyFont="1" applyBorder="1" applyAlignment="1"/>
    <xf numFmtId="37" fontId="22" fillId="0" borderId="7" xfId="4" applyNumberFormat="1" applyFont="1" applyFill="1" applyBorder="1" applyAlignment="1">
      <alignment horizontal="center"/>
    </xf>
    <xf numFmtId="43" fontId="22" fillId="0" borderId="7" xfId="4" applyNumberFormat="1" applyFont="1" applyFill="1" applyBorder="1"/>
    <xf numFmtId="164" fontId="22" fillId="0" borderId="0" xfId="4" applyFont="1" applyFill="1" applyBorder="1"/>
    <xf numFmtId="43" fontId="22" fillId="0" borderId="0" xfId="0" applyNumberFormat="1" applyFont="1" applyAlignment="1"/>
    <xf numFmtId="4" fontId="22" fillId="0" borderId="0" xfId="0" applyNumberFormat="1" applyFont="1" applyAlignment="1"/>
    <xf numFmtId="0" fontId="22" fillId="0" borderId="7" xfId="4" applyNumberFormat="1" applyFont="1" applyFill="1" applyBorder="1" applyAlignment="1">
      <alignment horizontal="center"/>
    </xf>
    <xf numFmtId="4" fontId="22" fillId="0" borderId="7" xfId="4" applyNumberFormat="1" applyFont="1" applyFill="1" applyBorder="1"/>
    <xf numFmtId="0" fontId="22" fillId="0" borderId="7" xfId="0" applyFont="1" applyBorder="1" applyAlignment="1">
      <alignment horizontal="left" vertical="top" wrapText="1"/>
    </xf>
    <xf numFmtId="176" fontId="22" fillId="0" borderId="7" xfId="4" applyNumberFormat="1" applyFont="1" applyFill="1" applyBorder="1"/>
    <xf numFmtId="164" fontId="22" fillId="0" borderId="7" xfId="4" applyFont="1" applyFill="1" applyBorder="1"/>
    <xf numFmtId="180" fontId="22" fillId="0" borderId="0" xfId="0" applyNumberFormat="1" applyFont="1" applyAlignment="1"/>
    <xf numFmtId="164" fontId="22" fillId="0" borderId="7" xfId="4" applyFont="1" applyFill="1" applyBorder="1" applyAlignment="1"/>
    <xf numFmtId="0" fontId="22" fillId="0" borderId="0" xfId="0" applyFont="1" applyAlignment="1" applyProtection="1">
      <alignment horizontal="left"/>
      <protection locked="0"/>
    </xf>
    <xf numFmtId="0" fontId="22" fillId="0" borderId="0" xfId="0" applyFont="1" applyAlignment="1">
      <alignment horizontal="center" vertical="top"/>
    </xf>
    <xf numFmtId="164" fontId="22" fillId="0" borderId="0" xfId="4" applyFont="1" applyFill="1" applyBorder="1" applyAlignment="1" applyProtection="1">
      <alignment horizontal="left"/>
      <protection locked="0"/>
    </xf>
    <xf numFmtId="4" fontId="22" fillId="0" borderId="0" xfId="0" applyNumberFormat="1" applyFont="1" applyAlignment="1">
      <alignment horizontal="right" vertical="center"/>
    </xf>
    <xf numFmtId="2" fontId="22" fillId="0" borderId="7" xfId="0" applyNumberFormat="1" applyFont="1" applyBorder="1" applyAlignment="1">
      <alignment horizontal="center"/>
    </xf>
    <xf numFmtId="0" fontId="22" fillId="0" borderId="0" xfId="0" applyFont="1" applyAlignment="1">
      <alignment horizontal="left" vertical="top"/>
    </xf>
    <xf numFmtId="10" fontId="22" fillId="0" borderId="0" xfId="0" applyNumberFormat="1" applyFont="1" applyAlignment="1">
      <alignment horizontal="center"/>
    </xf>
    <xf numFmtId="164" fontId="22" fillId="0" borderId="7" xfId="4" applyFont="1" applyFill="1" applyBorder="1" applyAlignment="1">
      <alignment horizontal="center" vertical="top" wrapText="1"/>
    </xf>
    <xf numFmtId="0" fontId="22" fillId="0" borderId="7" xfId="0" applyFont="1" applyBorder="1" applyAlignment="1">
      <alignment horizontal="center"/>
    </xf>
    <xf numFmtId="2" fontId="22" fillId="0" borderId="7" xfId="0" applyNumberFormat="1" applyFont="1" applyBorder="1" applyAlignment="1">
      <alignment horizontal="right"/>
    </xf>
    <xf numFmtId="164" fontId="22" fillId="0" borderId="0" xfId="0" applyNumberFormat="1" applyFont="1" applyAlignment="1"/>
    <xf numFmtId="1" fontId="22" fillId="0" borderId="7" xfId="0" applyNumberFormat="1" applyFont="1" applyBorder="1" applyAlignment="1">
      <alignment horizontal="center"/>
    </xf>
    <xf numFmtId="164" fontId="23" fillId="0" borderId="0" xfId="4" applyFont="1" applyFill="1" applyBorder="1"/>
    <xf numFmtId="0" fontId="22" fillId="0" borderId="7" xfId="0" applyFont="1" applyBorder="1" applyAlignment="1">
      <alignment vertical="top" wrapText="1"/>
    </xf>
    <xf numFmtId="43" fontId="23" fillId="0" borderId="0" xfId="0" applyNumberFormat="1" applyFont="1" applyAlignment="1"/>
    <xf numFmtId="0" fontId="23" fillId="0" borderId="7" xfId="4" applyNumberFormat="1" applyFont="1" applyFill="1" applyBorder="1" applyAlignment="1">
      <alignment horizontal="center"/>
    </xf>
    <xf numFmtId="4" fontId="23" fillId="0" borderId="7" xfId="4" applyNumberFormat="1" applyFont="1" applyFill="1" applyBorder="1"/>
    <xf numFmtId="164" fontId="23" fillId="0" borderId="7" xfId="4" applyFont="1" applyFill="1" applyBorder="1" applyAlignment="1">
      <alignment horizontal="center" vertical="top" wrapText="1"/>
    </xf>
    <xf numFmtId="0" fontId="23" fillId="0" borderId="0" xfId="0" applyFont="1" applyAlignment="1">
      <alignment vertical="top" wrapText="1"/>
    </xf>
    <xf numFmtId="0" fontId="22" fillId="0" borderId="0" xfId="0" applyFont="1" applyAlignment="1">
      <alignment horizontal="center"/>
    </xf>
    <xf numFmtId="2" fontId="22" fillId="0" borderId="0" xfId="0" applyNumberFormat="1" applyFont="1" applyAlignment="1">
      <alignment horizontal="right"/>
    </xf>
    <xf numFmtId="0" fontId="22" fillId="0" borderId="0" xfId="0" applyFont="1" applyAlignment="1">
      <alignment horizontal="right" vertical="top" wrapText="1"/>
    </xf>
    <xf numFmtId="0" fontId="22" fillId="0" borderId="7" xfId="0" applyFont="1" applyBorder="1" applyAlignment="1">
      <alignment horizontal="center" vertical="top" wrapText="1"/>
    </xf>
    <xf numFmtId="181" fontId="22" fillId="0" borderId="0" xfId="0" applyNumberFormat="1" applyFont="1" applyAlignment="1">
      <alignment horizontal="right" vertical="top" wrapText="1"/>
    </xf>
    <xf numFmtId="2" fontId="22" fillId="0" borderId="0" xfId="0" applyNumberFormat="1" applyFont="1" applyAlignment="1">
      <alignment horizontal="center"/>
    </xf>
    <xf numFmtId="0" fontId="22" fillId="0" borderId="7" xfId="0" applyFont="1" applyBorder="1" applyAlignment="1">
      <alignment horizontal="left"/>
    </xf>
    <xf numFmtId="2" fontId="22" fillId="0" borderId="7" xfId="0" applyNumberFormat="1" applyFont="1" applyBorder="1" applyAlignment="1">
      <alignment horizontal="center" vertical="top" wrapText="1"/>
    </xf>
    <xf numFmtId="0" fontId="22" fillId="0" borderId="0" xfId="0" applyFont="1" applyAlignment="1">
      <alignment horizontal="left"/>
    </xf>
    <xf numFmtId="0" fontId="22" fillId="0" borderId="0" xfId="0" applyFont="1" applyAlignment="1">
      <alignment horizontal="right" vertical="top"/>
    </xf>
    <xf numFmtId="2" fontId="22" fillId="0" borderId="0" xfId="0" applyNumberFormat="1" applyFont="1" applyAlignment="1">
      <alignment horizontal="right" vertical="top"/>
    </xf>
    <xf numFmtId="182" fontId="22" fillId="0" borderId="0" xfId="4" applyNumberFormat="1" applyFont="1" applyFill="1" applyBorder="1" applyAlignment="1">
      <alignment horizontal="center" vertical="top" wrapText="1"/>
    </xf>
    <xf numFmtId="0" fontId="22" fillId="0" borderId="0" xfId="0" applyFont="1" applyAlignment="1">
      <alignment horizontal="left" vertical="top" wrapText="1"/>
    </xf>
    <xf numFmtId="179" fontId="22" fillId="0" borderId="0" xfId="4" applyNumberFormat="1" applyFont="1" applyFill="1" applyBorder="1" applyAlignment="1">
      <alignment horizontal="right" vertical="top" wrapText="1"/>
    </xf>
    <xf numFmtId="2" fontId="22" fillId="0" borderId="0" xfId="0" applyNumberFormat="1" applyFont="1" applyAlignment="1"/>
    <xf numFmtId="4" fontId="22" fillId="0" borderId="0" xfId="4" applyNumberFormat="1" applyFont="1" applyFill="1" applyBorder="1"/>
    <xf numFmtId="2" fontId="22" fillId="0" borderId="7" xfId="0" applyNumberFormat="1" applyFont="1" applyBorder="1" applyAlignment="1">
      <alignment vertical="top" wrapText="1"/>
    </xf>
    <xf numFmtId="4" fontId="22" fillId="0" borderId="7" xfId="0" applyNumberFormat="1" applyFont="1" applyBorder="1" applyAlignment="1">
      <alignment horizontal="center"/>
    </xf>
    <xf numFmtId="4" fontId="22" fillId="0" borderId="7" xfId="4" applyNumberFormat="1" applyFont="1" applyFill="1" applyBorder="1" applyAlignment="1">
      <alignment horizontal="center"/>
    </xf>
    <xf numFmtId="4" fontId="23" fillId="0" borderId="7" xfId="0" applyNumberFormat="1" applyFont="1" applyBorder="1" applyAlignment="1">
      <alignment horizontal="center" vertical="top" wrapText="1"/>
    </xf>
    <xf numFmtId="4" fontId="22" fillId="0" borderId="7" xfId="0" applyNumberFormat="1" applyFont="1" applyBorder="1" applyAlignment="1">
      <alignment horizontal="center" vertical="top" wrapText="1"/>
    </xf>
    <xf numFmtId="0" fontId="21" fillId="0" borderId="7" xfId="0" applyFont="1" applyBorder="1" applyAlignment="1">
      <alignment horizontal="center" vertical="center" wrapText="1" readingOrder="1"/>
    </xf>
    <xf numFmtId="0" fontId="21" fillId="0" borderId="8" xfId="0" applyFont="1" applyBorder="1" applyAlignment="1">
      <alignment horizontal="center" vertical="center" readingOrder="1"/>
    </xf>
    <xf numFmtId="0" fontId="21" fillId="0" borderId="9" xfId="0" applyFont="1" applyBorder="1" applyAlignment="1">
      <alignment horizontal="center" vertical="center" readingOrder="1"/>
    </xf>
    <xf numFmtId="0" fontId="21" fillId="0" borderId="10" xfId="0" applyFont="1" applyBorder="1" applyAlignment="1">
      <alignment horizontal="center" vertical="center" readingOrder="1"/>
    </xf>
    <xf numFmtId="0" fontId="9" fillId="0" borderId="0" xfId="14" applyFont="1" applyAlignment="1">
      <alignment horizontal="center" vertical="center" wrapText="1"/>
    </xf>
    <xf numFmtId="0" fontId="5" fillId="2" borderId="4" xfId="0" applyFont="1" applyFill="1" applyBorder="1" applyAlignment="1">
      <alignment horizontal="left" vertical="center" wrapText="1" readingOrder="1"/>
    </xf>
    <xf numFmtId="0" fontId="5" fillId="2" borderId="6" xfId="0" applyFont="1" applyFill="1" applyBorder="1" applyAlignment="1">
      <alignment horizontal="left" vertical="center" wrapText="1" readingOrder="1"/>
    </xf>
    <xf numFmtId="0" fontId="5" fillId="2" borderId="0" xfId="0" applyFont="1" applyFill="1" applyAlignment="1">
      <alignment horizontal="left" vertical="center" wrapText="1" readingOrder="1"/>
    </xf>
    <xf numFmtId="0" fontId="6" fillId="2" borderId="4" xfId="0" applyFont="1" applyFill="1" applyBorder="1" applyAlignment="1">
      <alignment horizontal="left" vertical="center" wrapText="1" readingOrder="1"/>
    </xf>
    <xf numFmtId="0" fontId="6" fillId="2" borderId="6" xfId="0" applyFont="1" applyFill="1" applyBorder="1" applyAlignment="1">
      <alignment horizontal="left" vertical="center" wrapText="1" readingOrder="1"/>
    </xf>
    <xf numFmtId="0" fontId="15" fillId="2" borderId="4" xfId="0" applyFont="1" applyFill="1" applyBorder="1" applyAlignment="1">
      <alignment horizontal="left" vertical="center" wrapText="1" readingOrder="1"/>
    </xf>
    <xf numFmtId="0" fontId="15" fillId="2" borderId="6" xfId="0" applyFont="1" applyFill="1" applyBorder="1" applyAlignment="1">
      <alignment horizontal="left" vertical="center" wrapText="1" readingOrder="1"/>
    </xf>
    <xf numFmtId="0" fontId="15" fillId="2" borderId="8" xfId="0" applyFont="1" applyFill="1" applyBorder="1" applyAlignment="1">
      <alignment horizontal="left" vertical="center" wrapText="1" readingOrder="1"/>
    </xf>
    <xf numFmtId="0" fontId="15" fillId="2" borderId="9" xfId="0" applyFont="1" applyFill="1" applyBorder="1" applyAlignment="1">
      <alignment horizontal="left" vertical="center" wrapText="1" readingOrder="1"/>
    </xf>
    <xf numFmtId="0" fontId="15" fillId="2" borderId="10" xfId="0" applyFont="1" applyFill="1" applyBorder="1" applyAlignment="1">
      <alignment horizontal="left" vertical="center" wrapText="1" readingOrder="1"/>
    </xf>
    <xf numFmtId="0" fontId="21" fillId="0" borderId="7" xfId="0" applyFont="1" applyBorder="1" applyAlignment="1">
      <alignment horizontal="center" vertical="center" readingOrder="1"/>
    </xf>
    <xf numFmtId="0" fontId="29" fillId="0" borderId="8" xfId="12" applyFont="1" applyBorder="1" applyAlignment="1">
      <alignment horizontal="center" vertical="center" wrapText="1"/>
    </xf>
    <xf numFmtId="0" fontId="29" fillId="0" borderId="10" xfId="12" applyFont="1" applyBorder="1" applyAlignment="1">
      <alignment horizontal="center" vertical="center" wrapText="1"/>
    </xf>
    <xf numFmtId="0" fontId="29" fillId="0" borderId="7" xfId="12" applyFont="1" applyBorder="1" applyAlignment="1">
      <alignment horizontal="center" vertical="center"/>
    </xf>
    <xf numFmtId="0" fontId="15" fillId="0" borderId="4" xfId="0" applyFont="1" applyBorder="1" applyAlignment="1">
      <alignment horizontal="left" vertical="center" wrapText="1" readingOrder="1"/>
    </xf>
    <xf numFmtId="0" fontId="15" fillId="0" borderId="6" xfId="0" applyFont="1" applyBorder="1" applyAlignment="1">
      <alignment horizontal="left" vertical="center" wrapText="1" readingOrder="1"/>
    </xf>
    <xf numFmtId="0" fontId="15" fillId="0" borderId="0" xfId="0" applyFont="1" applyAlignment="1">
      <alignment horizontal="left" vertical="center" wrapText="1" readingOrder="1"/>
    </xf>
    <xf numFmtId="0" fontId="6" fillId="2" borderId="5" xfId="0" applyFont="1" applyFill="1" applyBorder="1" applyAlignment="1">
      <alignment horizontal="left" vertical="center" wrapText="1" readingOrder="1"/>
    </xf>
    <xf numFmtId="0" fontId="15" fillId="2" borderId="7" xfId="0" applyFont="1" applyFill="1" applyBorder="1" applyAlignment="1">
      <alignment horizontal="left" vertical="center" wrapText="1" readingOrder="1"/>
    </xf>
    <xf numFmtId="0" fontId="23" fillId="0" borderId="8" xfId="0" applyFont="1" applyBorder="1" applyAlignment="1">
      <alignment horizontal="center" vertical="center"/>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9" fillId="0" borderId="8" xfId="12" applyFont="1" applyBorder="1" applyAlignment="1">
      <alignment horizontal="center" vertical="center"/>
    </xf>
    <xf numFmtId="0" fontId="29" fillId="0" borderId="9" xfId="12" applyFont="1" applyBorder="1" applyAlignment="1">
      <alignment horizontal="center" vertical="center"/>
    </xf>
    <xf numFmtId="0" fontId="29" fillId="0" borderId="10" xfId="12" applyFont="1" applyBorder="1" applyAlignment="1">
      <alignment horizontal="center" vertical="center"/>
    </xf>
    <xf numFmtId="0" fontId="24" fillId="0" borderId="8" xfId="12" applyFont="1" applyBorder="1" applyAlignment="1">
      <alignment horizontal="left" vertical="center" wrapText="1"/>
    </xf>
    <xf numFmtId="0" fontId="24" fillId="0" borderId="9" xfId="12" applyFont="1" applyBorder="1" applyAlignment="1">
      <alignment horizontal="left" vertical="center" wrapText="1"/>
    </xf>
    <xf numFmtId="0" fontId="24" fillId="0" borderId="10" xfId="12" applyFont="1" applyBorder="1" applyAlignment="1">
      <alignment horizontal="left" vertical="center" wrapText="1"/>
    </xf>
    <xf numFmtId="0" fontId="24" fillId="0" borderId="8" xfId="4" applyNumberFormat="1" applyFont="1" applyFill="1" applyBorder="1" applyAlignment="1">
      <alignment horizontal="center" vertical="center"/>
    </xf>
    <xf numFmtId="0" fontId="24" fillId="0" borderId="10" xfId="4" applyNumberFormat="1" applyFont="1" applyFill="1" applyBorder="1" applyAlignment="1">
      <alignment horizontal="center" vertical="center"/>
    </xf>
    <xf numFmtId="0" fontId="15" fillId="0" borderId="0" xfId="2" applyFont="1" applyAlignment="1">
      <alignment horizontal="left" vertical="center" wrapText="1" readingOrder="1"/>
    </xf>
    <xf numFmtId="0" fontId="21" fillId="2" borderId="8" xfId="0" applyFont="1" applyFill="1" applyBorder="1" applyAlignment="1">
      <alignment horizontal="center" vertical="center" readingOrder="1"/>
    </xf>
    <xf numFmtId="0" fontId="21" fillId="2" borderId="9" xfId="0" applyFont="1" applyFill="1" applyBorder="1" applyAlignment="1">
      <alignment horizontal="center" vertical="center" readingOrder="1"/>
    </xf>
    <xf numFmtId="0" fontId="21" fillId="2" borderId="10" xfId="0" applyFont="1" applyFill="1" applyBorder="1" applyAlignment="1">
      <alignment horizontal="center" vertical="center" readingOrder="1"/>
    </xf>
    <xf numFmtId="0" fontId="15" fillId="2" borderId="0" xfId="0" applyFont="1" applyFill="1" applyAlignment="1">
      <alignment horizontal="left" vertical="center" wrapText="1" readingOrder="1"/>
    </xf>
    <xf numFmtId="0" fontId="15" fillId="2" borderId="0" xfId="2" applyFont="1" applyFill="1" applyAlignment="1">
      <alignment horizontal="left" vertical="center" wrapText="1" readingOrder="1"/>
    </xf>
    <xf numFmtId="0" fontId="27" fillId="0" borderId="0" xfId="10" applyFont="1" applyAlignment="1">
      <alignment horizontal="left" vertical="center"/>
    </xf>
    <xf numFmtId="0" fontId="24" fillId="0" borderId="0" xfId="6" applyFont="1" applyAlignment="1">
      <alignment horizontal="left"/>
    </xf>
    <xf numFmtId="0" fontId="8" fillId="0" borderId="7" xfId="6" applyFont="1" applyBorder="1" applyAlignment="1">
      <alignment horizontal="center"/>
    </xf>
    <xf numFmtId="0" fontId="9" fillId="0" borderId="7" xfId="7" applyFont="1" applyBorder="1" applyAlignment="1">
      <alignment horizontal="center" vertical="center"/>
    </xf>
    <xf numFmtId="0" fontId="20" fillId="3" borderId="7" xfId="7" applyFont="1" applyFill="1" applyBorder="1" applyAlignment="1">
      <alignment horizontal="center" vertical="center" wrapText="1"/>
    </xf>
    <xf numFmtId="0" fontId="27" fillId="0" borderId="8" xfId="10" applyFont="1" applyBorder="1" applyAlignment="1">
      <alignment horizontal="left" vertical="center"/>
    </xf>
    <xf numFmtId="0" fontId="27" fillId="0" borderId="9" xfId="10" applyFont="1" applyBorder="1" applyAlignment="1">
      <alignment horizontal="left" vertical="center"/>
    </xf>
    <xf numFmtId="0" fontId="27" fillId="0" borderId="10" xfId="10" applyFont="1" applyBorder="1" applyAlignment="1">
      <alignment horizontal="left" vertical="center"/>
    </xf>
    <xf numFmtId="0" fontId="27" fillId="0" borderId="0" xfId="10" applyFont="1" applyAlignment="1">
      <alignment horizontal="left"/>
    </xf>
    <xf numFmtId="0" fontId="23" fillId="0" borderId="0" xfId="0" applyFont="1" applyAlignment="1">
      <alignment horizontal="center"/>
    </xf>
  </cellXfs>
  <cellStyles count="16">
    <cellStyle name="Comma" xfId="4" builtinId="3"/>
    <cellStyle name="Comma 10" xfId="9" xr:uid="{F9EDB88E-6BCE-4590-89DA-0512278CB3F2}"/>
    <cellStyle name="Comma 2" xfId="13" xr:uid="{84D12442-50F3-4045-9EC2-B0268D13EC92}"/>
    <cellStyle name="Hyperlink 2" xfId="3" xr:uid="{0E37035A-55EA-4C84-AD3D-608FD30A8E7F}"/>
    <cellStyle name="Normal" xfId="0" builtinId="0"/>
    <cellStyle name="Normal 2" xfId="2" xr:uid="{04C02CC7-209D-435A-B90A-D59505627FC4}"/>
    <cellStyle name="Normal 2 2" xfId="8" xr:uid="{86D5E634-2537-44DA-A64F-D530A7213002}"/>
    <cellStyle name="Normal 2 2 3" xfId="12" xr:uid="{E8F0BDC0-68D4-4961-B43D-7A54B292A061}"/>
    <cellStyle name="Normal 2 2 3 2" xfId="1" xr:uid="{69E2C469-551C-497B-A921-A2180C80110F}"/>
    <cellStyle name="Normal 3" xfId="14" xr:uid="{1B50659D-65F9-4B67-9A62-E054337A00A5}"/>
    <cellStyle name="Normal 4" xfId="6" xr:uid="{1E0DC103-54D7-4B1A-92A9-8E2D2DC33F76}"/>
    <cellStyle name="Normal 4 2" xfId="15" xr:uid="{52C0D0E6-B269-4F6C-97FE-4E2FCFCED3AC}"/>
    <cellStyle name="Normal_Bonsaverportfolio 2 2" xfId="7" xr:uid="{8BBDB84F-7E1E-4BC0-A9F4-D9A95ED82CBC}"/>
    <cellStyle name="Normal_Halfyearly_Debtholdings_30092011 2" xfId="10" xr:uid="{041E2FDE-808A-48C6-8F71-3D2824849DAA}"/>
    <cellStyle name="Normal_Holdingotherschemes new" xfId="11" xr:uid="{C843CB06-A8F2-48DB-81B0-6AA76438A006}"/>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76200</xdr:rowOff>
    </xdr:to>
    <xdr:pic>
      <xdr:nvPicPr>
        <xdr:cNvPr id="2" name="Picture 1">
          <a:extLst>
            <a:ext uri="{FF2B5EF4-FFF2-40B4-BE49-F238E27FC236}">
              <a16:creationId xmlns:a16="http://schemas.microsoft.com/office/drawing/2014/main" id="{CB647C9E-7276-4880-9662-88BF95E75855}"/>
            </a:ext>
          </a:extLst>
        </xdr:cNvPr>
        <xdr:cNvPicPr>
          <a:picLocks noChangeAspect="1"/>
        </xdr:cNvPicPr>
      </xdr:nvPicPr>
      <xdr:blipFill>
        <a:blip xmlns:r="http://schemas.openxmlformats.org/officeDocument/2006/relationships" r:embed="rId1"/>
        <a:stretch>
          <a:fillRect/>
        </a:stretch>
      </xdr:blipFill>
      <xdr:spPr>
        <a:xfrm>
          <a:off x="10172700" y="466725"/>
          <a:ext cx="3283942" cy="2009775"/>
        </a:xfrm>
        <a:prstGeom prst="rect">
          <a:avLst/>
        </a:prstGeom>
      </xdr:spPr>
    </xdr:pic>
    <xdr:clientData/>
  </xdr:twoCellAnchor>
  <xdr:twoCellAnchor editAs="oneCell">
    <xdr:from>
      <xdr:col>8</xdr:col>
      <xdr:colOff>542925</xdr:colOff>
      <xdr:row>12</xdr:row>
      <xdr:rowOff>114300</xdr:rowOff>
    </xdr:from>
    <xdr:to>
      <xdr:col>14</xdr:col>
      <xdr:colOff>266700</xdr:colOff>
      <xdr:row>19</xdr:row>
      <xdr:rowOff>361950</xdr:rowOff>
    </xdr:to>
    <xdr:pic>
      <xdr:nvPicPr>
        <xdr:cNvPr id="3" name="Picture 2">
          <a:extLst>
            <a:ext uri="{FF2B5EF4-FFF2-40B4-BE49-F238E27FC236}">
              <a16:creationId xmlns:a16="http://schemas.microsoft.com/office/drawing/2014/main" id="{71615B25-D7BA-4090-982F-6B03325FD9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676275</xdr:colOff>
      <xdr:row>2</xdr:row>
      <xdr:rowOff>114300</xdr:rowOff>
    </xdr:from>
    <xdr:to>
      <xdr:col>14</xdr:col>
      <xdr:colOff>152400</xdr:colOff>
      <xdr:row>10</xdr:row>
      <xdr:rowOff>161925</xdr:rowOff>
    </xdr:to>
    <xdr:pic>
      <xdr:nvPicPr>
        <xdr:cNvPr id="2" name="Picture 1">
          <a:extLst>
            <a:ext uri="{FF2B5EF4-FFF2-40B4-BE49-F238E27FC236}">
              <a16:creationId xmlns:a16="http://schemas.microsoft.com/office/drawing/2014/main" id="{489E616D-AC66-4CA2-9B23-29A70BE85E52}"/>
            </a:ext>
          </a:extLst>
        </xdr:cNvPr>
        <xdr:cNvPicPr>
          <a:picLocks noChangeAspect="1"/>
        </xdr:cNvPicPr>
      </xdr:nvPicPr>
      <xdr:blipFill>
        <a:blip xmlns:r="http://schemas.openxmlformats.org/officeDocument/2006/relationships" r:embed="rId1"/>
        <a:stretch>
          <a:fillRect/>
        </a:stretch>
      </xdr:blipFill>
      <xdr:spPr>
        <a:xfrm>
          <a:off x="10239375" y="552450"/>
          <a:ext cx="3362325" cy="2009775"/>
        </a:xfrm>
        <a:prstGeom prst="rect">
          <a:avLst/>
        </a:prstGeom>
      </xdr:spPr>
    </xdr:pic>
    <xdr:clientData/>
  </xdr:twoCellAnchor>
  <xdr:twoCellAnchor editAs="oneCell">
    <xdr:from>
      <xdr:col>8</xdr:col>
      <xdr:colOff>647702</xdr:colOff>
      <xdr:row>13</xdr:row>
      <xdr:rowOff>0</xdr:rowOff>
    </xdr:from>
    <xdr:to>
      <xdr:col>14</xdr:col>
      <xdr:colOff>161925</xdr:colOff>
      <xdr:row>19</xdr:row>
      <xdr:rowOff>28575</xdr:rowOff>
    </xdr:to>
    <xdr:pic>
      <xdr:nvPicPr>
        <xdr:cNvPr id="3" name="Picture 2">
          <a:extLst>
            <a:ext uri="{FF2B5EF4-FFF2-40B4-BE49-F238E27FC236}">
              <a16:creationId xmlns:a16="http://schemas.microsoft.com/office/drawing/2014/main" id="{372278FE-BA69-408E-84F0-90132EA2EE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2" y="3028950"/>
          <a:ext cx="3400423"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666753</xdr:colOff>
      <xdr:row>21</xdr:row>
      <xdr:rowOff>1</xdr:rowOff>
    </xdr:from>
    <xdr:to>
      <xdr:col>14</xdr:col>
      <xdr:colOff>247650</xdr:colOff>
      <xdr:row>28</xdr:row>
      <xdr:rowOff>27769</xdr:rowOff>
    </xdr:to>
    <xdr:pic>
      <xdr:nvPicPr>
        <xdr:cNvPr id="4" name="Picture 3">
          <a:extLst>
            <a:ext uri="{FF2B5EF4-FFF2-40B4-BE49-F238E27FC236}">
              <a16:creationId xmlns:a16="http://schemas.microsoft.com/office/drawing/2014/main" id="{0F9A1210-9EEF-4B1E-94B7-2DCCC8A27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9853" y="5467351"/>
          <a:ext cx="3467097" cy="1799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552450</xdr:colOff>
      <xdr:row>2</xdr:row>
      <xdr:rowOff>123825</xdr:rowOff>
    </xdr:from>
    <xdr:to>
      <xdr:col>14</xdr:col>
      <xdr:colOff>123825</xdr:colOff>
      <xdr:row>10</xdr:row>
      <xdr:rowOff>171450</xdr:rowOff>
    </xdr:to>
    <xdr:pic>
      <xdr:nvPicPr>
        <xdr:cNvPr id="2" name="Picture 1">
          <a:extLst>
            <a:ext uri="{FF2B5EF4-FFF2-40B4-BE49-F238E27FC236}">
              <a16:creationId xmlns:a16="http://schemas.microsoft.com/office/drawing/2014/main" id="{B38A6956-3EA5-449C-B4B1-41211A637CD6}"/>
            </a:ext>
          </a:extLst>
        </xdr:cNvPr>
        <xdr:cNvPicPr>
          <a:picLocks noChangeAspect="1"/>
        </xdr:cNvPicPr>
      </xdr:nvPicPr>
      <xdr:blipFill>
        <a:blip xmlns:r="http://schemas.openxmlformats.org/officeDocument/2006/relationships" r:embed="rId1"/>
        <a:stretch>
          <a:fillRect/>
        </a:stretch>
      </xdr:blipFill>
      <xdr:spPr>
        <a:xfrm>
          <a:off x="10115550" y="561975"/>
          <a:ext cx="3228975" cy="2009775"/>
        </a:xfrm>
        <a:prstGeom prst="rect">
          <a:avLst/>
        </a:prstGeom>
      </xdr:spPr>
    </xdr:pic>
    <xdr:clientData/>
  </xdr:twoCellAnchor>
  <xdr:twoCellAnchor editAs="oneCell">
    <xdr:from>
      <xdr:col>8</xdr:col>
      <xdr:colOff>485775</xdr:colOff>
      <xdr:row>13</xdr:row>
      <xdr:rowOff>76200</xdr:rowOff>
    </xdr:from>
    <xdr:to>
      <xdr:col>14</xdr:col>
      <xdr:colOff>76200</xdr:colOff>
      <xdr:row>20</xdr:row>
      <xdr:rowOff>28575</xdr:rowOff>
    </xdr:to>
    <xdr:pic>
      <xdr:nvPicPr>
        <xdr:cNvPr id="3" name="Picture 2">
          <a:extLst>
            <a:ext uri="{FF2B5EF4-FFF2-40B4-BE49-F238E27FC236}">
              <a16:creationId xmlns:a16="http://schemas.microsoft.com/office/drawing/2014/main" id="{4C5FC8FD-9F28-4976-B3EE-30BA946A6C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257550"/>
          <a:ext cx="32480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552450</xdr:colOff>
      <xdr:row>2</xdr:row>
      <xdr:rowOff>76200</xdr:rowOff>
    </xdr:from>
    <xdr:to>
      <xdr:col>14</xdr:col>
      <xdr:colOff>178792</xdr:colOff>
      <xdr:row>10</xdr:row>
      <xdr:rowOff>123825</xdr:rowOff>
    </xdr:to>
    <xdr:pic>
      <xdr:nvPicPr>
        <xdr:cNvPr id="2" name="Picture 1">
          <a:extLst>
            <a:ext uri="{FF2B5EF4-FFF2-40B4-BE49-F238E27FC236}">
              <a16:creationId xmlns:a16="http://schemas.microsoft.com/office/drawing/2014/main" id="{214FFDE1-BC6A-4A74-87A5-DAB51F1ECCF9}"/>
            </a:ext>
          </a:extLst>
        </xdr:cNvPr>
        <xdr:cNvPicPr>
          <a:picLocks noChangeAspect="1"/>
        </xdr:cNvPicPr>
      </xdr:nvPicPr>
      <xdr:blipFill>
        <a:blip xmlns:r="http://schemas.openxmlformats.org/officeDocument/2006/relationships" r:embed="rId1"/>
        <a:stretch>
          <a:fillRect/>
        </a:stretch>
      </xdr:blipFill>
      <xdr:spPr>
        <a:xfrm>
          <a:off x="10115550" y="514350"/>
          <a:ext cx="3283942" cy="2009775"/>
        </a:xfrm>
        <a:prstGeom prst="rect">
          <a:avLst/>
        </a:prstGeom>
      </xdr:spPr>
    </xdr:pic>
    <xdr:clientData/>
  </xdr:twoCellAnchor>
  <xdr:twoCellAnchor editAs="oneCell">
    <xdr:from>
      <xdr:col>8</xdr:col>
      <xdr:colOff>514350</xdr:colOff>
      <xdr:row>13</xdr:row>
      <xdr:rowOff>28576</xdr:rowOff>
    </xdr:from>
    <xdr:to>
      <xdr:col>14</xdr:col>
      <xdr:colOff>161925</xdr:colOff>
      <xdr:row>20</xdr:row>
      <xdr:rowOff>28576</xdr:rowOff>
    </xdr:to>
    <xdr:pic>
      <xdr:nvPicPr>
        <xdr:cNvPr id="3" name="Picture 2">
          <a:extLst>
            <a:ext uri="{FF2B5EF4-FFF2-40B4-BE49-F238E27FC236}">
              <a16:creationId xmlns:a16="http://schemas.microsoft.com/office/drawing/2014/main" id="{9111DED7-C38F-408E-B72C-340D795A76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209926"/>
          <a:ext cx="33051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190500</xdr:rowOff>
    </xdr:to>
    <xdr:pic>
      <xdr:nvPicPr>
        <xdr:cNvPr id="2" name="Picture 1">
          <a:extLst>
            <a:ext uri="{FF2B5EF4-FFF2-40B4-BE49-F238E27FC236}">
              <a16:creationId xmlns:a16="http://schemas.microsoft.com/office/drawing/2014/main" id="{66C01950-B26E-4806-B266-2C1C7082E94E}"/>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28575</xdr:rowOff>
    </xdr:to>
    <xdr:pic>
      <xdr:nvPicPr>
        <xdr:cNvPr id="3" name="Picture 2">
          <a:extLst>
            <a:ext uri="{FF2B5EF4-FFF2-40B4-BE49-F238E27FC236}">
              <a16:creationId xmlns:a16="http://schemas.microsoft.com/office/drawing/2014/main" id="{56ABF4C9-9EB4-4C25-8604-A339740976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5773E28A-9CF4-45BE-9D84-2949ED8972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816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542926</xdr:colOff>
      <xdr:row>13</xdr:row>
      <xdr:rowOff>104776</xdr:rowOff>
    </xdr:from>
    <xdr:to>
      <xdr:col>14</xdr:col>
      <xdr:colOff>123825</xdr:colOff>
      <xdr:row>18</xdr:row>
      <xdr:rowOff>314326</xdr:rowOff>
    </xdr:to>
    <xdr:pic>
      <xdr:nvPicPr>
        <xdr:cNvPr id="2" name="Picture 1">
          <a:extLst>
            <a:ext uri="{FF2B5EF4-FFF2-40B4-BE49-F238E27FC236}">
              <a16:creationId xmlns:a16="http://schemas.microsoft.com/office/drawing/2014/main" id="{DEA6245A-B867-4578-8A77-FF28AE5EF3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06026" y="3286126"/>
          <a:ext cx="3238499"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104775</xdr:colOff>
      <xdr:row>10</xdr:row>
      <xdr:rowOff>76200</xdr:rowOff>
    </xdr:to>
    <xdr:pic>
      <xdr:nvPicPr>
        <xdr:cNvPr id="4" name="Picture 3">
          <a:extLst>
            <a:ext uri="{FF2B5EF4-FFF2-40B4-BE49-F238E27FC236}">
              <a16:creationId xmlns:a16="http://schemas.microsoft.com/office/drawing/2014/main" id="{C98A6EFF-BF07-4E11-BEB3-739D14F6C7D3}"/>
            </a:ext>
          </a:extLst>
        </xdr:cNvPr>
        <xdr:cNvPicPr>
          <a:picLocks noChangeAspect="1"/>
        </xdr:cNvPicPr>
      </xdr:nvPicPr>
      <xdr:blipFill>
        <a:blip xmlns:r="http://schemas.openxmlformats.org/officeDocument/2006/relationships" r:embed="rId2"/>
        <a:stretch>
          <a:fillRect/>
        </a:stretch>
      </xdr:blipFill>
      <xdr:spPr>
        <a:xfrm>
          <a:off x="10172700" y="704850"/>
          <a:ext cx="3152775" cy="1924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504825</xdr:colOff>
      <xdr:row>13</xdr:row>
      <xdr:rowOff>95250</xdr:rowOff>
    </xdr:from>
    <xdr:to>
      <xdr:col>14</xdr:col>
      <xdr:colOff>120946</xdr:colOff>
      <xdr:row>21</xdr:row>
      <xdr:rowOff>209550</xdr:rowOff>
    </xdr:to>
    <xdr:pic>
      <xdr:nvPicPr>
        <xdr:cNvPr id="2" name="Picture 1">
          <a:extLst>
            <a:ext uri="{FF2B5EF4-FFF2-40B4-BE49-F238E27FC236}">
              <a16:creationId xmlns:a16="http://schemas.microsoft.com/office/drawing/2014/main" id="{AECFA14B-D861-4383-B6A7-AD44FAFAD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67925" y="34290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152400</xdr:colOff>
      <xdr:row>10</xdr:row>
      <xdr:rowOff>85725</xdr:rowOff>
    </xdr:to>
    <xdr:pic>
      <xdr:nvPicPr>
        <xdr:cNvPr id="4" name="Picture 3">
          <a:extLst>
            <a:ext uri="{FF2B5EF4-FFF2-40B4-BE49-F238E27FC236}">
              <a16:creationId xmlns:a16="http://schemas.microsoft.com/office/drawing/2014/main" id="{3A9C06E6-FC40-47D4-A826-CA7B1D65B159}"/>
            </a:ext>
          </a:extLst>
        </xdr:cNvPr>
        <xdr:cNvPicPr>
          <a:picLocks/>
        </xdr:cNvPicPr>
      </xdr:nvPicPr>
      <xdr:blipFill>
        <a:blip xmlns:r="http://schemas.openxmlformats.org/officeDocument/2006/relationships" r:embed="rId2"/>
        <a:stretch>
          <a:fillRect/>
        </a:stretch>
      </xdr:blipFill>
      <xdr:spPr>
        <a:xfrm>
          <a:off x="10172700" y="704850"/>
          <a:ext cx="3200400" cy="19335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13</xdr:row>
      <xdr:rowOff>133350</xdr:rowOff>
    </xdr:from>
    <xdr:to>
      <xdr:col>14</xdr:col>
      <xdr:colOff>161925</xdr:colOff>
      <xdr:row>22</xdr:row>
      <xdr:rowOff>19050</xdr:rowOff>
    </xdr:to>
    <xdr:pic>
      <xdr:nvPicPr>
        <xdr:cNvPr id="2" name="Picture 1">
          <a:extLst>
            <a:ext uri="{FF2B5EF4-FFF2-40B4-BE49-F238E27FC236}">
              <a16:creationId xmlns:a16="http://schemas.microsoft.com/office/drawing/2014/main" id="{82AA3626-5404-4D96-92BD-2E8EA0FA62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06025" y="3467100"/>
          <a:ext cx="32766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133350</xdr:colOff>
      <xdr:row>10</xdr:row>
      <xdr:rowOff>190500</xdr:rowOff>
    </xdr:to>
    <xdr:pic>
      <xdr:nvPicPr>
        <xdr:cNvPr id="3" name="Picture 2">
          <a:extLst>
            <a:ext uri="{FF2B5EF4-FFF2-40B4-BE49-F238E27FC236}">
              <a16:creationId xmlns:a16="http://schemas.microsoft.com/office/drawing/2014/main" id="{7CAC4477-01E3-48BE-B5DF-D80367B8B8ED}"/>
            </a:ext>
          </a:extLst>
        </xdr:cNvPr>
        <xdr:cNvPicPr>
          <a:picLocks noChangeAspect="1"/>
        </xdr:cNvPicPr>
      </xdr:nvPicPr>
      <xdr:blipFill>
        <a:blip xmlns:r="http://schemas.openxmlformats.org/officeDocument/2006/relationships" r:embed="rId2"/>
        <a:stretch>
          <a:fillRect/>
        </a:stretch>
      </xdr:blipFill>
      <xdr:spPr>
        <a:xfrm>
          <a:off x="10172700" y="704850"/>
          <a:ext cx="3181350" cy="203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19049</xdr:colOff>
      <xdr:row>2</xdr:row>
      <xdr:rowOff>85725</xdr:rowOff>
    </xdr:from>
    <xdr:to>
      <xdr:col>14</xdr:col>
      <xdr:colOff>169266</xdr:colOff>
      <xdr:row>10</xdr:row>
      <xdr:rowOff>133350</xdr:rowOff>
    </xdr:to>
    <xdr:pic>
      <xdr:nvPicPr>
        <xdr:cNvPr id="2" name="Picture 1">
          <a:extLst>
            <a:ext uri="{FF2B5EF4-FFF2-40B4-BE49-F238E27FC236}">
              <a16:creationId xmlns:a16="http://schemas.microsoft.com/office/drawing/2014/main" id="{2E70A946-83EB-40AB-A07B-93977523D31A}"/>
            </a:ext>
          </a:extLst>
        </xdr:cNvPr>
        <xdr:cNvPicPr>
          <a:picLocks noChangeAspect="1"/>
        </xdr:cNvPicPr>
      </xdr:nvPicPr>
      <xdr:blipFill>
        <a:blip xmlns:r="http://schemas.openxmlformats.org/officeDocument/2006/relationships" r:embed="rId1"/>
        <a:stretch>
          <a:fillRect/>
        </a:stretch>
      </xdr:blipFill>
      <xdr:spPr>
        <a:xfrm>
          <a:off x="10191749" y="523875"/>
          <a:ext cx="3198217" cy="2009775"/>
        </a:xfrm>
        <a:prstGeom prst="rect">
          <a:avLst/>
        </a:prstGeom>
      </xdr:spPr>
    </xdr:pic>
    <xdr:clientData/>
  </xdr:twoCellAnchor>
  <xdr:twoCellAnchor editAs="oneCell">
    <xdr:from>
      <xdr:col>8</xdr:col>
      <xdr:colOff>552450</xdr:colOff>
      <xdr:row>13</xdr:row>
      <xdr:rowOff>76201</xdr:rowOff>
    </xdr:from>
    <xdr:to>
      <xdr:col>14</xdr:col>
      <xdr:colOff>159046</xdr:colOff>
      <xdr:row>20</xdr:row>
      <xdr:rowOff>133351</xdr:rowOff>
    </xdr:to>
    <xdr:pic>
      <xdr:nvPicPr>
        <xdr:cNvPr id="3" name="Picture 2">
          <a:extLst>
            <a:ext uri="{FF2B5EF4-FFF2-40B4-BE49-F238E27FC236}">
              <a16:creationId xmlns:a16="http://schemas.microsoft.com/office/drawing/2014/main" id="{EAAE9A2B-EBE8-45A0-9510-C18287187D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257551"/>
          <a:ext cx="3264196"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504825</xdr:colOff>
      <xdr:row>2</xdr:row>
      <xdr:rowOff>47625</xdr:rowOff>
    </xdr:from>
    <xdr:to>
      <xdr:col>14</xdr:col>
      <xdr:colOff>131167</xdr:colOff>
      <xdr:row>10</xdr:row>
      <xdr:rowOff>95250</xdr:rowOff>
    </xdr:to>
    <xdr:pic>
      <xdr:nvPicPr>
        <xdr:cNvPr id="2" name="Picture 1">
          <a:extLst>
            <a:ext uri="{FF2B5EF4-FFF2-40B4-BE49-F238E27FC236}">
              <a16:creationId xmlns:a16="http://schemas.microsoft.com/office/drawing/2014/main" id="{6868C2EE-26DA-497E-B0CC-D62C27CF14A2}"/>
            </a:ext>
          </a:extLst>
        </xdr:cNvPr>
        <xdr:cNvPicPr>
          <a:picLocks noChangeAspect="1"/>
        </xdr:cNvPicPr>
      </xdr:nvPicPr>
      <xdr:blipFill>
        <a:blip xmlns:r="http://schemas.openxmlformats.org/officeDocument/2006/relationships" r:embed="rId1"/>
        <a:stretch>
          <a:fillRect/>
        </a:stretch>
      </xdr:blipFill>
      <xdr:spPr>
        <a:xfrm>
          <a:off x="10067925" y="485775"/>
          <a:ext cx="3283942" cy="2009775"/>
        </a:xfrm>
        <a:prstGeom prst="rect">
          <a:avLst/>
        </a:prstGeom>
      </xdr:spPr>
    </xdr:pic>
    <xdr:clientData/>
  </xdr:twoCellAnchor>
  <xdr:twoCellAnchor editAs="oneCell">
    <xdr:from>
      <xdr:col>8</xdr:col>
      <xdr:colOff>523875</xdr:colOff>
      <xdr:row>13</xdr:row>
      <xdr:rowOff>76200</xdr:rowOff>
    </xdr:from>
    <xdr:to>
      <xdr:col>14</xdr:col>
      <xdr:colOff>139996</xdr:colOff>
      <xdr:row>20</xdr:row>
      <xdr:rowOff>200025</xdr:rowOff>
    </xdr:to>
    <xdr:pic>
      <xdr:nvPicPr>
        <xdr:cNvPr id="3" name="Picture 2">
          <a:extLst>
            <a:ext uri="{FF2B5EF4-FFF2-40B4-BE49-F238E27FC236}">
              <a16:creationId xmlns:a16="http://schemas.microsoft.com/office/drawing/2014/main" id="{38AD6B20-D2FE-40A6-8CD0-38D4B5DE53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2575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514350</xdr:colOff>
      <xdr:row>2</xdr:row>
      <xdr:rowOff>66675</xdr:rowOff>
    </xdr:from>
    <xdr:to>
      <xdr:col>14</xdr:col>
      <xdr:colOff>140692</xdr:colOff>
      <xdr:row>10</xdr:row>
      <xdr:rowOff>114300</xdr:rowOff>
    </xdr:to>
    <xdr:pic>
      <xdr:nvPicPr>
        <xdr:cNvPr id="2" name="Picture 1">
          <a:extLst>
            <a:ext uri="{FF2B5EF4-FFF2-40B4-BE49-F238E27FC236}">
              <a16:creationId xmlns:a16="http://schemas.microsoft.com/office/drawing/2014/main" id="{93C7CD7D-D4FB-485A-8B54-A39CD54BA85D}"/>
            </a:ext>
          </a:extLst>
        </xdr:cNvPr>
        <xdr:cNvPicPr>
          <a:picLocks noChangeAspect="1"/>
        </xdr:cNvPicPr>
      </xdr:nvPicPr>
      <xdr:blipFill>
        <a:blip xmlns:r="http://schemas.openxmlformats.org/officeDocument/2006/relationships" r:embed="rId1"/>
        <a:stretch>
          <a:fillRect/>
        </a:stretch>
      </xdr:blipFill>
      <xdr:spPr>
        <a:xfrm>
          <a:off x="10077450" y="504825"/>
          <a:ext cx="3283942" cy="2009775"/>
        </a:xfrm>
        <a:prstGeom prst="rect">
          <a:avLst/>
        </a:prstGeom>
      </xdr:spPr>
    </xdr:pic>
    <xdr:clientData/>
  </xdr:twoCellAnchor>
  <xdr:twoCellAnchor editAs="oneCell">
    <xdr:from>
      <xdr:col>8</xdr:col>
      <xdr:colOff>485775</xdr:colOff>
      <xdr:row>14</xdr:row>
      <xdr:rowOff>57150</xdr:rowOff>
    </xdr:from>
    <xdr:to>
      <xdr:col>14</xdr:col>
      <xdr:colOff>101896</xdr:colOff>
      <xdr:row>21</xdr:row>
      <xdr:rowOff>190500</xdr:rowOff>
    </xdr:to>
    <xdr:pic>
      <xdr:nvPicPr>
        <xdr:cNvPr id="3" name="Picture 2">
          <a:extLst>
            <a:ext uri="{FF2B5EF4-FFF2-40B4-BE49-F238E27FC236}">
              <a16:creationId xmlns:a16="http://schemas.microsoft.com/office/drawing/2014/main" id="{C6F69D3B-0A55-49FD-BA19-93AAC5124E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4480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533400</xdr:colOff>
      <xdr:row>2</xdr:row>
      <xdr:rowOff>76200</xdr:rowOff>
    </xdr:from>
    <xdr:to>
      <xdr:col>14</xdr:col>
      <xdr:colOff>159742</xdr:colOff>
      <xdr:row>9</xdr:row>
      <xdr:rowOff>180975</xdr:rowOff>
    </xdr:to>
    <xdr:pic>
      <xdr:nvPicPr>
        <xdr:cNvPr id="2" name="Picture 1">
          <a:extLst>
            <a:ext uri="{FF2B5EF4-FFF2-40B4-BE49-F238E27FC236}">
              <a16:creationId xmlns:a16="http://schemas.microsoft.com/office/drawing/2014/main" id="{AFC60E9E-84BE-41A1-B6FB-CFBB5A1838E0}"/>
            </a:ext>
          </a:extLst>
        </xdr:cNvPr>
        <xdr:cNvPicPr>
          <a:picLocks noChangeAspect="1"/>
        </xdr:cNvPicPr>
      </xdr:nvPicPr>
      <xdr:blipFill>
        <a:blip xmlns:r="http://schemas.openxmlformats.org/officeDocument/2006/relationships" r:embed="rId1"/>
        <a:stretch>
          <a:fillRect/>
        </a:stretch>
      </xdr:blipFill>
      <xdr:spPr>
        <a:xfrm>
          <a:off x="10096500" y="514350"/>
          <a:ext cx="3283942" cy="2009775"/>
        </a:xfrm>
        <a:prstGeom prst="rect">
          <a:avLst/>
        </a:prstGeom>
      </xdr:spPr>
    </xdr:pic>
    <xdr:clientData/>
  </xdr:twoCellAnchor>
  <xdr:twoCellAnchor editAs="oneCell">
    <xdr:from>
      <xdr:col>8</xdr:col>
      <xdr:colOff>447675</xdr:colOff>
      <xdr:row>13</xdr:row>
      <xdr:rowOff>19050</xdr:rowOff>
    </xdr:from>
    <xdr:to>
      <xdr:col>14</xdr:col>
      <xdr:colOff>123825</xdr:colOff>
      <xdr:row>20</xdr:row>
      <xdr:rowOff>171450</xdr:rowOff>
    </xdr:to>
    <xdr:pic>
      <xdr:nvPicPr>
        <xdr:cNvPr id="3" name="Picture 2">
          <a:extLst>
            <a:ext uri="{FF2B5EF4-FFF2-40B4-BE49-F238E27FC236}">
              <a16:creationId xmlns:a16="http://schemas.microsoft.com/office/drawing/2014/main" id="{478BC476-9AEB-40D8-8ABA-34C5C0E5D7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10775" y="32004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226417</xdr:colOff>
      <xdr:row>11</xdr:row>
      <xdr:rowOff>19050</xdr:rowOff>
    </xdr:to>
    <xdr:pic>
      <xdr:nvPicPr>
        <xdr:cNvPr id="2" name="Picture 1">
          <a:extLst>
            <a:ext uri="{FF2B5EF4-FFF2-40B4-BE49-F238E27FC236}">
              <a16:creationId xmlns:a16="http://schemas.microsoft.com/office/drawing/2014/main" id="{7A04DD00-ACF3-4E07-98B2-8F57FCC886F3}"/>
            </a:ext>
          </a:extLst>
        </xdr:cNvPr>
        <xdr:cNvPicPr>
          <a:picLocks noChangeAspect="1"/>
        </xdr:cNvPicPr>
      </xdr:nvPicPr>
      <xdr:blipFill>
        <a:blip xmlns:r="http://schemas.openxmlformats.org/officeDocument/2006/relationships" r:embed="rId1"/>
        <a:stretch>
          <a:fillRect/>
        </a:stretch>
      </xdr:blipFill>
      <xdr:spPr>
        <a:xfrm>
          <a:off x="10163175" y="571500"/>
          <a:ext cx="3283942" cy="2057400"/>
        </a:xfrm>
        <a:prstGeom prst="rect">
          <a:avLst/>
        </a:prstGeom>
      </xdr:spPr>
    </xdr:pic>
    <xdr:clientData/>
  </xdr:twoCellAnchor>
  <xdr:twoCellAnchor editAs="oneCell">
    <xdr:from>
      <xdr:col>8</xdr:col>
      <xdr:colOff>590550</xdr:colOff>
      <xdr:row>13</xdr:row>
      <xdr:rowOff>1</xdr:rowOff>
    </xdr:from>
    <xdr:to>
      <xdr:col>14</xdr:col>
      <xdr:colOff>206671</xdr:colOff>
      <xdr:row>20</xdr:row>
      <xdr:rowOff>200025</xdr:rowOff>
    </xdr:to>
    <xdr:pic>
      <xdr:nvPicPr>
        <xdr:cNvPr id="3" name="Picture 2">
          <a:extLst>
            <a:ext uri="{FF2B5EF4-FFF2-40B4-BE49-F238E27FC236}">
              <a16:creationId xmlns:a16="http://schemas.microsoft.com/office/drawing/2014/main" id="{FAD3D617-C505-424B-A98A-7332A7B5A4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181351"/>
          <a:ext cx="3273721"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3</xdr:row>
      <xdr:rowOff>9525</xdr:rowOff>
    </xdr:from>
    <xdr:to>
      <xdr:col>14</xdr:col>
      <xdr:colOff>235942</xdr:colOff>
      <xdr:row>11</xdr:row>
      <xdr:rowOff>171450</xdr:rowOff>
    </xdr:to>
    <xdr:pic>
      <xdr:nvPicPr>
        <xdr:cNvPr id="2" name="Picture 1">
          <a:extLst>
            <a:ext uri="{FF2B5EF4-FFF2-40B4-BE49-F238E27FC236}">
              <a16:creationId xmlns:a16="http://schemas.microsoft.com/office/drawing/2014/main" id="{038F2B1F-CC11-418E-AFB1-BF4CD5D90F68}"/>
            </a:ext>
          </a:extLst>
        </xdr:cNvPr>
        <xdr:cNvPicPr>
          <a:picLocks noChangeAspect="1"/>
        </xdr:cNvPicPr>
      </xdr:nvPicPr>
      <xdr:blipFill>
        <a:blip xmlns:r="http://schemas.openxmlformats.org/officeDocument/2006/relationships" r:embed="rId1"/>
        <a:stretch>
          <a:fillRect/>
        </a:stretch>
      </xdr:blipFill>
      <xdr:spPr>
        <a:xfrm>
          <a:off x="10172700" y="714375"/>
          <a:ext cx="3283942" cy="2066925"/>
        </a:xfrm>
        <a:prstGeom prst="rect">
          <a:avLst/>
        </a:prstGeom>
      </xdr:spPr>
    </xdr:pic>
    <xdr:clientData/>
  </xdr:twoCellAnchor>
  <xdr:twoCellAnchor editAs="oneCell">
    <xdr:from>
      <xdr:col>9</xdr:col>
      <xdr:colOff>0</xdr:colOff>
      <xdr:row>13</xdr:row>
      <xdr:rowOff>209549</xdr:rowOff>
    </xdr:from>
    <xdr:to>
      <xdr:col>14</xdr:col>
      <xdr:colOff>285750</xdr:colOff>
      <xdr:row>22</xdr:row>
      <xdr:rowOff>9524</xdr:rowOff>
    </xdr:to>
    <xdr:pic>
      <xdr:nvPicPr>
        <xdr:cNvPr id="3" name="Picture 2">
          <a:extLst>
            <a:ext uri="{FF2B5EF4-FFF2-40B4-BE49-F238E27FC236}">
              <a16:creationId xmlns:a16="http://schemas.microsoft.com/office/drawing/2014/main" id="{CC5356B8-1DD3-4400-BD29-3B40F9CA7B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899"/>
          <a:ext cx="33337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235942</xdr:colOff>
      <xdr:row>11</xdr:row>
      <xdr:rowOff>123825</xdr:rowOff>
    </xdr:to>
    <xdr:pic>
      <xdr:nvPicPr>
        <xdr:cNvPr id="2" name="Picture 1">
          <a:extLst>
            <a:ext uri="{FF2B5EF4-FFF2-40B4-BE49-F238E27FC236}">
              <a16:creationId xmlns:a16="http://schemas.microsoft.com/office/drawing/2014/main" id="{7F435271-7CF4-4471-830D-2A00C5472F1B}"/>
            </a:ext>
          </a:extLst>
        </xdr:cNvPr>
        <xdr:cNvPicPr>
          <a:picLocks noChangeAspect="1"/>
        </xdr:cNvPicPr>
      </xdr:nvPicPr>
      <xdr:blipFill>
        <a:blip xmlns:r="http://schemas.openxmlformats.org/officeDocument/2006/relationships" r:embed="rId1"/>
        <a:stretch>
          <a:fillRect/>
        </a:stretch>
      </xdr:blipFill>
      <xdr:spPr>
        <a:xfrm>
          <a:off x="10172700" y="704851"/>
          <a:ext cx="3283942" cy="2028824"/>
        </a:xfrm>
        <a:prstGeom prst="rect">
          <a:avLst/>
        </a:prstGeom>
      </xdr:spPr>
    </xdr:pic>
    <xdr:clientData/>
  </xdr:twoCellAnchor>
  <xdr:twoCellAnchor editAs="oneCell">
    <xdr:from>
      <xdr:col>9</xdr:col>
      <xdr:colOff>0</xdr:colOff>
      <xdr:row>14</xdr:row>
      <xdr:rowOff>0</xdr:rowOff>
    </xdr:from>
    <xdr:to>
      <xdr:col>14</xdr:col>
      <xdr:colOff>225721</xdr:colOff>
      <xdr:row>21</xdr:row>
      <xdr:rowOff>0</xdr:rowOff>
    </xdr:to>
    <xdr:pic>
      <xdr:nvPicPr>
        <xdr:cNvPr id="3" name="Picture 2">
          <a:extLst>
            <a:ext uri="{FF2B5EF4-FFF2-40B4-BE49-F238E27FC236}">
              <a16:creationId xmlns:a16="http://schemas.microsoft.com/office/drawing/2014/main" id="{452B9C25-18DF-4E7C-8DE4-56D6273C3C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123825</xdr:rowOff>
    </xdr:to>
    <xdr:pic>
      <xdr:nvPicPr>
        <xdr:cNvPr id="2" name="Picture 1">
          <a:extLst>
            <a:ext uri="{FF2B5EF4-FFF2-40B4-BE49-F238E27FC236}">
              <a16:creationId xmlns:a16="http://schemas.microsoft.com/office/drawing/2014/main" id="{06188B6E-8308-43AB-9175-F22CB7840055}"/>
            </a:ext>
          </a:extLst>
        </xdr:cNvPr>
        <xdr:cNvPicPr>
          <a:picLocks noChangeAspect="1"/>
        </xdr:cNvPicPr>
      </xdr:nvPicPr>
      <xdr:blipFill>
        <a:blip xmlns:r="http://schemas.openxmlformats.org/officeDocument/2006/relationships" r:embed="rId1"/>
        <a:stretch>
          <a:fillRect/>
        </a:stretch>
      </xdr:blipFill>
      <xdr:spPr>
        <a:xfrm>
          <a:off x="10172700" y="704850"/>
          <a:ext cx="3283942" cy="2028825"/>
        </a:xfrm>
        <a:prstGeom prst="rect">
          <a:avLst/>
        </a:prstGeom>
      </xdr:spPr>
    </xdr:pic>
    <xdr:clientData/>
  </xdr:twoCellAnchor>
  <xdr:twoCellAnchor editAs="oneCell">
    <xdr:from>
      <xdr:col>9</xdr:col>
      <xdr:colOff>0</xdr:colOff>
      <xdr:row>13</xdr:row>
      <xdr:rowOff>209549</xdr:rowOff>
    </xdr:from>
    <xdr:to>
      <xdr:col>14</xdr:col>
      <xdr:colOff>225721</xdr:colOff>
      <xdr:row>21</xdr:row>
      <xdr:rowOff>200024</xdr:rowOff>
    </xdr:to>
    <xdr:pic>
      <xdr:nvPicPr>
        <xdr:cNvPr id="3" name="Picture 2">
          <a:extLst>
            <a:ext uri="{FF2B5EF4-FFF2-40B4-BE49-F238E27FC236}">
              <a16:creationId xmlns:a16="http://schemas.microsoft.com/office/drawing/2014/main" id="{F10248F6-FB6E-4756-80DB-7F2D619451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899"/>
          <a:ext cx="327372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104775</xdr:rowOff>
    </xdr:to>
    <xdr:pic>
      <xdr:nvPicPr>
        <xdr:cNvPr id="2" name="Picture 1">
          <a:extLst>
            <a:ext uri="{FF2B5EF4-FFF2-40B4-BE49-F238E27FC236}">
              <a16:creationId xmlns:a16="http://schemas.microsoft.com/office/drawing/2014/main" id="{1FC2CFF6-509E-48B4-A3A7-5E4DF99CDB04}"/>
            </a:ext>
          </a:extLst>
        </xdr:cNvPr>
        <xdr:cNvPicPr>
          <a:picLocks noChangeAspect="1"/>
        </xdr:cNvPicPr>
      </xdr:nvPicPr>
      <xdr:blipFill>
        <a:blip xmlns:r="http://schemas.openxmlformats.org/officeDocument/2006/relationships" r:embed="rId1"/>
        <a:stretch>
          <a:fillRect/>
        </a:stretch>
      </xdr:blipFill>
      <xdr:spPr>
        <a:xfrm>
          <a:off x="10172700" y="495300"/>
          <a:ext cx="3209925" cy="2009775"/>
        </a:xfrm>
        <a:prstGeom prst="rect">
          <a:avLst/>
        </a:prstGeom>
      </xdr:spPr>
    </xdr:pic>
    <xdr:clientData/>
  </xdr:twoCellAnchor>
  <xdr:twoCellAnchor editAs="oneCell">
    <xdr:from>
      <xdr:col>8</xdr:col>
      <xdr:colOff>523875</xdr:colOff>
      <xdr:row>13</xdr:row>
      <xdr:rowOff>66675</xdr:rowOff>
    </xdr:from>
    <xdr:to>
      <xdr:col>14</xdr:col>
      <xdr:colOff>139996</xdr:colOff>
      <xdr:row>21</xdr:row>
      <xdr:rowOff>0</xdr:rowOff>
    </xdr:to>
    <xdr:pic>
      <xdr:nvPicPr>
        <xdr:cNvPr id="3" name="Picture 2">
          <a:extLst>
            <a:ext uri="{FF2B5EF4-FFF2-40B4-BE49-F238E27FC236}">
              <a16:creationId xmlns:a16="http://schemas.microsoft.com/office/drawing/2014/main" id="{7D3872A1-FC38-4810-A809-6B3E4E05C3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0956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104775</xdr:rowOff>
    </xdr:to>
    <xdr:pic>
      <xdr:nvPicPr>
        <xdr:cNvPr id="2" name="Picture 1">
          <a:extLst>
            <a:ext uri="{FF2B5EF4-FFF2-40B4-BE49-F238E27FC236}">
              <a16:creationId xmlns:a16="http://schemas.microsoft.com/office/drawing/2014/main" id="{37B4949B-B10A-4F38-8734-CD3ADD4308C9}"/>
            </a:ext>
          </a:extLst>
        </xdr:cNvPr>
        <xdr:cNvPicPr>
          <a:picLocks noChangeAspect="1"/>
        </xdr:cNvPicPr>
      </xdr:nvPicPr>
      <xdr:blipFill>
        <a:blip xmlns:r="http://schemas.openxmlformats.org/officeDocument/2006/relationships" r:embed="rId1"/>
        <a:stretch>
          <a:fillRect/>
        </a:stretch>
      </xdr:blipFill>
      <xdr:spPr>
        <a:xfrm>
          <a:off x="10182225" y="704850"/>
          <a:ext cx="3248025" cy="2009775"/>
        </a:xfrm>
        <a:prstGeom prst="rect">
          <a:avLst/>
        </a:prstGeom>
      </xdr:spPr>
    </xdr:pic>
    <xdr:clientData/>
  </xdr:twoCellAnchor>
  <xdr:twoCellAnchor editAs="oneCell">
    <xdr:from>
      <xdr:col>9</xdr:col>
      <xdr:colOff>0</xdr:colOff>
      <xdr:row>14</xdr:row>
      <xdr:rowOff>0</xdr:rowOff>
    </xdr:from>
    <xdr:to>
      <xdr:col>14</xdr:col>
      <xdr:colOff>225721</xdr:colOff>
      <xdr:row>21</xdr:row>
      <xdr:rowOff>171450</xdr:rowOff>
    </xdr:to>
    <xdr:pic>
      <xdr:nvPicPr>
        <xdr:cNvPr id="3" name="Picture 2">
          <a:extLst>
            <a:ext uri="{FF2B5EF4-FFF2-40B4-BE49-F238E27FC236}">
              <a16:creationId xmlns:a16="http://schemas.microsoft.com/office/drawing/2014/main" id="{CCADC264-69BC-47EC-A07F-B085436287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85725</xdr:rowOff>
    </xdr:to>
    <xdr:pic>
      <xdr:nvPicPr>
        <xdr:cNvPr id="2" name="Picture 1">
          <a:extLst>
            <a:ext uri="{FF2B5EF4-FFF2-40B4-BE49-F238E27FC236}">
              <a16:creationId xmlns:a16="http://schemas.microsoft.com/office/drawing/2014/main" id="{31139B30-2977-4B44-A87B-7A12772BD6A4}"/>
            </a:ext>
          </a:extLst>
        </xdr:cNvPr>
        <xdr:cNvPicPr>
          <a:picLocks noChangeAspect="1"/>
        </xdr:cNvPicPr>
      </xdr:nvPicPr>
      <xdr:blipFill>
        <a:blip xmlns:r="http://schemas.openxmlformats.org/officeDocument/2006/relationships" r:embed="rId1"/>
        <a:stretch>
          <a:fillRect/>
        </a:stretch>
      </xdr:blipFill>
      <xdr:spPr>
        <a:xfrm>
          <a:off x="10172700" y="619125"/>
          <a:ext cx="3283942" cy="2076450"/>
        </a:xfrm>
        <a:prstGeom prst="rect">
          <a:avLst/>
        </a:prstGeom>
      </xdr:spPr>
    </xdr:pic>
    <xdr:clientData/>
  </xdr:twoCellAnchor>
  <xdr:twoCellAnchor editAs="oneCell">
    <xdr:from>
      <xdr:col>8</xdr:col>
      <xdr:colOff>561975</xdr:colOff>
      <xdr:row>14</xdr:row>
      <xdr:rowOff>123824</xdr:rowOff>
    </xdr:from>
    <xdr:to>
      <xdr:col>14</xdr:col>
      <xdr:colOff>314325</xdr:colOff>
      <xdr:row>21</xdr:row>
      <xdr:rowOff>38099</xdr:rowOff>
    </xdr:to>
    <xdr:pic>
      <xdr:nvPicPr>
        <xdr:cNvPr id="3" name="Picture 2">
          <a:extLst>
            <a:ext uri="{FF2B5EF4-FFF2-40B4-BE49-F238E27FC236}">
              <a16:creationId xmlns:a16="http://schemas.microsoft.com/office/drawing/2014/main" id="{E864F2A4-A8BB-4786-80DB-9415B92978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62324"/>
          <a:ext cx="34099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171450</xdr:rowOff>
    </xdr:to>
    <xdr:pic>
      <xdr:nvPicPr>
        <xdr:cNvPr id="2" name="Picture 1">
          <a:extLst>
            <a:ext uri="{FF2B5EF4-FFF2-40B4-BE49-F238E27FC236}">
              <a16:creationId xmlns:a16="http://schemas.microsoft.com/office/drawing/2014/main" id="{EBCA03F8-2458-4DF3-9391-91C691A4EAF8}"/>
            </a:ext>
          </a:extLst>
        </xdr:cNvPr>
        <xdr:cNvPicPr>
          <a:picLocks noChangeAspect="1"/>
        </xdr:cNvPicPr>
      </xdr:nvPicPr>
      <xdr:blipFill>
        <a:blip xmlns:r="http://schemas.openxmlformats.org/officeDocument/2006/relationships" r:embed="rId1"/>
        <a:stretch>
          <a:fillRect/>
        </a:stretch>
      </xdr:blipFill>
      <xdr:spPr>
        <a:xfrm>
          <a:off x="10134600" y="561975"/>
          <a:ext cx="3190875" cy="2009775"/>
        </a:xfrm>
        <a:prstGeom prst="rect">
          <a:avLst/>
        </a:prstGeom>
      </xdr:spPr>
    </xdr:pic>
    <xdr:clientData/>
  </xdr:twoCellAnchor>
  <xdr:twoCellAnchor editAs="oneCell">
    <xdr:from>
      <xdr:col>8</xdr:col>
      <xdr:colOff>514350</xdr:colOff>
      <xdr:row>14</xdr:row>
      <xdr:rowOff>19050</xdr:rowOff>
    </xdr:from>
    <xdr:to>
      <xdr:col>14</xdr:col>
      <xdr:colOff>66675</xdr:colOff>
      <xdr:row>21</xdr:row>
      <xdr:rowOff>180975</xdr:rowOff>
    </xdr:to>
    <xdr:pic>
      <xdr:nvPicPr>
        <xdr:cNvPr id="3" name="Picture 2">
          <a:extLst>
            <a:ext uri="{FF2B5EF4-FFF2-40B4-BE49-F238E27FC236}">
              <a16:creationId xmlns:a16="http://schemas.microsoft.com/office/drawing/2014/main" id="{A184E3F9-AB38-450D-A312-FA166C1904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257550"/>
          <a:ext cx="32099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10</xdr:row>
      <xdr:rowOff>219075</xdr:rowOff>
    </xdr:to>
    <xdr:pic>
      <xdr:nvPicPr>
        <xdr:cNvPr id="2" name="Picture 1">
          <a:extLst>
            <a:ext uri="{FF2B5EF4-FFF2-40B4-BE49-F238E27FC236}">
              <a16:creationId xmlns:a16="http://schemas.microsoft.com/office/drawing/2014/main" id="{38E7C519-21DF-47F1-8369-B0B2E1376E6A}"/>
            </a:ext>
          </a:extLst>
        </xdr:cNvPr>
        <xdr:cNvPicPr>
          <a:picLocks noChangeAspect="1"/>
        </xdr:cNvPicPr>
      </xdr:nvPicPr>
      <xdr:blipFill>
        <a:blip xmlns:r="http://schemas.openxmlformats.org/officeDocument/2006/relationships" r:embed="rId1"/>
        <a:stretch>
          <a:fillRect/>
        </a:stretch>
      </xdr:blipFill>
      <xdr:spPr>
        <a:xfrm>
          <a:off x="10153650" y="609600"/>
          <a:ext cx="3248025" cy="2009775"/>
        </a:xfrm>
        <a:prstGeom prst="rect">
          <a:avLst/>
        </a:prstGeom>
      </xdr:spPr>
    </xdr:pic>
    <xdr:clientData/>
  </xdr:twoCellAnchor>
  <xdr:twoCellAnchor editAs="oneCell">
    <xdr:from>
      <xdr:col>8</xdr:col>
      <xdr:colOff>600076</xdr:colOff>
      <xdr:row>12</xdr:row>
      <xdr:rowOff>47626</xdr:rowOff>
    </xdr:from>
    <xdr:to>
      <xdr:col>14</xdr:col>
      <xdr:colOff>85726</xdr:colOff>
      <xdr:row>19</xdr:row>
      <xdr:rowOff>285750</xdr:rowOff>
    </xdr:to>
    <xdr:pic>
      <xdr:nvPicPr>
        <xdr:cNvPr id="3" name="Picture 2">
          <a:extLst>
            <a:ext uri="{FF2B5EF4-FFF2-40B4-BE49-F238E27FC236}">
              <a16:creationId xmlns:a16="http://schemas.microsoft.com/office/drawing/2014/main" id="{BF644574-33A1-45FF-9E58-6CB9FFE7F7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6" y="3324226"/>
          <a:ext cx="314325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1</xdr:colOff>
      <xdr:row>23</xdr:row>
      <xdr:rowOff>0</xdr:rowOff>
    </xdr:from>
    <xdr:ext cx="3200400" cy="1676400"/>
    <xdr:pic>
      <xdr:nvPicPr>
        <xdr:cNvPr id="4" name="Picture 3">
          <a:extLst>
            <a:ext uri="{FF2B5EF4-FFF2-40B4-BE49-F238E27FC236}">
              <a16:creationId xmlns:a16="http://schemas.microsoft.com/office/drawing/2014/main" id="{554FC9DF-1905-4E97-B324-A525E5DC8F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5734050"/>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10</xdr:col>
      <xdr:colOff>161926</xdr:colOff>
      <xdr:row>11</xdr:row>
      <xdr:rowOff>352426</xdr:rowOff>
    </xdr:from>
    <xdr:to>
      <xdr:col>14</xdr:col>
      <xdr:colOff>571501</xdr:colOff>
      <xdr:row>19</xdr:row>
      <xdr:rowOff>190500</xdr:rowOff>
    </xdr:to>
    <xdr:pic>
      <xdr:nvPicPr>
        <xdr:cNvPr id="2" name="Picture 1">
          <a:extLst>
            <a:ext uri="{FF2B5EF4-FFF2-40B4-BE49-F238E27FC236}">
              <a16:creationId xmlns:a16="http://schemas.microsoft.com/office/drawing/2014/main" id="{2C4AA7E1-8527-46E6-AD83-78DA28429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306176" y="3009901"/>
          <a:ext cx="335280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247650</xdr:colOff>
      <xdr:row>2</xdr:row>
      <xdr:rowOff>114299</xdr:rowOff>
    </xdr:from>
    <xdr:to>
      <xdr:col>15</xdr:col>
      <xdr:colOff>19050</xdr:colOff>
      <xdr:row>10</xdr:row>
      <xdr:rowOff>133349</xdr:rowOff>
    </xdr:to>
    <xdr:pic>
      <xdr:nvPicPr>
        <xdr:cNvPr id="3" name="Picture 2">
          <a:extLst>
            <a:ext uri="{FF2B5EF4-FFF2-40B4-BE49-F238E27FC236}">
              <a16:creationId xmlns:a16="http://schemas.microsoft.com/office/drawing/2014/main" id="{3A92EB25-CBFD-4C04-9C4D-29AC2D9630DB}"/>
            </a:ext>
          </a:extLst>
        </xdr:cNvPr>
        <xdr:cNvPicPr>
          <a:picLocks noChangeAspect="1"/>
        </xdr:cNvPicPr>
      </xdr:nvPicPr>
      <xdr:blipFill>
        <a:blip xmlns:r="http://schemas.openxmlformats.org/officeDocument/2006/relationships" r:embed="rId2"/>
        <a:stretch>
          <a:fillRect/>
        </a:stretch>
      </xdr:blipFill>
      <xdr:spPr>
        <a:xfrm>
          <a:off x="11391900" y="552449"/>
          <a:ext cx="3324225" cy="20288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581025</xdr:colOff>
      <xdr:row>14</xdr:row>
      <xdr:rowOff>76201</xdr:rowOff>
    </xdr:from>
    <xdr:to>
      <xdr:col>14</xdr:col>
      <xdr:colOff>57151</xdr:colOff>
      <xdr:row>21</xdr:row>
      <xdr:rowOff>152400</xdr:rowOff>
    </xdr:to>
    <xdr:pic>
      <xdr:nvPicPr>
        <xdr:cNvPr id="4" name="Picture 3">
          <a:extLst>
            <a:ext uri="{FF2B5EF4-FFF2-40B4-BE49-F238E27FC236}">
              <a16:creationId xmlns:a16="http://schemas.microsoft.com/office/drawing/2014/main" id="{6967B3DA-58CE-4A74-BD1B-D7CB3D1DBE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0" y="3467101"/>
          <a:ext cx="3133726"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590549</xdr:colOff>
      <xdr:row>2</xdr:row>
      <xdr:rowOff>133350</xdr:rowOff>
    </xdr:from>
    <xdr:to>
      <xdr:col>14</xdr:col>
      <xdr:colOff>38101</xdr:colOff>
      <xdr:row>9</xdr:row>
      <xdr:rowOff>304800</xdr:rowOff>
    </xdr:to>
    <xdr:pic>
      <xdr:nvPicPr>
        <xdr:cNvPr id="5" name="Picture 4">
          <a:extLst>
            <a:ext uri="{FF2B5EF4-FFF2-40B4-BE49-F238E27FC236}">
              <a16:creationId xmlns:a16="http://schemas.microsoft.com/office/drawing/2014/main" id="{2E12420E-84E0-4F65-A96C-39239EAC0276}"/>
            </a:ext>
          </a:extLst>
        </xdr:cNvPr>
        <xdr:cNvPicPr>
          <a:picLocks noChangeAspect="1"/>
        </xdr:cNvPicPr>
      </xdr:nvPicPr>
      <xdr:blipFill>
        <a:blip xmlns:r="http://schemas.openxmlformats.org/officeDocument/2006/relationships" r:embed="rId2"/>
        <a:stretch>
          <a:fillRect/>
        </a:stretch>
      </xdr:blipFill>
      <xdr:spPr>
        <a:xfrm>
          <a:off x="10239374" y="571500"/>
          <a:ext cx="3105152" cy="19240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76199</xdr:colOff>
      <xdr:row>12</xdr:row>
      <xdr:rowOff>95250</xdr:rowOff>
    </xdr:from>
    <xdr:to>
      <xdr:col>14</xdr:col>
      <xdr:colOff>114300</xdr:colOff>
      <xdr:row>19</xdr:row>
      <xdr:rowOff>142875</xdr:rowOff>
    </xdr:to>
    <xdr:pic>
      <xdr:nvPicPr>
        <xdr:cNvPr id="2" name="Picture 1">
          <a:extLst>
            <a:ext uri="{FF2B5EF4-FFF2-40B4-BE49-F238E27FC236}">
              <a16:creationId xmlns:a16="http://schemas.microsoft.com/office/drawing/2014/main" id="{34F244A0-F882-4CD3-801B-A9472E241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4" y="3067050"/>
          <a:ext cx="308610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152400</xdr:colOff>
      <xdr:row>10</xdr:row>
      <xdr:rowOff>47400</xdr:rowOff>
    </xdr:to>
    <xdr:pic>
      <xdr:nvPicPr>
        <xdr:cNvPr id="3" name="Picture 2">
          <a:extLst>
            <a:ext uri="{FF2B5EF4-FFF2-40B4-BE49-F238E27FC236}">
              <a16:creationId xmlns:a16="http://schemas.microsoft.com/office/drawing/2014/main" id="{B2CC4C77-3209-4492-A5B9-C8B0D13FFA79}"/>
            </a:ext>
          </a:extLst>
        </xdr:cNvPr>
        <xdr:cNvPicPr>
          <a:picLocks/>
        </xdr:cNvPicPr>
      </xdr:nvPicPr>
      <xdr:blipFill>
        <a:blip xmlns:r="http://schemas.openxmlformats.org/officeDocument/2006/relationships" r:embed="rId2"/>
        <a:stretch>
          <a:fillRect/>
        </a:stretch>
      </xdr:blipFill>
      <xdr:spPr>
        <a:xfrm>
          <a:off x="10448925" y="552450"/>
          <a:ext cx="3124200" cy="18952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47625</xdr:rowOff>
    </xdr:to>
    <xdr:pic>
      <xdr:nvPicPr>
        <xdr:cNvPr id="2" name="Picture 1">
          <a:extLst>
            <a:ext uri="{FF2B5EF4-FFF2-40B4-BE49-F238E27FC236}">
              <a16:creationId xmlns:a16="http://schemas.microsoft.com/office/drawing/2014/main" id="{C8853F27-8D00-44B6-8D3E-EC0DD39C5B16}"/>
            </a:ext>
          </a:extLst>
        </xdr:cNvPr>
        <xdr:cNvPicPr>
          <a:picLocks noChangeAspect="1"/>
        </xdr:cNvPicPr>
      </xdr:nvPicPr>
      <xdr:blipFill>
        <a:blip xmlns:r="http://schemas.openxmlformats.org/officeDocument/2006/relationships" r:embed="rId1"/>
        <a:stretch>
          <a:fillRect/>
        </a:stretch>
      </xdr:blipFill>
      <xdr:spPr>
        <a:xfrm>
          <a:off x="10182225" y="533400"/>
          <a:ext cx="3152775" cy="1914525"/>
        </a:xfrm>
        <a:prstGeom prst="rect">
          <a:avLst/>
        </a:prstGeom>
      </xdr:spPr>
    </xdr:pic>
    <xdr:clientData/>
  </xdr:twoCellAnchor>
  <xdr:twoCellAnchor editAs="oneCell">
    <xdr:from>
      <xdr:col>8</xdr:col>
      <xdr:colOff>561975</xdr:colOff>
      <xdr:row>14</xdr:row>
      <xdr:rowOff>38101</xdr:rowOff>
    </xdr:from>
    <xdr:to>
      <xdr:col>14</xdr:col>
      <xdr:colOff>114300</xdr:colOff>
      <xdr:row>20</xdr:row>
      <xdr:rowOff>133351</xdr:rowOff>
    </xdr:to>
    <xdr:pic>
      <xdr:nvPicPr>
        <xdr:cNvPr id="3" name="Picture 2">
          <a:extLst>
            <a:ext uri="{FF2B5EF4-FFF2-40B4-BE49-F238E27FC236}">
              <a16:creationId xmlns:a16="http://schemas.microsoft.com/office/drawing/2014/main" id="{C8F2D479-AC93-49E5-9A36-46EE9CA1B6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76601"/>
          <a:ext cx="32099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542926</xdr:colOff>
      <xdr:row>21</xdr:row>
      <xdr:rowOff>619126</xdr:rowOff>
    </xdr:from>
    <xdr:ext cx="3238500" cy="1695450"/>
    <xdr:pic>
      <xdr:nvPicPr>
        <xdr:cNvPr id="4" name="Picture 3">
          <a:extLst>
            <a:ext uri="{FF2B5EF4-FFF2-40B4-BE49-F238E27FC236}">
              <a16:creationId xmlns:a16="http://schemas.microsoft.com/office/drawing/2014/main" id="{FC1650B9-8FED-406B-8772-47AFDE8768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6" y="56292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38099</xdr:colOff>
      <xdr:row>10</xdr:row>
      <xdr:rowOff>561975</xdr:rowOff>
    </xdr:from>
    <xdr:to>
      <xdr:col>13</xdr:col>
      <xdr:colOff>581024</xdr:colOff>
      <xdr:row>17</xdr:row>
      <xdr:rowOff>104774</xdr:rowOff>
    </xdr:to>
    <xdr:pic>
      <xdr:nvPicPr>
        <xdr:cNvPr id="2" name="Picture 1">
          <a:extLst>
            <a:ext uri="{FF2B5EF4-FFF2-40B4-BE49-F238E27FC236}">
              <a16:creationId xmlns:a16="http://schemas.microsoft.com/office/drawing/2014/main" id="{7652F01A-0AF1-4CFA-AAF0-FFFCC3CAF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2962275"/>
          <a:ext cx="2981325" cy="1619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95249</xdr:colOff>
      <xdr:row>2</xdr:row>
      <xdr:rowOff>104774</xdr:rowOff>
    </xdr:from>
    <xdr:to>
      <xdr:col>14</xdr:col>
      <xdr:colOff>9524</xdr:colOff>
      <xdr:row>10</xdr:row>
      <xdr:rowOff>0</xdr:rowOff>
    </xdr:to>
    <xdr:pic>
      <xdr:nvPicPr>
        <xdr:cNvPr id="3" name="Picture 2">
          <a:extLst>
            <a:ext uri="{FF2B5EF4-FFF2-40B4-BE49-F238E27FC236}">
              <a16:creationId xmlns:a16="http://schemas.microsoft.com/office/drawing/2014/main" id="{75A258E7-82C0-4833-9153-805CECCE05B7}"/>
            </a:ext>
          </a:extLst>
        </xdr:cNvPr>
        <xdr:cNvPicPr>
          <a:picLocks/>
        </xdr:cNvPicPr>
      </xdr:nvPicPr>
      <xdr:blipFill>
        <a:blip xmlns:r="http://schemas.openxmlformats.org/officeDocument/2006/relationships" r:embed="rId2"/>
        <a:stretch>
          <a:fillRect/>
        </a:stretch>
      </xdr:blipFill>
      <xdr:spPr>
        <a:xfrm>
          <a:off x="10429874" y="542924"/>
          <a:ext cx="2962275" cy="185737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133350</xdr:colOff>
      <xdr:row>10</xdr:row>
      <xdr:rowOff>57151</xdr:rowOff>
    </xdr:to>
    <xdr:pic>
      <xdr:nvPicPr>
        <xdr:cNvPr id="2" name="Picture 1">
          <a:extLst>
            <a:ext uri="{FF2B5EF4-FFF2-40B4-BE49-F238E27FC236}">
              <a16:creationId xmlns:a16="http://schemas.microsoft.com/office/drawing/2014/main" id="{268C9213-AD5E-48E8-90B7-87F268D17208}"/>
            </a:ext>
          </a:extLst>
        </xdr:cNvPr>
        <xdr:cNvPicPr>
          <a:picLocks noChangeAspect="1"/>
        </xdr:cNvPicPr>
      </xdr:nvPicPr>
      <xdr:blipFill>
        <a:blip xmlns:r="http://schemas.openxmlformats.org/officeDocument/2006/relationships" r:embed="rId1"/>
        <a:stretch>
          <a:fillRect/>
        </a:stretch>
      </xdr:blipFill>
      <xdr:spPr>
        <a:xfrm>
          <a:off x="10172700" y="704851"/>
          <a:ext cx="3181350" cy="1905000"/>
        </a:xfrm>
        <a:prstGeom prst="rect">
          <a:avLst/>
        </a:prstGeom>
      </xdr:spPr>
    </xdr:pic>
    <xdr:clientData/>
  </xdr:twoCellAnchor>
  <xdr:twoCellAnchor editAs="oneCell">
    <xdr:from>
      <xdr:col>9</xdr:col>
      <xdr:colOff>1</xdr:colOff>
      <xdr:row>15</xdr:row>
      <xdr:rowOff>1</xdr:rowOff>
    </xdr:from>
    <xdr:to>
      <xdr:col>14</xdr:col>
      <xdr:colOff>133351</xdr:colOff>
      <xdr:row>18</xdr:row>
      <xdr:rowOff>152401</xdr:rowOff>
    </xdr:to>
    <xdr:pic>
      <xdr:nvPicPr>
        <xdr:cNvPr id="3" name="Picture 2">
          <a:extLst>
            <a:ext uri="{FF2B5EF4-FFF2-40B4-BE49-F238E27FC236}">
              <a16:creationId xmlns:a16="http://schemas.microsoft.com/office/drawing/2014/main" id="{B5292702-A6CE-45B3-9617-DB118F6FC4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600451"/>
          <a:ext cx="31813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21</xdr:row>
      <xdr:rowOff>200026</xdr:rowOff>
    </xdr:from>
    <xdr:ext cx="3238500" cy="1647824"/>
    <xdr:pic>
      <xdr:nvPicPr>
        <xdr:cNvPr id="4" name="Picture 3">
          <a:extLst>
            <a:ext uri="{FF2B5EF4-FFF2-40B4-BE49-F238E27FC236}">
              <a16:creationId xmlns:a16="http://schemas.microsoft.com/office/drawing/2014/main" id="{8AAE4B5C-B73A-443A-B089-6851B891F7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124576"/>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11E3C0D1-431F-406F-8F8D-BD24C9CA2053}"/>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8</xdr:col>
      <xdr:colOff>561975</xdr:colOff>
      <xdr:row>14</xdr:row>
      <xdr:rowOff>104776</xdr:rowOff>
    </xdr:from>
    <xdr:to>
      <xdr:col>14</xdr:col>
      <xdr:colOff>257175</xdr:colOff>
      <xdr:row>20</xdr:row>
      <xdr:rowOff>123826</xdr:rowOff>
    </xdr:to>
    <xdr:pic>
      <xdr:nvPicPr>
        <xdr:cNvPr id="3" name="Picture 2">
          <a:extLst>
            <a:ext uri="{FF2B5EF4-FFF2-40B4-BE49-F238E27FC236}">
              <a16:creationId xmlns:a16="http://schemas.microsoft.com/office/drawing/2014/main" id="{F6BF89FB-2BF3-48EE-BEF3-767FE80679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43276"/>
          <a:ext cx="33528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22</xdr:row>
      <xdr:rowOff>57150</xdr:rowOff>
    </xdr:from>
    <xdr:ext cx="3419475" cy="1771650"/>
    <xdr:pic>
      <xdr:nvPicPr>
        <xdr:cNvPr id="4" name="Picture 3">
          <a:extLst>
            <a:ext uri="{FF2B5EF4-FFF2-40B4-BE49-F238E27FC236}">
              <a16:creationId xmlns:a16="http://schemas.microsoft.com/office/drawing/2014/main" id="{5A248FEA-776E-4C6E-B007-070B337015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5" y="55816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11</xdr:row>
      <xdr:rowOff>95251</xdr:rowOff>
    </xdr:to>
    <xdr:pic>
      <xdr:nvPicPr>
        <xdr:cNvPr id="2" name="Picture 1">
          <a:extLst>
            <a:ext uri="{FF2B5EF4-FFF2-40B4-BE49-F238E27FC236}">
              <a16:creationId xmlns:a16="http://schemas.microsoft.com/office/drawing/2014/main" id="{C487E5D9-D441-4EFA-885A-05BDD2D7C33E}"/>
            </a:ext>
          </a:extLst>
        </xdr:cNvPr>
        <xdr:cNvPicPr>
          <a:picLocks noChangeAspect="1"/>
        </xdr:cNvPicPr>
      </xdr:nvPicPr>
      <xdr:blipFill>
        <a:blip xmlns:r="http://schemas.openxmlformats.org/officeDocument/2006/relationships" r:embed="rId1"/>
        <a:stretch>
          <a:fillRect/>
        </a:stretch>
      </xdr:blipFill>
      <xdr:spPr>
        <a:xfrm>
          <a:off x="10172700" y="704851"/>
          <a:ext cx="3219450" cy="2000250"/>
        </a:xfrm>
        <a:prstGeom prst="rect">
          <a:avLst/>
        </a:prstGeom>
      </xdr:spPr>
    </xdr:pic>
    <xdr:clientData/>
  </xdr:twoCellAnchor>
  <xdr:twoCellAnchor editAs="oneCell">
    <xdr:from>
      <xdr:col>8</xdr:col>
      <xdr:colOff>533400</xdr:colOff>
      <xdr:row>13</xdr:row>
      <xdr:rowOff>190500</xdr:rowOff>
    </xdr:from>
    <xdr:to>
      <xdr:col>14</xdr:col>
      <xdr:colOff>180975</xdr:colOff>
      <xdr:row>20</xdr:row>
      <xdr:rowOff>133350</xdr:rowOff>
    </xdr:to>
    <xdr:pic>
      <xdr:nvPicPr>
        <xdr:cNvPr id="3" name="Picture 2">
          <a:extLst>
            <a:ext uri="{FF2B5EF4-FFF2-40B4-BE49-F238E27FC236}">
              <a16:creationId xmlns:a16="http://schemas.microsoft.com/office/drawing/2014/main" id="{86D65B00-DA20-4C81-9D75-B936534096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500" y="3371850"/>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226417</xdr:colOff>
      <xdr:row>10</xdr:row>
      <xdr:rowOff>114300</xdr:rowOff>
    </xdr:to>
    <xdr:pic>
      <xdr:nvPicPr>
        <xdr:cNvPr id="2" name="Picture 1">
          <a:extLst>
            <a:ext uri="{FF2B5EF4-FFF2-40B4-BE49-F238E27FC236}">
              <a16:creationId xmlns:a16="http://schemas.microsoft.com/office/drawing/2014/main" id="{92FAA505-DF39-4CA3-AE89-D84B556AEF77}"/>
            </a:ext>
          </a:extLst>
        </xdr:cNvPr>
        <xdr:cNvPicPr>
          <a:picLocks noChangeAspect="1"/>
        </xdr:cNvPicPr>
      </xdr:nvPicPr>
      <xdr:blipFill>
        <a:blip xmlns:r="http://schemas.openxmlformats.org/officeDocument/2006/relationships" r:embed="rId1"/>
        <a:stretch>
          <a:fillRect/>
        </a:stretch>
      </xdr:blipFill>
      <xdr:spPr>
        <a:xfrm>
          <a:off x="10163175" y="504825"/>
          <a:ext cx="3283942" cy="2009775"/>
        </a:xfrm>
        <a:prstGeom prst="rect">
          <a:avLst/>
        </a:prstGeom>
      </xdr:spPr>
    </xdr:pic>
    <xdr:clientData/>
  </xdr:twoCellAnchor>
  <xdr:twoCellAnchor editAs="oneCell">
    <xdr:from>
      <xdr:col>8</xdr:col>
      <xdr:colOff>476250</xdr:colOff>
      <xdr:row>13</xdr:row>
      <xdr:rowOff>38100</xdr:rowOff>
    </xdr:from>
    <xdr:to>
      <xdr:col>14</xdr:col>
      <xdr:colOff>209550</xdr:colOff>
      <xdr:row>19</xdr:row>
      <xdr:rowOff>104775</xdr:rowOff>
    </xdr:to>
    <xdr:pic>
      <xdr:nvPicPr>
        <xdr:cNvPr id="3" name="Picture 2">
          <a:extLst>
            <a:ext uri="{FF2B5EF4-FFF2-40B4-BE49-F238E27FC236}">
              <a16:creationId xmlns:a16="http://schemas.microsoft.com/office/drawing/2014/main" id="{27C488CC-577C-4A89-9319-F53343F975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39350" y="3219450"/>
          <a:ext cx="33909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22</xdr:row>
      <xdr:rowOff>9525</xdr:rowOff>
    </xdr:from>
    <xdr:ext cx="3400424" cy="1800225"/>
    <xdr:pic>
      <xdr:nvPicPr>
        <xdr:cNvPr id="4" name="Picture 3">
          <a:extLst>
            <a:ext uri="{FF2B5EF4-FFF2-40B4-BE49-F238E27FC236}">
              <a16:creationId xmlns:a16="http://schemas.microsoft.com/office/drawing/2014/main" id="{54CBF506-8787-4534-8755-C5FA0FC252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5686425"/>
          <a:ext cx="3400424"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10</xdr:row>
      <xdr:rowOff>200025</xdr:rowOff>
    </xdr:to>
    <xdr:pic>
      <xdr:nvPicPr>
        <xdr:cNvPr id="2" name="Picture 1">
          <a:extLst>
            <a:ext uri="{FF2B5EF4-FFF2-40B4-BE49-F238E27FC236}">
              <a16:creationId xmlns:a16="http://schemas.microsoft.com/office/drawing/2014/main" id="{D462F4E6-E078-4A9C-87AB-3086C9422DD1}"/>
            </a:ext>
          </a:extLst>
        </xdr:cNvPr>
        <xdr:cNvPicPr>
          <a:picLocks noChangeAspect="1"/>
        </xdr:cNvPicPr>
      </xdr:nvPicPr>
      <xdr:blipFill>
        <a:blip xmlns:r="http://schemas.openxmlformats.org/officeDocument/2006/relationships" r:embed="rId1"/>
        <a:stretch>
          <a:fillRect/>
        </a:stretch>
      </xdr:blipFill>
      <xdr:spPr>
        <a:xfrm>
          <a:off x="10172700" y="542925"/>
          <a:ext cx="3228975" cy="2057400"/>
        </a:xfrm>
        <a:prstGeom prst="rect">
          <a:avLst/>
        </a:prstGeom>
      </xdr:spPr>
    </xdr:pic>
    <xdr:clientData/>
  </xdr:twoCellAnchor>
  <xdr:twoCellAnchor editAs="oneCell">
    <xdr:from>
      <xdr:col>8</xdr:col>
      <xdr:colOff>561975</xdr:colOff>
      <xdr:row>14</xdr:row>
      <xdr:rowOff>47626</xdr:rowOff>
    </xdr:from>
    <xdr:to>
      <xdr:col>14</xdr:col>
      <xdr:colOff>104775</xdr:colOff>
      <xdr:row>22</xdr:row>
      <xdr:rowOff>85726</xdr:rowOff>
    </xdr:to>
    <xdr:pic>
      <xdr:nvPicPr>
        <xdr:cNvPr id="3" name="Picture 2">
          <a:extLst>
            <a:ext uri="{FF2B5EF4-FFF2-40B4-BE49-F238E27FC236}">
              <a16:creationId xmlns:a16="http://schemas.microsoft.com/office/drawing/2014/main" id="{FDD21767-83EF-45DF-850C-9A23D2B4D4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438526"/>
          <a:ext cx="32004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9</xdr:row>
      <xdr:rowOff>357022</xdr:rowOff>
    </xdr:to>
    <xdr:pic>
      <xdr:nvPicPr>
        <xdr:cNvPr id="2" name="Picture 1">
          <a:extLst>
            <a:ext uri="{FF2B5EF4-FFF2-40B4-BE49-F238E27FC236}">
              <a16:creationId xmlns:a16="http://schemas.microsoft.com/office/drawing/2014/main" id="{4274798D-42EB-4DEC-BFC6-8B4D26AC7DDC}"/>
            </a:ext>
          </a:extLst>
        </xdr:cNvPr>
        <xdr:cNvPicPr>
          <a:picLocks noChangeAspect="1"/>
        </xdr:cNvPicPr>
      </xdr:nvPicPr>
      <xdr:blipFill>
        <a:blip xmlns:r="http://schemas.openxmlformats.org/officeDocument/2006/relationships" r:embed="rId1"/>
        <a:stretch>
          <a:fillRect/>
        </a:stretch>
      </xdr:blipFill>
      <xdr:spPr>
        <a:xfrm>
          <a:off x="10163175" y="571500"/>
          <a:ext cx="3086100" cy="1976272"/>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9959BAAB-5DE4-40E2-ACF7-625717855D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3051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6CDC8800-2ED4-400A-9259-2F848D7A15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6" y="585787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11</xdr:row>
      <xdr:rowOff>9525</xdr:rowOff>
    </xdr:to>
    <xdr:pic>
      <xdr:nvPicPr>
        <xdr:cNvPr id="2" name="Picture 1">
          <a:extLst>
            <a:ext uri="{FF2B5EF4-FFF2-40B4-BE49-F238E27FC236}">
              <a16:creationId xmlns:a16="http://schemas.microsoft.com/office/drawing/2014/main" id="{0600C9ED-F2B0-448C-83E8-8AEB7AFD650A}"/>
            </a:ext>
          </a:extLst>
        </xdr:cNvPr>
        <xdr:cNvPicPr>
          <a:picLocks noChangeAspect="1"/>
        </xdr:cNvPicPr>
      </xdr:nvPicPr>
      <xdr:blipFill>
        <a:blip xmlns:r="http://schemas.openxmlformats.org/officeDocument/2006/relationships" r:embed="rId1"/>
        <a:stretch>
          <a:fillRect/>
        </a:stretch>
      </xdr:blipFill>
      <xdr:spPr>
        <a:xfrm>
          <a:off x="10172700" y="609600"/>
          <a:ext cx="3283942" cy="2009775"/>
        </a:xfrm>
        <a:prstGeom prst="rect">
          <a:avLst/>
        </a:prstGeom>
      </xdr:spPr>
    </xdr:pic>
    <xdr:clientData/>
  </xdr:twoCellAnchor>
  <xdr:twoCellAnchor editAs="oneCell">
    <xdr:from>
      <xdr:col>8</xdr:col>
      <xdr:colOff>590550</xdr:colOff>
      <xdr:row>13</xdr:row>
      <xdr:rowOff>180975</xdr:rowOff>
    </xdr:from>
    <xdr:to>
      <xdr:col>14</xdr:col>
      <xdr:colOff>200025</xdr:colOff>
      <xdr:row>20</xdr:row>
      <xdr:rowOff>19050</xdr:rowOff>
    </xdr:to>
    <xdr:pic>
      <xdr:nvPicPr>
        <xdr:cNvPr id="3" name="Picture 2">
          <a:extLst>
            <a:ext uri="{FF2B5EF4-FFF2-40B4-BE49-F238E27FC236}">
              <a16:creationId xmlns:a16="http://schemas.microsoft.com/office/drawing/2014/main" id="{5AE0E73C-1AF4-497A-9B24-5A2A06B969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62325"/>
          <a:ext cx="326707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F823E953-4EB0-4950-B209-F1902D3A9E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048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133350</xdr:colOff>
      <xdr:row>10</xdr:row>
      <xdr:rowOff>161925</xdr:rowOff>
    </xdr:to>
    <xdr:pic>
      <xdr:nvPicPr>
        <xdr:cNvPr id="2" name="Picture 1">
          <a:extLst>
            <a:ext uri="{FF2B5EF4-FFF2-40B4-BE49-F238E27FC236}">
              <a16:creationId xmlns:a16="http://schemas.microsoft.com/office/drawing/2014/main" id="{A1BE8BCD-D33D-4869-A424-3EDB9D2185BC}"/>
            </a:ext>
          </a:extLst>
        </xdr:cNvPr>
        <xdr:cNvPicPr>
          <a:picLocks noChangeAspect="1"/>
        </xdr:cNvPicPr>
      </xdr:nvPicPr>
      <xdr:blipFill>
        <a:blip xmlns:r="http://schemas.openxmlformats.org/officeDocument/2006/relationships" r:embed="rId1"/>
        <a:stretch>
          <a:fillRect/>
        </a:stretch>
      </xdr:blipFill>
      <xdr:spPr>
        <a:xfrm>
          <a:off x="10172700" y="704850"/>
          <a:ext cx="3181350" cy="2009775"/>
        </a:xfrm>
        <a:prstGeom prst="rect">
          <a:avLst/>
        </a:prstGeom>
      </xdr:spPr>
    </xdr:pic>
    <xdr:clientData/>
  </xdr:twoCellAnchor>
  <xdr:twoCellAnchor editAs="oneCell">
    <xdr:from>
      <xdr:col>9</xdr:col>
      <xdr:colOff>1</xdr:colOff>
      <xdr:row>16</xdr:row>
      <xdr:rowOff>1</xdr:rowOff>
    </xdr:from>
    <xdr:to>
      <xdr:col>14</xdr:col>
      <xdr:colOff>171451</xdr:colOff>
      <xdr:row>22</xdr:row>
      <xdr:rowOff>1</xdr:rowOff>
    </xdr:to>
    <xdr:pic>
      <xdr:nvPicPr>
        <xdr:cNvPr id="3" name="Picture 2">
          <a:extLst>
            <a:ext uri="{FF2B5EF4-FFF2-40B4-BE49-F238E27FC236}">
              <a16:creationId xmlns:a16="http://schemas.microsoft.com/office/drawing/2014/main" id="{102929DA-075E-4818-B838-B9BE49F3C9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962401"/>
          <a:ext cx="32194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219075</xdr:rowOff>
    </xdr:from>
    <xdr:ext cx="3273721" cy="1762125"/>
    <xdr:pic>
      <xdr:nvPicPr>
        <xdr:cNvPr id="4" name="Picture 3">
          <a:extLst>
            <a:ext uri="{FF2B5EF4-FFF2-40B4-BE49-F238E27FC236}">
              <a16:creationId xmlns:a16="http://schemas.microsoft.com/office/drawing/2014/main" id="{36246E13-0878-4EF6-8C11-9CC868BF05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7029450"/>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9</xdr:col>
      <xdr:colOff>28575</xdr:colOff>
      <xdr:row>13</xdr:row>
      <xdr:rowOff>28574</xdr:rowOff>
    </xdr:from>
    <xdr:to>
      <xdr:col>13</xdr:col>
      <xdr:colOff>600075</xdr:colOff>
      <xdr:row>18</xdr:row>
      <xdr:rowOff>200026</xdr:rowOff>
    </xdr:to>
    <xdr:pic>
      <xdr:nvPicPr>
        <xdr:cNvPr id="3" name="Picture 2">
          <a:extLst>
            <a:ext uri="{FF2B5EF4-FFF2-40B4-BE49-F238E27FC236}">
              <a16:creationId xmlns:a16="http://schemas.microsoft.com/office/drawing/2014/main" id="{42F678E9-D71C-421C-9F49-D797510806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29850" y="3209924"/>
          <a:ext cx="3200400" cy="1676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21</xdr:row>
      <xdr:rowOff>28575</xdr:rowOff>
    </xdr:from>
    <xdr:to>
      <xdr:col>13</xdr:col>
      <xdr:colOff>571500</xdr:colOff>
      <xdr:row>28</xdr:row>
      <xdr:rowOff>47625</xdr:rowOff>
    </xdr:to>
    <xdr:pic>
      <xdr:nvPicPr>
        <xdr:cNvPr id="4" name="Picture 3">
          <a:extLst>
            <a:ext uri="{FF2B5EF4-FFF2-40B4-BE49-F238E27FC236}">
              <a16:creationId xmlns:a16="http://schemas.microsoft.com/office/drawing/2014/main" id="{4BB49267-DE30-4FD5-9FB6-B44264828CD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48901" y="5343525"/>
          <a:ext cx="3152774"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3</xdr:row>
      <xdr:rowOff>76200</xdr:rowOff>
    </xdr:from>
    <xdr:to>
      <xdr:col>13</xdr:col>
      <xdr:colOff>581025</xdr:colOff>
      <xdr:row>11</xdr:row>
      <xdr:rowOff>38100</xdr:rowOff>
    </xdr:to>
    <xdr:pic>
      <xdr:nvPicPr>
        <xdr:cNvPr id="5" name="Picture 4">
          <a:extLst>
            <a:ext uri="{FF2B5EF4-FFF2-40B4-BE49-F238E27FC236}">
              <a16:creationId xmlns:a16="http://schemas.microsoft.com/office/drawing/2014/main" id="{95110C5B-5E78-486B-ABB8-814609875BB6}"/>
            </a:ext>
          </a:extLst>
        </xdr:cNvPr>
        <xdr:cNvPicPr>
          <a:picLocks noChangeAspect="1"/>
        </xdr:cNvPicPr>
      </xdr:nvPicPr>
      <xdr:blipFill>
        <a:blip xmlns:r="http://schemas.openxmlformats.org/officeDocument/2006/relationships" r:embed="rId2"/>
        <a:stretch>
          <a:fillRect/>
        </a:stretch>
      </xdr:blipFill>
      <xdr:spPr>
        <a:xfrm>
          <a:off x="10287000" y="781050"/>
          <a:ext cx="3124200" cy="20193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76200</xdr:colOff>
      <xdr:row>10</xdr:row>
      <xdr:rowOff>304800</xdr:rowOff>
    </xdr:to>
    <xdr:pic>
      <xdr:nvPicPr>
        <xdr:cNvPr id="2" name="Picture 1">
          <a:extLst>
            <a:ext uri="{FF2B5EF4-FFF2-40B4-BE49-F238E27FC236}">
              <a16:creationId xmlns:a16="http://schemas.microsoft.com/office/drawing/2014/main" id="{CB98767A-A075-4576-9ABF-671B398708EC}"/>
            </a:ext>
          </a:extLst>
        </xdr:cNvPr>
        <xdr:cNvPicPr>
          <a:picLocks noChangeAspect="1"/>
        </xdr:cNvPicPr>
      </xdr:nvPicPr>
      <xdr:blipFill>
        <a:blip xmlns:r="http://schemas.openxmlformats.org/officeDocument/2006/relationships" r:embed="rId1"/>
        <a:stretch>
          <a:fillRect/>
        </a:stretch>
      </xdr:blipFill>
      <xdr:spPr>
        <a:xfrm>
          <a:off x="10172700" y="704850"/>
          <a:ext cx="3124200" cy="2000250"/>
        </a:xfrm>
        <a:prstGeom prst="rect">
          <a:avLst/>
        </a:prstGeom>
      </xdr:spPr>
    </xdr:pic>
    <xdr:clientData/>
  </xdr:twoCellAnchor>
  <xdr:twoCellAnchor editAs="oneCell">
    <xdr:from>
      <xdr:col>9</xdr:col>
      <xdr:colOff>0</xdr:colOff>
      <xdr:row>12</xdr:row>
      <xdr:rowOff>114301</xdr:rowOff>
    </xdr:from>
    <xdr:to>
      <xdr:col>14</xdr:col>
      <xdr:colOff>190500</xdr:colOff>
      <xdr:row>20</xdr:row>
      <xdr:rowOff>190500</xdr:rowOff>
    </xdr:to>
    <xdr:pic>
      <xdr:nvPicPr>
        <xdr:cNvPr id="3" name="Picture 2">
          <a:extLst>
            <a:ext uri="{FF2B5EF4-FFF2-40B4-BE49-F238E27FC236}">
              <a16:creationId xmlns:a16="http://schemas.microsoft.com/office/drawing/2014/main" id="{42ABC10F-FFAC-4D5A-9E21-8759D80500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1"/>
          <a:ext cx="323850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1</xdr:colOff>
      <xdr:row>3</xdr:row>
      <xdr:rowOff>0</xdr:rowOff>
    </xdr:from>
    <xdr:to>
      <xdr:col>14</xdr:col>
      <xdr:colOff>76200</xdr:colOff>
      <xdr:row>10</xdr:row>
      <xdr:rowOff>114300</xdr:rowOff>
    </xdr:to>
    <xdr:pic>
      <xdr:nvPicPr>
        <xdr:cNvPr id="2" name="Picture 1">
          <a:extLst>
            <a:ext uri="{FF2B5EF4-FFF2-40B4-BE49-F238E27FC236}">
              <a16:creationId xmlns:a16="http://schemas.microsoft.com/office/drawing/2014/main" id="{80E159E9-578B-47BB-B83A-02E4497FEC22}"/>
            </a:ext>
          </a:extLst>
        </xdr:cNvPr>
        <xdr:cNvPicPr>
          <a:picLocks noChangeAspect="1"/>
        </xdr:cNvPicPr>
      </xdr:nvPicPr>
      <xdr:blipFill>
        <a:blip xmlns:r="http://schemas.openxmlformats.org/officeDocument/2006/relationships" r:embed="rId1"/>
        <a:stretch>
          <a:fillRect/>
        </a:stretch>
      </xdr:blipFill>
      <xdr:spPr>
        <a:xfrm>
          <a:off x="8629651" y="571500"/>
          <a:ext cx="3219449" cy="2057400"/>
        </a:xfrm>
        <a:prstGeom prst="rect">
          <a:avLst/>
        </a:prstGeom>
      </xdr:spPr>
    </xdr:pic>
    <xdr:clientData/>
  </xdr:twoCellAnchor>
  <xdr:twoCellAnchor editAs="oneCell">
    <xdr:from>
      <xdr:col>8</xdr:col>
      <xdr:colOff>561977</xdr:colOff>
      <xdr:row>14</xdr:row>
      <xdr:rowOff>0</xdr:rowOff>
    </xdr:from>
    <xdr:to>
      <xdr:col>14</xdr:col>
      <xdr:colOff>114301</xdr:colOff>
      <xdr:row>23</xdr:row>
      <xdr:rowOff>47625</xdr:rowOff>
    </xdr:to>
    <xdr:pic>
      <xdr:nvPicPr>
        <xdr:cNvPr id="3" name="Picture 2">
          <a:extLst>
            <a:ext uri="{FF2B5EF4-FFF2-40B4-BE49-F238E27FC236}">
              <a16:creationId xmlns:a16="http://schemas.microsoft.com/office/drawing/2014/main" id="{03A0A76D-8FB7-4E0D-B8CA-F3E149767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82027" y="3276600"/>
          <a:ext cx="3305174"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2B496-5F35-49D6-B0D0-307B4AE41C40}">
  <dimension ref="A1:C38"/>
  <sheetViews>
    <sheetView tabSelected="1" zoomScale="110" zoomScaleNormal="110" workbookViewId="0">
      <pane ySplit="1" topLeftCell="A2" activePane="bottomLeft" state="frozen"/>
      <selection activeCell="B1" sqref="B1"/>
      <selection pane="bottomLeft"/>
    </sheetView>
  </sheetViews>
  <sheetFormatPr defaultColWidth="9.140625" defaultRowHeight="15" x14ac:dyDescent="0.25"/>
  <cols>
    <col min="1" max="1" width="6" style="31" bestFit="1" customWidth="1"/>
    <col min="2" max="2" width="10.42578125" style="31" bestFit="1" customWidth="1"/>
    <col min="3" max="3" width="56.42578125" style="31" bestFit="1" customWidth="1"/>
    <col min="4" max="16384" width="9.140625" style="31"/>
  </cols>
  <sheetData>
    <row r="1" spans="1:3" x14ac:dyDescent="0.25">
      <c r="A1" s="29" t="s">
        <v>741</v>
      </c>
      <c r="B1" s="30" t="s">
        <v>742</v>
      </c>
      <c r="C1" s="30" t="s">
        <v>743</v>
      </c>
    </row>
    <row r="2" spans="1:3" x14ac:dyDescent="0.25">
      <c r="A2" s="32">
        <v>1</v>
      </c>
      <c r="B2" s="33" t="s">
        <v>744</v>
      </c>
      <c r="C2" s="34" t="s">
        <v>1</v>
      </c>
    </row>
    <row r="3" spans="1:3" x14ac:dyDescent="0.25">
      <c r="A3" s="32">
        <v>2</v>
      </c>
      <c r="B3" s="33" t="s">
        <v>745</v>
      </c>
      <c r="C3" s="34" t="s">
        <v>176</v>
      </c>
    </row>
    <row r="4" spans="1:3" x14ac:dyDescent="0.25">
      <c r="A4" s="32">
        <v>3</v>
      </c>
      <c r="B4" s="33" t="s">
        <v>746</v>
      </c>
      <c r="C4" s="34" t="s">
        <v>290</v>
      </c>
    </row>
    <row r="5" spans="1:3" x14ac:dyDescent="0.25">
      <c r="A5" s="32">
        <v>4</v>
      </c>
      <c r="B5" s="33" t="s">
        <v>747</v>
      </c>
      <c r="C5" s="34" t="s">
        <v>748</v>
      </c>
    </row>
    <row r="6" spans="1:3" x14ac:dyDescent="0.25">
      <c r="A6" s="32">
        <v>5</v>
      </c>
      <c r="B6" s="33" t="s">
        <v>749</v>
      </c>
      <c r="C6" s="34" t="s">
        <v>750</v>
      </c>
    </row>
    <row r="7" spans="1:3" x14ac:dyDescent="0.25">
      <c r="A7" s="32">
        <v>6</v>
      </c>
      <c r="B7" s="33" t="s">
        <v>751</v>
      </c>
      <c r="C7" s="34" t="s">
        <v>362</v>
      </c>
    </row>
    <row r="8" spans="1:3" x14ac:dyDescent="0.25">
      <c r="A8" s="32">
        <v>7</v>
      </c>
      <c r="B8" s="33" t="s">
        <v>752</v>
      </c>
      <c r="C8" s="34" t="s">
        <v>378</v>
      </c>
    </row>
    <row r="9" spans="1:3" x14ac:dyDescent="0.25">
      <c r="A9" s="32">
        <v>8</v>
      </c>
      <c r="B9" s="33" t="s">
        <v>753</v>
      </c>
      <c r="C9" s="34" t="s">
        <v>400</v>
      </c>
    </row>
    <row r="10" spans="1:3" x14ac:dyDescent="0.25">
      <c r="A10" s="32">
        <v>9</v>
      </c>
      <c r="B10" s="33" t="s">
        <v>754</v>
      </c>
      <c r="C10" s="34" t="s">
        <v>433</v>
      </c>
    </row>
    <row r="11" spans="1:3" x14ac:dyDescent="0.25">
      <c r="A11" s="32">
        <v>10</v>
      </c>
      <c r="B11" s="33" t="s">
        <v>755</v>
      </c>
      <c r="C11" s="34" t="s">
        <v>460</v>
      </c>
    </row>
    <row r="12" spans="1:3" x14ac:dyDescent="0.25">
      <c r="A12" s="32">
        <v>11</v>
      </c>
      <c r="B12" s="33" t="s">
        <v>756</v>
      </c>
      <c r="C12" s="34" t="s">
        <v>461</v>
      </c>
    </row>
    <row r="13" spans="1:3" x14ac:dyDescent="0.25">
      <c r="A13" s="32">
        <v>12</v>
      </c>
      <c r="B13" s="33" t="s">
        <v>757</v>
      </c>
      <c r="C13" s="34" t="s">
        <v>462</v>
      </c>
    </row>
    <row r="14" spans="1:3" x14ac:dyDescent="0.25">
      <c r="A14" s="32">
        <v>13</v>
      </c>
      <c r="B14" s="33" t="s">
        <v>758</v>
      </c>
      <c r="C14" s="34" t="s">
        <v>759</v>
      </c>
    </row>
    <row r="15" spans="1:3" x14ac:dyDescent="0.25">
      <c r="A15" s="32">
        <v>14</v>
      </c>
      <c r="B15" s="33" t="s">
        <v>760</v>
      </c>
      <c r="C15" s="34" t="s">
        <v>761</v>
      </c>
    </row>
    <row r="16" spans="1:3" x14ac:dyDescent="0.25">
      <c r="A16" s="32">
        <v>15</v>
      </c>
      <c r="B16" s="33" t="s">
        <v>762</v>
      </c>
      <c r="C16" s="34" t="s">
        <v>763</v>
      </c>
    </row>
    <row r="17" spans="1:3" x14ac:dyDescent="0.25">
      <c r="A17" s="32">
        <v>16</v>
      </c>
      <c r="B17" s="33" t="s">
        <v>764</v>
      </c>
      <c r="C17" s="34" t="s">
        <v>765</v>
      </c>
    </row>
    <row r="18" spans="1:3" x14ac:dyDescent="0.25">
      <c r="A18" s="32">
        <v>17</v>
      </c>
      <c r="B18" s="33" t="s">
        <v>766</v>
      </c>
      <c r="C18" s="34" t="s">
        <v>488</v>
      </c>
    </row>
    <row r="19" spans="1:3" x14ac:dyDescent="0.25">
      <c r="A19" s="32">
        <v>18</v>
      </c>
      <c r="B19" s="33" t="s">
        <v>767</v>
      </c>
      <c r="C19" s="34" t="s">
        <v>491</v>
      </c>
    </row>
    <row r="20" spans="1:3" x14ac:dyDescent="0.25">
      <c r="A20" s="32">
        <v>19</v>
      </c>
      <c r="B20" s="33" t="s">
        <v>768</v>
      </c>
      <c r="C20" s="34" t="s">
        <v>492</v>
      </c>
    </row>
    <row r="21" spans="1:3" x14ac:dyDescent="0.25">
      <c r="A21" s="32">
        <v>20</v>
      </c>
      <c r="B21" s="33" t="s">
        <v>769</v>
      </c>
      <c r="C21" s="34" t="s">
        <v>493</v>
      </c>
    </row>
    <row r="22" spans="1:3" x14ac:dyDescent="0.25">
      <c r="A22" s="32">
        <v>21</v>
      </c>
      <c r="B22" s="33" t="s">
        <v>770</v>
      </c>
      <c r="C22" s="34" t="s">
        <v>494</v>
      </c>
    </row>
    <row r="23" spans="1:3" x14ac:dyDescent="0.25">
      <c r="A23" s="32">
        <v>22</v>
      </c>
      <c r="B23" s="33" t="s">
        <v>771</v>
      </c>
      <c r="C23" s="34" t="s">
        <v>772</v>
      </c>
    </row>
    <row r="24" spans="1:3" x14ac:dyDescent="0.25">
      <c r="A24" s="32">
        <v>23</v>
      </c>
      <c r="B24" s="33" t="s">
        <v>773</v>
      </c>
      <c r="C24" s="34" t="s">
        <v>774</v>
      </c>
    </row>
    <row r="25" spans="1:3" x14ac:dyDescent="0.25">
      <c r="A25" s="32">
        <v>24</v>
      </c>
      <c r="B25" s="33" t="s">
        <v>775</v>
      </c>
      <c r="C25" s="34" t="s">
        <v>776</v>
      </c>
    </row>
    <row r="26" spans="1:3" x14ac:dyDescent="0.25">
      <c r="A26" s="32">
        <v>25</v>
      </c>
      <c r="B26" s="33" t="s">
        <v>777</v>
      </c>
      <c r="C26" s="34" t="s">
        <v>556</v>
      </c>
    </row>
    <row r="27" spans="1:3" x14ac:dyDescent="0.25">
      <c r="A27" s="32">
        <v>26</v>
      </c>
      <c r="B27" s="33" t="s">
        <v>778</v>
      </c>
      <c r="C27" s="34" t="s">
        <v>578</v>
      </c>
    </row>
    <row r="28" spans="1:3" x14ac:dyDescent="0.25">
      <c r="A28" s="32">
        <v>27</v>
      </c>
      <c r="B28" s="33" t="s">
        <v>779</v>
      </c>
      <c r="C28" s="34" t="s">
        <v>780</v>
      </c>
    </row>
    <row r="29" spans="1:3" x14ac:dyDescent="0.25">
      <c r="A29" s="32">
        <v>28</v>
      </c>
      <c r="B29" s="33" t="s">
        <v>781</v>
      </c>
      <c r="C29" s="34" t="s">
        <v>615</v>
      </c>
    </row>
    <row r="30" spans="1:3" x14ac:dyDescent="0.25">
      <c r="A30" s="32">
        <v>29</v>
      </c>
      <c r="B30" s="33" t="s">
        <v>782</v>
      </c>
      <c r="C30" s="34" t="s">
        <v>783</v>
      </c>
    </row>
    <row r="31" spans="1:3" x14ac:dyDescent="0.25">
      <c r="A31" s="32">
        <v>30</v>
      </c>
      <c r="B31" s="33" t="s">
        <v>784</v>
      </c>
      <c r="C31" s="34" t="s">
        <v>715</v>
      </c>
    </row>
    <row r="32" spans="1:3" x14ac:dyDescent="0.25">
      <c r="A32" s="32">
        <v>31</v>
      </c>
      <c r="B32" s="33" t="s">
        <v>785</v>
      </c>
      <c r="C32" s="34" t="s">
        <v>718</v>
      </c>
    </row>
    <row r="33" spans="1:3" x14ac:dyDescent="0.25">
      <c r="A33" s="32">
        <v>32</v>
      </c>
      <c r="B33" s="33" t="s">
        <v>786</v>
      </c>
      <c r="C33" s="34" t="s">
        <v>723</v>
      </c>
    </row>
    <row r="34" spans="1:3" x14ac:dyDescent="0.25">
      <c r="A34" s="32">
        <v>33</v>
      </c>
      <c r="B34" s="33" t="s">
        <v>787</v>
      </c>
      <c r="C34" s="34" t="s">
        <v>732</v>
      </c>
    </row>
    <row r="35" spans="1:3" x14ac:dyDescent="0.25">
      <c r="A35" s="32">
        <v>34</v>
      </c>
      <c r="B35" s="33" t="s">
        <v>788</v>
      </c>
      <c r="C35" s="34" t="s">
        <v>733</v>
      </c>
    </row>
    <row r="36" spans="1:3" x14ac:dyDescent="0.25">
      <c r="A36" s="32">
        <v>35</v>
      </c>
      <c r="B36" s="33" t="s">
        <v>789</v>
      </c>
      <c r="C36" s="34" t="s">
        <v>734</v>
      </c>
    </row>
    <row r="37" spans="1:3" x14ac:dyDescent="0.25">
      <c r="A37" s="32">
        <v>36</v>
      </c>
      <c r="B37" s="33" t="s">
        <v>790</v>
      </c>
      <c r="C37" s="34" t="s">
        <v>737</v>
      </c>
    </row>
    <row r="38" spans="1:3" x14ac:dyDescent="0.25">
      <c r="A38" s="32">
        <v>37</v>
      </c>
      <c r="B38" s="33" t="s">
        <v>791</v>
      </c>
      <c r="C38" s="34" t="s">
        <v>792</v>
      </c>
    </row>
  </sheetData>
  <hyperlinks>
    <hyperlink ref="B3" location="MIDCAP!A1" display="MIDCAP" xr:uid="{48D97DC8-6683-44DA-B2BA-797BD73B1E00}"/>
    <hyperlink ref="B4" location="MULTI1!A1" display="MULTI1" xr:uid="{46F20DA4-0899-4FB1-B3F3-9D25B63B6177}"/>
    <hyperlink ref="B5" location="MULTI2!A1" display="MULTI2" xr:uid="{07858948-3BBC-42A0-BB93-E1B4C6B92794}"/>
    <hyperlink ref="B6" location="MULTIP!A1" display="MULTIP" xr:uid="{8D20C115-B3B0-475A-AA9E-AB71AB99550C}"/>
    <hyperlink ref="B7" location="SESCAP1!A1" display="SESCAP1" xr:uid="{1EAEB8BB-A876-4B8B-94CB-C7D33AB765CD}"/>
    <hyperlink ref="B8" location="SESCAP2!A1" display="SESCAP2" xr:uid="{F19DA5C1-6250-4541-8279-7BB81B9161B3}"/>
    <hyperlink ref="B9" location="SESCAP3!A1" display="SESCAP3" xr:uid="{A3501A2E-028D-43F4-BBE1-8B03DC8BE081}"/>
    <hyperlink ref="B10" location="SESCAP4!A1" display="SESCAP4" xr:uid="{D88C3ACE-C19C-4A53-98EF-B81CC7C2192E}"/>
    <hyperlink ref="B11" location="SESCAP5!A1" display="SESCAP5" xr:uid="{376059A9-9C08-495B-84C5-3C515E21D2B9}"/>
    <hyperlink ref="B12" location="SESCAP6!A1" display="SESCAP6" xr:uid="{C5B4F2A5-447F-4943-8B74-46D6AD972540}"/>
    <hyperlink ref="B13" location="SESCAP7!A1" display="SESCAP7" xr:uid="{B07E7D2A-6C44-4184-BEFE-63A48074D690}"/>
    <hyperlink ref="B14" location="SLTADV3!A1" display="SLTADV3" xr:uid="{D5DF144E-FDCB-47FF-B853-5B6BC8925F26}"/>
    <hyperlink ref="B15" location="SLTADV4!A1" display="SLTADV4" xr:uid="{7AE28957-A7CF-4589-A0E0-6C717FC5A9C9}"/>
    <hyperlink ref="B16" location="SLTAX1!A1" display="SLTAX1" xr:uid="{78BD5863-3369-4C5B-B04E-BC199B860F3F}"/>
    <hyperlink ref="B17" location="SLTAX2!A1" display="SLTAX2" xr:uid="{4925F0BB-35D4-49C5-B9AF-D55C64A50CBE}"/>
    <hyperlink ref="B18" location="SLTAX3!A1" display="SLTAX3" xr:uid="{7A4F232D-43EA-4064-B65B-BE777F67361E}"/>
    <hyperlink ref="B19" location="SLTAX4!A1" display="SLTAX4" xr:uid="{3A28665E-8EFE-43AA-8411-59283D815D8E}"/>
    <hyperlink ref="B20" location="SLTAX5!A1" display="SLTAX5" xr:uid="{C8FF10CC-157E-4394-9186-00310D293B64}"/>
    <hyperlink ref="B21" location="SLTAX6!A1" display="SLTAX6" xr:uid="{6322A2A6-7A25-45FB-9173-3757C5662A3E}"/>
    <hyperlink ref="B22" location="SMILE!A1" display="SMILE" xr:uid="{FA0C2D7F-F760-4954-8A69-F16C86F514A7}"/>
    <hyperlink ref="B23" location="SPAHF!A1" display="SPAHF" xr:uid="{D8BA0FB0-F866-4ABE-95B2-007F87E1E825}"/>
    <hyperlink ref="B24" location="SPARF!A1" display="SPARF" xr:uid="{06964D87-D71C-4910-B6BC-5AD5E6EB1CD8}"/>
    <hyperlink ref="B25" location="SPBAF!A1" display="SPBAF" xr:uid="{9CA7597E-0B80-4C07-8566-0CD5E2501B2D}"/>
    <hyperlink ref="B26" location="SPDYF!A1" display="SPDYF" xr:uid="{A66FEE83-81A4-432D-A229-0A5ECC54115F}"/>
    <hyperlink ref="B27" location="SPESF!A1" display="SPESF" xr:uid="{CCDAEDC6-246B-42D8-B4B5-20D721A57146}"/>
    <hyperlink ref="B28" location="SPFOCUS!A1" display="SPFOCUS" xr:uid="{D685858E-59A0-488F-965E-9719E031847C}"/>
    <hyperlink ref="B29" location="SPMUCF!A1" display="SPMUCF" xr:uid="{D409616E-863C-488C-BF5B-20BF15FE003A}"/>
    <hyperlink ref="B30" location="SPSN100!A1" display="SPSN100" xr:uid="{C1E53BE2-3E40-40D8-98A6-48ABC67F3193}"/>
    <hyperlink ref="B31" location="SPTAX!A1" display="SPTAX" xr:uid="{E88C7AC9-AE1D-4BAD-9C99-8707D30B35BF}"/>
    <hyperlink ref="B32" location="SRURAL!A1" display="SRURAL" xr:uid="{C22E94B0-6522-442B-BD70-A404AB1EB071}"/>
    <hyperlink ref="B33" location="SSFUND!A1" display="SSFUND" xr:uid="{5D5ED128-4FF8-47CC-B459-597D869BEC93}"/>
    <hyperlink ref="B34" location="STAX!A1" display="STAX" xr:uid="{0BFE2DD3-BD69-4A76-9920-B71274AC4770}"/>
    <hyperlink ref="B35" location="SUNBCF!A1" display="SUNBCF" xr:uid="{664C6ACB-9BB9-4EE8-9FFA-845AE810F04E}"/>
    <hyperlink ref="B37" location="SUNFOP!A1" display="SUNFOP" xr:uid="{5A89CA5D-32CF-436A-B6CF-A7B4967FB585}"/>
    <hyperlink ref="B38" location="GLOB!A1" display="GLOB" xr:uid="{4A8D06F6-6CDD-4A01-A360-010C6C589516}"/>
    <hyperlink ref="B36" location="SUNFCF!A1" display="SUNFCF" xr:uid="{7C50B3D5-1E80-43AB-828A-0C8E31F0A109}"/>
    <hyperlink ref="B2" location="CAPEXG!A1" display="CAPEXG" xr:uid="{530896EB-11D3-4121-B80E-C9A4F35AA6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85" t="s">
        <v>0</v>
      </c>
      <c r="B1" s="285"/>
      <c r="C1" s="285"/>
      <c r="D1" s="285"/>
      <c r="E1" s="285"/>
      <c r="F1" s="285"/>
      <c r="G1" s="285"/>
      <c r="H1" s="285"/>
      <c r="I1" s="186" t="s">
        <v>1072</v>
      </c>
    </row>
    <row r="2" spans="1:15" ht="17.100000000000001" customHeight="1" x14ac:dyDescent="0.2">
      <c r="A2" s="286" t="s">
        <v>1</v>
      </c>
      <c r="B2" s="287"/>
      <c r="C2" s="287"/>
      <c r="D2" s="287"/>
      <c r="E2" s="287"/>
      <c r="F2" s="287"/>
      <c r="G2" s="287"/>
      <c r="H2" s="288"/>
      <c r="J2" s="289" t="s">
        <v>1073</v>
      </c>
      <c r="K2" s="289"/>
      <c r="L2" s="289"/>
      <c r="M2" s="289"/>
      <c r="N2" s="289"/>
    </row>
    <row r="3" spans="1:15" ht="21" customHeight="1" x14ac:dyDescent="0.2">
      <c r="A3" s="285" t="s">
        <v>1052</v>
      </c>
      <c r="B3" s="285"/>
      <c r="C3" s="285"/>
      <c r="D3" s="285"/>
      <c r="E3" s="285"/>
      <c r="F3" s="285"/>
      <c r="G3" s="285"/>
      <c r="H3" s="285"/>
    </row>
    <row r="4" spans="1:15" s="178" customFormat="1" ht="30" x14ac:dyDescent="0.2">
      <c r="A4" s="177" t="s">
        <v>2</v>
      </c>
      <c r="B4" s="177" t="s">
        <v>3</v>
      </c>
      <c r="C4" s="177" t="s">
        <v>4</v>
      </c>
      <c r="D4" s="177" t="s">
        <v>5</v>
      </c>
      <c r="E4" s="177" t="s">
        <v>6</v>
      </c>
      <c r="F4" s="177" t="s">
        <v>7</v>
      </c>
      <c r="G4" s="177" t="s">
        <v>8</v>
      </c>
      <c r="H4" s="83" t="s">
        <v>988</v>
      </c>
      <c r="I4" s="187"/>
      <c r="J4" s="187"/>
      <c r="K4" s="187"/>
      <c r="L4" s="187"/>
      <c r="M4" s="187"/>
      <c r="N4" s="187"/>
      <c r="O4" s="187"/>
    </row>
    <row r="5" spans="1:15" ht="14.1" customHeight="1" x14ac:dyDescent="0.2">
      <c r="A5" s="1"/>
      <c r="B5" s="1"/>
      <c r="C5" s="2" t="s">
        <v>9</v>
      </c>
      <c r="D5" s="1"/>
      <c r="E5" s="1"/>
      <c r="F5" s="1"/>
      <c r="G5" s="1"/>
      <c r="H5" s="53"/>
    </row>
    <row r="6" spans="1:15" ht="24" customHeight="1" x14ac:dyDescent="0.2">
      <c r="A6" s="1"/>
      <c r="B6" s="1"/>
      <c r="C6" s="2" t="s">
        <v>10</v>
      </c>
      <c r="D6" s="1"/>
      <c r="E6" s="1"/>
      <c r="F6" s="1"/>
      <c r="G6" s="1"/>
      <c r="H6" s="53"/>
    </row>
    <row r="7" spans="1:15" ht="17.100000000000001" customHeight="1" x14ac:dyDescent="0.2">
      <c r="A7" s="3">
        <v>1</v>
      </c>
      <c r="B7" s="4" t="s">
        <v>11</v>
      </c>
      <c r="C7" s="4" t="s">
        <v>12</v>
      </c>
      <c r="D7" s="4" t="s">
        <v>13</v>
      </c>
      <c r="E7" s="5">
        <v>282000</v>
      </c>
      <c r="F7" s="6">
        <v>5881.9560000000001</v>
      </c>
      <c r="G7" s="7">
        <v>9.5703842999999997E-2</v>
      </c>
      <c r="H7" s="53"/>
    </row>
    <row r="8" spans="1:15" ht="17.100000000000001" customHeight="1" x14ac:dyDescent="0.2">
      <c r="A8" s="3">
        <v>2</v>
      </c>
      <c r="B8" s="4" t="s">
        <v>14</v>
      </c>
      <c r="C8" s="4" t="s">
        <v>15</v>
      </c>
      <c r="D8" s="4" t="s">
        <v>16</v>
      </c>
      <c r="E8" s="5">
        <v>501481</v>
      </c>
      <c r="F8" s="6">
        <v>4042.438341</v>
      </c>
      <c r="G8" s="7">
        <v>6.5773508999999994E-2</v>
      </c>
      <c r="H8" s="53"/>
    </row>
    <row r="9" spans="1:15" ht="17.100000000000001" customHeight="1" x14ac:dyDescent="0.2">
      <c r="A9" s="3">
        <v>3</v>
      </c>
      <c r="B9" s="4" t="s">
        <v>17</v>
      </c>
      <c r="C9" s="4" t="s">
        <v>18</v>
      </c>
      <c r="D9" s="4" t="s">
        <v>19</v>
      </c>
      <c r="E9" s="5">
        <v>440000</v>
      </c>
      <c r="F9" s="6">
        <v>3919.74</v>
      </c>
      <c r="G9" s="7">
        <v>6.3777114999999995E-2</v>
      </c>
      <c r="H9" s="53"/>
    </row>
    <row r="10" spans="1:15" ht="17.100000000000001" customHeight="1" x14ac:dyDescent="0.2">
      <c r="A10" s="3">
        <v>4</v>
      </c>
      <c r="B10" s="4" t="s">
        <v>20</v>
      </c>
      <c r="C10" s="4" t="s">
        <v>21</v>
      </c>
      <c r="D10" s="4" t="s">
        <v>22</v>
      </c>
      <c r="E10" s="5">
        <v>150246</v>
      </c>
      <c r="F10" s="6">
        <v>3827.066112</v>
      </c>
      <c r="G10" s="7">
        <v>6.2269241000000003E-2</v>
      </c>
      <c r="H10" s="53"/>
    </row>
    <row r="11" spans="1:15" ht="29.1" customHeight="1" x14ac:dyDescent="0.2">
      <c r="A11" s="3">
        <v>5</v>
      </c>
      <c r="B11" s="4" t="s">
        <v>23</v>
      </c>
      <c r="C11" s="4" t="s">
        <v>24</v>
      </c>
      <c r="D11" s="4" t="s">
        <v>25</v>
      </c>
      <c r="E11" s="5">
        <v>42511</v>
      </c>
      <c r="F11" s="6">
        <v>2958.3617454999999</v>
      </c>
      <c r="G11" s="7">
        <v>4.8134768000000001E-2</v>
      </c>
      <c r="H11" s="53"/>
    </row>
    <row r="12" spans="1:15" ht="17.100000000000001" customHeight="1" x14ac:dyDescent="0.2">
      <c r="A12" s="3">
        <v>6</v>
      </c>
      <c r="B12" s="4" t="s">
        <v>26</v>
      </c>
      <c r="C12" s="4" t="s">
        <v>27</v>
      </c>
      <c r="D12" s="4" t="s">
        <v>28</v>
      </c>
      <c r="E12" s="5">
        <v>1380000</v>
      </c>
      <c r="F12" s="6">
        <v>2297.0100000000002</v>
      </c>
      <c r="G12" s="7">
        <v>3.7374077999999998E-2</v>
      </c>
      <c r="H12" s="53"/>
      <c r="J12" s="188" t="s">
        <v>1074</v>
      </c>
    </row>
    <row r="13" spans="1:15" ht="17.100000000000001" customHeight="1" x14ac:dyDescent="0.2">
      <c r="A13" s="3">
        <v>7</v>
      </c>
      <c r="B13" s="4" t="s">
        <v>29</v>
      </c>
      <c r="C13" s="4" t="s">
        <v>30</v>
      </c>
      <c r="D13" s="4" t="s">
        <v>19</v>
      </c>
      <c r="E13" s="5">
        <v>320000</v>
      </c>
      <c r="F13" s="6">
        <v>1963.84</v>
      </c>
      <c r="G13" s="7">
        <v>3.1953151999999999E-2</v>
      </c>
      <c r="H13" s="53"/>
    </row>
    <row r="14" spans="1:15" ht="17.100000000000001" customHeight="1" x14ac:dyDescent="0.2">
      <c r="A14" s="3">
        <v>8</v>
      </c>
      <c r="B14" s="4" t="s">
        <v>31</v>
      </c>
      <c r="C14" s="4" t="s">
        <v>32</v>
      </c>
      <c r="D14" s="4" t="s">
        <v>33</v>
      </c>
      <c r="E14" s="5">
        <v>96000</v>
      </c>
      <c r="F14" s="6">
        <v>1856.4480000000001</v>
      </c>
      <c r="G14" s="7">
        <v>3.0205803999999999E-2</v>
      </c>
      <c r="H14" s="53"/>
    </row>
    <row r="15" spans="1:15" ht="17.100000000000001" customHeight="1" x14ac:dyDescent="0.2">
      <c r="A15" s="3">
        <v>9</v>
      </c>
      <c r="B15" s="4" t="s">
        <v>34</v>
      </c>
      <c r="C15" s="4" t="s">
        <v>35</v>
      </c>
      <c r="D15" s="4" t="s">
        <v>33</v>
      </c>
      <c r="E15" s="5">
        <v>39200</v>
      </c>
      <c r="F15" s="6">
        <v>1622.9387999999999</v>
      </c>
      <c r="G15" s="7">
        <v>2.6406433999999999E-2</v>
      </c>
      <c r="H15" s="53"/>
    </row>
    <row r="16" spans="1:15" ht="17.100000000000001" customHeight="1" x14ac:dyDescent="0.2">
      <c r="A16" s="3">
        <v>10</v>
      </c>
      <c r="B16" s="4" t="s">
        <v>36</v>
      </c>
      <c r="C16" s="4" t="s">
        <v>37</v>
      </c>
      <c r="D16" s="4" t="s">
        <v>33</v>
      </c>
      <c r="E16" s="5">
        <v>87105</v>
      </c>
      <c r="F16" s="6">
        <v>1553.6483324999999</v>
      </c>
      <c r="G16" s="7">
        <v>2.5279026E-2</v>
      </c>
      <c r="H16" s="53"/>
    </row>
    <row r="17" spans="1:8" ht="17.100000000000001" customHeight="1" x14ac:dyDescent="0.2">
      <c r="A17" s="3">
        <v>11</v>
      </c>
      <c r="B17" s="4" t="s">
        <v>38</v>
      </c>
      <c r="C17" s="4" t="s">
        <v>39</v>
      </c>
      <c r="D17" s="4" t="s">
        <v>40</v>
      </c>
      <c r="E17" s="5">
        <v>178999</v>
      </c>
      <c r="F17" s="6">
        <v>1322.444612</v>
      </c>
      <c r="G17" s="7">
        <v>2.1517167E-2</v>
      </c>
      <c r="H17" s="53"/>
    </row>
    <row r="18" spans="1:8" ht="17.100000000000001" customHeight="1" x14ac:dyDescent="0.2">
      <c r="A18" s="3">
        <v>12</v>
      </c>
      <c r="B18" s="4" t="s">
        <v>41</v>
      </c>
      <c r="C18" s="4" t="s">
        <v>42</v>
      </c>
      <c r="D18" s="4" t="s">
        <v>13</v>
      </c>
      <c r="E18" s="5">
        <v>448655</v>
      </c>
      <c r="F18" s="6">
        <v>1293.6966924999999</v>
      </c>
      <c r="G18" s="7">
        <v>2.1049417000000001E-2</v>
      </c>
      <c r="H18" s="53"/>
    </row>
    <row r="19" spans="1:8" ht="17.100000000000001" customHeight="1" x14ac:dyDescent="0.2">
      <c r="A19" s="3">
        <v>13</v>
      </c>
      <c r="B19" s="4" t="s">
        <v>43</v>
      </c>
      <c r="C19" s="4" t="s">
        <v>44</v>
      </c>
      <c r="D19" s="4" t="s">
        <v>45</v>
      </c>
      <c r="E19" s="5">
        <v>46200</v>
      </c>
      <c r="F19" s="6">
        <v>1239.546</v>
      </c>
      <c r="G19" s="7">
        <v>2.0168345000000001E-2</v>
      </c>
      <c r="H19" s="53"/>
    </row>
    <row r="20" spans="1:8" ht="53.1" customHeight="1" x14ac:dyDescent="0.2">
      <c r="A20" s="3">
        <v>14</v>
      </c>
      <c r="B20" s="4" t="s">
        <v>46</v>
      </c>
      <c r="C20" s="4" t="s">
        <v>47</v>
      </c>
      <c r="D20" s="4" t="s">
        <v>48</v>
      </c>
      <c r="E20" s="5">
        <v>847086</v>
      </c>
      <c r="F20" s="6">
        <v>1214.7213240000001</v>
      </c>
      <c r="G20" s="7">
        <v>1.9764429E-2</v>
      </c>
      <c r="H20" s="53"/>
    </row>
    <row r="21" spans="1:8" ht="29.1" customHeight="1" x14ac:dyDescent="0.2">
      <c r="A21" s="3">
        <v>15</v>
      </c>
      <c r="B21" s="4" t="s">
        <v>49</v>
      </c>
      <c r="C21" s="4" t="s">
        <v>50</v>
      </c>
      <c r="D21" s="4" t="s">
        <v>51</v>
      </c>
      <c r="E21" s="5">
        <v>2900</v>
      </c>
      <c r="F21" s="6">
        <v>1209.35655</v>
      </c>
      <c r="G21" s="7">
        <v>1.9677139999999999E-2</v>
      </c>
      <c r="H21" s="53"/>
    </row>
    <row r="22" spans="1:8" ht="17.100000000000001" customHeight="1" x14ac:dyDescent="0.2">
      <c r="A22" s="3">
        <v>16</v>
      </c>
      <c r="B22" s="4" t="s">
        <v>52</v>
      </c>
      <c r="C22" s="4" t="s">
        <v>53</v>
      </c>
      <c r="D22" s="4" t="s">
        <v>28</v>
      </c>
      <c r="E22" s="5">
        <v>565000</v>
      </c>
      <c r="F22" s="6">
        <v>1207.405</v>
      </c>
      <c r="G22" s="7">
        <v>1.9645386000000001E-2</v>
      </c>
      <c r="H22" s="53"/>
    </row>
    <row r="23" spans="1:8" ht="17.100000000000001" customHeight="1" x14ac:dyDescent="0.2">
      <c r="A23" s="3">
        <v>17</v>
      </c>
      <c r="B23" s="4" t="s">
        <v>54</v>
      </c>
      <c r="C23" s="4" t="s">
        <v>55</v>
      </c>
      <c r="D23" s="4" t="s">
        <v>33</v>
      </c>
      <c r="E23" s="5">
        <v>43000</v>
      </c>
      <c r="F23" s="6">
        <v>1104.713</v>
      </c>
      <c r="G23" s="7">
        <v>1.7974510999999999E-2</v>
      </c>
      <c r="H23" s="53"/>
    </row>
    <row r="24" spans="1:8" ht="17.100000000000001" customHeight="1" x14ac:dyDescent="0.2">
      <c r="A24" s="3">
        <v>18</v>
      </c>
      <c r="B24" s="4" t="s">
        <v>56</v>
      </c>
      <c r="C24" s="4" t="s">
        <v>57</v>
      </c>
      <c r="D24" s="4" t="s">
        <v>13</v>
      </c>
      <c r="E24" s="5">
        <v>1260000</v>
      </c>
      <c r="F24" s="6">
        <v>1057.1400000000001</v>
      </c>
      <c r="G24" s="7">
        <v>1.7200462E-2</v>
      </c>
      <c r="H24" s="53"/>
    </row>
    <row r="25" spans="1:8" ht="29.1" customHeight="1" x14ac:dyDescent="0.2">
      <c r="A25" s="3">
        <v>19</v>
      </c>
      <c r="B25" s="4" t="s">
        <v>58</v>
      </c>
      <c r="C25" s="4" t="s">
        <v>59</v>
      </c>
      <c r="D25" s="4" t="s">
        <v>60</v>
      </c>
      <c r="E25" s="5">
        <v>126000</v>
      </c>
      <c r="F25" s="6">
        <v>1030.806</v>
      </c>
      <c r="G25" s="7">
        <v>1.6771988000000002E-2</v>
      </c>
      <c r="H25" s="53"/>
    </row>
    <row r="26" spans="1:8" ht="17.100000000000001" customHeight="1" x14ac:dyDescent="0.2">
      <c r="A26" s="3">
        <v>20</v>
      </c>
      <c r="B26" s="4" t="s">
        <v>61</v>
      </c>
      <c r="C26" s="4" t="s">
        <v>62</v>
      </c>
      <c r="D26" s="4" t="s">
        <v>45</v>
      </c>
      <c r="E26" s="5">
        <v>36000</v>
      </c>
      <c r="F26" s="6">
        <v>1017.504</v>
      </c>
      <c r="G26" s="7">
        <v>1.6555555E-2</v>
      </c>
      <c r="H26" s="53"/>
    </row>
    <row r="27" spans="1:8" ht="29.1" customHeight="1" x14ac:dyDescent="0.2">
      <c r="A27" s="3">
        <v>21</v>
      </c>
      <c r="B27" s="4" t="s">
        <v>63</v>
      </c>
      <c r="C27" s="4" t="s">
        <v>64</v>
      </c>
      <c r="D27" s="4" t="s">
        <v>65</v>
      </c>
      <c r="E27" s="5">
        <v>959904</v>
      </c>
      <c r="F27" s="6">
        <v>958.94409599999994</v>
      </c>
      <c r="G27" s="7">
        <v>1.5602741E-2</v>
      </c>
      <c r="H27" s="53"/>
    </row>
    <row r="28" spans="1:8" ht="17.100000000000001" customHeight="1" x14ac:dyDescent="0.2">
      <c r="A28" s="3">
        <v>22</v>
      </c>
      <c r="B28" s="4" t="s">
        <v>66</v>
      </c>
      <c r="C28" s="4" t="s">
        <v>67</v>
      </c>
      <c r="D28" s="4" t="s">
        <v>28</v>
      </c>
      <c r="E28" s="5">
        <v>445000</v>
      </c>
      <c r="F28" s="6">
        <v>924.26499999999999</v>
      </c>
      <c r="G28" s="7">
        <v>1.5038486E-2</v>
      </c>
      <c r="H28" s="53"/>
    </row>
    <row r="29" spans="1:8" ht="29.1" customHeight="1" x14ac:dyDescent="0.2">
      <c r="A29" s="3">
        <v>23</v>
      </c>
      <c r="B29" s="4" t="s">
        <v>68</v>
      </c>
      <c r="C29" s="4" t="s">
        <v>69</v>
      </c>
      <c r="D29" s="4" t="s">
        <v>25</v>
      </c>
      <c r="E29" s="5">
        <v>28500</v>
      </c>
      <c r="F29" s="6">
        <v>832.37099999999998</v>
      </c>
      <c r="G29" s="7">
        <v>1.3543302E-2</v>
      </c>
      <c r="H29" s="53"/>
    </row>
    <row r="30" spans="1:8" ht="17.100000000000001" customHeight="1" x14ac:dyDescent="0.2">
      <c r="A30" s="3">
        <v>24</v>
      </c>
      <c r="B30" s="4" t="s">
        <v>70</v>
      </c>
      <c r="C30" s="4" t="s">
        <v>71</v>
      </c>
      <c r="D30" s="4" t="s">
        <v>72</v>
      </c>
      <c r="E30" s="5">
        <v>9900</v>
      </c>
      <c r="F30" s="6">
        <v>831.06539999999995</v>
      </c>
      <c r="G30" s="7">
        <v>1.3522058E-2</v>
      </c>
      <c r="H30" s="53"/>
    </row>
    <row r="31" spans="1:8" ht="17.100000000000001" customHeight="1" x14ac:dyDescent="0.2">
      <c r="A31" s="3">
        <v>25</v>
      </c>
      <c r="B31" s="4" t="s">
        <v>73</v>
      </c>
      <c r="C31" s="4" t="s">
        <v>74</v>
      </c>
      <c r="D31" s="4" t="s">
        <v>33</v>
      </c>
      <c r="E31" s="5">
        <v>75424</v>
      </c>
      <c r="F31" s="6">
        <v>823.63008000000002</v>
      </c>
      <c r="G31" s="7">
        <v>1.3401079999999999E-2</v>
      </c>
      <c r="H31" s="53"/>
    </row>
    <row r="32" spans="1:8" ht="17.100000000000001" customHeight="1" x14ac:dyDescent="0.2">
      <c r="A32" s="3">
        <v>26</v>
      </c>
      <c r="B32" s="4" t="s">
        <v>75</v>
      </c>
      <c r="C32" s="4" t="s">
        <v>76</v>
      </c>
      <c r="D32" s="4" t="s">
        <v>45</v>
      </c>
      <c r="E32" s="5">
        <v>308781</v>
      </c>
      <c r="F32" s="6">
        <v>803.6025525</v>
      </c>
      <c r="G32" s="7">
        <v>1.3075217E-2</v>
      </c>
      <c r="H32" s="53"/>
    </row>
    <row r="33" spans="1:8" ht="17.100000000000001" customHeight="1" x14ac:dyDescent="0.2">
      <c r="A33" s="3">
        <v>27</v>
      </c>
      <c r="B33" s="4" t="s">
        <v>77</v>
      </c>
      <c r="C33" s="4" t="s">
        <v>78</v>
      </c>
      <c r="D33" s="4" t="s">
        <v>13</v>
      </c>
      <c r="E33" s="5">
        <v>311000</v>
      </c>
      <c r="F33" s="6">
        <v>792.58349999999996</v>
      </c>
      <c r="G33" s="7">
        <v>1.2895929E-2</v>
      </c>
      <c r="H33" s="53"/>
    </row>
    <row r="34" spans="1:8" ht="29.1" customHeight="1" x14ac:dyDescent="0.2">
      <c r="A34" s="3">
        <v>28</v>
      </c>
      <c r="B34" s="4" t="s">
        <v>79</v>
      </c>
      <c r="C34" s="4" t="s">
        <v>80</v>
      </c>
      <c r="D34" s="4" t="s">
        <v>25</v>
      </c>
      <c r="E34" s="5">
        <v>3379</v>
      </c>
      <c r="F34" s="6">
        <v>786.95051550000005</v>
      </c>
      <c r="G34" s="7">
        <v>1.2804276E-2</v>
      </c>
      <c r="H34" s="53"/>
    </row>
    <row r="35" spans="1:8" ht="29.1" customHeight="1" x14ac:dyDescent="0.2">
      <c r="A35" s="3">
        <v>29</v>
      </c>
      <c r="B35" s="4" t="s">
        <v>81</v>
      </c>
      <c r="C35" s="4" t="s">
        <v>82</v>
      </c>
      <c r="D35" s="4" t="s">
        <v>25</v>
      </c>
      <c r="E35" s="5">
        <v>150000</v>
      </c>
      <c r="F35" s="6">
        <v>786.15</v>
      </c>
      <c r="G35" s="7">
        <v>1.2791251E-2</v>
      </c>
      <c r="H35" s="53"/>
    </row>
    <row r="36" spans="1:8" ht="17.100000000000001" customHeight="1" x14ac:dyDescent="0.2">
      <c r="A36" s="3">
        <v>30</v>
      </c>
      <c r="B36" s="4" t="s">
        <v>83</v>
      </c>
      <c r="C36" s="4" t="s">
        <v>84</v>
      </c>
      <c r="D36" s="4" t="s">
        <v>33</v>
      </c>
      <c r="E36" s="5">
        <v>50976</v>
      </c>
      <c r="F36" s="6">
        <v>746.64547200000004</v>
      </c>
      <c r="G36" s="7">
        <v>1.2148483E-2</v>
      </c>
      <c r="H36" s="53"/>
    </row>
    <row r="37" spans="1:8" ht="17.100000000000001" customHeight="1" x14ac:dyDescent="0.2">
      <c r="A37" s="3">
        <v>31</v>
      </c>
      <c r="B37" s="4" t="s">
        <v>85</v>
      </c>
      <c r="C37" s="4" t="s">
        <v>86</v>
      </c>
      <c r="D37" s="4" t="s">
        <v>87</v>
      </c>
      <c r="E37" s="5">
        <v>26495</v>
      </c>
      <c r="F37" s="6">
        <v>727.72491749999995</v>
      </c>
      <c r="G37" s="7">
        <v>1.1840631000000001E-2</v>
      </c>
      <c r="H37" s="53"/>
    </row>
    <row r="38" spans="1:8" ht="29.1" customHeight="1" x14ac:dyDescent="0.2">
      <c r="A38" s="3">
        <v>32</v>
      </c>
      <c r="B38" s="4" t="s">
        <v>88</v>
      </c>
      <c r="C38" s="4" t="s">
        <v>89</v>
      </c>
      <c r="D38" s="4" t="s">
        <v>51</v>
      </c>
      <c r="E38" s="5">
        <v>46265</v>
      </c>
      <c r="F38" s="6">
        <v>724.99568250000004</v>
      </c>
      <c r="G38" s="7">
        <v>1.1796223999999999E-2</v>
      </c>
      <c r="H38" s="53"/>
    </row>
    <row r="39" spans="1:8" ht="53.1" customHeight="1" x14ac:dyDescent="0.2">
      <c r="A39" s="3">
        <v>33</v>
      </c>
      <c r="B39" s="4" t="s">
        <v>90</v>
      </c>
      <c r="C39" s="4" t="s">
        <v>91</v>
      </c>
      <c r="D39" s="4" t="s">
        <v>48</v>
      </c>
      <c r="E39" s="5">
        <v>45404</v>
      </c>
      <c r="F39" s="6">
        <v>666.66693199999997</v>
      </c>
      <c r="G39" s="7">
        <v>1.0847172E-2</v>
      </c>
      <c r="H39" s="53"/>
    </row>
    <row r="40" spans="1:8" ht="17.100000000000001" customHeight="1" x14ac:dyDescent="0.2">
      <c r="A40" s="3">
        <v>34</v>
      </c>
      <c r="B40" s="4" t="s">
        <v>92</v>
      </c>
      <c r="C40" s="4" t="s">
        <v>93</v>
      </c>
      <c r="D40" s="4" t="s">
        <v>40</v>
      </c>
      <c r="E40" s="5">
        <v>125539</v>
      </c>
      <c r="F40" s="6">
        <v>629.954702</v>
      </c>
      <c r="G40" s="7">
        <v>1.0249836E-2</v>
      </c>
      <c r="H40" s="53"/>
    </row>
    <row r="41" spans="1:8" ht="17.100000000000001" customHeight="1" x14ac:dyDescent="0.2">
      <c r="A41" s="3">
        <v>35</v>
      </c>
      <c r="B41" s="4" t="s">
        <v>94</v>
      </c>
      <c r="C41" s="4" t="s">
        <v>95</v>
      </c>
      <c r="D41" s="4" t="s">
        <v>96</v>
      </c>
      <c r="E41" s="5">
        <v>134092</v>
      </c>
      <c r="F41" s="6">
        <v>623.59484599999996</v>
      </c>
      <c r="G41" s="7">
        <v>1.0146357E-2</v>
      </c>
      <c r="H41" s="53"/>
    </row>
    <row r="42" spans="1:8" ht="17.100000000000001" customHeight="1" x14ac:dyDescent="0.2">
      <c r="A42" s="3">
        <v>36</v>
      </c>
      <c r="B42" s="4" t="s">
        <v>97</v>
      </c>
      <c r="C42" s="4" t="s">
        <v>98</v>
      </c>
      <c r="D42" s="4" t="s">
        <v>96</v>
      </c>
      <c r="E42" s="5">
        <v>68500</v>
      </c>
      <c r="F42" s="6">
        <v>594.54575</v>
      </c>
      <c r="G42" s="7">
        <v>9.6737060000000007E-3</v>
      </c>
      <c r="H42" s="53"/>
    </row>
    <row r="43" spans="1:8" ht="17.100000000000001" customHeight="1" x14ac:dyDescent="0.2">
      <c r="A43" s="3">
        <v>37</v>
      </c>
      <c r="B43" s="4" t="s">
        <v>99</v>
      </c>
      <c r="C43" s="4" t="s">
        <v>100</v>
      </c>
      <c r="D43" s="4" t="s">
        <v>33</v>
      </c>
      <c r="E43" s="5">
        <v>43000</v>
      </c>
      <c r="F43" s="6">
        <v>593.572</v>
      </c>
      <c r="G43" s="7">
        <v>9.6578619999999997E-3</v>
      </c>
      <c r="H43" s="53"/>
    </row>
    <row r="44" spans="1:8" ht="17.100000000000001" customHeight="1" x14ac:dyDescent="0.2">
      <c r="A44" s="3">
        <v>38</v>
      </c>
      <c r="B44" s="4" t="s">
        <v>101</v>
      </c>
      <c r="C44" s="4" t="s">
        <v>102</v>
      </c>
      <c r="D44" s="4" t="s">
        <v>22</v>
      </c>
      <c r="E44" s="5">
        <v>175582</v>
      </c>
      <c r="F44" s="6">
        <v>580.29850999999996</v>
      </c>
      <c r="G44" s="7">
        <v>9.4418929999999998E-3</v>
      </c>
      <c r="H44" s="53"/>
    </row>
    <row r="45" spans="1:8" ht="17.100000000000001" customHeight="1" x14ac:dyDescent="0.2">
      <c r="A45" s="3">
        <v>39</v>
      </c>
      <c r="B45" s="4" t="s">
        <v>103</v>
      </c>
      <c r="C45" s="4" t="s">
        <v>104</v>
      </c>
      <c r="D45" s="4" t="s">
        <v>105</v>
      </c>
      <c r="E45" s="5">
        <v>119918</v>
      </c>
      <c r="F45" s="6">
        <v>567.63185299999998</v>
      </c>
      <c r="G45" s="7">
        <v>9.2357970000000005E-3</v>
      </c>
      <c r="H45" s="53"/>
    </row>
    <row r="46" spans="1:8" ht="29.1" customHeight="1" x14ac:dyDescent="0.2">
      <c r="A46" s="3">
        <v>40</v>
      </c>
      <c r="B46" s="4" t="s">
        <v>106</v>
      </c>
      <c r="C46" s="4" t="s">
        <v>107</v>
      </c>
      <c r="D46" s="4" t="s">
        <v>25</v>
      </c>
      <c r="E46" s="5">
        <v>29500</v>
      </c>
      <c r="F46" s="6">
        <v>549.52599999999995</v>
      </c>
      <c r="G46" s="7">
        <v>8.9412009999999993E-3</v>
      </c>
      <c r="H46" s="53"/>
    </row>
    <row r="47" spans="1:8" ht="17.100000000000001" customHeight="1" x14ac:dyDescent="0.2">
      <c r="A47" s="3">
        <v>41</v>
      </c>
      <c r="B47" s="4" t="s">
        <v>108</v>
      </c>
      <c r="C47" s="4" t="s">
        <v>109</v>
      </c>
      <c r="D47" s="4" t="s">
        <v>40</v>
      </c>
      <c r="E47" s="5">
        <v>26982</v>
      </c>
      <c r="F47" s="6">
        <v>541.71761400000003</v>
      </c>
      <c r="G47" s="7">
        <v>8.8141529999999999E-3</v>
      </c>
      <c r="H47" s="53"/>
    </row>
    <row r="48" spans="1:8" ht="17.100000000000001" customHeight="1" x14ac:dyDescent="0.2">
      <c r="A48" s="3">
        <v>42</v>
      </c>
      <c r="B48" s="4" t="s">
        <v>110</v>
      </c>
      <c r="C48" s="4" t="s">
        <v>111</v>
      </c>
      <c r="D48" s="4" t="s">
        <v>96</v>
      </c>
      <c r="E48" s="5">
        <v>112117</v>
      </c>
      <c r="F48" s="6">
        <v>519.71835350000003</v>
      </c>
      <c r="G48" s="7">
        <v>8.4562079999999998E-3</v>
      </c>
      <c r="H48" s="53"/>
    </row>
    <row r="49" spans="1:8" ht="17.100000000000001" customHeight="1" x14ac:dyDescent="0.2">
      <c r="A49" s="3">
        <v>43</v>
      </c>
      <c r="B49" s="4" t="s">
        <v>112</v>
      </c>
      <c r="C49" s="4" t="s">
        <v>113</v>
      </c>
      <c r="D49" s="4" t="s">
        <v>87</v>
      </c>
      <c r="E49" s="5">
        <v>119000</v>
      </c>
      <c r="F49" s="6">
        <v>499.20499999999998</v>
      </c>
      <c r="G49" s="7">
        <v>8.1224399999999999E-3</v>
      </c>
      <c r="H49" s="53"/>
    </row>
    <row r="50" spans="1:8" ht="17.100000000000001" customHeight="1" x14ac:dyDescent="0.2">
      <c r="A50" s="3">
        <v>44</v>
      </c>
      <c r="B50" s="4" t="s">
        <v>114</v>
      </c>
      <c r="C50" s="4" t="s">
        <v>115</v>
      </c>
      <c r="D50" s="4" t="s">
        <v>116</v>
      </c>
      <c r="E50" s="5">
        <v>142476</v>
      </c>
      <c r="F50" s="6">
        <v>480.642786</v>
      </c>
      <c r="G50" s="7">
        <v>7.8204190000000003E-3</v>
      </c>
      <c r="H50" s="53"/>
    </row>
    <row r="51" spans="1:8" ht="29.1" customHeight="1" x14ac:dyDescent="0.2">
      <c r="A51" s="3">
        <v>45</v>
      </c>
      <c r="B51" s="4" t="s">
        <v>117</v>
      </c>
      <c r="C51" s="4" t="s">
        <v>118</v>
      </c>
      <c r="D51" s="4" t="s">
        <v>119</v>
      </c>
      <c r="E51" s="5">
        <v>65000</v>
      </c>
      <c r="F51" s="6">
        <v>469.88499999999999</v>
      </c>
      <c r="G51" s="7">
        <v>7.645382E-3</v>
      </c>
      <c r="H51" s="53"/>
    </row>
    <row r="52" spans="1:8" ht="17.100000000000001" customHeight="1" x14ac:dyDescent="0.2">
      <c r="A52" s="3">
        <v>46</v>
      </c>
      <c r="B52" s="4" t="s">
        <v>120</v>
      </c>
      <c r="C52" s="4" t="s">
        <v>121</v>
      </c>
      <c r="D52" s="4" t="s">
        <v>122</v>
      </c>
      <c r="E52" s="5">
        <v>313512</v>
      </c>
      <c r="F52" s="6">
        <v>460.07886000000002</v>
      </c>
      <c r="G52" s="7">
        <v>7.4858290000000003E-3</v>
      </c>
      <c r="H52" s="53"/>
    </row>
    <row r="53" spans="1:8" ht="17.100000000000001" customHeight="1" x14ac:dyDescent="0.2">
      <c r="A53" s="3">
        <v>47</v>
      </c>
      <c r="B53" s="4" t="s">
        <v>123</v>
      </c>
      <c r="C53" s="4" t="s">
        <v>124</v>
      </c>
      <c r="D53" s="4" t="s">
        <v>13</v>
      </c>
      <c r="E53" s="5">
        <v>33853</v>
      </c>
      <c r="F53" s="6">
        <v>385.89034700000002</v>
      </c>
      <c r="G53" s="7">
        <v>6.2787260000000001E-3</v>
      </c>
      <c r="H53" s="53"/>
    </row>
    <row r="54" spans="1:8" ht="17.100000000000001" customHeight="1" x14ac:dyDescent="0.2">
      <c r="A54" s="3">
        <v>48</v>
      </c>
      <c r="B54" s="4" t="s">
        <v>125</v>
      </c>
      <c r="C54" s="4" t="s">
        <v>126</v>
      </c>
      <c r="D54" s="4" t="s">
        <v>116</v>
      </c>
      <c r="E54" s="5">
        <v>10500</v>
      </c>
      <c r="F54" s="6">
        <v>198.5865</v>
      </c>
      <c r="G54" s="7">
        <v>3.2311520000000002E-3</v>
      </c>
      <c r="H54" s="53"/>
    </row>
    <row r="55" spans="1:8" ht="17.100000000000001" customHeight="1" x14ac:dyDescent="0.2">
      <c r="A55" s="3">
        <v>49</v>
      </c>
      <c r="B55" s="4" t="s">
        <v>127</v>
      </c>
      <c r="C55" s="4" t="s">
        <v>128</v>
      </c>
      <c r="D55" s="4" t="s">
        <v>119</v>
      </c>
      <c r="E55" s="5">
        <v>45404</v>
      </c>
      <c r="F55" s="6">
        <v>102.75379239999999</v>
      </c>
      <c r="G55" s="7">
        <v>1.6718810000000001E-3</v>
      </c>
      <c r="H55" s="53"/>
    </row>
    <row r="56" spans="1:8" ht="14.1" customHeight="1" x14ac:dyDescent="0.2">
      <c r="A56" s="1"/>
      <c r="B56" s="1"/>
      <c r="C56" s="2" t="s">
        <v>132</v>
      </c>
      <c r="D56" s="1"/>
      <c r="E56" s="1" t="s">
        <v>133</v>
      </c>
      <c r="F56" s="9">
        <v>59823.977582589003</v>
      </c>
      <c r="G56" s="10">
        <v>0.97338106199999996</v>
      </c>
      <c r="H56" s="53"/>
    </row>
    <row r="57" spans="1:8" ht="14.1" customHeight="1" x14ac:dyDescent="0.2">
      <c r="A57" s="1"/>
      <c r="B57" s="1"/>
      <c r="C57" s="11"/>
      <c r="D57" s="1"/>
      <c r="E57" s="1"/>
      <c r="F57" s="12"/>
      <c r="G57" s="12"/>
      <c r="H57" s="53"/>
    </row>
    <row r="58" spans="1:8" ht="14.1" customHeight="1" x14ac:dyDescent="0.2">
      <c r="A58" s="1"/>
      <c r="B58" s="1"/>
      <c r="C58" s="2" t="s">
        <v>134</v>
      </c>
      <c r="D58" s="1"/>
      <c r="E58" s="1"/>
      <c r="F58" s="1"/>
      <c r="G58" s="1"/>
      <c r="H58" s="53"/>
    </row>
    <row r="59" spans="1:8" ht="14.1" customHeight="1" x14ac:dyDescent="0.2">
      <c r="A59" s="1"/>
      <c r="B59" s="1"/>
      <c r="C59" s="2" t="s">
        <v>132</v>
      </c>
      <c r="D59" s="1"/>
      <c r="E59" s="1" t="s">
        <v>133</v>
      </c>
      <c r="F59" s="13">
        <v>0</v>
      </c>
      <c r="G59" s="14">
        <v>0</v>
      </c>
      <c r="H59" s="53"/>
    </row>
    <row r="60" spans="1:8" ht="14.1" customHeight="1" x14ac:dyDescent="0.2">
      <c r="A60" s="1"/>
      <c r="B60" s="1"/>
      <c r="C60" s="11"/>
      <c r="D60" s="1"/>
      <c r="E60" s="1"/>
      <c r="F60" s="12"/>
      <c r="G60" s="12"/>
      <c r="H60" s="53"/>
    </row>
    <row r="61" spans="1:8" ht="14.1" customHeight="1" x14ac:dyDescent="0.2">
      <c r="A61" s="1"/>
      <c r="B61" s="1"/>
      <c r="C61" s="2" t="s">
        <v>135</v>
      </c>
      <c r="D61" s="1"/>
      <c r="E61" s="1"/>
      <c r="F61" s="1"/>
      <c r="G61" s="1"/>
      <c r="H61" s="53"/>
    </row>
    <row r="62" spans="1:8" ht="17.100000000000001" customHeight="1" x14ac:dyDescent="0.2">
      <c r="A62" s="3">
        <v>1</v>
      </c>
      <c r="B62" s="4" t="s">
        <v>129</v>
      </c>
      <c r="C62" s="48" t="s">
        <v>955</v>
      </c>
      <c r="D62" s="4" t="s">
        <v>130</v>
      </c>
      <c r="E62" s="5">
        <v>559425</v>
      </c>
      <c r="F62" s="6">
        <v>1.1189000000000001E-5</v>
      </c>
      <c r="G62" s="8" t="s">
        <v>131</v>
      </c>
      <c r="H62" s="53"/>
    </row>
    <row r="63" spans="1:8" ht="14.1" customHeight="1" x14ac:dyDescent="0.2">
      <c r="A63" s="1"/>
      <c r="B63" s="1"/>
      <c r="C63" s="2" t="s">
        <v>132</v>
      </c>
      <c r="D63" s="1"/>
      <c r="E63" s="1" t="s">
        <v>133</v>
      </c>
      <c r="F63" s="13">
        <f>SUM(F62)</f>
        <v>1.1189000000000001E-5</v>
      </c>
      <c r="G63" s="14">
        <f>SUM(G62)</f>
        <v>0</v>
      </c>
      <c r="H63" s="53"/>
    </row>
    <row r="64" spans="1:8" ht="14.1" customHeight="1" x14ac:dyDescent="0.2">
      <c r="A64" s="1"/>
      <c r="B64" s="1"/>
      <c r="C64" s="11"/>
      <c r="D64" s="1"/>
      <c r="E64" s="1"/>
      <c r="F64" s="12"/>
      <c r="G64" s="12"/>
      <c r="H64" s="53"/>
    </row>
    <row r="65" spans="1:8" ht="14.1" customHeight="1" x14ac:dyDescent="0.2">
      <c r="A65" s="1"/>
      <c r="B65" s="1"/>
      <c r="C65" s="2" t="s">
        <v>136</v>
      </c>
      <c r="D65" s="1"/>
      <c r="E65" s="1"/>
      <c r="F65" s="1"/>
      <c r="G65" s="1"/>
      <c r="H65" s="53"/>
    </row>
    <row r="66" spans="1:8" ht="14.1" customHeight="1" x14ac:dyDescent="0.2">
      <c r="A66" s="1"/>
      <c r="B66" s="1"/>
      <c r="C66" s="2" t="s">
        <v>132</v>
      </c>
      <c r="D66" s="1"/>
      <c r="E66" s="1" t="s">
        <v>133</v>
      </c>
      <c r="F66" s="13">
        <v>0</v>
      </c>
      <c r="G66" s="14">
        <v>0</v>
      </c>
      <c r="H66" s="53"/>
    </row>
    <row r="67" spans="1:8" ht="14.1" customHeight="1" x14ac:dyDescent="0.2">
      <c r="A67" s="1"/>
      <c r="B67" s="1"/>
      <c r="C67" s="11"/>
      <c r="D67" s="1"/>
      <c r="E67" s="1"/>
      <c r="F67" s="12"/>
      <c r="G67" s="12"/>
      <c r="H67" s="53"/>
    </row>
    <row r="68" spans="1:8" ht="14.1" customHeight="1" x14ac:dyDescent="0.2">
      <c r="A68" s="1"/>
      <c r="B68" s="1"/>
      <c r="C68" s="2" t="s">
        <v>137</v>
      </c>
      <c r="D68" s="1"/>
      <c r="E68" s="1"/>
      <c r="F68" s="12"/>
      <c r="G68" s="12"/>
      <c r="H68" s="53"/>
    </row>
    <row r="69" spans="1:8" ht="14.1" customHeight="1" x14ac:dyDescent="0.2">
      <c r="A69" s="1"/>
      <c r="B69" s="1"/>
      <c r="C69" s="2" t="s">
        <v>132</v>
      </c>
      <c r="D69" s="1"/>
      <c r="E69" s="1" t="s">
        <v>133</v>
      </c>
      <c r="F69" s="13">
        <v>0</v>
      </c>
      <c r="G69" s="14">
        <v>0</v>
      </c>
      <c r="H69" s="53"/>
    </row>
    <row r="70" spans="1:8" ht="14.1" customHeight="1" x14ac:dyDescent="0.2">
      <c r="A70" s="1"/>
      <c r="B70" s="1"/>
      <c r="C70" s="11"/>
      <c r="D70" s="1"/>
      <c r="E70" s="1"/>
      <c r="F70" s="12"/>
      <c r="G70" s="12"/>
      <c r="H70" s="53"/>
    </row>
    <row r="71" spans="1:8" ht="14.1" customHeight="1" x14ac:dyDescent="0.2">
      <c r="A71" s="1"/>
      <c r="B71" s="1"/>
      <c r="C71" s="2" t="s">
        <v>138</v>
      </c>
      <c r="D71" s="1"/>
      <c r="E71" s="1"/>
      <c r="F71" s="12"/>
      <c r="G71" s="12"/>
      <c r="H71" s="53"/>
    </row>
    <row r="72" spans="1:8" ht="14.1" customHeight="1" x14ac:dyDescent="0.2">
      <c r="A72" s="1"/>
      <c r="B72" s="1"/>
      <c r="C72" s="2" t="s">
        <v>132</v>
      </c>
      <c r="D72" s="1"/>
      <c r="E72" s="1" t="s">
        <v>133</v>
      </c>
      <c r="F72" s="13">
        <v>0</v>
      </c>
      <c r="G72" s="14">
        <v>0</v>
      </c>
      <c r="H72" s="53"/>
    </row>
    <row r="73" spans="1:8" ht="14.1" customHeight="1" x14ac:dyDescent="0.2">
      <c r="A73" s="1"/>
      <c r="B73" s="1"/>
      <c r="C73" s="11"/>
      <c r="D73" s="1"/>
      <c r="E73" s="1"/>
      <c r="F73" s="12"/>
      <c r="G73" s="12"/>
      <c r="H73" s="53"/>
    </row>
    <row r="74" spans="1:8" ht="18" customHeight="1" x14ac:dyDescent="0.2">
      <c r="A74" s="1"/>
      <c r="B74" s="1"/>
      <c r="C74" s="2" t="s">
        <v>139</v>
      </c>
      <c r="D74" s="1"/>
      <c r="E74" s="1"/>
      <c r="F74" s="9">
        <v>59823.977582589003</v>
      </c>
      <c r="G74" s="10">
        <v>0.97338106199999996</v>
      </c>
      <c r="H74" s="53"/>
    </row>
    <row r="75" spans="1:8" ht="14.1" customHeight="1" x14ac:dyDescent="0.2">
      <c r="A75" s="1"/>
      <c r="B75" s="1"/>
      <c r="C75" s="11"/>
      <c r="D75" s="1"/>
      <c r="E75" s="1"/>
      <c r="F75" s="12"/>
      <c r="G75" s="12"/>
      <c r="H75" s="53"/>
    </row>
    <row r="76" spans="1:8" ht="14.1" customHeight="1" x14ac:dyDescent="0.2">
      <c r="A76" s="1"/>
      <c r="B76" s="1"/>
      <c r="C76" s="2" t="s">
        <v>140</v>
      </c>
      <c r="D76" s="1"/>
      <c r="E76" s="1"/>
      <c r="F76" s="12"/>
      <c r="G76" s="12"/>
      <c r="H76" s="53"/>
    </row>
    <row r="77" spans="1:8" ht="24" customHeight="1" x14ac:dyDescent="0.2">
      <c r="A77" s="1"/>
      <c r="B77" s="1"/>
      <c r="C77" s="2" t="s">
        <v>10</v>
      </c>
      <c r="D77" s="1"/>
      <c r="E77" s="1"/>
      <c r="F77" s="12"/>
      <c r="G77" s="12"/>
      <c r="H77" s="53"/>
    </row>
    <row r="78" spans="1:8" ht="14.1" customHeight="1" x14ac:dyDescent="0.2">
      <c r="A78" s="1"/>
      <c r="B78" s="1"/>
      <c r="C78" s="2" t="s">
        <v>132</v>
      </c>
      <c r="D78" s="1"/>
      <c r="E78" s="1" t="s">
        <v>133</v>
      </c>
      <c r="F78" s="13">
        <v>0</v>
      </c>
      <c r="G78" s="14">
        <v>0</v>
      </c>
      <c r="H78" s="53"/>
    </row>
    <row r="79" spans="1:8" ht="14.1" customHeight="1" x14ac:dyDescent="0.2">
      <c r="A79" s="1"/>
      <c r="B79" s="1"/>
      <c r="C79" s="11"/>
      <c r="D79" s="1"/>
      <c r="E79" s="1"/>
      <c r="F79" s="12"/>
      <c r="G79" s="12"/>
      <c r="H79" s="53"/>
    </row>
    <row r="80" spans="1:8" ht="14.1" customHeight="1" x14ac:dyDescent="0.2">
      <c r="A80" s="1"/>
      <c r="B80" s="1"/>
      <c r="C80" s="2" t="s">
        <v>141</v>
      </c>
      <c r="D80" s="1"/>
      <c r="E80" s="1"/>
      <c r="F80" s="1"/>
      <c r="G80" s="1"/>
      <c r="H80" s="53"/>
    </row>
    <row r="81" spans="1:8" ht="14.1" customHeight="1" x14ac:dyDescent="0.2">
      <c r="A81" s="1"/>
      <c r="B81" s="1"/>
      <c r="C81" s="2" t="s">
        <v>132</v>
      </c>
      <c r="D81" s="1"/>
      <c r="E81" s="1" t="s">
        <v>133</v>
      </c>
      <c r="F81" s="13">
        <v>0</v>
      </c>
      <c r="G81" s="14">
        <v>0</v>
      </c>
      <c r="H81" s="53"/>
    </row>
    <row r="82" spans="1:8" ht="14.1" customHeight="1" x14ac:dyDescent="0.2">
      <c r="A82" s="1"/>
      <c r="B82" s="1"/>
      <c r="C82" s="11"/>
      <c r="D82" s="1"/>
      <c r="E82" s="1"/>
      <c r="F82" s="12"/>
      <c r="G82" s="12"/>
      <c r="H82" s="53"/>
    </row>
    <row r="83" spans="1:8" ht="14.1" customHeight="1" x14ac:dyDescent="0.2">
      <c r="A83" s="1"/>
      <c r="B83" s="1"/>
      <c r="C83" s="2" t="s">
        <v>142</v>
      </c>
      <c r="D83" s="1"/>
      <c r="E83" s="1"/>
      <c r="F83" s="1"/>
      <c r="G83" s="1"/>
      <c r="H83" s="53"/>
    </row>
    <row r="84" spans="1:8" ht="14.1" customHeight="1" x14ac:dyDescent="0.2">
      <c r="A84" s="1"/>
      <c r="B84" s="1"/>
      <c r="C84" s="2" t="s">
        <v>132</v>
      </c>
      <c r="D84" s="1"/>
      <c r="E84" s="1" t="s">
        <v>133</v>
      </c>
      <c r="F84" s="13">
        <v>0</v>
      </c>
      <c r="G84" s="14">
        <v>0</v>
      </c>
      <c r="H84" s="53"/>
    </row>
    <row r="85" spans="1:8" ht="14.1" customHeight="1" x14ac:dyDescent="0.2">
      <c r="A85" s="1"/>
      <c r="B85" s="1"/>
      <c r="C85" s="11"/>
      <c r="D85" s="1"/>
      <c r="E85" s="1"/>
      <c r="F85" s="12"/>
      <c r="G85" s="12"/>
      <c r="H85" s="53"/>
    </row>
    <row r="86" spans="1:8" ht="14.1" customHeight="1" x14ac:dyDescent="0.2">
      <c r="A86" s="1"/>
      <c r="B86" s="1"/>
      <c r="C86" s="2" t="s">
        <v>143</v>
      </c>
      <c r="D86" s="1"/>
      <c r="E86" s="1"/>
      <c r="F86" s="12"/>
      <c r="G86" s="12"/>
      <c r="H86" s="53"/>
    </row>
    <row r="87" spans="1:8" ht="14.1" customHeight="1" x14ac:dyDescent="0.2">
      <c r="A87" s="1"/>
      <c r="B87" s="1"/>
      <c r="C87" s="2" t="s">
        <v>132</v>
      </c>
      <c r="D87" s="1"/>
      <c r="E87" s="1" t="s">
        <v>133</v>
      </c>
      <c r="F87" s="13">
        <v>0</v>
      </c>
      <c r="G87" s="14">
        <v>0</v>
      </c>
      <c r="H87" s="53"/>
    </row>
    <row r="88" spans="1:8" ht="14.1" customHeight="1" x14ac:dyDescent="0.2">
      <c r="A88" s="1"/>
      <c r="B88" s="1"/>
      <c r="C88" s="11"/>
      <c r="D88" s="1"/>
      <c r="E88" s="1"/>
      <c r="F88" s="12"/>
      <c r="G88" s="12"/>
      <c r="H88" s="53"/>
    </row>
    <row r="89" spans="1:8" ht="14.1" customHeight="1" x14ac:dyDescent="0.2">
      <c r="A89" s="1"/>
      <c r="B89" s="1"/>
      <c r="C89" s="2" t="s">
        <v>144</v>
      </c>
      <c r="D89" s="1"/>
      <c r="E89" s="1"/>
      <c r="F89" s="9">
        <v>0</v>
      </c>
      <c r="G89" s="10">
        <v>0</v>
      </c>
      <c r="H89" s="53"/>
    </row>
    <row r="90" spans="1:8" ht="14.1" customHeight="1" x14ac:dyDescent="0.2">
      <c r="A90" s="1"/>
      <c r="B90" s="1"/>
      <c r="C90" s="11"/>
      <c r="D90" s="1"/>
      <c r="E90" s="1"/>
      <c r="F90" s="12"/>
      <c r="G90" s="12"/>
      <c r="H90" s="53"/>
    </row>
    <row r="91" spans="1:8" ht="14.1" customHeight="1" x14ac:dyDescent="0.2">
      <c r="A91" s="1"/>
      <c r="B91" s="1"/>
      <c r="C91" s="2" t="s">
        <v>145</v>
      </c>
      <c r="D91" s="1"/>
      <c r="E91" s="1"/>
      <c r="F91" s="12"/>
      <c r="G91" s="12"/>
      <c r="H91" s="53"/>
    </row>
    <row r="92" spans="1:8" ht="14.1" customHeight="1" x14ac:dyDescent="0.2">
      <c r="A92" s="1"/>
      <c r="B92" s="1"/>
      <c r="C92" s="2" t="s">
        <v>146</v>
      </c>
      <c r="D92" s="1"/>
      <c r="E92" s="1"/>
      <c r="F92" s="12"/>
      <c r="G92" s="12"/>
      <c r="H92" s="53"/>
    </row>
    <row r="93" spans="1:8" ht="14.1" customHeight="1" x14ac:dyDescent="0.2">
      <c r="A93" s="1"/>
      <c r="B93" s="1"/>
      <c r="C93" s="2" t="s">
        <v>132</v>
      </c>
      <c r="D93" s="1"/>
      <c r="E93" s="1" t="s">
        <v>133</v>
      </c>
      <c r="F93" s="13">
        <v>0</v>
      </c>
      <c r="G93" s="14">
        <v>0</v>
      </c>
      <c r="H93" s="53"/>
    </row>
    <row r="94" spans="1:8" ht="14.1" customHeight="1" x14ac:dyDescent="0.2">
      <c r="A94" s="1"/>
      <c r="B94" s="1"/>
      <c r="C94" s="11"/>
      <c r="D94" s="1"/>
      <c r="E94" s="1"/>
      <c r="F94" s="12"/>
      <c r="G94" s="12"/>
      <c r="H94" s="53"/>
    </row>
    <row r="95" spans="1:8" ht="14.1" customHeight="1" x14ac:dyDescent="0.2">
      <c r="A95" s="1"/>
      <c r="B95" s="1"/>
      <c r="C95" s="2" t="s">
        <v>147</v>
      </c>
      <c r="D95" s="1"/>
      <c r="E95" s="1"/>
      <c r="F95" s="12"/>
      <c r="G95" s="12"/>
      <c r="H95" s="53"/>
    </row>
    <row r="96" spans="1:8" ht="14.1" customHeight="1" x14ac:dyDescent="0.2">
      <c r="A96" s="1"/>
      <c r="B96" s="1"/>
      <c r="C96" s="2" t="s">
        <v>132</v>
      </c>
      <c r="D96" s="1"/>
      <c r="E96" s="1" t="s">
        <v>133</v>
      </c>
      <c r="F96" s="13">
        <v>0</v>
      </c>
      <c r="G96" s="14">
        <v>0</v>
      </c>
      <c r="H96" s="53"/>
    </row>
    <row r="97" spans="1:8" ht="14.1" customHeight="1" x14ac:dyDescent="0.2">
      <c r="A97" s="1"/>
      <c r="B97" s="1"/>
      <c r="C97" s="11"/>
      <c r="D97" s="1"/>
      <c r="E97" s="1"/>
      <c r="F97" s="12"/>
      <c r="G97" s="12"/>
      <c r="H97" s="53"/>
    </row>
    <row r="98" spans="1:8" ht="14.1" customHeight="1" x14ac:dyDescent="0.2">
      <c r="A98" s="1"/>
      <c r="B98" s="1"/>
      <c r="C98" s="2" t="s">
        <v>148</v>
      </c>
      <c r="D98" s="1"/>
      <c r="E98" s="1"/>
      <c r="F98" s="12"/>
      <c r="G98" s="12"/>
      <c r="H98" s="53"/>
    </row>
    <row r="99" spans="1:8" ht="14.1" customHeight="1" x14ac:dyDescent="0.2">
      <c r="A99" s="1"/>
      <c r="B99" s="1"/>
      <c r="C99" s="2" t="s">
        <v>132</v>
      </c>
      <c r="D99" s="1"/>
      <c r="E99" s="1" t="s">
        <v>133</v>
      </c>
      <c r="F99" s="13">
        <v>0</v>
      </c>
      <c r="G99" s="14">
        <v>0</v>
      </c>
      <c r="H99" s="53"/>
    </row>
    <row r="100" spans="1:8" ht="14.1" customHeight="1" x14ac:dyDescent="0.2">
      <c r="A100" s="1"/>
      <c r="B100" s="1"/>
      <c r="C100" s="11"/>
      <c r="D100" s="1"/>
      <c r="E100" s="1"/>
      <c r="F100" s="12"/>
      <c r="G100" s="12"/>
      <c r="H100" s="53"/>
    </row>
    <row r="101" spans="1:8" ht="14.1" customHeight="1" x14ac:dyDescent="0.2">
      <c r="A101" s="1"/>
      <c r="B101" s="1"/>
      <c r="C101" s="2" t="s">
        <v>149</v>
      </c>
      <c r="D101" s="1"/>
      <c r="E101" s="1"/>
      <c r="F101" s="12"/>
      <c r="G101" s="12"/>
      <c r="H101" s="53"/>
    </row>
    <row r="102" spans="1:8" ht="17.100000000000001" customHeight="1" x14ac:dyDescent="0.2">
      <c r="A102" s="3">
        <v>1</v>
      </c>
      <c r="B102" s="4"/>
      <c r="C102" s="4" t="s">
        <v>150</v>
      </c>
      <c r="D102" s="4"/>
      <c r="E102" s="8"/>
      <c r="F102" s="6">
        <v>1052.0920902</v>
      </c>
      <c r="G102" s="7">
        <v>1.7118329000000002E-2</v>
      </c>
      <c r="H102" s="53">
        <v>6.46</v>
      </c>
    </row>
    <row r="103" spans="1:8" ht="14.1" customHeight="1" x14ac:dyDescent="0.2">
      <c r="A103" s="1"/>
      <c r="B103" s="1"/>
      <c r="C103" s="2" t="s">
        <v>132</v>
      </c>
      <c r="D103" s="1"/>
      <c r="E103" s="1" t="s">
        <v>133</v>
      </c>
      <c r="F103" s="9">
        <v>1052.0920902</v>
      </c>
      <c r="G103" s="10">
        <v>1.7118329000000002E-2</v>
      </c>
      <c r="H103" s="53"/>
    </row>
    <row r="104" spans="1:8" ht="14.1" customHeight="1" x14ac:dyDescent="0.2">
      <c r="A104" s="1"/>
      <c r="B104" s="1"/>
      <c r="C104" s="11"/>
      <c r="D104" s="1"/>
      <c r="E104" s="1"/>
      <c r="F104" s="12"/>
      <c r="G104" s="12"/>
      <c r="H104" s="53"/>
    </row>
    <row r="105" spans="1:8" ht="14.1" customHeight="1" x14ac:dyDescent="0.2">
      <c r="A105" s="1"/>
      <c r="B105" s="1"/>
      <c r="C105" s="2" t="s">
        <v>151</v>
      </c>
      <c r="D105" s="1"/>
      <c r="E105" s="1"/>
      <c r="F105" s="9">
        <v>1052.0920902</v>
      </c>
      <c r="G105" s="10">
        <v>1.7118329000000002E-2</v>
      </c>
      <c r="H105" s="53"/>
    </row>
    <row r="106" spans="1:8" ht="14.1" customHeight="1" x14ac:dyDescent="0.2">
      <c r="A106" s="1"/>
      <c r="B106" s="1"/>
      <c r="C106" s="12"/>
      <c r="D106" s="1"/>
      <c r="E106" s="1"/>
      <c r="F106" s="1"/>
      <c r="G106" s="1"/>
      <c r="H106" s="53"/>
    </row>
    <row r="107" spans="1:8" ht="14.1" customHeight="1" x14ac:dyDescent="0.2">
      <c r="A107" s="1"/>
      <c r="B107" s="1"/>
      <c r="C107" s="2" t="s">
        <v>152</v>
      </c>
      <c r="D107" s="1"/>
      <c r="E107" s="1"/>
      <c r="F107" s="1"/>
      <c r="G107" s="1"/>
      <c r="H107" s="53"/>
    </row>
    <row r="108" spans="1:8" ht="14.1" customHeight="1" x14ac:dyDescent="0.2">
      <c r="A108" s="1"/>
      <c r="B108" s="1"/>
      <c r="C108" s="2" t="s">
        <v>153</v>
      </c>
      <c r="D108" s="1"/>
      <c r="E108" s="1"/>
      <c r="F108" s="1"/>
      <c r="G108" s="1"/>
      <c r="H108" s="53"/>
    </row>
    <row r="109" spans="1:8" ht="14.1" customHeight="1" x14ac:dyDescent="0.2">
      <c r="A109" s="1"/>
      <c r="B109" s="1"/>
      <c r="C109" s="2" t="s">
        <v>132</v>
      </c>
      <c r="D109" s="1"/>
      <c r="E109" s="1" t="s">
        <v>133</v>
      </c>
      <c r="F109" s="13">
        <v>0</v>
      </c>
      <c r="G109" s="14">
        <v>0</v>
      </c>
      <c r="H109" s="53"/>
    </row>
    <row r="110" spans="1:8" ht="14.1" customHeight="1" x14ac:dyDescent="0.2">
      <c r="A110" s="1"/>
      <c r="B110" s="1"/>
      <c r="C110" s="11"/>
      <c r="D110" s="1"/>
      <c r="E110" s="1"/>
      <c r="F110" s="12"/>
      <c r="G110" s="12"/>
      <c r="H110" s="53"/>
    </row>
    <row r="111" spans="1:8" ht="14.1" customHeight="1" x14ac:dyDescent="0.2">
      <c r="A111" s="1"/>
      <c r="B111" s="1"/>
      <c r="C111" s="2" t="s">
        <v>154</v>
      </c>
      <c r="D111" s="1"/>
      <c r="E111" s="1"/>
      <c r="F111" s="1"/>
      <c r="G111" s="1"/>
      <c r="H111" s="53"/>
    </row>
    <row r="112" spans="1:8" ht="14.1" customHeight="1" x14ac:dyDescent="0.2">
      <c r="A112" s="1"/>
      <c r="B112" s="1"/>
      <c r="C112" s="2" t="s">
        <v>155</v>
      </c>
      <c r="D112" s="1"/>
      <c r="E112" s="1"/>
      <c r="F112" s="1"/>
      <c r="G112" s="1"/>
      <c r="H112" s="53"/>
    </row>
    <row r="113" spans="1:8" ht="14.1" customHeight="1" x14ac:dyDescent="0.2">
      <c r="A113" s="1"/>
      <c r="B113" s="1"/>
      <c r="C113" s="2" t="s">
        <v>132</v>
      </c>
      <c r="D113" s="1"/>
      <c r="E113" s="1" t="s">
        <v>133</v>
      </c>
      <c r="F113" s="13">
        <v>0</v>
      </c>
      <c r="G113" s="14">
        <v>0</v>
      </c>
      <c r="H113" s="53"/>
    </row>
    <row r="114" spans="1:8" ht="14.1" customHeight="1" x14ac:dyDescent="0.2">
      <c r="A114" s="1"/>
      <c r="B114" s="1"/>
      <c r="C114" s="11"/>
      <c r="D114" s="1"/>
      <c r="E114" s="1"/>
      <c r="F114" s="12"/>
      <c r="G114" s="12"/>
      <c r="H114" s="53"/>
    </row>
    <row r="115" spans="1:8" ht="14.1" customHeight="1" x14ac:dyDescent="0.2">
      <c r="A115" s="1"/>
      <c r="B115" s="1"/>
      <c r="C115" s="11"/>
      <c r="D115" s="1"/>
      <c r="E115" s="1"/>
      <c r="F115" s="12"/>
      <c r="G115" s="12"/>
      <c r="H115" s="53"/>
    </row>
    <row r="116" spans="1:8" ht="24" customHeight="1" x14ac:dyDescent="0.2">
      <c r="A116" s="1"/>
      <c r="B116" s="1"/>
      <c r="C116" s="2" t="s">
        <v>156</v>
      </c>
      <c r="D116" s="1"/>
      <c r="E116" s="1"/>
      <c r="F116" s="12"/>
      <c r="G116" s="12"/>
      <c r="H116" s="53"/>
    </row>
    <row r="117" spans="1:8" ht="14.1" customHeight="1" x14ac:dyDescent="0.2">
      <c r="A117" s="1"/>
      <c r="B117" s="1"/>
      <c r="C117" s="2" t="s">
        <v>132</v>
      </c>
      <c r="D117" s="1"/>
      <c r="E117" s="1" t="s">
        <v>133</v>
      </c>
      <c r="F117" s="13">
        <v>0</v>
      </c>
      <c r="G117" s="14">
        <v>0</v>
      </c>
      <c r="H117" s="53"/>
    </row>
    <row r="118" spans="1:8" ht="14.1" customHeight="1" x14ac:dyDescent="0.2">
      <c r="A118" s="1"/>
      <c r="B118" s="1"/>
      <c r="C118" s="11"/>
      <c r="D118" s="1"/>
      <c r="E118" s="1"/>
      <c r="F118" s="12"/>
      <c r="G118" s="12"/>
      <c r="H118" s="53"/>
    </row>
    <row r="119" spans="1:8" ht="14.1" customHeight="1" x14ac:dyDescent="0.2">
      <c r="A119" s="1"/>
      <c r="B119" s="4"/>
      <c r="C119" s="4"/>
      <c r="D119" s="2"/>
      <c r="E119" s="1"/>
      <c r="F119" s="4"/>
      <c r="G119" s="8"/>
      <c r="H119" s="53"/>
    </row>
    <row r="120" spans="1:8" ht="18" customHeight="1" x14ac:dyDescent="0.2">
      <c r="A120" s="8"/>
      <c r="B120" s="4"/>
      <c r="C120" s="4" t="s">
        <v>157</v>
      </c>
      <c r="D120" s="4"/>
      <c r="E120" s="8"/>
      <c r="F120" s="6">
        <v>583.90720858999998</v>
      </c>
      <c r="G120" s="7">
        <v>9.5006090000000001E-3</v>
      </c>
      <c r="H120" s="53"/>
    </row>
    <row r="121" spans="1:8" ht="14.1" customHeight="1" x14ac:dyDescent="0.2">
      <c r="A121" s="11"/>
      <c r="B121" s="11"/>
      <c r="C121" s="2" t="s">
        <v>158</v>
      </c>
      <c r="D121" s="15"/>
      <c r="E121" s="15"/>
      <c r="F121" s="9">
        <v>61459.976881379</v>
      </c>
      <c r="G121" s="14">
        <v>1</v>
      </c>
      <c r="H121" s="53"/>
    </row>
    <row r="122" spans="1:8" ht="14.1" customHeight="1" x14ac:dyDescent="0.2">
      <c r="A122" s="16"/>
      <c r="B122" s="16"/>
      <c r="C122" s="16"/>
      <c r="D122" s="17"/>
      <c r="E122" s="17"/>
      <c r="F122" s="17"/>
      <c r="G122" s="17"/>
    </row>
    <row r="123" spans="1:8" ht="17.100000000000001" customHeight="1" x14ac:dyDescent="0.2">
      <c r="A123" s="18"/>
      <c r="B123" s="292" t="s">
        <v>159</v>
      </c>
      <c r="C123" s="292"/>
      <c r="D123" s="292"/>
      <c r="E123" s="292"/>
      <c r="F123" s="292"/>
      <c r="G123" s="20"/>
    </row>
    <row r="124" spans="1:8" ht="14.1" customHeight="1" x14ac:dyDescent="0.2">
      <c r="A124" s="18"/>
      <c r="B124" s="18"/>
      <c r="C124" s="18"/>
      <c r="D124" s="20"/>
      <c r="E124" s="20"/>
      <c r="F124" s="20"/>
      <c r="G124" s="20"/>
    </row>
    <row r="125" spans="1:8" ht="14.1" customHeight="1" x14ac:dyDescent="0.2">
      <c r="A125" s="18"/>
      <c r="B125" s="293" t="s">
        <v>160</v>
      </c>
      <c r="C125" s="294"/>
      <c r="D125" s="12" t="s">
        <v>133</v>
      </c>
      <c r="E125" s="21"/>
      <c r="F125" s="20"/>
      <c r="G125" s="20"/>
    </row>
    <row r="126" spans="1:8" ht="29.1" customHeight="1" x14ac:dyDescent="0.2">
      <c r="A126" s="18"/>
      <c r="B126" s="290" t="s">
        <v>161</v>
      </c>
      <c r="C126" s="291"/>
      <c r="D126" s="2" t="s">
        <v>162</v>
      </c>
      <c r="E126" s="21"/>
      <c r="F126" s="20"/>
      <c r="G126" s="20"/>
    </row>
    <row r="127" spans="1:8" ht="17.100000000000001" customHeight="1" x14ac:dyDescent="0.2">
      <c r="A127" s="18"/>
      <c r="B127" s="290" t="s">
        <v>956</v>
      </c>
      <c r="C127" s="291"/>
      <c r="D127" s="2" t="s">
        <v>957</v>
      </c>
      <c r="E127" s="21"/>
      <c r="F127" s="20"/>
      <c r="G127" s="20"/>
    </row>
    <row r="128" spans="1:8" ht="17.100000000000001" customHeight="1" x14ac:dyDescent="0.2">
      <c r="A128" s="18"/>
      <c r="B128" s="290" t="s">
        <v>164</v>
      </c>
      <c r="C128" s="291"/>
      <c r="D128" s="12" t="s">
        <v>133</v>
      </c>
      <c r="E128" s="21"/>
      <c r="F128" s="20"/>
      <c r="G128" s="20"/>
    </row>
    <row r="129" spans="1:7" ht="24" customHeight="1" x14ac:dyDescent="0.2">
      <c r="A129" s="22"/>
      <c r="B129" s="23" t="s">
        <v>133</v>
      </c>
      <c r="C129" s="23" t="s">
        <v>165</v>
      </c>
      <c r="D129" s="23" t="s">
        <v>166</v>
      </c>
      <c r="E129" s="22"/>
      <c r="F129" s="22"/>
      <c r="G129" s="22"/>
    </row>
    <row r="130" spans="1:7" ht="18" customHeight="1" x14ac:dyDescent="0.2">
      <c r="A130" s="22"/>
      <c r="B130" s="23" t="s">
        <v>167</v>
      </c>
      <c r="C130" s="23" t="s">
        <v>168</v>
      </c>
      <c r="D130" s="23" t="s">
        <v>169</v>
      </c>
      <c r="E130" s="22"/>
      <c r="F130" s="22"/>
      <c r="G130" s="22"/>
    </row>
    <row r="131" spans="1:7" ht="17.100000000000001" customHeight="1" x14ac:dyDescent="0.2">
      <c r="A131" s="22"/>
      <c r="B131" s="4" t="s">
        <v>170</v>
      </c>
      <c r="C131" s="24">
        <v>57.892099999999999</v>
      </c>
      <c r="D131" s="24">
        <v>55.799700000000001</v>
      </c>
      <c r="E131" s="22"/>
      <c r="F131" s="19"/>
      <c r="G131" s="25"/>
    </row>
    <row r="132" spans="1:7" ht="17.100000000000001" customHeight="1" x14ac:dyDescent="0.2">
      <c r="A132" s="22"/>
      <c r="B132" s="4" t="s">
        <v>1042</v>
      </c>
      <c r="C132" s="24">
        <v>41.524999999999999</v>
      </c>
      <c r="D132" s="24">
        <v>40.0242</v>
      </c>
      <c r="E132" s="22"/>
      <c r="F132" s="19"/>
      <c r="G132" s="25"/>
    </row>
    <row r="133" spans="1:7" ht="17.100000000000001" customHeight="1" x14ac:dyDescent="0.2">
      <c r="A133" s="22"/>
      <c r="B133" s="4" t="s">
        <v>171</v>
      </c>
      <c r="C133" s="24">
        <v>54.998899999999999</v>
      </c>
      <c r="D133" s="24">
        <v>52.980200000000004</v>
      </c>
      <c r="E133" s="22"/>
      <c r="F133" s="19"/>
      <c r="G133" s="25"/>
    </row>
    <row r="134" spans="1:7" ht="17.100000000000001" customHeight="1" x14ac:dyDescent="0.2">
      <c r="A134" s="22"/>
      <c r="B134" s="4" t="s">
        <v>1043</v>
      </c>
      <c r="C134" s="24">
        <v>39.250599999999999</v>
      </c>
      <c r="D134" s="24">
        <v>37.809899999999999</v>
      </c>
      <c r="E134" s="22"/>
      <c r="F134" s="19"/>
      <c r="G134" s="25"/>
    </row>
    <row r="135" spans="1:7" ht="14.1" customHeight="1" x14ac:dyDescent="0.2">
      <c r="A135" s="22"/>
      <c r="B135" s="22"/>
      <c r="C135" s="22"/>
      <c r="D135" s="22"/>
      <c r="E135" s="22"/>
      <c r="F135" s="22"/>
      <c r="G135" s="22"/>
    </row>
    <row r="136" spans="1:7" ht="17.100000000000001" customHeight="1" x14ac:dyDescent="0.2">
      <c r="A136" s="22"/>
      <c r="B136" s="290" t="s">
        <v>1044</v>
      </c>
      <c r="C136" s="291"/>
      <c r="D136" s="2" t="s">
        <v>162</v>
      </c>
      <c r="E136" s="22"/>
      <c r="F136" s="22"/>
      <c r="G136" s="22"/>
    </row>
    <row r="137" spans="1:7" ht="18" customHeight="1" x14ac:dyDescent="0.2">
      <c r="A137" s="22"/>
      <c r="B137" s="26"/>
      <c r="C137" s="26"/>
      <c r="D137" s="27"/>
      <c r="E137" s="22"/>
      <c r="F137" s="22"/>
      <c r="G137" s="22"/>
    </row>
    <row r="138" spans="1:7" ht="29.1" customHeight="1" x14ac:dyDescent="0.2">
      <c r="A138" s="22"/>
      <c r="B138" s="290" t="s">
        <v>172</v>
      </c>
      <c r="C138" s="291"/>
      <c r="D138" s="2" t="s">
        <v>162</v>
      </c>
      <c r="E138" s="22"/>
      <c r="F138" s="22"/>
      <c r="G138" s="22"/>
    </row>
    <row r="139" spans="1:7" ht="29.1" customHeight="1" x14ac:dyDescent="0.2">
      <c r="A139" s="22"/>
      <c r="B139" s="290" t="s">
        <v>173</v>
      </c>
      <c r="C139" s="291"/>
      <c r="D139" s="2" t="s">
        <v>162</v>
      </c>
      <c r="E139" s="22"/>
      <c r="F139" s="22"/>
      <c r="G139" s="22"/>
    </row>
    <row r="140" spans="1:7" ht="17.100000000000001" customHeight="1" x14ac:dyDescent="0.2">
      <c r="A140" s="22"/>
      <c r="B140" s="290" t="s">
        <v>174</v>
      </c>
      <c r="C140" s="291"/>
      <c r="D140" s="28">
        <v>0.38445199910520439</v>
      </c>
      <c r="E140" s="22"/>
      <c r="F140" s="19"/>
      <c r="G140" s="25"/>
    </row>
    <row r="141" spans="1:7" ht="17.100000000000001" customHeight="1" x14ac:dyDescent="0.2">
      <c r="A141" s="22"/>
      <c r="B141" s="290" t="s">
        <v>175</v>
      </c>
      <c r="C141" s="291"/>
      <c r="D141" s="2" t="s">
        <v>162</v>
      </c>
      <c r="E141" s="22"/>
      <c r="F141" s="22"/>
      <c r="G141" s="22"/>
    </row>
  </sheetData>
  <mergeCells count="14">
    <mergeCell ref="B141:C141"/>
    <mergeCell ref="B126:C126"/>
    <mergeCell ref="B127:C127"/>
    <mergeCell ref="B128:C128"/>
    <mergeCell ref="B136:C136"/>
    <mergeCell ref="B138:C138"/>
    <mergeCell ref="B139:C139"/>
    <mergeCell ref="A1:H1"/>
    <mergeCell ref="A2:H2"/>
    <mergeCell ref="A3:H3"/>
    <mergeCell ref="J2:N2"/>
    <mergeCell ref="B140:C140"/>
    <mergeCell ref="B123:F123"/>
    <mergeCell ref="B125:C125"/>
  </mergeCells>
  <hyperlinks>
    <hyperlink ref="I1" location="Index!B2" display="Index" xr:uid="{CE2B6713-E523-4514-9596-741473CA82D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5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176</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177</v>
      </c>
      <c r="C7" s="4" t="s">
        <v>178</v>
      </c>
      <c r="D7" s="4" t="s">
        <v>19</v>
      </c>
      <c r="E7" s="5">
        <v>19588756</v>
      </c>
      <c r="F7" s="6">
        <v>27238.165217999998</v>
      </c>
      <c r="G7" s="7">
        <v>3.7209089000000001E-2</v>
      </c>
      <c r="H7" s="53"/>
    </row>
    <row r="8" spans="1:14" ht="17.100000000000001" customHeight="1" x14ac:dyDescent="0.2">
      <c r="A8" s="3">
        <v>2</v>
      </c>
      <c r="B8" s="4" t="s">
        <v>85</v>
      </c>
      <c r="C8" s="4" t="s">
        <v>86</v>
      </c>
      <c r="D8" s="4" t="s">
        <v>87</v>
      </c>
      <c r="E8" s="5">
        <v>907924</v>
      </c>
      <c r="F8" s="6">
        <v>24937.494546000002</v>
      </c>
      <c r="G8" s="7">
        <v>3.4066223999999999E-2</v>
      </c>
      <c r="H8" s="53"/>
    </row>
    <row r="9" spans="1:14" ht="17.100000000000001" customHeight="1" x14ac:dyDescent="0.2">
      <c r="A9" s="3">
        <v>3</v>
      </c>
      <c r="B9" s="4" t="s">
        <v>179</v>
      </c>
      <c r="C9" s="4" t="s">
        <v>180</v>
      </c>
      <c r="D9" s="4" t="s">
        <v>19</v>
      </c>
      <c r="E9" s="5">
        <v>11805426</v>
      </c>
      <c r="F9" s="6">
        <v>21922.676082000002</v>
      </c>
      <c r="G9" s="7">
        <v>2.9947787999999999E-2</v>
      </c>
      <c r="H9" s="53"/>
    </row>
    <row r="10" spans="1:14" ht="17.100000000000001" customHeight="1" x14ac:dyDescent="0.2">
      <c r="A10" s="3">
        <v>4</v>
      </c>
      <c r="B10" s="4" t="s">
        <v>181</v>
      </c>
      <c r="C10" s="4" t="s">
        <v>182</v>
      </c>
      <c r="D10" s="4" t="s">
        <v>19</v>
      </c>
      <c r="E10" s="5">
        <v>2241363</v>
      </c>
      <c r="F10" s="6">
        <v>20928.7270125</v>
      </c>
      <c r="G10" s="7">
        <v>2.8589989999999999E-2</v>
      </c>
      <c r="H10" s="53"/>
    </row>
    <row r="11" spans="1:14" ht="17.100000000000001" customHeight="1" x14ac:dyDescent="0.2">
      <c r="A11" s="3">
        <v>5</v>
      </c>
      <c r="B11" s="4" t="s">
        <v>183</v>
      </c>
      <c r="C11" s="4" t="s">
        <v>184</v>
      </c>
      <c r="D11" s="4" t="s">
        <v>119</v>
      </c>
      <c r="E11" s="5">
        <v>1478462</v>
      </c>
      <c r="F11" s="6">
        <v>20356.943277999999</v>
      </c>
      <c r="G11" s="7">
        <v>2.7808896E-2</v>
      </c>
      <c r="H11" s="53"/>
    </row>
    <row r="12" spans="1:14" ht="17.100000000000001" customHeight="1" x14ac:dyDescent="0.2">
      <c r="A12" s="3">
        <v>6</v>
      </c>
      <c r="B12" s="4" t="s">
        <v>185</v>
      </c>
      <c r="C12" s="4" t="s">
        <v>186</v>
      </c>
      <c r="D12" s="4" t="s">
        <v>187</v>
      </c>
      <c r="E12" s="5">
        <v>1428889</v>
      </c>
      <c r="F12" s="6">
        <v>18897.7714695</v>
      </c>
      <c r="G12" s="7">
        <v>2.5815573000000001E-2</v>
      </c>
      <c r="H12" s="53"/>
    </row>
    <row r="13" spans="1:14" ht="17.100000000000001" customHeight="1" x14ac:dyDescent="0.2">
      <c r="A13" s="3">
        <v>7</v>
      </c>
      <c r="B13" s="4" t="s">
        <v>188</v>
      </c>
      <c r="C13" s="4" t="s">
        <v>189</v>
      </c>
      <c r="D13" s="4" t="s">
        <v>190</v>
      </c>
      <c r="E13" s="5">
        <v>1309472</v>
      </c>
      <c r="F13" s="6">
        <v>17695.549872</v>
      </c>
      <c r="G13" s="7">
        <v>2.4173261000000001E-2</v>
      </c>
      <c r="H13" s="53"/>
      <c r="J13" s="188" t="s">
        <v>1075</v>
      </c>
    </row>
    <row r="14" spans="1:14" ht="29.1" customHeight="1" x14ac:dyDescent="0.2">
      <c r="A14" s="3">
        <v>8</v>
      </c>
      <c r="B14" s="4" t="s">
        <v>191</v>
      </c>
      <c r="C14" s="4" t="s">
        <v>192</v>
      </c>
      <c r="D14" s="4" t="s">
        <v>116</v>
      </c>
      <c r="E14" s="5">
        <v>5140621</v>
      </c>
      <c r="F14" s="6">
        <v>17295.619354499999</v>
      </c>
      <c r="G14" s="7">
        <v>2.3626930000000001E-2</v>
      </c>
      <c r="H14" s="53"/>
    </row>
    <row r="15" spans="1:14" ht="29.1" customHeight="1" x14ac:dyDescent="0.2">
      <c r="A15" s="3">
        <v>9</v>
      </c>
      <c r="B15" s="4" t="s">
        <v>63</v>
      </c>
      <c r="C15" s="4" t="s">
        <v>64</v>
      </c>
      <c r="D15" s="4" t="s">
        <v>65</v>
      </c>
      <c r="E15" s="5">
        <v>16901432</v>
      </c>
      <c r="F15" s="6">
        <v>16884.530567999998</v>
      </c>
      <c r="G15" s="7">
        <v>2.3065357000000002E-2</v>
      </c>
      <c r="H15" s="53"/>
    </row>
    <row r="16" spans="1:14" ht="17.100000000000001" customHeight="1" x14ac:dyDescent="0.2">
      <c r="A16" s="3">
        <v>10</v>
      </c>
      <c r="B16" s="4" t="s">
        <v>193</v>
      </c>
      <c r="C16" s="4" t="s">
        <v>194</v>
      </c>
      <c r="D16" s="4" t="s">
        <v>19</v>
      </c>
      <c r="E16" s="5">
        <v>2577077</v>
      </c>
      <c r="F16" s="6">
        <v>16865.680426499999</v>
      </c>
      <c r="G16" s="7">
        <v>2.3039606000000001E-2</v>
      </c>
      <c r="H16" s="53"/>
    </row>
    <row r="17" spans="1:10" ht="17.100000000000001" customHeight="1" x14ac:dyDescent="0.2">
      <c r="A17" s="3">
        <v>11</v>
      </c>
      <c r="B17" s="4" t="s">
        <v>36</v>
      </c>
      <c r="C17" s="4" t="s">
        <v>37</v>
      </c>
      <c r="D17" s="4" t="s">
        <v>33</v>
      </c>
      <c r="E17" s="5">
        <v>920000</v>
      </c>
      <c r="F17" s="6">
        <v>16409.580000000002</v>
      </c>
      <c r="G17" s="7">
        <v>2.2416544E-2</v>
      </c>
      <c r="H17" s="53"/>
    </row>
    <row r="18" spans="1:10" ht="17.100000000000001" customHeight="1" x14ac:dyDescent="0.2">
      <c r="A18" s="3">
        <v>12</v>
      </c>
      <c r="B18" s="4" t="s">
        <v>195</v>
      </c>
      <c r="C18" s="4" t="s">
        <v>196</v>
      </c>
      <c r="D18" s="4" t="s">
        <v>87</v>
      </c>
      <c r="E18" s="5">
        <v>579287</v>
      </c>
      <c r="F18" s="6">
        <v>16078.4003285</v>
      </c>
      <c r="G18" s="7">
        <v>2.1964131000000001E-2</v>
      </c>
      <c r="H18" s="53"/>
    </row>
    <row r="19" spans="1:10" ht="29.1" customHeight="1" x14ac:dyDescent="0.2">
      <c r="A19" s="3">
        <v>13</v>
      </c>
      <c r="B19" s="4" t="s">
        <v>197</v>
      </c>
      <c r="C19" s="4" t="s">
        <v>198</v>
      </c>
      <c r="D19" s="4" t="s">
        <v>199</v>
      </c>
      <c r="E19" s="5">
        <v>393019</v>
      </c>
      <c r="F19" s="6">
        <v>15992.9256575</v>
      </c>
      <c r="G19" s="7">
        <v>2.1847366999999999E-2</v>
      </c>
      <c r="H19" s="53"/>
    </row>
    <row r="20" spans="1:10" ht="29.1" customHeight="1" x14ac:dyDescent="0.2">
      <c r="A20" s="3">
        <v>14</v>
      </c>
      <c r="B20" s="4" t="s">
        <v>200</v>
      </c>
      <c r="C20" s="4" t="s">
        <v>201</v>
      </c>
      <c r="D20" s="4" t="s">
        <v>199</v>
      </c>
      <c r="E20" s="5">
        <v>675741</v>
      </c>
      <c r="F20" s="6">
        <v>15476.8339935</v>
      </c>
      <c r="G20" s="7">
        <v>2.1142352E-2</v>
      </c>
      <c r="H20" s="53"/>
    </row>
    <row r="21" spans="1:10" ht="29.1" customHeight="1" x14ac:dyDescent="0.2">
      <c r="A21" s="3">
        <v>15</v>
      </c>
      <c r="B21" s="4" t="s">
        <v>202</v>
      </c>
      <c r="C21" s="4" t="s">
        <v>203</v>
      </c>
      <c r="D21" s="4" t="s">
        <v>204</v>
      </c>
      <c r="E21" s="5">
        <v>1714529</v>
      </c>
      <c r="F21" s="6">
        <v>15210.4440235</v>
      </c>
      <c r="G21" s="7">
        <v>2.0778446999999999E-2</v>
      </c>
      <c r="H21" s="53"/>
      <c r="J21" s="188" t="s">
        <v>1076</v>
      </c>
    </row>
    <row r="22" spans="1:10" ht="17.100000000000001" customHeight="1" x14ac:dyDescent="0.2">
      <c r="A22" s="3">
        <v>16</v>
      </c>
      <c r="B22" s="4" t="s">
        <v>99</v>
      </c>
      <c r="C22" s="4" t="s">
        <v>100</v>
      </c>
      <c r="D22" s="4" t="s">
        <v>33</v>
      </c>
      <c r="E22" s="5">
        <v>1070514</v>
      </c>
      <c r="F22" s="6">
        <v>14777.375255999999</v>
      </c>
      <c r="G22" s="7">
        <v>2.0186847000000001E-2</v>
      </c>
      <c r="H22" s="53"/>
    </row>
    <row r="23" spans="1:10" ht="29.1" customHeight="1" x14ac:dyDescent="0.2">
      <c r="A23" s="3">
        <v>17</v>
      </c>
      <c r="B23" s="4" t="s">
        <v>117</v>
      </c>
      <c r="C23" s="4" t="s">
        <v>118</v>
      </c>
      <c r="D23" s="4" t="s">
        <v>119</v>
      </c>
      <c r="E23" s="5">
        <v>1987471</v>
      </c>
      <c r="F23" s="6">
        <v>14367.427858999999</v>
      </c>
      <c r="G23" s="7">
        <v>1.9626832E-2</v>
      </c>
      <c r="H23" s="53"/>
    </row>
    <row r="24" spans="1:10" ht="17.100000000000001" customHeight="1" x14ac:dyDescent="0.2">
      <c r="A24" s="3">
        <v>18</v>
      </c>
      <c r="B24" s="4" t="s">
        <v>205</v>
      </c>
      <c r="C24" s="4" t="s">
        <v>206</v>
      </c>
      <c r="D24" s="4" t="s">
        <v>900</v>
      </c>
      <c r="E24" s="5">
        <v>360981</v>
      </c>
      <c r="F24" s="6">
        <v>13973.213529000001</v>
      </c>
      <c r="G24" s="7">
        <v>1.9088310000000001E-2</v>
      </c>
      <c r="H24" s="53"/>
    </row>
    <row r="25" spans="1:10" ht="17.100000000000001" customHeight="1" x14ac:dyDescent="0.2">
      <c r="A25" s="3">
        <v>19</v>
      </c>
      <c r="B25" s="4" t="s">
        <v>207</v>
      </c>
      <c r="C25" s="4" t="s">
        <v>208</v>
      </c>
      <c r="D25" s="4" t="s">
        <v>209</v>
      </c>
      <c r="E25" s="5">
        <v>5175000</v>
      </c>
      <c r="F25" s="6">
        <v>13646.475</v>
      </c>
      <c r="G25" s="7">
        <v>1.8641964E-2</v>
      </c>
      <c r="H25" s="53"/>
    </row>
    <row r="26" spans="1:10" ht="17.100000000000001" customHeight="1" x14ac:dyDescent="0.2">
      <c r="A26" s="3">
        <v>20</v>
      </c>
      <c r="B26" s="4" t="s">
        <v>210</v>
      </c>
      <c r="C26" s="4" t="s">
        <v>211</v>
      </c>
      <c r="D26" s="4" t="s">
        <v>212</v>
      </c>
      <c r="E26" s="5">
        <v>31610</v>
      </c>
      <c r="F26" s="6">
        <v>13540.68087</v>
      </c>
      <c r="G26" s="7">
        <v>1.8497442999999999E-2</v>
      </c>
      <c r="H26" s="53"/>
    </row>
    <row r="27" spans="1:10" ht="17.100000000000001" customHeight="1" x14ac:dyDescent="0.2">
      <c r="A27" s="3">
        <v>21</v>
      </c>
      <c r="B27" s="4" t="s">
        <v>213</v>
      </c>
      <c r="C27" s="4" t="s">
        <v>214</v>
      </c>
      <c r="D27" s="4" t="s">
        <v>116</v>
      </c>
      <c r="E27" s="5">
        <v>10481502</v>
      </c>
      <c r="F27" s="6">
        <v>13264.340781000001</v>
      </c>
      <c r="G27" s="7">
        <v>1.8119943999999999E-2</v>
      </c>
      <c r="H27" s="53"/>
    </row>
    <row r="28" spans="1:10" ht="29.1" customHeight="1" x14ac:dyDescent="0.2">
      <c r="A28" s="3">
        <v>22</v>
      </c>
      <c r="B28" s="4" t="s">
        <v>215</v>
      </c>
      <c r="C28" s="4" t="s">
        <v>216</v>
      </c>
      <c r="D28" s="4" t="s">
        <v>204</v>
      </c>
      <c r="E28" s="5">
        <v>384905</v>
      </c>
      <c r="F28" s="6">
        <v>13163.366094999999</v>
      </c>
      <c r="G28" s="7">
        <v>1.7982005999999998E-2</v>
      </c>
      <c r="H28" s="53"/>
    </row>
    <row r="29" spans="1:10" ht="17.100000000000001" customHeight="1" x14ac:dyDescent="0.2">
      <c r="A29" s="3">
        <v>23</v>
      </c>
      <c r="B29" s="4" t="s">
        <v>217</v>
      </c>
      <c r="C29" s="4" t="s">
        <v>218</v>
      </c>
      <c r="D29" s="4" t="s">
        <v>219</v>
      </c>
      <c r="E29" s="5">
        <v>2207403</v>
      </c>
      <c r="F29" s="6">
        <v>12816.181817999999</v>
      </c>
      <c r="G29" s="7">
        <v>1.7507729999999999E-2</v>
      </c>
      <c r="H29" s="53"/>
    </row>
    <row r="30" spans="1:10" ht="17.100000000000001" customHeight="1" x14ac:dyDescent="0.2">
      <c r="A30" s="3">
        <v>24</v>
      </c>
      <c r="B30" s="4" t="s">
        <v>17</v>
      </c>
      <c r="C30" s="4" t="s">
        <v>18</v>
      </c>
      <c r="D30" s="4" t="s">
        <v>19</v>
      </c>
      <c r="E30" s="5">
        <v>1419364</v>
      </c>
      <c r="F30" s="6">
        <v>12644.404194000001</v>
      </c>
      <c r="G30" s="7">
        <v>1.7273071000000001E-2</v>
      </c>
      <c r="H30" s="53"/>
    </row>
    <row r="31" spans="1:10" ht="17.100000000000001" customHeight="1" x14ac:dyDescent="0.2">
      <c r="A31" s="3">
        <v>25</v>
      </c>
      <c r="B31" s="4" t="s">
        <v>220</v>
      </c>
      <c r="C31" s="4" t="s">
        <v>221</v>
      </c>
      <c r="D31" s="4" t="s">
        <v>187</v>
      </c>
      <c r="E31" s="5">
        <v>712637</v>
      </c>
      <c r="F31" s="6">
        <v>12113.403726</v>
      </c>
      <c r="G31" s="7">
        <v>1.654769E-2</v>
      </c>
      <c r="H31" s="53"/>
    </row>
    <row r="32" spans="1:10" ht="17.100000000000001" customHeight="1" x14ac:dyDescent="0.2">
      <c r="A32" s="3">
        <v>26</v>
      </c>
      <c r="B32" s="4" t="s">
        <v>222</v>
      </c>
      <c r="C32" s="4" t="s">
        <v>223</v>
      </c>
      <c r="D32" s="4" t="s">
        <v>224</v>
      </c>
      <c r="E32" s="5">
        <v>2325823</v>
      </c>
      <c r="F32" s="6">
        <v>11886.118441500001</v>
      </c>
      <c r="G32" s="7">
        <v>1.6237204000000002E-2</v>
      </c>
      <c r="H32" s="53"/>
    </row>
    <row r="33" spans="1:8" ht="29.1" customHeight="1" x14ac:dyDescent="0.2">
      <c r="A33" s="3">
        <v>27</v>
      </c>
      <c r="B33" s="4" t="s">
        <v>225</v>
      </c>
      <c r="C33" s="4" t="s">
        <v>226</v>
      </c>
      <c r="D33" s="4" t="s">
        <v>227</v>
      </c>
      <c r="E33" s="5">
        <v>3107934</v>
      </c>
      <c r="F33" s="6">
        <v>11662.522335</v>
      </c>
      <c r="G33" s="7">
        <v>1.5931757000000001E-2</v>
      </c>
      <c r="H33" s="53"/>
    </row>
    <row r="34" spans="1:8" ht="53.1" customHeight="1" x14ac:dyDescent="0.2">
      <c r="A34" s="3">
        <v>28</v>
      </c>
      <c r="B34" s="4" t="s">
        <v>46</v>
      </c>
      <c r="C34" s="4" t="s">
        <v>47</v>
      </c>
      <c r="D34" s="4" t="s">
        <v>48</v>
      </c>
      <c r="E34" s="5">
        <v>8013518</v>
      </c>
      <c r="F34" s="6">
        <v>11491.384812</v>
      </c>
      <c r="G34" s="7">
        <v>1.5697972000000001E-2</v>
      </c>
      <c r="H34" s="53"/>
    </row>
    <row r="35" spans="1:8" ht="17.100000000000001" customHeight="1" x14ac:dyDescent="0.2">
      <c r="A35" s="3">
        <v>29</v>
      </c>
      <c r="B35" s="4" t="s">
        <v>29</v>
      </c>
      <c r="C35" s="4" t="s">
        <v>30</v>
      </c>
      <c r="D35" s="4" t="s">
        <v>19</v>
      </c>
      <c r="E35" s="5">
        <v>1856846</v>
      </c>
      <c r="F35" s="6">
        <v>11395.463902</v>
      </c>
      <c r="G35" s="7">
        <v>1.5566938000000001E-2</v>
      </c>
      <c r="H35" s="53"/>
    </row>
    <row r="36" spans="1:8" ht="17.100000000000001" customHeight="1" x14ac:dyDescent="0.2">
      <c r="A36" s="3">
        <v>30</v>
      </c>
      <c r="B36" s="4" t="s">
        <v>38</v>
      </c>
      <c r="C36" s="4" t="s">
        <v>39</v>
      </c>
      <c r="D36" s="4" t="s">
        <v>40</v>
      </c>
      <c r="E36" s="5">
        <v>1488129</v>
      </c>
      <c r="F36" s="6">
        <v>10994.297052</v>
      </c>
      <c r="G36" s="7">
        <v>1.5018917999999999E-2</v>
      </c>
      <c r="H36" s="53"/>
    </row>
    <row r="37" spans="1:8" ht="17.100000000000001" customHeight="1" x14ac:dyDescent="0.2">
      <c r="A37" s="3">
        <v>31</v>
      </c>
      <c r="B37" s="4" t="s">
        <v>228</v>
      </c>
      <c r="C37" s="4" t="s">
        <v>229</v>
      </c>
      <c r="D37" s="4" t="s">
        <v>900</v>
      </c>
      <c r="E37" s="5">
        <v>251647</v>
      </c>
      <c r="F37" s="6">
        <v>10985.398138</v>
      </c>
      <c r="G37" s="7">
        <v>1.5006762E-2</v>
      </c>
      <c r="H37" s="53"/>
    </row>
    <row r="38" spans="1:8" ht="17.100000000000001" customHeight="1" x14ac:dyDescent="0.2">
      <c r="A38" s="3">
        <v>32</v>
      </c>
      <c r="B38" s="4" t="s">
        <v>230</v>
      </c>
      <c r="C38" s="4" t="s">
        <v>231</v>
      </c>
      <c r="D38" s="4" t="s">
        <v>87</v>
      </c>
      <c r="E38" s="5">
        <v>218552</v>
      </c>
      <c r="F38" s="6">
        <v>10935.904976</v>
      </c>
      <c r="G38" s="7">
        <v>1.4939150999999999E-2</v>
      </c>
      <c r="H38" s="53"/>
    </row>
    <row r="39" spans="1:8" ht="17.100000000000001" customHeight="1" x14ac:dyDescent="0.2">
      <c r="A39" s="3">
        <v>33</v>
      </c>
      <c r="B39" s="4" t="s">
        <v>232</v>
      </c>
      <c r="C39" s="4" t="s">
        <v>233</v>
      </c>
      <c r="D39" s="4" t="s">
        <v>234</v>
      </c>
      <c r="E39" s="5">
        <v>4551375</v>
      </c>
      <c r="F39" s="6">
        <v>10925.575687500001</v>
      </c>
      <c r="G39" s="7">
        <v>1.4925040000000001E-2</v>
      </c>
      <c r="H39" s="53"/>
    </row>
    <row r="40" spans="1:8" ht="17.100000000000001" customHeight="1" x14ac:dyDescent="0.2">
      <c r="A40" s="3">
        <v>34</v>
      </c>
      <c r="B40" s="4" t="s">
        <v>235</v>
      </c>
      <c r="C40" s="4" t="s">
        <v>236</v>
      </c>
      <c r="D40" s="4" t="s">
        <v>237</v>
      </c>
      <c r="E40" s="5">
        <v>236834</v>
      </c>
      <c r="F40" s="6">
        <v>10604.479184</v>
      </c>
      <c r="G40" s="7">
        <v>1.4486402000000001E-2</v>
      </c>
      <c r="H40" s="53"/>
    </row>
    <row r="41" spans="1:8" ht="17.100000000000001" customHeight="1" x14ac:dyDescent="0.2">
      <c r="A41" s="3">
        <v>35</v>
      </c>
      <c r="B41" s="4" t="s">
        <v>97</v>
      </c>
      <c r="C41" s="4" t="s">
        <v>98</v>
      </c>
      <c r="D41" s="4" t="s">
        <v>96</v>
      </c>
      <c r="E41" s="5">
        <v>1215195</v>
      </c>
      <c r="F41" s="6">
        <v>10547.285002500001</v>
      </c>
      <c r="G41" s="7">
        <v>1.4408271E-2</v>
      </c>
      <c r="H41" s="53"/>
    </row>
    <row r="42" spans="1:8" ht="17.100000000000001" customHeight="1" x14ac:dyDescent="0.2">
      <c r="A42" s="3">
        <v>36</v>
      </c>
      <c r="B42" s="4" t="s">
        <v>238</v>
      </c>
      <c r="C42" s="4" t="s">
        <v>239</v>
      </c>
      <c r="D42" s="4" t="s">
        <v>237</v>
      </c>
      <c r="E42" s="5">
        <v>3611889</v>
      </c>
      <c r="F42" s="6">
        <v>10333.614428999999</v>
      </c>
      <c r="G42" s="7">
        <v>1.4116383E-2</v>
      </c>
      <c r="H42" s="53"/>
    </row>
    <row r="43" spans="1:8" ht="17.100000000000001" customHeight="1" x14ac:dyDescent="0.2">
      <c r="A43" s="3">
        <v>37</v>
      </c>
      <c r="B43" s="4" t="s">
        <v>240</v>
      </c>
      <c r="C43" s="4" t="s">
        <v>241</v>
      </c>
      <c r="D43" s="4" t="s">
        <v>33</v>
      </c>
      <c r="E43" s="5">
        <v>1135182</v>
      </c>
      <c r="F43" s="6">
        <v>9987.8988270000009</v>
      </c>
      <c r="G43" s="7">
        <v>1.3644112999999999E-2</v>
      </c>
      <c r="H43" s="53"/>
    </row>
    <row r="44" spans="1:8" ht="17.100000000000001" customHeight="1" x14ac:dyDescent="0.2">
      <c r="A44" s="3">
        <v>38</v>
      </c>
      <c r="B44" s="4" t="s">
        <v>242</v>
      </c>
      <c r="C44" s="4" t="s">
        <v>243</v>
      </c>
      <c r="D44" s="4" t="s">
        <v>33</v>
      </c>
      <c r="E44" s="5">
        <v>495337</v>
      </c>
      <c r="F44" s="6">
        <v>9727.9233430000004</v>
      </c>
      <c r="G44" s="7">
        <v>1.3288970000000001E-2</v>
      </c>
      <c r="H44" s="53"/>
    </row>
    <row r="45" spans="1:8" ht="17.100000000000001" customHeight="1" x14ac:dyDescent="0.2">
      <c r="A45" s="3">
        <v>39</v>
      </c>
      <c r="B45" s="4" t="s">
        <v>244</v>
      </c>
      <c r="C45" s="4" t="s">
        <v>245</v>
      </c>
      <c r="D45" s="4" t="s">
        <v>116</v>
      </c>
      <c r="E45" s="5">
        <v>1190109</v>
      </c>
      <c r="F45" s="6">
        <v>9519.0868365000006</v>
      </c>
      <c r="G45" s="7">
        <v>1.3003686E-2</v>
      </c>
      <c r="H45" s="53"/>
    </row>
    <row r="46" spans="1:8" ht="17.100000000000001" customHeight="1" x14ac:dyDescent="0.2">
      <c r="A46" s="3">
        <v>40</v>
      </c>
      <c r="B46" s="4" t="s">
        <v>246</v>
      </c>
      <c r="C46" s="4" t="s">
        <v>247</v>
      </c>
      <c r="D46" s="4" t="s">
        <v>248</v>
      </c>
      <c r="E46" s="5">
        <v>1390487</v>
      </c>
      <c r="F46" s="6">
        <v>9420.5494249999992</v>
      </c>
      <c r="G46" s="7">
        <v>1.2869078000000001E-2</v>
      </c>
      <c r="H46" s="53"/>
    </row>
    <row r="47" spans="1:8" ht="29.1" customHeight="1" x14ac:dyDescent="0.2">
      <c r="A47" s="3">
        <v>41</v>
      </c>
      <c r="B47" s="4" t="s">
        <v>249</v>
      </c>
      <c r="C47" s="4" t="s">
        <v>250</v>
      </c>
      <c r="D47" s="4" t="s">
        <v>227</v>
      </c>
      <c r="E47" s="5">
        <v>2212724</v>
      </c>
      <c r="F47" s="6">
        <v>9292.3344379999999</v>
      </c>
      <c r="G47" s="7">
        <v>1.2693928E-2</v>
      </c>
      <c r="H47" s="53"/>
    </row>
    <row r="48" spans="1:8" ht="29.1" customHeight="1" x14ac:dyDescent="0.2">
      <c r="A48" s="3">
        <v>42</v>
      </c>
      <c r="B48" s="4" t="s">
        <v>106</v>
      </c>
      <c r="C48" s="4" t="s">
        <v>107</v>
      </c>
      <c r="D48" s="4" t="s">
        <v>25</v>
      </c>
      <c r="E48" s="5">
        <v>478606</v>
      </c>
      <c r="F48" s="6">
        <v>8915.4725679999992</v>
      </c>
      <c r="G48" s="7">
        <v>1.217911E-2</v>
      </c>
      <c r="H48" s="53"/>
    </row>
    <row r="49" spans="1:8" ht="29.1" customHeight="1" x14ac:dyDescent="0.2">
      <c r="A49" s="3">
        <v>43</v>
      </c>
      <c r="B49" s="4" t="s">
        <v>251</v>
      </c>
      <c r="C49" s="4" t="s">
        <v>252</v>
      </c>
      <c r="D49" s="4" t="s">
        <v>227</v>
      </c>
      <c r="E49" s="5">
        <v>1040000</v>
      </c>
      <c r="F49" s="6">
        <v>8768.24</v>
      </c>
      <c r="G49" s="7">
        <v>1.1977981E-2</v>
      </c>
      <c r="H49" s="53"/>
    </row>
    <row r="50" spans="1:8" ht="17.100000000000001" customHeight="1" x14ac:dyDescent="0.2">
      <c r="A50" s="3">
        <v>44</v>
      </c>
      <c r="B50" s="4" t="s">
        <v>253</v>
      </c>
      <c r="C50" s="4" t="s">
        <v>254</v>
      </c>
      <c r="D50" s="4" t="s">
        <v>119</v>
      </c>
      <c r="E50" s="5">
        <v>1549881</v>
      </c>
      <c r="F50" s="6">
        <v>8532.8698454999994</v>
      </c>
      <c r="G50" s="7">
        <v>1.165645E-2</v>
      </c>
      <c r="H50" s="53"/>
    </row>
    <row r="51" spans="1:8" ht="29.1" customHeight="1" x14ac:dyDescent="0.2">
      <c r="A51" s="3">
        <v>45</v>
      </c>
      <c r="B51" s="4" t="s">
        <v>255</v>
      </c>
      <c r="C51" s="4" t="s">
        <v>256</v>
      </c>
      <c r="D51" s="4" t="s">
        <v>87</v>
      </c>
      <c r="E51" s="5">
        <v>94532</v>
      </c>
      <c r="F51" s="6">
        <v>8470.6816579999995</v>
      </c>
      <c r="G51" s="7">
        <v>1.1571497E-2</v>
      </c>
      <c r="H51" s="53"/>
    </row>
    <row r="52" spans="1:8" ht="29.1" customHeight="1" x14ac:dyDescent="0.2">
      <c r="A52" s="3">
        <v>46</v>
      </c>
      <c r="B52" s="4" t="s">
        <v>257</v>
      </c>
      <c r="C52" s="4" t="s">
        <v>258</v>
      </c>
      <c r="D52" s="4" t="s">
        <v>227</v>
      </c>
      <c r="E52" s="5">
        <v>502724</v>
      </c>
      <c r="F52" s="6">
        <v>7925.6952220000003</v>
      </c>
      <c r="G52" s="7">
        <v>1.082701E-2</v>
      </c>
      <c r="H52" s="53"/>
    </row>
    <row r="53" spans="1:8" ht="17.100000000000001" customHeight="1" x14ac:dyDescent="0.2">
      <c r="A53" s="3">
        <v>47</v>
      </c>
      <c r="B53" s="4" t="s">
        <v>259</v>
      </c>
      <c r="C53" s="4" t="s">
        <v>260</v>
      </c>
      <c r="D53" s="4" t="s">
        <v>116</v>
      </c>
      <c r="E53" s="5">
        <v>881680</v>
      </c>
      <c r="F53" s="6">
        <v>7789.6427999999996</v>
      </c>
      <c r="G53" s="7">
        <v>1.0641154E-2</v>
      </c>
      <c r="H53" s="53"/>
    </row>
    <row r="54" spans="1:8" ht="17.100000000000001" customHeight="1" x14ac:dyDescent="0.2">
      <c r="A54" s="3">
        <v>48</v>
      </c>
      <c r="B54" s="4" t="s">
        <v>261</v>
      </c>
      <c r="C54" s="4" t="s">
        <v>262</v>
      </c>
      <c r="D54" s="4" t="s">
        <v>119</v>
      </c>
      <c r="E54" s="5">
        <v>474540</v>
      </c>
      <c r="F54" s="6">
        <v>7345.1673899999996</v>
      </c>
      <c r="G54" s="7">
        <v>1.0033972E-2</v>
      </c>
      <c r="H54" s="53"/>
    </row>
    <row r="55" spans="1:8" ht="17.100000000000001" customHeight="1" x14ac:dyDescent="0.2">
      <c r="A55" s="3">
        <v>49</v>
      </c>
      <c r="B55" s="4" t="s">
        <v>263</v>
      </c>
      <c r="C55" s="4" t="s">
        <v>264</v>
      </c>
      <c r="D55" s="4" t="s">
        <v>265</v>
      </c>
      <c r="E55" s="5">
        <v>792594</v>
      </c>
      <c r="F55" s="6">
        <v>7210.6239150000001</v>
      </c>
      <c r="G55" s="7">
        <v>9.8501769999999999E-3</v>
      </c>
      <c r="H55" s="53"/>
    </row>
    <row r="56" spans="1:8" ht="17.100000000000001" customHeight="1" x14ac:dyDescent="0.2">
      <c r="A56" s="3">
        <v>50</v>
      </c>
      <c r="B56" s="4" t="s">
        <v>266</v>
      </c>
      <c r="C56" s="4" t="s">
        <v>267</v>
      </c>
      <c r="D56" s="4" t="s">
        <v>19</v>
      </c>
      <c r="E56" s="5">
        <v>421138</v>
      </c>
      <c r="F56" s="6">
        <v>6856.758347</v>
      </c>
      <c r="G56" s="7">
        <v>9.3667739999999996E-3</v>
      </c>
      <c r="H56" s="53"/>
    </row>
    <row r="57" spans="1:8" ht="17.100000000000001" customHeight="1" x14ac:dyDescent="0.2">
      <c r="A57" s="3">
        <v>51</v>
      </c>
      <c r="B57" s="4" t="s">
        <v>54</v>
      </c>
      <c r="C57" s="4" t="s">
        <v>55</v>
      </c>
      <c r="D57" s="4" t="s">
        <v>33</v>
      </c>
      <c r="E57" s="5">
        <v>241265</v>
      </c>
      <c r="F57" s="6">
        <v>6198.3391149999998</v>
      </c>
      <c r="G57" s="7">
        <v>8.4673309999999998E-3</v>
      </c>
      <c r="H57" s="53"/>
    </row>
    <row r="58" spans="1:8" ht="17.100000000000001" customHeight="1" x14ac:dyDescent="0.2">
      <c r="A58" s="3">
        <v>52</v>
      </c>
      <c r="B58" s="4" t="s">
        <v>268</v>
      </c>
      <c r="C58" s="4" t="s">
        <v>269</v>
      </c>
      <c r="D58" s="4" t="s">
        <v>87</v>
      </c>
      <c r="E58" s="5">
        <v>1158700</v>
      </c>
      <c r="F58" s="6">
        <v>6039.1444000000001</v>
      </c>
      <c r="G58" s="7">
        <v>8.2498599999999995E-3</v>
      </c>
      <c r="H58" s="53"/>
    </row>
    <row r="59" spans="1:8" ht="17.100000000000001" customHeight="1" x14ac:dyDescent="0.2">
      <c r="A59" s="3">
        <v>53</v>
      </c>
      <c r="B59" s="4" t="s">
        <v>270</v>
      </c>
      <c r="C59" s="4" t="s">
        <v>271</v>
      </c>
      <c r="D59" s="4" t="s">
        <v>72</v>
      </c>
      <c r="E59" s="5">
        <v>514148</v>
      </c>
      <c r="F59" s="6">
        <v>5580.5623919999998</v>
      </c>
      <c r="G59" s="7">
        <v>7.6234079999999999E-3</v>
      </c>
      <c r="H59" s="53"/>
    </row>
    <row r="60" spans="1:8" ht="17.100000000000001" customHeight="1" x14ac:dyDescent="0.2">
      <c r="A60" s="3">
        <v>54</v>
      </c>
      <c r="B60" s="4" t="s">
        <v>272</v>
      </c>
      <c r="C60" s="4" t="s">
        <v>273</v>
      </c>
      <c r="D60" s="4" t="s">
        <v>900</v>
      </c>
      <c r="E60" s="5">
        <v>275487</v>
      </c>
      <c r="F60" s="6">
        <v>5434.8075360000003</v>
      </c>
      <c r="G60" s="7">
        <v>7.4242969999999998E-3</v>
      </c>
      <c r="H60" s="53"/>
    </row>
    <row r="61" spans="1:8" ht="17.100000000000001" customHeight="1" x14ac:dyDescent="0.2">
      <c r="A61" s="3">
        <v>55</v>
      </c>
      <c r="B61" s="4" t="s">
        <v>274</v>
      </c>
      <c r="C61" s="4" t="s">
        <v>275</v>
      </c>
      <c r="D61" s="4" t="s">
        <v>116</v>
      </c>
      <c r="E61" s="5">
        <v>418848</v>
      </c>
      <c r="F61" s="6">
        <v>4859.4744959999998</v>
      </c>
      <c r="G61" s="7">
        <v>6.6383550000000003E-3</v>
      </c>
      <c r="H61" s="53"/>
    </row>
    <row r="62" spans="1:8" ht="17.100000000000001" customHeight="1" x14ac:dyDescent="0.2">
      <c r="A62" s="3">
        <v>56</v>
      </c>
      <c r="B62" s="4" t="s">
        <v>276</v>
      </c>
      <c r="C62" s="4" t="s">
        <v>277</v>
      </c>
      <c r="D62" s="4" t="s">
        <v>278</v>
      </c>
      <c r="E62" s="5">
        <v>1001816</v>
      </c>
      <c r="F62" s="6">
        <v>4258.2189079999998</v>
      </c>
      <c r="G62" s="7">
        <v>5.8170009999999996E-3</v>
      </c>
      <c r="H62" s="53"/>
    </row>
    <row r="63" spans="1:8" ht="17.100000000000001" customHeight="1" x14ac:dyDescent="0.2">
      <c r="A63" s="3">
        <v>57</v>
      </c>
      <c r="B63" s="4" t="s">
        <v>279</v>
      </c>
      <c r="C63" s="4" t="s">
        <v>280</v>
      </c>
      <c r="D63" s="4" t="s">
        <v>209</v>
      </c>
      <c r="E63" s="5">
        <v>943988</v>
      </c>
      <c r="F63" s="6">
        <v>3907.6383259999998</v>
      </c>
      <c r="G63" s="7">
        <v>5.3380859999999997E-3</v>
      </c>
      <c r="H63" s="53"/>
    </row>
    <row r="64" spans="1:8" ht="17.100000000000001" customHeight="1" x14ac:dyDescent="0.2">
      <c r="A64" s="3">
        <v>58</v>
      </c>
      <c r="B64" s="4" t="s">
        <v>73</v>
      </c>
      <c r="C64" s="4" t="s">
        <v>74</v>
      </c>
      <c r="D64" s="4" t="s">
        <v>33</v>
      </c>
      <c r="E64" s="5">
        <v>302024</v>
      </c>
      <c r="F64" s="6">
        <v>3298.1020800000001</v>
      </c>
      <c r="G64" s="7">
        <v>4.5054200000000004E-3</v>
      </c>
      <c r="H64" s="53"/>
    </row>
    <row r="65" spans="1:8" ht="17.100000000000001" customHeight="1" x14ac:dyDescent="0.2">
      <c r="A65" s="3">
        <v>59</v>
      </c>
      <c r="B65" s="4" t="s">
        <v>281</v>
      </c>
      <c r="C65" s="4" t="s">
        <v>282</v>
      </c>
      <c r="D65" s="4" t="s">
        <v>87</v>
      </c>
      <c r="E65" s="5">
        <v>153685</v>
      </c>
      <c r="F65" s="6">
        <v>3275.4115624999999</v>
      </c>
      <c r="G65" s="7">
        <v>4.4744229999999999E-3</v>
      </c>
      <c r="H65" s="53"/>
    </row>
    <row r="66" spans="1:8" ht="17.100000000000001" customHeight="1" x14ac:dyDescent="0.2">
      <c r="A66" s="3">
        <v>60</v>
      </c>
      <c r="B66" s="4" t="s">
        <v>112</v>
      </c>
      <c r="C66" s="4" t="s">
        <v>113</v>
      </c>
      <c r="D66" s="4" t="s">
        <v>87</v>
      </c>
      <c r="E66" s="5">
        <v>613101</v>
      </c>
      <c r="F66" s="6">
        <v>2571.9586949999998</v>
      </c>
      <c r="G66" s="7">
        <v>3.5134609999999998E-3</v>
      </c>
      <c r="H66" s="53"/>
    </row>
    <row r="67" spans="1:8" ht="17.100000000000001" customHeight="1" x14ac:dyDescent="0.2">
      <c r="A67" s="3">
        <v>61</v>
      </c>
      <c r="B67" s="4" t="s">
        <v>283</v>
      </c>
      <c r="C67" s="4" t="s">
        <v>284</v>
      </c>
      <c r="D67" s="4" t="s">
        <v>22</v>
      </c>
      <c r="E67" s="5">
        <v>967689</v>
      </c>
      <c r="F67" s="6">
        <v>2275.5206834999999</v>
      </c>
      <c r="G67" s="7">
        <v>3.1085079999999998E-3</v>
      </c>
      <c r="H67" s="53"/>
    </row>
    <row r="68" spans="1:8" ht="29.1" customHeight="1" x14ac:dyDescent="0.2">
      <c r="A68" s="3">
        <v>62</v>
      </c>
      <c r="B68" s="4" t="s">
        <v>285</v>
      </c>
      <c r="C68" s="4" t="s">
        <v>286</v>
      </c>
      <c r="D68" s="4" t="s">
        <v>199</v>
      </c>
      <c r="E68" s="5">
        <v>331743</v>
      </c>
      <c r="F68" s="6">
        <v>2254.0278134999999</v>
      </c>
      <c r="G68" s="7">
        <v>3.079147E-3</v>
      </c>
      <c r="H68" s="53"/>
    </row>
    <row r="69" spans="1:8" ht="17.100000000000001" customHeight="1" x14ac:dyDescent="0.2">
      <c r="A69" s="3">
        <v>63</v>
      </c>
      <c r="B69" s="4" t="s">
        <v>287</v>
      </c>
      <c r="C69" s="4" t="s">
        <v>288</v>
      </c>
      <c r="D69" s="4" t="s">
        <v>116</v>
      </c>
      <c r="E69" s="5">
        <v>24934</v>
      </c>
      <c r="F69" s="6">
        <v>973.57296399999996</v>
      </c>
      <c r="G69" s="7">
        <v>1.329963E-3</v>
      </c>
      <c r="H69" s="53"/>
    </row>
    <row r="70" spans="1:8" ht="14.1" customHeight="1" x14ac:dyDescent="0.2">
      <c r="A70" s="1"/>
      <c r="B70" s="1"/>
      <c r="C70" s="2" t="s">
        <v>132</v>
      </c>
      <c r="D70" s="1"/>
      <c r="E70" s="1" t="s">
        <v>133</v>
      </c>
      <c r="F70" s="9">
        <v>708949.978504</v>
      </c>
      <c r="G70" s="10">
        <v>0.96847134999999995</v>
      </c>
      <c r="H70" s="53"/>
    </row>
    <row r="71" spans="1:8" ht="14.1" customHeight="1" x14ac:dyDescent="0.2">
      <c r="A71" s="1"/>
      <c r="B71" s="1"/>
      <c r="C71" s="11"/>
      <c r="D71" s="1"/>
      <c r="E71" s="1"/>
      <c r="F71" s="12"/>
      <c r="G71" s="12"/>
      <c r="H71" s="53"/>
    </row>
    <row r="72" spans="1:8" ht="14.1" customHeight="1" x14ac:dyDescent="0.2">
      <c r="A72" s="1"/>
      <c r="B72" s="1"/>
      <c r="C72" s="2" t="s">
        <v>134</v>
      </c>
      <c r="D72" s="1"/>
      <c r="E72" s="1"/>
      <c r="F72" s="1"/>
      <c r="G72" s="1"/>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4.1" customHeight="1" x14ac:dyDescent="0.2">
      <c r="A75" s="1"/>
      <c r="B75" s="1"/>
      <c r="C75" s="2" t="s">
        <v>135</v>
      </c>
      <c r="D75" s="1"/>
      <c r="E75" s="1"/>
      <c r="F75" s="1"/>
      <c r="G75" s="1"/>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4.1" customHeight="1" x14ac:dyDescent="0.2">
      <c r="A78" s="1"/>
      <c r="B78" s="1"/>
      <c r="C78" s="2" t="s">
        <v>136</v>
      </c>
      <c r="D78" s="1"/>
      <c r="E78" s="1"/>
      <c r="F78" s="1"/>
      <c r="G78" s="1"/>
      <c r="H78" s="53"/>
    </row>
    <row r="79" spans="1:8" ht="25.5" customHeight="1" x14ac:dyDescent="0.2">
      <c r="A79" s="3">
        <v>1</v>
      </c>
      <c r="B79" s="4" t="s">
        <v>289</v>
      </c>
      <c r="C79" s="4" t="s">
        <v>959</v>
      </c>
      <c r="D79" s="4" t="s">
        <v>265</v>
      </c>
      <c r="E79" s="5">
        <v>25500</v>
      </c>
      <c r="F79" s="6">
        <v>119.81175</v>
      </c>
      <c r="G79" s="7">
        <v>1.63671E-4</v>
      </c>
      <c r="H79" s="53"/>
    </row>
    <row r="80" spans="1:8" ht="14.1" customHeight="1" x14ac:dyDescent="0.2">
      <c r="A80" s="1"/>
      <c r="B80" s="1"/>
      <c r="C80" s="2" t="s">
        <v>132</v>
      </c>
      <c r="D80" s="1"/>
      <c r="E80" s="1" t="s">
        <v>133</v>
      </c>
      <c r="F80" s="9">
        <v>119.81175</v>
      </c>
      <c r="G80" s="10">
        <v>1.63671E-4</v>
      </c>
      <c r="H80" s="53"/>
    </row>
    <row r="81" spans="1:8" ht="14.1" customHeight="1" x14ac:dyDescent="0.2">
      <c r="A81" s="1"/>
      <c r="B81" s="1"/>
      <c r="C81" s="11"/>
      <c r="D81" s="1"/>
      <c r="E81" s="1"/>
      <c r="F81" s="12"/>
      <c r="G81" s="12"/>
      <c r="H81" s="53"/>
    </row>
    <row r="82" spans="1:8" ht="14.1" customHeight="1" x14ac:dyDescent="0.2">
      <c r="A82" s="1"/>
      <c r="B82" s="1"/>
      <c r="C82" s="2" t="s">
        <v>137</v>
      </c>
      <c r="D82" s="1"/>
      <c r="E82" s="1"/>
      <c r="F82" s="12"/>
      <c r="G82" s="12"/>
      <c r="H82" s="53"/>
    </row>
    <row r="83" spans="1:8" ht="14.1" customHeight="1" x14ac:dyDescent="0.2">
      <c r="A83" s="1"/>
      <c r="B83" s="1"/>
      <c r="C83" s="2" t="s">
        <v>132</v>
      </c>
      <c r="D83" s="1"/>
      <c r="E83" s="1" t="s">
        <v>133</v>
      </c>
      <c r="F83" s="13">
        <v>0</v>
      </c>
      <c r="G83" s="14">
        <v>0</v>
      </c>
      <c r="H83" s="53"/>
    </row>
    <row r="84" spans="1:8" ht="14.1" customHeight="1" x14ac:dyDescent="0.2">
      <c r="A84" s="1"/>
      <c r="B84" s="1"/>
      <c r="C84" s="11"/>
      <c r="D84" s="1"/>
      <c r="E84" s="1"/>
      <c r="F84" s="12"/>
      <c r="G84" s="12"/>
      <c r="H84" s="53"/>
    </row>
    <row r="85" spans="1:8" ht="14.1" customHeight="1" x14ac:dyDescent="0.2">
      <c r="A85" s="1"/>
      <c r="B85" s="1"/>
      <c r="C85" s="2" t="s">
        <v>138</v>
      </c>
      <c r="D85" s="1"/>
      <c r="E85" s="1"/>
      <c r="F85" s="12"/>
      <c r="G85" s="12"/>
      <c r="H85" s="53"/>
    </row>
    <row r="86" spans="1:8" ht="14.1" customHeight="1" x14ac:dyDescent="0.2">
      <c r="A86" s="1"/>
      <c r="B86" s="1"/>
      <c r="C86" s="2" t="s">
        <v>132</v>
      </c>
      <c r="D86" s="1"/>
      <c r="E86" s="1" t="s">
        <v>133</v>
      </c>
      <c r="F86" s="13">
        <v>0</v>
      </c>
      <c r="G86" s="14">
        <v>0</v>
      </c>
      <c r="H86" s="53"/>
    </row>
    <row r="87" spans="1:8" ht="14.1" customHeight="1" x14ac:dyDescent="0.2">
      <c r="A87" s="1"/>
      <c r="B87" s="1"/>
      <c r="C87" s="11"/>
      <c r="D87" s="1"/>
      <c r="E87" s="1"/>
      <c r="F87" s="12"/>
      <c r="G87" s="12"/>
      <c r="H87" s="53"/>
    </row>
    <row r="88" spans="1:8" ht="18" customHeight="1" x14ac:dyDescent="0.2">
      <c r="A88" s="1"/>
      <c r="B88" s="1"/>
      <c r="C88" s="2" t="s">
        <v>139</v>
      </c>
      <c r="D88" s="1"/>
      <c r="E88" s="1"/>
      <c r="F88" s="9">
        <v>709069.79025399999</v>
      </c>
      <c r="G88" s="10">
        <v>0.96863502099999998</v>
      </c>
      <c r="H88" s="53"/>
    </row>
    <row r="89" spans="1:8" ht="14.1" customHeight="1" x14ac:dyDescent="0.2">
      <c r="A89" s="1"/>
      <c r="B89" s="1"/>
      <c r="C89" s="11"/>
      <c r="D89" s="1"/>
      <c r="E89" s="1"/>
      <c r="F89" s="12"/>
      <c r="G89" s="12"/>
      <c r="H89" s="53"/>
    </row>
    <row r="90" spans="1:8" ht="14.1" customHeight="1" x14ac:dyDescent="0.2">
      <c r="A90" s="1"/>
      <c r="B90" s="1"/>
      <c r="C90" s="2" t="s">
        <v>140</v>
      </c>
      <c r="D90" s="1"/>
      <c r="E90" s="1"/>
      <c r="F90" s="12"/>
      <c r="G90" s="12"/>
      <c r="H90" s="53"/>
    </row>
    <row r="91" spans="1:8" ht="24" customHeight="1" x14ac:dyDescent="0.2">
      <c r="A91" s="1"/>
      <c r="B91" s="1"/>
      <c r="C91" s="2" t="s">
        <v>10</v>
      </c>
      <c r="D91" s="1"/>
      <c r="E91" s="1"/>
      <c r="F91" s="12"/>
      <c r="G91" s="12"/>
      <c r="H91" s="53"/>
    </row>
    <row r="92" spans="1:8" ht="14.1" customHeight="1" x14ac:dyDescent="0.2">
      <c r="A92" s="1"/>
      <c r="B92" s="1"/>
      <c r="C92" s="2" t="s">
        <v>132</v>
      </c>
      <c r="D92" s="1"/>
      <c r="E92" s="1" t="s">
        <v>133</v>
      </c>
      <c r="F92" s="13">
        <v>0</v>
      </c>
      <c r="G92" s="14">
        <v>0</v>
      </c>
      <c r="H92" s="53"/>
    </row>
    <row r="93" spans="1:8" ht="14.1" customHeight="1" x14ac:dyDescent="0.2">
      <c r="A93" s="1"/>
      <c r="B93" s="1"/>
      <c r="C93" s="11"/>
      <c r="D93" s="1"/>
      <c r="E93" s="1"/>
      <c r="F93" s="12"/>
      <c r="G93" s="12"/>
      <c r="H93" s="53"/>
    </row>
    <row r="94" spans="1:8" ht="14.1" customHeight="1" x14ac:dyDescent="0.2">
      <c r="A94" s="1"/>
      <c r="B94" s="1"/>
      <c r="C94" s="2" t="s">
        <v>141</v>
      </c>
      <c r="D94" s="1"/>
      <c r="E94" s="1"/>
      <c r="F94" s="1"/>
      <c r="G94" s="1"/>
      <c r="H94" s="53"/>
    </row>
    <row r="95" spans="1:8" ht="14.1" customHeight="1" x14ac:dyDescent="0.2">
      <c r="A95" s="1"/>
      <c r="B95" s="1"/>
      <c r="C95" s="2" t="s">
        <v>132</v>
      </c>
      <c r="D95" s="1"/>
      <c r="E95" s="1" t="s">
        <v>133</v>
      </c>
      <c r="F95" s="13">
        <v>0</v>
      </c>
      <c r="G95" s="14">
        <v>0</v>
      </c>
      <c r="H95" s="53"/>
    </row>
    <row r="96" spans="1:8" ht="14.1" customHeight="1" x14ac:dyDescent="0.2">
      <c r="A96" s="1"/>
      <c r="B96" s="1"/>
      <c r="C96" s="11"/>
      <c r="D96" s="1"/>
      <c r="E96" s="1"/>
      <c r="F96" s="12"/>
      <c r="G96" s="12"/>
      <c r="H96" s="53"/>
    </row>
    <row r="97" spans="1:8" ht="14.1" customHeight="1" x14ac:dyDescent="0.2">
      <c r="A97" s="1"/>
      <c r="B97" s="1"/>
      <c r="C97" s="2" t="s">
        <v>142</v>
      </c>
      <c r="D97" s="1"/>
      <c r="E97" s="1"/>
      <c r="F97" s="1"/>
      <c r="G97" s="1"/>
      <c r="H97" s="53"/>
    </row>
    <row r="98" spans="1:8" ht="14.1" customHeight="1" x14ac:dyDescent="0.2">
      <c r="A98" s="1"/>
      <c r="B98" s="1"/>
      <c r="C98" s="2" t="s">
        <v>132</v>
      </c>
      <c r="D98" s="1"/>
      <c r="E98" s="1" t="s">
        <v>133</v>
      </c>
      <c r="F98" s="13">
        <v>0</v>
      </c>
      <c r="G98" s="14">
        <v>0</v>
      </c>
      <c r="H98" s="53"/>
    </row>
    <row r="99" spans="1:8" ht="14.1" customHeight="1" x14ac:dyDescent="0.2">
      <c r="A99" s="1"/>
      <c r="B99" s="1"/>
      <c r="C99" s="11"/>
      <c r="D99" s="1"/>
      <c r="E99" s="1"/>
      <c r="F99" s="12"/>
      <c r="G99" s="12"/>
      <c r="H99" s="53"/>
    </row>
    <row r="100" spans="1:8" ht="14.1" customHeight="1" x14ac:dyDescent="0.2">
      <c r="A100" s="1"/>
      <c r="B100" s="1"/>
      <c r="C100" s="2" t="s">
        <v>143</v>
      </c>
      <c r="D100" s="1"/>
      <c r="E100" s="1"/>
      <c r="F100" s="12"/>
      <c r="G100" s="12"/>
      <c r="H100" s="53"/>
    </row>
    <row r="101" spans="1:8" ht="14.1" customHeight="1" x14ac:dyDescent="0.2">
      <c r="A101" s="1"/>
      <c r="B101" s="1"/>
      <c r="C101" s="2" t="s">
        <v>132</v>
      </c>
      <c r="D101" s="1"/>
      <c r="E101" s="1" t="s">
        <v>133</v>
      </c>
      <c r="F101" s="13">
        <v>0</v>
      </c>
      <c r="G101" s="14">
        <v>0</v>
      </c>
      <c r="H101" s="53"/>
    </row>
    <row r="102" spans="1:8" ht="14.1" customHeight="1" x14ac:dyDescent="0.2">
      <c r="A102" s="1"/>
      <c r="B102" s="1"/>
      <c r="C102" s="11"/>
      <c r="D102" s="1"/>
      <c r="E102" s="1"/>
      <c r="F102" s="12"/>
      <c r="G102" s="12"/>
      <c r="H102" s="53"/>
    </row>
    <row r="103" spans="1:8" ht="14.1" customHeight="1" x14ac:dyDescent="0.2">
      <c r="A103" s="1"/>
      <c r="B103" s="1"/>
      <c r="C103" s="2" t="s">
        <v>144</v>
      </c>
      <c r="D103" s="1"/>
      <c r="E103" s="1"/>
      <c r="F103" s="9">
        <v>0</v>
      </c>
      <c r="G103" s="10">
        <v>0</v>
      </c>
      <c r="H103" s="53"/>
    </row>
    <row r="104" spans="1:8" ht="14.1" customHeight="1" x14ac:dyDescent="0.2">
      <c r="A104" s="1"/>
      <c r="B104" s="1"/>
      <c r="C104" s="11"/>
      <c r="D104" s="1"/>
      <c r="E104" s="1"/>
      <c r="F104" s="12"/>
      <c r="G104" s="12"/>
      <c r="H104" s="53"/>
    </row>
    <row r="105" spans="1:8" ht="14.1" customHeight="1" x14ac:dyDescent="0.2">
      <c r="A105" s="1"/>
      <c r="B105" s="1"/>
      <c r="C105" s="2" t="s">
        <v>145</v>
      </c>
      <c r="D105" s="1"/>
      <c r="E105" s="1"/>
      <c r="F105" s="12"/>
      <c r="G105" s="12"/>
      <c r="H105" s="53"/>
    </row>
    <row r="106" spans="1:8" ht="14.1" customHeight="1" x14ac:dyDescent="0.2">
      <c r="A106" s="1"/>
      <c r="B106" s="1"/>
      <c r="C106" s="2" t="s">
        <v>146</v>
      </c>
      <c r="D106" s="1"/>
      <c r="E106" s="1"/>
      <c r="F106" s="12"/>
      <c r="G106" s="12"/>
      <c r="H106" s="53"/>
    </row>
    <row r="107" spans="1:8" ht="14.1" customHeight="1" x14ac:dyDescent="0.2">
      <c r="A107" s="1"/>
      <c r="B107" s="1"/>
      <c r="C107" s="2" t="s">
        <v>132</v>
      </c>
      <c r="D107" s="1"/>
      <c r="E107" s="1" t="s">
        <v>133</v>
      </c>
      <c r="F107" s="13">
        <v>0</v>
      </c>
      <c r="G107" s="14">
        <v>0</v>
      </c>
      <c r="H107" s="53"/>
    </row>
    <row r="108" spans="1:8" ht="14.1" customHeight="1" x14ac:dyDescent="0.2">
      <c r="A108" s="1"/>
      <c r="B108" s="1"/>
      <c r="C108" s="11"/>
      <c r="D108" s="1"/>
      <c r="E108" s="1"/>
      <c r="F108" s="12"/>
      <c r="G108" s="12"/>
      <c r="H108" s="53"/>
    </row>
    <row r="109" spans="1:8" ht="14.1" customHeight="1" x14ac:dyDescent="0.2">
      <c r="A109" s="1"/>
      <c r="B109" s="1"/>
      <c r="C109" s="2" t="s">
        <v>147</v>
      </c>
      <c r="D109" s="1"/>
      <c r="E109" s="1"/>
      <c r="F109" s="12"/>
      <c r="G109" s="12"/>
      <c r="H109" s="53"/>
    </row>
    <row r="110" spans="1:8" ht="14.1" customHeight="1" x14ac:dyDescent="0.2">
      <c r="A110" s="1"/>
      <c r="B110" s="1"/>
      <c r="C110" s="2" t="s">
        <v>132</v>
      </c>
      <c r="D110" s="1"/>
      <c r="E110" s="1" t="s">
        <v>133</v>
      </c>
      <c r="F110" s="13">
        <v>0</v>
      </c>
      <c r="G110" s="14">
        <v>0</v>
      </c>
      <c r="H110" s="53"/>
    </row>
    <row r="111" spans="1:8" ht="14.1" customHeight="1" x14ac:dyDescent="0.2">
      <c r="A111" s="1"/>
      <c r="B111" s="1"/>
      <c r="C111" s="11"/>
      <c r="D111" s="1"/>
      <c r="E111" s="1"/>
      <c r="F111" s="12"/>
      <c r="G111" s="12"/>
      <c r="H111" s="53"/>
    </row>
    <row r="112" spans="1:8" ht="14.1" customHeight="1" x14ac:dyDescent="0.2">
      <c r="A112" s="1"/>
      <c r="B112" s="1"/>
      <c r="C112" s="2" t="s">
        <v>148</v>
      </c>
      <c r="D112" s="1"/>
      <c r="E112" s="1"/>
      <c r="F112" s="12"/>
      <c r="G112" s="12"/>
      <c r="H112" s="53"/>
    </row>
    <row r="113" spans="1:8" ht="14.1" customHeight="1" x14ac:dyDescent="0.2">
      <c r="A113" s="1"/>
      <c r="B113" s="1"/>
      <c r="C113" s="2" t="s">
        <v>132</v>
      </c>
      <c r="D113" s="1"/>
      <c r="E113" s="1" t="s">
        <v>133</v>
      </c>
      <c r="F113" s="13">
        <v>0</v>
      </c>
      <c r="G113" s="14">
        <v>0</v>
      </c>
      <c r="H113" s="53"/>
    </row>
    <row r="114" spans="1:8" ht="14.1" customHeight="1" x14ac:dyDescent="0.2">
      <c r="A114" s="1"/>
      <c r="B114" s="1"/>
      <c r="C114" s="11"/>
      <c r="D114" s="1"/>
      <c r="E114" s="1"/>
      <c r="F114" s="12"/>
      <c r="G114" s="12"/>
      <c r="H114" s="53"/>
    </row>
    <row r="115" spans="1:8" ht="14.1" customHeight="1" x14ac:dyDescent="0.2">
      <c r="A115" s="1"/>
      <c r="B115" s="1"/>
      <c r="C115" s="2" t="s">
        <v>149</v>
      </c>
      <c r="D115" s="1"/>
      <c r="E115" s="1"/>
      <c r="F115" s="12"/>
      <c r="G115" s="12"/>
      <c r="H115" s="53"/>
    </row>
    <row r="116" spans="1:8" ht="17.100000000000001" customHeight="1" x14ac:dyDescent="0.2">
      <c r="A116" s="3">
        <v>1</v>
      </c>
      <c r="B116" s="4"/>
      <c r="C116" s="4" t="s">
        <v>150</v>
      </c>
      <c r="D116" s="4"/>
      <c r="E116" s="8"/>
      <c r="F116" s="6">
        <v>17946.890252000001</v>
      </c>
      <c r="G116" s="7">
        <v>2.4516607999999999E-2</v>
      </c>
      <c r="H116" s="53">
        <v>6.46</v>
      </c>
    </row>
    <row r="117" spans="1:8" ht="14.1" customHeight="1" x14ac:dyDescent="0.2">
      <c r="A117" s="1"/>
      <c r="B117" s="1"/>
      <c r="C117" s="2" t="s">
        <v>132</v>
      </c>
      <c r="D117" s="1"/>
      <c r="E117" s="1" t="s">
        <v>133</v>
      </c>
      <c r="F117" s="9">
        <v>17946.890252000001</v>
      </c>
      <c r="G117" s="10">
        <v>2.4516607999999999E-2</v>
      </c>
      <c r="H117" s="53"/>
    </row>
    <row r="118" spans="1:8" ht="14.1" customHeight="1" x14ac:dyDescent="0.2">
      <c r="A118" s="1"/>
      <c r="B118" s="1"/>
      <c r="C118" s="11"/>
      <c r="D118" s="1"/>
      <c r="E118" s="1"/>
      <c r="F118" s="12"/>
      <c r="G118" s="12"/>
      <c r="H118" s="53"/>
    </row>
    <row r="119" spans="1:8" ht="14.1" customHeight="1" x14ac:dyDescent="0.2">
      <c r="A119" s="1"/>
      <c r="B119" s="1"/>
      <c r="C119" s="2" t="s">
        <v>151</v>
      </c>
      <c r="D119" s="1"/>
      <c r="E119" s="1"/>
      <c r="F119" s="9">
        <v>17946.890252000001</v>
      </c>
      <c r="G119" s="10">
        <v>2.4516607999999999E-2</v>
      </c>
      <c r="H119" s="53"/>
    </row>
    <row r="120" spans="1:8" ht="14.1" customHeight="1" x14ac:dyDescent="0.2">
      <c r="A120" s="1"/>
      <c r="B120" s="1"/>
      <c r="C120" s="12"/>
      <c r="D120" s="1"/>
      <c r="E120" s="1"/>
      <c r="F120" s="1"/>
      <c r="G120" s="1"/>
      <c r="H120" s="53"/>
    </row>
    <row r="121" spans="1:8" ht="14.1" customHeight="1" x14ac:dyDescent="0.2">
      <c r="A121" s="1"/>
      <c r="B121" s="1"/>
      <c r="C121" s="2" t="s">
        <v>152</v>
      </c>
      <c r="D121" s="1"/>
      <c r="E121" s="1"/>
      <c r="F121" s="1"/>
      <c r="G121" s="1"/>
      <c r="H121" s="53"/>
    </row>
    <row r="122" spans="1:8" ht="14.1" customHeight="1" x14ac:dyDescent="0.2">
      <c r="A122" s="1"/>
      <c r="B122" s="1"/>
      <c r="C122" s="2" t="s">
        <v>153</v>
      </c>
      <c r="D122" s="1"/>
      <c r="E122" s="1"/>
      <c r="F122" s="1"/>
      <c r="G122" s="1"/>
      <c r="H122" s="53"/>
    </row>
    <row r="123" spans="1:8" ht="14.1" customHeight="1" x14ac:dyDescent="0.2">
      <c r="A123" s="1"/>
      <c r="B123" s="1"/>
      <c r="C123" s="2" t="s">
        <v>132</v>
      </c>
      <c r="D123" s="1"/>
      <c r="E123" s="1" t="s">
        <v>133</v>
      </c>
      <c r="F123" s="13">
        <v>0</v>
      </c>
      <c r="G123" s="14">
        <v>0</v>
      </c>
      <c r="H123" s="53"/>
    </row>
    <row r="124" spans="1:8" ht="14.1" customHeight="1" x14ac:dyDescent="0.2">
      <c r="A124" s="1"/>
      <c r="B124" s="1"/>
      <c r="C124" s="11"/>
      <c r="D124" s="1"/>
      <c r="E124" s="1"/>
      <c r="F124" s="12"/>
      <c r="G124" s="12"/>
      <c r="H124" s="53"/>
    </row>
    <row r="125" spans="1:8" ht="14.1" customHeight="1" x14ac:dyDescent="0.2">
      <c r="A125" s="1"/>
      <c r="B125" s="1"/>
      <c r="C125" s="2" t="s">
        <v>154</v>
      </c>
      <c r="D125" s="1"/>
      <c r="E125" s="1"/>
      <c r="F125" s="1"/>
      <c r="G125" s="1"/>
      <c r="H125" s="53"/>
    </row>
    <row r="126" spans="1:8" ht="14.1" customHeight="1" x14ac:dyDescent="0.2">
      <c r="A126" s="1"/>
      <c r="B126" s="1"/>
      <c r="C126" s="2" t="s">
        <v>155</v>
      </c>
      <c r="D126" s="1"/>
      <c r="E126" s="1"/>
      <c r="F126" s="1"/>
      <c r="G126" s="1"/>
      <c r="H126" s="53"/>
    </row>
    <row r="127" spans="1:8" ht="14.1" customHeight="1" x14ac:dyDescent="0.2">
      <c r="A127" s="1"/>
      <c r="B127" s="1"/>
      <c r="C127" s="2" t="s">
        <v>132</v>
      </c>
      <c r="D127" s="1"/>
      <c r="E127" s="1" t="s">
        <v>133</v>
      </c>
      <c r="F127" s="13">
        <v>0</v>
      </c>
      <c r="G127" s="14">
        <v>0</v>
      </c>
      <c r="H127" s="53"/>
    </row>
    <row r="128" spans="1:8" ht="14.1" customHeight="1" x14ac:dyDescent="0.2">
      <c r="A128" s="1"/>
      <c r="B128" s="1"/>
      <c r="C128" s="11"/>
      <c r="D128" s="1"/>
      <c r="E128" s="1"/>
      <c r="F128" s="12"/>
      <c r="G128" s="12"/>
      <c r="H128" s="53"/>
    </row>
    <row r="129" spans="1:8" ht="14.1" customHeight="1" x14ac:dyDescent="0.2">
      <c r="A129" s="1"/>
      <c r="B129" s="1"/>
      <c r="C129" s="11"/>
      <c r="D129" s="1"/>
      <c r="E129" s="1"/>
      <c r="F129" s="12"/>
      <c r="G129" s="12"/>
      <c r="H129" s="53"/>
    </row>
    <row r="130" spans="1:8" ht="24" customHeight="1" x14ac:dyDescent="0.2">
      <c r="A130" s="1"/>
      <c r="B130" s="1"/>
      <c r="C130" s="2" t="s">
        <v>156</v>
      </c>
      <c r="D130" s="1"/>
      <c r="E130" s="1"/>
      <c r="F130" s="12"/>
      <c r="G130" s="12"/>
      <c r="H130" s="53"/>
    </row>
    <row r="131" spans="1:8" ht="14.1" customHeight="1" x14ac:dyDescent="0.2">
      <c r="A131" s="1"/>
      <c r="B131" s="1"/>
      <c r="C131" s="2" t="s">
        <v>132</v>
      </c>
      <c r="D131" s="1"/>
      <c r="E131" s="1" t="s">
        <v>133</v>
      </c>
      <c r="F131" s="13">
        <v>0</v>
      </c>
      <c r="G131" s="14">
        <v>0</v>
      </c>
      <c r="H131" s="53"/>
    </row>
    <row r="132" spans="1:8" ht="14.1" customHeight="1" x14ac:dyDescent="0.2">
      <c r="A132" s="1"/>
      <c r="B132" s="1"/>
      <c r="C132" s="11"/>
      <c r="D132" s="1"/>
      <c r="E132" s="1"/>
      <c r="F132" s="12"/>
      <c r="G132" s="12"/>
      <c r="H132" s="53"/>
    </row>
    <row r="133" spans="1:8" ht="14.1" customHeight="1" x14ac:dyDescent="0.2">
      <c r="A133" s="1"/>
      <c r="B133" s="4"/>
      <c r="C133" s="4"/>
      <c r="D133" s="2"/>
      <c r="E133" s="1"/>
      <c r="F133" s="4"/>
      <c r="G133" s="8"/>
      <c r="H133" s="53"/>
    </row>
    <row r="134" spans="1:8" ht="18" customHeight="1" x14ac:dyDescent="0.2">
      <c r="A134" s="8"/>
      <c r="B134" s="4"/>
      <c r="C134" s="4" t="s">
        <v>157</v>
      </c>
      <c r="D134" s="4"/>
      <c r="E134" s="8"/>
      <c r="F134" s="6">
        <v>5013.2119579099999</v>
      </c>
      <c r="G134" s="7">
        <v>6.8483709999999998E-3</v>
      </c>
      <c r="H134" s="53"/>
    </row>
    <row r="135" spans="1:8" ht="14.1" customHeight="1" x14ac:dyDescent="0.2">
      <c r="A135" s="11"/>
      <c r="B135" s="11"/>
      <c r="C135" s="2" t="s">
        <v>158</v>
      </c>
      <c r="D135" s="15"/>
      <c r="E135" s="15"/>
      <c r="F135" s="9">
        <v>732029.89246391004</v>
      </c>
      <c r="G135" s="14">
        <v>1</v>
      </c>
      <c r="H135" s="53"/>
    </row>
    <row r="136" spans="1:8" ht="14.1" customHeight="1" x14ac:dyDescent="0.2">
      <c r="A136" s="16"/>
      <c r="B136" s="16"/>
      <c r="C136" s="16"/>
      <c r="D136" s="17"/>
      <c r="E136" s="17"/>
      <c r="F136" s="17"/>
      <c r="G136" s="17"/>
    </row>
    <row r="137" spans="1:8" ht="14.1" customHeight="1" x14ac:dyDescent="0.2">
      <c r="A137" s="18"/>
      <c r="B137" s="18"/>
      <c r="C137" s="18"/>
      <c r="D137" s="20"/>
      <c r="E137" s="20"/>
      <c r="F137" s="20"/>
      <c r="G137" s="20"/>
    </row>
    <row r="138" spans="1:8" ht="14.1" customHeight="1" x14ac:dyDescent="0.2">
      <c r="A138" s="18"/>
      <c r="B138" s="293" t="s">
        <v>160</v>
      </c>
      <c r="C138" s="294"/>
      <c r="D138" s="12" t="s">
        <v>133</v>
      </c>
      <c r="E138" s="21"/>
      <c r="F138" s="20"/>
      <c r="G138" s="20"/>
    </row>
    <row r="139" spans="1:8" ht="29.1" customHeight="1" x14ac:dyDescent="0.2">
      <c r="A139" s="18"/>
      <c r="B139" s="290" t="s">
        <v>161</v>
      </c>
      <c r="C139" s="291"/>
      <c r="D139" s="2" t="s">
        <v>162</v>
      </c>
      <c r="E139" s="21"/>
      <c r="F139" s="20"/>
      <c r="G139" s="20"/>
    </row>
    <row r="140" spans="1:8" ht="17.100000000000001" customHeight="1" x14ac:dyDescent="0.2">
      <c r="A140" s="18"/>
      <c r="B140" s="290" t="s">
        <v>163</v>
      </c>
      <c r="C140" s="291"/>
      <c r="D140" s="2" t="s">
        <v>162</v>
      </c>
      <c r="E140" s="21"/>
      <c r="F140" s="20"/>
      <c r="G140" s="20"/>
    </row>
    <row r="141" spans="1:8" ht="17.100000000000001" customHeight="1" x14ac:dyDescent="0.2">
      <c r="A141" s="18"/>
      <c r="B141" s="290" t="s">
        <v>164</v>
      </c>
      <c r="C141" s="291"/>
      <c r="D141" s="12" t="s">
        <v>133</v>
      </c>
      <c r="E141" s="21"/>
      <c r="F141" s="20"/>
      <c r="G141" s="20"/>
    </row>
    <row r="142" spans="1:8" ht="24" customHeight="1" x14ac:dyDescent="0.2">
      <c r="A142" s="22"/>
      <c r="B142" s="23" t="s">
        <v>133</v>
      </c>
      <c r="C142" s="23" t="s">
        <v>165</v>
      </c>
      <c r="D142" s="23" t="s">
        <v>166</v>
      </c>
      <c r="E142" s="22"/>
      <c r="F142" s="22"/>
      <c r="G142" s="22"/>
    </row>
    <row r="143" spans="1:8" ht="18" customHeight="1" x14ac:dyDescent="0.2">
      <c r="A143" s="22"/>
      <c r="B143" s="23" t="s">
        <v>167</v>
      </c>
      <c r="C143" s="23" t="s">
        <v>168</v>
      </c>
      <c r="D143" s="23" t="s">
        <v>169</v>
      </c>
      <c r="E143" s="22"/>
      <c r="F143" s="22"/>
      <c r="G143" s="22"/>
    </row>
    <row r="144" spans="1:8" ht="17.100000000000001" customHeight="1" x14ac:dyDescent="0.2">
      <c r="A144" s="22"/>
      <c r="B144" s="4" t="s">
        <v>170</v>
      </c>
      <c r="C144" s="24">
        <v>808.41240000000005</v>
      </c>
      <c r="D144" s="24">
        <v>795.97580000000005</v>
      </c>
      <c r="E144" s="22"/>
      <c r="F144" s="19"/>
      <c r="G144" s="25"/>
    </row>
    <row r="145" spans="1:7" ht="17.100000000000001" customHeight="1" x14ac:dyDescent="0.2">
      <c r="A145" s="22"/>
      <c r="B145" s="4" t="s">
        <v>1042</v>
      </c>
      <c r="C145" s="24">
        <v>47.189100000000003</v>
      </c>
      <c r="D145" s="24">
        <v>46.463200000000001</v>
      </c>
      <c r="E145" s="22"/>
      <c r="F145" s="19"/>
      <c r="G145" s="25"/>
    </row>
    <row r="146" spans="1:7" ht="17.100000000000001" customHeight="1" x14ac:dyDescent="0.2">
      <c r="A146" s="22"/>
      <c r="B146" s="4" t="s">
        <v>171</v>
      </c>
      <c r="C146" s="24">
        <v>756.80889999999999</v>
      </c>
      <c r="D146" s="24">
        <v>744.6413</v>
      </c>
      <c r="E146" s="22"/>
      <c r="F146" s="19"/>
      <c r="G146" s="25"/>
    </row>
    <row r="147" spans="1:7" ht="17.100000000000001" customHeight="1" x14ac:dyDescent="0.2">
      <c r="A147" s="22"/>
      <c r="B147" s="4" t="s">
        <v>1043</v>
      </c>
      <c r="C147" s="24">
        <v>43.560200000000002</v>
      </c>
      <c r="D147" s="24">
        <v>42.8598</v>
      </c>
      <c r="E147" s="22"/>
      <c r="F147" s="19"/>
      <c r="G147" s="25"/>
    </row>
    <row r="148" spans="1:7" ht="14.1" customHeight="1" x14ac:dyDescent="0.2">
      <c r="A148" s="22"/>
      <c r="B148" s="22"/>
      <c r="C148" s="22"/>
      <c r="D148" s="22"/>
      <c r="E148" s="22"/>
      <c r="F148" s="22"/>
      <c r="G148" s="22"/>
    </row>
    <row r="149" spans="1:7" ht="17.100000000000001" customHeight="1" x14ac:dyDescent="0.2">
      <c r="A149" s="22"/>
      <c r="B149" s="290" t="s">
        <v>1044</v>
      </c>
      <c r="C149" s="291"/>
      <c r="D149" s="2" t="s">
        <v>162</v>
      </c>
      <c r="E149" s="22"/>
      <c r="F149" s="22"/>
      <c r="G149" s="22"/>
    </row>
    <row r="150" spans="1:7" ht="18" customHeight="1" x14ac:dyDescent="0.2">
      <c r="A150" s="22"/>
      <c r="B150" s="26"/>
      <c r="C150" s="26"/>
      <c r="D150" s="27"/>
      <c r="E150" s="22"/>
      <c r="F150" s="22"/>
      <c r="G150" s="22"/>
    </row>
    <row r="151" spans="1:7" ht="29.1" customHeight="1" x14ac:dyDescent="0.2">
      <c r="A151" s="22"/>
      <c r="B151" s="290" t="s">
        <v>172</v>
      </c>
      <c r="C151" s="291"/>
      <c r="D151" s="2" t="s">
        <v>162</v>
      </c>
      <c r="E151" s="22"/>
      <c r="F151" s="22"/>
      <c r="G151" s="22"/>
    </row>
    <row r="152" spans="1:7" ht="29.1" customHeight="1" x14ac:dyDescent="0.2">
      <c r="A152" s="22"/>
      <c r="B152" s="290" t="s">
        <v>173</v>
      </c>
      <c r="C152" s="291"/>
      <c r="D152" s="2" t="s">
        <v>162</v>
      </c>
      <c r="E152" s="22"/>
      <c r="F152" s="22"/>
      <c r="G152" s="22"/>
    </row>
    <row r="153" spans="1:7" ht="17.100000000000001" customHeight="1" x14ac:dyDescent="0.2">
      <c r="A153" s="22"/>
      <c r="B153" s="290" t="s">
        <v>174</v>
      </c>
      <c r="C153" s="291"/>
      <c r="D153" s="28">
        <v>0.45099375204562803</v>
      </c>
      <c r="E153" s="22"/>
      <c r="F153" s="19"/>
      <c r="G153" s="25"/>
    </row>
    <row r="154" spans="1:7" ht="17.100000000000001" customHeight="1" x14ac:dyDescent="0.2">
      <c r="A154" s="22"/>
      <c r="B154" s="290" t="s">
        <v>175</v>
      </c>
      <c r="C154" s="291"/>
      <c r="D154" s="2" t="s">
        <v>162</v>
      </c>
      <c r="E154" s="22"/>
      <c r="F154" s="22"/>
      <c r="G154" s="22"/>
    </row>
  </sheetData>
  <mergeCells count="13">
    <mergeCell ref="A1:H1"/>
    <mergeCell ref="A2:H2"/>
    <mergeCell ref="A3:H3"/>
    <mergeCell ref="J2:N2"/>
    <mergeCell ref="B154:C154"/>
    <mergeCell ref="B139:C139"/>
    <mergeCell ref="B140:C140"/>
    <mergeCell ref="B141:C141"/>
    <mergeCell ref="B149:C149"/>
    <mergeCell ref="B151:C151"/>
    <mergeCell ref="B152:C152"/>
    <mergeCell ref="B138:C138"/>
    <mergeCell ref="B153:C153"/>
  </mergeCells>
  <hyperlinks>
    <hyperlink ref="I1" location="Index!B3" display="Index" xr:uid="{83E1683B-A674-4308-ADDE-739C0540DEF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4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290</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137271</v>
      </c>
      <c r="F7" s="6">
        <v>1222.8787035</v>
      </c>
      <c r="G7" s="7">
        <v>8.0984768999999998E-2</v>
      </c>
      <c r="H7" s="53"/>
    </row>
    <row r="8" spans="1:14" ht="17.100000000000001" customHeight="1" x14ac:dyDescent="0.2">
      <c r="A8" s="3">
        <v>2</v>
      </c>
      <c r="B8" s="4" t="s">
        <v>20</v>
      </c>
      <c r="C8" s="4" t="s">
        <v>21</v>
      </c>
      <c r="D8" s="4" t="s">
        <v>22</v>
      </c>
      <c r="E8" s="5">
        <v>44211</v>
      </c>
      <c r="F8" s="6">
        <v>1126.1425919999999</v>
      </c>
      <c r="G8" s="7">
        <v>7.4578450000000004E-2</v>
      </c>
      <c r="H8" s="53"/>
    </row>
    <row r="9" spans="1:14" ht="17.100000000000001" customHeight="1" x14ac:dyDescent="0.2">
      <c r="A9" s="3">
        <v>3</v>
      </c>
      <c r="B9" s="4" t="s">
        <v>291</v>
      </c>
      <c r="C9" s="4" t="s">
        <v>292</v>
      </c>
      <c r="D9" s="4" t="s">
        <v>900</v>
      </c>
      <c r="E9" s="5">
        <v>53410</v>
      </c>
      <c r="F9" s="6">
        <v>805.52962000000002</v>
      </c>
      <c r="G9" s="7">
        <v>5.3345953000000002E-2</v>
      </c>
      <c r="H9" s="53"/>
    </row>
    <row r="10" spans="1:14" ht="17.100000000000001" customHeight="1" x14ac:dyDescent="0.2">
      <c r="A10" s="3">
        <v>4</v>
      </c>
      <c r="B10" s="4" t="s">
        <v>29</v>
      </c>
      <c r="C10" s="4" t="s">
        <v>30</v>
      </c>
      <c r="D10" s="4" t="s">
        <v>19</v>
      </c>
      <c r="E10" s="5">
        <v>123316</v>
      </c>
      <c r="F10" s="6">
        <v>756.79029200000002</v>
      </c>
      <c r="G10" s="7">
        <v>5.0118205999999998E-2</v>
      </c>
      <c r="H10" s="53"/>
    </row>
    <row r="11" spans="1:14" ht="29.1" customHeight="1" x14ac:dyDescent="0.2">
      <c r="A11" s="3">
        <v>5</v>
      </c>
      <c r="B11" s="4" t="s">
        <v>293</v>
      </c>
      <c r="C11" s="4" t="s">
        <v>294</v>
      </c>
      <c r="D11" s="4" t="s">
        <v>119</v>
      </c>
      <c r="E11" s="5">
        <v>27959</v>
      </c>
      <c r="F11" s="6">
        <v>737.44658400000003</v>
      </c>
      <c r="G11" s="7">
        <v>4.8837174999999997E-2</v>
      </c>
      <c r="H11" s="53"/>
    </row>
    <row r="12" spans="1:14" ht="17.100000000000001" customHeight="1" x14ac:dyDescent="0.2">
      <c r="A12" s="3">
        <v>6</v>
      </c>
      <c r="B12" s="4" t="s">
        <v>266</v>
      </c>
      <c r="C12" s="4" t="s">
        <v>267</v>
      </c>
      <c r="D12" s="4" t="s">
        <v>19</v>
      </c>
      <c r="E12" s="5">
        <v>44398</v>
      </c>
      <c r="F12" s="6">
        <v>722.86603700000001</v>
      </c>
      <c r="G12" s="7">
        <v>4.7871583000000002E-2</v>
      </c>
      <c r="H12" s="53"/>
    </row>
    <row r="13" spans="1:14" ht="17.100000000000001" customHeight="1" x14ac:dyDescent="0.2">
      <c r="A13" s="3">
        <v>7</v>
      </c>
      <c r="B13" s="4" t="s">
        <v>181</v>
      </c>
      <c r="C13" s="4" t="s">
        <v>182</v>
      </c>
      <c r="D13" s="4" t="s">
        <v>19</v>
      </c>
      <c r="E13" s="5">
        <v>66020</v>
      </c>
      <c r="F13" s="6">
        <v>616.46175000000005</v>
      </c>
      <c r="G13" s="7">
        <v>4.0824990999999998E-2</v>
      </c>
      <c r="H13" s="53"/>
      <c r="J13" s="188" t="s">
        <v>1077</v>
      </c>
    </row>
    <row r="14" spans="1:14" ht="17.100000000000001" customHeight="1" x14ac:dyDescent="0.2">
      <c r="A14" s="3">
        <v>8</v>
      </c>
      <c r="B14" s="4" t="s">
        <v>11</v>
      </c>
      <c r="C14" s="4" t="s">
        <v>12</v>
      </c>
      <c r="D14" s="4" t="s">
        <v>13</v>
      </c>
      <c r="E14" s="5">
        <v>23069</v>
      </c>
      <c r="F14" s="6">
        <v>481.173202</v>
      </c>
      <c r="G14" s="7">
        <v>3.1865549E-2</v>
      </c>
      <c r="H14" s="53"/>
    </row>
    <row r="15" spans="1:14" ht="29.1" customHeight="1" x14ac:dyDescent="0.2">
      <c r="A15" s="3">
        <v>9</v>
      </c>
      <c r="B15" s="4" t="s">
        <v>191</v>
      </c>
      <c r="C15" s="4" t="s">
        <v>192</v>
      </c>
      <c r="D15" s="4" t="s">
        <v>116</v>
      </c>
      <c r="E15" s="5">
        <v>120569</v>
      </c>
      <c r="F15" s="6">
        <v>405.65440050000001</v>
      </c>
      <c r="G15" s="7">
        <v>2.6864339000000001E-2</v>
      </c>
      <c r="H15" s="53"/>
    </row>
    <row r="16" spans="1:14" ht="17.100000000000001" customHeight="1" x14ac:dyDescent="0.2">
      <c r="A16" s="3">
        <v>10</v>
      </c>
      <c r="B16" s="4" t="s">
        <v>14</v>
      </c>
      <c r="C16" s="4" t="s">
        <v>15</v>
      </c>
      <c r="D16" s="4" t="s">
        <v>16</v>
      </c>
      <c r="E16" s="5">
        <v>45416</v>
      </c>
      <c r="F16" s="6">
        <v>366.09837599999997</v>
      </c>
      <c r="G16" s="7">
        <v>2.4244753000000001E-2</v>
      </c>
      <c r="H16" s="53"/>
    </row>
    <row r="17" spans="1:8" ht="29.1" customHeight="1" x14ac:dyDescent="0.2">
      <c r="A17" s="3">
        <v>11</v>
      </c>
      <c r="B17" s="4" t="s">
        <v>197</v>
      </c>
      <c r="C17" s="4" t="s">
        <v>198</v>
      </c>
      <c r="D17" s="4" t="s">
        <v>199</v>
      </c>
      <c r="E17" s="5">
        <v>8388</v>
      </c>
      <c r="F17" s="6">
        <v>341.32868999999999</v>
      </c>
      <c r="G17" s="7">
        <v>2.2604388E-2</v>
      </c>
      <c r="H17" s="53"/>
    </row>
    <row r="18" spans="1:8" ht="17.100000000000001" customHeight="1" x14ac:dyDescent="0.2">
      <c r="A18" s="3">
        <v>12</v>
      </c>
      <c r="B18" s="4" t="s">
        <v>295</v>
      </c>
      <c r="C18" s="4" t="s">
        <v>296</v>
      </c>
      <c r="D18" s="4" t="s">
        <v>248</v>
      </c>
      <c r="E18" s="5">
        <v>24719</v>
      </c>
      <c r="F18" s="6">
        <v>304.365047</v>
      </c>
      <c r="G18" s="7">
        <v>2.0156482E-2</v>
      </c>
      <c r="H18" s="53"/>
    </row>
    <row r="19" spans="1:8" ht="17.100000000000001" customHeight="1" x14ac:dyDescent="0.2">
      <c r="A19" s="3">
        <v>13</v>
      </c>
      <c r="B19" s="4" t="s">
        <v>179</v>
      </c>
      <c r="C19" s="4" t="s">
        <v>180</v>
      </c>
      <c r="D19" s="4" t="s">
        <v>19</v>
      </c>
      <c r="E19" s="5">
        <v>160000</v>
      </c>
      <c r="F19" s="6">
        <v>297.12</v>
      </c>
      <c r="G19" s="7">
        <v>1.9676681000000001E-2</v>
      </c>
      <c r="H19" s="53"/>
    </row>
    <row r="20" spans="1:8" ht="17.100000000000001" customHeight="1" x14ac:dyDescent="0.2">
      <c r="A20" s="3">
        <v>14</v>
      </c>
      <c r="B20" s="4" t="s">
        <v>297</v>
      </c>
      <c r="C20" s="4" t="s">
        <v>298</v>
      </c>
      <c r="D20" s="4" t="s">
        <v>900</v>
      </c>
      <c r="E20" s="5">
        <v>8814</v>
      </c>
      <c r="F20" s="6">
        <v>287.04553800000002</v>
      </c>
      <c r="G20" s="7">
        <v>1.9009503000000001E-2</v>
      </c>
      <c r="H20" s="53"/>
    </row>
    <row r="21" spans="1:8" ht="29.1" customHeight="1" x14ac:dyDescent="0.2">
      <c r="A21" s="3">
        <v>15</v>
      </c>
      <c r="B21" s="4" t="s">
        <v>299</v>
      </c>
      <c r="C21" s="4" t="s">
        <v>300</v>
      </c>
      <c r="D21" s="4" t="s">
        <v>227</v>
      </c>
      <c r="E21" s="5">
        <v>28492</v>
      </c>
      <c r="F21" s="6">
        <v>285.31888800000002</v>
      </c>
      <c r="G21" s="7">
        <v>1.8895156E-2</v>
      </c>
      <c r="H21" s="53"/>
    </row>
    <row r="22" spans="1:8" ht="17.100000000000001" customHeight="1" x14ac:dyDescent="0.2">
      <c r="A22" s="3">
        <v>16</v>
      </c>
      <c r="B22" s="4" t="s">
        <v>301</v>
      </c>
      <c r="C22" s="4" t="s">
        <v>302</v>
      </c>
      <c r="D22" s="4" t="s">
        <v>234</v>
      </c>
      <c r="E22" s="5">
        <v>55938</v>
      </c>
      <c r="F22" s="6">
        <v>279.46624800000001</v>
      </c>
      <c r="G22" s="7">
        <v>1.8507566999999999E-2</v>
      </c>
      <c r="H22" s="53"/>
    </row>
    <row r="23" spans="1:8" ht="17.100000000000001" customHeight="1" x14ac:dyDescent="0.2">
      <c r="A23" s="3">
        <v>17</v>
      </c>
      <c r="B23" s="4" t="s">
        <v>36</v>
      </c>
      <c r="C23" s="4" t="s">
        <v>37</v>
      </c>
      <c r="D23" s="4" t="s">
        <v>33</v>
      </c>
      <c r="E23" s="5">
        <v>15186</v>
      </c>
      <c r="F23" s="6">
        <v>270.86508900000001</v>
      </c>
      <c r="G23" s="7">
        <v>1.7937958E-2</v>
      </c>
      <c r="H23" s="53"/>
    </row>
    <row r="24" spans="1:8" ht="29.1" customHeight="1" x14ac:dyDescent="0.2">
      <c r="A24" s="3">
        <v>18</v>
      </c>
      <c r="B24" s="4" t="s">
        <v>23</v>
      </c>
      <c r="C24" s="4" t="s">
        <v>24</v>
      </c>
      <c r="D24" s="4" t="s">
        <v>25</v>
      </c>
      <c r="E24" s="5">
        <v>3567</v>
      </c>
      <c r="F24" s="6">
        <v>248.22931349999999</v>
      </c>
      <c r="G24" s="7">
        <v>1.6438911E-2</v>
      </c>
      <c r="H24" s="53"/>
    </row>
    <row r="25" spans="1:8" ht="17.100000000000001" customHeight="1" x14ac:dyDescent="0.2">
      <c r="A25" s="3">
        <v>19</v>
      </c>
      <c r="B25" s="4" t="s">
        <v>303</v>
      </c>
      <c r="C25" s="4" t="s">
        <v>304</v>
      </c>
      <c r="D25" s="4" t="s">
        <v>305</v>
      </c>
      <c r="E25" s="5">
        <v>9430</v>
      </c>
      <c r="F25" s="6">
        <v>241.507015</v>
      </c>
      <c r="G25" s="7">
        <v>1.5993727999999999E-2</v>
      </c>
      <c r="H25" s="53"/>
    </row>
    <row r="26" spans="1:8" ht="17.100000000000001" customHeight="1" x14ac:dyDescent="0.2">
      <c r="A26" s="3">
        <v>20</v>
      </c>
      <c r="B26" s="4" t="s">
        <v>85</v>
      </c>
      <c r="C26" s="4" t="s">
        <v>86</v>
      </c>
      <c r="D26" s="4" t="s">
        <v>87</v>
      </c>
      <c r="E26" s="5">
        <v>8130</v>
      </c>
      <c r="F26" s="6">
        <v>223.30264500000001</v>
      </c>
      <c r="G26" s="7">
        <v>1.478815E-2</v>
      </c>
      <c r="H26" s="53"/>
    </row>
    <row r="27" spans="1:8" ht="17.100000000000001" customHeight="1" x14ac:dyDescent="0.2">
      <c r="A27" s="3">
        <v>21</v>
      </c>
      <c r="B27" s="4" t="s">
        <v>306</v>
      </c>
      <c r="C27" s="4" t="s">
        <v>307</v>
      </c>
      <c r="D27" s="4" t="s">
        <v>72</v>
      </c>
      <c r="E27" s="5">
        <v>17387</v>
      </c>
      <c r="F27" s="6">
        <v>217.19840400000001</v>
      </c>
      <c r="G27" s="7">
        <v>1.4383898000000001E-2</v>
      </c>
      <c r="H27" s="53"/>
    </row>
    <row r="28" spans="1:8" ht="17.100000000000001" customHeight="1" x14ac:dyDescent="0.2">
      <c r="A28" s="3">
        <v>22</v>
      </c>
      <c r="B28" s="4" t="s">
        <v>283</v>
      </c>
      <c r="C28" s="4" t="s">
        <v>284</v>
      </c>
      <c r="D28" s="4" t="s">
        <v>22</v>
      </c>
      <c r="E28" s="5">
        <v>92048</v>
      </c>
      <c r="F28" s="6">
        <v>216.450872</v>
      </c>
      <c r="G28" s="7">
        <v>1.4334393000000001E-2</v>
      </c>
      <c r="H28" s="53"/>
    </row>
    <row r="29" spans="1:8" ht="17.100000000000001" customHeight="1" x14ac:dyDescent="0.2">
      <c r="A29" s="3">
        <v>23</v>
      </c>
      <c r="B29" s="4" t="s">
        <v>217</v>
      </c>
      <c r="C29" s="4" t="s">
        <v>218</v>
      </c>
      <c r="D29" s="4" t="s">
        <v>219</v>
      </c>
      <c r="E29" s="5">
        <v>35316</v>
      </c>
      <c r="F29" s="6">
        <v>205.04469599999999</v>
      </c>
      <c r="G29" s="7">
        <v>1.3579022E-2</v>
      </c>
      <c r="H29" s="53"/>
    </row>
    <row r="30" spans="1:8" ht="17.100000000000001" customHeight="1" x14ac:dyDescent="0.2">
      <c r="A30" s="3">
        <v>24</v>
      </c>
      <c r="B30" s="4" t="s">
        <v>308</v>
      </c>
      <c r="C30" s="4" t="s">
        <v>309</v>
      </c>
      <c r="D30" s="4" t="s">
        <v>900</v>
      </c>
      <c r="E30" s="5">
        <v>18271</v>
      </c>
      <c r="F30" s="6">
        <v>189.890503</v>
      </c>
      <c r="G30" s="7">
        <v>1.2575441E-2</v>
      </c>
      <c r="H30" s="53"/>
    </row>
    <row r="31" spans="1:8" ht="17.100000000000001" customHeight="1" x14ac:dyDescent="0.2">
      <c r="A31" s="3">
        <v>25</v>
      </c>
      <c r="B31" s="4" t="s">
        <v>210</v>
      </c>
      <c r="C31" s="4" t="s">
        <v>211</v>
      </c>
      <c r="D31" s="4" t="s">
        <v>212</v>
      </c>
      <c r="E31" s="5">
        <v>443</v>
      </c>
      <c r="F31" s="6">
        <v>189.766581</v>
      </c>
      <c r="G31" s="7">
        <v>1.2567234E-2</v>
      </c>
      <c r="H31" s="53"/>
    </row>
    <row r="32" spans="1:8" ht="17.100000000000001" customHeight="1" x14ac:dyDescent="0.2">
      <c r="A32" s="3">
        <v>26</v>
      </c>
      <c r="B32" s="4" t="s">
        <v>188</v>
      </c>
      <c r="C32" s="4" t="s">
        <v>189</v>
      </c>
      <c r="D32" s="4" t="s">
        <v>190</v>
      </c>
      <c r="E32" s="5">
        <v>13636</v>
      </c>
      <c r="F32" s="6">
        <v>184.27008599999999</v>
      </c>
      <c r="G32" s="7">
        <v>1.2203230000000001E-2</v>
      </c>
      <c r="H32" s="53"/>
    </row>
    <row r="33" spans="1:8" ht="17.100000000000001" customHeight="1" x14ac:dyDescent="0.2">
      <c r="A33" s="3">
        <v>27</v>
      </c>
      <c r="B33" s="4" t="s">
        <v>103</v>
      </c>
      <c r="C33" s="4" t="s">
        <v>104</v>
      </c>
      <c r="D33" s="4" t="s">
        <v>105</v>
      </c>
      <c r="E33" s="5">
        <v>38023</v>
      </c>
      <c r="F33" s="6">
        <v>179.98187050000001</v>
      </c>
      <c r="G33" s="7">
        <v>1.1919244000000001E-2</v>
      </c>
      <c r="H33" s="53"/>
    </row>
    <row r="34" spans="1:8" ht="17.100000000000001" customHeight="1" x14ac:dyDescent="0.2">
      <c r="A34" s="3">
        <v>28</v>
      </c>
      <c r="B34" s="4" t="s">
        <v>310</v>
      </c>
      <c r="C34" s="4" t="s">
        <v>311</v>
      </c>
      <c r="D34" s="4" t="s">
        <v>305</v>
      </c>
      <c r="E34" s="5">
        <v>53592</v>
      </c>
      <c r="F34" s="6">
        <v>177.68427600000001</v>
      </c>
      <c r="G34" s="7">
        <v>1.1767087000000001E-2</v>
      </c>
      <c r="H34" s="53"/>
    </row>
    <row r="35" spans="1:8" ht="29.1" customHeight="1" x14ac:dyDescent="0.2">
      <c r="A35" s="3">
        <v>29</v>
      </c>
      <c r="B35" s="4" t="s">
        <v>225</v>
      </c>
      <c r="C35" s="4" t="s">
        <v>226</v>
      </c>
      <c r="D35" s="4" t="s">
        <v>227</v>
      </c>
      <c r="E35" s="5">
        <v>43242</v>
      </c>
      <c r="F35" s="6">
        <v>162.26560499999999</v>
      </c>
      <c r="G35" s="7">
        <v>1.074599E-2</v>
      </c>
      <c r="H35" s="53"/>
    </row>
    <row r="36" spans="1:8" ht="17.100000000000001" customHeight="1" x14ac:dyDescent="0.2">
      <c r="A36" s="3">
        <v>30</v>
      </c>
      <c r="B36" s="4" t="s">
        <v>312</v>
      </c>
      <c r="C36" s="4" t="s">
        <v>313</v>
      </c>
      <c r="D36" s="4" t="s">
        <v>224</v>
      </c>
      <c r="E36" s="5">
        <v>12015</v>
      </c>
      <c r="F36" s="6">
        <v>160.67659499999999</v>
      </c>
      <c r="G36" s="7">
        <v>1.0640759E-2</v>
      </c>
      <c r="H36" s="53"/>
    </row>
    <row r="37" spans="1:8" ht="29.1" customHeight="1" x14ac:dyDescent="0.2">
      <c r="A37" s="3">
        <v>31</v>
      </c>
      <c r="B37" s="4" t="s">
        <v>314</v>
      </c>
      <c r="C37" s="4" t="s">
        <v>315</v>
      </c>
      <c r="D37" s="4" t="s">
        <v>199</v>
      </c>
      <c r="E37" s="5">
        <v>34955</v>
      </c>
      <c r="F37" s="6">
        <v>160.6706575</v>
      </c>
      <c r="G37" s="7">
        <v>1.0640365000000001E-2</v>
      </c>
      <c r="H37" s="53"/>
    </row>
    <row r="38" spans="1:8" ht="17.100000000000001" customHeight="1" x14ac:dyDescent="0.2">
      <c r="A38" s="3">
        <v>32</v>
      </c>
      <c r="B38" s="4" t="s">
        <v>316</v>
      </c>
      <c r="C38" s="4" t="s">
        <v>317</v>
      </c>
      <c r="D38" s="4" t="s">
        <v>900</v>
      </c>
      <c r="E38" s="5">
        <v>39000</v>
      </c>
      <c r="F38" s="6">
        <v>153.17250000000001</v>
      </c>
      <c r="G38" s="7">
        <v>1.0143802E-2</v>
      </c>
      <c r="H38" s="53"/>
    </row>
    <row r="39" spans="1:8" ht="17.100000000000001" customHeight="1" x14ac:dyDescent="0.2">
      <c r="A39" s="3">
        <v>33</v>
      </c>
      <c r="B39" s="4" t="s">
        <v>114</v>
      </c>
      <c r="C39" s="4" t="s">
        <v>115</v>
      </c>
      <c r="D39" s="4" t="s">
        <v>116</v>
      </c>
      <c r="E39" s="5">
        <v>44599</v>
      </c>
      <c r="F39" s="6">
        <v>150.45472649999999</v>
      </c>
      <c r="G39" s="7">
        <v>9.9638179999999993E-3</v>
      </c>
      <c r="H39" s="53"/>
    </row>
    <row r="40" spans="1:8" ht="17.100000000000001" customHeight="1" x14ac:dyDescent="0.2">
      <c r="A40" s="3">
        <v>34</v>
      </c>
      <c r="B40" s="4" t="s">
        <v>183</v>
      </c>
      <c r="C40" s="4" t="s">
        <v>184</v>
      </c>
      <c r="D40" s="4" t="s">
        <v>119</v>
      </c>
      <c r="E40" s="5">
        <v>10614</v>
      </c>
      <c r="F40" s="6">
        <v>146.14416600000001</v>
      </c>
      <c r="G40" s="7">
        <v>9.6783530000000006E-3</v>
      </c>
      <c r="H40" s="53"/>
    </row>
    <row r="41" spans="1:8" ht="29.1" customHeight="1" x14ac:dyDescent="0.2">
      <c r="A41" s="3">
        <v>35</v>
      </c>
      <c r="B41" s="4" t="s">
        <v>202</v>
      </c>
      <c r="C41" s="4" t="s">
        <v>203</v>
      </c>
      <c r="D41" s="4" t="s">
        <v>204</v>
      </c>
      <c r="E41" s="5">
        <v>16000</v>
      </c>
      <c r="F41" s="6">
        <v>141.94399999999999</v>
      </c>
      <c r="G41" s="7">
        <v>9.4001980000000002E-3</v>
      </c>
      <c r="H41" s="53"/>
    </row>
    <row r="42" spans="1:8" ht="17.100000000000001" customHeight="1" x14ac:dyDescent="0.2">
      <c r="A42" s="3">
        <v>36</v>
      </c>
      <c r="B42" s="4" t="s">
        <v>318</v>
      </c>
      <c r="C42" s="4" t="s">
        <v>319</v>
      </c>
      <c r="D42" s="4" t="s">
        <v>320</v>
      </c>
      <c r="E42" s="5">
        <v>10757</v>
      </c>
      <c r="F42" s="6">
        <v>141.06191949999999</v>
      </c>
      <c r="G42" s="7">
        <v>9.3417829999999993E-3</v>
      </c>
      <c r="H42" s="53"/>
    </row>
    <row r="43" spans="1:8" ht="17.100000000000001" customHeight="1" x14ac:dyDescent="0.2">
      <c r="A43" s="3">
        <v>37</v>
      </c>
      <c r="B43" s="4" t="s">
        <v>38</v>
      </c>
      <c r="C43" s="4" t="s">
        <v>39</v>
      </c>
      <c r="D43" s="4" t="s">
        <v>40</v>
      </c>
      <c r="E43" s="5">
        <v>18275</v>
      </c>
      <c r="F43" s="6">
        <v>135.01570000000001</v>
      </c>
      <c r="G43" s="7">
        <v>8.9413740000000002E-3</v>
      </c>
      <c r="H43" s="53"/>
    </row>
    <row r="44" spans="1:8" ht="17.100000000000001" customHeight="1" x14ac:dyDescent="0.2">
      <c r="A44" s="3">
        <v>38</v>
      </c>
      <c r="B44" s="4" t="s">
        <v>321</v>
      </c>
      <c r="C44" s="4" t="s">
        <v>322</v>
      </c>
      <c r="D44" s="4" t="s">
        <v>320</v>
      </c>
      <c r="E44" s="5">
        <v>25439</v>
      </c>
      <c r="F44" s="6">
        <v>126.5208665</v>
      </c>
      <c r="G44" s="7">
        <v>8.3788060000000008E-3</v>
      </c>
      <c r="H44" s="53"/>
    </row>
    <row r="45" spans="1:8" ht="17.100000000000001" customHeight="1" x14ac:dyDescent="0.2">
      <c r="A45" s="3">
        <v>39</v>
      </c>
      <c r="B45" s="4" t="s">
        <v>101</v>
      </c>
      <c r="C45" s="4" t="s">
        <v>102</v>
      </c>
      <c r="D45" s="4" t="s">
        <v>22</v>
      </c>
      <c r="E45" s="5">
        <v>37123</v>
      </c>
      <c r="F45" s="6">
        <v>122.691515</v>
      </c>
      <c r="G45" s="7">
        <v>8.1252080000000001E-3</v>
      </c>
      <c r="H45" s="53"/>
    </row>
    <row r="46" spans="1:8" ht="17.100000000000001" customHeight="1" x14ac:dyDescent="0.2">
      <c r="A46" s="3">
        <v>40</v>
      </c>
      <c r="B46" s="4" t="s">
        <v>323</v>
      </c>
      <c r="C46" s="4" t="s">
        <v>324</v>
      </c>
      <c r="D46" s="4" t="s">
        <v>900</v>
      </c>
      <c r="E46" s="5">
        <v>11437</v>
      </c>
      <c r="F46" s="6">
        <v>116.24566799999999</v>
      </c>
      <c r="G46" s="7">
        <v>7.6983340000000003E-3</v>
      </c>
      <c r="H46" s="53"/>
    </row>
    <row r="47" spans="1:8" ht="17.100000000000001" customHeight="1" x14ac:dyDescent="0.2">
      <c r="A47" s="3">
        <v>41</v>
      </c>
      <c r="B47" s="4" t="s">
        <v>222</v>
      </c>
      <c r="C47" s="4" t="s">
        <v>223</v>
      </c>
      <c r="D47" s="4" t="s">
        <v>224</v>
      </c>
      <c r="E47" s="5">
        <v>20885</v>
      </c>
      <c r="F47" s="6">
        <v>106.7327925</v>
      </c>
      <c r="G47" s="7">
        <v>7.068347E-3</v>
      </c>
      <c r="H47" s="53"/>
    </row>
    <row r="48" spans="1:8" ht="17.100000000000001" customHeight="1" x14ac:dyDescent="0.2">
      <c r="A48" s="3">
        <v>42</v>
      </c>
      <c r="B48" s="4" t="s">
        <v>325</v>
      </c>
      <c r="C48" s="4" t="s">
        <v>326</v>
      </c>
      <c r="D48" s="4" t="s">
        <v>219</v>
      </c>
      <c r="E48" s="5">
        <v>77730</v>
      </c>
      <c r="F48" s="6">
        <v>87.562844999999996</v>
      </c>
      <c r="G48" s="7">
        <v>5.7988229999999998E-3</v>
      </c>
      <c r="H48" s="53"/>
    </row>
    <row r="49" spans="1:8" ht="17.100000000000001" customHeight="1" x14ac:dyDescent="0.2">
      <c r="A49" s="3">
        <v>43</v>
      </c>
      <c r="B49" s="4" t="s">
        <v>327</v>
      </c>
      <c r="C49" s="4" t="s">
        <v>328</v>
      </c>
      <c r="D49" s="4" t="s">
        <v>19</v>
      </c>
      <c r="E49" s="5">
        <v>7154</v>
      </c>
      <c r="F49" s="6">
        <v>87.285954000000004</v>
      </c>
      <c r="G49" s="7">
        <v>5.7804859999999996E-3</v>
      </c>
      <c r="H49" s="53"/>
    </row>
    <row r="50" spans="1:8" ht="17.100000000000001" customHeight="1" x14ac:dyDescent="0.2">
      <c r="A50" s="3">
        <v>44</v>
      </c>
      <c r="B50" s="4" t="s">
        <v>329</v>
      </c>
      <c r="C50" s="4" t="s">
        <v>330</v>
      </c>
      <c r="D50" s="4" t="s">
        <v>19</v>
      </c>
      <c r="E50" s="5">
        <v>4709</v>
      </c>
      <c r="F50" s="6">
        <v>86.045202500000002</v>
      </c>
      <c r="G50" s="7">
        <v>5.6983169999999996E-3</v>
      </c>
      <c r="H50" s="53"/>
    </row>
    <row r="51" spans="1:8" ht="17.100000000000001" customHeight="1" x14ac:dyDescent="0.2">
      <c r="A51" s="3">
        <v>45</v>
      </c>
      <c r="B51" s="4" t="s">
        <v>331</v>
      </c>
      <c r="C51" s="4" t="s">
        <v>332</v>
      </c>
      <c r="D51" s="4" t="s">
        <v>96</v>
      </c>
      <c r="E51" s="5">
        <v>111123</v>
      </c>
      <c r="F51" s="6">
        <v>83.342250000000007</v>
      </c>
      <c r="G51" s="7">
        <v>5.5193150000000003E-3</v>
      </c>
      <c r="H51" s="53"/>
    </row>
    <row r="52" spans="1:8" ht="17.100000000000001" customHeight="1" x14ac:dyDescent="0.2">
      <c r="A52" s="3">
        <v>46</v>
      </c>
      <c r="B52" s="4" t="s">
        <v>246</v>
      </c>
      <c r="C52" s="4" t="s">
        <v>247</v>
      </c>
      <c r="D52" s="4" t="s">
        <v>248</v>
      </c>
      <c r="E52" s="5">
        <v>10058</v>
      </c>
      <c r="F52" s="6">
        <v>68.142949999999999</v>
      </c>
      <c r="G52" s="7">
        <v>4.5127459999999998E-3</v>
      </c>
      <c r="H52" s="53"/>
    </row>
    <row r="53" spans="1:8" ht="29.1" customHeight="1" x14ac:dyDescent="0.2">
      <c r="A53" s="3">
        <v>47</v>
      </c>
      <c r="B53" s="4" t="s">
        <v>257</v>
      </c>
      <c r="C53" s="4" t="s">
        <v>258</v>
      </c>
      <c r="D53" s="4" t="s">
        <v>227</v>
      </c>
      <c r="E53" s="5">
        <v>4108</v>
      </c>
      <c r="F53" s="6">
        <v>64.764673999999999</v>
      </c>
      <c r="G53" s="7">
        <v>4.2890209999999996E-3</v>
      </c>
      <c r="H53" s="53"/>
    </row>
    <row r="54" spans="1:8" ht="17.100000000000001" customHeight="1" x14ac:dyDescent="0.2">
      <c r="A54" s="3">
        <v>48</v>
      </c>
      <c r="B54" s="4" t="s">
        <v>333</v>
      </c>
      <c r="C54" s="48" t="s">
        <v>958</v>
      </c>
      <c r="D54" s="4" t="s">
        <v>16</v>
      </c>
      <c r="E54" s="5">
        <v>3244</v>
      </c>
      <c r="F54" s="6">
        <v>14.065984</v>
      </c>
      <c r="G54" s="7">
        <v>9.3151599999999996E-4</v>
      </c>
      <c r="H54" s="53"/>
    </row>
    <row r="55" spans="1:8" ht="14.1" customHeight="1" x14ac:dyDescent="0.2">
      <c r="A55" s="1"/>
      <c r="B55" s="1"/>
      <c r="C55" s="2" t="s">
        <v>132</v>
      </c>
      <c r="D55" s="1"/>
      <c r="E55" s="1" t="s">
        <v>133</v>
      </c>
      <c r="F55" s="9">
        <v>13894.683890000004</v>
      </c>
      <c r="G55" s="10">
        <v>0.92017120199999958</v>
      </c>
      <c r="H55" s="53"/>
    </row>
    <row r="56" spans="1:8" ht="14.1" customHeight="1" x14ac:dyDescent="0.2">
      <c r="A56" s="1"/>
      <c r="B56" s="1"/>
      <c r="C56" s="11"/>
      <c r="D56" s="1"/>
      <c r="E56" s="1"/>
      <c r="F56" s="12"/>
      <c r="G56" s="12"/>
      <c r="H56" s="53"/>
    </row>
    <row r="57" spans="1:8" ht="14.1" customHeight="1" x14ac:dyDescent="0.2">
      <c r="A57" s="1"/>
      <c r="B57" s="1"/>
      <c r="C57" s="2" t="s">
        <v>134</v>
      </c>
      <c r="D57" s="1"/>
      <c r="E57" s="1"/>
      <c r="F57" s="1"/>
      <c r="G57" s="1"/>
      <c r="H57" s="53"/>
    </row>
    <row r="58" spans="1:8" ht="14.1" customHeight="1" x14ac:dyDescent="0.2">
      <c r="A58" s="1"/>
      <c r="B58" s="1"/>
      <c r="C58" s="2" t="s">
        <v>132</v>
      </c>
      <c r="D58" s="1"/>
      <c r="E58" s="1" t="s">
        <v>133</v>
      </c>
      <c r="F58" s="13">
        <v>0</v>
      </c>
      <c r="G58" s="14">
        <v>0</v>
      </c>
      <c r="H58" s="53"/>
    </row>
    <row r="59" spans="1:8" ht="14.1" customHeight="1" x14ac:dyDescent="0.2">
      <c r="A59" s="1"/>
      <c r="B59" s="1"/>
      <c r="C59" s="11"/>
      <c r="D59" s="1"/>
      <c r="E59" s="1"/>
      <c r="F59" s="12"/>
      <c r="G59" s="12"/>
      <c r="H59" s="53"/>
    </row>
    <row r="60" spans="1:8" ht="14.1" customHeight="1" x14ac:dyDescent="0.2">
      <c r="A60" s="1"/>
      <c r="B60" s="1"/>
      <c r="C60" s="2" t="s">
        <v>135</v>
      </c>
      <c r="D60" s="1"/>
      <c r="E60" s="1"/>
      <c r="F60" s="1"/>
      <c r="G60" s="1"/>
      <c r="H60" s="53"/>
    </row>
    <row r="61" spans="1:8" ht="14.1" customHeight="1" x14ac:dyDescent="0.2">
      <c r="A61" s="1"/>
      <c r="B61" s="1"/>
      <c r="C61" s="2" t="s">
        <v>132</v>
      </c>
      <c r="D61" s="1"/>
      <c r="E61" s="1" t="s">
        <v>133</v>
      </c>
      <c r="F61" s="13">
        <v>0</v>
      </c>
      <c r="G61" s="14">
        <v>0</v>
      </c>
      <c r="H61" s="53"/>
    </row>
    <row r="62" spans="1:8" ht="14.1" customHeight="1" x14ac:dyDescent="0.2">
      <c r="A62" s="1"/>
      <c r="B62" s="1"/>
      <c r="C62" s="11"/>
      <c r="D62" s="1"/>
      <c r="E62" s="1"/>
      <c r="F62" s="12"/>
      <c r="G62" s="12"/>
      <c r="H62" s="53"/>
    </row>
    <row r="63" spans="1:8" ht="14.1" customHeight="1" x14ac:dyDescent="0.2">
      <c r="A63" s="1"/>
      <c r="B63" s="1"/>
      <c r="C63" s="2" t="s">
        <v>136</v>
      </c>
      <c r="D63" s="1"/>
      <c r="E63" s="1"/>
      <c r="F63" s="1"/>
      <c r="G63" s="1"/>
      <c r="H63" s="53"/>
    </row>
    <row r="64" spans="1:8" ht="14.1" customHeight="1" x14ac:dyDescent="0.2">
      <c r="A64" s="1"/>
      <c r="B64" s="1"/>
      <c r="C64" s="2" t="s">
        <v>132</v>
      </c>
      <c r="D64" s="1"/>
      <c r="E64" s="1" t="s">
        <v>133</v>
      </c>
      <c r="F64" s="9">
        <v>0</v>
      </c>
      <c r="G64" s="10">
        <v>0</v>
      </c>
      <c r="H64" s="53"/>
    </row>
    <row r="65" spans="1:8" ht="14.1" customHeight="1" x14ac:dyDescent="0.2">
      <c r="A65" s="1"/>
      <c r="B65" s="1"/>
      <c r="C65" s="11"/>
      <c r="D65" s="1"/>
      <c r="E65" s="1"/>
      <c r="F65" s="12"/>
      <c r="G65" s="12"/>
      <c r="H65" s="53"/>
    </row>
    <row r="66" spans="1:8" ht="14.1" customHeight="1" x14ac:dyDescent="0.2">
      <c r="A66" s="1"/>
      <c r="B66" s="1"/>
      <c r="C66" s="2" t="s">
        <v>137</v>
      </c>
      <c r="D66" s="1"/>
      <c r="E66" s="1"/>
      <c r="F66" s="12"/>
      <c r="G66" s="12"/>
      <c r="H66" s="53"/>
    </row>
    <row r="67" spans="1:8" ht="14.1" customHeight="1" x14ac:dyDescent="0.2">
      <c r="A67" s="1"/>
      <c r="B67" s="1"/>
      <c r="C67" s="2" t="s">
        <v>132</v>
      </c>
      <c r="D67" s="1"/>
      <c r="E67" s="1" t="s">
        <v>133</v>
      </c>
      <c r="F67" s="13">
        <v>0</v>
      </c>
      <c r="G67" s="14">
        <v>0</v>
      </c>
      <c r="H67" s="53"/>
    </row>
    <row r="68" spans="1:8" ht="14.1" customHeight="1" x14ac:dyDescent="0.2">
      <c r="A68" s="1"/>
      <c r="B68" s="1"/>
      <c r="C68" s="11"/>
      <c r="D68" s="1"/>
      <c r="E68" s="1"/>
      <c r="F68" s="12"/>
      <c r="G68" s="12"/>
      <c r="H68" s="53"/>
    </row>
    <row r="69" spans="1:8" ht="14.1" customHeight="1" x14ac:dyDescent="0.2">
      <c r="A69" s="1"/>
      <c r="B69" s="1"/>
      <c r="C69" s="2" t="s">
        <v>138</v>
      </c>
      <c r="D69" s="1"/>
      <c r="E69" s="1"/>
      <c r="F69" s="12"/>
      <c r="G69" s="12"/>
      <c r="H69" s="53"/>
    </row>
    <row r="70" spans="1:8" ht="14.1" customHeight="1" x14ac:dyDescent="0.2">
      <c r="A70" s="1"/>
      <c r="B70" s="1"/>
      <c r="C70" s="2" t="s">
        <v>132</v>
      </c>
      <c r="D70" s="1"/>
      <c r="E70" s="1" t="s">
        <v>133</v>
      </c>
      <c r="F70" s="13">
        <v>0</v>
      </c>
      <c r="G70" s="14">
        <v>0</v>
      </c>
      <c r="H70" s="53"/>
    </row>
    <row r="71" spans="1:8" ht="14.1" customHeight="1" x14ac:dyDescent="0.2">
      <c r="A71" s="1"/>
      <c r="B71" s="1"/>
      <c r="C71" s="11"/>
      <c r="D71" s="1"/>
      <c r="E71" s="1"/>
      <c r="F71" s="12"/>
      <c r="G71" s="12"/>
      <c r="H71" s="53"/>
    </row>
    <row r="72" spans="1:8" ht="18" customHeight="1" x14ac:dyDescent="0.2">
      <c r="A72" s="1"/>
      <c r="B72" s="1"/>
      <c r="C72" s="2" t="s">
        <v>139</v>
      </c>
      <c r="D72" s="1"/>
      <c r="E72" s="1"/>
      <c r="F72" s="9">
        <v>13894.68389</v>
      </c>
      <c r="G72" s="10">
        <v>0.92017120200000002</v>
      </c>
      <c r="H72" s="53"/>
    </row>
    <row r="73" spans="1:8" ht="14.1" customHeight="1" x14ac:dyDescent="0.2">
      <c r="A73" s="1"/>
      <c r="B73" s="1"/>
      <c r="C73" s="11"/>
      <c r="D73" s="1"/>
      <c r="E73" s="1"/>
      <c r="F73" s="12"/>
      <c r="G73" s="12"/>
      <c r="H73" s="53"/>
    </row>
    <row r="74" spans="1:8" ht="14.1" customHeight="1" x14ac:dyDescent="0.2">
      <c r="A74" s="1"/>
      <c r="B74" s="1"/>
      <c r="C74" s="2" t="s">
        <v>140</v>
      </c>
      <c r="D74" s="1"/>
      <c r="E74" s="1"/>
      <c r="F74" s="12"/>
      <c r="G74" s="12"/>
      <c r="H74" s="53"/>
    </row>
    <row r="75" spans="1:8" ht="24" customHeight="1" x14ac:dyDescent="0.2">
      <c r="A75" s="1"/>
      <c r="B75" s="1"/>
      <c r="C75" s="2" t="s">
        <v>10</v>
      </c>
      <c r="D75" s="1"/>
      <c r="E75" s="1"/>
      <c r="F75" s="12"/>
      <c r="G75" s="12"/>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4.1" customHeight="1" x14ac:dyDescent="0.2">
      <c r="A78" s="1"/>
      <c r="B78" s="1"/>
      <c r="C78" s="2" t="s">
        <v>141</v>
      </c>
      <c r="D78" s="1"/>
      <c r="E78" s="1"/>
      <c r="F78" s="1"/>
      <c r="G78" s="1"/>
      <c r="H78" s="53"/>
    </row>
    <row r="79" spans="1:8" ht="14.1" customHeight="1" x14ac:dyDescent="0.2">
      <c r="A79" s="1"/>
      <c r="B79" s="1"/>
      <c r="C79" s="2" t="s">
        <v>132</v>
      </c>
      <c r="D79" s="1"/>
      <c r="E79" s="1" t="s">
        <v>133</v>
      </c>
      <c r="F79" s="13">
        <v>0</v>
      </c>
      <c r="G79" s="14">
        <v>0</v>
      </c>
      <c r="H79" s="53"/>
    </row>
    <row r="80" spans="1:8" ht="14.1" customHeight="1" x14ac:dyDescent="0.2">
      <c r="A80" s="1"/>
      <c r="B80" s="1"/>
      <c r="C80" s="11"/>
      <c r="D80" s="1"/>
      <c r="E80" s="1"/>
      <c r="F80" s="12"/>
      <c r="G80" s="12"/>
      <c r="H80" s="53"/>
    </row>
    <row r="81" spans="1:8" ht="14.1" customHeight="1" x14ac:dyDescent="0.2">
      <c r="A81" s="1"/>
      <c r="B81" s="1"/>
      <c r="C81" s="2" t="s">
        <v>142</v>
      </c>
      <c r="D81" s="1"/>
      <c r="E81" s="1"/>
      <c r="F81" s="1"/>
      <c r="G81" s="1"/>
      <c r="H81" s="53"/>
    </row>
    <row r="82" spans="1:8" ht="14.1" customHeight="1" x14ac:dyDescent="0.2">
      <c r="A82" s="1"/>
      <c r="B82" s="1"/>
      <c r="C82" s="2" t="s">
        <v>132</v>
      </c>
      <c r="D82" s="1"/>
      <c r="E82" s="1" t="s">
        <v>133</v>
      </c>
      <c r="F82" s="13">
        <v>0</v>
      </c>
      <c r="G82" s="14">
        <v>0</v>
      </c>
      <c r="H82" s="53"/>
    </row>
    <row r="83" spans="1:8" ht="14.1" customHeight="1" x14ac:dyDescent="0.2">
      <c r="A83" s="1"/>
      <c r="B83" s="1"/>
      <c r="C83" s="11"/>
      <c r="D83" s="1"/>
      <c r="E83" s="1"/>
      <c r="F83" s="12"/>
      <c r="G83" s="12"/>
      <c r="H83" s="53"/>
    </row>
    <row r="84" spans="1:8" ht="14.1" customHeight="1" x14ac:dyDescent="0.2">
      <c r="A84" s="1"/>
      <c r="B84" s="1"/>
      <c r="C84" s="2" t="s">
        <v>143</v>
      </c>
      <c r="D84" s="1"/>
      <c r="E84" s="1"/>
      <c r="F84" s="12"/>
      <c r="G84" s="12"/>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144</v>
      </c>
      <c r="D87" s="1"/>
      <c r="E87" s="1"/>
      <c r="F87" s="9">
        <v>0</v>
      </c>
      <c r="G87" s="10">
        <v>0</v>
      </c>
      <c r="H87" s="53"/>
    </row>
    <row r="88" spans="1:8" ht="14.1" customHeight="1" x14ac:dyDescent="0.2">
      <c r="A88" s="1"/>
      <c r="B88" s="1"/>
      <c r="C88" s="11"/>
      <c r="D88" s="1"/>
      <c r="E88" s="1"/>
      <c r="F88" s="12"/>
      <c r="G88" s="12"/>
      <c r="H88" s="53"/>
    </row>
    <row r="89" spans="1:8" ht="14.1" customHeight="1" x14ac:dyDescent="0.2">
      <c r="A89" s="1"/>
      <c r="B89" s="1"/>
      <c r="C89" s="2" t="s">
        <v>145</v>
      </c>
      <c r="D89" s="1"/>
      <c r="E89" s="1"/>
      <c r="F89" s="12"/>
      <c r="G89" s="12"/>
      <c r="H89" s="53"/>
    </row>
    <row r="90" spans="1:8" ht="14.1" customHeight="1" x14ac:dyDescent="0.2">
      <c r="A90" s="1"/>
      <c r="B90" s="1"/>
      <c r="C90" s="2" t="s">
        <v>146</v>
      </c>
      <c r="D90" s="1"/>
      <c r="E90" s="1"/>
      <c r="F90" s="12"/>
      <c r="G90" s="12"/>
      <c r="H90" s="53"/>
    </row>
    <row r="91" spans="1:8" ht="14.1" customHeight="1" x14ac:dyDescent="0.2">
      <c r="A91" s="1"/>
      <c r="B91" s="1"/>
      <c r="C91" s="2" t="s">
        <v>132</v>
      </c>
      <c r="D91" s="1"/>
      <c r="E91" s="1" t="s">
        <v>133</v>
      </c>
      <c r="F91" s="13">
        <v>0</v>
      </c>
      <c r="G91" s="14">
        <v>0</v>
      </c>
      <c r="H91" s="53"/>
    </row>
    <row r="92" spans="1:8" ht="14.1" customHeight="1" x14ac:dyDescent="0.2">
      <c r="A92" s="1"/>
      <c r="B92" s="1"/>
      <c r="C92" s="11"/>
      <c r="D92" s="1"/>
      <c r="E92" s="1"/>
      <c r="F92" s="12"/>
      <c r="G92" s="12"/>
      <c r="H92" s="53"/>
    </row>
    <row r="93" spans="1:8" ht="14.1" customHeight="1" x14ac:dyDescent="0.2">
      <c r="A93" s="1"/>
      <c r="B93" s="1"/>
      <c r="C93" s="2" t="s">
        <v>147</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148</v>
      </c>
      <c r="D96" s="1"/>
      <c r="E96" s="1"/>
      <c r="F96" s="12"/>
      <c r="G96" s="12"/>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149</v>
      </c>
      <c r="D99" s="1"/>
      <c r="E99" s="1"/>
      <c r="F99" s="12"/>
      <c r="G99" s="12"/>
      <c r="H99" s="53"/>
    </row>
    <row r="100" spans="1:8" ht="17.100000000000001" customHeight="1" x14ac:dyDescent="0.2">
      <c r="A100" s="3">
        <v>1</v>
      </c>
      <c r="B100" s="4"/>
      <c r="C100" s="4" t="s">
        <v>150</v>
      </c>
      <c r="D100" s="4"/>
      <c r="E100" s="8"/>
      <c r="F100" s="6">
        <v>1215.5128749999999</v>
      </c>
      <c r="G100" s="7">
        <v>8.0496969000000002E-2</v>
      </c>
      <c r="H100" s="53">
        <v>6.46</v>
      </c>
    </row>
    <row r="101" spans="1:8" ht="14.1" customHeight="1" x14ac:dyDescent="0.2">
      <c r="A101" s="1"/>
      <c r="B101" s="1"/>
      <c r="C101" s="2" t="s">
        <v>132</v>
      </c>
      <c r="D101" s="1"/>
      <c r="E101" s="1" t="s">
        <v>133</v>
      </c>
      <c r="F101" s="9">
        <v>1215.5128749999999</v>
      </c>
      <c r="G101" s="10">
        <v>8.0496969000000002E-2</v>
      </c>
      <c r="H101" s="53"/>
    </row>
    <row r="102" spans="1:8" ht="14.1" customHeight="1" x14ac:dyDescent="0.2">
      <c r="A102" s="1"/>
      <c r="B102" s="1"/>
      <c r="C102" s="11"/>
      <c r="D102" s="1"/>
      <c r="E102" s="1"/>
      <c r="F102" s="12"/>
      <c r="G102" s="12"/>
      <c r="H102" s="53"/>
    </row>
    <row r="103" spans="1:8" ht="14.1" customHeight="1" x14ac:dyDescent="0.2">
      <c r="A103" s="1"/>
      <c r="B103" s="1"/>
      <c r="C103" s="2" t="s">
        <v>151</v>
      </c>
      <c r="D103" s="1"/>
      <c r="E103" s="1"/>
      <c r="F103" s="9">
        <v>1215.5128749999999</v>
      </c>
      <c r="G103" s="10">
        <v>8.0496969000000002E-2</v>
      </c>
      <c r="H103" s="53"/>
    </row>
    <row r="104" spans="1:8" ht="14.1" customHeight="1" x14ac:dyDescent="0.2">
      <c r="A104" s="1"/>
      <c r="B104" s="1"/>
      <c r="C104" s="12"/>
      <c r="D104" s="1"/>
      <c r="E104" s="1"/>
      <c r="F104" s="1"/>
      <c r="G104" s="1"/>
      <c r="H104" s="53"/>
    </row>
    <row r="105" spans="1:8" ht="14.1" customHeight="1" x14ac:dyDescent="0.2">
      <c r="A105" s="1"/>
      <c r="B105" s="1"/>
      <c r="C105" s="2" t="s">
        <v>152</v>
      </c>
      <c r="D105" s="1"/>
      <c r="E105" s="1"/>
      <c r="F105" s="1"/>
      <c r="G105" s="1"/>
      <c r="H105" s="53"/>
    </row>
    <row r="106" spans="1:8" ht="14.1" customHeight="1" x14ac:dyDescent="0.2">
      <c r="A106" s="1"/>
      <c r="B106" s="1"/>
      <c r="C106" s="2" t="s">
        <v>153</v>
      </c>
      <c r="D106" s="1"/>
      <c r="E106" s="1"/>
      <c r="F106" s="1"/>
      <c r="G106" s="1"/>
      <c r="H106" s="53"/>
    </row>
    <row r="107" spans="1:8" ht="14.1" customHeight="1" x14ac:dyDescent="0.2">
      <c r="A107" s="1"/>
      <c r="B107" s="1"/>
      <c r="C107" s="2" t="s">
        <v>132</v>
      </c>
      <c r="D107" s="1"/>
      <c r="E107" s="1" t="s">
        <v>133</v>
      </c>
      <c r="F107" s="13">
        <v>0</v>
      </c>
      <c r="G107" s="14">
        <v>0</v>
      </c>
      <c r="H107" s="53"/>
    </row>
    <row r="108" spans="1:8" ht="14.1" customHeight="1" x14ac:dyDescent="0.2">
      <c r="A108" s="1"/>
      <c r="B108" s="1"/>
      <c r="C108" s="11"/>
      <c r="D108" s="1"/>
      <c r="E108" s="1"/>
      <c r="F108" s="12"/>
      <c r="G108" s="12"/>
      <c r="H108" s="53"/>
    </row>
    <row r="109" spans="1:8" ht="14.1" customHeight="1" x14ac:dyDescent="0.2">
      <c r="A109" s="1"/>
      <c r="B109" s="1"/>
      <c r="C109" s="2" t="s">
        <v>154</v>
      </c>
      <c r="D109" s="1"/>
      <c r="E109" s="1"/>
      <c r="F109" s="1"/>
      <c r="G109" s="1"/>
      <c r="H109" s="53"/>
    </row>
    <row r="110" spans="1:8" ht="14.1" customHeight="1" x14ac:dyDescent="0.2">
      <c r="A110" s="1"/>
      <c r="B110" s="1"/>
      <c r="C110" s="2" t="s">
        <v>155</v>
      </c>
      <c r="D110" s="1"/>
      <c r="E110" s="1"/>
      <c r="F110" s="1"/>
      <c r="G110" s="1"/>
      <c r="H110" s="53"/>
    </row>
    <row r="111" spans="1:8" ht="14.1" customHeight="1" x14ac:dyDescent="0.2">
      <c r="A111" s="1"/>
      <c r="B111" s="1"/>
      <c r="C111" s="2" t="s">
        <v>132</v>
      </c>
      <c r="D111" s="1"/>
      <c r="E111" s="1" t="s">
        <v>133</v>
      </c>
      <c r="F111" s="13">
        <v>0</v>
      </c>
      <c r="G111" s="14">
        <v>0</v>
      </c>
      <c r="H111" s="53"/>
    </row>
    <row r="112" spans="1:8" ht="14.1" customHeight="1" x14ac:dyDescent="0.2">
      <c r="A112" s="1"/>
      <c r="B112" s="1"/>
      <c r="C112" s="11"/>
      <c r="D112" s="1"/>
      <c r="E112" s="1"/>
      <c r="F112" s="12"/>
      <c r="G112" s="12"/>
      <c r="H112" s="53"/>
    </row>
    <row r="113" spans="1:8" ht="14.1" customHeight="1" x14ac:dyDescent="0.2">
      <c r="A113" s="1"/>
      <c r="B113" s="1"/>
      <c r="C113" s="11"/>
      <c r="D113" s="1"/>
      <c r="E113" s="1"/>
      <c r="F113" s="12"/>
      <c r="G113" s="12"/>
      <c r="H113" s="53"/>
    </row>
    <row r="114" spans="1:8" ht="24" customHeight="1" x14ac:dyDescent="0.2">
      <c r="A114" s="1"/>
      <c r="B114" s="1"/>
      <c r="C114" s="2" t="s">
        <v>156</v>
      </c>
      <c r="D114" s="1"/>
      <c r="E114" s="1"/>
      <c r="F114" s="12"/>
      <c r="G114" s="12"/>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4"/>
      <c r="C117" s="4"/>
      <c r="D117" s="2"/>
      <c r="E117" s="1"/>
      <c r="F117" s="4"/>
      <c r="G117" s="8"/>
      <c r="H117" s="53"/>
    </row>
    <row r="118" spans="1:8" ht="18" customHeight="1" x14ac:dyDescent="0.2">
      <c r="A118" s="8"/>
      <c r="B118" s="4"/>
      <c r="C118" s="4" t="s">
        <v>157</v>
      </c>
      <c r="D118" s="4"/>
      <c r="E118" s="8"/>
      <c r="F118" s="6">
        <v>-10.08948511</v>
      </c>
      <c r="G118" s="7">
        <v>-6.6817299999999999E-4</v>
      </c>
      <c r="H118" s="53"/>
    </row>
    <row r="119" spans="1:8" ht="14.1" customHeight="1" x14ac:dyDescent="0.2">
      <c r="A119" s="11"/>
      <c r="B119" s="11"/>
      <c r="C119" s="2" t="s">
        <v>158</v>
      </c>
      <c r="D119" s="15"/>
      <c r="E119" s="15"/>
      <c r="F119" s="9">
        <v>15100.10727989</v>
      </c>
      <c r="G119" s="10">
        <v>0.99999999799999995</v>
      </c>
      <c r="H119" s="53"/>
    </row>
    <row r="120" spans="1:8" ht="14.1" customHeight="1" x14ac:dyDescent="0.2">
      <c r="A120" s="16"/>
      <c r="B120" s="16"/>
      <c r="C120" s="16"/>
      <c r="D120" s="17"/>
      <c r="E120" s="17"/>
      <c r="F120" s="17"/>
      <c r="G120" s="17"/>
    </row>
    <row r="121" spans="1:8" ht="14.1" customHeight="1" x14ac:dyDescent="0.2">
      <c r="A121" s="18"/>
      <c r="B121" s="18"/>
      <c r="C121" s="18"/>
      <c r="D121" s="20"/>
      <c r="E121" s="20"/>
      <c r="F121" s="20"/>
      <c r="G121" s="20"/>
    </row>
    <row r="122" spans="1:8" ht="14.1" customHeight="1" x14ac:dyDescent="0.2">
      <c r="A122" s="18"/>
      <c r="B122" s="293" t="s">
        <v>160</v>
      </c>
      <c r="C122" s="294"/>
      <c r="D122" s="12" t="s">
        <v>133</v>
      </c>
      <c r="E122" s="21"/>
      <c r="F122" s="20"/>
      <c r="G122" s="20"/>
    </row>
    <row r="123" spans="1:8" ht="29.1" customHeight="1" x14ac:dyDescent="0.2">
      <c r="A123" s="18"/>
      <c r="B123" s="290" t="s">
        <v>161</v>
      </c>
      <c r="C123" s="291"/>
      <c r="D123" s="2" t="s">
        <v>162</v>
      </c>
      <c r="E123" s="21"/>
      <c r="F123" s="20"/>
      <c r="G123" s="20"/>
    </row>
    <row r="124" spans="1:8" ht="17.100000000000001" customHeight="1" x14ac:dyDescent="0.2">
      <c r="A124" s="18"/>
      <c r="B124" s="290" t="s">
        <v>163</v>
      </c>
      <c r="C124" s="291"/>
      <c r="D124" s="2" t="s">
        <v>162</v>
      </c>
      <c r="E124" s="21"/>
      <c r="F124" s="20"/>
      <c r="G124" s="20"/>
    </row>
    <row r="125" spans="1:8" ht="17.100000000000001" customHeight="1" x14ac:dyDescent="0.2">
      <c r="A125" s="18"/>
      <c r="B125" s="290" t="s">
        <v>164</v>
      </c>
      <c r="C125" s="291"/>
      <c r="D125" s="12" t="s">
        <v>133</v>
      </c>
      <c r="E125" s="21"/>
      <c r="F125" s="20"/>
      <c r="G125" s="20"/>
    </row>
    <row r="126" spans="1:8" ht="24" customHeight="1" x14ac:dyDescent="0.2">
      <c r="A126" s="22"/>
      <c r="B126" s="23" t="s">
        <v>133</v>
      </c>
      <c r="C126" s="23" t="s">
        <v>165</v>
      </c>
      <c r="D126" s="23" t="s">
        <v>166</v>
      </c>
      <c r="E126" s="22"/>
      <c r="F126" s="22"/>
      <c r="G126" s="22"/>
    </row>
    <row r="127" spans="1:8" ht="18" customHeight="1" x14ac:dyDescent="0.2">
      <c r="A127" s="22"/>
      <c r="B127" s="23" t="s">
        <v>167</v>
      </c>
      <c r="C127" s="23" t="s">
        <v>168</v>
      </c>
      <c r="D127" s="23" t="s">
        <v>169</v>
      </c>
      <c r="E127" s="22"/>
      <c r="F127" s="22"/>
      <c r="G127" s="22"/>
    </row>
    <row r="128" spans="1:8" ht="17.100000000000001" customHeight="1" x14ac:dyDescent="0.2">
      <c r="A128" s="22"/>
      <c r="B128" s="4" t="s">
        <v>170</v>
      </c>
      <c r="C128" s="24">
        <v>18.860299999999999</v>
      </c>
      <c r="D128" s="24">
        <v>18.269500000000001</v>
      </c>
      <c r="E128" s="22"/>
      <c r="F128" s="19"/>
      <c r="G128" s="25"/>
    </row>
    <row r="129" spans="1:15" ht="17.100000000000001" customHeight="1" x14ac:dyDescent="0.2">
      <c r="A129" s="22"/>
      <c r="B129" s="4" t="s">
        <v>1042</v>
      </c>
      <c r="C129" s="24">
        <v>17.9389</v>
      </c>
      <c r="D129" s="24">
        <v>17.376999999999999</v>
      </c>
      <c r="E129" s="22"/>
      <c r="F129" s="19"/>
      <c r="G129" s="25"/>
    </row>
    <row r="130" spans="1:15" ht="17.100000000000001" customHeight="1" x14ac:dyDescent="0.2">
      <c r="A130" s="22"/>
      <c r="B130" s="4" t="s">
        <v>171</v>
      </c>
      <c r="C130" s="24">
        <v>18.385400000000001</v>
      </c>
      <c r="D130" s="24">
        <v>17.800899999999999</v>
      </c>
      <c r="E130" s="22"/>
      <c r="F130" s="19"/>
      <c r="G130" s="25"/>
    </row>
    <row r="131" spans="1:15" ht="17.100000000000001" customHeight="1" x14ac:dyDescent="0.2">
      <c r="A131" s="22"/>
      <c r="B131" s="4" t="s">
        <v>1043</v>
      </c>
      <c r="C131" s="24">
        <v>17.687899999999999</v>
      </c>
      <c r="D131" s="24">
        <v>17.125599999999999</v>
      </c>
      <c r="E131" s="22"/>
      <c r="F131" s="19"/>
      <c r="G131" s="25"/>
    </row>
    <row r="132" spans="1:15" ht="14.1" customHeight="1" x14ac:dyDescent="0.2">
      <c r="A132" s="22"/>
      <c r="B132" s="22"/>
      <c r="C132" s="22"/>
      <c r="D132" s="22"/>
      <c r="E132" s="22"/>
      <c r="F132" s="22"/>
      <c r="G132" s="22"/>
    </row>
    <row r="133" spans="1:15" ht="17.100000000000001" customHeight="1" x14ac:dyDescent="0.2">
      <c r="A133" s="22"/>
      <c r="B133" s="290" t="s">
        <v>1044</v>
      </c>
      <c r="C133" s="291"/>
      <c r="D133" s="2" t="s">
        <v>162</v>
      </c>
      <c r="E133" s="22"/>
      <c r="F133" s="22"/>
      <c r="G133" s="22"/>
    </row>
    <row r="134" spans="1:15" ht="18" customHeight="1" x14ac:dyDescent="0.2">
      <c r="A134" s="22"/>
      <c r="B134" s="26"/>
      <c r="C134" s="26"/>
      <c r="D134" s="27"/>
      <c r="E134" s="22"/>
      <c r="F134" s="22"/>
      <c r="G134" s="22"/>
    </row>
    <row r="135" spans="1:15" ht="29.1" customHeight="1" x14ac:dyDescent="0.2">
      <c r="A135" s="22"/>
      <c r="B135" s="290" t="s">
        <v>172</v>
      </c>
      <c r="C135" s="291"/>
      <c r="D135" s="2" t="s">
        <v>162</v>
      </c>
      <c r="E135" s="22"/>
      <c r="F135" s="22"/>
      <c r="G135" s="22"/>
    </row>
    <row r="136" spans="1:15" ht="29.1" customHeight="1" x14ac:dyDescent="0.2">
      <c r="A136" s="22"/>
      <c r="B136" s="290" t="s">
        <v>173</v>
      </c>
      <c r="C136" s="291"/>
      <c r="D136" s="2" t="s">
        <v>162</v>
      </c>
      <c r="E136" s="22"/>
      <c r="F136" s="22"/>
      <c r="G136" s="22"/>
    </row>
    <row r="137" spans="1:15" ht="17.100000000000001" customHeight="1" x14ac:dyDescent="0.2">
      <c r="A137" s="22"/>
      <c r="B137" s="290" t="s">
        <v>174</v>
      </c>
      <c r="C137" s="291"/>
      <c r="D137" s="28">
        <v>0.16033743441641277</v>
      </c>
      <c r="E137" s="22"/>
      <c r="F137" s="19"/>
      <c r="G137" s="25"/>
    </row>
    <row r="138" spans="1:15" ht="17.100000000000001" customHeight="1" x14ac:dyDescent="0.2">
      <c r="A138" s="22"/>
      <c r="B138" s="290" t="s">
        <v>175</v>
      </c>
      <c r="C138" s="291"/>
      <c r="D138" s="2" t="s">
        <v>162</v>
      </c>
      <c r="E138" s="22"/>
      <c r="F138" s="22"/>
      <c r="G138" s="22"/>
    </row>
    <row r="140" spans="1:15" x14ac:dyDescent="0.2">
      <c r="J140" s="189"/>
      <c r="K140" s="189"/>
      <c r="L140" s="189"/>
      <c r="M140" s="189"/>
      <c r="N140" s="189"/>
      <c r="O140" s="189"/>
    </row>
  </sheetData>
  <mergeCells count="13">
    <mergeCell ref="A1:H1"/>
    <mergeCell ref="A2:H2"/>
    <mergeCell ref="A3:H3"/>
    <mergeCell ref="J2:N2"/>
    <mergeCell ref="B138:C138"/>
    <mergeCell ref="B123:C123"/>
    <mergeCell ref="B124:C124"/>
    <mergeCell ref="B125:C125"/>
    <mergeCell ref="B133:C133"/>
    <mergeCell ref="B135:C135"/>
    <mergeCell ref="B136:C136"/>
    <mergeCell ref="B122:C122"/>
    <mergeCell ref="B137:C137"/>
  </mergeCells>
  <hyperlinks>
    <hyperlink ref="I1" location="Index!B4" display="Index" xr:uid="{0D262D5D-DCDF-4321-81B3-07CEFD6491A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4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334</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80632</v>
      </c>
      <c r="F7" s="6">
        <v>718.31017199999997</v>
      </c>
      <c r="G7" s="7">
        <v>8.0881092000000002E-2</v>
      </c>
      <c r="H7" s="53"/>
    </row>
    <row r="8" spans="1:14" ht="17.100000000000001" customHeight="1" x14ac:dyDescent="0.2">
      <c r="A8" s="3">
        <v>2</v>
      </c>
      <c r="B8" s="4" t="s">
        <v>20</v>
      </c>
      <c r="C8" s="4" t="s">
        <v>21</v>
      </c>
      <c r="D8" s="4" t="s">
        <v>22</v>
      </c>
      <c r="E8" s="5">
        <v>26043</v>
      </c>
      <c r="F8" s="6">
        <v>663.36729600000001</v>
      </c>
      <c r="G8" s="7">
        <v>7.4694573E-2</v>
      </c>
      <c r="H8" s="53"/>
    </row>
    <row r="9" spans="1:14" ht="17.100000000000001" customHeight="1" x14ac:dyDescent="0.2">
      <c r="A9" s="3">
        <v>3</v>
      </c>
      <c r="B9" s="4" t="s">
        <v>291</v>
      </c>
      <c r="C9" s="4" t="s">
        <v>292</v>
      </c>
      <c r="D9" s="4" t="s">
        <v>900</v>
      </c>
      <c r="E9" s="5">
        <v>31453</v>
      </c>
      <c r="F9" s="6">
        <v>474.374146</v>
      </c>
      <c r="G9" s="7">
        <v>5.3414111E-2</v>
      </c>
      <c r="H9" s="53"/>
    </row>
    <row r="10" spans="1:14" ht="17.100000000000001" customHeight="1" x14ac:dyDescent="0.2">
      <c r="A10" s="3">
        <v>4</v>
      </c>
      <c r="B10" s="4" t="s">
        <v>29</v>
      </c>
      <c r="C10" s="4" t="s">
        <v>30</v>
      </c>
      <c r="D10" s="4" t="s">
        <v>19</v>
      </c>
      <c r="E10" s="5">
        <v>73332</v>
      </c>
      <c r="F10" s="6">
        <v>450.03848399999998</v>
      </c>
      <c r="G10" s="7">
        <v>5.0673937000000002E-2</v>
      </c>
      <c r="H10" s="53"/>
    </row>
    <row r="11" spans="1:14" ht="29.1" customHeight="1" x14ac:dyDescent="0.2">
      <c r="A11" s="3">
        <v>5</v>
      </c>
      <c r="B11" s="4" t="s">
        <v>293</v>
      </c>
      <c r="C11" s="4" t="s">
        <v>294</v>
      </c>
      <c r="D11" s="4" t="s">
        <v>119</v>
      </c>
      <c r="E11" s="5">
        <v>16489</v>
      </c>
      <c r="F11" s="6">
        <v>434.91386399999999</v>
      </c>
      <c r="G11" s="7">
        <v>4.8970918000000002E-2</v>
      </c>
      <c r="H11" s="53"/>
    </row>
    <row r="12" spans="1:14" ht="17.100000000000001" customHeight="1" x14ac:dyDescent="0.2">
      <c r="A12" s="3">
        <v>6</v>
      </c>
      <c r="B12" s="4" t="s">
        <v>266</v>
      </c>
      <c r="C12" s="4" t="s">
        <v>267</v>
      </c>
      <c r="D12" s="4" t="s">
        <v>19</v>
      </c>
      <c r="E12" s="5">
        <v>26088</v>
      </c>
      <c r="F12" s="6">
        <v>424.75177200000002</v>
      </c>
      <c r="G12" s="7">
        <v>4.7826674999999999E-2</v>
      </c>
      <c r="H12" s="53"/>
    </row>
    <row r="13" spans="1:14" ht="17.100000000000001" customHeight="1" x14ac:dyDescent="0.2">
      <c r="A13" s="3">
        <v>7</v>
      </c>
      <c r="B13" s="4" t="s">
        <v>181</v>
      </c>
      <c r="C13" s="4" t="s">
        <v>182</v>
      </c>
      <c r="D13" s="4" t="s">
        <v>19</v>
      </c>
      <c r="E13" s="5">
        <v>38735</v>
      </c>
      <c r="F13" s="6">
        <v>361.6880625</v>
      </c>
      <c r="G13" s="7">
        <v>4.0725757000000001E-2</v>
      </c>
      <c r="H13" s="53"/>
      <c r="J13" s="188" t="s">
        <v>1077</v>
      </c>
    </row>
    <row r="14" spans="1:14" ht="17.100000000000001" customHeight="1" x14ac:dyDescent="0.2">
      <c r="A14" s="3">
        <v>8</v>
      </c>
      <c r="B14" s="4" t="s">
        <v>11</v>
      </c>
      <c r="C14" s="4" t="s">
        <v>12</v>
      </c>
      <c r="D14" s="4" t="s">
        <v>13</v>
      </c>
      <c r="E14" s="5">
        <v>13567</v>
      </c>
      <c r="F14" s="6">
        <v>282.98048599999998</v>
      </c>
      <c r="G14" s="7">
        <v>3.1863352999999997E-2</v>
      </c>
      <c r="H14" s="53"/>
    </row>
    <row r="15" spans="1:14" ht="29.1" customHeight="1" x14ac:dyDescent="0.2">
      <c r="A15" s="3">
        <v>9</v>
      </c>
      <c r="B15" s="4" t="s">
        <v>191</v>
      </c>
      <c r="C15" s="4" t="s">
        <v>192</v>
      </c>
      <c r="D15" s="4" t="s">
        <v>116</v>
      </c>
      <c r="E15" s="5">
        <v>70938</v>
      </c>
      <c r="F15" s="6">
        <v>238.67090099999999</v>
      </c>
      <c r="G15" s="7">
        <v>2.6874133000000001E-2</v>
      </c>
      <c r="H15" s="53"/>
    </row>
    <row r="16" spans="1:14" ht="17.100000000000001" customHeight="1" x14ac:dyDescent="0.2">
      <c r="A16" s="3">
        <v>10</v>
      </c>
      <c r="B16" s="4" t="s">
        <v>14</v>
      </c>
      <c r="C16" s="4" t="s">
        <v>15</v>
      </c>
      <c r="D16" s="4" t="s">
        <v>16</v>
      </c>
      <c r="E16" s="5">
        <v>26720</v>
      </c>
      <c r="F16" s="6">
        <v>215.38991999999999</v>
      </c>
      <c r="G16" s="7">
        <v>2.4252715000000001E-2</v>
      </c>
      <c r="H16" s="53"/>
    </row>
    <row r="17" spans="1:8" ht="29.1" customHeight="1" x14ac:dyDescent="0.2">
      <c r="A17" s="3">
        <v>11</v>
      </c>
      <c r="B17" s="4" t="s">
        <v>197</v>
      </c>
      <c r="C17" s="4" t="s">
        <v>198</v>
      </c>
      <c r="D17" s="4" t="s">
        <v>199</v>
      </c>
      <c r="E17" s="5">
        <v>4933</v>
      </c>
      <c r="F17" s="6">
        <v>200.73610249999999</v>
      </c>
      <c r="G17" s="7">
        <v>2.2602707999999999E-2</v>
      </c>
      <c r="H17" s="53"/>
    </row>
    <row r="18" spans="1:8" ht="17.100000000000001" customHeight="1" x14ac:dyDescent="0.2">
      <c r="A18" s="3">
        <v>12</v>
      </c>
      <c r="B18" s="4" t="s">
        <v>295</v>
      </c>
      <c r="C18" s="4" t="s">
        <v>296</v>
      </c>
      <c r="D18" s="4" t="s">
        <v>248</v>
      </c>
      <c r="E18" s="5">
        <v>14560</v>
      </c>
      <c r="F18" s="6">
        <v>179.27727999999999</v>
      </c>
      <c r="G18" s="7">
        <v>2.0186464000000001E-2</v>
      </c>
      <c r="H18" s="53"/>
    </row>
    <row r="19" spans="1:8" ht="17.100000000000001" customHeight="1" x14ac:dyDescent="0.2">
      <c r="A19" s="3">
        <v>13</v>
      </c>
      <c r="B19" s="4" t="s">
        <v>179</v>
      </c>
      <c r="C19" s="4" t="s">
        <v>180</v>
      </c>
      <c r="D19" s="4" t="s">
        <v>19</v>
      </c>
      <c r="E19" s="5">
        <v>96000</v>
      </c>
      <c r="F19" s="6">
        <v>178.27199999999999</v>
      </c>
      <c r="G19" s="7">
        <v>2.0073270000000001E-2</v>
      </c>
      <c r="H19" s="53"/>
    </row>
    <row r="20" spans="1:8" ht="17.100000000000001" customHeight="1" x14ac:dyDescent="0.2">
      <c r="A20" s="3">
        <v>14</v>
      </c>
      <c r="B20" s="4" t="s">
        <v>297</v>
      </c>
      <c r="C20" s="4" t="s">
        <v>298</v>
      </c>
      <c r="D20" s="4" t="s">
        <v>900</v>
      </c>
      <c r="E20" s="5">
        <v>5191</v>
      </c>
      <c r="F20" s="6">
        <v>169.055297</v>
      </c>
      <c r="G20" s="7">
        <v>1.9035476999999999E-2</v>
      </c>
      <c r="H20" s="53"/>
    </row>
    <row r="21" spans="1:8" ht="29.1" customHeight="1" x14ac:dyDescent="0.2">
      <c r="A21" s="3">
        <v>15</v>
      </c>
      <c r="B21" s="4" t="s">
        <v>299</v>
      </c>
      <c r="C21" s="4" t="s">
        <v>300</v>
      </c>
      <c r="D21" s="4" t="s">
        <v>227</v>
      </c>
      <c r="E21" s="5">
        <v>16801</v>
      </c>
      <c r="F21" s="6">
        <v>168.245214</v>
      </c>
      <c r="G21" s="7">
        <v>1.8944262999999999E-2</v>
      </c>
      <c r="H21" s="53"/>
    </row>
    <row r="22" spans="1:8" ht="17.100000000000001" customHeight="1" x14ac:dyDescent="0.2">
      <c r="A22" s="3">
        <v>16</v>
      </c>
      <c r="B22" s="4" t="s">
        <v>301</v>
      </c>
      <c r="C22" s="4" t="s">
        <v>302</v>
      </c>
      <c r="D22" s="4" t="s">
        <v>234</v>
      </c>
      <c r="E22" s="5">
        <v>32901</v>
      </c>
      <c r="F22" s="6">
        <v>164.37339600000001</v>
      </c>
      <c r="G22" s="7">
        <v>1.8508299999999998E-2</v>
      </c>
      <c r="H22" s="53"/>
    </row>
    <row r="23" spans="1:8" ht="17.100000000000001" customHeight="1" x14ac:dyDescent="0.2">
      <c r="A23" s="3">
        <v>17</v>
      </c>
      <c r="B23" s="4" t="s">
        <v>36</v>
      </c>
      <c r="C23" s="4" t="s">
        <v>37</v>
      </c>
      <c r="D23" s="4" t="s">
        <v>33</v>
      </c>
      <c r="E23" s="5">
        <v>8928</v>
      </c>
      <c r="F23" s="6">
        <v>159.244272</v>
      </c>
      <c r="G23" s="7">
        <v>1.7930765000000001E-2</v>
      </c>
      <c r="H23" s="53"/>
    </row>
    <row r="24" spans="1:8" ht="29.1" customHeight="1" x14ac:dyDescent="0.2">
      <c r="A24" s="3">
        <v>18</v>
      </c>
      <c r="B24" s="4" t="s">
        <v>23</v>
      </c>
      <c r="C24" s="4" t="s">
        <v>24</v>
      </c>
      <c r="D24" s="4" t="s">
        <v>25</v>
      </c>
      <c r="E24" s="5">
        <v>2097</v>
      </c>
      <c r="F24" s="6">
        <v>145.93127849999999</v>
      </c>
      <c r="G24" s="7">
        <v>1.6431733E-2</v>
      </c>
      <c r="H24" s="53"/>
    </row>
    <row r="25" spans="1:8" ht="17.100000000000001" customHeight="1" x14ac:dyDescent="0.2">
      <c r="A25" s="3">
        <v>19</v>
      </c>
      <c r="B25" s="4" t="s">
        <v>303</v>
      </c>
      <c r="C25" s="4" t="s">
        <v>304</v>
      </c>
      <c r="D25" s="4" t="s">
        <v>305</v>
      </c>
      <c r="E25" s="5">
        <v>5513</v>
      </c>
      <c r="F25" s="6">
        <v>141.1906865</v>
      </c>
      <c r="G25" s="7">
        <v>1.5897946999999999E-2</v>
      </c>
      <c r="H25" s="53"/>
    </row>
    <row r="26" spans="1:8" ht="17.100000000000001" customHeight="1" x14ac:dyDescent="0.2">
      <c r="A26" s="3">
        <v>20</v>
      </c>
      <c r="B26" s="4" t="s">
        <v>85</v>
      </c>
      <c r="C26" s="4" t="s">
        <v>86</v>
      </c>
      <c r="D26" s="4" t="s">
        <v>87</v>
      </c>
      <c r="E26" s="5">
        <v>4780</v>
      </c>
      <c r="F26" s="6">
        <v>131.28987000000001</v>
      </c>
      <c r="G26" s="7">
        <v>1.4783124E-2</v>
      </c>
      <c r="H26" s="53"/>
    </row>
    <row r="27" spans="1:8" ht="17.100000000000001" customHeight="1" x14ac:dyDescent="0.2">
      <c r="A27" s="3">
        <v>21</v>
      </c>
      <c r="B27" s="4" t="s">
        <v>283</v>
      </c>
      <c r="C27" s="4" t="s">
        <v>284</v>
      </c>
      <c r="D27" s="4" t="s">
        <v>22</v>
      </c>
      <c r="E27" s="5">
        <v>54676</v>
      </c>
      <c r="F27" s="6">
        <v>128.57061400000001</v>
      </c>
      <c r="G27" s="7">
        <v>1.4476938E-2</v>
      </c>
      <c r="H27" s="53"/>
    </row>
    <row r="28" spans="1:8" ht="17.100000000000001" customHeight="1" x14ac:dyDescent="0.2">
      <c r="A28" s="3">
        <v>22</v>
      </c>
      <c r="B28" s="4" t="s">
        <v>306</v>
      </c>
      <c r="C28" s="4" t="s">
        <v>307</v>
      </c>
      <c r="D28" s="4" t="s">
        <v>72</v>
      </c>
      <c r="E28" s="5">
        <v>10176</v>
      </c>
      <c r="F28" s="6">
        <v>127.11859200000001</v>
      </c>
      <c r="G28" s="7">
        <v>1.4313441E-2</v>
      </c>
      <c r="H28" s="53"/>
    </row>
    <row r="29" spans="1:8" ht="17.100000000000001" customHeight="1" x14ac:dyDescent="0.2">
      <c r="A29" s="3">
        <v>23</v>
      </c>
      <c r="B29" s="4" t="s">
        <v>217</v>
      </c>
      <c r="C29" s="4" t="s">
        <v>218</v>
      </c>
      <c r="D29" s="4" t="s">
        <v>219</v>
      </c>
      <c r="E29" s="5">
        <v>20478</v>
      </c>
      <c r="F29" s="6">
        <v>118.895268</v>
      </c>
      <c r="G29" s="7">
        <v>1.3387502000000001E-2</v>
      </c>
      <c r="H29" s="53"/>
    </row>
    <row r="30" spans="1:8" ht="17.100000000000001" customHeight="1" x14ac:dyDescent="0.2">
      <c r="A30" s="3">
        <v>24</v>
      </c>
      <c r="B30" s="4" t="s">
        <v>308</v>
      </c>
      <c r="C30" s="4" t="s">
        <v>309</v>
      </c>
      <c r="D30" s="4" t="s">
        <v>900</v>
      </c>
      <c r="E30" s="5">
        <v>10771</v>
      </c>
      <c r="F30" s="6">
        <v>111.943003</v>
      </c>
      <c r="G30" s="7">
        <v>1.2604683E-2</v>
      </c>
      <c r="H30" s="53"/>
    </row>
    <row r="31" spans="1:8" ht="17.100000000000001" customHeight="1" x14ac:dyDescent="0.2">
      <c r="A31" s="3">
        <v>25</v>
      </c>
      <c r="B31" s="4" t="s">
        <v>210</v>
      </c>
      <c r="C31" s="4" t="s">
        <v>211</v>
      </c>
      <c r="D31" s="4" t="s">
        <v>212</v>
      </c>
      <c r="E31" s="5">
        <v>260</v>
      </c>
      <c r="F31" s="6">
        <v>111.37542000000001</v>
      </c>
      <c r="G31" s="7">
        <v>1.2540773999999999E-2</v>
      </c>
      <c r="H31" s="53"/>
    </row>
    <row r="32" spans="1:8" ht="17.100000000000001" customHeight="1" x14ac:dyDescent="0.2">
      <c r="A32" s="3">
        <v>26</v>
      </c>
      <c r="B32" s="4" t="s">
        <v>188</v>
      </c>
      <c r="C32" s="4" t="s">
        <v>189</v>
      </c>
      <c r="D32" s="4" t="s">
        <v>190</v>
      </c>
      <c r="E32" s="5">
        <v>8029</v>
      </c>
      <c r="F32" s="6">
        <v>108.4998915</v>
      </c>
      <c r="G32" s="7">
        <v>1.2216991999999999E-2</v>
      </c>
      <c r="H32" s="53"/>
    </row>
    <row r="33" spans="1:8" ht="17.100000000000001" customHeight="1" x14ac:dyDescent="0.2">
      <c r="A33" s="3">
        <v>27</v>
      </c>
      <c r="B33" s="4" t="s">
        <v>103</v>
      </c>
      <c r="C33" s="4" t="s">
        <v>104</v>
      </c>
      <c r="D33" s="4" t="s">
        <v>105</v>
      </c>
      <c r="E33" s="5">
        <v>22685</v>
      </c>
      <c r="F33" s="6">
        <v>107.3794475</v>
      </c>
      <c r="G33" s="7">
        <v>1.2090831E-2</v>
      </c>
      <c r="H33" s="53"/>
    </row>
    <row r="34" spans="1:8" ht="17.100000000000001" customHeight="1" x14ac:dyDescent="0.2">
      <c r="A34" s="3">
        <v>28</v>
      </c>
      <c r="B34" s="4" t="s">
        <v>310</v>
      </c>
      <c r="C34" s="4" t="s">
        <v>311</v>
      </c>
      <c r="D34" s="4" t="s">
        <v>305</v>
      </c>
      <c r="E34" s="5">
        <v>31300</v>
      </c>
      <c r="F34" s="6">
        <v>103.77515</v>
      </c>
      <c r="G34" s="7">
        <v>1.1684989999999999E-2</v>
      </c>
      <c r="H34" s="53"/>
    </row>
    <row r="35" spans="1:8" ht="29.1" customHeight="1" x14ac:dyDescent="0.2">
      <c r="A35" s="3">
        <v>29</v>
      </c>
      <c r="B35" s="4" t="s">
        <v>225</v>
      </c>
      <c r="C35" s="4" t="s">
        <v>226</v>
      </c>
      <c r="D35" s="4" t="s">
        <v>227</v>
      </c>
      <c r="E35" s="5">
        <v>25434</v>
      </c>
      <c r="F35" s="6">
        <v>95.441085000000001</v>
      </c>
      <c r="G35" s="7">
        <v>1.0746581999999999E-2</v>
      </c>
      <c r="H35" s="53"/>
    </row>
    <row r="36" spans="1:8" ht="17.100000000000001" customHeight="1" x14ac:dyDescent="0.2">
      <c r="A36" s="3">
        <v>30</v>
      </c>
      <c r="B36" s="4" t="s">
        <v>312</v>
      </c>
      <c r="C36" s="4" t="s">
        <v>313</v>
      </c>
      <c r="D36" s="4" t="s">
        <v>224</v>
      </c>
      <c r="E36" s="5">
        <v>7066</v>
      </c>
      <c r="F36" s="6">
        <v>94.493617999999998</v>
      </c>
      <c r="G36" s="7">
        <v>1.0639898E-2</v>
      </c>
      <c r="H36" s="53"/>
    </row>
    <row r="37" spans="1:8" ht="29.1" customHeight="1" x14ac:dyDescent="0.2">
      <c r="A37" s="3">
        <v>31</v>
      </c>
      <c r="B37" s="4" t="s">
        <v>314</v>
      </c>
      <c r="C37" s="4" t="s">
        <v>315</v>
      </c>
      <c r="D37" s="4" t="s">
        <v>199</v>
      </c>
      <c r="E37" s="5">
        <v>20479</v>
      </c>
      <c r="F37" s="6">
        <v>94.131723500000007</v>
      </c>
      <c r="G37" s="7">
        <v>1.0599149E-2</v>
      </c>
      <c r="H37" s="53"/>
    </row>
    <row r="38" spans="1:8" ht="17.100000000000001" customHeight="1" x14ac:dyDescent="0.2">
      <c r="A38" s="3">
        <v>32</v>
      </c>
      <c r="B38" s="4" t="s">
        <v>316</v>
      </c>
      <c r="C38" s="4" t="s">
        <v>317</v>
      </c>
      <c r="D38" s="4" t="s">
        <v>900</v>
      </c>
      <c r="E38" s="5">
        <v>23000</v>
      </c>
      <c r="F38" s="6">
        <v>90.332499999999996</v>
      </c>
      <c r="G38" s="7">
        <v>1.0171360000000001E-2</v>
      </c>
      <c r="H38" s="53"/>
    </row>
    <row r="39" spans="1:8" ht="17.100000000000001" customHeight="1" x14ac:dyDescent="0.2">
      <c r="A39" s="3">
        <v>33</v>
      </c>
      <c r="B39" s="4" t="s">
        <v>114</v>
      </c>
      <c r="C39" s="4" t="s">
        <v>115</v>
      </c>
      <c r="D39" s="4" t="s">
        <v>116</v>
      </c>
      <c r="E39" s="5">
        <v>26229</v>
      </c>
      <c r="F39" s="6">
        <v>88.483531499999998</v>
      </c>
      <c r="G39" s="7">
        <v>9.9631679999999997E-3</v>
      </c>
      <c r="H39" s="53"/>
    </row>
    <row r="40" spans="1:8" ht="17.100000000000001" customHeight="1" x14ac:dyDescent="0.2">
      <c r="A40" s="3">
        <v>34</v>
      </c>
      <c r="B40" s="4" t="s">
        <v>183</v>
      </c>
      <c r="C40" s="4" t="s">
        <v>184</v>
      </c>
      <c r="D40" s="4" t="s">
        <v>119</v>
      </c>
      <c r="E40" s="5">
        <v>6241</v>
      </c>
      <c r="F40" s="6">
        <v>85.932328999999996</v>
      </c>
      <c r="G40" s="7">
        <v>9.6759050000000003E-3</v>
      </c>
      <c r="H40" s="53"/>
    </row>
    <row r="41" spans="1:8" ht="29.1" customHeight="1" x14ac:dyDescent="0.2">
      <c r="A41" s="3">
        <v>35</v>
      </c>
      <c r="B41" s="4" t="s">
        <v>202</v>
      </c>
      <c r="C41" s="4" t="s">
        <v>203</v>
      </c>
      <c r="D41" s="4" t="s">
        <v>204</v>
      </c>
      <c r="E41" s="5">
        <v>9400</v>
      </c>
      <c r="F41" s="6">
        <v>83.392099999999999</v>
      </c>
      <c r="G41" s="7">
        <v>9.3898769999999996E-3</v>
      </c>
      <c r="H41" s="53"/>
    </row>
    <row r="42" spans="1:8" ht="17.100000000000001" customHeight="1" x14ac:dyDescent="0.2">
      <c r="A42" s="3">
        <v>36</v>
      </c>
      <c r="B42" s="4" t="s">
        <v>318</v>
      </c>
      <c r="C42" s="4" t="s">
        <v>319</v>
      </c>
      <c r="D42" s="4" t="s">
        <v>320</v>
      </c>
      <c r="E42" s="5">
        <v>6326</v>
      </c>
      <c r="F42" s="6">
        <v>82.956001000000001</v>
      </c>
      <c r="G42" s="7">
        <v>9.3407730000000001E-3</v>
      </c>
      <c r="H42" s="53"/>
    </row>
    <row r="43" spans="1:8" ht="17.100000000000001" customHeight="1" x14ac:dyDescent="0.2">
      <c r="A43" s="3">
        <v>37</v>
      </c>
      <c r="B43" s="4" t="s">
        <v>38</v>
      </c>
      <c r="C43" s="4" t="s">
        <v>39</v>
      </c>
      <c r="D43" s="4" t="s">
        <v>40</v>
      </c>
      <c r="E43" s="5">
        <v>10722</v>
      </c>
      <c r="F43" s="6">
        <v>79.214135999999996</v>
      </c>
      <c r="G43" s="7">
        <v>8.9194419999999996E-3</v>
      </c>
      <c r="H43" s="53"/>
    </row>
    <row r="44" spans="1:8" ht="17.100000000000001" customHeight="1" x14ac:dyDescent="0.2">
      <c r="A44" s="3">
        <v>38</v>
      </c>
      <c r="B44" s="4" t="s">
        <v>321</v>
      </c>
      <c r="C44" s="4" t="s">
        <v>322</v>
      </c>
      <c r="D44" s="4" t="s">
        <v>320</v>
      </c>
      <c r="E44" s="5">
        <v>15345</v>
      </c>
      <c r="F44" s="6">
        <v>76.318357500000005</v>
      </c>
      <c r="G44" s="7">
        <v>8.5933799999999994E-3</v>
      </c>
      <c r="H44" s="53"/>
    </row>
    <row r="45" spans="1:8" ht="17.100000000000001" customHeight="1" x14ac:dyDescent="0.2">
      <c r="A45" s="3">
        <v>39</v>
      </c>
      <c r="B45" s="4" t="s">
        <v>101</v>
      </c>
      <c r="C45" s="4" t="s">
        <v>102</v>
      </c>
      <c r="D45" s="4" t="s">
        <v>22</v>
      </c>
      <c r="E45" s="5">
        <v>21882</v>
      </c>
      <c r="F45" s="6">
        <v>72.320009999999996</v>
      </c>
      <c r="G45" s="7">
        <v>8.1431690000000004E-3</v>
      </c>
      <c r="H45" s="53"/>
    </row>
    <row r="46" spans="1:8" ht="17.100000000000001" customHeight="1" x14ac:dyDescent="0.2">
      <c r="A46" s="3">
        <v>40</v>
      </c>
      <c r="B46" s="4" t="s">
        <v>323</v>
      </c>
      <c r="C46" s="4" t="s">
        <v>324</v>
      </c>
      <c r="D46" s="4" t="s">
        <v>900</v>
      </c>
      <c r="E46" s="5">
        <v>6698</v>
      </c>
      <c r="F46" s="6">
        <v>68.078472000000005</v>
      </c>
      <c r="G46" s="7">
        <v>7.6655760000000003E-3</v>
      </c>
      <c r="H46" s="53"/>
    </row>
    <row r="47" spans="1:8" ht="17.100000000000001" customHeight="1" x14ac:dyDescent="0.2">
      <c r="A47" s="3">
        <v>41</v>
      </c>
      <c r="B47" s="4" t="s">
        <v>222</v>
      </c>
      <c r="C47" s="4" t="s">
        <v>223</v>
      </c>
      <c r="D47" s="4" t="s">
        <v>224</v>
      </c>
      <c r="E47" s="5">
        <v>12280</v>
      </c>
      <c r="F47" s="6">
        <v>62.75694</v>
      </c>
      <c r="G47" s="7">
        <v>7.0663760000000001E-3</v>
      </c>
      <c r="H47" s="53"/>
    </row>
    <row r="48" spans="1:8" ht="17.100000000000001" customHeight="1" x14ac:dyDescent="0.2">
      <c r="A48" s="3">
        <v>42</v>
      </c>
      <c r="B48" s="4" t="s">
        <v>325</v>
      </c>
      <c r="C48" s="4" t="s">
        <v>326</v>
      </c>
      <c r="D48" s="4" t="s">
        <v>219</v>
      </c>
      <c r="E48" s="5">
        <v>45750</v>
      </c>
      <c r="F48" s="6">
        <v>51.537374999999997</v>
      </c>
      <c r="G48" s="7">
        <v>5.8030629999999998E-3</v>
      </c>
      <c r="H48" s="53"/>
    </row>
    <row r="49" spans="1:8" ht="17.100000000000001" customHeight="1" x14ac:dyDescent="0.2">
      <c r="A49" s="3">
        <v>43</v>
      </c>
      <c r="B49" s="4" t="s">
        <v>327</v>
      </c>
      <c r="C49" s="4" t="s">
        <v>328</v>
      </c>
      <c r="D49" s="4" t="s">
        <v>19</v>
      </c>
      <c r="E49" s="5">
        <v>4209</v>
      </c>
      <c r="F49" s="6">
        <v>51.354008999999998</v>
      </c>
      <c r="G49" s="7">
        <v>5.7824160000000003E-3</v>
      </c>
      <c r="H49" s="53"/>
    </row>
    <row r="50" spans="1:8" ht="17.100000000000001" customHeight="1" x14ac:dyDescent="0.2">
      <c r="A50" s="3">
        <v>44</v>
      </c>
      <c r="B50" s="4" t="s">
        <v>329</v>
      </c>
      <c r="C50" s="4" t="s">
        <v>330</v>
      </c>
      <c r="D50" s="4" t="s">
        <v>19</v>
      </c>
      <c r="E50" s="5">
        <v>2804</v>
      </c>
      <c r="F50" s="6">
        <v>51.236089999999997</v>
      </c>
      <c r="G50" s="7">
        <v>5.7691390000000004E-3</v>
      </c>
      <c r="H50" s="53"/>
    </row>
    <row r="51" spans="1:8" ht="17.100000000000001" customHeight="1" x14ac:dyDescent="0.2">
      <c r="A51" s="3">
        <v>45</v>
      </c>
      <c r="B51" s="4" t="s">
        <v>331</v>
      </c>
      <c r="C51" s="4" t="s">
        <v>332</v>
      </c>
      <c r="D51" s="4" t="s">
        <v>96</v>
      </c>
      <c r="E51" s="5">
        <v>55523</v>
      </c>
      <c r="F51" s="6">
        <v>41.642249999999997</v>
      </c>
      <c r="G51" s="7">
        <v>4.6888809999999998E-3</v>
      </c>
      <c r="H51" s="53"/>
    </row>
    <row r="52" spans="1:8" ht="17.100000000000001" customHeight="1" x14ac:dyDescent="0.2">
      <c r="A52" s="3">
        <v>46</v>
      </c>
      <c r="B52" s="4" t="s">
        <v>246</v>
      </c>
      <c r="C52" s="4" t="s">
        <v>247</v>
      </c>
      <c r="D52" s="4" t="s">
        <v>248</v>
      </c>
      <c r="E52" s="5">
        <v>5927</v>
      </c>
      <c r="F52" s="6">
        <v>40.155425000000001</v>
      </c>
      <c r="G52" s="7">
        <v>4.5214649999999997E-3</v>
      </c>
      <c r="H52" s="53"/>
    </row>
    <row r="53" spans="1:8" ht="29.1" customHeight="1" x14ac:dyDescent="0.2">
      <c r="A53" s="3">
        <v>47</v>
      </c>
      <c r="B53" s="4" t="s">
        <v>257</v>
      </c>
      <c r="C53" s="4" t="s">
        <v>258</v>
      </c>
      <c r="D53" s="4" t="s">
        <v>227</v>
      </c>
      <c r="E53" s="5">
        <v>2422</v>
      </c>
      <c r="F53" s="6">
        <v>38.184041000000001</v>
      </c>
      <c r="G53" s="7">
        <v>4.2994890000000001E-3</v>
      </c>
      <c r="H53" s="53"/>
    </row>
    <row r="54" spans="1:8" ht="17.100000000000001" customHeight="1" x14ac:dyDescent="0.2">
      <c r="A54" s="3">
        <v>48</v>
      </c>
      <c r="B54" s="4" t="s">
        <v>333</v>
      </c>
      <c r="C54" s="48" t="s">
        <v>958</v>
      </c>
      <c r="D54" s="4" t="s">
        <v>16</v>
      </c>
      <c r="E54" s="5">
        <v>1908</v>
      </c>
      <c r="F54" s="6">
        <v>8.2730879999999996</v>
      </c>
      <c r="G54" s="7">
        <v>9.3154200000000005E-4</v>
      </c>
      <c r="H54" s="53"/>
    </row>
    <row r="55" spans="1:8" ht="14.1" customHeight="1" x14ac:dyDescent="0.2">
      <c r="A55" s="1"/>
      <c r="B55" s="1"/>
      <c r="C55" s="2" t="s">
        <v>132</v>
      </c>
      <c r="D55" s="1"/>
      <c r="E55" s="1" t="s">
        <v>133</v>
      </c>
      <c r="F55" s="9">
        <v>8175.8909675000023</v>
      </c>
      <c r="G55" s="10">
        <v>0.92059811599999997</v>
      </c>
      <c r="H55" s="53"/>
    </row>
    <row r="56" spans="1:8" ht="14.1" customHeight="1" x14ac:dyDescent="0.2">
      <c r="A56" s="1"/>
      <c r="B56" s="1"/>
      <c r="C56" s="11"/>
      <c r="D56" s="1"/>
      <c r="E56" s="1"/>
      <c r="F56" s="12"/>
      <c r="G56" s="12"/>
      <c r="H56" s="53"/>
    </row>
    <row r="57" spans="1:8" ht="14.1" customHeight="1" x14ac:dyDescent="0.2">
      <c r="A57" s="1"/>
      <c r="B57" s="1"/>
      <c r="C57" s="2" t="s">
        <v>134</v>
      </c>
      <c r="D57" s="1"/>
      <c r="E57" s="1"/>
      <c r="F57" s="1"/>
      <c r="G57" s="1"/>
      <c r="H57" s="53"/>
    </row>
    <row r="58" spans="1:8" ht="14.1" customHeight="1" x14ac:dyDescent="0.2">
      <c r="A58" s="1"/>
      <c r="B58" s="1"/>
      <c r="C58" s="2" t="s">
        <v>132</v>
      </c>
      <c r="D58" s="1"/>
      <c r="E58" s="1" t="s">
        <v>133</v>
      </c>
      <c r="F58" s="13">
        <v>0</v>
      </c>
      <c r="G58" s="14">
        <v>0</v>
      </c>
      <c r="H58" s="53"/>
    </row>
    <row r="59" spans="1:8" ht="14.1" customHeight="1" x14ac:dyDescent="0.2">
      <c r="A59" s="1"/>
      <c r="B59" s="1"/>
      <c r="C59" s="11"/>
      <c r="D59" s="1"/>
      <c r="E59" s="1"/>
      <c r="F59" s="12"/>
      <c r="G59" s="12"/>
      <c r="H59" s="53"/>
    </row>
    <row r="60" spans="1:8" ht="14.1" customHeight="1" x14ac:dyDescent="0.2">
      <c r="A60" s="1"/>
      <c r="B60" s="1"/>
      <c r="C60" s="2" t="s">
        <v>135</v>
      </c>
      <c r="D60" s="1"/>
      <c r="E60" s="1"/>
      <c r="F60" s="1"/>
      <c r="G60" s="1"/>
      <c r="H60" s="53"/>
    </row>
    <row r="61" spans="1:8" ht="14.1" customHeight="1" x14ac:dyDescent="0.2">
      <c r="A61" s="1"/>
      <c r="B61" s="1"/>
      <c r="C61" s="2" t="s">
        <v>132</v>
      </c>
      <c r="D61" s="1"/>
      <c r="E61" s="1" t="s">
        <v>133</v>
      </c>
      <c r="F61" s="13">
        <v>0</v>
      </c>
      <c r="G61" s="14">
        <v>0</v>
      </c>
      <c r="H61" s="53"/>
    </row>
    <row r="62" spans="1:8" ht="14.1" customHeight="1" x14ac:dyDescent="0.2">
      <c r="A62" s="1"/>
      <c r="B62" s="1"/>
      <c r="C62" s="11"/>
      <c r="D62" s="1"/>
      <c r="E62" s="1"/>
      <c r="F62" s="12"/>
      <c r="G62" s="12"/>
      <c r="H62" s="53"/>
    </row>
    <row r="63" spans="1:8" ht="14.1" customHeight="1" x14ac:dyDescent="0.2">
      <c r="A63" s="1"/>
      <c r="B63" s="1"/>
      <c r="C63" s="2" t="s">
        <v>136</v>
      </c>
      <c r="D63" s="1"/>
      <c r="E63" s="1"/>
      <c r="F63" s="1"/>
      <c r="G63" s="1"/>
      <c r="H63" s="53"/>
    </row>
    <row r="64" spans="1:8" ht="14.1" customHeight="1" x14ac:dyDescent="0.2">
      <c r="A64" s="1"/>
      <c r="B64" s="1"/>
      <c r="C64" s="2" t="s">
        <v>132</v>
      </c>
      <c r="D64" s="1"/>
      <c r="E64" s="1" t="s">
        <v>133</v>
      </c>
      <c r="F64" s="9">
        <v>0</v>
      </c>
      <c r="G64" s="10">
        <v>0</v>
      </c>
      <c r="H64" s="53"/>
    </row>
    <row r="65" spans="1:8" ht="14.1" customHeight="1" x14ac:dyDescent="0.2">
      <c r="A65" s="1"/>
      <c r="B65" s="1"/>
      <c r="C65" s="11"/>
      <c r="D65" s="1"/>
      <c r="E65" s="1"/>
      <c r="F65" s="12"/>
      <c r="G65" s="12"/>
      <c r="H65" s="53"/>
    </row>
    <row r="66" spans="1:8" ht="14.1" customHeight="1" x14ac:dyDescent="0.2">
      <c r="A66" s="1"/>
      <c r="B66" s="1"/>
      <c r="C66" s="2" t="s">
        <v>137</v>
      </c>
      <c r="D66" s="1"/>
      <c r="E66" s="1"/>
      <c r="F66" s="12"/>
      <c r="G66" s="12"/>
      <c r="H66" s="53"/>
    </row>
    <row r="67" spans="1:8" ht="14.1" customHeight="1" x14ac:dyDescent="0.2">
      <c r="A67" s="1"/>
      <c r="B67" s="1"/>
      <c r="C67" s="2" t="s">
        <v>132</v>
      </c>
      <c r="D67" s="1"/>
      <c r="E67" s="1" t="s">
        <v>133</v>
      </c>
      <c r="F67" s="13">
        <v>0</v>
      </c>
      <c r="G67" s="14">
        <v>0</v>
      </c>
      <c r="H67" s="53"/>
    </row>
    <row r="68" spans="1:8" ht="14.1" customHeight="1" x14ac:dyDescent="0.2">
      <c r="A68" s="1"/>
      <c r="B68" s="1"/>
      <c r="C68" s="11"/>
      <c r="D68" s="1"/>
      <c r="E68" s="1"/>
      <c r="F68" s="12"/>
      <c r="G68" s="12"/>
      <c r="H68" s="53"/>
    </row>
    <row r="69" spans="1:8" ht="14.1" customHeight="1" x14ac:dyDescent="0.2">
      <c r="A69" s="1"/>
      <c r="B69" s="1"/>
      <c r="C69" s="2" t="s">
        <v>138</v>
      </c>
      <c r="D69" s="1"/>
      <c r="E69" s="1"/>
      <c r="F69" s="12"/>
      <c r="G69" s="12"/>
      <c r="H69" s="53"/>
    </row>
    <row r="70" spans="1:8" ht="14.1" customHeight="1" x14ac:dyDescent="0.2">
      <c r="A70" s="1"/>
      <c r="B70" s="1"/>
      <c r="C70" s="2" t="s">
        <v>132</v>
      </c>
      <c r="D70" s="1"/>
      <c r="E70" s="1" t="s">
        <v>133</v>
      </c>
      <c r="F70" s="13">
        <v>0</v>
      </c>
      <c r="G70" s="14">
        <v>0</v>
      </c>
      <c r="H70" s="53"/>
    </row>
    <row r="71" spans="1:8" ht="14.1" customHeight="1" x14ac:dyDescent="0.2">
      <c r="A71" s="1"/>
      <c r="B71" s="1"/>
      <c r="C71" s="11"/>
      <c r="D71" s="1"/>
      <c r="E71" s="1"/>
      <c r="F71" s="12"/>
      <c r="G71" s="12"/>
      <c r="H71" s="53"/>
    </row>
    <row r="72" spans="1:8" ht="18" customHeight="1" x14ac:dyDescent="0.2">
      <c r="A72" s="1"/>
      <c r="B72" s="1"/>
      <c r="C72" s="2" t="s">
        <v>139</v>
      </c>
      <c r="D72" s="1"/>
      <c r="E72" s="1"/>
      <c r="F72" s="9">
        <v>8175.8909675000004</v>
      </c>
      <c r="G72" s="10">
        <v>0.92059811599999997</v>
      </c>
      <c r="H72" s="53"/>
    </row>
    <row r="73" spans="1:8" ht="14.1" customHeight="1" x14ac:dyDescent="0.2">
      <c r="A73" s="1"/>
      <c r="B73" s="1"/>
      <c r="C73" s="11"/>
      <c r="D73" s="1"/>
      <c r="E73" s="1"/>
      <c r="F73" s="12"/>
      <c r="G73" s="12"/>
      <c r="H73" s="53"/>
    </row>
    <row r="74" spans="1:8" ht="14.1" customHeight="1" x14ac:dyDescent="0.2">
      <c r="A74" s="1"/>
      <c r="B74" s="1"/>
      <c r="C74" s="2" t="s">
        <v>140</v>
      </c>
      <c r="D74" s="1"/>
      <c r="E74" s="1"/>
      <c r="F74" s="12"/>
      <c r="G74" s="12"/>
      <c r="H74" s="53"/>
    </row>
    <row r="75" spans="1:8" ht="24" customHeight="1" x14ac:dyDescent="0.2">
      <c r="A75" s="1"/>
      <c r="B75" s="1"/>
      <c r="C75" s="2" t="s">
        <v>10</v>
      </c>
      <c r="D75" s="1"/>
      <c r="E75" s="1"/>
      <c r="F75" s="12"/>
      <c r="G75" s="12"/>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4.1" customHeight="1" x14ac:dyDescent="0.2">
      <c r="A78" s="1"/>
      <c r="B78" s="1"/>
      <c r="C78" s="2" t="s">
        <v>141</v>
      </c>
      <c r="D78" s="1"/>
      <c r="E78" s="1"/>
      <c r="F78" s="1"/>
      <c r="G78" s="1"/>
      <c r="H78" s="53"/>
    </row>
    <row r="79" spans="1:8" ht="14.1" customHeight="1" x14ac:dyDescent="0.2">
      <c r="A79" s="1"/>
      <c r="B79" s="1"/>
      <c r="C79" s="2" t="s">
        <v>132</v>
      </c>
      <c r="D79" s="1"/>
      <c r="E79" s="1" t="s">
        <v>133</v>
      </c>
      <c r="F79" s="13">
        <v>0</v>
      </c>
      <c r="G79" s="14">
        <v>0</v>
      </c>
      <c r="H79" s="53"/>
    </row>
    <row r="80" spans="1:8" ht="14.1" customHeight="1" x14ac:dyDescent="0.2">
      <c r="A80" s="1"/>
      <c r="B80" s="1"/>
      <c r="C80" s="11"/>
      <c r="D80" s="1"/>
      <c r="E80" s="1"/>
      <c r="F80" s="12"/>
      <c r="G80" s="12"/>
      <c r="H80" s="53"/>
    </row>
    <row r="81" spans="1:8" ht="14.1" customHeight="1" x14ac:dyDescent="0.2">
      <c r="A81" s="1"/>
      <c r="B81" s="1"/>
      <c r="C81" s="2" t="s">
        <v>142</v>
      </c>
      <c r="D81" s="1"/>
      <c r="E81" s="1"/>
      <c r="F81" s="1"/>
      <c r="G81" s="1"/>
      <c r="H81" s="53"/>
    </row>
    <row r="82" spans="1:8" ht="14.1" customHeight="1" x14ac:dyDescent="0.2">
      <c r="A82" s="1"/>
      <c r="B82" s="1"/>
      <c r="C82" s="2" t="s">
        <v>132</v>
      </c>
      <c r="D82" s="1"/>
      <c r="E82" s="1" t="s">
        <v>133</v>
      </c>
      <c r="F82" s="13">
        <v>0</v>
      </c>
      <c r="G82" s="14">
        <v>0</v>
      </c>
      <c r="H82" s="53"/>
    </row>
    <row r="83" spans="1:8" ht="14.1" customHeight="1" x14ac:dyDescent="0.2">
      <c r="A83" s="1"/>
      <c r="B83" s="1"/>
      <c r="C83" s="11"/>
      <c r="D83" s="1"/>
      <c r="E83" s="1"/>
      <c r="F83" s="12"/>
      <c r="G83" s="12"/>
      <c r="H83" s="53"/>
    </row>
    <row r="84" spans="1:8" ht="14.1" customHeight="1" x14ac:dyDescent="0.2">
      <c r="A84" s="1"/>
      <c r="B84" s="1"/>
      <c r="C84" s="2" t="s">
        <v>143</v>
      </c>
      <c r="D84" s="1"/>
      <c r="E84" s="1"/>
      <c r="F84" s="12"/>
      <c r="G84" s="12"/>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144</v>
      </c>
      <c r="D87" s="1"/>
      <c r="E87" s="1"/>
      <c r="F87" s="9">
        <v>0</v>
      </c>
      <c r="G87" s="10">
        <v>0</v>
      </c>
      <c r="H87" s="53"/>
    </row>
    <row r="88" spans="1:8" ht="14.1" customHeight="1" x14ac:dyDescent="0.2">
      <c r="A88" s="1"/>
      <c r="B88" s="1"/>
      <c r="C88" s="11"/>
      <c r="D88" s="1"/>
      <c r="E88" s="1"/>
      <c r="F88" s="12"/>
      <c r="G88" s="12"/>
      <c r="H88" s="53"/>
    </row>
    <row r="89" spans="1:8" ht="14.1" customHeight="1" x14ac:dyDescent="0.2">
      <c r="A89" s="1"/>
      <c r="B89" s="1"/>
      <c r="C89" s="2" t="s">
        <v>145</v>
      </c>
      <c r="D89" s="1"/>
      <c r="E89" s="1"/>
      <c r="F89" s="12"/>
      <c r="G89" s="12"/>
      <c r="H89" s="53"/>
    </row>
    <row r="90" spans="1:8" ht="14.1" customHeight="1" x14ac:dyDescent="0.2">
      <c r="A90" s="1"/>
      <c r="B90" s="1"/>
      <c r="C90" s="2" t="s">
        <v>146</v>
      </c>
      <c r="D90" s="1"/>
      <c r="E90" s="1"/>
      <c r="F90" s="12"/>
      <c r="G90" s="12"/>
      <c r="H90" s="53"/>
    </row>
    <row r="91" spans="1:8" ht="14.1" customHeight="1" x14ac:dyDescent="0.2">
      <c r="A91" s="1"/>
      <c r="B91" s="1"/>
      <c r="C91" s="2" t="s">
        <v>132</v>
      </c>
      <c r="D91" s="1"/>
      <c r="E91" s="1" t="s">
        <v>133</v>
      </c>
      <c r="F91" s="13">
        <v>0</v>
      </c>
      <c r="G91" s="14">
        <v>0</v>
      </c>
      <c r="H91" s="53"/>
    </row>
    <row r="92" spans="1:8" ht="14.1" customHeight="1" x14ac:dyDescent="0.2">
      <c r="A92" s="1"/>
      <c r="B92" s="1"/>
      <c r="C92" s="11"/>
      <c r="D92" s="1"/>
      <c r="E92" s="1"/>
      <c r="F92" s="12"/>
      <c r="G92" s="12"/>
      <c r="H92" s="53"/>
    </row>
    <row r="93" spans="1:8" ht="14.1" customHeight="1" x14ac:dyDescent="0.2">
      <c r="A93" s="1"/>
      <c r="B93" s="1"/>
      <c r="C93" s="2" t="s">
        <v>147</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148</v>
      </c>
      <c r="D96" s="1"/>
      <c r="E96" s="1"/>
      <c r="F96" s="12"/>
      <c r="G96" s="12"/>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149</v>
      </c>
      <c r="D99" s="1"/>
      <c r="E99" s="1"/>
      <c r="F99" s="12"/>
      <c r="G99" s="12"/>
      <c r="H99" s="53"/>
    </row>
    <row r="100" spans="1:8" ht="17.100000000000001" customHeight="1" x14ac:dyDescent="0.2">
      <c r="A100" s="3">
        <v>1</v>
      </c>
      <c r="B100" s="4"/>
      <c r="C100" s="4" t="s">
        <v>150</v>
      </c>
      <c r="D100" s="4"/>
      <c r="E100" s="8"/>
      <c r="F100" s="6">
        <v>710.85826589999999</v>
      </c>
      <c r="G100" s="7">
        <v>8.0042013999999995E-2</v>
      </c>
      <c r="H100" s="53">
        <v>6.46</v>
      </c>
    </row>
    <row r="101" spans="1:8" ht="14.1" customHeight="1" x14ac:dyDescent="0.2">
      <c r="A101" s="1"/>
      <c r="B101" s="1"/>
      <c r="C101" s="2" t="s">
        <v>132</v>
      </c>
      <c r="D101" s="1"/>
      <c r="E101" s="1" t="s">
        <v>133</v>
      </c>
      <c r="F101" s="9">
        <v>710.85826589999999</v>
      </c>
      <c r="G101" s="10">
        <v>8.0042013999999995E-2</v>
      </c>
      <c r="H101" s="53"/>
    </row>
    <row r="102" spans="1:8" ht="14.1" customHeight="1" x14ac:dyDescent="0.2">
      <c r="A102" s="1"/>
      <c r="B102" s="1"/>
      <c r="C102" s="11"/>
      <c r="D102" s="1"/>
      <c r="E102" s="1"/>
      <c r="F102" s="12"/>
      <c r="G102" s="12"/>
      <c r="H102" s="53"/>
    </row>
    <row r="103" spans="1:8" ht="14.1" customHeight="1" x14ac:dyDescent="0.2">
      <c r="A103" s="1"/>
      <c r="B103" s="1"/>
      <c r="C103" s="2" t="s">
        <v>151</v>
      </c>
      <c r="D103" s="1"/>
      <c r="E103" s="1"/>
      <c r="F103" s="9">
        <v>710.85826589999999</v>
      </c>
      <c r="G103" s="10">
        <v>8.0042013999999995E-2</v>
      </c>
      <c r="H103" s="53"/>
    </row>
    <row r="104" spans="1:8" ht="14.1" customHeight="1" x14ac:dyDescent="0.2">
      <c r="A104" s="1"/>
      <c r="B104" s="1"/>
      <c r="C104" s="12"/>
      <c r="D104" s="1"/>
      <c r="E104" s="1"/>
      <c r="F104" s="1"/>
      <c r="G104" s="1"/>
      <c r="H104" s="53"/>
    </row>
    <row r="105" spans="1:8" ht="14.1" customHeight="1" x14ac:dyDescent="0.2">
      <c r="A105" s="1"/>
      <c r="B105" s="1"/>
      <c r="C105" s="2" t="s">
        <v>152</v>
      </c>
      <c r="D105" s="1"/>
      <c r="E105" s="1"/>
      <c r="F105" s="1"/>
      <c r="G105" s="1"/>
      <c r="H105" s="53"/>
    </row>
    <row r="106" spans="1:8" ht="14.1" customHeight="1" x14ac:dyDescent="0.2">
      <c r="A106" s="1"/>
      <c r="B106" s="1"/>
      <c r="C106" s="2" t="s">
        <v>153</v>
      </c>
      <c r="D106" s="1"/>
      <c r="E106" s="1"/>
      <c r="F106" s="1"/>
      <c r="G106" s="1"/>
      <c r="H106" s="53"/>
    </row>
    <row r="107" spans="1:8" ht="14.1" customHeight="1" x14ac:dyDescent="0.2">
      <c r="A107" s="1"/>
      <c r="B107" s="1"/>
      <c r="C107" s="2" t="s">
        <v>132</v>
      </c>
      <c r="D107" s="1"/>
      <c r="E107" s="1" t="s">
        <v>133</v>
      </c>
      <c r="F107" s="13">
        <v>0</v>
      </c>
      <c r="G107" s="14">
        <v>0</v>
      </c>
      <c r="H107" s="53"/>
    </row>
    <row r="108" spans="1:8" ht="14.1" customHeight="1" x14ac:dyDescent="0.2">
      <c r="A108" s="1"/>
      <c r="B108" s="1"/>
      <c r="C108" s="11"/>
      <c r="D108" s="1"/>
      <c r="E108" s="1"/>
      <c r="F108" s="12"/>
      <c r="G108" s="12"/>
      <c r="H108" s="53"/>
    </row>
    <row r="109" spans="1:8" ht="14.1" customHeight="1" x14ac:dyDescent="0.2">
      <c r="A109" s="1"/>
      <c r="B109" s="1"/>
      <c r="C109" s="2" t="s">
        <v>154</v>
      </c>
      <c r="D109" s="1"/>
      <c r="E109" s="1"/>
      <c r="F109" s="1"/>
      <c r="G109" s="1"/>
      <c r="H109" s="53"/>
    </row>
    <row r="110" spans="1:8" ht="14.1" customHeight="1" x14ac:dyDescent="0.2">
      <c r="A110" s="1"/>
      <c r="B110" s="1"/>
      <c r="C110" s="2" t="s">
        <v>155</v>
      </c>
      <c r="D110" s="1"/>
      <c r="E110" s="1"/>
      <c r="F110" s="1"/>
      <c r="G110" s="1"/>
      <c r="H110" s="53"/>
    </row>
    <row r="111" spans="1:8" ht="14.1" customHeight="1" x14ac:dyDescent="0.2">
      <c r="A111" s="1"/>
      <c r="B111" s="1"/>
      <c r="C111" s="2" t="s">
        <v>132</v>
      </c>
      <c r="D111" s="1"/>
      <c r="E111" s="1" t="s">
        <v>133</v>
      </c>
      <c r="F111" s="13">
        <v>0</v>
      </c>
      <c r="G111" s="14">
        <v>0</v>
      </c>
      <c r="H111" s="53"/>
    </row>
    <row r="112" spans="1:8" ht="14.1" customHeight="1" x14ac:dyDescent="0.2">
      <c r="A112" s="1"/>
      <c r="B112" s="1"/>
      <c r="C112" s="11"/>
      <c r="D112" s="1"/>
      <c r="E112" s="1"/>
      <c r="F112" s="12"/>
      <c r="G112" s="12"/>
      <c r="H112" s="53"/>
    </row>
    <row r="113" spans="1:8" ht="14.1" customHeight="1" x14ac:dyDescent="0.2">
      <c r="A113" s="1"/>
      <c r="B113" s="1"/>
      <c r="C113" s="11"/>
      <c r="D113" s="1"/>
      <c r="E113" s="1"/>
      <c r="F113" s="12"/>
      <c r="G113" s="12"/>
      <c r="H113" s="53"/>
    </row>
    <row r="114" spans="1:8" ht="24" customHeight="1" x14ac:dyDescent="0.2">
      <c r="A114" s="1"/>
      <c r="B114" s="1"/>
      <c r="C114" s="2" t="s">
        <v>156</v>
      </c>
      <c r="D114" s="1"/>
      <c r="E114" s="1"/>
      <c r="F114" s="12"/>
      <c r="G114" s="12"/>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4"/>
      <c r="C117" s="4"/>
      <c r="D117" s="2"/>
      <c r="E117" s="1"/>
      <c r="F117" s="4"/>
      <c r="G117" s="8"/>
      <c r="H117" s="53"/>
    </row>
    <row r="118" spans="1:8" ht="18" customHeight="1" x14ac:dyDescent="0.2">
      <c r="A118" s="8"/>
      <c r="B118" s="4"/>
      <c r="C118" s="4" t="s">
        <v>157</v>
      </c>
      <c r="D118" s="4"/>
      <c r="E118" s="8"/>
      <c r="F118" s="6">
        <v>-5.6850576999999998</v>
      </c>
      <c r="G118" s="7">
        <v>-6.4013199999999996E-4</v>
      </c>
      <c r="H118" s="53"/>
    </row>
    <row r="119" spans="1:8" ht="14.1" customHeight="1" x14ac:dyDescent="0.2">
      <c r="A119" s="11"/>
      <c r="B119" s="11"/>
      <c r="C119" s="2" t="s">
        <v>158</v>
      </c>
      <c r="D119" s="15"/>
      <c r="E119" s="15"/>
      <c r="F119" s="9">
        <v>8881.0641756999994</v>
      </c>
      <c r="G119" s="10">
        <v>0.99999999799999995</v>
      </c>
      <c r="H119" s="53"/>
    </row>
    <row r="120" spans="1:8" ht="14.1" customHeight="1" x14ac:dyDescent="0.2">
      <c r="A120" s="16"/>
      <c r="B120" s="16"/>
      <c r="C120" s="16"/>
      <c r="D120" s="17"/>
      <c r="E120" s="17"/>
      <c r="F120" s="17"/>
      <c r="G120" s="17"/>
    </row>
    <row r="121" spans="1:8" ht="14.1" customHeight="1" x14ac:dyDescent="0.2">
      <c r="A121" s="18"/>
      <c r="B121" s="292" t="s">
        <v>133</v>
      </c>
      <c r="C121" s="292"/>
      <c r="D121" s="292"/>
      <c r="E121" s="292"/>
      <c r="F121" s="292"/>
      <c r="G121" s="20"/>
    </row>
    <row r="122" spans="1:8" ht="14.1" customHeight="1" x14ac:dyDescent="0.2">
      <c r="A122" s="18"/>
      <c r="B122" s="292" t="s">
        <v>133</v>
      </c>
      <c r="C122" s="292"/>
      <c r="D122" s="292"/>
      <c r="E122" s="292"/>
      <c r="F122" s="292"/>
      <c r="G122" s="20"/>
    </row>
    <row r="123" spans="1:8" ht="14.1" customHeight="1" x14ac:dyDescent="0.2">
      <c r="A123" s="18"/>
      <c r="B123" s="18"/>
      <c r="C123" s="18"/>
      <c r="D123" s="20"/>
      <c r="E123" s="20"/>
      <c r="F123" s="20"/>
      <c r="G123" s="20"/>
    </row>
    <row r="124" spans="1:8" ht="14.1" customHeight="1" x14ac:dyDescent="0.2">
      <c r="A124" s="18"/>
      <c r="B124" s="293" t="s">
        <v>160</v>
      </c>
      <c r="C124" s="294"/>
      <c r="D124" s="12" t="s">
        <v>133</v>
      </c>
      <c r="E124" s="21"/>
      <c r="F124" s="20"/>
      <c r="G124" s="20"/>
    </row>
    <row r="125" spans="1:8" ht="29.1" customHeight="1" x14ac:dyDescent="0.2">
      <c r="A125" s="18"/>
      <c r="B125" s="290" t="s">
        <v>161</v>
      </c>
      <c r="C125" s="291"/>
      <c r="D125" s="2" t="s">
        <v>162</v>
      </c>
      <c r="E125" s="21"/>
      <c r="F125" s="20"/>
      <c r="G125" s="20"/>
    </row>
    <row r="126" spans="1:8" ht="17.100000000000001" customHeight="1" x14ac:dyDescent="0.2">
      <c r="A126" s="18"/>
      <c r="B126" s="290" t="s">
        <v>163</v>
      </c>
      <c r="C126" s="291"/>
      <c r="D126" s="2" t="s">
        <v>162</v>
      </c>
      <c r="E126" s="21"/>
      <c r="F126" s="20"/>
      <c r="G126" s="20"/>
    </row>
    <row r="127" spans="1:8" ht="17.100000000000001" customHeight="1" x14ac:dyDescent="0.2">
      <c r="A127" s="18"/>
      <c r="B127" s="290" t="s">
        <v>164</v>
      </c>
      <c r="C127" s="291"/>
      <c r="D127" s="12" t="s">
        <v>133</v>
      </c>
      <c r="E127" s="21"/>
      <c r="F127" s="20"/>
      <c r="G127" s="20"/>
    </row>
    <row r="128" spans="1:8" ht="24" customHeight="1" x14ac:dyDescent="0.2">
      <c r="A128" s="22"/>
      <c r="B128" s="23" t="s">
        <v>133</v>
      </c>
      <c r="C128" s="23" t="s">
        <v>165</v>
      </c>
      <c r="D128" s="23" t="s">
        <v>166</v>
      </c>
      <c r="E128" s="22"/>
      <c r="F128" s="22"/>
      <c r="G128" s="22"/>
    </row>
    <row r="129" spans="1:15" ht="18" customHeight="1" x14ac:dyDescent="0.2">
      <c r="A129" s="22"/>
      <c r="B129" s="23" t="s">
        <v>167</v>
      </c>
      <c r="C129" s="23" t="s">
        <v>168</v>
      </c>
      <c r="D129" s="23" t="s">
        <v>169</v>
      </c>
      <c r="E129" s="22"/>
      <c r="F129" s="22"/>
      <c r="G129" s="22"/>
    </row>
    <row r="130" spans="1:15" ht="17.100000000000001" customHeight="1" x14ac:dyDescent="0.2">
      <c r="A130" s="22"/>
      <c r="B130" s="4" t="s">
        <v>170</v>
      </c>
      <c r="C130" s="24">
        <v>18.857399999999998</v>
      </c>
      <c r="D130" s="24">
        <v>18.267499999999998</v>
      </c>
      <c r="E130" s="22"/>
      <c r="F130" s="19"/>
      <c r="G130" s="25"/>
    </row>
    <row r="131" spans="1:15" ht="17.100000000000001" customHeight="1" x14ac:dyDescent="0.2">
      <c r="A131" s="22"/>
      <c r="B131" s="4" t="s">
        <v>1042</v>
      </c>
      <c r="C131" s="24">
        <v>17.947399999999998</v>
      </c>
      <c r="D131" s="24">
        <v>17.385899999999999</v>
      </c>
      <c r="E131" s="22"/>
      <c r="F131" s="19"/>
      <c r="G131" s="25"/>
    </row>
    <row r="132" spans="1:15" ht="17.100000000000001" customHeight="1" x14ac:dyDescent="0.2">
      <c r="A132" s="22"/>
      <c r="B132" s="4" t="s">
        <v>171</v>
      </c>
      <c r="C132" s="24">
        <v>18.370899999999999</v>
      </c>
      <c r="D132" s="24">
        <v>17.787700000000001</v>
      </c>
      <c r="E132" s="22"/>
      <c r="F132" s="19"/>
      <c r="G132" s="25"/>
    </row>
    <row r="133" spans="1:15" ht="17.100000000000001" customHeight="1" x14ac:dyDescent="0.2">
      <c r="A133" s="22"/>
      <c r="B133" s="4" t="s">
        <v>1043</v>
      </c>
      <c r="C133" s="24">
        <v>17.684799999999999</v>
      </c>
      <c r="D133" s="24">
        <v>17.1234</v>
      </c>
      <c r="E133" s="22"/>
      <c r="F133" s="19"/>
      <c r="G133" s="25"/>
    </row>
    <row r="134" spans="1:15" ht="14.1" customHeight="1" x14ac:dyDescent="0.2">
      <c r="A134" s="22"/>
      <c r="B134" s="22"/>
      <c r="C134" s="22"/>
      <c r="D134" s="22"/>
      <c r="E134" s="22"/>
      <c r="F134" s="22"/>
      <c r="G134" s="22"/>
    </row>
    <row r="135" spans="1:15" ht="17.100000000000001" customHeight="1" x14ac:dyDescent="0.2">
      <c r="A135" s="22"/>
      <c r="B135" s="290" t="s">
        <v>1044</v>
      </c>
      <c r="C135" s="291"/>
      <c r="D135" s="2" t="s">
        <v>162</v>
      </c>
      <c r="E135" s="22"/>
      <c r="F135" s="22"/>
      <c r="G135" s="22"/>
    </row>
    <row r="136" spans="1:15" ht="18" customHeight="1" x14ac:dyDescent="0.2">
      <c r="A136" s="22"/>
      <c r="B136" s="26"/>
      <c r="C136" s="26"/>
      <c r="D136" s="27"/>
      <c r="E136" s="22"/>
      <c r="F136" s="22"/>
      <c r="G136" s="22"/>
    </row>
    <row r="137" spans="1:15" ht="29.1" customHeight="1" x14ac:dyDescent="0.2">
      <c r="A137" s="22"/>
      <c r="B137" s="290" t="s">
        <v>172</v>
      </c>
      <c r="C137" s="291"/>
      <c r="D137" s="2" t="s">
        <v>162</v>
      </c>
      <c r="E137" s="22"/>
      <c r="F137" s="22"/>
      <c r="G137" s="22"/>
    </row>
    <row r="138" spans="1:15" ht="29.1" customHeight="1" x14ac:dyDescent="0.2">
      <c r="A138" s="22"/>
      <c r="B138" s="290" t="s">
        <v>173</v>
      </c>
      <c r="C138" s="291"/>
      <c r="D138" s="2" t="s">
        <v>162</v>
      </c>
      <c r="E138" s="22"/>
      <c r="F138" s="22"/>
      <c r="G138" s="22"/>
    </row>
    <row r="139" spans="1:15" ht="17.100000000000001" customHeight="1" x14ac:dyDescent="0.2">
      <c r="A139" s="22"/>
      <c r="B139" s="290" t="s">
        <v>174</v>
      </c>
      <c r="C139" s="291"/>
      <c r="D139" s="28">
        <v>0.16077934292885629</v>
      </c>
      <c r="E139" s="22"/>
      <c r="F139" s="19"/>
      <c r="G139" s="25"/>
    </row>
    <row r="140" spans="1:15" ht="17.100000000000001" customHeight="1" x14ac:dyDescent="0.2">
      <c r="A140" s="22"/>
      <c r="B140" s="290" t="s">
        <v>175</v>
      </c>
      <c r="C140" s="291"/>
      <c r="D140" s="2" t="s">
        <v>162</v>
      </c>
      <c r="E140" s="22"/>
      <c r="F140" s="22"/>
      <c r="G140" s="22"/>
      <c r="J140" s="189"/>
      <c r="K140" s="189"/>
      <c r="L140" s="189"/>
      <c r="M140" s="189"/>
      <c r="N140" s="189"/>
      <c r="O140" s="189"/>
    </row>
  </sheetData>
  <mergeCells count="15">
    <mergeCell ref="B139:C139"/>
    <mergeCell ref="B140:C140"/>
    <mergeCell ref="B125:C125"/>
    <mergeCell ref="B126:C126"/>
    <mergeCell ref="B127:C127"/>
    <mergeCell ref="B135:C135"/>
    <mergeCell ref="B137:C137"/>
    <mergeCell ref="B138:C138"/>
    <mergeCell ref="A1:H1"/>
    <mergeCell ref="A2:H2"/>
    <mergeCell ref="A3:H3"/>
    <mergeCell ref="J2:N2"/>
    <mergeCell ref="B124:C124"/>
    <mergeCell ref="B121:F121"/>
    <mergeCell ref="B122:F122"/>
  </mergeCells>
  <hyperlinks>
    <hyperlink ref="I1" location="Index!B5" display="Index" xr:uid="{009A2ADB-B440-4C7F-B401-FE57B0B41DB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335</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3400000</v>
      </c>
      <c r="F7" s="6">
        <v>30288.9</v>
      </c>
      <c r="G7" s="7">
        <v>5.8981098000000003E-2</v>
      </c>
      <c r="H7" s="53"/>
    </row>
    <row r="8" spans="1:14" ht="17.100000000000001" customHeight="1" x14ac:dyDescent="0.2">
      <c r="A8" s="3">
        <v>2</v>
      </c>
      <c r="B8" s="4" t="s">
        <v>266</v>
      </c>
      <c r="C8" s="4" t="s">
        <v>267</v>
      </c>
      <c r="D8" s="4" t="s">
        <v>19</v>
      </c>
      <c r="E8" s="5">
        <v>1392929</v>
      </c>
      <c r="F8" s="6">
        <v>22678.973513500001</v>
      </c>
      <c r="G8" s="7">
        <v>4.4162408E-2</v>
      </c>
      <c r="H8" s="53"/>
    </row>
    <row r="9" spans="1:14" ht="17.100000000000001" customHeight="1" x14ac:dyDescent="0.2">
      <c r="A9" s="3">
        <v>3</v>
      </c>
      <c r="B9" s="4" t="s">
        <v>20</v>
      </c>
      <c r="C9" s="4" t="s">
        <v>21</v>
      </c>
      <c r="D9" s="4" t="s">
        <v>22</v>
      </c>
      <c r="E9" s="5">
        <v>870000</v>
      </c>
      <c r="F9" s="6">
        <v>22160.639999999999</v>
      </c>
      <c r="G9" s="7">
        <v>4.3153064999999997E-2</v>
      </c>
      <c r="H9" s="53"/>
    </row>
    <row r="10" spans="1:14" ht="17.100000000000001" customHeight="1" x14ac:dyDescent="0.2">
      <c r="A10" s="3">
        <v>4</v>
      </c>
      <c r="B10" s="4" t="s">
        <v>291</v>
      </c>
      <c r="C10" s="4" t="s">
        <v>292</v>
      </c>
      <c r="D10" s="4" t="s">
        <v>900</v>
      </c>
      <c r="E10" s="5">
        <v>1279690</v>
      </c>
      <c r="F10" s="6">
        <v>19300.28458</v>
      </c>
      <c r="G10" s="7">
        <v>3.7583140000000001E-2</v>
      </c>
      <c r="H10" s="53"/>
    </row>
    <row r="11" spans="1:14" ht="17.100000000000001" customHeight="1" x14ac:dyDescent="0.2">
      <c r="A11" s="3">
        <v>5</v>
      </c>
      <c r="B11" s="4" t="s">
        <v>29</v>
      </c>
      <c r="C11" s="4" t="s">
        <v>30</v>
      </c>
      <c r="D11" s="4" t="s">
        <v>19</v>
      </c>
      <c r="E11" s="5">
        <v>2580000</v>
      </c>
      <c r="F11" s="6">
        <v>15833.46</v>
      </c>
      <c r="G11" s="7">
        <v>3.0832247E-2</v>
      </c>
      <c r="H11" s="53"/>
    </row>
    <row r="12" spans="1:14" ht="17.100000000000001" customHeight="1" x14ac:dyDescent="0.2">
      <c r="A12" s="3">
        <v>6</v>
      </c>
      <c r="B12" s="4" t="s">
        <v>11</v>
      </c>
      <c r="C12" s="4" t="s">
        <v>12</v>
      </c>
      <c r="D12" s="4" t="s">
        <v>13</v>
      </c>
      <c r="E12" s="5">
        <v>625000</v>
      </c>
      <c r="F12" s="6">
        <v>13036.25</v>
      </c>
      <c r="G12" s="7">
        <v>2.5385284000000001E-2</v>
      </c>
      <c r="H12" s="53"/>
    </row>
    <row r="13" spans="1:14" ht="17.100000000000001" customHeight="1" x14ac:dyDescent="0.2">
      <c r="A13" s="3">
        <v>7</v>
      </c>
      <c r="B13" s="4" t="s">
        <v>336</v>
      </c>
      <c r="C13" s="4" t="s">
        <v>337</v>
      </c>
      <c r="D13" s="4" t="s">
        <v>19</v>
      </c>
      <c r="E13" s="5">
        <v>3875118</v>
      </c>
      <c r="F13" s="6">
        <v>12915.768294</v>
      </c>
      <c r="G13" s="7">
        <v>2.5150671999999999E-2</v>
      </c>
      <c r="H13" s="53"/>
      <c r="J13" s="188" t="s">
        <v>1078</v>
      </c>
    </row>
    <row r="14" spans="1:14" ht="17.100000000000001" customHeight="1" x14ac:dyDescent="0.2">
      <c r="A14" s="3">
        <v>8</v>
      </c>
      <c r="B14" s="4" t="s">
        <v>181</v>
      </c>
      <c r="C14" s="4" t="s">
        <v>182</v>
      </c>
      <c r="D14" s="4" t="s">
        <v>19</v>
      </c>
      <c r="E14" s="5">
        <v>1371950</v>
      </c>
      <c r="F14" s="6">
        <v>12810.583124999999</v>
      </c>
      <c r="G14" s="7">
        <v>2.4945847E-2</v>
      </c>
      <c r="H14" s="53"/>
    </row>
    <row r="15" spans="1:14" ht="29.1" customHeight="1" x14ac:dyDescent="0.2">
      <c r="A15" s="3">
        <v>9</v>
      </c>
      <c r="B15" s="4" t="s">
        <v>293</v>
      </c>
      <c r="C15" s="4" t="s">
        <v>294</v>
      </c>
      <c r="D15" s="4" t="s">
        <v>119</v>
      </c>
      <c r="E15" s="5">
        <v>384006</v>
      </c>
      <c r="F15" s="6">
        <v>10128.542256000001</v>
      </c>
      <c r="G15" s="7">
        <v>1.9723151000000001E-2</v>
      </c>
      <c r="H15" s="53"/>
    </row>
    <row r="16" spans="1:14" ht="17.100000000000001" customHeight="1" x14ac:dyDescent="0.2">
      <c r="A16" s="3">
        <v>10</v>
      </c>
      <c r="B16" s="4" t="s">
        <v>185</v>
      </c>
      <c r="C16" s="4" t="s">
        <v>186</v>
      </c>
      <c r="D16" s="4" t="s">
        <v>187</v>
      </c>
      <c r="E16" s="5">
        <v>750000</v>
      </c>
      <c r="F16" s="6">
        <v>9919.125</v>
      </c>
      <c r="G16" s="7">
        <v>1.9315355999999999E-2</v>
      </c>
      <c r="H16" s="53"/>
    </row>
    <row r="17" spans="1:10" ht="53.1" customHeight="1" x14ac:dyDescent="0.2">
      <c r="A17" s="3">
        <v>11</v>
      </c>
      <c r="B17" s="4" t="s">
        <v>46</v>
      </c>
      <c r="C17" s="4" t="s">
        <v>47</v>
      </c>
      <c r="D17" s="4" t="s">
        <v>48</v>
      </c>
      <c r="E17" s="5">
        <v>6352636</v>
      </c>
      <c r="F17" s="6">
        <v>9109.6800239999993</v>
      </c>
      <c r="G17" s="7">
        <v>1.7739136999999999E-2</v>
      </c>
      <c r="H17" s="53"/>
    </row>
    <row r="18" spans="1:10" ht="17.100000000000001" customHeight="1" x14ac:dyDescent="0.2">
      <c r="A18" s="3">
        <v>12</v>
      </c>
      <c r="B18" s="4" t="s">
        <v>261</v>
      </c>
      <c r="C18" s="4" t="s">
        <v>262</v>
      </c>
      <c r="D18" s="4" t="s">
        <v>119</v>
      </c>
      <c r="E18" s="5">
        <v>570000</v>
      </c>
      <c r="F18" s="6">
        <v>8822.7450000000008</v>
      </c>
      <c r="G18" s="7">
        <v>1.7180391999999999E-2</v>
      </c>
      <c r="H18" s="53"/>
    </row>
    <row r="19" spans="1:10" ht="17.100000000000001" customHeight="1" x14ac:dyDescent="0.2">
      <c r="A19" s="3">
        <v>13</v>
      </c>
      <c r="B19" s="4" t="s">
        <v>43</v>
      </c>
      <c r="C19" s="4" t="s">
        <v>44</v>
      </c>
      <c r="D19" s="4" t="s">
        <v>45</v>
      </c>
      <c r="E19" s="5">
        <v>310000</v>
      </c>
      <c r="F19" s="6">
        <v>8317.2999999999993</v>
      </c>
      <c r="G19" s="7">
        <v>1.6196147000000001E-2</v>
      </c>
      <c r="H19" s="53"/>
    </row>
    <row r="20" spans="1:10" ht="17.100000000000001" customHeight="1" x14ac:dyDescent="0.2">
      <c r="A20" s="3">
        <v>14</v>
      </c>
      <c r="B20" s="4" t="s">
        <v>179</v>
      </c>
      <c r="C20" s="4" t="s">
        <v>180</v>
      </c>
      <c r="D20" s="4" t="s">
        <v>19</v>
      </c>
      <c r="E20" s="5">
        <v>4445537</v>
      </c>
      <c r="F20" s="6">
        <v>8255.3622090000008</v>
      </c>
      <c r="G20" s="7">
        <v>1.6075537000000001E-2</v>
      </c>
      <c r="H20" s="53"/>
    </row>
    <row r="21" spans="1:10" ht="17.100000000000001" customHeight="1" x14ac:dyDescent="0.2">
      <c r="A21" s="3">
        <v>15</v>
      </c>
      <c r="B21" s="4" t="s">
        <v>14</v>
      </c>
      <c r="C21" s="4" t="s">
        <v>15</v>
      </c>
      <c r="D21" s="4" t="s">
        <v>16</v>
      </c>
      <c r="E21" s="5">
        <v>1002403</v>
      </c>
      <c r="F21" s="6">
        <v>8080.3705829999999</v>
      </c>
      <c r="G21" s="7">
        <v>1.5734778000000001E-2</v>
      </c>
      <c r="H21" s="53"/>
    </row>
    <row r="22" spans="1:10" ht="17.100000000000001" customHeight="1" x14ac:dyDescent="0.2">
      <c r="A22" s="3">
        <v>16</v>
      </c>
      <c r="B22" s="4" t="s">
        <v>338</v>
      </c>
      <c r="C22" s="4" t="s">
        <v>339</v>
      </c>
      <c r="D22" s="4" t="s">
        <v>33</v>
      </c>
      <c r="E22" s="5">
        <v>856506</v>
      </c>
      <c r="F22" s="6">
        <v>8067.8582669999996</v>
      </c>
      <c r="G22" s="7">
        <v>1.5710412999999999E-2</v>
      </c>
      <c r="H22" s="53"/>
      <c r="J22" s="188" t="s">
        <v>1079</v>
      </c>
    </row>
    <row r="23" spans="1:10" ht="17.100000000000001" customHeight="1" x14ac:dyDescent="0.2">
      <c r="A23" s="3">
        <v>17</v>
      </c>
      <c r="B23" s="4" t="s">
        <v>268</v>
      </c>
      <c r="C23" s="4" t="s">
        <v>269</v>
      </c>
      <c r="D23" s="4" t="s">
        <v>87</v>
      </c>
      <c r="E23" s="5">
        <v>1535229</v>
      </c>
      <c r="F23" s="6">
        <v>8001.6135480000003</v>
      </c>
      <c r="G23" s="7">
        <v>1.5581416000000001E-2</v>
      </c>
      <c r="H23" s="53"/>
    </row>
    <row r="24" spans="1:10" ht="17.100000000000001" customHeight="1" x14ac:dyDescent="0.2">
      <c r="A24" s="3">
        <v>18</v>
      </c>
      <c r="B24" s="4" t="s">
        <v>112</v>
      </c>
      <c r="C24" s="4" t="s">
        <v>113</v>
      </c>
      <c r="D24" s="4" t="s">
        <v>87</v>
      </c>
      <c r="E24" s="5">
        <v>1863566</v>
      </c>
      <c r="F24" s="6">
        <v>7817.6593700000003</v>
      </c>
      <c r="G24" s="7">
        <v>1.5223205E-2</v>
      </c>
      <c r="H24" s="53"/>
    </row>
    <row r="25" spans="1:10" ht="17.100000000000001" customHeight="1" x14ac:dyDescent="0.2">
      <c r="A25" s="3">
        <v>19</v>
      </c>
      <c r="B25" s="4" t="s">
        <v>103</v>
      </c>
      <c r="C25" s="4" t="s">
        <v>104</v>
      </c>
      <c r="D25" s="4" t="s">
        <v>105</v>
      </c>
      <c r="E25" s="5">
        <v>1649310</v>
      </c>
      <c r="F25" s="6">
        <v>7807.0088850000002</v>
      </c>
      <c r="G25" s="7">
        <v>1.5202466E-2</v>
      </c>
      <c r="H25" s="53"/>
    </row>
    <row r="26" spans="1:10" ht="17.100000000000001" customHeight="1" x14ac:dyDescent="0.2">
      <c r="A26" s="3">
        <v>20</v>
      </c>
      <c r="B26" s="4" t="s">
        <v>327</v>
      </c>
      <c r="C26" s="4" t="s">
        <v>328</v>
      </c>
      <c r="D26" s="4" t="s">
        <v>19</v>
      </c>
      <c r="E26" s="5">
        <v>635000</v>
      </c>
      <c r="F26" s="6">
        <v>7747.6350000000002</v>
      </c>
      <c r="G26" s="7">
        <v>1.5086848E-2</v>
      </c>
      <c r="H26" s="53"/>
    </row>
    <row r="27" spans="1:10" ht="17.100000000000001" customHeight="1" x14ac:dyDescent="0.2">
      <c r="A27" s="3">
        <v>21</v>
      </c>
      <c r="B27" s="4" t="s">
        <v>38</v>
      </c>
      <c r="C27" s="4" t="s">
        <v>39</v>
      </c>
      <c r="D27" s="4" t="s">
        <v>40</v>
      </c>
      <c r="E27" s="5">
        <v>1015161</v>
      </c>
      <c r="F27" s="6">
        <v>7500.0094680000002</v>
      </c>
      <c r="G27" s="7">
        <v>1.460465E-2</v>
      </c>
      <c r="H27" s="53"/>
    </row>
    <row r="28" spans="1:10" ht="17.100000000000001" customHeight="1" x14ac:dyDescent="0.2">
      <c r="A28" s="3">
        <v>22</v>
      </c>
      <c r="B28" s="4" t="s">
        <v>303</v>
      </c>
      <c r="C28" s="4" t="s">
        <v>304</v>
      </c>
      <c r="D28" s="4" t="s">
        <v>305</v>
      </c>
      <c r="E28" s="5">
        <v>290831</v>
      </c>
      <c r="F28" s="6">
        <v>7448.3273255000004</v>
      </c>
      <c r="G28" s="7">
        <v>1.4504011000000001E-2</v>
      </c>
      <c r="H28" s="53"/>
    </row>
    <row r="29" spans="1:10" ht="17.100000000000001" customHeight="1" x14ac:dyDescent="0.2">
      <c r="A29" s="3">
        <v>23</v>
      </c>
      <c r="B29" s="4" t="s">
        <v>297</v>
      </c>
      <c r="C29" s="4" t="s">
        <v>298</v>
      </c>
      <c r="D29" s="4" t="s">
        <v>900</v>
      </c>
      <c r="E29" s="5">
        <v>224671</v>
      </c>
      <c r="F29" s="6">
        <v>7316.8604569999998</v>
      </c>
      <c r="G29" s="7">
        <v>1.4248007E-2</v>
      </c>
      <c r="H29" s="53"/>
    </row>
    <row r="30" spans="1:10" ht="17.100000000000001" customHeight="1" x14ac:dyDescent="0.2">
      <c r="A30" s="3">
        <v>24</v>
      </c>
      <c r="B30" s="4" t="s">
        <v>287</v>
      </c>
      <c r="C30" s="4" t="s">
        <v>288</v>
      </c>
      <c r="D30" s="4" t="s">
        <v>116</v>
      </c>
      <c r="E30" s="5">
        <v>184208</v>
      </c>
      <c r="F30" s="6">
        <v>7192.5855680000004</v>
      </c>
      <c r="G30" s="7">
        <v>1.4006009E-2</v>
      </c>
      <c r="H30" s="53"/>
    </row>
    <row r="31" spans="1:10" ht="17.100000000000001" customHeight="1" x14ac:dyDescent="0.2">
      <c r="A31" s="3">
        <v>25</v>
      </c>
      <c r="B31" s="4" t="s">
        <v>242</v>
      </c>
      <c r="C31" s="4" t="s">
        <v>243</v>
      </c>
      <c r="D31" s="4" t="s">
        <v>33</v>
      </c>
      <c r="E31" s="5">
        <v>364960</v>
      </c>
      <c r="F31" s="6">
        <v>7167.4494400000003</v>
      </c>
      <c r="G31" s="7">
        <v>1.3957061E-2</v>
      </c>
      <c r="H31" s="53"/>
    </row>
    <row r="32" spans="1:10" ht="17.100000000000001" customHeight="1" x14ac:dyDescent="0.2">
      <c r="A32" s="3">
        <v>26</v>
      </c>
      <c r="B32" s="4" t="s">
        <v>97</v>
      </c>
      <c r="C32" s="4" t="s">
        <v>98</v>
      </c>
      <c r="D32" s="4" t="s">
        <v>96</v>
      </c>
      <c r="E32" s="5">
        <v>801652</v>
      </c>
      <c r="F32" s="6">
        <v>6957.9385339999999</v>
      </c>
      <c r="G32" s="7">
        <v>1.3549083999999999E-2</v>
      </c>
      <c r="H32" s="53"/>
    </row>
    <row r="33" spans="1:8" ht="17.100000000000001" customHeight="1" x14ac:dyDescent="0.2">
      <c r="A33" s="3">
        <v>27</v>
      </c>
      <c r="B33" s="4" t="s">
        <v>246</v>
      </c>
      <c r="C33" s="4" t="s">
        <v>247</v>
      </c>
      <c r="D33" s="4" t="s">
        <v>248</v>
      </c>
      <c r="E33" s="5">
        <v>997049</v>
      </c>
      <c r="F33" s="6">
        <v>6755.0069750000002</v>
      </c>
      <c r="G33" s="7">
        <v>1.3153919E-2</v>
      </c>
      <c r="H33" s="53"/>
    </row>
    <row r="34" spans="1:8" ht="17.100000000000001" customHeight="1" x14ac:dyDescent="0.2">
      <c r="A34" s="3">
        <v>28</v>
      </c>
      <c r="B34" s="4" t="s">
        <v>340</v>
      </c>
      <c r="C34" s="4" t="s">
        <v>341</v>
      </c>
      <c r="D34" s="4" t="s">
        <v>224</v>
      </c>
      <c r="E34" s="5">
        <v>2105119</v>
      </c>
      <c r="F34" s="6">
        <v>6707.9616935000004</v>
      </c>
      <c r="G34" s="7">
        <v>1.3062308E-2</v>
      </c>
      <c r="H34" s="53"/>
    </row>
    <row r="35" spans="1:8" ht="29.1" customHeight="1" x14ac:dyDescent="0.2">
      <c r="A35" s="3">
        <v>29</v>
      </c>
      <c r="B35" s="4" t="s">
        <v>191</v>
      </c>
      <c r="C35" s="4" t="s">
        <v>192</v>
      </c>
      <c r="D35" s="4" t="s">
        <v>116</v>
      </c>
      <c r="E35" s="5">
        <v>1981839</v>
      </c>
      <c r="F35" s="6">
        <v>6667.8973155000003</v>
      </c>
      <c r="G35" s="7">
        <v>1.2984291E-2</v>
      </c>
      <c r="H35" s="53"/>
    </row>
    <row r="36" spans="1:8" ht="17.100000000000001" customHeight="1" x14ac:dyDescent="0.2">
      <c r="A36" s="3">
        <v>30</v>
      </c>
      <c r="B36" s="4" t="s">
        <v>85</v>
      </c>
      <c r="C36" s="4" t="s">
        <v>86</v>
      </c>
      <c r="D36" s="4" t="s">
        <v>87</v>
      </c>
      <c r="E36" s="5">
        <v>242298</v>
      </c>
      <c r="F36" s="6">
        <v>6655.0780169999998</v>
      </c>
      <c r="G36" s="7">
        <v>1.2959329E-2</v>
      </c>
      <c r="H36" s="53"/>
    </row>
    <row r="37" spans="1:8" ht="17.100000000000001" customHeight="1" x14ac:dyDescent="0.2">
      <c r="A37" s="3">
        <v>31</v>
      </c>
      <c r="B37" s="4" t="s">
        <v>220</v>
      </c>
      <c r="C37" s="4" t="s">
        <v>221</v>
      </c>
      <c r="D37" s="4" t="s">
        <v>187</v>
      </c>
      <c r="E37" s="5">
        <v>385360</v>
      </c>
      <c r="F37" s="6">
        <v>6550.3492800000004</v>
      </c>
      <c r="G37" s="7">
        <v>1.2755392000000001E-2</v>
      </c>
      <c r="H37" s="53"/>
    </row>
    <row r="38" spans="1:8" ht="17.100000000000001" customHeight="1" x14ac:dyDescent="0.2">
      <c r="A38" s="3">
        <v>32</v>
      </c>
      <c r="B38" s="4" t="s">
        <v>342</v>
      </c>
      <c r="C38" s="4" t="s">
        <v>343</v>
      </c>
      <c r="D38" s="4" t="s">
        <v>119</v>
      </c>
      <c r="E38" s="5">
        <v>99037</v>
      </c>
      <c r="F38" s="6">
        <v>6511.8808239999998</v>
      </c>
      <c r="G38" s="7">
        <v>1.2680482999999999E-2</v>
      </c>
      <c r="H38" s="53"/>
    </row>
    <row r="39" spans="1:8" ht="29.1" customHeight="1" x14ac:dyDescent="0.2">
      <c r="A39" s="3">
        <v>33</v>
      </c>
      <c r="B39" s="4" t="s">
        <v>344</v>
      </c>
      <c r="C39" s="4" t="s">
        <v>345</v>
      </c>
      <c r="D39" s="4" t="s">
        <v>227</v>
      </c>
      <c r="E39" s="5">
        <v>187233</v>
      </c>
      <c r="F39" s="6">
        <v>6390.6367559999999</v>
      </c>
      <c r="G39" s="7">
        <v>1.2444386E-2</v>
      </c>
      <c r="H39" s="53"/>
    </row>
    <row r="40" spans="1:8" ht="17.100000000000001" customHeight="1" x14ac:dyDescent="0.2">
      <c r="A40" s="3">
        <v>34</v>
      </c>
      <c r="B40" s="4" t="s">
        <v>54</v>
      </c>
      <c r="C40" s="4" t="s">
        <v>55</v>
      </c>
      <c r="D40" s="4" t="s">
        <v>33</v>
      </c>
      <c r="E40" s="5">
        <v>244000</v>
      </c>
      <c r="F40" s="6">
        <v>6268.6040000000003</v>
      </c>
      <c r="G40" s="7">
        <v>1.2206754E-2</v>
      </c>
      <c r="H40" s="53"/>
    </row>
    <row r="41" spans="1:8" ht="29.1" customHeight="1" x14ac:dyDescent="0.2">
      <c r="A41" s="3">
        <v>35</v>
      </c>
      <c r="B41" s="4" t="s">
        <v>299</v>
      </c>
      <c r="C41" s="4" t="s">
        <v>300</v>
      </c>
      <c r="D41" s="4" t="s">
        <v>227</v>
      </c>
      <c r="E41" s="5">
        <v>622280</v>
      </c>
      <c r="F41" s="6">
        <v>6231.5119199999999</v>
      </c>
      <c r="G41" s="7">
        <v>1.2134525E-2</v>
      </c>
      <c r="H41" s="53"/>
    </row>
    <row r="42" spans="1:8" ht="29.1" customHeight="1" x14ac:dyDescent="0.2">
      <c r="A42" s="3">
        <v>36</v>
      </c>
      <c r="B42" s="4" t="s">
        <v>23</v>
      </c>
      <c r="C42" s="4" t="s">
        <v>24</v>
      </c>
      <c r="D42" s="4" t="s">
        <v>25</v>
      </c>
      <c r="E42" s="5">
        <v>88217</v>
      </c>
      <c r="F42" s="6">
        <v>6139.0651385000001</v>
      </c>
      <c r="G42" s="7">
        <v>1.1954505000000001E-2</v>
      </c>
      <c r="H42" s="53"/>
    </row>
    <row r="43" spans="1:8" ht="29.1" customHeight="1" x14ac:dyDescent="0.2">
      <c r="A43" s="3">
        <v>37</v>
      </c>
      <c r="B43" s="4" t="s">
        <v>117</v>
      </c>
      <c r="C43" s="4" t="s">
        <v>118</v>
      </c>
      <c r="D43" s="4" t="s">
        <v>119</v>
      </c>
      <c r="E43" s="5">
        <v>808159</v>
      </c>
      <c r="F43" s="6">
        <v>5842.1814109999996</v>
      </c>
      <c r="G43" s="7">
        <v>1.1376387999999999E-2</v>
      </c>
      <c r="H43" s="53"/>
    </row>
    <row r="44" spans="1:8" ht="17.100000000000001" customHeight="1" x14ac:dyDescent="0.2">
      <c r="A44" s="3">
        <v>38</v>
      </c>
      <c r="B44" s="4" t="s">
        <v>346</v>
      </c>
      <c r="C44" s="4" t="s">
        <v>347</v>
      </c>
      <c r="D44" s="4" t="s">
        <v>40</v>
      </c>
      <c r="E44" s="5">
        <v>320375</v>
      </c>
      <c r="F44" s="6">
        <v>5746.4061874999998</v>
      </c>
      <c r="G44" s="7">
        <v>1.1189886E-2</v>
      </c>
      <c r="H44" s="53"/>
    </row>
    <row r="45" spans="1:8" ht="29.1" customHeight="1" x14ac:dyDescent="0.2">
      <c r="A45" s="3">
        <v>39</v>
      </c>
      <c r="B45" s="4" t="s">
        <v>215</v>
      </c>
      <c r="C45" s="4" t="s">
        <v>216</v>
      </c>
      <c r="D45" s="4" t="s">
        <v>204</v>
      </c>
      <c r="E45" s="5">
        <v>167631</v>
      </c>
      <c r="F45" s="6">
        <v>5732.8125689999997</v>
      </c>
      <c r="G45" s="7">
        <v>1.1163416000000001E-2</v>
      </c>
      <c r="H45" s="53"/>
    </row>
    <row r="46" spans="1:8" ht="29.1" customHeight="1" x14ac:dyDescent="0.2">
      <c r="A46" s="3">
        <v>40</v>
      </c>
      <c r="B46" s="4" t="s">
        <v>197</v>
      </c>
      <c r="C46" s="4" t="s">
        <v>198</v>
      </c>
      <c r="D46" s="4" t="s">
        <v>199</v>
      </c>
      <c r="E46" s="5">
        <v>140588</v>
      </c>
      <c r="F46" s="6">
        <v>5720.8771900000002</v>
      </c>
      <c r="G46" s="7">
        <v>1.1140173999999999E-2</v>
      </c>
      <c r="H46" s="53"/>
    </row>
    <row r="47" spans="1:8" ht="53.1" customHeight="1" x14ac:dyDescent="0.2">
      <c r="A47" s="3">
        <v>41</v>
      </c>
      <c r="B47" s="4" t="s">
        <v>90</v>
      </c>
      <c r="C47" s="4" t="s">
        <v>91</v>
      </c>
      <c r="D47" s="4" t="s">
        <v>48</v>
      </c>
      <c r="E47" s="5">
        <v>378482</v>
      </c>
      <c r="F47" s="6">
        <v>5557.2512059999999</v>
      </c>
      <c r="G47" s="7">
        <v>1.0821548E-2</v>
      </c>
      <c r="H47" s="53"/>
    </row>
    <row r="48" spans="1:8" ht="17.100000000000001" customHeight="1" x14ac:dyDescent="0.2">
      <c r="A48" s="3">
        <v>42</v>
      </c>
      <c r="B48" s="4" t="s">
        <v>348</v>
      </c>
      <c r="C48" s="4" t="s">
        <v>349</v>
      </c>
      <c r="D48" s="4" t="s">
        <v>190</v>
      </c>
      <c r="E48" s="5">
        <v>133556</v>
      </c>
      <c r="F48" s="6">
        <v>5434.0597500000003</v>
      </c>
      <c r="G48" s="7">
        <v>1.0581659E-2</v>
      </c>
      <c r="H48" s="53"/>
    </row>
    <row r="49" spans="1:8" ht="17.100000000000001" customHeight="1" x14ac:dyDescent="0.2">
      <c r="A49" s="3">
        <v>43</v>
      </c>
      <c r="B49" s="4" t="s">
        <v>70</v>
      </c>
      <c r="C49" s="4" t="s">
        <v>71</v>
      </c>
      <c r="D49" s="4" t="s">
        <v>72</v>
      </c>
      <c r="E49" s="5">
        <v>63700</v>
      </c>
      <c r="F49" s="6">
        <v>5347.3602000000001</v>
      </c>
      <c r="G49" s="7">
        <v>1.041283E-2</v>
      </c>
      <c r="H49" s="53"/>
    </row>
    <row r="50" spans="1:8" ht="17.100000000000001" customHeight="1" x14ac:dyDescent="0.2">
      <c r="A50" s="3">
        <v>44</v>
      </c>
      <c r="B50" s="4" t="s">
        <v>350</v>
      </c>
      <c r="C50" s="4" t="s">
        <v>351</v>
      </c>
      <c r="D50" s="4" t="s">
        <v>72</v>
      </c>
      <c r="E50" s="5">
        <v>1355977</v>
      </c>
      <c r="F50" s="6">
        <v>5260.5127714999999</v>
      </c>
      <c r="G50" s="7">
        <v>1.0243713999999999E-2</v>
      </c>
      <c r="H50" s="53"/>
    </row>
    <row r="51" spans="1:8" ht="17.100000000000001" customHeight="1" x14ac:dyDescent="0.2">
      <c r="A51" s="3">
        <v>45</v>
      </c>
      <c r="B51" s="4" t="s">
        <v>222</v>
      </c>
      <c r="C51" s="4" t="s">
        <v>223</v>
      </c>
      <c r="D51" s="4" t="s">
        <v>224</v>
      </c>
      <c r="E51" s="5">
        <v>985365</v>
      </c>
      <c r="F51" s="6">
        <v>5035.7078325000002</v>
      </c>
      <c r="G51" s="7">
        <v>9.8059549999999999E-3</v>
      </c>
      <c r="H51" s="53"/>
    </row>
    <row r="52" spans="1:8" ht="17.100000000000001" customHeight="1" x14ac:dyDescent="0.2">
      <c r="A52" s="3">
        <v>46</v>
      </c>
      <c r="B52" s="4" t="s">
        <v>238</v>
      </c>
      <c r="C52" s="4" t="s">
        <v>239</v>
      </c>
      <c r="D52" s="4" t="s">
        <v>237</v>
      </c>
      <c r="E52" s="5">
        <v>1743213</v>
      </c>
      <c r="F52" s="6">
        <v>4987.3323929999997</v>
      </c>
      <c r="G52" s="7">
        <v>9.7117539999999995E-3</v>
      </c>
      <c r="H52" s="53"/>
    </row>
    <row r="53" spans="1:8" ht="17.100000000000001" customHeight="1" x14ac:dyDescent="0.2">
      <c r="A53" s="3">
        <v>47</v>
      </c>
      <c r="B53" s="4" t="s">
        <v>279</v>
      </c>
      <c r="C53" s="4" t="s">
        <v>280</v>
      </c>
      <c r="D53" s="4" t="s">
        <v>209</v>
      </c>
      <c r="E53" s="5">
        <v>1176577</v>
      </c>
      <c r="F53" s="6">
        <v>4870.4404914999996</v>
      </c>
      <c r="G53" s="7">
        <v>9.4841319999999993E-3</v>
      </c>
      <c r="H53" s="53"/>
    </row>
    <row r="54" spans="1:8" ht="29.1" customHeight="1" x14ac:dyDescent="0.2">
      <c r="A54" s="3">
        <v>48</v>
      </c>
      <c r="B54" s="4" t="s">
        <v>352</v>
      </c>
      <c r="C54" s="4" t="s">
        <v>353</v>
      </c>
      <c r="D54" s="4" t="s">
        <v>199</v>
      </c>
      <c r="E54" s="5">
        <v>58125</v>
      </c>
      <c r="F54" s="6">
        <v>4799.9624999999996</v>
      </c>
      <c r="G54" s="7">
        <v>9.3468909999999995E-3</v>
      </c>
      <c r="H54" s="53"/>
    </row>
    <row r="55" spans="1:8" ht="17.100000000000001" customHeight="1" x14ac:dyDescent="0.2">
      <c r="A55" s="3">
        <v>49</v>
      </c>
      <c r="B55" s="4" t="s">
        <v>272</v>
      </c>
      <c r="C55" s="4" t="s">
        <v>273</v>
      </c>
      <c r="D55" s="4" t="s">
        <v>900</v>
      </c>
      <c r="E55" s="5">
        <v>241818</v>
      </c>
      <c r="F55" s="6">
        <v>4770.5855039999997</v>
      </c>
      <c r="G55" s="7">
        <v>9.2896860000000001E-3</v>
      </c>
      <c r="H55" s="53"/>
    </row>
    <row r="56" spans="1:8" ht="17.100000000000001" customHeight="1" x14ac:dyDescent="0.2">
      <c r="A56" s="3">
        <v>50</v>
      </c>
      <c r="B56" s="4" t="s">
        <v>195</v>
      </c>
      <c r="C56" s="4" t="s">
        <v>196</v>
      </c>
      <c r="D56" s="4" t="s">
        <v>87</v>
      </c>
      <c r="E56" s="5">
        <v>169137</v>
      </c>
      <c r="F56" s="6">
        <v>4694.4820035000002</v>
      </c>
      <c r="G56" s="7">
        <v>9.1414909999999999E-3</v>
      </c>
      <c r="H56" s="53"/>
    </row>
    <row r="57" spans="1:8" ht="17.100000000000001" customHeight="1" x14ac:dyDescent="0.2">
      <c r="A57" s="3">
        <v>51</v>
      </c>
      <c r="B57" s="4" t="s">
        <v>66</v>
      </c>
      <c r="C57" s="4" t="s">
        <v>67</v>
      </c>
      <c r="D57" s="4" t="s">
        <v>28</v>
      </c>
      <c r="E57" s="5">
        <v>2249244</v>
      </c>
      <c r="F57" s="6">
        <v>4671.6797880000004</v>
      </c>
      <c r="G57" s="7">
        <v>9.0970889999999992E-3</v>
      </c>
      <c r="H57" s="53"/>
    </row>
    <row r="58" spans="1:8" ht="29.1" customHeight="1" x14ac:dyDescent="0.2">
      <c r="A58" s="3">
        <v>52</v>
      </c>
      <c r="B58" s="4" t="s">
        <v>79</v>
      </c>
      <c r="C58" s="4" t="s">
        <v>80</v>
      </c>
      <c r="D58" s="4" t="s">
        <v>25</v>
      </c>
      <c r="E58" s="5">
        <v>19449</v>
      </c>
      <c r="F58" s="6">
        <v>4529.5651305000001</v>
      </c>
      <c r="G58" s="7">
        <v>8.8203510000000006E-3</v>
      </c>
      <c r="H58" s="53"/>
    </row>
    <row r="59" spans="1:8" ht="17.100000000000001" customHeight="1" x14ac:dyDescent="0.2">
      <c r="A59" s="3">
        <v>53</v>
      </c>
      <c r="B59" s="4" t="s">
        <v>205</v>
      </c>
      <c r="C59" s="4" t="s">
        <v>206</v>
      </c>
      <c r="D59" s="4" t="s">
        <v>900</v>
      </c>
      <c r="E59" s="5">
        <v>116944</v>
      </c>
      <c r="F59" s="6">
        <v>4526.785296</v>
      </c>
      <c r="G59" s="7">
        <v>8.8149379999999996E-3</v>
      </c>
      <c r="H59" s="53"/>
    </row>
    <row r="60" spans="1:8" ht="17.100000000000001" customHeight="1" x14ac:dyDescent="0.2">
      <c r="A60" s="3">
        <v>54</v>
      </c>
      <c r="B60" s="4" t="s">
        <v>259</v>
      </c>
      <c r="C60" s="4" t="s">
        <v>260</v>
      </c>
      <c r="D60" s="4" t="s">
        <v>116</v>
      </c>
      <c r="E60" s="5">
        <v>509693</v>
      </c>
      <c r="F60" s="6">
        <v>4503.1376550000004</v>
      </c>
      <c r="G60" s="7">
        <v>8.7688890000000002E-3</v>
      </c>
      <c r="H60" s="53"/>
    </row>
    <row r="61" spans="1:8" ht="17.100000000000001" customHeight="1" x14ac:dyDescent="0.2">
      <c r="A61" s="3">
        <v>55</v>
      </c>
      <c r="B61" s="4" t="s">
        <v>354</v>
      </c>
      <c r="C61" s="4" t="s">
        <v>355</v>
      </c>
      <c r="D61" s="4" t="s">
        <v>116</v>
      </c>
      <c r="E61" s="5">
        <v>170000</v>
      </c>
      <c r="F61" s="6">
        <v>4415.75</v>
      </c>
      <c r="G61" s="7">
        <v>8.5987200000000007E-3</v>
      </c>
      <c r="H61" s="53"/>
    </row>
    <row r="62" spans="1:8" ht="17.100000000000001" customHeight="1" x14ac:dyDescent="0.2">
      <c r="A62" s="3">
        <v>56</v>
      </c>
      <c r="B62" s="4" t="s">
        <v>99</v>
      </c>
      <c r="C62" s="4" t="s">
        <v>100</v>
      </c>
      <c r="D62" s="4" t="s">
        <v>33</v>
      </c>
      <c r="E62" s="5">
        <v>286278</v>
      </c>
      <c r="F62" s="6">
        <v>3951.781512</v>
      </c>
      <c r="G62" s="7">
        <v>7.6952419999999997E-3</v>
      </c>
      <c r="H62" s="53"/>
    </row>
    <row r="63" spans="1:8" ht="17.100000000000001" customHeight="1" x14ac:dyDescent="0.2">
      <c r="A63" s="3">
        <v>57</v>
      </c>
      <c r="B63" s="4" t="s">
        <v>210</v>
      </c>
      <c r="C63" s="4" t="s">
        <v>211</v>
      </c>
      <c r="D63" s="4" t="s">
        <v>212</v>
      </c>
      <c r="E63" s="5">
        <v>8729</v>
      </c>
      <c r="F63" s="6">
        <v>3739.2155429999998</v>
      </c>
      <c r="G63" s="7">
        <v>7.2813160000000004E-3</v>
      </c>
      <c r="H63" s="53"/>
    </row>
    <row r="64" spans="1:8" ht="29.1" customHeight="1" x14ac:dyDescent="0.2">
      <c r="A64" s="3">
        <v>58</v>
      </c>
      <c r="B64" s="4" t="s">
        <v>200</v>
      </c>
      <c r="C64" s="4" t="s">
        <v>201</v>
      </c>
      <c r="D64" s="4" t="s">
        <v>199</v>
      </c>
      <c r="E64" s="5">
        <v>150285</v>
      </c>
      <c r="F64" s="6">
        <v>3442.0524974999998</v>
      </c>
      <c r="G64" s="7">
        <v>6.7026550000000001E-3</v>
      </c>
      <c r="H64" s="53"/>
    </row>
    <row r="65" spans="1:8" ht="17.100000000000001" customHeight="1" x14ac:dyDescent="0.2">
      <c r="A65" s="3">
        <v>59</v>
      </c>
      <c r="B65" s="4" t="s">
        <v>356</v>
      </c>
      <c r="C65" s="4" t="s">
        <v>357</v>
      </c>
      <c r="D65" s="4" t="s">
        <v>87</v>
      </c>
      <c r="E65" s="5">
        <v>328185</v>
      </c>
      <c r="F65" s="6">
        <v>3188.973645</v>
      </c>
      <c r="G65" s="7">
        <v>6.2098379999999996E-3</v>
      </c>
      <c r="H65" s="53"/>
    </row>
    <row r="66" spans="1:8" ht="17.100000000000001" customHeight="1" x14ac:dyDescent="0.2">
      <c r="A66" s="3">
        <v>60</v>
      </c>
      <c r="B66" s="4" t="s">
        <v>358</v>
      </c>
      <c r="C66" s="4" t="s">
        <v>359</v>
      </c>
      <c r="D66" s="4" t="s">
        <v>116</v>
      </c>
      <c r="E66" s="5">
        <v>348399</v>
      </c>
      <c r="F66" s="6">
        <v>3170.6050995000001</v>
      </c>
      <c r="G66" s="7">
        <v>6.1740689999999999E-3</v>
      </c>
      <c r="H66" s="53"/>
    </row>
    <row r="67" spans="1:8" ht="17.100000000000001" customHeight="1" x14ac:dyDescent="0.2">
      <c r="A67" s="3">
        <v>61</v>
      </c>
      <c r="B67" s="4" t="s">
        <v>253</v>
      </c>
      <c r="C67" s="4" t="s">
        <v>254</v>
      </c>
      <c r="D67" s="4" t="s">
        <v>119</v>
      </c>
      <c r="E67" s="5">
        <v>492415</v>
      </c>
      <c r="F67" s="6">
        <v>2710.9907825</v>
      </c>
      <c r="G67" s="7">
        <v>5.2790700000000003E-3</v>
      </c>
      <c r="H67" s="53"/>
    </row>
    <row r="68" spans="1:8" ht="17.100000000000001" customHeight="1" x14ac:dyDescent="0.2">
      <c r="A68" s="3">
        <v>62</v>
      </c>
      <c r="B68" s="4" t="s">
        <v>274</v>
      </c>
      <c r="C68" s="4" t="s">
        <v>275</v>
      </c>
      <c r="D68" s="4" t="s">
        <v>116</v>
      </c>
      <c r="E68" s="5">
        <v>198211</v>
      </c>
      <c r="F68" s="6">
        <v>2299.6440219999999</v>
      </c>
      <c r="G68" s="7">
        <v>4.4780610000000002E-3</v>
      </c>
      <c r="H68" s="53"/>
    </row>
    <row r="69" spans="1:8" ht="17.100000000000001" customHeight="1" x14ac:dyDescent="0.2">
      <c r="A69" s="3">
        <v>63</v>
      </c>
      <c r="B69" s="4" t="s">
        <v>75</v>
      </c>
      <c r="C69" s="4" t="s">
        <v>76</v>
      </c>
      <c r="D69" s="4" t="s">
        <v>45</v>
      </c>
      <c r="E69" s="5">
        <v>784127</v>
      </c>
      <c r="F69" s="6">
        <v>2040.6905174999999</v>
      </c>
      <c r="G69" s="7">
        <v>3.9738050000000004E-3</v>
      </c>
      <c r="H69" s="53"/>
    </row>
    <row r="70" spans="1:8" ht="17.100000000000001" customHeight="1" x14ac:dyDescent="0.2">
      <c r="A70" s="3">
        <v>64</v>
      </c>
      <c r="B70" s="4" t="s">
        <v>244</v>
      </c>
      <c r="C70" s="4" t="s">
        <v>245</v>
      </c>
      <c r="D70" s="4" t="s">
        <v>116</v>
      </c>
      <c r="E70" s="5">
        <v>192573</v>
      </c>
      <c r="F70" s="6">
        <v>1540.2951404999999</v>
      </c>
      <c r="G70" s="7">
        <v>2.999392E-3</v>
      </c>
      <c r="H70" s="53"/>
    </row>
    <row r="71" spans="1:8" ht="17.100000000000001" customHeight="1" x14ac:dyDescent="0.2">
      <c r="A71" s="3">
        <v>65</v>
      </c>
      <c r="B71" s="4" t="s">
        <v>360</v>
      </c>
      <c r="C71" s="4" t="s">
        <v>361</v>
      </c>
      <c r="D71" s="4" t="s">
        <v>190</v>
      </c>
      <c r="E71" s="5">
        <v>989118</v>
      </c>
      <c r="F71" s="6">
        <v>1531.6492229999999</v>
      </c>
      <c r="G71" s="7">
        <v>2.9825559999999999E-3</v>
      </c>
      <c r="H71" s="53"/>
    </row>
    <row r="72" spans="1:8" ht="17.100000000000001" customHeight="1" x14ac:dyDescent="0.2">
      <c r="A72" s="3">
        <v>66</v>
      </c>
      <c r="B72" s="4" t="s">
        <v>127</v>
      </c>
      <c r="C72" s="4" t="s">
        <v>128</v>
      </c>
      <c r="D72" s="4" t="s">
        <v>119</v>
      </c>
      <c r="E72" s="5">
        <v>378482</v>
      </c>
      <c r="F72" s="6">
        <v>856.5426142</v>
      </c>
      <c r="G72" s="7">
        <v>1.667932E-3</v>
      </c>
      <c r="H72" s="53"/>
    </row>
    <row r="73" spans="1:8" ht="14.1" customHeight="1" x14ac:dyDescent="0.2">
      <c r="A73" s="1"/>
      <c r="B73" s="1"/>
      <c r="C73" s="2" t="s">
        <v>132</v>
      </c>
      <c r="D73" s="1"/>
      <c r="E73" s="1" t="s">
        <v>133</v>
      </c>
      <c r="F73" s="9">
        <v>484480.25284219999</v>
      </c>
      <c r="G73" s="10">
        <v>0.94342076799999997</v>
      </c>
      <c r="H73" s="53"/>
    </row>
    <row r="74" spans="1:8" ht="14.1" customHeight="1" x14ac:dyDescent="0.2">
      <c r="A74" s="1"/>
      <c r="B74" s="1"/>
      <c r="C74" s="11"/>
      <c r="D74" s="1"/>
      <c r="E74" s="1"/>
      <c r="F74" s="12"/>
      <c r="G74" s="12"/>
      <c r="H74" s="53"/>
    </row>
    <row r="75" spans="1:8" ht="14.1" customHeight="1" x14ac:dyDescent="0.2">
      <c r="A75" s="1"/>
      <c r="B75" s="1"/>
      <c r="C75" s="2" t="s">
        <v>134</v>
      </c>
      <c r="D75" s="1"/>
      <c r="E75" s="1"/>
      <c r="F75" s="1"/>
      <c r="G75" s="1"/>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4.1" customHeight="1" x14ac:dyDescent="0.2">
      <c r="A78" s="1"/>
      <c r="B78" s="1"/>
      <c r="C78" s="2" t="s">
        <v>135</v>
      </c>
      <c r="D78" s="1"/>
      <c r="E78" s="1"/>
      <c r="F78" s="1"/>
      <c r="G78" s="1"/>
      <c r="H78" s="53"/>
    </row>
    <row r="79" spans="1:8" ht="14.1" customHeight="1" x14ac:dyDescent="0.2">
      <c r="A79" s="1"/>
      <c r="B79" s="1"/>
      <c r="C79" s="2" t="s">
        <v>132</v>
      </c>
      <c r="D79" s="1"/>
      <c r="E79" s="1" t="s">
        <v>133</v>
      </c>
      <c r="F79" s="13">
        <v>0</v>
      </c>
      <c r="G79" s="14">
        <v>0</v>
      </c>
      <c r="H79" s="53"/>
    </row>
    <row r="80" spans="1:8" ht="14.1" customHeight="1" x14ac:dyDescent="0.2">
      <c r="A80" s="1"/>
      <c r="B80" s="1"/>
      <c r="C80" s="11"/>
      <c r="D80" s="1"/>
      <c r="E80" s="1"/>
      <c r="F80" s="12"/>
      <c r="G80" s="12"/>
      <c r="H80" s="53"/>
    </row>
    <row r="81" spans="1:8" ht="14.1" customHeight="1" x14ac:dyDescent="0.2">
      <c r="A81" s="1"/>
      <c r="B81" s="1"/>
      <c r="C81" s="2" t="s">
        <v>136</v>
      </c>
      <c r="D81" s="1"/>
      <c r="E81" s="1"/>
      <c r="F81" s="1"/>
      <c r="G81" s="1"/>
      <c r="H81" s="53"/>
    </row>
    <row r="82" spans="1:8" ht="14.1" customHeight="1" x14ac:dyDescent="0.2">
      <c r="A82" s="1"/>
      <c r="B82" s="1"/>
      <c r="C82" s="2" t="s">
        <v>132</v>
      </c>
      <c r="D82" s="1"/>
      <c r="E82" s="1" t="s">
        <v>133</v>
      </c>
      <c r="F82" s="13">
        <v>0</v>
      </c>
      <c r="G82" s="14">
        <v>0</v>
      </c>
      <c r="H82" s="53"/>
    </row>
    <row r="83" spans="1:8" ht="14.1" customHeight="1" x14ac:dyDescent="0.2">
      <c r="A83" s="1"/>
      <c r="B83" s="1"/>
      <c r="C83" s="11"/>
      <c r="D83" s="1"/>
      <c r="E83" s="1"/>
      <c r="F83" s="12"/>
      <c r="G83" s="12"/>
      <c r="H83" s="53"/>
    </row>
    <row r="84" spans="1:8" ht="14.1" customHeight="1" x14ac:dyDescent="0.2">
      <c r="A84" s="1"/>
      <c r="B84" s="1"/>
      <c r="C84" s="2" t="s">
        <v>137</v>
      </c>
      <c r="D84" s="1"/>
      <c r="E84" s="1"/>
      <c r="F84" s="12"/>
      <c r="G84" s="12"/>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138</v>
      </c>
      <c r="D87" s="1"/>
      <c r="E87" s="1"/>
      <c r="F87" s="12"/>
      <c r="G87" s="12"/>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8" customHeight="1" x14ac:dyDescent="0.2">
      <c r="A90" s="1"/>
      <c r="B90" s="1"/>
      <c r="C90" s="2" t="s">
        <v>139</v>
      </c>
      <c r="D90" s="1"/>
      <c r="E90" s="1"/>
      <c r="F90" s="9">
        <v>484480.25284219999</v>
      </c>
      <c r="G90" s="10">
        <v>0.94342076799999997</v>
      </c>
      <c r="H90" s="53"/>
    </row>
    <row r="91" spans="1:8" ht="14.1" customHeight="1" x14ac:dyDescent="0.2">
      <c r="A91" s="1"/>
      <c r="B91" s="1"/>
      <c r="C91" s="11"/>
      <c r="D91" s="1"/>
      <c r="E91" s="1"/>
      <c r="F91" s="12"/>
      <c r="G91" s="12"/>
      <c r="H91" s="53"/>
    </row>
    <row r="92" spans="1:8" ht="14.1" customHeight="1" x14ac:dyDescent="0.2">
      <c r="A92" s="1"/>
      <c r="B92" s="1"/>
      <c r="C92" s="2" t="s">
        <v>140</v>
      </c>
      <c r="D92" s="1"/>
      <c r="E92" s="1"/>
      <c r="F92" s="12"/>
      <c r="G92" s="12"/>
      <c r="H92" s="53"/>
    </row>
    <row r="93" spans="1:8" ht="24" customHeight="1" x14ac:dyDescent="0.2">
      <c r="A93" s="1"/>
      <c r="B93" s="1"/>
      <c r="C93" s="2" t="s">
        <v>10</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141</v>
      </c>
      <c r="D96" s="1"/>
      <c r="E96" s="1"/>
      <c r="F96" s="1"/>
      <c r="G96" s="1"/>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142</v>
      </c>
      <c r="D99" s="1"/>
      <c r="E99" s="1"/>
      <c r="F99" s="1"/>
      <c r="G99" s="1"/>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143</v>
      </c>
      <c r="D102" s="1"/>
      <c r="E102" s="1"/>
      <c r="F102" s="12"/>
      <c r="G102" s="12"/>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144</v>
      </c>
      <c r="D105" s="1"/>
      <c r="E105" s="1"/>
      <c r="F105" s="9">
        <v>0</v>
      </c>
      <c r="G105" s="10">
        <v>0</v>
      </c>
      <c r="H105" s="53"/>
    </row>
    <row r="106" spans="1:8" ht="14.1" customHeight="1" x14ac:dyDescent="0.2">
      <c r="A106" s="1"/>
      <c r="B106" s="1"/>
      <c r="C106" s="11"/>
      <c r="D106" s="1"/>
      <c r="E106" s="1"/>
      <c r="F106" s="12"/>
      <c r="G106" s="12"/>
      <c r="H106" s="53"/>
    </row>
    <row r="107" spans="1:8" ht="14.1" customHeight="1" x14ac:dyDescent="0.2">
      <c r="A107" s="1"/>
      <c r="B107" s="1"/>
      <c r="C107" s="2" t="s">
        <v>145</v>
      </c>
      <c r="D107" s="1"/>
      <c r="E107" s="1"/>
      <c r="F107" s="12"/>
      <c r="G107" s="12"/>
      <c r="H107" s="53"/>
    </row>
    <row r="108" spans="1:8" ht="14.1" customHeight="1" x14ac:dyDescent="0.2">
      <c r="A108" s="1"/>
      <c r="B108" s="1"/>
      <c r="C108" s="2" t="s">
        <v>146</v>
      </c>
      <c r="D108" s="1"/>
      <c r="E108" s="1"/>
      <c r="F108" s="12"/>
      <c r="G108" s="12"/>
      <c r="H108" s="53"/>
    </row>
    <row r="109" spans="1:8" ht="14.1" customHeight="1" x14ac:dyDescent="0.2">
      <c r="A109" s="1"/>
      <c r="B109" s="1"/>
      <c r="C109" s="2" t="s">
        <v>132</v>
      </c>
      <c r="D109" s="1"/>
      <c r="E109" s="1" t="s">
        <v>133</v>
      </c>
      <c r="F109" s="13">
        <v>0</v>
      </c>
      <c r="G109" s="14">
        <v>0</v>
      </c>
      <c r="H109" s="53"/>
    </row>
    <row r="110" spans="1:8" ht="14.1" customHeight="1" x14ac:dyDescent="0.2">
      <c r="A110" s="1"/>
      <c r="B110" s="1"/>
      <c r="C110" s="11"/>
      <c r="D110" s="1"/>
      <c r="E110" s="1"/>
      <c r="F110" s="12"/>
      <c r="G110" s="12"/>
      <c r="H110" s="53"/>
    </row>
    <row r="111" spans="1:8" ht="14.1" customHeight="1" x14ac:dyDescent="0.2">
      <c r="A111" s="1"/>
      <c r="B111" s="1"/>
      <c r="C111" s="2" t="s">
        <v>147</v>
      </c>
      <c r="D111" s="1"/>
      <c r="E111" s="1"/>
      <c r="F111" s="12"/>
      <c r="G111" s="12"/>
      <c r="H111" s="53"/>
    </row>
    <row r="112" spans="1:8" ht="14.1" customHeight="1" x14ac:dyDescent="0.2">
      <c r="A112" s="1"/>
      <c r="B112" s="1"/>
      <c r="C112" s="2" t="s">
        <v>132</v>
      </c>
      <c r="D112" s="1"/>
      <c r="E112" s="1" t="s">
        <v>133</v>
      </c>
      <c r="F112" s="13">
        <v>0</v>
      </c>
      <c r="G112" s="14">
        <v>0</v>
      </c>
      <c r="H112" s="53"/>
    </row>
    <row r="113" spans="1:8" ht="14.1" customHeight="1" x14ac:dyDescent="0.2">
      <c r="A113" s="1"/>
      <c r="B113" s="1"/>
      <c r="C113" s="11"/>
      <c r="D113" s="1"/>
      <c r="E113" s="1"/>
      <c r="F113" s="12"/>
      <c r="G113" s="12"/>
      <c r="H113" s="53"/>
    </row>
    <row r="114" spans="1:8" ht="14.1" customHeight="1" x14ac:dyDescent="0.2">
      <c r="A114" s="1"/>
      <c r="B114" s="1"/>
      <c r="C114" s="2" t="s">
        <v>148</v>
      </c>
      <c r="D114" s="1"/>
      <c r="E114" s="1"/>
      <c r="F114" s="12"/>
      <c r="G114" s="12"/>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1"/>
      <c r="C117" s="2" t="s">
        <v>149</v>
      </c>
      <c r="D117" s="1"/>
      <c r="E117" s="1"/>
      <c r="F117" s="12"/>
      <c r="G117" s="12"/>
      <c r="H117" s="53"/>
    </row>
    <row r="118" spans="1:8" ht="17.100000000000001" customHeight="1" x14ac:dyDescent="0.2">
      <c r="A118" s="3">
        <v>1</v>
      </c>
      <c r="B118" s="4"/>
      <c r="C118" s="4" t="s">
        <v>150</v>
      </c>
      <c r="D118" s="4"/>
      <c r="E118" s="8"/>
      <c r="F118" s="6">
        <v>28642.842768999999</v>
      </c>
      <c r="G118" s="7">
        <v>5.5775757000000002E-2</v>
      </c>
      <c r="H118" s="53">
        <v>6.46</v>
      </c>
    </row>
    <row r="119" spans="1:8" ht="14.1" customHeight="1" x14ac:dyDescent="0.2">
      <c r="A119" s="1"/>
      <c r="B119" s="1"/>
      <c r="C119" s="2" t="s">
        <v>132</v>
      </c>
      <c r="D119" s="1"/>
      <c r="E119" s="1" t="s">
        <v>133</v>
      </c>
      <c r="F119" s="9">
        <v>28642.842768999999</v>
      </c>
      <c r="G119" s="10">
        <v>5.5775757000000002E-2</v>
      </c>
      <c r="H119" s="53"/>
    </row>
    <row r="120" spans="1:8" ht="14.1" customHeight="1" x14ac:dyDescent="0.2">
      <c r="A120" s="1"/>
      <c r="B120" s="1"/>
      <c r="C120" s="11"/>
      <c r="D120" s="1"/>
      <c r="E120" s="1"/>
      <c r="F120" s="12"/>
      <c r="G120" s="12"/>
      <c r="H120" s="53"/>
    </row>
    <row r="121" spans="1:8" ht="14.1" customHeight="1" x14ac:dyDescent="0.2">
      <c r="A121" s="1"/>
      <c r="B121" s="1"/>
      <c r="C121" s="2" t="s">
        <v>151</v>
      </c>
      <c r="D121" s="1"/>
      <c r="E121" s="1"/>
      <c r="F121" s="9">
        <v>28642.842768999999</v>
      </c>
      <c r="G121" s="10">
        <v>5.5775757000000002E-2</v>
      </c>
      <c r="H121" s="53"/>
    </row>
    <row r="122" spans="1:8" ht="14.1" customHeight="1" x14ac:dyDescent="0.2">
      <c r="A122" s="1"/>
      <c r="B122" s="1"/>
      <c r="C122" s="12"/>
      <c r="D122" s="1"/>
      <c r="E122" s="1"/>
      <c r="F122" s="1"/>
      <c r="G122" s="1"/>
      <c r="H122" s="53"/>
    </row>
    <row r="123" spans="1:8" ht="14.1" customHeight="1" x14ac:dyDescent="0.2">
      <c r="A123" s="1"/>
      <c r="B123" s="1"/>
      <c r="C123" s="2" t="s">
        <v>152</v>
      </c>
      <c r="D123" s="1"/>
      <c r="E123" s="1"/>
      <c r="F123" s="1"/>
      <c r="G123" s="1"/>
      <c r="H123" s="53"/>
    </row>
    <row r="124" spans="1:8" ht="14.1" customHeight="1" x14ac:dyDescent="0.2">
      <c r="A124" s="1"/>
      <c r="B124" s="1"/>
      <c r="C124" s="2" t="s">
        <v>153</v>
      </c>
      <c r="D124" s="1"/>
      <c r="E124" s="1"/>
      <c r="F124" s="1"/>
      <c r="G124" s="1"/>
      <c r="H124" s="53"/>
    </row>
    <row r="125" spans="1:8" ht="14.1" customHeight="1" x14ac:dyDescent="0.2">
      <c r="A125" s="1"/>
      <c r="B125" s="1"/>
      <c r="C125" s="2" t="s">
        <v>132</v>
      </c>
      <c r="D125" s="1"/>
      <c r="E125" s="1" t="s">
        <v>133</v>
      </c>
      <c r="F125" s="13">
        <v>0</v>
      </c>
      <c r="G125" s="14">
        <v>0</v>
      </c>
      <c r="H125" s="53"/>
    </row>
    <row r="126" spans="1:8" ht="14.1" customHeight="1" x14ac:dyDescent="0.2">
      <c r="A126" s="1"/>
      <c r="B126" s="1"/>
      <c r="C126" s="11"/>
      <c r="D126" s="1"/>
      <c r="E126" s="1"/>
      <c r="F126" s="12"/>
      <c r="G126" s="12"/>
      <c r="H126" s="53"/>
    </row>
    <row r="127" spans="1:8" ht="14.1" customHeight="1" x14ac:dyDescent="0.2">
      <c r="A127" s="1"/>
      <c r="B127" s="1"/>
      <c r="C127" s="2" t="s">
        <v>154</v>
      </c>
      <c r="D127" s="1"/>
      <c r="E127" s="1"/>
      <c r="F127" s="1"/>
      <c r="G127" s="1"/>
      <c r="H127" s="53"/>
    </row>
    <row r="128" spans="1:8" ht="14.1" customHeight="1" x14ac:dyDescent="0.2">
      <c r="A128" s="1"/>
      <c r="B128" s="1"/>
      <c r="C128" s="2" t="s">
        <v>155</v>
      </c>
      <c r="D128" s="1"/>
      <c r="E128" s="1"/>
      <c r="F128" s="1"/>
      <c r="G128" s="1"/>
      <c r="H128" s="53"/>
    </row>
    <row r="129" spans="1:15" ht="14.1" customHeight="1" x14ac:dyDescent="0.2">
      <c r="A129" s="1"/>
      <c r="B129" s="1"/>
      <c r="C129" s="2" t="s">
        <v>132</v>
      </c>
      <c r="D129" s="1"/>
      <c r="E129" s="1" t="s">
        <v>133</v>
      </c>
      <c r="F129" s="13">
        <v>0</v>
      </c>
      <c r="G129" s="14">
        <v>0</v>
      </c>
      <c r="H129" s="53"/>
    </row>
    <row r="130" spans="1:15" ht="14.1" customHeight="1" x14ac:dyDescent="0.2">
      <c r="A130" s="1"/>
      <c r="B130" s="1"/>
      <c r="C130" s="11"/>
      <c r="D130" s="1"/>
      <c r="E130" s="1"/>
      <c r="F130" s="12"/>
      <c r="G130" s="12"/>
      <c r="H130" s="53"/>
    </row>
    <row r="131" spans="1:15" ht="14.1" customHeight="1" x14ac:dyDescent="0.2">
      <c r="A131" s="1"/>
      <c r="B131" s="1"/>
      <c r="C131" s="11"/>
      <c r="D131" s="1"/>
      <c r="E131" s="1"/>
      <c r="F131" s="12"/>
      <c r="G131" s="12"/>
      <c r="H131" s="53"/>
    </row>
    <row r="132" spans="1:15" ht="24" customHeight="1" x14ac:dyDescent="0.2">
      <c r="A132" s="1"/>
      <c r="B132" s="1"/>
      <c r="C132" s="2" t="s">
        <v>156</v>
      </c>
      <c r="D132" s="1"/>
      <c r="E132" s="1"/>
      <c r="F132" s="12"/>
      <c r="G132" s="12"/>
      <c r="H132" s="53"/>
    </row>
    <row r="133" spans="1:15" ht="14.1" customHeight="1" x14ac:dyDescent="0.2">
      <c r="A133" s="1"/>
      <c r="B133" s="1"/>
      <c r="C133" s="2" t="s">
        <v>132</v>
      </c>
      <c r="D133" s="1"/>
      <c r="E133" s="1" t="s">
        <v>133</v>
      </c>
      <c r="F133" s="13">
        <v>0</v>
      </c>
      <c r="G133" s="14">
        <v>0</v>
      </c>
      <c r="H133" s="53"/>
    </row>
    <row r="134" spans="1:15" ht="14.1" customHeight="1" x14ac:dyDescent="0.2">
      <c r="A134" s="1"/>
      <c r="B134" s="1"/>
      <c r="C134" s="11"/>
      <c r="D134" s="1"/>
      <c r="E134" s="1"/>
      <c r="F134" s="12"/>
      <c r="G134" s="12"/>
      <c r="H134" s="53"/>
    </row>
    <row r="135" spans="1:15" ht="14.1" customHeight="1" x14ac:dyDescent="0.2">
      <c r="A135" s="1"/>
      <c r="B135" s="4"/>
      <c r="C135" s="4"/>
      <c r="D135" s="2"/>
      <c r="E135" s="1"/>
      <c r="F135" s="4"/>
      <c r="G135" s="8"/>
      <c r="H135" s="53"/>
    </row>
    <row r="136" spans="1:15" ht="18" customHeight="1" x14ac:dyDescent="0.2">
      <c r="A136" s="8"/>
      <c r="B136" s="4"/>
      <c r="C136" s="4" t="s">
        <v>157</v>
      </c>
      <c r="D136" s="4"/>
      <c r="E136" s="8"/>
      <c r="F136" s="6">
        <v>412.61143738999999</v>
      </c>
      <c r="G136" s="7">
        <v>8.0347199999999995E-4</v>
      </c>
      <c r="H136" s="53"/>
    </row>
    <row r="137" spans="1:15" ht="14.1" customHeight="1" x14ac:dyDescent="0.2">
      <c r="A137" s="11"/>
      <c r="B137" s="11"/>
      <c r="C137" s="2" t="s">
        <v>158</v>
      </c>
      <c r="D137" s="15"/>
      <c r="E137" s="15"/>
      <c r="F137" s="9">
        <v>513535.70704859</v>
      </c>
      <c r="G137" s="14">
        <v>0.99999999699999997</v>
      </c>
      <c r="H137" s="53"/>
      <c r="J137" s="189"/>
      <c r="K137" s="189"/>
      <c r="L137" s="189"/>
      <c r="M137" s="189"/>
      <c r="N137" s="189"/>
      <c r="O137" s="189"/>
    </row>
    <row r="138" spans="1:15" ht="14.1" customHeight="1" x14ac:dyDescent="0.2">
      <c r="A138" s="16"/>
      <c r="B138" s="16"/>
      <c r="C138" s="16"/>
      <c r="D138" s="17"/>
      <c r="E138" s="17"/>
      <c r="F138" s="17"/>
      <c r="G138" s="17"/>
    </row>
    <row r="139" spans="1:15" ht="14.1" customHeight="1" x14ac:dyDescent="0.2">
      <c r="A139" s="18"/>
      <c r="B139" s="292" t="s">
        <v>133</v>
      </c>
      <c r="C139" s="292"/>
      <c r="D139" s="292"/>
      <c r="E139" s="292"/>
      <c r="F139" s="292"/>
      <c r="G139" s="20"/>
    </row>
    <row r="140" spans="1:15" ht="14.1" customHeight="1" x14ac:dyDescent="0.2">
      <c r="A140" s="18"/>
      <c r="B140" s="292" t="s">
        <v>133</v>
      </c>
      <c r="C140" s="292"/>
      <c r="D140" s="292"/>
      <c r="E140" s="292"/>
      <c r="F140" s="292"/>
      <c r="G140" s="20"/>
    </row>
    <row r="141" spans="1:15" ht="14.1" customHeight="1" x14ac:dyDescent="0.2">
      <c r="A141" s="18"/>
      <c r="B141" s="18"/>
      <c r="C141" s="18"/>
      <c r="D141" s="20"/>
      <c r="E141" s="20"/>
      <c r="F141" s="20"/>
      <c r="G141" s="20"/>
    </row>
    <row r="142" spans="1:15" ht="14.1" customHeight="1" x14ac:dyDescent="0.2">
      <c r="A142" s="18"/>
      <c r="B142" s="293" t="s">
        <v>160</v>
      </c>
      <c r="C142" s="294"/>
      <c r="D142" s="12" t="s">
        <v>133</v>
      </c>
      <c r="E142" s="21"/>
      <c r="F142" s="20"/>
      <c r="G142" s="20"/>
    </row>
    <row r="143" spans="1:15" ht="29.1" customHeight="1" x14ac:dyDescent="0.2">
      <c r="A143" s="18"/>
      <c r="B143" s="290" t="s">
        <v>161</v>
      </c>
      <c r="C143" s="291"/>
      <c r="D143" s="2" t="s">
        <v>162</v>
      </c>
      <c r="E143" s="21"/>
      <c r="F143" s="20"/>
      <c r="G143" s="20"/>
    </row>
    <row r="144" spans="1:15" ht="17.100000000000001" customHeight="1" x14ac:dyDescent="0.2">
      <c r="A144" s="18"/>
      <c r="B144" s="290" t="s">
        <v>163</v>
      </c>
      <c r="C144" s="291"/>
      <c r="D144" s="2" t="s">
        <v>162</v>
      </c>
      <c r="E144" s="21"/>
      <c r="F144" s="20"/>
      <c r="G144" s="20"/>
    </row>
    <row r="145" spans="1:7" ht="17.100000000000001" customHeight="1" x14ac:dyDescent="0.2">
      <c r="A145" s="18"/>
      <c r="B145" s="290" t="s">
        <v>164</v>
      </c>
      <c r="C145" s="291"/>
      <c r="D145" s="12" t="s">
        <v>133</v>
      </c>
      <c r="E145" s="21"/>
      <c r="F145" s="20"/>
      <c r="G145" s="20"/>
    </row>
    <row r="146" spans="1:7" ht="24" customHeight="1" x14ac:dyDescent="0.2">
      <c r="A146" s="22"/>
      <c r="B146" s="23" t="s">
        <v>133</v>
      </c>
      <c r="C146" s="23" t="s">
        <v>165</v>
      </c>
      <c r="D146" s="23" t="s">
        <v>166</v>
      </c>
      <c r="E146" s="22"/>
      <c r="F146" s="22"/>
      <c r="G146" s="22"/>
    </row>
    <row r="147" spans="1:7" ht="18" customHeight="1" x14ac:dyDescent="0.2">
      <c r="A147" s="22"/>
      <c r="B147" s="23" t="s">
        <v>167</v>
      </c>
      <c r="C147" s="23" t="s">
        <v>168</v>
      </c>
      <c r="D147" s="23" t="s">
        <v>169</v>
      </c>
      <c r="E147" s="22"/>
      <c r="F147" s="22"/>
      <c r="G147" s="22"/>
    </row>
    <row r="148" spans="1:7" ht="17.100000000000001" customHeight="1" x14ac:dyDescent="0.2">
      <c r="A148" s="22"/>
      <c r="B148" s="4" t="s">
        <v>170</v>
      </c>
      <c r="C148" s="24">
        <v>62.198</v>
      </c>
      <c r="D148" s="24">
        <v>60.712200000000003</v>
      </c>
      <c r="E148" s="22"/>
      <c r="F148" s="19"/>
      <c r="G148" s="25"/>
    </row>
    <row r="149" spans="1:7" ht="17.100000000000001" customHeight="1" x14ac:dyDescent="0.2">
      <c r="A149" s="22"/>
      <c r="B149" s="4" t="s">
        <v>1042</v>
      </c>
      <c r="C149" s="24">
        <v>26.771000000000001</v>
      </c>
      <c r="D149" s="24">
        <v>26.131499999999999</v>
      </c>
      <c r="E149" s="22"/>
      <c r="F149" s="19"/>
      <c r="G149" s="25"/>
    </row>
    <row r="150" spans="1:7" ht="17.100000000000001" customHeight="1" x14ac:dyDescent="0.2">
      <c r="A150" s="22"/>
      <c r="B150" s="4" t="s">
        <v>171</v>
      </c>
      <c r="C150" s="24">
        <v>56.897799999999997</v>
      </c>
      <c r="D150" s="24">
        <v>55.483400000000003</v>
      </c>
      <c r="E150" s="22"/>
      <c r="F150" s="19"/>
      <c r="G150" s="25"/>
    </row>
    <row r="151" spans="1:7" ht="17.100000000000001" customHeight="1" x14ac:dyDescent="0.2">
      <c r="A151" s="22"/>
      <c r="B151" s="4" t="s">
        <v>1043</v>
      </c>
      <c r="C151" s="24">
        <v>23.9739</v>
      </c>
      <c r="D151" s="24">
        <v>23.3781</v>
      </c>
      <c r="E151" s="22"/>
      <c r="F151" s="19"/>
      <c r="G151" s="25"/>
    </row>
    <row r="152" spans="1:7" ht="14.1" customHeight="1" x14ac:dyDescent="0.2">
      <c r="A152" s="22"/>
      <c r="B152" s="22"/>
      <c r="C152" s="22"/>
      <c r="D152" s="22"/>
      <c r="E152" s="22"/>
      <c r="F152" s="22"/>
      <c r="G152" s="22"/>
    </row>
    <row r="153" spans="1:7" ht="17.100000000000001" customHeight="1" x14ac:dyDescent="0.2">
      <c r="A153" s="22"/>
      <c r="B153" s="290" t="s">
        <v>1044</v>
      </c>
      <c r="C153" s="291"/>
      <c r="D153" s="2" t="s">
        <v>162</v>
      </c>
      <c r="E153" s="22"/>
      <c r="F153" s="22"/>
      <c r="G153" s="22"/>
    </row>
    <row r="154" spans="1:7" ht="18" customHeight="1" x14ac:dyDescent="0.2">
      <c r="A154" s="22"/>
      <c r="B154" s="26"/>
      <c r="C154" s="26"/>
      <c r="D154" s="27"/>
      <c r="E154" s="22"/>
      <c r="F154" s="22"/>
      <c r="G154" s="22"/>
    </row>
    <row r="155" spans="1:7" ht="29.1" customHeight="1" x14ac:dyDescent="0.2">
      <c r="A155" s="22"/>
      <c r="B155" s="290" t="s">
        <v>172</v>
      </c>
      <c r="C155" s="291"/>
      <c r="D155" s="2" t="s">
        <v>162</v>
      </c>
      <c r="E155" s="22"/>
      <c r="F155" s="22"/>
      <c r="G155" s="22"/>
    </row>
    <row r="156" spans="1:7" ht="29.1" customHeight="1" x14ac:dyDescent="0.2">
      <c r="A156" s="22"/>
      <c r="B156" s="290" t="s">
        <v>173</v>
      </c>
      <c r="C156" s="291"/>
      <c r="D156" s="2" t="s">
        <v>162</v>
      </c>
      <c r="E156" s="22"/>
      <c r="F156" s="22"/>
      <c r="G156" s="22"/>
    </row>
    <row r="157" spans="1:7" ht="17.100000000000001" customHeight="1" x14ac:dyDescent="0.2">
      <c r="A157" s="22"/>
      <c r="B157" s="290" t="s">
        <v>174</v>
      </c>
      <c r="C157" s="291"/>
      <c r="D157" s="28">
        <v>0.25767276460465632</v>
      </c>
      <c r="E157" s="22"/>
      <c r="F157" s="19"/>
      <c r="G157" s="25"/>
    </row>
    <row r="158" spans="1:7" ht="17.100000000000001" customHeight="1" x14ac:dyDescent="0.2">
      <c r="A158" s="22"/>
      <c r="B158" s="290" t="s">
        <v>175</v>
      </c>
      <c r="C158" s="291"/>
      <c r="D158" s="2" t="s">
        <v>162</v>
      </c>
      <c r="E158" s="22"/>
      <c r="F158" s="22"/>
      <c r="G158" s="22"/>
    </row>
  </sheetData>
  <mergeCells count="15">
    <mergeCell ref="B157:C157"/>
    <mergeCell ref="B158:C158"/>
    <mergeCell ref="B143:C143"/>
    <mergeCell ref="B144:C144"/>
    <mergeCell ref="B145:C145"/>
    <mergeCell ref="B153:C153"/>
    <mergeCell ref="B155:C155"/>
    <mergeCell ref="B156:C156"/>
    <mergeCell ref="A1:H1"/>
    <mergeCell ref="A2:H2"/>
    <mergeCell ref="A3:H3"/>
    <mergeCell ref="J2:N2"/>
    <mergeCell ref="B142:C142"/>
    <mergeCell ref="B139:F139"/>
    <mergeCell ref="B140:F140"/>
  </mergeCells>
  <hyperlinks>
    <hyperlink ref="I1" location="Index!B6" display="Index" xr:uid="{F39ABE6D-1B0A-4723-86F7-6EE16FA20B2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362</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29.1" customHeight="1" x14ac:dyDescent="0.2">
      <c r="A7" s="3">
        <v>1</v>
      </c>
      <c r="B7" s="4" t="s">
        <v>191</v>
      </c>
      <c r="C7" s="4" t="s">
        <v>192</v>
      </c>
      <c r="D7" s="4" t="s">
        <v>116</v>
      </c>
      <c r="E7" s="5">
        <v>238680</v>
      </c>
      <c r="F7" s="6">
        <v>803.03886</v>
      </c>
      <c r="G7" s="7">
        <v>2.5694340999999999E-2</v>
      </c>
      <c r="H7" s="53"/>
    </row>
    <row r="8" spans="1:14" ht="17.100000000000001" customHeight="1" x14ac:dyDescent="0.2">
      <c r="A8" s="3">
        <v>2</v>
      </c>
      <c r="B8" s="4" t="s">
        <v>283</v>
      </c>
      <c r="C8" s="4" t="s">
        <v>284</v>
      </c>
      <c r="D8" s="4" t="s">
        <v>22</v>
      </c>
      <c r="E8" s="5">
        <v>258753</v>
      </c>
      <c r="F8" s="6">
        <v>608.45767950000004</v>
      </c>
      <c r="G8" s="7">
        <v>1.9468447E-2</v>
      </c>
      <c r="H8" s="53"/>
    </row>
    <row r="9" spans="1:14" ht="17.100000000000001" customHeight="1" x14ac:dyDescent="0.2">
      <c r="A9" s="3">
        <v>3</v>
      </c>
      <c r="B9" s="4" t="s">
        <v>114</v>
      </c>
      <c r="C9" s="4" t="s">
        <v>115</v>
      </c>
      <c r="D9" s="4" t="s">
        <v>116</v>
      </c>
      <c r="E9" s="5">
        <v>172634</v>
      </c>
      <c r="F9" s="6">
        <v>582.38079900000002</v>
      </c>
      <c r="G9" s="7">
        <v>1.8634081E-2</v>
      </c>
      <c r="H9" s="53"/>
    </row>
    <row r="10" spans="1:14" ht="17.100000000000001" customHeight="1" x14ac:dyDescent="0.2">
      <c r="A10" s="3">
        <v>4</v>
      </c>
      <c r="B10" s="4" t="s">
        <v>363</v>
      </c>
      <c r="C10" s="4" t="s">
        <v>364</v>
      </c>
      <c r="D10" s="4" t="s">
        <v>116</v>
      </c>
      <c r="E10" s="5">
        <v>83010</v>
      </c>
      <c r="F10" s="6">
        <v>427.08645000000001</v>
      </c>
      <c r="G10" s="7">
        <v>1.3665223000000001E-2</v>
      </c>
      <c r="H10" s="53"/>
    </row>
    <row r="11" spans="1:14" ht="17.100000000000001" customHeight="1" x14ac:dyDescent="0.2">
      <c r="A11" s="3">
        <v>5</v>
      </c>
      <c r="B11" s="4" t="s">
        <v>365</v>
      </c>
      <c r="C11" s="4" t="s">
        <v>366</v>
      </c>
      <c r="D11" s="4" t="s">
        <v>119</v>
      </c>
      <c r="E11" s="5">
        <v>55591</v>
      </c>
      <c r="F11" s="6">
        <v>297.43964549999998</v>
      </c>
      <c r="G11" s="7">
        <v>9.5169940000000008E-3</v>
      </c>
      <c r="H11" s="53"/>
    </row>
    <row r="12" spans="1:14" ht="17.100000000000001" customHeight="1" x14ac:dyDescent="0.2">
      <c r="A12" s="3">
        <v>6</v>
      </c>
      <c r="B12" s="4" t="s">
        <v>253</v>
      </c>
      <c r="C12" s="4" t="s">
        <v>254</v>
      </c>
      <c r="D12" s="4" t="s">
        <v>119</v>
      </c>
      <c r="E12" s="5">
        <v>47685</v>
      </c>
      <c r="F12" s="6">
        <v>262.52976749999999</v>
      </c>
      <c r="G12" s="7">
        <v>8.4000040000000008E-3</v>
      </c>
      <c r="H12" s="53"/>
    </row>
    <row r="13" spans="1:14" ht="17.100000000000001" customHeight="1" x14ac:dyDescent="0.2">
      <c r="A13" s="3">
        <v>7</v>
      </c>
      <c r="B13" s="4" t="s">
        <v>367</v>
      </c>
      <c r="C13" s="4" t="s">
        <v>368</v>
      </c>
      <c r="D13" s="4" t="s">
        <v>116</v>
      </c>
      <c r="E13" s="5">
        <v>43461</v>
      </c>
      <c r="F13" s="6">
        <v>220.08650399999999</v>
      </c>
      <c r="G13" s="7">
        <v>7.041973E-3</v>
      </c>
      <c r="H13" s="53"/>
      <c r="J13" s="188" t="s">
        <v>1080</v>
      </c>
    </row>
    <row r="14" spans="1:14" ht="17.100000000000001" customHeight="1" x14ac:dyDescent="0.2">
      <c r="A14" s="3">
        <v>8</v>
      </c>
      <c r="B14" s="4" t="s">
        <v>301</v>
      </c>
      <c r="C14" s="4" t="s">
        <v>302</v>
      </c>
      <c r="D14" s="4" t="s">
        <v>234</v>
      </c>
      <c r="E14" s="5">
        <v>36205</v>
      </c>
      <c r="F14" s="6">
        <v>180.88018</v>
      </c>
      <c r="G14" s="7">
        <v>5.7875119999999999E-3</v>
      </c>
      <c r="H14" s="53"/>
    </row>
    <row r="15" spans="1:14" ht="29.1" customHeight="1" x14ac:dyDescent="0.2">
      <c r="A15" s="3">
        <v>9</v>
      </c>
      <c r="B15" s="4" t="s">
        <v>369</v>
      </c>
      <c r="C15" s="4" t="s">
        <v>370</v>
      </c>
      <c r="D15" s="4" t="s">
        <v>199</v>
      </c>
      <c r="E15" s="5">
        <v>18411</v>
      </c>
      <c r="F15" s="6">
        <v>133.8755865</v>
      </c>
      <c r="G15" s="7">
        <v>4.2835349999999998E-3</v>
      </c>
      <c r="H15" s="53"/>
    </row>
    <row r="16" spans="1:14" ht="29.1" customHeight="1" x14ac:dyDescent="0.2">
      <c r="A16" s="3">
        <v>10</v>
      </c>
      <c r="B16" s="4" t="s">
        <v>371</v>
      </c>
      <c r="C16" s="4" t="s">
        <v>372</v>
      </c>
      <c r="D16" s="4" t="s">
        <v>373</v>
      </c>
      <c r="E16" s="5">
        <v>32142</v>
      </c>
      <c r="F16" s="6">
        <v>126.253776</v>
      </c>
      <c r="G16" s="7">
        <v>4.0396649999999996E-3</v>
      </c>
      <c r="H16" s="53"/>
    </row>
    <row r="17" spans="1:8" ht="17.100000000000001" customHeight="1" x14ac:dyDescent="0.2">
      <c r="A17" s="3">
        <v>11</v>
      </c>
      <c r="B17" s="4" t="s">
        <v>374</v>
      </c>
      <c r="C17" s="4" t="s">
        <v>375</v>
      </c>
      <c r="D17" s="4" t="s">
        <v>119</v>
      </c>
      <c r="E17" s="5">
        <v>91618</v>
      </c>
      <c r="F17" s="6">
        <v>114.843163</v>
      </c>
      <c r="G17" s="7">
        <v>3.6745660000000002E-3</v>
      </c>
      <c r="H17" s="53"/>
    </row>
    <row r="18" spans="1:8" ht="29.1" customHeight="1" x14ac:dyDescent="0.2">
      <c r="A18" s="3">
        <v>12</v>
      </c>
      <c r="B18" s="4" t="s">
        <v>376</v>
      </c>
      <c r="C18" s="4" t="s">
        <v>377</v>
      </c>
      <c r="D18" s="4" t="s">
        <v>227</v>
      </c>
      <c r="E18" s="5">
        <v>2241</v>
      </c>
      <c r="F18" s="6">
        <v>88.586730000000003</v>
      </c>
      <c r="G18" s="7">
        <v>2.834455E-3</v>
      </c>
      <c r="H18" s="53"/>
    </row>
    <row r="19" spans="1:8" ht="29.1" customHeight="1" x14ac:dyDescent="0.2">
      <c r="A19" s="3">
        <v>13</v>
      </c>
      <c r="B19" s="4" t="s">
        <v>285</v>
      </c>
      <c r="C19" s="4" t="s">
        <v>286</v>
      </c>
      <c r="D19" s="4" t="s">
        <v>199</v>
      </c>
      <c r="E19" s="5">
        <v>9706</v>
      </c>
      <c r="F19" s="6">
        <v>65.947417000000002</v>
      </c>
      <c r="G19" s="7">
        <v>2.1100789999999999E-3</v>
      </c>
      <c r="H19" s="53"/>
    </row>
    <row r="20" spans="1:8" ht="14.1" customHeight="1" x14ac:dyDescent="0.2">
      <c r="A20" s="1"/>
      <c r="B20" s="1"/>
      <c r="C20" s="2" t="s">
        <v>132</v>
      </c>
      <c r="D20" s="1"/>
      <c r="E20" s="1" t="s">
        <v>133</v>
      </c>
      <c r="F20" s="9">
        <v>3911.4065580000001</v>
      </c>
      <c r="G20" s="10">
        <v>0.12515087499999999</v>
      </c>
      <c r="H20" s="53"/>
    </row>
    <row r="21" spans="1:8" ht="14.1" customHeight="1" x14ac:dyDescent="0.2">
      <c r="A21" s="1"/>
      <c r="B21" s="1"/>
      <c r="C21" s="11"/>
      <c r="D21" s="1"/>
      <c r="E21" s="1"/>
      <c r="F21" s="12"/>
      <c r="G21" s="12"/>
      <c r="H21" s="53"/>
    </row>
    <row r="22" spans="1:8" ht="14.1" customHeight="1" x14ac:dyDescent="0.2">
      <c r="A22" s="1"/>
      <c r="B22" s="1"/>
      <c r="C22" s="2" t="s">
        <v>134</v>
      </c>
      <c r="D22" s="1"/>
      <c r="E22" s="1"/>
      <c r="F22" s="1"/>
      <c r="G22" s="1"/>
      <c r="H22" s="53"/>
    </row>
    <row r="23" spans="1:8" ht="14.1" customHeight="1" x14ac:dyDescent="0.2">
      <c r="A23" s="1"/>
      <c r="B23" s="1"/>
      <c r="C23" s="2" t="s">
        <v>132</v>
      </c>
      <c r="D23" s="1"/>
      <c r="E23" s="1" t="s">
        <v>133</v>
      </c>
      <c r="F23" s="13">
        <v>0</v>
      </c>
      <c r="G23" s="14">
        <v>0</v>
      </c>
      <c r="H23" s="53"/>
    </row>
    <row r="24" spans="1:8" ht="14.1" customHeight="1" x14ac:dyDescent="0.2">
      <c r="A24" s="1"/>
      <c r="B24" s="1"/>
      <c r="C24" s="11"/>
      <c r="D24" s="1"/>
      <c r="E24" s="1"/>
      <c r="F24" s="12"/>
      <c r="G24" s="12"/>
      <c r="H24" s="53"/>
    </row>
    <row r="25" spans="1:8" ht="14.1" customHeight="1" x14ac:dyDescent="0.2">
      <c r="A25" s="1"/>
      <c r="B25" s="1"/>
      <c r="C25" s="2" t="s">
        <v>135</v>
      </c>
      <c r="D25" s="1"/>
      <c r="E25" s="1"/>
      <c r="F25" s="1"/>
      <c r="G25" s="1"/>
      <c r="H25" s="53"/>
    </row>
    <row r="26" spans="1:8" ht="14.1" customHeight="1" x14ac:dyDescent="0.2">
      <c r="A26" s="1"/>
      <c r="B26" s="1"/>
      <c r="C26" s="2" t="s">
        <v>132</v>
      </c>
      <c r="D26" s="1"/>
      <c r="E26" s="1" t="s">
        <v>133</v>
      </c>
      <c r="F26" s="13">
        <v>0</v>
      </c>
      <c r="G26" s="14">
        <v>0</v>
      </c>
      <c r="H26" s="53"/>
    </row>
    <row r="27" spans="1:8" ht="14.1" customHeight="1" x14ac:dyDescent="0.2">
      <c r="A27" s="1"/>
      <c r="B27" s="1"/>
      <c r="C27" s="11"/>
      <c r="D27" s="1"/>
      <c r="E27" s="1"/>
      <c r="F27" s="12"/>
      <c r="G27" s="12"/>
      <c r="H27" s="53"/>
    </row>
    <row r="28" spans="1:8" ht="14.1" customHeight="1" x14ac:dyDescent="0.2">
      <c r="A28" s="1"/>
      <c r="B28" s="1"/>
      <c r="C28" s="2" t="s">
        <v>136</v>
      </c>
      <c r="D28" s="1"/>
      <c r="E28" s="1"/>
      <c r="F28" s="1"/>
      <c r="G28" s="1"/>
      <c r="H28" s="53"/>
    </row>
    <row r="29" spans="1:8" ht="14.1" customHeight="1" x14ac:dyDescent="0.2">
      <c r="A29" s="1"/>
      <c r="B29" s="1"/>
      <c r="C29" s="2" t="s">
        <v>132</v>
      </c>
      <c r="D29" s="1"/>
      <c r="E29" s="1" t="s">
        <v>133</v>
      </c>
      <c r="F29" s="13">
        <v>0</v>
      </c>
      <c r="G29" s="14">
        <v>0</v>
      </c>
      <c r="H29" s="53"/>
    </row>
    <row r="30" spans="1:8" ht="14.1" customHeight="1" x14ac:dyDescent="0.2">
      <c r="A30" s="1"/>
      <c r="B30" s="1"/>
      <c r="C30" s="11"/>
      <c r="D30" s="1"/>
      <c r="E30" s="1"/>
      <c r="F30" s="12"/>
      <c r="G30" s="12"/>
      <c r="H30" s="53"/>
    </row>
    <row r="31" spans="1:8" ht="14.1" customHeight="1" x14ac:dyDescent="0.2">
      <c r="A31" s="1"/>
      <c r="B31" s="1"/>
      <c r="C31" s="2" t="s">
        <v>137</v>
      </c>
      <c r="D31" s="1"/>
      <c r="E31" s="1"/>
      <c r="F31" s="12"/>
      <c r="G31" s="12"/>
      <c r="H31" s="53"/>
    </row>
    <row r="32" spans="1:8" ht="14.1" customHeight="1" x14ac:dyDescent="0.2">
      <c r="A32" s="1"/>
      <c r="B32" s="1"/>
      <c r="C32" s="2" t="s">
        <v>132</v>
      </c>
      <c r="D32" s="1"/>
      <c r="E32" s="1" t="s">
        <v>133</v>
      </c>
      <c r="F32" s="13">
        <v>0</v>
      </c>
      <c r="G32" s="14">
        <v>0</v>
      </c>
      <c r="H32" s="53"/>
    </row>
    <row r="33" spans="1:8" ht="14.1" customHeight="1" x14ac:dyDescent="0.2">
      <c r="A33" s="1"/>
      <c r="B33" s="1"/>
      <c r="C33" s="11"/>
      <c r="D33" s="1"/>
      <c r="E33" s="1"/>
      <c r="F33" s="12"/>
      <c r="G33" s="12"/>
      <c r="H33" s="53"/>
    </row>
    <row r="34" spans="1:8" ht="14.1" customHeight="1" x14ac:dyDescent="0.2">
      <c r="A34" s="1"/>
      <c r="B34" s="1"/>
      <c r="C34" s="2" t="s">
        <v>138</v>
      </c>
      <c r="D34" s="1"/>
      <c r="E34" s="1"/>
      <c r="F34" s="12"/>
      <c r="G34" s="12"/>
      <c r="H34" s="53"/>
    </row>
    <row r="35" spans="1:8" ht="14.1" customHeight="1" x14ac:dyDescent="0.2">
      <c r="A35" s="1"/>
      <c r="B35" s="1"/>
      <c r="C35" s="2" t="s">
        <v>132</v>
      </c>
      <c r="D35" s="1"/>
      <c r="E35" s="1" t="s">
        <v>133</v>
      </c>
      <c r="F35" s="13">
        <v>0</v>
      </c>
      <c r="G35" s="14">
        <v>0</v>
      </c>
      <c r="H35" s="53"/>
    </row>
    <row r="36" spans="1:8" ht="14.1" customHeight="1" x14ac:dyDescent="0.2">
      <c r="A36" s="1"/>
      <c r="B36" s="1"/>
      <c r="C36" s="11"/>
      <c r="D36" s="1"/>
      <c r="E36" s="1"/>
      <c r="F36" s="12"/>
      <c r="G36" s="12"/>
      <c r="H36" s="53"/>
    </row>
    <row r="37" spans="1:8" ht="18" customHeight="1" x14ac:dyDescent="0.2">
      <c r="A37" s="1"/>
      <c r="B37" s="1"/>
      <c r="C37" s="2" t="s">
        <v>139</v>
      </c>
      <c r="D37" s="1"/>
      <c r="E37" s="1"/>
      <c r="F37" s="9">
        <v>3911.4065580000001</v>
      </c>
      <c r="G37" s="10">
        <v>0.12515087499999999</v>
      </c>
      <c r="H37" s="53"/>
    </row>
    <row r="38" spans="1:8" ht="14.1" customHeight="1" x14ac:dyDescent="0.2">
      <c r="A38" s="1"/>
      <c r="B38" s="1"/>
      <c r="C38" s="11"/>
      <c r="D38" s="1"/>
      <c r="E38" s="1"/>
      <c r="F38" s="12"/>
      <c r="G38" s="12"/>
      <c r="H38" s="53"/>
    </row>
    <row r="39" spans="1:8" ht="14.1" customHeight="1" x14ac:dyDescent="0.2">
      <c r="A39" s="1"/>
      <c r="B39" s="1"/>
      <c r="C39" s="2" t="s">
        <v>140</v>
      </c>
      <c r="D39" s="1"/>
      <c r="E39" s="1"/>
      <c r="F39" s="12"/>
      <c r="G39" s="12"/>
      <c r="H39" s="53"/>
    </row>
    <row r="40" spans="1:8" ht="24" customHeight="1" x14ac:dyDescent="0.2">
      <c r="A40" s="1"/>
      <c r="B40" s="1"/>
      <c r="C40" s="2" t="s">
        <v>10</v>
      </c>
      <c r="D40" s="1"/>
      <c r="E40" s="1"/>
      <c r="F40" s="12"/>
      <c r="G40" s="12"/>
      <c r="H40" s="53"/>
    </row>
    <row r="41" spans="1:8" ht="14.1" customHeight="1" x14ac:dyDescent="0.2">
      <c r="A41" s="1"/>
      <c r="B41" s="1"/>
      <c r="C41" s="2" t="s">
        <v>132</v>
      </c>
      <c r="D41" s="1"/>
      <c r="E41" s="1" t="s">
        <v>133</v>
      </c>
      <c r="F41" s="13">
        <v>0</v>
      </c>
      <c r="G41" s="14">
        <v>0</v>
      </c>
      <c r="H41" s="53"/>
    </row>
    <row r="42" spans="1:8" ht="14.1" customHeight="1" x14ac:dyDescent="0.2">
      <c r="A42" s="1"/>
      <c r="B42" s="1"/>
      <c r="C42" s="11"/>
      <c r="D42" s="1"/>
      <c r="E42" s="1"/>
      <c r="F42" s="12"/>
      <c r="G42" s="12"/>
      <c r="H42" s="53"/>
    </row>
    <row r="43" spans="1:8" ht="14.1" customHeight="1" x14ac:dyDescent="0.2">
      <c r="A43" s="1"/>
      <c r="B43" s="1"/>
      <c r="C43" s="2" t="s">
        <v>141</v>
      </c>
      <c r="D43" s="1"/>
      <c r="E43" s="1"/>
      <c r="F43" s="1"/>
      <c r="G43" s="1"/>
      <c r="H43" s="53"/>
    </row>
    <row r="44" spans="1:8" ht="14.1" customHeight="1" x14ac:dyDescent="0.2">
      <c r="A44" s="1"/>
      <c r="B44" s="1"/>
      <c r="C44" s="2" t="s">
        <v>132</v>
      </c>
      <c r="D44" s="1"/>
      <c r="E44" s="1" t="s">
        <v>133</v>
      </c>
      <c r="F44" s="13">
        <v>0</v>
      </c>
      <c r="G44" s="14">
        <v>0</v>
      </c>
      <c r="H44" s="53"/>
    </row>
    <row r="45" spans="1:8" ht="14.1" customHeight="1" x14ac:dyDescent="0.2">
      <c r="A45" s="1"/>
      <c r="B45" s="1"/>
      <c r="C45" s="11"/>
      <c r="D45" s="1"/>
      <c r="E45" s="1"/>
      <c r="F45" s="12"/>
      <c r="G45" s="12"/>
      <c r="H45" s="53"/>
    </row>
    <row r="46" spans="1:8" ht="14.1" customHeight="1" x14ac:dyDescent="0.2">
      <c r="A46" s="1"/>
      <c r="B46" s="1"/>
      <c r="C46" s="2" t="s">
        <v>142</v>
      </c>
      <c r="D46" s="1"/>
      <c r="E46" s="1"/>
      <c r="F46" s="1"/>
      <c r="G46" s="1"/>
      <c r="H46" s="53"/>
    </row>
    <row r="47" spans="1:8" ht="14.1" customHeight="1" x14ac:dyDescent="0.2">
      <c r="A47" s="1"/>
      <c r="B47" s="1"/>
      <c r="C47" s="2" t="s">
        <v>132</v>
      </c>
      <c r="D47" s="1"/>
      <c r="E47" s="1" t="s">
        <v>133</v>
      </c>
      <c r="F47" s="13">
        <v>0</v>
      </c>
      <c r="G47" s="14">
        <v>0</v>
      </c>
      <c r="H47" s="53"/>
    </row>
    <row r="48" spans="1:8" ht="14.1" customHeight="1" x14ac:dyDescent="0.2">
      <c r="A48" s="1"/>
      <c r="B48" s="1"/>
      <c r="C48" s="11"/>
      <c r="D48" s="1"/>
      <c r="E48" s="1"/>
      <c r="F48" s="12"/>
      <c r="G48" s="12"/>
      <c r="H48" s="53"/>
    </row>
    <row r="49" spans="1:8" ht="14.1" customHeight="1" x14ac:dyDescent="0.2">
      <c r="A49" s="1"/>
      <c r="B49" s="1"/>
      <c r="C49" s="2" t="s">
        <v>143</v>
      </c>
      <c r="D49" s="1"/>
      <c r="E49" s="1"/>
      <c r="F49" s="12"/>
      <c r="G49" s="12"/>
      <c r="H49" s="53"/>
    </row>
    <row r="50" spans="1:8" ht="14.1" customHeight="1" x14ac:dyDescent="0.2">
      <c r="A50" s="1"/>
      <c r="B50" s="1"/>
      <c r="C50" s="2" t="s">
        <v>132</v>
      </c>
      <c r="D50" s="1"/>
      <c r="E50" s="1" t="s">
        <v>133</v>
      </c>
      <c r="F50" s="13">
        <v>0</v>
      </c>
      <c r="G50" s="14">
        <v>0</v>
      </c>
      <c r="H50" s="53"/>
    </row>
    <row r="51" spans="1:8" ht="14.1" customHeight="1" x14ac:dyDescent="0.2">
      <c r="A51" s="1"/>
      <c r="B51" s="1"/>
      <c r="C51" s="11"/>
      <c r="D51" s="1"/>
      <c r="E51" s="1"/>
      <c r="F51" s="12"/>
      <c r="G51" s="12"/>
      <c r="H51" s="53"/>
    </row>
    <row r="52" spans="1:8" ht="14.1" customHeight="1" x14ac:dyDescent="0.2">
      <c r="A52" s="1"/>
      <c r="B52" s="1"/>
      <c r="C52" s="2" t="s">
        <v>144</v>
      </c>
      <c r="D52" s="1"/>
      <c r="E52" s="1"/>
      <c r="F52" s="9">
        <v>0</v>
      </c>
      <c r="G52" s="10">
        <v>0</v>
      </c>
      <c r="H52" s="53"/>
    </row>
    <row r="53" spans="1:8" ht="14.1" customHeight="1" x14ac:dyDescent="0.2">
      <c r="A53" s="1"/>
      <c r="B53" s="1"/>
      <c r="C53" s="11"/>
      <c r="D53" s="1"/>
      <c r="E53" s="1"/>
      <c r="F53" s="12"/>
      <c r="G53" s="12"/>
      <c r="H53" s="53"/>
    </row>
    <row r="54" spans="1:8" ht="14.1" customHeight="1" x14ac:dyDescent="0.2">
      <c r="A54" s="1"/>
      <c r="B54" s="1"/>
      <c r="C54" s="2" t="s">
        <v>145</v>
      </c>
      <c r="D54" s="1"/>
      <c r="E54" s="1"/>
      <c r="F54" s="12"/>
      <c r="G54" s="12"/>
      <c r="H54" s="53"/>
    </row>
    <row r="55" spans="1:8" ht="14.1" customHeight="1" x14ac:dyDescent="0.2">
      <c r="A55" s="1"/>
      <c r="B55" s="1"/>
      <c r="C55" s="2" t="s">
        <v>146</v>
      </c>
      <c r="D55" s="1"/>
      <c r="E55" s="1"/>
      <c r="F55" s="12"/>
      <c r="G55" s="12"/>
      <c r="H55" s="53"/>
    </row>
    <row r="56" spans="1:8" ht="14.1" customHeight="1" x14ac:dyDescent="0.2">
      <c r="A56" s="1"/>
      <c r="B56" s="1"/>
      <c r="C56" s="2" t="s">
        <v>132</v>
      </c>
      <c r="D56" s="1"/>
      <c r="E56" s="1" t="s">
        <v>133</v>
      </c>
      <c r="F56" s="13">
        <v>0</v>
      </c>
      <c r="G56" s="14">
        <v>0</v>
      </c>
      <c r="H56" s="53"/>
    </row>
    <row r="57" spans="1:8" ht="14.1" customHeight="1" x14ac:dyDescent="0.2">
      <c r="A57" s="1"/>
      <c r="B57" s="1"/>
      <c r="C57" s="11"/>
      <c r="D57" s="1"/>
      <c r="E57" s="1"/>
      <c r="F57" s="12"/>
      <c r="G57" s="12"/>
      <c r="H57" s="53"/>
    </row>
    <row r="58" spans="1:8" ht="14.1" customHeight="1" x14ac:dyDescent="0.2">
      <c r="A58" s="1"/>
      <c r="B58" s="1"/>
      <c r="C58" s="2" t="s">
        <v>147</v>
      </c>
      <c r="D58" s="1"/>
      <c r="E58" s="1"/>
      <c r="F58" s="12"/>
      <c r="G58" s="12"/>
      <c r="H58" s="53"/>
    </row>
    <row r="59" spans="1:8" ht="14.1" customHeight="1" x14ac:dyDescent="0.2">
      <c r="A59" s="1"/>
      <c r="B59" s="1"/>
      <c r="C59" s="2" t="s">
        <v>132</v>
      </c>
      <c r="D59" s="1"/>
      <c r="E59" s="1" t="s">
        <v>133</v>
      </c>
      <c r="F59" s="13">
        <v>0</v>
      </c>
      <c r="G59" s="14">
        <v>0</v>
      </c>
      <c r="H59" s="53"/>
    </row>
    <row r="60" spans="1:8" ht="14.1" customHeight="1" x14ac:dyDescent="0.2">
      <c r="A60" s="1"/>
      <c r="B60" s="1"/>
      <c r="C60" s="11"/>
      <c r="D60" s="1"/>
      <c r="E60" s="1"/>
      <c r="F60" s="12"/>
      <c r="G60" s="12"/>
      <c r="H60" s="53"/>
    </row>
    <row r="61" spans="1:8" ht="14.1" customHeight="1" x14ac:dyDescent="0.2">
      <c r="A61" s="1"/>
      <c r="B61" s="1"/>
      <c r="C61" s="2" t="s">
        <v>148</v>
      </c>
      <c r="D61" s="1"/>
      <c r="E61" s="1"/>
      <c r="F61" s="12"/>
      <c r="G61" s="12"/>
      <c r="H61" s="53"/>
    </row>
    <row r="62" spans="1:8" ht="14.1" customHeight="1" x14ac:dyDescent="0.2">
      <c r="A62" s="1"/>
      <c r="B62" s="1"/>
      <c r="C62" s="2" t="s">
        <v>132</v>
      </c>
      <c r="D62" s="1"/>
      <c r="E62" s="1" t="s">
        <v>133</v>
      </c>
      <c r="F62" s="13">
        <v>0</v>
      </c>
      <c r="G62" s="14">
        <v>0</v>
      </c>
      <c r="H62" s="53"/>
    </row>
    <row r="63" spans="1:8" ht="14.1" customHeight="1" x14ac:dyDescent="0.2">
      <c r="A63" s="1"/>
      <c r="B63" s="1"/>
      <c r="C63" s="11"/>
      <c r="D63" s="1"/>
      <c r="E63" s="1"/>
      <c r="F63" s="12"/>
      <c r="G63" s="12"/>
      <c r="H63" s="53"/>
    </row>
    <row r="64" spans="1:8" ht="14.1" customHeight="1" x14ac:dyDescent="0.2">
      <c r="A64" s="1"/>
      <c r="B64" s="1"/>
      <c r="C64" s="2" t="s">
        <v>149</v>
      </c>
      <c r="D64" s="1"/>
      <c r="E64" s="1"/>
      <c r="F64" s="12"/>
      <c r="G64" s="12"/>
      <c r="H64" s="53"/>
    </row>
    <row r="65" spans="1:8" ht="17.100000000000001" customHeight="1" x14ac:dyDescent="0.2">
      <c r="A65" s="3">
        <v>1</v>
      </c>
      <c r="B65" s="4"/>
      <c r="C65" s="4" t="s">
        <v>150</v>
      </c>
      <c r="D65" s="4"/>
      <c r="E65" s="8"/>
      <c r="F65" s="6">
        <v>27202.6592471</v>
      </c>
      <c r="G65" s="7">
        <v>0.87038678599999997</v>
      </c>
      <c r="H65" s="53">
        <v>6.46</v>
      </c>
    </row>
    <row r="66" spans="1:8" ht="14.1" customHeight="1" x14ac:dyDescent="0.2">
      <c r="A66" s="1"/>
      <c r="B66" s="1"/>
      <c r="C66" s="2" t="s">
        <v>132</v>
      </c>
      <c r="D66" s="1"/>
      <c r="E66" s="1" t="s">
        <v>133</v>
      </c>
      <c r="F66" s="9">
        <v>27202.6592471</v>
      </c>
      <c r="G66" s="10">
        <v>0.87038678599999997</v>
      </c>
      <c r="H66" s="53"/>
    </row>
    <row r="67" spans="1:8" ht="14.1" customHeight="1" x14ac:dyDescent="0.2">
      <c r="A67" s="1"/>
      <c r="B67" s="1"/>
      <c r="C67" s="11"/>
      <c r="D67" s="1"/>
      <c r="E67" s="1"/>
      <c r="F67" s="12"/>
      <c r="G67" s="12"/>
      <c r="H67" s="53"/>
    </row>
    <row r="68" spans="1:8" ht="14.1" customHeight="1" x14ac:dyDescent="0.2">
      <c r="A68" s="1"/>
      <c r="B68" s="1"/>
      <c r="C68" s="2" t="s">
        <v>151</v>
      </c>
      <c r="D68" s="1"/>
      <c r="E68" s="1"/>
      <c r="F68" s="9">
        <v>27202.6592471</v>
      </c>
      <c r="G68" s="10">
        <v>0.87038678599999997</v>
      </c>
      <c r="H68" s="53"/>
    </row>
    <row r="69" spans="1:8" ht="14.1" customHeight="1" x14ac:dyDescent="0.2">
      <c r="A69" s="1"/>
      <c r="B69" s="1"/>
      <c r="C69" s="12"/>
      <c r="D69" s="1"/>
      <c r="E69" s="1"/>
      <c r="F69" s="1"/>
      <c r="G69" s="1"/>
      <c r="H69" s="53"/>
    </row>
    <row r="70" spans="1:8" ht="14.1" customHeight="1" x14ac:dyDescent="0.2">
      <c r="A70" s="1"/>
      <c r="B70" s="1"/>
      <c r="C70" s="2" t="s">
        <v>152</v>
      </c>
      <c r="D70" s="1"/>
      <c r="E70" s="1"/>
      <c r="F70" s="1"/>
      <c r="G70" s="1"/>
      <c r="H70" s="53"/>
    </row>
    <row r="71" spans="1:8" ht="14.1" customHeight="1" x14ac:dyDescent="0.2">
      <c r="A71" s="1"/>
      <c r="B71" s="1"/>
      <c r="C71" s="2" t="s">
        <v>153</v>
      </c>
      <c r="D71" s="1"/>
      <c r="E71" s="1"/>
      <c r="F71" s="1"/>
      <c r="G71" s="1"/>
      <c r="H71" s="53"/>
    </row>
    <row r="72" spans="1:8" ht="14.1" customHeight="1" x14ac:dyDescent="0.2">
      <c r="A72" s="1"/>
      <c r="B72" s="1"/>
      <c r="C72" s="2" t="s">
        <v>132</v>
      </c>
      <c r="D72" s="1"/>
      <c r="E72" s="1" t="s">
        <v>133</v>
      </c>
      <c r="F72" s="13">
        <v>0</v>
      </c>
      <c r="G72" s="14">
        <v>0</v>
      </c>
      <c r="H72" s="53"/>
    </row>
    <row r="73" spans="1:8" ht="14.1" customHeight="1" x14ac:dyDescent="0.2">
      <c r="A73" s="1"/>
      <c r="B73" s="1"/>
      <c r="C73" s="11"/>
      <c r="D73" s="1"/>
      <c r="E73" s="1"/>
      <c r="F73" s="12"/>
      <c r="G73" s="12"/>
      <c r="H73" s="53"/>
    </row>
    <row r="74" spans="1:8" ht="14.1" customHeight="1" x14ac:dyDescent="0.2">
      <c r="A74" s="1"/>
      <c r="B74" s="1"/>
      <c r="C74" s="2" t="s">
        <v>154</v>
      </c>
      <c r="D74" s="1"/>
      <c r="E74" s="1"/>
      <c r="F74" s="1"/>
      <c r="G74" s="1"/>
      <c r="H74" s="53"/>
    </row>
    <row r="75" spans="1:8" ht="14.1" customHeight="1" x14ac:dyDescent="0.2">
      <c r="A75" s="1"/>
      <c r="B75" s="1"/>
      <c r="C75" s="2" t="s">
        <v>155</v>
      </c>
      <c r="D75" s="1"/>
      <c r="E75" s="1"/>
      <c r="F75" s="1"/>
      <c r="G75" s="1"/>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4.1" customHeight="1" x14ac:dyDescent="0.2">
      <c r="A78" s="1"/>
      <c r="B78" s="1"/>
      <c r="C78" s="11"/>
      <c r="D78" s="1"/>
      <c r="E78" s="1"/>
      <c r="F78" s="12"/>
      <c r="G78" s="12"/>
      <c r="H78" s="53"/>
    </row>
    <row r="79" spans="1:8" ht="24" customHeight="1" x14ac:dyDescent="0.2">
      <c r="A79" s="1"/>
      <c r="B79" s="1"/>
      <c r="C79" s="2" t="s">
        <v>156</v>
      </c>
      <c r="D79" s="1"/>
      <c r="E79" s="1"/>
      <c r="F79" s="12"/>
      <c r="G79" s="12"/>
      <c r="H79" s="53"/>
    </row>
    <row r="80" spans="1:8" ht="14.1" customHeight="1" x14ac:dyDescent="0.2">
      <c r="A80" s="1"/>
      <c r="B80" s="1"/>
      <c r="C80" s="2" t="s">
        <v>132</v>
      </c>
      <c r="D80" s="1"/>
      <c r="E80" s="1" t="s">
        <v>133</v>
      </c>
      <c r="F80" s="13">
        <v>0</v>
      </c>
      <c r="G80" s="14">
        <v>0</v>
      </c>
      <c r="H80" s="53"/>
    </row>
    <row r="81" spans="1:8" ht="14.1" customHeight="1" x14ac:dyDescent="0.2">
      <c r="A81" s="1"/>
      <c r="B81" s="1"/>
      <c r="C81" s="11"/>
      <c r="D81" s="1"/>
      <c r="E81" s="1"/>
      <c r="F81" s="12"/>
      <c r="G81" s="12"/>
      <c r="H81" s="53"/>
    </row>
    <row r="82" spans="1:8" ht="14.1" customHeight="1" x14ac:dyDescent="0.2">
      <c r="A82" s="1"/>
      <c r="B82" s="4"/>
      <c r="C82" s="4"/>
      <c r="D82" s="2"/>
      <c r="E82" s="1"/>
      <c r="F82" s="4"/>
      <c r="G82" s="8"/>
      <c r="H82" s="53"/>
    </row>
    <row r="83" spans="1:8" ht="18" customHeight="1" x14ac:dyDescent="0.2">
      <c r="A83" s="8"/>
      <c r="B83" s="4"/>
      <c r="C83" s="4" t="s">
        <v>157</v>
      </c>
      <c r="D83" s="4"/>
      <c r="E83" s="8"/>
      <c r="F83" s="6">
        <v>139.46388138</v>
      </c>
      <c r="G83" s="7">
        <v>4.4623400000000004E-3</v>
      </c>
      <c r="H83" s="53"/>
    </row>
    <row r="84" spans="1:8" ht="14.1" customHeight="1" x14ac:dyDescent="0.2">
      <c r="A84" s="11"/>
      <c r="B84" s="11"/>
      <c r="C84" s="2" t="s">
        <v>158</v>
      </c>
      <c r="D84" s="15"/>
      <c r="E84" s="15"/>
      <c r="F84" s="9">
        <v>31253.52968648</v>
      </c>
      <c r="G84" s="10">
        <v>1.0000000010000001</v>
      </c>
      <c r="H84" s="53"/>
    </row>
    <row r="85" spans="1:8" ht="14.1" customHeight="1" x14ac:dyDescent="0.2">
      <c r="A85" s="16"/>
      <c r="B85" s="16"/>
      <c r="C85" s="16"/>
      <c r="D85" s="17"/>
      <c r="E85" s="17"/>
      <c r="F85" s="17"/>
      <c r="G85" s="17"/>
    </row>
    <row r="86" spans="1:8" ht="14.1" customHeight="1" x14ac:dyDescent="0.2">
      <c r="A86" s="18"/>
      <c r="B86" s="292" t="s">
        <v>133</v>
      </c>
      <c r="C86" s="292"/>
      <c r="D86" s="292"/>
      <c r="E86" s="292"/>
      <c r="F86" s="292"/>
      <c r="G86" s="20"/>
    </row>
    <row r="87" spans="1:8" ht="14.1" customHeight="1" x14ac:dyDescent="0.2">
      <c r="A87" s="18"/>
      <c r="B87" s="292" t="s">
        <v>133</v>
      </c>
      <c r="C87" s="292"/>
      <c r="D87" s="292"/>
      <c r="E87" s="292"/>
      <c r="F87" s="292"/>
      <c r="G87" s="20"/>
    </row>
    <row r="88" spans="1:8" ht="14.1" customHeight="1" x14ac:dyDescent="0.2">
      <c r="A88" s="18"/>
      <c r="B88" s="18"/>
      <c r="C88" s="18"/>
      <c r="D88" s="20"/>
      <c r="E88" s="20"/>
      <c r="F88" s="20"/>
      <c r="G88" s="20"/>
    </row>
    <row r="89" spans="1:8" ht="14.1" customHeight="1" x14ac:dyDescent="0.2">
      <c r="A89" s="18"/>
      <c r="B89" s="293" t="s">
        <v>160</v>
      </c>
      <c r="C89" s="294"/>
      <c r="D89" s="12" t="s">
        <v>133</v>
      </c>
      <c r="E89" s="21"/>
      <c r="F89" s="20"/>
      <c r="G89" s="20"/>
    </row>
    <row r="90" spans="1:8" ht="29.1" customHeight="1" x14ac:dyDescent="0.2">
      <c r="A90" s="18"/>
      <c r="B90" s="290" t="s">
        <v>161</v>
      </c>
      <c r="C90" s="291"/>
      <c r="D90" s="2" t="s">
        <v>162</v>
      </c>
      <c r="E90" s="21"/>
      <c r="F90" s="20"/>
      <c r="G90" s="20"/>
    </row>
    <row r="91" spans="1:8" ht="17.100000000000001" customHeight="1" x14ac:dyDescent="0.2">
      <c r="A91" s="18"/>
      <c r="B91" s="290" t="s">
        <v>163</v>
      </c>
      <c r="C91" s="291"/>
      <c r="D91" s="2" t="s">
        <v>162</v>
      </c>
      <c r="E91" s="21"/>
      <c r="F91" s="20"/>
      <c r="G91" s="20"/>
    </row>
    <row r="92" spans="1:8" ht="17.100000000000001" customHeight="1" x14ac:dyDescent="0.2">
      <c r="A92" s="18"/>
      <c r="B92" s="290" t="s">
        <v>164</v>
      </c>
      <c r="C92" s="291"/>
      <c r="D92" s="12" t="s">
        <v>133</v>
      </c>
      <c r="E92" s="21"/>
      <c r="F92" s="20"/>
      <c r="G92" s="20"/>
    </row>
    <row r="93" spans="1:8" ht="24" customHeight="1" x14ac:dyDescent="0.2">
      <c r="A93" s="22"/>
      <c r="B93" s="23" t="s">
        <v>133</v>
      </c>
      <c r="C93" s="23" t="s">
        <v>165</v>
      </c>
      <c r="D93" s="23" t="s">
        <v>166</v>
      </c>
      <c r="E93" s="22"/>
      <c r="F93" s="22"/>
      <c r="G93" s="22"/>
    </row>
    <row r="94" spans="1:8" ht="18" customHeight="1" x14ac:dyDescent="0.2">
      <c r="A94" s="22"/>
      <c r="B94" s="23" t="s">
        <v>167</v>
      </c>
      <c r="C94" s="23" t="s">
        <v>168</v>
      </c>
      <c r="D94" s="23" t="s">
        <v>169</v>
      </c>
      <c r="E94" s="22"/>
      <c r="F94" s="22"/>
      <c r="G94" s="22"/>
    </row>
    <row r="95" spans="1:8" ht="17.100000000000001" customHeight="1" x14ac:dyDescent="0.2">
      <c r="A95" s="22"/>
      <c r="B95" s="4" t="s">
        <v>170</v>
      </c>
      <c r="C95" s="24">
        <v>17.450199999999999</v>
      </c>
      <c r="D95" s="24">
        <v>17.366199999999999</v>
      </c>
      <c r="E95" s="22"/>
      <c r="F95" s="19"/>
      <c r="G95" s="25"/>
    </row>
    <row r="96" spans="1:8" ht="17.100000000000001" customHeight="1" x14ac:dyDescent="0.2">
      <c r="A96" s="22"/>
      <c r="B96" s="4" t="s">
        <v>1042</v>
      </c>
      <c r="C96" s="24">
        <v>17.450199999999999</v>
      </c>
      <c r="D96" s="24">
        <v>17.366199999999999</v>
      </c>
      <c r="E96" s="22"/>
      <c r="F96" s="19"/>
      <c r="G96" s="25"/>
    </row>
    <row r="97" spans="1:7" ht="17.100000000000001" customHeight="1" x14ac:dyDescent="0.2">
      <c r="A97" s="22"/>
      <c r="B97" s="4" t="s">
        <v>171</v>
      </c>
      <c r="C97" s="24">
        <v>16.9252</v>
      </c>
      <c r="D97" s="24">
        <v>16.837299999999999</v>
      </c>
      <c r="E97" s="22"/>
      <c r="F97" s="19"/>
      <c r="G97" s="25"/>
    </row>
    <row r="98" spans="1:7" ht="17.100000000000001" customHeight="1" x14ac:dyDescent="0.2">
      <c r="A98" s="22"/>
      <c r="B98" s="4" t="s">
        <v>1043</v>
      </c>
      <c r="C98" s="24">
        <v>16.9252</v>
      </c>
      <c r="D98" s="24">
        <v>16.837299999999999</v>
      </c>
      <c r="E98" s="22"/>
      <c r="F98" s="19"/>
      <c r="G98" s="25"/>
    </row>
    <row r="99" spans="1:7" ht="14.1" customHeight="1" x14ac:dyDescent="0.2">
      <c r="A99" s="22"/>
      <c r="B99" s="22"/>
      <c r="C99" s="22"/>
      <c r="D99" s="22"/>
      <c r="E99" s="22"/>
      <c r="F99" s="22"/>
      <c r="G99" s="22"/>
    </row>
    <row r="100" spans="1:7" ht="17.100000000000001" customHeight="1" x14ac:dyDescent="0.2">
      <c r="A100" s="22"/>
      <c r="B100" s="290" t="s">
        <v>1044</v>
      </c>
      <c r="C100" s="291"/>
      <c r="D100" s="2" t="s">
        <v>162</v>
      </c>
      <c r="E100" s="22"/>
      <c r="F100" s="22"/>
      <c r="G100" s="22"/>
    </row>
    <row r="101" spans="1:7" ht="18" customHeight="1" x14ac:dyDescent="0.2">
      <c r="A101" s="22"/>
      <c r="B101" s="26"/>
      <c r="C101" s="26"/>
      <c r="D101" s="27"/>
      <c r="E101" s="22"/>
      <c r="F101" s="22"/>
      <c r="G101" s="22"/>
    </row>
    <row r="102" spans="1:7" ht="29.1" customHeight="1" x14ac:dyDescent="0.2">
      <c r="A102" s="22"/>
      <c r="B102" s="290" t="s">
        <v>172</v>
      </c>
      <c r="C102" s="291"/>
      <c r="D102" s="2" t="s">
        <v>162</v>
      </c>
      <c r="E102" s="22"/>
      <c r="F102" s="22"/>
      <c r="G102" s="22"/>
    </row>
    <row r="103" spans="1:7" ht="29.1" customHeight="1" x14ac:dyDescent="0.2">
      <c r="A103" s="22"/>
      <c r="B103" s="290" t="s">
        <v>173</v>
      </c>
      <c r="C103" s="291"/>
      <c r="D103" s="2" t="s">
        <v>162</v>
      </c>
      <c r="E103" s="22"/>
      <c r="F103" s="22"/>
      <c r="G103" s="22"/>
    </row>
    <row r="104" spans="1:7" ht="17.100000000000001" customHeight="1" x14ac:dyDescent="0.2">
      <c r="A104" s="22"/>
      <c r="B104" s="290" t="s">
        <v>174</v>
      </c>
      <c r="C104" s="291"/>
      <c r="D104" s="28">
        <v>0.21476970605454238</v>
      </c>
      <c r="E104" s="22"/>
      <c r="F104" s="19"/>
      <c r="G104" s="25"/>
    </row>
    <row r="105" spans="1:7" ht="17.100000000000001" customHeight="1" x14ac:dyDescent="0.2">
      <c r="A105" s="22"/>
      <c r="B105" s="290" t="s">
        <v>175</v>
      </c>
      <c r="C105" s="291"/>
      <c r="D105" s="2" t="s">
        <v>162</v>
      </c>
      <c r="E105" s="22"/>
      <c r="F105" s="22"/>
      <c r="G105" s="22"/>
    </row>
    <row r="165" spans="10:15" x14ac:dyDescent="0.2">
      <c r="J165" s="189"/>
      <c r="K165" s="189"/>
      <c r="L165" s="189"/>
      <c r="M165" s="189"/>
      <c r="N165" s="189"/>
      <c r="O165" s="189"/>
    </row>
  </sheetData>
  <mergeCells count="15">
    <mergeCell ref="B104:C104"/>
    <mergeCell ref="B105:C105"/>
    <mergeCell ref="B90:C90"/>
    <mergeCell ref="B91:C91"/>
    <mergeCell ref="B92:C92"/>
    <mergeCell ref="B100:C100"/>
    <mergeCell ref="B102:C102"/>
    <mergeCell ref="B103:C103"/>
    <mergeCell ref="A1:H1"/>
    <mergeCell ref="A2:H2"/>
    <mergeCell ref="A3:H3"/>
    <mergeCell ref="J2:N2"/>
    <mergeCell ref="B89:C89"/>
    <mergeCell ref="B86:F86"/>
    <mergeCell ref="B87:F87"/>
  </mergeCells>
  <hyperlinks>
    <hyperlink ref="I1" location="Index!B7" display="Index" xr:uid="{AADAF63B-B9D5-47CC-BE95-F8F9A11265D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6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378</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374</v>
      </c>
      <c r="C7" s="4" t="s">
        <v>375</v>
      </c>
      <c r="D7" s="4" t="s">
        <v>119</v>
      </c>
      <c r="E7" s="5">
        <v>872540</v>
      </c>
      <c r="F7" s="6">
        <v>1093.7288900000001</v>
      </c>
      <c r="G7" s="7">
        <v>3.2644119999999999E-2</v>
      </c>
      <c r="H7" s="53"/>
    </row>
    <row r="8" spans="1:14" ht="17.100000000000001" customHeight="1" x14ac:dyDescent="0.2">
      <c r="A8" s="3">
        <v>2</v>
      </c>
      <c r="B8" s="4" t="s">
        <v>31</v>
      </c>
      <c r="C8" s="4" t="s">
        <v>32</v>
      </c>
      <c r="D8" s="4" t="s">
        <v>33</v>
      </c>
      <c r="E8" s="5">
        <v>48157</v>
      </c>
      <c r="F8" s="6">
        <v>931.26006600000005</v>
      </c>
      <c r="G8" s="7">
        <v>2.7794973000000001E-2</v>
      </c>
      <c r="H8" s="53"/>
    </row>
    <row r="9" spans="1:14" ht="17.100000000000001" customHeight="1" x14ac:dyDescent="0.2">
      <c r="A9" s="3">
        <v>3</v>
      </c>
      <c r="B9" s="4" t="s">
        <v>114</v>
      </c>
      <c r="C9" s="4" t="s">
        <v>115</v>
      </c>
      <c r="D9" s="4" t="s">
        <v>116</v>
      </c>
      <c r="E9" s="5">
        <v>270742</v>
      </c>
      <c r="F9" s="6">
        <v>913.34813699999995</v>
      </c>
      <c r="G9" s="7">
        <v>2.7260362E-2</v>
      </c>
      <c r="H9" s="53"/>
    </row>
    <row r="10" spans="1:14" ht="29.1" customHeight="1" x14ac:dyDescent="0.2">
      <c r="A10" s="3">
        <v>4</v>
      </c>
      <c r="B10" s="4" t="s">
        <v>191</v>
      </c>
      <c r="C10" s="4" t="s">
        <v>192</v>
      </c>
      <c r="D10" s="4" t="s">
        <v>116</v>
      </c>
      <c r="E10" s="5">
        <v>254938</v>
      </c>
      <c r="F10" s="6">
        <v>857.73890100000006</v>
      </c>
      <c r="G10" s="7">
        <v>2.5600614000000001E-2</v>
      </c>
      <c r="H10" s="53"/>
    </row>
    <row r="11" spans="1:14" ht="17.100000000000001" customHeight="1" x14ac:dyDescent="0.2">
      <c r="A11" s="3">
        <v>5</v>
      </c>
      <c r="B11" s="4" t="s">
        <v>283</v>
      </c>
      <c r="C11" s="4" t="s">
        <v>284</v>
      </c>
      <c r="D11" s="4" t="s">
        <v>22</v>
      </c>
      <c r="E11" s="5">
        <v>277558</v>
      </c>
      <c r="F11" s="6">
        <v>652.677637</v>
      </c>
      <c r="G11" s="7">
        <v>1.9480226999999999E-2</v>
      </c>
      <c r="H11" s="53"/>
    </row>
    <row r="12" spans="1:14" ht="29.1" customHeight="1" x14ac:dyDescent="0.2">
      <c r="A12" s="3">
        <v>6</v>
      </c>
      <c r="B12" s="4" t="s">
        <v>197</v>
      </c>
      <c r="C12" s="4" t="s">
        <v>198</v>
      </c>
      <c r="D12" s="4" t="s">
        <v>199</v>
      </c>
      <c r="E12" s="5">
        <v>15850</v>
      </c>
      <c r="F12" s="6">
        <v>644.97612500000002</v>
      </c>
      <c r="G12" s="7">
        <v>1.9250363E-2</v>
      </c>
      <c r="H12" s="53"/>
    </row>
    <row r="13" spans="1:14" ht="17.100000000000001" customHeight="1" x14ac:dyDescent="0.2">
      <c r="A13" s="3">
        <v>7</v>
      </c>
      <c r="B13" s="4" t="s">
        <v>301</v>
      </c>
      <c r="C13" s="4" t="s">
        <v>302</v>
      </c>
      <c r="D13" s="4" t="s">
        <v>234</v>
      </c>
      <c r="E13" s="5">
        <v>124808</v>
      </c>
      <c r="F13" s="6">
        <v>623.54076799999996</v>
      </c>
      <c r="G13" s="7">
        <v>1.861059E-2</v>
      </c>
      <c r="H13" s="53"/>
      <c r="J13" s="188" t="s">
        <v>1081</v>
      </c>
    </row>
    <row r="14" spans="1:14" ht="17.100000000000001" customHeight="1" x14ac:dyDescent="0.2">
      <c r="A14" s="3">
        <v>8</v>
      </c>
      <c r="B14" s="4" t="s">
        <v>379</v>
      </c>
      <c r="C14" s="4" t="s">
        <v>380</v>
      </c>
      <c r="D14" s="4" t="s">
        <v>33</v>
      </c>
      <c r="E14" s="5">
        <v>72442</v>
      </c>
      <c r="F14" s="6">
        <v>614.05461300000002</v>
      </c>
      <c r="G14" s="7">
        <v>1.832746E-2</v>
      </c>
      <c r="H14" s="53"/>
    </row>
    <row r="15" spans="1:14" ht="17.100000000000001" customHeight="1" x14ac:dyDescent="0.2">
      <c r="A15" s="3">
        <v>9</v>
      </c>
      <c r="B15" s="4" t="s">
        <v>363</v>
      </c>
      <c r="C15" s="4" t="s">
        <v>364</v>
      </c>
      <c r="D15" s="4" t="s">
        <v>116</v>
      </c>
      <c r="E15" s="5">
        <v>115651</v>
      </c>
      <c r="F15" s="6">
        <v>595.02439500000003</v>
      </c>
      <c r="G15" s="7">
        <v>1.7759471999999998E-2</v>
      </c>
      <c r="H15" s="53"/>
    </row>
    <row r="16" spans="1:14" ht="17.100000000000001" customHeight="1" x14ac:dyDescent="0.2">
      <c r="A16" s="3">
        <v>10</v>
      </c>
      <c r="B16" s="4" t="s">
        <v>365</v>
      </c>
      <c r="C16" s="4" t="s">
        <v>366</v>
      </c>
      <c r="D16" s="4" t="s">
        <v>119</v>
      </c>
      <c r="E16" s="5">
        <v>99518</v>
      </c>
      <c r="F16" s="6">
        <v>532.47105899999997</v>
      </c>
      <c r="G16" s="7">
        <v>1.5892466000000001E-2</v>
      </c>
      <c r="H16" s="53"/>
    </row>
    <row r="17" spans="1:8" ht="17.100000000000001" customHeight="1" x14ac:dyDescent="0.2">
      <c r="A17" s="3">
        <v>11</v>
      </c>
      <c r="B17" s="4" t="s">
        <v>94</v>
      </c>
      <c r="C17" s="4" t="s">
        <v>95</v>
      </c>
      <c r="D17" s="4" t="s">
        <v>96</v>
      </c>
      <c r="E17" s="5">
        <v>103225</v>
      </c>
      <c r="F17" s="6">
        <v>480.04786250000001</v>
      </c>
      <c r="G17" s="7">
        <v>1.432781E-2</v>
      </c>
      <c r="H17" s="53"/>
    </row>
    <row r="18" spans="1:8" ht="17.100000000000001" customHeight="1" x14ac:dyDescent="0.2">
      <c r="A18" s="3">
        <v>12</v>
      </c>
      <c r="B18" s="4" t="s">
        <v>381</v>
      </c>
      <c r="C18" s="4" t="s">
        <v>382</v>
      </c>
      <c r="D18" s="4" t="s">
        <v>116</v>
      </c>
      <c r="E18" s="5">
        <v>19183</v>
      </c>
      <c r="F18" s="6">
        <v>322.79234100000002</v>
      </c>
      <c r="G18" s="7">
        <v>9.6342630000000005E-3</v>
      </c>
      <c r="H18" s="53"/>
    </row>
    <row r="19" spans="1:8" ht="17.100000000000001" customHeight="1" x14ac:dyDescent="0.2">
      <c r="A19" s="3">
        <v>13</v>
      </c>
      <c r="B19" s="4" t="s">
        <v>383</v>
      </c>
      <c r="C19" s="4" t="s">
        <v>384</v>
      </c>
      <c r="D19" s="4" t="s">
        <v>901</v>
      </c>
      <c r="E19" s="5">
        <v>27207</v>
      </c>
      <c r="F19" s="6">
        <v>294.58379250000002</v>
      </c>
      <c r="G19" s="7">
        <v>8.7923329999999994E-3</v>
      </c>
      <c r="H19" s="53"/>
    </row>
    <row r="20" spans="1:8" ht="17.100000000000001" customHeight="1" x14ac:dyDescent="0.2">
      <c r="A20" s="3">
        <v>14</v>
      </c>
      <c r="B20" s="4" t="s">
        <v>253</v>
      </c>
      <c r="C20" s="4" t="s">
        <v>254</v>
      </c>
      <c r="D20" s="4" t="s">
        <v>119</v>
      </c>
      <c r="E20" s="5">
        <v>51171</v>
      </c>
      <c r="F20" s="6">
        <v>281.72194050000002</v>
      </c>
      <c r="G20" s="7">
        <v>8.4084499999999996E-3</v>
      </c>
      <c r="H20" s="53"/>
    </row>
    <row r="21" spans="1:8" ht="17.100000000000001" customHeight="1" x14ac:dyDescent="0.2">
      <c r="A21" s="3">
        <v>15</v>
      </c>
      <c r="B21" s="4" t="s">
        <v>385</v>
      </c>
      <c r="C21" s="4" t="s">
        <v>386</v>
      </c>
      <c r="D21" s="4" t="s">
        <v>119</v>
      </c>
      <c r="E21" s="5">
        <v>30109</v>
      </c>
      <c r="F21" s="6">
        <v>275.58767699999999</v>
      </c>
      <c r="G21" s="7">
        <v>8.2253629999999994E-3</v>
      </c>
      <c r="H21" s="53"/>
    </row>
    <row r="22" spans="1:8" ht="29.1" customHeight="1" x14ac:dyDescent="0.2">
      <c r="A22" s="3">
        <v>16</v>
      </c>
      <c r="B22" s="4" t="s">
        <v>387</v>
      </c>
      <c r="C22" s="4" t="s">
        <v>388</v>
      </c>
      <c r="D22" s="4" t="s">
        <v>65</v>
      </c>
      <c r="E22" s="5">
        <v>16886</v>
      </c>
      <c r="F22" s="6">
        <v>273.13105000000002</v>
      </c>
      <c r="G22" s="7">
        <v>8.1520410000000005E-3</v>
      </c>
      <c r="H22" s="53"/>
    </row>
    <row r="23" spans="1:8" ht="17.100000000000001" customHeight="1" x14ac:dyDescent="0.2">
      <c r="A23" s="3">
        <v>17</v>
      </c>
      <c r="B23" s="4" t="s">
        <v>367</v>
      </c>
      <c r="C23" s="4" t="s">
        <v>368</v>
      </c>
      <c r="D23" s="4" t="s">
        <v>116</v>
      </c>
      <c r="E23" s="5">
        <v>53631</v>
      </c>
      <c r="F23" s="6">
        <v>271.58738399999999</v>
      </c>
      <c r="G23" s="7">
        <v>8.1059679999999999E-3</v>
      </c>
      <c r="H23" s="53"/>
    </row>
    <row r="24" spans="1:8" ht="29.1" customHeight="1" x14ac:dyDescent="0.2">
      <c r="A24" s="3">
        <v>18</v>
      </c>
      <c r="B24" s="4" t="s">
        <v>285</v>
      </c>
      <c r="C24" s="4" t="s">
        <v>286</v>
      </c>
      <c r="D24" s="4" t="s">
        <v>199</v>
      </c>
      <c r="E24" s="5">
        <v>37796</v>
      </c>
      <c r="F24" s="6">
        <v>256.80492199999998</v>
      </c>
      <c r="G24" s="7">
        <v>7.664761E-3</v>
      </c>
      <c r="H24" s="53"/>
    </row>
    <row r="25" spans="1:8" ht="29.1" customHeight="1" x14ac:dyDescent="0.2">
      <c r="A25" s="3">
        <v>19</v>
      </c>
      <c r="B25" s="4" t="s">
        <v>371</v>
      </c>
      <c r="C25" s="4" t="s">
        <v>372</v>
      </c>
      <c r="D25" s="4" t="s">
        <v>373</v>
      </c>
      <c r="E25" s="5">
        <v>60745</v>
      </c>
      <c r="F25" s="6">
        <v>238.60636</v>
      </c>
      <c r="G25" s="7">
        <v>7.1215949999999997E-3</v>
      </c>
      <c r="H25" s="53"/>
    </row>
    <row r="26" spans="1:8" ht="29.1" customHeight="1" x14ac:dyDescent="0.2">
      <c r="A26" s="3">
        <v>20</v>
      </c>
      <c r="B26" s="4" t="s">
        <v>369</v>
      </c>
      <c r="C26" s="4" t="s">
        <v>370</v>
      </c>
      <c r="D26" s="4" t="s">
        <v>199</v>
      </c>
      <c r="E26" s="5">
        <v>24941</v>
      </c>
      <c r="F26" s="6">
        <v>181.35848150000001</v>
      </c>
      <c r="G26" s="7">
        <v>5.4129390000000003E-3</v>
      </c>
      <c r="H26" s="53"/>
    </row>
    <row r="27" spans="1:8" ht="17.100000000000001" customHeight="1" x14ac:dyDescent="0.2">
      <c r="A27" s="3">
        <v>21</v>
      </c>
      <c r="B27" s="4" t="s">
        <v>389</v>
      </c>
      <c r="C27" s="4" t="s">
        <v>390</v>
      </c>
      <c r="D27" s="4" t="s">
        <v>119</v>
      </c>
      <c r="E27" s="5">
        <v>20964</v>
      </c>
      <c r="F27" s="6">
        <v>153.383106</v>
      </c>
      <c r="G27" s="7">
        <v>4.5779690000000003E-3</v>
      </c>
      <c r="H27" s="53"/>
    </row>
    <row r="28" spans="1:8" ht="29.1" customHeight="1" x14ac:dyDescent="0.2">
      <c r="A28" s="3">
        <v>22</v>
      </c>
      <c r="B28" s="4" t="s">
        <v>376</v>
      </c>
      <c r="C28" s="4" t="s">
        <v>377</v>
      </c>
      <c r="D28" s="4" t="s">
        <v>227</v>
      </c>
      <c r="E28" s="5">
        <v>3290</v>
      </c>
      <c r="F28" s="6">
        <v>130.05369999999999</v>
      </c>
      <c r="G28" s="7">
        <v>3.8816639999999999E-3</v>
      </c>
      <c r="H28" s="53"/>
    </row>
    <row r="29" spans="1:8" ht="17.100000000000001" customHeight="1" x14ac:dyDescent="0.2">
      <c r="A29" s="3">
        <v>23</v>
      </c>
      <c r="B29" s="4" t="s">
        <v>205</v>
      </c>
      <c r="C29" s="4" t="s">
        <v>206</v>
      </c>
      <c r="D29" s="4" t="s">
        <v>900</v>
      </c>
      <c r="E29" s="5">
        <v>3234</v>
      </c>
      <c r="F29" s="6">
        <v>125.184906</v>
      </c>
      <c r="G29" s="7">
        <v>3.7363470000000001E-3</v>
      </c>
      <c r="H29" s="53"/>
    </row>
    <row r="30" spans="1:8" ht="29.1" customHeight="1" x14ac:dyDescent="0.2">
      <c r="A30" s="3">
        <v>24</v>
      </c>
      <c r="B30" s="4" t="s">
        <v>391</v>
      </c>
      <c r="C30" s="4" t="s">
        <v>392</v>
      </c>
      <c r="D30" s="4" t="s">
        <v>116</v>
      </c>
      <c r="E30" s="5">
        <v>9707</v>
      </c>
      <c r="F30" s="6">
        <v>107.0827705</v>
      </c>
      <c r="G30" s="7">
        <v>3.1960600000000001E-3</v>
      </c>
      <c r="H30" s="53"/>
    </row>
    <row r="31" spans="1:8" ht="17.100000000000001" customHeight="1" x14ac:dyDescent="0.2">
      <c r="A31" s="3">
        <v>25</v>
      </c>
      <c r="B31" s="4" t="s">
        <v>393</v>
      </c>
      <c r="C31" s="4" t="s">
        <v>394</v>
      </c>
      <c r="D31" s="4" t="s">
        <v>212</v>
      </c>
      <c r="E31" s="5">
        <v>14195</v>
      </c>
      <c r="F31" s="6">
        <v>102.4808025</v>
      </c>
      <c r="G31" s="7">
        <v>3.058706E-3</v>
      </c>
      <c r="H31" s="53"/>
    </row>
    <row r="32" spans="1:8" ht="17.100000000000001" customHeight="1" x14ac:dyDescent="0.2">
      <c r="A32" s="3">
        <v>26</v>
      </c>
      <c r="B32" s="4" t="s">
        <v>395</v>
      </c>
      <c r="C32" s="4" t="s">
        <v>396</v>
      </c>
      <c r="D32" s="4" t="s">
        <v>116</v>
      </c>
      <c r="E32" s="5">
        <v>25841</v>
      </c>
      <c r="F32" s="6">
        <v>61.488659499999997</v>
      </c>
      <c r="G32" s="7">
        <v>1.8352290000000001E-3</v>
      </c>
      <c r="H32" s="53"/>
    </row>
    <row r="33" spans="1:8" ht="29.1" customHeight="1" x14ac:dyDescent="0.2">
      <c r="A33" s="3">
        <v>27</v>
      </c>
      <c r="B33" s="4" t="s">
        <v>397</v>
      </c>
      <c r="C33" s="4" t="s">
        <v>398</v>
      </c>
      <c r="D33" s="4" t="s">
        <v>60</v>
      </c>
      <c r="E33" s="5">
        <v>14211</v>
      </c>
      <c r="F33" s="6">
        <v>51.784883999999998</v>
      </c>
      <c r="G33" s="7">
        <v>1.5456039999999999E-3</v>
      </c>
      <c r="H33" s="53"/>
    </row>
    <row r="34" spans="1:8" ht="14.1" customHeight="1" x14ac:dyDescent="0.2">
      <c r="A34" s="1"/>
      <c r="B34" s="1"/>
      <c r="C34" s="2" t="s">
        <v>132</v>
      </c>
      <c r="D34" s="1"/>
      <c r="E34" s="1" t="s">
        <v>133</v>
      </c>
      <c r="F34" s="9">
        <v>11066.5012305</v>
      </c>
      <c r="G34" s="10">
        <v>0.33029774899999997</v>
      </c>
      <c r="H34" s="53"/>
    </row>
    <row r="35" spans="1:8" ht="14.1" customHeight="1" x14ac:dyDescent="0.2">
      <c r="A35" s="1"/>
      <c r="B35" s="1"/>
      <c r="C35" s="11"/>
      <c r="D35" s="1"/>
      <c r="E35" s="1"/>
      <c r="F35" s="12"/>
      <c r="G35" s="12"/>
      <c r="H35" s="53"/>
    </row>
    <row r="36" spans="1:8" ht="14.1" customHeight="1" x14ac:dyDescent="0.2">
      <c r="A36" s="1"/>
      <c r="B36" s="1"/>
      <c r="C36" s="2" t="s">
        <v>134</v>
      </c>
      <c r="D36" s="1"/>
      <c r="E36" s="1"/>
      <c r="F36" s="1"/>
      <c r="G36" s="1"/>
      <c r="H36" s="53"/>
    </row>
    <row r="37" spans="1:8" ht="14.1" customHeight="1" x14ac:dyDescent="0.2">
      <c r="A37" s="1"/>
      <c r="B37" s="1"/>
      <c r="C37" s="2" t="s">
        <v>132</v>
      </c>
      <c r="D37" s="1"/>
      <c r="E37" s="1" t="s">
        <v>133</v>
      </c>
      <c r="F37" s="13">
        <v>0</v>
      </c>
      <c r="G37" s="14">
        <v>0</v>
      </c>
      <c r="H37" s="53"/>
    </row>
    <row r="38" spans="1:8" ht="14.1" customHeight="1" x14ac:dyDescent="0.2">
      <c r="A38" s="1"/>
      <c r="B38" s="1"/>
      <c r="C38" s="11"/>
      <c r="D38" s="1"/>
      <c r="E38" s="1"/>
      <c r="F38" s="12"/>
      <c r="G38" s="12"/>
      <c r="H38" s="53"/>
    </row>
    <row r="39" spans="1:8" ht="14.1" customHeight="1" x14ac:dyDescent="0.2">
      <c r="A39" s="1"/>
      <c r="B39" s="1"/>
      <c r="C39" s="2" t="s">
        <v>135</v>
      </c>
      <c r="D39" s="1"/>
      <c r="E39" s="1"/>
      <c r="F39" s="1"/>
      <c r="G39" s="1"/>
      <c r="H39" s="53"/>
    </row>
    <row r="40" spans="1:8" ht="14.1" customHeight="1" x14ac:dyDescent="0.2">
      <c r="A40" s="1"/>
      <c r="B40" s="1"/>
      <c r="C40" s="2" t="s">
        <v>132</v>
      </c>
      <c r="D40" s="1"/>
      <c r="E40" s="1" t="s">
        <v>133</v>
      </c>
      <c r="F40" s="13">
        <v>0</v>
      </c>
      <c r="G40" s="14">
        <v>0</v>
      </c>
      <c r="H40" s="53"/>
    </row>
    <row r="41" spans="1:8" ht="14.1" customHeight="1" x14ac:dyDescent="0.2">
      <c r="A41" s="1"/>
      <c r="B41" s="1"/>
      <c r="C41" s="11"/>
      <c r="D41" s="1"/>
      <c r="E41" s="1"/>
      <c r="F41" s="12"/>
      <c r="G41" s="12"/>
      <c r="H41" s="53"/>
    </row>
    <row r="42" spans="1:8" ht="14.1" customHeight="1" x14ac:dyDescent="0.2">
      <c r="A42" s="1"/>
      <c r="B42" s="1"/>
      <c r="C42" s="2" t="s">
        <v>136</v>
      </c>
      <c r="D42" s="1"/>
      <c r="E42" s="1"/>
      <c r="F42" s="1"/>
      <c r="G42" s="1"/>
      <c r="H42" s="53"/>
    </row>
    <row r="43" spans="1:8" ht="17.100000000000001" customHeight="1" x14ac:dyDescent="0.2">
      <c r="A43" s="3">
        <v>1</v>
      </c>
      <c r="B43" s="4" t="s">
        <v>399</v>
      </c>
      <c r="C43" s="4" t="s">
        <v>960</v>
      </c>
      <c r="D43" s="4" t="s">
        <v>212</v>
      </c>
      <c r="E43" s="5">
        <v>1013</v>
      </c>
      <c r="F43" s="6">
        <v>1.5493835</v>
      </c>
      <c r="G43" s="8" t="s">
        <v>131</v>
      </c>
      <c r="H43" s="53"/>
    </row>
    <row r="44" spans="1:8" ht="14.1" customHeight="1" x14ac:dyDescent="0.2">
      <c r="A44" s="1"/>
      <c r="B44" s="1"/>
      <c r="C44" s="2" t="s">
        <v>132</v>
      </c>
      <c r="D44" s="1"/>
      <c r="E44" s="1" t="s">
        <v>133</v>
      </c>
      <c r="F44" s="9">
        <v>1.5493835</v>
      </c>
      <c r="G44" s="10">
        <v>4.6244E-5</v>
      </c>
      <c r="H44" s="53"/>
    </row>
    <row r="45" spans="1:8" ht="14.1" customHeight="1" x14ac:dyDescent="0.2">
      <c r="A45" s="1"/>
      <c r="B45" s="1"/>
      <c r="C45" s="11"/>
      <c r="D45" s="1"/>
      <c r="E45" s="1"/>
      <c r="F45" s="12"/>
      <c r="G45" s="12"/>
      <c r="H45" s="53"/>
    </row>
    <row r="46" spans="1:8" ht="14.1" customHeight="1" x14ac:dyDescent="0.2">
      <c r="A46" s="1"/>
      <c r="B46" s="1"/>
      <c r="C46" s="2" t="s">
        <v>137</v>
      </c>
      <c r="D46" s="1"/>
      <c r="E46" s="1"/>
      <c r="F46" s="12"/>
      <c r="G46" s="12"/>
      <c r="H46" s="53"/>
    </row>
    <row r="47" spans="1:8" ht="14.1" customHeight="1" x14ac:dyDescent="0.2">
      <c r="A47" s="1"/>
      <c r="B47" s="1"/>
      <c r="C47" s="2" t="s">
        <v>132</v>
      </c>
      <c r="D47" s="1"/>
      <c r="E47" s="1" t="s">
        <v>133</v>
      </c>
      <c r="F47" s="13">
        <v>0</v>
      </c>
      <c r="G47" s="14">
        <v>0</v>
      </c>
      <c r="H47" s="53"/>
    </row>
    <row r="48" spans="1:8" ht="14.1" customHeight="1" x14ac:dyDescent="0.2">
      <c r="A48" s="1"/>
      <c r="B48" s="1"/>
      <c r="C48" s="11"/>
      <c r="D48" s="1"/>
      <c r="E48" s="1"/>
      <c r="F48" s="12"/>
      <c r="G48" s="12"/>
      <c r="H48" s="53"/>
    </row>
    <row r="49" spans="1:8" ht="14.1" customHeight="1" x14ac:dyDescent="0.2">
      <c r="A49" s="1"/>
      <c r="B49" s="1"/>
      <c r="C49" s="2" t="s">
        <v>138</v>
      </c>
      <c r="D49" s="1"/>
      <c r="E49" s="1"/>
      <c r="F49" s="12"/>
      <c r="G49" s="12"/>
      <c r="H49" s="53"/>
    </row>
    <row r="50" spans="1:8" ht="14.1" customHeight="1" x14ac:dyDescent="0.2">
      <c r="A50" s="1"/>
      <c r="B50" s="1"/>
      <c r="C50" s="2" t="s">
        <v>132</v>
      </c>
      <c r="D50" s="1"/>
      <c r="E50" s="1" t="s">
        <v>133</v>
      </c>
      <c r="F50" s="13">
        <v>0</v>
      </c>
      <c r="G50" s="14">
        <v>0</v>
      </c>
      <c r="H50" s="53"/>
    </row>
    <row r="51" spans="1:8" ht="14.1" customHeight="1" x14ac:dyDescent="0.2">
      <c r="A51" s="1"/>
      <c r="B51" s="1"/>
      <c r="C51" s="11"/>
      <c r="D51" s="1"/>
      <c r="E51" s="1"/>
      <c r="F51" s="12"/>
      <c r="G51" s="12"/>
      <c r="H51" s="53"/>
    </row>
    <row r="52" spans="1:8" ht="18" customHeight="1" x14ac:dyDescent="0.2">
      <c r="A52" s="1"/>
      <c r="B52" s="1"/>
      <c r="C52" s="2" t="s">
        <v>139</v>
      </c>
      <c r="D52" s="1"/>
      <c r="E52" s="1"/>
      <c r="F52" s="9">
        <v>11068.050614</v>
      </c>
      <c r="G52" s="10">
        <v>0.330343993</v>
      </c>
      <c r="H52" s="53"/>
    </row>
    <row r="53" spans="1:8" ht="14.1" customHeight="1" x14ac:dyDescent="0.2">
      <c r="A53" s="1"/>
      <c r="B53" s="1"/>
      <c r="C53" s="11"/>
      <c r="D53" s="1"/>
      <c r="E53" s="1"/>
      <c r="F53" s="12"/>
      <c r="G53" s="12"/>
      <c r="H53" s="53"/>
    </row>
    <row r="54" spans="1:8" ht="14.1" customHeight="1" x14ac:dyDescent="0.2">
      <c r="A54" s="1"/>
      <c r="B54" s="1"/>
      <c r="C54" s="2" t="s">
        <v>140</v>
      </c>
      <c r="D54" s="1"/>
      <c r="E54" s="1"/>
      <c r="F54" s="12"/>
      <c r="G54" s="12"/>
      <c r="H54" s="53"/>
    </row>
    <row r="55" spans="1:8" ht="24" customHeight="1" x14ac:dyDescent="0.2">
      <c r="A55" s="1"/>
      <c r="B55" s="1"/>
      <c r="C55" s="2" t="s">
        <v>10</v>
      </c>
      <c r="D55" s="1"/>
      <c r="E55" s="1"/>
      <c r="F55" s="12"/>
      <c r="G55" s="12"/>
      <c r="H55" s="53"/>
    </row>
    <row r="56" spans="1:8" ht="14.1" customHeight="1" x14ac:dyDescent="0.2">
      <c r="A56" s="1"/>
      <c r="B56" s="1"/>
      <c r="C56" s="2" t="s">
        <v>132</v>
      </c>
      <c r="D56" s="1"/>
      <c r="E56" s="1" t="s">
        <v>133</v>
      </c>
      <c r="F56" s="13">
        <v>0</v>
      </c>
      <c r="G56" s="14">
        <v>0</v>
      </c>
      <c r="H56" s="53"/>
    </row>
    <row r="57" spans="1:8" ht="14.1" customHeight="1" x14ac:dyDescent="0.2">
      <c r="A57" s="1"/>
      <c r="B57" s="1"/>
      <c r="C57" s="11"/>
      <c r="D57" s="1"/>
      <c r="E57" s="1"/>
      <c r="F57" s="12"/>
      <c r="G57" s="12"/>
      <c r="H57" s="53"/>
    </row>
    <row r="58" spans="1:8" ht="14.1" customHeight="1" x14ac:dyDescent="0.2">
      <c r="A58" s="1"/>
      <c r="B58" s="1"/>
      <c r="C58" s="2" t="s">
        <v>141</v>
      </c>
      <c r="D58" s="1"/>
      <c r="E58" s="1"/>
      <c r="F58" s="1"/>
      <c r="G58" s="1"/>
      <c r="H58" s="53"/>
    </row>
    <row r="59" spans="1:8" ht="14.1" customHeight="1" x14ac:dyDescent="0.2">
      <c r="A59" s="1"/>
      <c r="B59" s="1"/>
      <c r="C59" s="2" t="s">
        <v>132</v>
      </c>
      <c r="D59" s="1"/>
      <c r="E59" s="1" t="s">
        <v>133</v>
      </c>
      <c r="F59" s="13">
        <v>0</v>
      </c>
      <c r="G59" s="14">
        <v>0</v>
      </c>
      <c r="H59" s="53"/>
    </row>
    <row r="60" spans="1:8" ht="14.1" customHeight="1" x14ac:dyDescent="0.2">
      <c r="A60" s="1"/>
      <c r="B60" s="1"/>
      <c r="C60" s="11"/>
      <c r="D60" s="1"/>
      <c r="E60" s="1"/>
      <c r="F60" s="12"/>
      <c r="G60" s="12"/>
      <c r="H60" s="53"/>
    </row>
    <row r="61" spans="1:8" ht="14.1" customHeight="1" x14ac:dyDescent="0.2">
      <c r="A61" s="1"/>
      <c r="B61" s="1"/>
      <c r="C61" s="2" t="s">
        <v>142</v>
      </c>
      <c r="D61" s="1"/>
      <c r="E61" s="1"/>
      <c r="F61" s="1"/>
      <c r="G61" s="1"/>
      <c r="H61" s="53"/>
    </row>
    <row r="62" spans="1:8" ht="14.1" customHeight="1" x14ac:dyDescent="0.2">
      <c r="A62" s="1"/>
      <c r="B62" s="1"/>
      <c r="C62" s="2" t="s">
        <v>132</v>
      </c>
      <c r="D62" s="1"/>
      <c r="E62" s="1" t="s">
        <v>133</v>
      </c>
      <c r="F62" s="13">
        <v>0</v>
      </c>
      <c r="G62" s="14">
        <v>0</v>
      </c>
      <c r="H62" s="53"/>
    </row>
    <row r="63" spans="1:8" ht="14.1" customHeight="1" x14ac:dyDescent="0.2">
      <c r="A63" s="1"/>
      <c r="B63" s="1"/>
      <c r="C63" s="11"/>
      <c r="D63" s="1"/>
      <c r="E63" s="1"/>
      <c r="F63" s="12"/>
      <c r="G63" s="12"/>
      <c r="H63" s="53"/>
    </row>
    <row r="64" spans="1:8" ht="14.1" customHeight="1" x14ac:dyDescent="0.2">
      <c r="A64" s="1"/>
      <c r="B64" s="1"/>
      <c r="C64" s="2" t="s">
        <v>143</v>
      </c>
      <c r="D64" s="1"/>
      <c r="E64" s="1"/>
      <c r="F64" s="12"/>
      <c r="G64" s="12"/>
      <c r="H64" s="53"/>
    </row>
    <row r="65" spans="1:8" ht="14.1" customHeight="1" x14ac:dyDescent="0.2">
      <c r="A65" s="1"/>
      <c r="B65" s="1"/>
      <c r="C65" s="2" t="s">
        <v>132</v>
      </c>
      <c r="D65" s="1"/>
      <c r="E65" s="1" t="s">
        <v>133</v>
      </c>
      <c r="F65" s="13">
        <v>0</v>
      </c>
      <c r="G65" s="14">
        <v>0</v>
      </c>
      <c r="H65" s="53"/>
    </row>
    <row r="66" spans="1:8" ht="14.1" customHeight="1" x14ac:dyDescent="0.2">
      <c r="A66" s="1"/>
      <c r="B66" s="1"/>
      <c r="C66" s="11"/>
      <c r="D66" s="1"/>
      <c r="E66" s="1"/>
      <c r="F66" s="12"/>
      <c r="G66" s="12"/>
      <c r="H66" s="53"/>
    </row>
    <row r="67" spans="1:8" ht="14.1" customHeight="1" x14ac:dyDescent="0.2">
      <c r="A67" s="1"/>
      <c r="B67" s="1"/>
      <c r="C67" s="2" t="s">
        <v>144</v>
      </c>
      <c r="D67" s="1"/>
      <c r="E67" s="1"/>
      <c r="F67" s="9">
        <v>0</v>
      </c>
      <c r="G67" s="10">
        <v>0</v>
      </c>
      <c r="H67" s="53"/>
    </row>
    <row r="68" spans="1:8" ht="14.1" customHeight="1" x14ac:dyDescent="0.2">
      <c r="A68" s="1"/>
      <c r="B68" s="1"/>
      <c r="C68" s="11"/>
      <c r="D68" s="1"/>
      <c r="E68" s="1"/>
      <c r="F68" s="12"/>
      <c r="G68" s="12"/>
      <c r="H68" s="53"/>
    </row>
    <row r="69" spans="1:8" ht="14.1" customHeight="1" x14ac:dyDescent="0.2">
      <c r="A69" s="1"/>
      <c r="B69" s="1"/>
      <c r="C69" s="2" t="s">
        <v>145</v>
      </c>
      <c r="D69" s="1"/>
      <c r="E69" s="1"/>
      <c r="F69" s="12"/>
      <c r="G69" s="12"/>
      <c r="H69" s="53"/>
    </row>
    <row r="70" spans="1:8" ht="14.1" customHeight="1" x14ac:dyDescent="0.2">
      <c r="A70" s="1"/>
      <c r="B70" s="1"/>
      <c r="C70" s="2" t="s">
        <v>146</v>
      </c>
      <c r="D70" s="1"/>
      <c r="E70" s="1"/>
      <c r="F70" s="12"/>
      <c r="G70" s="12"/>
      <c r="H70" s="53"/>
    </row>
    <row r="71" spans="1:8" ht="14.1" customHeight="1" x14ac:dyDescent="0.2">
      <c r="A71" s="1"/>
      <c r="B71" s="1"/>
      <c r="C71" s="2" t="s">
        <v>132</v>
      </c>
      <c r="D71" s="1"/>
      <c r="E71" s="1" t="s">
        <v>133</v>
      </c>
      <c r="F71" s="13">
        <v>0</v>
      </c>
      <c r="G71" s="14">
        <v>0</v>
      </c>
      <c r="H71" s="53"/>
    </row>
    <row r="72" spans="1:8" ht="14.1" customHeight="1" x14ac:dyDescent="0.2">
      <c r="A72" s="1"/>
      <c r="B72" s="1"/>
      <c r="C72" s="11"/>
      <c r="D72" s="1"/>
      <c r="E72" s="1"/>
      <c r="F72" s="12"/>
      <c r="G72" s="12"/>
      <c r="H72" s="53"/>
    </row>
    <row r="73" spans="1:8" ht="14.1" customHeight="1" x14ac:dyDescent="0.2">
      <c r="A73" s="1"/>
      <c r="B73" s="1"/>
      <c r="C73" s="2" t="s">
        <v>147</v>
      </c>
      <c r="D73" s="1"/>
      <c r="E73" s="1"/>
      <c r="F73" s="12"/>
      <c r="G73" s="12"/>
      <c r="H73" s="53"/>
    </row>
    <row r="74" spans="1:8" ht="14.1" customHeight="1" x14ac:dyDescent="0.2">
      <c r="A74" s="1"/>
      <c r="B74" s="1"/>
      <c r="C74" s="2" t="s">
        <v>132</v>
      </c>
      <c r="D74" s="1"/>
      <c r="E74" s="1" t="s">
        <v>133</v>
      </c>
      <c r="F74" s="13">
        <v>0</v>
      </c>
      <c r="G74" s="14">
        <v>0</v>
      </c>
      <c r="H74" s="53"/>
    </row>
    <row r="75" spans="1:8" ht="14.1" customHeight="1" x14ac:dyDescent="0.2">
      <c r="A75" s="1"/>
      <c r="B75" s="1"/>
      <c r="C75" s="11"/>
      <c r="D75" s="1"/>
      <c r="E75" s="1"/>
      <c r="F75" s="12"/>
      <c r="G75" s="12"/>
      <c r="H75" s="53"/>
    </row>
    <row r="76" spans="1:8" ht="14.1" customHeight="1" x14ac:dyDescent="0.2">
      <c r="A76" s="1"/>
      <c r="B76" s="1"/>
      <c r="C76" s="2" t="s">
        <v>148</v>
      </c>
      <c r="D76" s="1"/>
      <c r="E76" s="1"/>
      <c r="F76" s="12"/>
      <c r="G76" s="12"/>
      <c r="H76" s="53"/>
    </row>
    <row r="77" spans="1:8" ht="14.1" customHeight="1" x14ac:dyDescent="0.2">
      <c r="A77" s="1"/>
      <c r="B77" s="1"/>
      <c r="C77" s="2" t="s">
        <v>132</v>
      </c>
      <c r="D77" s="1"/>
      <c r="E77" s="1" t="s">
        <v>133</v>
      </c>
      <c r="F77" s="13">
        <v>0</v>
      </c>
      <c r="G77" s="14">
        <v>0</v>
      </c>
      <c r="H77" s="53"/>
    </row>
    <row r="78" spans="1:8" ht="14.1" customHeight="1" x14ac:dyDescent="0.2">
      <c r="A78" s="1"/>
      <c r="B78" s="1"/>
      <c r="C78" s="11"/>
      <c r="D78" s="1"/>
      <c r="E78" s="1"/>
      <c r="F78" s="12"/>
      <c r="G78" s="12"/>
      <c r="H78" s="53"/>
    </row>
    <row r="79" spans="1:8" ht="14.1" customHeight="1" x14ac:dyDescent="0.2">
      <c r="A79" s="1"/>
      <c r="B79" s="1"/>
      <c r="C79" s="2" t="s">
        <v>149</v>
      </c>
      <c r="D79" s="1"/>
      <c r="E79" s="1"/>
      <c r="F79" s="12"/>
      <c r="G79" s="12"/>
      <c r="H79" s="53"/>
    </row>
    <row r="80" spans="1:8" ht="17.100000000000001" customHeight="1" x14ac:dyDescent="0.2">
      <c r="A80" s="3">
        <v>1</v>
      </c>
      <c r="B80" s="4"/>
      <c r="C80" s="4" t="s">
        <v>150</v>
      </c>
      <c r="D80" s="4"/>
      <c r="E80" s="8"/>
      <c r="F80" s="6">
        <v>22317.7205063</v>
      </c>
      <c r="G80" s="7">
        <v>0.66610871100000002</v>
      </c>
      <c r="H80" s="53">
        <v>6.46</v>
      </c>
    </row>
    <row r="81" spans="1:8" ht="14.1" customHeight="1" x14ac:dyDescent="0.2">
      <c r="A81" s="1"/>
      <c r="B81" s="1"/>
      <c r="C81" s="2" t="s">
        <v>132</v>
      </c>
      <c r="D81" s="1"/>
      <c r="E81" s="1" t="s">
        <v>133</v>
      </c>
      <c r="F81" s="9">
        <v>22317.7205063</v>
      </c>
      <c r="G81" s="10">
        <v>0.66610871100000002</v>
      </c>
      <c r="H81" s="53"/>
    </row>
    <row r="82" spans="1:8" ht="14.1" customHeight="1" x14ac:dyDescent="0.2">
      <c r="A82" s="1"/>
      <c r="B82" s="1"/>
      <c r="C82" s="11"/>
      <c r="D82" s="1"/>
      <c r="E82" s="1"/>
      <c r="F82" s="12"/>
      <c r="G82" s="12"/>
      <c r="H82" s="53"/>
    </row>
    <row r="83" spans="1:8" ht="14.1" customHeight="1" x14ac:dyDescent="0.2">
      <c r="A83" s="1"/>
      <c r="B83" s="1"/>
      <c r="C83" s="2" t="s">
        <v>151</v>
      </c>
      <c r="D83" s="1"/>
      <c r="E83" s="1"/>
      <c r="F83" s="9">
        <v>22317.7205063</v>
      </c>
      <c r="G83" s="10">
        <v>0.66610871100000002</v>
      </c>
      <c r="H83" s="53"/>
    </row>
    <row r="84" spans="1:8" ht="14.1" customHeight="1" x14ac:dyDescent="0.2">
      <c r="A84" s="1"/>
      <c r="B84" s="1"/>
      <c r="C84" s="12"/>
      <c r="D84" s="1"/>
      <c r="E84" s="1"/>
      <c r="F84" s="1"/>
      <c r="G84" s="1"/>
      <c r="H84" s="53"/>
    </row>
    <row r="85" spans="1:8" ht="14.1" customHeight="1" x14ac:dyDescent="0.2">
      <c r="A85" s="1"/>
      <c r="B85" s="1"/>
      <c r="C85" s="2" t="s">
        <v>152</v>
      </c>
      <c r="D85" s="1"/>
      <c r="E85" s="1"/>
      <c r="F85" s="1"/>
      <c r="G85" s="1"/>
      <c r="H85" s="53"/>
    </row>
    <row r="86" spans="1:8" ht="14.1" customHeight="1" x14ac:dyDescent="0.2">
      <c r="A86" s="1"/>
      <c r="B86" s="1"/>
      <c r="C86" s="2" t="s">
        <v>153</v>
      </c>
      <c r="D86" s="1"/>
      <c r="E86" s="1"/>
      <c r="F86" s="1"/>
      <c r="G86" s="1"/>
      <c r="H86" s="53"/>
    </row>
    <row r="87" spans="1:8" ht="14.1" customHeight="1" x14ac:dyDescent="0.2">
      <c r="A87" s="1"/>
      <c r="B87" s="1"/>
      <c r="C87" s="2" t="s">
        <v>132</v>
      </c>
      <c r="D87" s="1"/>
      <c r="E87" s="1" t="s">
        <v>133</v>
      </c>
      <c r="F87" s="13">
        <v>0</v>
      </c>
      <c r="G87" s="14">
        <v>0</v>
      </c>
      <c r="H87" s="53"/>
    </row>
    <row r="88" spans="1:8" ht="14.1" customHeight="1" x14ac:dyDescent="0.2">
      <c r="A88" s="1"/>
      <c r="B88" s="1"/>
      <c r="C88" s="11"/>
      <c r="D88" s="1"/>
      <c r="E88" s="1"/>
      <c r="F88" s="12"/>
      <c r="G88" s="12"/>
      <c r="H88" s="53"/>
    </row>
    <row r="89" spans="1:8" ht="14.1" customHeight="1" x14ac:dyDescent="0.2">
      <c r="A89" s="1"/>
      <c r="B89" s="1"/>
      <c r="C89" s="2" t="s">
        <v>154</v>
      </c>
      <c r="D89" s="1"/>
      <c r="E89" s="1"/>
      <c r="F89" s="1"/>
      <c r="G89" s="1"/>
      <c r="H89" s="53"/>
    </row>
    <row r="90" spans="1:8" ht="14.1" customHeight="1" x14ac:dyDescent="0.2">
      <c r="A90" s="1"/>
      <c r="B90" s="1"/>
      <c r="C90" s="2" t="s">
        <v>155</v>
      </c>
      <c r="D90" s="1"/>
      <c r="E90" s="1"/>
      <c r="F90" s="1"/>
      <c r="G90" s="1"/>
      <c r="H90" s="53"/>
    </row>
    <row r="91" spans="1:8" ht="14.1" customHeight="1" x14ac:dyDescent="0.2">
      <c r="A91" s="1"/>
      <c r="B91" s="1"/>
      <c r="C91" s="2" t="s">
        <v>132</v>
      </c>
      <c r="D91" s="1"/>
      <c r="E91" s="1" t="s">
        <v>133</v>
      </c>
      <c r="F91" s="13">
        <v>0</v>
      </c>
      <c r="G91" s="14">
        <v>0</v>
      </c>
      <c r="H91" s="53"/>
    </row>
    <row r="92" spans="1:8" ht="14.1" customHeight="1" x14ac:dyDescent="0.2">
      <c r="A92" s="1"/>
      <c r="B92" s="1"/>
      <c r="C92" s="11"/>
      <c r="D92" s="1"/>
      <c r="E92" s="1"/>
      <c r="F92" s="12"/>
      <c r="G92" s="12"/>
      <c r="H92" s="53"/>
    </row>
    <row r="93" spans="1:8" ht="14.1" customHeight="1" x14ac:dyDescent="0.2">
      <c r="A93" s="1"/>
      <c r="B93" s="1"/>
      <c r="C93" s="11"/>
      <c r="D93" s="1"/>
      <c r="E93" s="1"/>
      <c r="F93" s="12"/>
      <c r="G93" s="12"/>
      <c r="H93" s="53"/>
    </row>
    <row r="94" spans="1:8" ht="24" customHeight="1" x14ac:dyDescent="0.2">
      <c r="A94" s="1"/>
      <c r="B94" s="1"/>
      <c r="C94" s="2" t="s">
        <v>156</v>
      </c>
      <c r="D94" s="1"/>
      <c r="E94" s="1"/>
      <c r="F94" s="12"/>
      <c r="G94" s="12"/>
      <c r="H94" s="53"/>
    </row>
    <row r="95" spans="1:8" ht="14.1" customHeight="1" x14ac:dyDescent="0.2">
      <c r="A95" s="1"/>
      <c r="B95" s="1"/>
      <c r="C95" s="2" t="s">
        <v>132</v>
      </c>
      <c r="D95" s="1"/>
      <c r="E95" s="1" t="s">
        <v>133</v>
      </c>
      <c r="F95" s="13">
        <v>0</v>
      </c>
      <c r="G95" s="14">
        <v>0</v>
      </c>
      <c r="H95" s="53"/>
    </row>
    <row r="96" spans="1:8" ht="14.1" customHeight="1" x14ac:dyDescent="0.2">
      <c r="A96" s="1"/>
      <c r="B96" s="1"/>
      <c r="C96" s="11"/>
      <c r="D96" s="1"/>
      <c r="E96" s="1"/>
      <c r="F96" s="12"/>
      <c r="G96" s="12"/>
      <c r="H96" s="53"/>
    </row>
    <row r="97" spans="1:8" ht="14.1" customHeight="1" x14ac:dyDescent="0.2">
      <c r="A97" s="1"/>
      <c r="B97" s="4"/>
      <c r="C97" s="4"/>
      <c r="D97" s="2"/>
      <c r="E97" s="1"/>
      <c r="F97" s="4"/>
      <c r="G97" s="8"/>
      <c r="H97" s="53"/>
    </row>
    <row r="98" spans="1:8" ht="18" customHeight="1" x14ac:dyDescent="0.2">
      <c r="A98" s="8"/>
      <c r="B98" s="4"/>
      <c r="C98" s="4" t="s">
        <v>157</v>
      </c>
      <c r="D98" s="4"/>
      <c r="E98" s="8"/>
      <c r="F98" s="6">
        <v>118.85078059</v>
      </c>
      <c r="G98" s="7">
        <v>3.5472949999999998E-3</v>
      </c>
      <c r="H98" s="53"/>
    </row>
    <row r="99" spans="1:8" ht="14.1" customHeight="1" x14ac:dyDescent="0.2">
      <c r="A99" s="11"/>
      <c r="B99" s="11"/>
      <c r="C99" s="2" t="s">
        <v>158</v>
      </c>
      <c r="D99" s="15"/>
      <c r="E99" s="15"/>
      <c r="F99" s="9">
        <v>33504.621900890001</v>
      </c>
      <c r="G99" s="10">
        <v>0.99999999900000003</v>
      </c>
      <c r="H99" s="53"/>
    </row>
    <row r="100" spans="1:8" ht="14.1" customHeight="1" x14ac:dyDescent="0.2">
      <c r="A100" s="16"/>
      <c r="B100" s="16"/>
      <c r="C100" s="16"/>
      <c r="D100" s="17"/>
      <c r="E100" s="17"/>
      <c r="F100" s="17"/>
      <c r="G100" s="17"/>
    </row>
    <row r="101" spans="1:8" ht="17.100000000000001" customHeight="1" x14ac:dyDescent="0.2">
      <c r="A101" s="18"/>
      <c r="B101" s="292" t="s">
        <v>159</v>
      </c>
      <c r="C101" s="292"/>
      <c r="D101" s="292"/>
      <c r="E101" s="292"/>
      <c r="F101" s="292"/>
      <c r="G101" s="20"/>
    </row>
    <row r="102" spans="1:8" ht="14.1" customHeight="1" x14ac:dyDescent="0.2">
      <c r="A102" s="18"/>
      <c r="B102" s="18"/>
      <c r="C102" s="18"/>
      <c r="D102" s="20"/>
      <c r="E102" s="20"/>
      <c r="F102" s="20"/>
      <c r="G102" s="20"/>
    </row>
    <row r="103" spans="1:8" ht="14.1" customHeight="1" x14ac:dyDescent="0.2">
      <c r="A103" s="18"/>
      <c r="B103" s="293" t="s">
        <v>160</v>
      </c>
      <c r="C103" s="294"/>
      <c r="D103" s="12" t="s">
        <v>133</v>
      </c>
      <c r="E103" s="21"/>
      <c r="F103" s="20"/>
      <c r="G103" s="20"/>
    </row>
    <row r="104" spans="1:8" ht="29.1" customHeight="1" x14ac:dyDescent="0.2">
      <c r="A104" s="18"/>
      <c r="B104" s="290" t="s">
        <v>161</v>
      </c>
      <c r="C104" s="291"/>
      <c r="D104" s="2" t="s">
        <v>162</v>
      </c>
      <c r="E104" s="21"/>
      <c r="F104" s="20"/>
      <c r="G104" s="20"/>
    </row>
    <row r="105" spans="1:8" ht="17.100000000000001" customHeight="1" x14ac:dyDescent="0.2">
      <c r="A105" s="18"/>
      <c r="B105" s="290" t="s">
        <v>163</v>
      </c>
      <c r="C105" s="291"/>
      <c r="D105" s="2" t="s">
        <v>162</v>
      </c>
      <c r="E105" s="21"/>
      <c r="F105" s="20"/>
      <c r="G105" s="20"/>
    </row>
    <row r="106" spans="1:8" ht="17.100000000000001" customHeight="1" x14ac:dyDescent="0.2">
      <c r="A106" s="18"/>
      <c r="B106" s="290" t="s">
        <v>164</v>
      </c>
      <c r="C106" s="291"/>
      <c r="D106" s="12" t="s">
        <v>133</v>
      </c>
      <c r="E106" s="21"/>
      <c r="F106" s="20"/>
      <c r="G106" s="20"/>
    </row>
    <row r="107" spans="1:8" ht="24" customHeight="1" x14ac:dyDescent="0.2">
      <c r="A107" s="22"/>
      <c r="B107" s="23" t="s">
        <v>133</v>
      </c>
      <c r="C107" s="23" t="s">
        <v>165</v>
      </c>
      <c r="D107" s="23" t="s">
        <v>166</v>
      </c>
      <c r="E107" s="22"/>
      <c r="F107" s="22"/>
      <c r="G107" s="22"/>
    </row>
    <row r="108" spans="1:8" ht="18" customHeight="1" x14ac:dyDescent="0.2">
      <c r="A108" s="22"/>
      <c r="B108" s="23" t="s">
        <v>167</v>
      </c>
      <c r="C108" s="23" t="s">
        <v>168</v>
      </c>
      <c r="D108" s="23" t="s">
        <v>169</v>
      </c>
      <c r="E108" s="22"/>
      <c r="F108" s="22"/>
      <c r="G108" s="22"/>
    </row>
    <row r="109" spans="1:8" ht="17.100000000000001" customHeight="1" x14ac:dyDescent="0.2">
      <c r="A109" s="22"/>
      <c r="B109" s="4" t="s">
        <v>170</v>
      </c>
      <c r="C109" s="24">
        <v>18.081800000000001</v>
      </c>
      <c r="D109" s="24">
        <v>17.878699999999998</v>
      </c>
      <c r="E109" s="22"/>
      <c r="F109" s="19"/>
      <c r="G109" s="25"/>
    </row>
    <row r="110" spans="1:8" ht="17.100000000000001" customHeight="1" x14ac:dyDescent="0.2">
      <c r="A110" s="22"/>
      <c r="B110" s="4" t="s">
        <v>1042</v>
      </c>
      <c r="C110" s="24">
        <v>18.081800000000001</v>
      </c>
      <c r="D110" s="24">
        <v>17.878699999999998</v>
      </c>
      <c r="E110" s="22"/>
      <c r="F110" s="19"/>
      <c r="G110" s="25"/>
    </row>
    <row r="111" spans="1:8" ht="17.100000000000001" customHeight="1" x14ac:dyDescent="0.2">
      <c r="A111" s="22"/>
      <c r="B111" s="4" t="s">
        <v>171</v>
      </c>
      <c r="C111" s="24">
        <v>17.3001</v>
      </c>
      <c r="D111" s="24">
        <v>17.0946</v>
      </c>
      <c r="E111" s="22"/>
      <c r="F111" s="19"/>
      <c r="G111" s="25"/>
    </row>
    <row r="112" spans="1:8" ht="17.100000000000001" customHeight="1" x14ac:dyDescent="0.2">
      <c r="A112" s="22"/>
      <c r="B112" s="4" t="s">
        <v>1043</v>
      </c>
      <c r="C112" s="24">
        <v>17.3001</v>
      </c>
      <c r="D112" s="24">
        <v>17.0946</v>
      </c>
      <c r="E112" s="22"/>
      <c r="F112" s="19"/>
      <c r="G112" s="25"/>
    </row>
    <row r="113" spans="1:7" ht="14.1" customHeight="1" x14ac:dyDescent="0.2">
      <c r="A113" s="22"/>
      <c r="B113" s="22"/>
      <c r="C113" s="22"/>
      <c r="D113" s="22"/>
      <c r="E113" s="22"/>
      <c r="F113" s="22"/>
      <c r="G113" s="22"/>
    </row>
    <row r="114" spans="1:7" ht="17.100000000000001" customHeight="1" x14ac:dyDescent="0.2">
      <c r="A114" s="22"/>
      <c r="B114" s="290" t="s">
        <v>1044</v>
      </c>
      <c r="C114" s="291"/>
      <c r="D114" s="2" t="s">
        <v>162</v>
      </c>
      <c r="E114" s="22"/>
      <c r="F114" s="22"/>
      <c r="G114" s="22"/>
    </row>
    <row r="115" spans="1:7" ht="18" customHeight="1" x14ac:dyDescent="0.2">
      <c r="A115" s="22"/>
      <c r="B115" s="26"/>
      <c r="C115" s="26"/>
      <c r="D115" s="27"/>
      <c r="E115" s="22"/>
      <c r="F115" s="22"/>
      <c r="G115" s="22"/>
    </row>
    <row r="116" spans="1:7" ht="29.1" customHeight="1" x14ac:dyDescent="0.2">
      <c r="A116" s="22"/>
      <c r="B116" s="290" t="s">
        <v>172</v>
      </c>
      <c r="C116" s="291"/>
      <c r="D116" s="2" t="s">
        <v>162</v>
      </c>
      <c r="E116" s="22"/>
      <c r="F116" s="22"/>
      <c r="G116" s="22"/>
    </row>
    <row r="117" spans="1:7" ht="29.1" customHeight="1" x14ac:dyDescent="0.2">
      <c r="A117" s="22"/>
      <c r="B117" s="290" t="s">
        <v>173</v>
      </c>
      <c r="C117" s="291"/>
      <c r="D117" s="2" t="s">
        <v>162</v>
      </c>
      <c r="E117" s="22"/>
      <c r="F117" s="22"/>
      <c r="G117" s="22"/>
    </row>
    <row r="118" spans="1:7" ht="17.100000000000001" customHeight="1" x14ac:dyDescent="0.2">
      <c r="A118" s="22"/>
      <c r="B118" s="290" t="s">
        <v>174</v>
      </c>
      <c r="C118" s="291"/>
      <c r="D118" s="28">
        <v>0.20554565633272356</v>
      </c>
      <c r="E118" s="22"/>
      <c r="F118" s="19"/>
      <c r="G118" s="25"/>
    </row>
    <row r="119" spans="1:7" ht="17.100000000000001" customHeight="1" x14ac:dyDescent="0.2">
      <c r="A119" s="22"/>
      <c r="B119" s="290" t="s">
        <v>175</v>
      </c>
      <c r="C119" s="291"/>
      <c r="D119" s="2" t="s">
        <v>162</v>
      </c>
      <c r="E119" s="22"/>
      <c r="F119" s="22"/>
      <c r="G119" s="22"/>
    </row>
    <row r="165" spans="10:14" x14ac:dyDescent="0.2">
      <c r="J165" s="189"/>
      <c r="K165" s="189"/>
      <c r="L165" s="189"/>
      <c r="M165" s="189"/>
      <c r="N165" s="189"/>
    </row>
  </sheetData>
  <mergeCells count="14">
    <mergeCell ref="B119:C119"/>
    <mergeCell ref="B104:C104"/>
    <mergeCell ref="B105:C105"/>
    <mergeCell ref="B106:C106"/>
    <mergeCell ref="B114:C114"/>
    <mergeCell ref="B116:C116"/>
    <mergeCell ref="B117:C117"/>
    <mergeCell ref="A1:H1"/>
    <mergeCell ref="A2:H2"/>
    <mergeCell ref="A3:H3"/>
    <mergeCell ref="J2:N2"/>
    <mergeCell ref="B118:C118"/>
    <mergeCell ref="B101:F101"/>
    <mergeCell ref="B103:C103"/>
  </mergeCells>
  <hyperlinks>
    <hyperlink ref="I1" location="Index!B8" display="Index" xr:uid="{8E450A5D-39A1-4798-AE10-8FFC8547FAE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400</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374</v>
      </c>
      <c r="C7" s="4" t="s">
        <v>375</v>
      </c>
      <c r="D7" s="4" t="s">
        <v>119</v>
      </c>
      <c r="E7" s="5">
        <v>774973</v>
      </c>
      <c r="F7" s="6">
        <v>971.42865549999999</v>
      </c>
      <c r="G7" s="7">
        <v>3.2569045999999997E-2</v>
      </c>
      <c r="H7" s="53"/>
    </row>
    <row r="8" spans="1:14" ht="17.100000000000001" customHeight="1" x14ac:dyDescent="0.2">
      <c r="A8" s="3">
        <v>2</v>
      </c>
      <c r="B8" s="4" t="s">
        <v>31</v>
      </c>
      <c r="C8" s="4" t="s">
        <v>32</v>
      </c>
      <c r="D8" s="4" t="s">
        <v>33</v>
      </c>
      <c r="E8" s="5">
        <v>48732</v>
      </c>
      <c r="F8" s="6">
        <v>942.37941599999999</v>
      </c>
      <c r="G8" s="7">
        <v>3.1595113000000001E-2</v>
      </c>
      <c r="H8" s="53"/>
    </row>
    <row r="9" spans="1:14" ht="17.100000000000001" customHeight="1" x14ac:dyDescent="0.2">
      <c r="A9" s="3">
        <v>3</v>
      </c>
      <c r="B9" s="4" t="s">
        <v>114</v>
      </c>
      <c r="C9" s="4" t="s">
        <v>115</v>
      </c>
      <c r="D9" s="4" t="s">
        <v>116</v>
      </c>
      <c r="E9" s="5">
        <v>241828</v>
      </c>
      <c r="F9" s="6">
        <v>815.80675799999995</v>
      </c>
      <c r="G9" s="7">
        <v>2.7351516999999999E-2</v>
      </c>
      <c r="H9" s="53"/>
    </row>
    <row r="10" spans="1:14" ht="29.1" customHeight="1" x14ac:dyDescent="0.2">
      <c r="A10" s="3">
        <v>4</v>
      </c>
      <c r="B10" s="4" t="s">
        <v>191</v>
      </c>
      <c r="C10" s="4" t="s">
        <v>192</v>
      </c>
      <c r="D10" s="4" t="s">
        <v>116</v>
      </c>
      <c r="E10" s="5">
        <v>230487</v>
      </c>
      <c r="F10" s="6">
        <v>775.47351149999997</v>
      </c>
      <c r="G10" s="7">
        <v>2.5999266E-2</v>
      </c>
      <c r="H10" s="53"/>
    </row>
    <row r="11" spans="1:14" ht="17.100000000000001" customHeight="1" x14ac:dyDescent="0.2">
      <c r="A11" s="3">
        <v>5</v>
      </c>
      <c r="B11" s="4" t="s">
        <v>381</v>
      </c>
      <c r="C11" s="4" t="s">
        <v>382</v>
      </c>
      <c r="D11" s="4" t="s">
        <v>116</v>
      </c>
      <c r="E11" s="5">
        <v>45571</v>
      </c>
      <c r="F11" s="6">
        <v>766.823217</v>
      </c>
      <c r="G11" s="7">
        <v>2.5709248000000001E-2</v>
      </c>
      <c r="H11" s="53"/>
    </row>
    <row r="12" spans="1:14" ht="29.1" customHeight="1" x14ac:dyDescent="0.2">
      <c r="A12" s="3">
        <v>6</v>
      </c>
      <c r="B12" s="4" t="s">
        <v>197</v>
      </c>
      <c r="C12" s="4" t="s">
        <v>198</v>
      </c>
      <c r="D12" s="4" t="s">
        <v>199</v>
      </c>
      <c r="E12" s="5">
        <v>16196</v>
      </c>
      <c r="F12" s="6">
        <v>659.05573000000004</v>
      </c>
      <c r="G12" s="7">
        <v>2.2096132000000001E-2</v>
      </c>
      <c r="H12" s="53"/>
    </row>
    <row r="13" spans="1:14" ht="17.100000000000001" customHeight="1" x14ac:dyDescent="0.2">
      <c r="A13" s="3">
        <v>7</v>
      </c>
      <c r="B13" s="4" t="s">
        <v>301</v>
      </c>
      <c r="C13" s="4" t="s">
        <v>302</v>
      </c>
      <c r="D13" s="4" t="s">
        <v>234</v>
      </c>
      <c r="E13" s="5">
        <v>128698</v>
      </c>
      <c r="F13" s="6">
        <v>642.97520799999995</v>
      </c>
      <c r="G13" s="7">
        <v>2.1557000999999999E-2</v>
      </c>
      <c r="H13" s="53"/>
      <c r="J13" s="188" t="s">
        <v>1081</v>
      </c>
    </row>
    <row r="14" spans="1:14" ht="17.100000000000001" customHeight="1" x14ac:dyDescent="0.2">
      <c r="A14" s="3">
        <v>8</v>
      </c>
      <c r="B14" s="4" t="s">
        <v>83</v>
      </c>
      <c r="C14" s="4" t="s">
        <v>84</v>
      </c>
      <c r="D14" s="4" t="s">
        <v>33</v>
      </c>
      <c r="E14" s="5">
        <v>42914</v>
      </c>
      <c r="F14" s="6">
        <v>628.56135800000004</v>
      </c>
      <c r="G14" s="7">
        <v>2.1073748999999999E-2</v>
      </c>
      <c r="H14" s="53"/>
    </row>
    <row r="15" spans="1:14" ht="17.100000000000001" customHeight="1" x14ac:dyDescent="0.2">
      <c r="A15" s="3">
        <v>9</v>
      </c>
      <c r="B15" s="4" t="s">
        <v>379</v>
      </c>
      <c r="C15" s="4" t="s">
        <v>380</v>
      </c>
      <c r="D15" s="4" t="s">
        <v>33</v>
      </c>
      <c r="E15" s="5">
        <v>69784</v>
      </c>
      <c r="F15" s="6">
        <v>591.52407600000004</v>
      </c>
      <c r="G15" s="7">
        <v>1.9832002000000001E-2</v>
      </c>
      <c r="H15" s="53"/>
    </row>
    <row r="16" spans="1:14" ht="17.100000000000001" customHeight="1" x14ac:dyDescent="0.2">
      <c r="A16" s="3">
        <v>10</v>
      </c>
      <c r="B16" s="4" t="s">
        <v>283</v>
      </c>
      <c r="C16" s="4" t="s">
        <v>284</v>
      </c>
      <c r="D16" s="4" t="s">
        <v>22</v>
      </c>
      <c r="E16" s="5">
        <v>247778</v>
      </c>
      <c r="F16" s="6">
        <v>582.64996699999995</v>
      </c>
      <c r="G16" s="7">
        <v>1.953448E-2</v>
      </c>
      <c r="H16" s="53"/>
    </row>
    <row r="17" spans="1:8" ht="17.100000000000001" customHeight="1" x14ac:dyDescent="0.2">
      <c r="A17" s="3">
        <v>11</v>
      </c>
      <c r="B17" s="4" t="s">
        <v>383</v>
      </c>
      <c r="C17" s="4" t="s">
        <v>384</v>
      </c>
      <c r="D17" s="4" t="s">
        <v>901</v>
      </c>
      <c r="E17" s="5">
        <v>50165</v>
      </c>
      <c r="F17" s="6">
        <v>543.16153750000001</v>
      </c>
      <c r="G17" s="7">
        <v>1.8210553000000001E-2</v>
      </c>
      <c r="H17" s="53"/>
    </row>
    <row r="18" spans="1:8" ht="17.100000000000001" customHeight="1" x14ac:dyDescent="0.2">
      <c r="A18" s="3">
        <v>12</v>
      </c>
      <c r="B18" s="4" t="s">
        <v>363</v>
      </c>
      <c r="C18" s="4" t="s">
        <v>364</v>
      </c>
      <c r="D18" s="4" t="s">
        <v>116</v>
      </c>
      <c r="E18" s="5">
        <v>101825</v>
      </c>
      <c r="F18" s="6">
        <v>523.88962500000002</v>
      </c>
      <c r="G18" s="7">
        <v>1.7564423999999999E-2</v>
      </c>
      <c r="H18" s="53"/>
    </row>
    <row r="19" spans="1:8" ht="17.100000000000001" customHeight="1" x14ac:dyDescent="0.2">
      <c r="A19" s="3">
        <v>13</v>
      </c>
      <c r="B19" s="4" t="s">
        <v>94</v>
      </c>
      <c r="C19" s="4" t="s">
        <v>95</v>
      </c>
      <c r="D19" s="4" t="s">
        <v>96</v>
      </c>
      <c r="E19" s="5">
        <v>110331</v>
      </c>
      <c r="F19" s="6">
        <v>513.09431549999999</v>
      </c>
      <c r="G19" s="7">
        <v>1.7202490000000001E-2</v>
      </c>
      <c r="H19" s="53"/>
    </row>
    <row r="20" spans="1:8" ht="17.100000000000001" customHeight="1" x14ac:dyDescent="0.2">
      <c r="A20" s="3">
        <v>14</v>
      </c>
      <c r="B20" s="4" t="s">
        <v>36</v>
      </c>
      <c r="C20" s="4" t="s">
        <v>37</v>
      </c>
      <c r="D20" s="4" t="s">
        <v>33</v>
      </c>
      <c r="E20" s="5">
        <v>28496</v>
      </c>
      <c r="F20" s="6">
        <v>508.26890400000002</v>
      </c>
      <c r="G20" s="7">
        <v>1.7040709000000001E-2</v>
      </c>
      <c r="H20" s="53"/>
    </row>
    <row r="21" spans="1:8" ht="17.100000000000001" customHeight="1" x14ac:dyDescent="0.2">
      <c r="A21" s="3">
        <v>15</v>
      </c>
      <c r="B21" s="4" t="s">
        <v>318</v>
      </c>
      <c r="C21" s="4" t="s">
        <v>319</v>
      </c>
      <c r="D21" s="4" t="s">
        <v>320</v>
      </c>
      <c r="E21" s="5">
        <v>37952</v>
      </c>
      <c r="F21" s="6">
        <v>497.68355200000002</v>
      </c>
      <c r="G21" s="7">
        <v>1.6685814E-2</v>
      </c>
      <c r="H21" s="53"/>
    </row>
    <row r="22" spans="1:8" ht="17.100000000000001" customHeight="1" x14ac:dyDescent="0.2">
      <c r="A22" s="3">
        <v>16</v>
      </c>
      <c r="B22" s="4" t="s">
        <v>365</v>
      </c>
      <c r="C22" s="4" t="s">
        <v>366</v>
      </c>
      <c r="D22" s="4" t="s">
        <v>119</v>
      </c>
      <c r="E22" s="5">
        <v>89016</v>
      </c>
      <c r="F22" s="6">
        <v>476.28010799999998</v>
      </c>
      <c r="G22" s="7">
        <v>1.5968222000000001E-2</v>
      </c>
      <c r="H22" s="53"/>
    </row>
    <row r="23" spans="1:8" ht="29.1" customHeight="1" x14ac:dyDescent="0.2">
      <c r="A23" s="3">
        <v>17</v>
      </c>
      <c r="B23" s="4" t="s">
        <v>401</v>
      </c>
      <c r="C23" s="4" t="s">
        <v>402</v>
      </c>
      <c r="D23" s="4" t="s">
        <v>227</v>
      </c>
      <c r="E23" s="5">
        <v>94915</v>
      </c>
      <c r="F23" s="6">
        <v>385.97184750000002</v>
      </c>
      <c r="G23" s="7">
        <v>1.2940461E-2</v>
      </c>
      <c r="H23" s="53"/>
    </row>
    <row r="24" spans="1:8" ht="29.1" customHeight="1" x14ac:dyDescent="0.2">
      <c r="A24" s="3">
        <v>18</v>
      </c>
      <c r="B24" s="4" t="s">
        <v>387</v>
      </c>
      <c r="C24" s="4" t="s">
        <v>388</v>
      </c>
      <c r="D24" s="4" t="s">
        <v>65</v>
      </c>
      <c r="E24" s="5">
        <v>23848</v>
      </c>
      <c r="F24" s="6">
        <v>385.7414</v>
      </c>
      <c r="G24" s="7">
        <v>1.2932735000000001E-2</v>
      </c>
      <c r="H24" s="53"/>
    </row>
    <row r="25" spans="1:8" ht="29.1" customHeight="1" x14ac:dyDescent="0.2">
      <c r="A25" s="3">
        <v>19</v>
      </c>
      <c r="B25" s="4" t="s">
        <v>225</v>
      </c>
      <c r="C25" s="4" t="s">
        <v>226</v>
      </c>
      <c r="D25" s="4" t="s">
        <v>227</v>
      </c>
      <c r="E25" s="5">
        <v>97944</v>
      </c>
      <c r="F25" s="6">
        <v>367.53485999999998</v>
      </c>
      <c r="G25" s="7">
        <v>1.2322325E-2</v>
      </c>
      <c r="H25" s="53"/>
    </row>
    <row r="26" spans="1:8" ht="17.100000000000001" customHeight="1" x14ac:dyDescent="0.2">
      <c r="A26" s="3">
        <v>20</v>
      </c>
      <c r="B26" s="4" t="s">
        <v>29</v>
      </c>
      <c r="C26" s="4" t="s">
        <v>30</v>
      </c>
      <c r="D26" s="4" t="s">
        <v>19</v>
      </c>
      <c r="E26" s="5">
        <v>57776</v>
      </c>
      <c r="F26" s="6">
        <v>354.57131199999998</v>
      </c>
      <c r="G26" s="7">
        <v>1.1887696999999999E-2</v>
      </c>
      <c r="H26" s="53"/>
    </row>
    <row r="27" spans="1:8" ht="17.100000000000001" customHeight="1" x14ac:dyDescent="0.2">
      <c r="A27" s="3">
        <v>21</v>
      </c>
      <c r="B27" s="4" t="s">
        <v>389</v>
      </c>
      <c r="C27" s="4" t="s">
        <v>390</v>
      </c>
      <c r="D27" s="4" t="s">
        <v>119</v>
      </c>
      <c r="E27" s="5">
        <v>45431</v>
      </c>
      <c r="F27" s="6">
        <v>332.39591150000001</v>
      </c>
      <c r="G27" s="7">
        <v>1.1144223E-2</v>
      </c>
      <c r="H27" s="53"/>
    </row>
    <row r="28" spans="1:8" ht="29.1" customHeight="1" x14ac:dyDescent="0.2">
      <c r="A28" s="3">
        <v>22</v>
      </c>
      <c r="B28" s="4" t="s">
        <v>68</v>
      </c>
      <c r="C28" s="4" t="s">
        <v>69</v>
      </c>
      <c r="D28" s="4" t="s">
        <v>25</v>
      </c>
      <c r="E28" s="5">
        <v>10183</v>
      </c>
      <c r="F28" s="6">
        <v>297.404698</v>
      </c>
      <c r="G28" s="7">
        <v>9.9710739999999999E-3</v>
      </c>
      <c r="H28" s="53"/>
    </row>
    <row r="29" spans="1:8" ht="17.100000000000001" customHeight="1" x14ac:dyDescent="0.2">
      <c r="A29" s="3">
        <v>23</v>
      </c>
      <c r="B29" s="4" t="s">
        <v>403</v>
      </c>
      <c r="C29" s="4" t="s">
        <v>404</v>
      </c>
      <c r="D29" s="4" t="s">
        <v>13</v>
      </c>
      <c r="E29" s="5">
        <v>329417</v>
      </c>
      <c r="F29" s="6">
        <v>295.3223405</v>
      </c>
      <c r="G29" s="7">
        <v>9.9012590000000008E-3</v>
      </c>
      <c r="H29" s="53"/>
    </row>
    <row r="30" spans="1:8" ht="17.100000000000001" customHeight="1" x14ac:dyDescent="0.2">
      <c r="A30" s="3">
        <v>24</v>
      </c>
      <c r="B30" s="4" t="s">
        <v>405</v>
      </c>
      <c r="C30" s="4" t="s">
        <v>406</v>
      </c>
      <c r="D30" s="4" t="s">
        <v>320</v>
      </c>
      <c r="E30" s="5">
        <v>18343</v>
      </c>
      <c r="F30" s="6">
        <v>285.086906</v>
      </c>
      <c r="G30" s="7">
        <v>9.5580960000000003E-3</v>
      </c>
      <c r="H30" s="53"/>
    </row>
    <row r="31" spans="1:8" ht="29.1" customHeight="1" x14ac:dyDescent="0.2">
      <c r="A31" s="3">
        <v>25</v>
      </c>
      <c r="B31" s="4" t="s">
        <v>285</v>
      </c>
      <c r="C31" s="4" t="s">
        <v>286</v>
      </c>
      <c r="D31" s="4" t="s">
        <v>199</v>
      </c>
      <c r="E31" s="5">
        <v>40704</v>
      </c>
      <c r="F31" s="6">
        <v>276.56332800000001</v>
      </c>
      <c r="G31" s="7">
        <v>9.2723259999999991E-3</v>
      </c>
      <c r="H31" s="53"/>
    </row>
    <row r="32" spans="1:8" ht="17.100000000000001" customHeight="1" x14ac:dyDescent="0.2">
      <c r="A32" s="3">
        <v>26</v>
      </c>
      <c r="B32" s="4" t="s">
        <v>230</v>
      </c>
      <c r="C32" s="4" t="s">
        <v>231</v>
      </c>
      <c r="D32" s="4" t="s">
        <v>87</v>
      </c>
      <c r="E32" s="5">
        <v>5301</v>
      </c>
      <c r="F32" s="6">
        <v>265.25143800000001</v>
      </c>
      <c r="G32" s="7">
        <v>8.8930729999999996E-3</v>
      </c>
      <c r="H32" s="53"/>
    </row>
    <row r="33" spans="1:8" ht="17.100000000000001" customHeight="1" x14ac:dyDescent="0.2">
      <c r="A33" s="3">
        <v>27</v>
      </c>
      <c r="B33" s="4" t="s">
        <v>253</v>
      </c>
      <c r="C33" s="4" t="s">
        <v>254</v>
      </c>
      <c r="D33" s="4" t="s">
        <v>119</v>
      </c>
      <c r="E33" s="5">
        <v>45794</v>
      </c>
      <c r="F33" s="6">
        <v>252.11886699999999</v>
      </c>
      <c r="G33" s="7">
        <v>8.4527779999999993E-3</v>
      </c>
      <c r="H33" s="53"/>
    </row>
    <row r="34" spans="1:8" ht="17.100000000000001" customHeight="1" x14ac:dyDescent="0.2">
      <c r="A34" s="3">
        <v>28</v>
      </c>
      <c r="B34" s="4" t="s">
        <v>367</v>
      </c>
      <c r="C34" s="4" t="s">
        <v>368</v>
      </c>
      <c r="D34" s="4" t="s">
        <v>116</v>
      </c>
      <c r="E34" s="5">
        <v>47969</v>
      </c>
      <c r="F34" s="6">
        <v>242.91501600000001</v>
      </c>
      <c r="G34" s="7">
        <v>8.1442010000000002E-3</v>
      </c>
      <c r="H34" s="53"/>
    </row>
    <row r="35" spans="1:8" ht="17.100000000000001" customHeight="1" x14ac:dyDescent="0.2">
      <c r="A35" s="3">
        <v>29</v>
      </c>
      <c r="B35" s="4" t="s">
        <v>385</v>
      </c>
      <c r="C35" s="4" t="s">
        <v>386</v>
      </c>
      <c r="D35" s="4" t="s">
        <v>119</v>
      </c>
      <c r="E35" s="5">
        <v>26475</v>
      </c>
      <c r="F35" s="6">
        <v>242.32567499999999</v>
      </c>
      <c r="G35" s="7">
        <v>8.1244420000000008E-3</v>
      </c>
      <c r="H35" s="53"/>
    </row>
    <row r="36" spans="1:8" ht="29.1" customHeight="1" x14ac:dyDescent="0.2">
      <c r="A36" s="3">
        <v>30</v>
      </c>
      <c r="B36" s="4" t="s">
        <v>371</v>
      </c>
      <c r="C36" s="4" t="s">
        <v>372</v>
      </c>
      <c r="D36" s="4" t="s">
        <v>373</v>
      </c>
      <c r="E36" s="5">
        <v>61507</v>
      </c>
      <c r="F36" s="6">
        <v>241.59949599999999</v>
      </c>
      <c r="G36" s="7">
        <v>8.1000959999999993E-3</v>
      </c>
      <c r="H36" s="53"/>
    </row>
    <row r="37" spans="1:8" ht="29.1" customHeight="1" x14ac:dyDescent="0.2">
      <c r="A37" s="3">
        <v>31</v>
      </c>
      <c r="B37" s="4" t="s">
        <v>407</v>
      </c>
      <c r="C37" s="4" t="s">
        <v>408</v>
      </c>
      <c r="D37" s="4" t="s">
        <v>51</v>
      </c>
      <c r="E37" s="5">
        <v>10761</v>
      </c>
      <c r="F37" s="6">
        <v>239.87883149999999</v>
      </c>
      <c r="G37" s="7">
        <v>8.0424069999999997E-3</v>
      </c>
      <c r="H37" s="53"/>
    </row>
    <row r="38" spans="1:8" ht="29.1" customHeight="1" x14ac:dyDescent="0.2">
      <c r="A38" s="3">
        <v>32</v>
      </c>
      <c r="B38" s="4" t="s">
        <v>409</v>
      </c>
      <c r="C38" s="4" t="s">
        <v>410</v>
      </c>
      <c r="D38" s="4" t="s">
        <v>411</v>
      </c>
      <c r="E38" s="5">
        <v>191551</v>
      </c>
      <c r="F38" s="6">
        <v>239.3429745</v>
      </c>
      <c r="G38" s="7">
        <v>8.0244410000000002E-3</v>
      </c>
      <c r="H38" s="53"/>
    </row>
    <row r="39" spans="1:8" ht="17.100000000000001" customHeight="1" x14ac:dyDescent="0.2">
      <c r="A39" s="3">
        <v>33</v>
      </c>
      <c r="B39" s="4" t="s">
        <v>412</v>
      </c>
      <c r="C39" s="4" t="s">
        <v>413</v>
      </c>
      <c r="D39" s="4" t="s">
        <v>33</v>
      </c>
      <c r="E39" s="5">
        <v>25649</v>
      </c>
      <c r="F39" s="6">
        <v>224.48004800000001</v>
      </c>
      <c r="G39" s="7">
        <v>7.526133E-3</v>
      </c>
      <c r="H39" s="53"/>
    </row>
    <row r="40" spans="1:8" ht="17.100000000000001" customHeight="1" x14ac:dyDescent="0.2">
      <c r="A40" s="3">
        <v>34</v>
      </c>
      <c r="B40" s="4" t="s">
        <v>414</v>
      </c>
      <c r="C40" s="4" t="s">
        <v>415</v>
      </c>
      <c r="D40" s="4" t="s">
        <v>87</v>
      </c>
      <c r="E40" s="5">
        <v>30910</v>
      </c>
      <c r="F40" s="6">
        <v>207.668835</v>
      </c>
      <c r="G40" s="7">
        <v>6.9625039999999996E-3</v>
      </c>
      <c r="H40" s="53"/>
    </row>
    <row r="41" spans="1:8" ht="17.100000000000001" customHeight="1" x14ac:dyDescent="0.2">
      <c r="A41" s="3">
        <v>35</v>
      </c>
      <c r="B41" s="4" t="s">
        <v>393</v>
      </c>
      <c r="C41" s="4" t="s">
        <v>394</v>
      </c>
      <c r="D41" s="4" t="s">
        <v>212</v>
      </c>
      <c r="E41" s="5">
        <v>28480</v>
      </c>
      <c r="F41" s="6">
        <v>205.61135999999999</v>
      </c>
      <c r="G41" s="7">
        <v>6.8935230000000004E-3</v>
      </c>
      <c r="H41" s="53"/>
    </row>
    <row r="42" spans="1:8" ht="17.100000000000001" customHeight="1" x14ac:dyDescent="0.2">
      <c r="A42" s="3">
        <v>36</v>
      </c>
      <c r="B42" s="4" t="s">
        <v>416</v>
      </c>
      <c r="C42" s="4" t="s">
        <v>417</v>
      </c>
      <c r="D42" s="4" t="s">
        <v>219</v>
      </c>
      <c r="E42" s="5">
        <v>19778</v>
      </c>
      <c r="F42" s="6">
        <v>158.174555</v>
      </c>
      <c r="G42" s="7">
        <v>5.3031110000000001E-3</v>
      </c>
      <c r="H42" s="53"/>
    </row>
    <row r="43" spans="1:8" ht="17.100000000000001" customHeight="1" x14ac:dyDescent="0.2">
      <c r="A43" s="3">
        <v>37</v>
      </c>
      <c r="B43" s="4" t="s">
        <v>205</v>
      </c>
      <c r="C43" s="4" t="s">
        <v>206</v>
      </c>
      <c r="D43" s="4" t="s">
        <v>900</v>
      </c>
      <c r="E43" s="5">
        <v>3675</v>
      </c>
      <c r="F43" s="6">
        <v>142.25557499999999</v>
      </c>
      <c r="G43" s="7">
        <v>4.7693960000000004E-3</v>
      </c>
      <c r="H43" s="53"/>
    </row>
    <row r="44" spans="1:8" ht="29.1" customHeight="1" x14ac:dyDescent="0.2">
      <c r="A44" s="3">
        <v>38</v>
      </c>
      <c r="B44" s="4" t="s">
        <v>418</v>
      </c>
      <c r="C44" s="4" t="s">
        <v>419</v>
      </c>
      <c r="D44" s="4" t="s">
        <v>227</v>
      </c>
      <c r="E44" s="5">
        <v>7293</v>
      </c>
      <c r="F44" s="6">
        <v>141.81238500000001</v>
      </c>
      <c r="G44" s="7">
        <v>4.754538E-3</v>
      </c>
      <c r="H44" s="53"/>
    </row>
    <row r="45" spans="1:8" ht="29.1" customHeight="1" x14ac:dyDescent="0.2">
      <c r="A45" s="3">
        <v>39</v>
      </c>
      <c r="B45" s="4" t="s">
        <v>376</v>
      </c>
      <c r="C45" s="4" t="s">
        <v>377</v>
      </c>
      <c r="D45" s="4" t="s">
        <v>227</v>
      </c>
      <c r="E45" s="5">
        <v>2928</v>
      </c>
      <c r="F45" s="6">
        <v>115.74384000000001</v>
      </c>
      <c r="G45" s="7">
        <v>3.8805390000000001E-3</v>
      </c>
      <c r="H45" s="53"/>
    </row>
    <row r="46" spans="1:8" ht="17.100000000000001" customHeight="1" x14ac:dyDescent="0.2">
      <c r="A46" s="3">
        <v>40</v>
      </c>
      <c r="B46" s="4" t="s">
        <v>331</v>
      </c>
      <c r="C46" s="4" t="s">
        <v>332</v>
      </c>
      <c r="D46" s="4" t="s">
        <v>96</v>
      </c>
      <c r="E46" s="5">
        <v>154250</v>
      </c>
      <c r="F46" s="6">
        <v>115.6875</v>
      </c>
      <c r="G46" s="7">
        <v>3.87865E-3</v>
      </c>
      <c r="H46" s="53"/>
    </row>
    <row r="47" spans="1:8" ht="17.100000000000001" customHeight="1" x14ac:dyDescent="0.2">
      <c r="A47" s="3">
        <v>41</v>
      </c>
      <c r="B47" s="4" t="s">
        <v>420</v>
      </c>
      <c r="C47" s="4" t="s">
        <v>421</v>
      </c>
      <c r="D47" s="4" t="s">
        <v>224</v>
      </c>
      <c r="E47" s="5">
        <v>13826</v>
      </c>
      <c r="F47" s="6">
        <v>109.170096</v>
      </c>
      <c r="G47" s="7">
        <v>3.660141E-3</v>
      </c>
      <c r="H47" s="53"/>
    </row>
    <row r="48" spans="1:8" ht="17.100000000000001" customHeight="1" x14ac:dyDescent="0.2">
      <c r="A48" s="3">
        <v>42</v>
      </c>
      <c r="B48" s="4" t="s">
        <v>422</v>
      </c>
      <c r="C48" s="4" t="s">
        <v>423</v>
      </c>
      <c r="D48" s="4" t="s">
        <v>265</v>
      </c>
      <c r="E48" s="5">
        <v>30069</v>
      </c>
      <c r="F48" s="6">
        <v>107.85750299999999</v>
      </c>
      <c r="G48" s="7">
        <v>3.616134E-3</v>
      </c>
      <c r="H48" s="53"/>
    </row>
    <row r="49" spans="1:8" ht="29.1" customHeight="1" x14ac:dyDescent="0.2">
      <c r="A49" s="3">
        <v>43</v>
      </c>
      <c r="B49" s="4" t="s">
        <v>314</v>
      </c>
      <c r="C49" s="4" t="s">
        <v>315</v>
      </c>
      <c r="D49" s="4" t="s">
        <v>199</v>
      </c>
      <c r="E49" s="5">
        <v>22459</v>
      </c>
      <c r="F49" s="6">
        <v>103.2327935</v>
      </c>
      <c r="G49" s="7">
        <v>3.461081E-3</v>
      </c>
      <c r="H49" s="53"/>
    </row>
    <row r="50" spans="1:8" ht="29.1" customHeight="1" x14ac:dyDescent="0.2">
      <c r="A50" s="3">
        <v>44</v>
      </c>
      <c r="B50" s="4" t="s">
        <v>391</v>
      </c>
      <c r="C50" s="4" t="s">
        <v>392</v>
      </c>
      <c r="D50" s="4" t="s">
        <v>116</v>
      </c>
      <c r="E50" s="5">
        <v>8392</v>
      </c>
      <c r="F50" s="6">
        <v>92.576347999999996</v>
      </c>
      <c r="G50" s="7">
        <v>3.103803E-3</v>
      </c>
      <c r="H50" s="53"/>
    </row>
    <row r="51" spans="1:8" ht="17.100000000000001" customHeight="1" x14ac:dyDescent="0.2">
      <c r="A51" s="3">
        <v>45</v>
      </c>
      <c r="B51" s="4" t="s">
        <v>395</v>
      </c>
      <c r="C51" s="4" t="s">
        <v>396</v>
      </c>
      <c r="D51" s="4" t="s">
        <v>116</v>
      </c>
      <c r="E51" s="5">
        <v>38843</v>
      </c>
      <c r="F51" s="6">
        <v>92.426918499999999</v>
      </c>
      <c r="G51" s="7">
        <v>3.0987929999999999E-3</v>
      </c>
      <c r="H51" s="53"/>
    </row>
    <row r="52" spans="1:8" ht="29.1" customHeight="1" x14ac:dyDescent="0.2">
      <c r="A52" s="3">
        <v>46</v>
      </c>
      <c r="B52" s="4" t="s">
        <v>424</v>
      </c>
      <c r="C52" s="4" t="s">
        <v>425</v>
      </c>
      <c r="D52" s="4" t="s">
        <v>227</v>
      </c>
      <c r="E52" s="5">
        <v>35139</v>
      </c>
      <c r="F52" s="6">
        <v>87.882638999999998</v>
      </c>
      <c r="G52" s="7">
        <v>2.9464370000000001E-3</v>
      </c>
      <c r="H52" s="53"/>
    </row>
    <row r="53" spans="1:8" ht="17.100000000000001" customHeight="1" x14ac:dyDescent="0.2">
      <c r="A53" s="3">
        <v>47</v>
      </c>
      <c r="B53" s="4" t="s">
        <v>426</v>
      </c>
      <c r="C53" s="4" t="s">
        <v>427</v>
      </c>
      <c r="D53" s="4" t="s">
        <v>33</v>
      </c>
      <c r="E53" s="5">
        <v>10553</v>
      </c>
      <c r="F53" s="6">
        <v>86.682342000000006</v>
      </c>
      <c r="G53" s="7">
        <v>2.9061949999999999E-3</v>
      </c>
      <c r="H53" s="53"/>
    </row>
    <row r="54" spans="1:8" ht="29.1" customHeight="1" x14ac:dyDescent="0.2">
      <c r="A54" s="3">
        <v>48</v>
      </c>
      <c r="B54" s="4" t="s">
        <v>397</v>
      </c>
      <c r="C54" s="4" t="s">
        <v>398</v>
      </c>
      <c r="D54" s="4" t="s">
        <v>60</v>
      </c>
      <c r="E54" s="5">
        <v>14211</v>
      </c>
      <c r="F54" s="6">
        <v>51.784883999999998</v>
      </c>
      <c r="G54" s="7">
        <v>1.7361900000000001E-3</v>
      </c>
      <c r="H54" s="53"/>
    </row>
    <row r="55" spans="1:8" ht="29.1" customHeight="1" x14ac:dyDescent="0.2">
      <c r="A55" s="3">
        <v>49</v>
      </c>
      <c r="B55" s="4" t="s">
        <v>428</v>
      </c>
      <c r="C55" s="4" t="s">
        <v>429</v>
      </c>
      <c r="D55" s="4" t="s">
        <v>430</v>
      </c>
      <c r="E55" s="5">
        <v>8803</v>
      </c>
      <c r="F55" s="6">
        <v>50.049456499999998</v>
      </c>
      <c r="G55" s="7">
        <v>1.6780059999999999E-3</v>
      </c>
      <c r="H55" s="53"/>
    </row>
    <row r="56" spans="1:8" ht="29.1" customHeight="1" x14ac:dyDescent="0.2">
      <c r="A56" s="3">
        <v>50</v>
      </c>
      <c r="B56" s="4" t="s">
        <v>431</v>
      </c>
      <c r="C56" s="4" t="s">
        <v>432</v>
      </c>
      <c r="D56" s="4" t="s">
        <v>199</v>
      </c>
      <c r="E56" s="5">
        <v>8196</v>
      </c>
      <c r="F56" s="6">
        <v>48.839964000000002</v>
      </c>
      <c r="G56" s="7">
        <v>1.6374549999999999E-3</v>
      </c>
      <c r="H56" s="53"/>
    </row>
    <row r="57" spans="1:8" ht="14.1" customHeight="1" x14ac:dyDescent="0.2">
      <c r="A57" s="1"/>
      <c r="B57" s="1"/>
      <c r="C57" s="2" t="s">
        <v>132</v>
      </c>
      <c r="D57" s="1"/>
      <c r="E57" s="1" t="s">
        <v>133</v>
      </c>
      <c r="F57" s="9">
        <v>17285.017883</v>
      </c>
      <c r="G57" s="10">
        <v>0.57951402900000004</v>
      </c>
      <c r="H57" s="53"/>
    </row>
    <row r="58" spans="1:8" ht="14.1" customHeight="1" x14ac:dyDescent="0.2">
      <c r="A58" s="1"/>
      <c r="B58" s="1"/>
      <c r="C58" s="11"/>
      <c r="D58" s="1"/>
      <c r="E58" s="1"/>
      <c r="F58" s="12"/>
      <c r="G58" s="12"/>
      <c r="H58" s="53"/>
    </row>
    <row r="59" spans="1:8" ht="14.1" customHeight="1" x14ac:dyDescent="0.2">
      <c r="A59" s="1"/>
      <c r="B59" s="1"/>
      <c r="C59" s="2" t="s">
        <v>134</v>
      </c>
      <c r="D59" s="1"/>
      <c r="E59" s="1"/>
      <c r="F59" s="1"/>
      <c r="G59" s="1"/>
      <c r="H59" s="53"/>
    </row>
    <row r="60" spans="1:8" ht="14.1" customHeight="1" x14ac:dyDescent="0.2">
      <c r="A60" s="1"/>
      <c r="B60" s="1"/>
      <c r="C60" s="2" t="s">
        <v>132</v>
      </c>
      <c r="D60" s="1"/>
      <c r="E60" s="1" t="s">
        <v>133</v>
      </c>
      <c r="F60" s="13">
        <v>0</v>
      </c>
      <c r="G60" s="14">
        <v>0</v>
      </c>
      <c r="H60" s="53"/>
    </row>
    <row r="61" spans="1:8" ht="14.1" customHeight="1" x14ac:dyDescent="0.2">
      <c r="A61" s="1"/>
      <c r="B61" s="1"/>
      <c r="C61" s="11"/>
      <c r="D61" s="1"/>
      <c r="E61" s="1"/>
      <c r="F61" s="12"/>
      <c r="G61" s="12"/>
      <c r="H61" s="53"/>
    </row>
    <row r="62" spans="1:8" ht="14.1" customHeight="1" x14ac:dyDescent="0.2">
      <c r="A62" s="1"/>
      <c r="B62" s="1"/>
      <c r="C62" s="2" t="s">
        <v>135</v>
      </c>
      <c r="D62" s="1"/>
      <c r="E62" s="1"/>
      <c r="F62" s="1"/>
      <c r="G62" s="1"/>
      <c r="H62" s="53"/>
    </row>
    <row r="63" spans="1:8" ht="14.1" customHeight="1" x14ac:dyDescent="0.2">
      <c r="A63" s="1"/>
      <c r="B63" s="1"/>
      <c r="C63" s="2" t="s">
        <v>132</v>
      </c>
      <c r="D63" s="1"/>
      <c r="E63" s="1" t="s">
        <v>133</v>
      </c>
      <c r="F63" s="13">
        <v>0</v>
      </c>
      <c r="G63" s="14">
        <v>0</v>
      </c>
      <c r="H63" s="53"/>
    </row>
    <row r="64" spans="1:8" ht="14.1" customHeight="1" x14ac:dyDescent="0.2">
      <c r="A64" s="1"/>
      <c r="B64" s="1"/>
      <c r="C64" s="11"/>
      <c r="D64" s="1"/>
      <c r="E64" s="1"/>
      <c r="F64" s="12"/>
      <c r="G64" s="12"/>
      <c r="H64" s="53"/>
    </row>
    <row r="65" spans="1:8" ht="14.1" customHeight="1" x14ac:dyDescent="0.2">
      <c r="A65" s="1"/>
      <c r="B65" s="1"/>
      <c r="C65" s="2" t="s">
        <v>136</v>
      </c>
      <c r="D65" s="1"/>
      <c r="E65" s="1"/>
      <c r="F65" s="1"/>
      <c r="G65" s="1"/>
      <c r="H65" s="53"/>
    </row>
    <row r="66" spans="1:8" ht="17.100000000000001" customHeight="1" x14ac:dyDescent="0.2">
      <c r="A66" s="3">
        <v>1</v>
      </c>
      <c r="B66" s="4" t="s">
        <v>399</v>
      </c>
      <c r="C66" s="4" t="s">
        <v>960</v>
      </c>
      <c r="D66" s="4" t="s">
        <v>212</v>
      </c>
      <c r="E66" s="5">
        <v>2034</v>
      </c>
      <c r="F66" s="6">
        <v>3.1110030000000002</v>
      </c>
      <c r="G66" s="7">
        <v>1.0430200000000001E-4</v>
      </c>
      <c r="H66" s="53"/>
    </row>
    <row r="67" spans="1:8" ht="14.1" customHeight="1" x14ac:dyDescent="0.2">
      <c r="A67" s="1"/>
      <c r="B67" s="1"/>
      <c r="C67" s="2" t="s">
        <v>132</v>
      </c>
      <c r="D67" s="1"/>
      <c r="E67" s="1" t="s">
        <v>133</v>
      </c>
      <c r="F67" s="9">
        <v>3.1110030000000002</v>
      </c>
      <c r="G67" s="10">
        <v>1.0430200000000001E-4</v>
      </c>
      <c r="H67" s="53"/>
    </row>
    <row r="68" spans="1:8" ht="14.1" customHeight="1" x14ac:dyDescent="0.2">
      <c r="A68" s="1"/>
      <c r="B68" s="1"/>
      <c r="C68" s="11"/>
      <c r="D68" s="1"/>
      <c r="E68" s="1"/>
      <c r="F68" s="12"/>
      <c r="G68" s="12"/>
      <c r="H68" s="53"/>
    </row>
    <row r="69" spans="1:8" ht="14.1" customHeight="1" x14ac:dyDescent="0.2">
      <c r="A69" s="1"/>
      <c r="B69" s="1"/>
      <c r="C69" s="2" t="s">
        <v>137</v>
      </c>
      <c r="D69" s="1"/>
      <c r="E69" s="1"/>
      <c r="F69" s="12"/>
      <c r="G69" s="12"/>
      <c r="H69" s="53"/>
    </row>
    <row r="70" spans="1:8" ht="14.1" customHeight="1" x14ac:dyDescent="0.2">
      <c r="A70" s="1"/>
      <c r="B70" s="1"/>
      <c r="C70" s="2" t="s">
        <v>132</v>
      </c>
      <c r="D70" s="1"/>
      <c r="E70" s="1" t="s">
        <v>133</v>
      </c>
      <c r="F70" s="13">
        <v>0</v>
      </c>
      <c r="G70" s="14">
        <v>0</v>
      </c>
      <c r="H70" s="53"/>
    </row>
    <row r="71" spans="1:8" ht="14.1" customHeight="1" x14ac:dyDescent="0.2">
      <c r="A71" s="1"/>
      <c r="B71" s="1"/>
      <c r="C71" s="11"/>
      <c r="D71" s="1"/>
      <c r="E71" s="1"/>
      <c r="F71" s="12"/>
      <c r="G71" s="12"/>
      <c r="H71" s="53"/>
    </row>
    <row r="72" spans="1:8" ht="14.1" customHeight="1" x14ac:dyDescent="0.2">
      <c r="A72" s="1"/>
      <c r="B72" s="1"/>
      <c r="C72" s="2" t="s">
        <v>138</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8" customHeight="1" x14ac:dyDescent="0.2">
      <c r="A75" s="1"/>
      <c r="B75" s="1"/>
      <c r="C75" s="2" t="s">
        <v>139</v>
      </c>
      <c r="D75" s="1"/>
      <c r="E75" s="1"/>
      <c r="F75" s="9">
        <v>17288.128885999999</v>
      </c>
      <c r="G75" s="10">
        <v>0.57961833100000004</v>
      </c>
      <c r="H75" s="53"/>
    </row>
    <row r="76" spans="1:8" ht="14.1" customHeight="1" x14ac:dyDescent="0.2">
      <c r="A76" s="1"/>
      <c r="B76" s="1"/>
      <c r="C76" s="11"/>
      <c r="D76" s="1"/>
      <c r="E76" s="1"/>
      <c r="F76" s="12"/>
      <c r="G76" s="12"/>
      <c r="H76" s="53"/>
    </row>
    <row r="77" spans="1:8" ht="14.1" customHeight="1" x14ac:dyDescent="0.2">
      <c r="A77" s="1"/>
      <c r="B77" s="1"/>
      <c r="C77" s="2" t="s">
        <v>140</v>
      </c>
      <c r="D77" s="1"/>
      <c r="E77" s="1"/>
      <c r="F77" s="12"/>
      <c r="G77" s="12"/>
      <c r="H77" s="53"/>
    </row>
    <row r="78" spans="1:8" ht="24" customHeight="1" x14ac:dyDescent="0.2">
      <c r="A78" s="1"/>
      <c r="B78" s="1"/>
      <c r="C78" s="2" t="s">
        <v>10</v>
      </c>
      <c r="D78" s="1"/>
      <c r="E78" s="1"/>
      <c r="F78" s="12"/>
      <c r="G78" s="12"/>
      <c r="H78" s="53"/>
    </row>
    <row r="79" spans="1:8" ht="14.1" customHeight="1" x14ac:dyDescent="0.2">
      <c r="A79" s="1"/>
      <c r="B79" s="1"/>
      <c r="C79" s="2" t="s">
        <v>132</v>
      </c>
      <c r="D79" s="1"/>
      <c r="E79" s="1" t="s">
        <v>133</v>
      </c>
      <c r="F79" s="13">
        <v>0</v>
      </c>
      <c r="G79" s="14">
        <v>0</v>
      </c>
      <c r="H79" s="53"/>
    </row>
    <row r="80" spans="1:8" ht="14.1" customHeight="1" x14ac:dyDescent="0.2">
      <c r="A80" s="1"/>
      <c r="B80" s="1"/>
      <c r="C80" s="11"/>
      <c r="D80" s="1"/>
      <c r="E80" s="1"/>
      <c r="F80" s="12"/>
      <c r="G80" s="12"/>
      <c r="H80" s="53"/>
    </row>
    <row r="81" spans="1:8" ht="14.1" customHeight="1" x14ac:dyDescent="0.2">
      <c r="A81" s="1"/>
      <c r="B81" s="1"/>
      <c r="C81" s="2" t="s">
        <v>141</v>
      </c>
      <c r="D81" s="1"/>
      <c r="E81" s="1"/>
      <c r="F81" s="1"/>
      <c r="G81" s="1"/>
      <c r="H81" s="53"/>
    </row>
    <row r="82" spans="1:8" ht="14.1" customHeight="1" x14ac:dyDescent="0.2">
      <c r="A82" s="1"/>
      <c r="B82" s="1"/>
      <c r="C82" s="2" t="s">
        <v>132</v>
      </c>
      <c r="D82" s="1"/>
      <c r="E82" s="1" t="s">
        <v>133</v>
      </c>
      <c r="F82" s="13">
        <v>0</v>
      </c>
      <c r="G82" s="14">
        <v>0</v>
      </c>
      <c r="H82" s="53"/>
    </row>
    <row r="83" spans="1:8" ht="14.1" customHeight="1" x14ac:dyDescent="0.2">
      <c r="A83" s="1"/>
      <c r="B83" s="1"/>
      <c r="C83" s="11"/>
      <c r="D83" s="1"/>
      <c r="E83" s="1"/>
      <c r="F83" s="12"/>
      <c r="G83" s="12"/>
      <c r="H83" s="53"/>
    </row>
    <row r="84" spans="1:8" ht="14.1" customHeight="1" x14ac:dyDescent="0.2">
      <c r="A84" s="1"/>
      <c r="B84" s="1"/>
      <c r="C84" s="2" t="s">
        <v>142</v>
      </c>
      <c r="D84" s="1"/>
      <c r="E84" s="1"/>
      <c r="F84" s="1"/>
      <c r="G84" s="1"/>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143</v>
      </c>
      <c r="D87" s="1"/>
      <c r="E87" s="1"/>
      <c r="F87" s="12"/>
      <c r="G87" s="12"/>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4.1" customHeight="1" x14ac:dyDescent="0.2">
      <c r="A90" s="1"/>
      <c r="B90" s="1"/>
      <c r="C90" s="2" t="s">
        <v>144</v>
      </c>
      <c r="D90" s="1"/>
      <c r="E90" s="1"/>
      <c r="F90" s="9">
        <v>0</v>
      </c>
      <c r="G90" s="10">
        <v>0</v>
      </c>
      <c r="H90" s="53"/>
    </row>
    <row r="91" spans="1:8" ht="14.1" customHeight="1" x14ac:dyDescent="0.2">
      <c r="A91" s="1"/>
      <c r="B91" s="1"/>
      <c r="C91" s="11"/>
      <c r="D91" s="1"/>
      <c r="E91" s="1"/>
      <c r="F91" s="12"/>
      <c r="G91" s="12"/>
      <c r="H91" s="53"/>
    </row>
    <row r="92" spans="1:8" ht="14.1" customHeight="1" x14ac:dyDescent="0.2">
      <c r="A92" s="1"/>
      <c r="B92" s="1"/>
      <c r="C92" s="2" t="s">
        <v>145</v>
      </c>
      <c r="D92" s="1"/>
      <c r="E92" s="1"/>
      <c r="F92" s="12"/>
      <c r="G92" s="12"/>
      <c r="H92" s="53"/>
    </row>
    <row r="93" spans="1:8" ht="14.1" customHeight="1" x14ac:dyDescent="0.2">
      <c r="A93" s="1"/>
      <c r="B93" s="1"/>
      <c r="C93" s="2" t="s">
        <v>146</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147</v>
      </c>
      <c r="D96" s="1"/>
      <c r="E96" s="1"/>
      <c r="F96" s="12"/>
      <c r="G96" s="12"/>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148</v>
      </c>
      <c r="D99" s="1"/>
      <c r="E99" s="1"/>
      <c r="F99" s="12"/>
      <c r="G99" s="12"/>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149</v>
      </c>
      <c r="D102" s="1"/>
      <c r="E102" s="1"/>
      <c r="F102" s="12"/>
      <c r="G102" s="12"/>
      <c r="H102" s="53"/>
    </row>
    <row r="103" spans="1:8" ht="17.100000000000001" customHeight="1" x14ac:dyDescent="0.2">
      <c r="A103" s="3">
        <v>1</v>
      </c>
      <c r="B103" s="4"/>
      <c r="C103" s="4" t="s">
        <v>150</v>
      </c>
      <c r="D103" s="4"/>
      <c r="E103" s="8"/>
      <c r="F103" s="6">
        <v>12489.429056200001</v>
      </c>
      <c r="G103" s="7">
        <v>0.41873253599999999</v>
      </c>
      <c r="H103" s="53">
        <v>6.46</v>
      </c>
    </row>
    <row r="104" spans="1:8" ht="14.1" customHeight="1" x14ac:dyDescent="0.2">
      <c r="A104" s="1"/>
      <c r="B104" s="1"/>
      <c r="C104" s="2" t="s">
        <v>132</v>
      </c>
      <c r="D104" s="1"/>
      <c r="E104" s="1" t="s">
        <v>133</v>
      </c>
      <c r="F104" s="9">
        <v>12489.429056200001</v>
      </c>
      <c r="G104" s="10">
        <v>0.41873253599999999</v>
      </c>
      <c r="H104" s="53"/>
    </row>
    <row r="105" spans="1:8" ht="14.1" customHeight="1" x14ac:dyDescent="0.2">
      <c r="A105" s="1"/>
      <c r="B105" s="1"/>
      <c r="C105" s="11"/>
      <c r="D105" s="1"/>
      <c r="E105" s="1"/>
      <c r="F105" s="12"/>
      <c r="G105" s="12"/>
      <c r="H105" s="53"/>
    </row>
    <row r="106" spans="1:8" ht="14.1" customHeight="1" x14ac:dyDescent="0.2">
      <c r="A106" s="1"/>
      <c r="B106" s="1"/>
      <c r="C106" s="2" t="s">
        <v>151</v>
      </c>
      <c r="D106" s="1"/>
      <c r="E106" s="1"/>
      <c r="F106" s="9">
        <v>12489.429056200001</v>
      </c>
      <c r="G106" s="10">
        <v>0.41873253599999999</v>
      </c>
      <c r="H106" s="53"/>
    </row>
    <row r="107" spans="1:8" ht="14.1" customHeight="1" x14ac:dyDescent="0.2">
      <c r="A107" s="1"/>
      <c r="B107" s="1"/>
      <c r="C107" s="12"/>
      <c r="D107" s="1"/>
      <c r="E107" s="1"/>
      <c r="F107" s="1"/>
      <c r="G107" s="1"/>
      <c r="H107" s="53"/>
    </row>
    <row r="108" spans="1:8" ht="14.1" customHeight="1" x14ac:dyDescent="0.2">
      <c r="A108" s="1"/>
      <c r="B108" s="1"/>
      <c r="C108" s="2" t="s">
        <v>152</v>
      </c>
      <c r="D108" s="1"/>
      <c r="E108" s="1"/>
      <c r="F108" s="1"/>
      <c r="G108" s="1"/>
      <c r="H108" s="53"/>
    </row>
    <row r="109" spans="1:8" ht="14.1" customHeight="1" x14ac:dyDescent="0.2">
      <c r="A109" s="1"/>
      <c r="B109" s="1"/>
      <c r="C109" s="2" t="s">
        <v>153</v>
      </c>
      <c r="D109" s="1"/>
      <c r="E109" s="1"/>
      <c r="F109" s="1"/>
      <c r="G109" s="1"/>
      <c r="H109" s="53"/>
    </row>
    <row r="110" spans="1:8" ht="14.1" customHeight="1" x14ac:dyDescent="0.2">
      <c r="A110" s="1"/>
      <c r="B110" s="1"/>
      <c r="C110" s="2" t="s">
        <v>132</v>
      </c>
      <c r="D110" s="1"/>
      <c r="E110" s="1" t="s">
        <v>133</v>
      </c>
      <c r="F110" s="13">
        <v>0</v>
      </c>
      <c r="G110" s="14">
        <v>0</v>
      </c>
      <c r="H110" s="53"/>
    </row>
    <row r="111" spans="1:8" ht="14.1" customHeight="1" x14ac:dyDescent="0.2">
      <c r="A111" s="1"/>
      <c r="B111" s="1"/>
      <c r="C111" s="11"/>
      <c r="D111" s="1"/>
      <c r="E111" s="1"/>
      <c r="F111" s="12"/>
      <c r="G111" s="12"/>
      <c r="H111" s="53"/>
    </row>
    <row r="112" spans="1:8" ht="14.1" customHeight="1" x14ac:dyDescent="0.2">
      <c r="A112" s="1"/>
      <c r="B112" s="1"/>
      <c r="C112" s="2" t="s">
        <v>154</v>
      </c>
      <c r="D112" s="1"/>
      <c r="E112" s="1"/>
      <c r="F112" s="1"/>
      <c r="G112" s="1"/>
      <c r="H112" s="53"/>
    </row>
    <row r="113" spans="1:8" ht="14.1" customHeight="1" x14ac:dyDescent="0.2">
      <c r="A113" s="1"/>
      <c r="B113" s="1"/>
      <c r="C113" s="2" t="s">
        <v>155</v>
      </c>
      <c r="D113" s="1"/>
      <c r="E113" s="1"/>
      <c r="F113" s="1"/>
      <c r="G113" s="1"/>
      <c r="H113" s="53"/>
    </row>
    <row r="114" spans="1:8" ht="14.1" customHeight="1" x14ac:dyDescent="0.2">
      <c r="A114" s="1"/>
      <c r="B114" s="1"/>
      <c r="C114" s="2" t="s">
        <v>132</v>
      </c>
      <c r="D114" s="1"/>
      <c r="E114" s="1" t="s">
        <v>133</v>
      </c>
      <c r="F114" s="13">
        <v>0</v>
      </c>
      <c r="G114" s="14">
        <v>0</v>
      </c>
      <c r="H114" s="53"/>
    </row>
    <row r="115" spans="1:8" ht="14.1" customHeight="1" x14ac:dyDescent="0.2">
      <c r="A115" s="1"/>
      <c r="B115" s="1"/>
      <c r="C115" s="11"/>
      <c r="D115" s="1"/>
      <c r="E115" s="1"/>
      <c r="F115" s="12"/>
      <c r="G115" s="12"/>
      <c r="H115" s="53"/>
    </row>
    <row r="116" spans="1:8" ht="14.1" customHeight="1" x14ac:dyDescent="0.2">
      <c r="A116" s="1"/>
      <c r="B116" s="1"/>
      <c r="C116" s="11"/>
      <c r="D116" s="1"/>
      <c r="E116" s="1"/>
      <c r="F116" s="12"/>
      <c r="G116" s="12"/>
      <c r="H116" s="53"/>
    </row>
    <row r="117" spans="1:8" ht="24" customHeight="1" x14ac:dyDescent="0.2">
      <c r="A117" s="1"/>
      <c r="B117" s="1"/>
      <c r="C117" s="2" t="s">
        <v>156</v>
      </c>
      <c r="D117" s="1"/>
      <c r="E117" s="1"/>
      <c r="F117" s="12"/>
      <c r="G117" s="12"/>
      <c r="H117" s="53"/>
    </row>
    <row r="118" spans="1:8" ht="14.1" customHeight="1" x14ac:dyDescent="0.2">
      <c r="A118" s="1"/>
      <c r="B118" s="1"/>
      <c r="C118" s="2" t="s">
        <v>132</v>
      </c>
      <c r="D118" s="1"/>
      <c r="E118" s="1" t="s">
        <v>133</v>
      </c>
      <c r="F118" s="13">
        <v>0</v>
      </c>
      <c r="G118" s="14">
        <v>0</v>
      </c>
      <c r="H118" s="53"/>
    </row>
    <row r="119" spans="1:8" ht="14.1" customHeight="1" x14ac:dyDescent="0.2">
      <c r="A119" s="1"/>
      <c r="B119" s="1"/>
      <c r="C119" s="11"/>
      <c r="D119" s="1"/>
      <c r="E119" s="1"/>
      <c r="F119" s="12"/>
      <c r="G119" s="12"/>
      <c r="H119" s="53"/>
    </row>
    <row r="120" spans="1:8" ht="14.1" customHeight="1" x14ac:dyDescent="0.2">
      <c r="A120" s="1"/>
      <c r="B120" s="4"/>
      <c r="C120" s="4"/>
      <c r="D120" s="2"/>
      <c r="E120" s="1"/>
      <c r="F120" s="4"/>
      <c r="G120" s="8"/>
      <c r="H120" s="53"/>
    </row>
    <row r="121" spans="1:8" ht="18" customHeight="1" x14ac:dyDescent="0.2">
      <c r="A121" s="8"/>
      <c r="B121" s="4"/>
      <c r="C121" s="4" t="s">
        <v>157</v>
      </c>
      <c r="D121" s="4"/>
      <c r="E121" s="8"/>
      <c r="F121" s="6">
        <v>49.188186199999997</v>
      </c>
      <c r="G121" s="7">
        <v>1.64913E-3</v>
      </c>
      <c r="H121" s="53"/>
    </row>
    <row r="122" spans="1:8" ht="14.1" customHeight="1" x14ac:dyDescent="0.2">
      <c r="A122" s="11"/>
      <c r="B122" s="11"/>
      <c r="C122" s="2" t="s">
        <v>158</v>
      </c>
      <c r="D122" s="15"/>
      <c r="E122" s="15"/>
      <c r="F122" s="9">
        <v>29826.746128399998</v>
      </c>
      <c r="G122" s="10">
        <v>0.99999999699999997</v>
      </c>
      <c r="H122" s="53"/>
    </row>
    <row r="123" spans="1:8" ht="14.1" customHeight="1" x14ac:dyDescent="0.2">
      <c r="A123" s="16"/>
      <c r="B123" s="16"/>
      <c r="C123" s="16"/>
      <c r="D123" s="17"/>
      <c r="E123" s="17"/>
      <c r="F123" s="17"/>
      <c r="G123" s="17"/>
    </row>
    <row r="124" spans="1:8" ht="14.1" customHeight="1" x14ac:dyDescent="0.2">
      <c r="A124" s="18"/>
      <c r="B124" s="292" t="s">
        <v>133</v>
      </c>
      <c r="C124" s="292"/>
      <c r="D124" s="292"/>
      <c r="E124" s="292"/>
      <c r="F124" s="292"/>
      <c r="G124" s="20"/>
    </row>
    <row r="125" spans="1:8" ht="14.1" customHeight="1" x14ac:dyDescent="0.2">
      <c r="A125" s="18"/>
      <c r="B125" s="292" t="s">
        <v>133</v>
      </c>
      <c r="C125" s="292"/>
      <c r="D125" s="292"/>
      <c r="E125" s="292"/>
      <c r="F125" s="292"/>
      <c r="G125" s="20"/>
    </row>
    <row r="126" spans="1:8" ht="14.1" customHeight="1" x14ac:dyDescent="0.2">
      <c r="A126" s="18"/>
      <c r="B126" s="18"/>
      <c r="C126" s="18"/>
      <c r="D126" s="20"/>
      <c r="E126" s="20"/>
      <c r="F126" s="20"/>
      <c r="G126" s="20"/>
    </row>
    <row r="127" spans="1:8" ht="14.1" customHeight="1" x14ac:dyDescent="0.2">
      <c r="A127" s="18"/>
      <c r="B127" s="293" t="s">
        <v>160</v>
      </c>
      <c r="C127" s="294"/>
      <c r="D127" s="12" t="s">
        <v>133</v>
      </c>
      <c r="E127" s="21"/>
      <c r="F127" s="20"/>
      <c r="G127" s="20"/>
    </row>
    <row r="128" spans="1:8" ht="29.1" customHeight="1" x14ac:dyDescent="0.2">
      <c r="A128" s="18"/>
      <c r="B128" s="290" t="s">
        <v>161</v>
      </c>
      <c r="C128" s="291"/>
      <c r="D128" s="2" t="s">
        <v>162</v>
      </c>
      <c r="E128" s="21"/>
      <c r="F128" s="20"/>
      <c r="G128" s="20"/>
    </row>
    <row r="129" spans="1:7" ht="17.100000000000001" customHeight="1" x14ac:dyDescent="0.2">
      <c r="A129" s="18"/>
      <c r="B129" s="290" t="s">
        <v>163</v>
      </c>
      <c r="C129" s="291"/>
      <c r="D129" s="2" t="s">
        <v>162</v>
      </c>
      <c r="E129" s="21"/>
      <c r="F129" s="20"/>
      <c r="G129" s="20"/>
    </row>
    <row r="130" spans="1:7" ht="17.100000000000001" customHeight="1" x14ac:dyDescent="0.2">
      <c r="A130" s="18"/>
      <c r="B130" s="290" t="s">
        <v>164</v>
      </c>
      <c r="C130" s="291"/>
      <c r="D130" s="12" t="s">
        <v>133</v>
      </c>
      <c r="E130" s="21"/>
      <c r="F130" s="20"/>
      <c r="G130" s="20"/>
    </row>
    <row r="131" spans="1:7" ht="24" customHeight="1" x14ac:dyDescent="0.2">
      <c r="A131" s="22"/>
      <c r="B131" s="23" t="s">
        <v>133</v>
      </c>
      <c r="C131" s="23" t="s">
        <v>165</v>
      </c>
      <c r="D131" s="23" t="s">
        <v>166</v>
      </c>
      <c r="E131" s="22"/>
      <c r="F131" s="22"/>
      <c r="G131" s="22"/>
    </row>
    <row r="132" spans="1:7" ht="18" customHeight="1" x14ac:dyDescent="0.2">
      <c r="A132" s="22"/>
      <c r="B132" s="23" t="s">
        <v>167</v>
      </c>
      <c r="C132" s="23" t="s">
        <v>168</v>
      </c>
      <c r="D132" s="23" t="s">
        <v>169</v>
      </c>
      <c r="E132" s="22"/>
      <c r="F132" s="22"/>
      <c r="G132" s="22"/>
    </row>
    <row r="133" spans="1:7" ht="17.100000000000001" customHeight="1" x14ac:dyDescent="0.2">
      <c r="A133" s="22"/>
      <c r="B133" s="4" t="s">
        <v>170</v>
      </c>
      <c r="C133" s="24">
        <v>20.1677</v>
      </c>
      <c r="D133" s="24">
        <v>19.7349</v>
      </c>
      <c r="E133" s="22"/>
      <c r="F133" s="19"/>
      <c r="G133" s="25"/>
    </row>
    <row r="134" spans="1:7" ht="17.100000000000001" customHeight="1" x14ac:dyDescent="0.2">
      <c r="A134" s="22"/>
      <c r="B134" s="4" t="s">
        <v>1042</v>
      </c>
      <c r="C134" s="24">
        <v>19.7974</v>
      </c>
      <c r="D134" s="24">
        <v>19.372499999999999</v>
      </c>
      <c r="E134" s="22"/>
      <c r="F134" s="19"/>
      <c r="G134" s="25"/>
    </row>
    <row r="135" spans="1:7" ht="17.100000000000001" customHeight="1" x14ac:dyDescent="0.2">
      <c r="A135" s="22"/>
      <c r="B135" s="4" t="s">
        <v>171</v>
      </c>
      <c r="C135" s="24">
        <v>19.48</v>
      </c>
      <c r="D135" s="24">
        <v>19.052199999999999</v>
      </c>
      <c r="E135" s="22"/>
      <c r="F135" s="19"/>
      <c r="G135" s="25"/>
    </row>
    <row r="136" spans="1:7" ht="17.100000000000001" customHeight="1" x14ac:dyDescent="0.2">
      <c r="A136" s="22"/>
      <c r="B136" s="4" t="s">
        <v>1043</v>
      </c>
      <c r="C136" s="24">
        <v>19.1129</v>
      </c>
      <c r="D136" s="24">
        <v>18.693200000000001</v>
      </c>
      <c r="E136" s="22"/>
      <c r="F136" s="19"/>
      <c r="G136" s="25"/>
    </row>
    <row r="137" spans="1:7" ht="14.1" customHeight="1" x14ac:dyDescent="0.2">
      <c r="A137" s="22"/>
      <c r="B137" s="22"/>
      <c r="C137" s="22"/>
      <c r="D137" s="22"/>
      <c r="E137" s="22"/>
      <c r="F137" s="22"/>
      <c r="G137" s="22"/>
    </row>
    <row r="138" spans="1:7" ht="17.100000000000001" customHeight="1" x14ac:dyDescent="0.2">
      <c r="A138" s="22"/>
      <c r="B138" s="290" t="s">
        <v>1044</v>
      </c>
      <c r="C138" s="291"/>
      <c r="D138" s="2" t="s">
        <v>162</v>
      </c>
      <c r="E138" s="22"/>
      <c r="F138" s="22"/>
      <c r="G138" s="22"/>
    </row>
    <row r="139" spans="1:7" ht="18" customHeight="1" x14ac:dyDescent="0.2">
      <c r="A139" s="22"/>
      <c r="B139" s="26"/>
      <c r="C139" s="26"/>
      <c r="D139" s="27"/>
      <c r="E139" s="22"/>
      <c r="F139" s="22"/>
      <c r="G139" s="22"/>
    </row>
    <row r="140" spans="1:7" ht="29.1" customHeight="1" x14ac:dyDescent="0.2">
      <c r="A140" s="22"/>
      <c r="B140" s="290" t="s">
        <v>172</v>
      </c>
      <c r="C140" s="291"/>
      <c r="D140" s="2" t="s">
        <v>162</v>
      </c>
      <c r="E140" s="22"/>
      <c r="F140" s="22"/>
      <c r="G140" s="22"/>
    </row>
    <row r="141" spans="1:7" ht="29.1" customHeight="1" x14ac:dyDescent="0.2">
      <c r="A141" s="22"/>
      <c r="B141" s="290" t="s">
        <v>173</v>
      </c>
      <c r="C141" s="291"/>
      <c r="D141" s="2" t="s">
        <v>162</v>
      </c>
      <c r="E141" s="22"/>
      <c r="F141" s="22"/>
      <c r="G141" s="22"/>
    </row>
    <row r="142" spans="1:7" ht="17.100000000000001" customHeight="1" x14ac:dyDescent="0.2">
      <c r="A142" s="22"/>
      <c r="B142" s="290" t="s">
        <v>174</v>
      </c>
      <c r="C142" s="291"/>
      <c r="D142" s="28">
        <v>0.20845399769990955</v>
      </c>
      <c r="E142" s="22"/>
      <c r="F142" s="19"/>
      <c r="G142" s="25"/>
    </row>
    <row r="143" spans="1:7" ht="17.100000000000001" customHeight="1" x14ac:dyDescent="0.2">
      <c r="A143" s="22"/>
      <c r="B143" s="290" t="s">
        <v>175</v>
      </c>
      <c r="C143" s="291"/>
      <c r="D143" s="2" t="s">
        <v>162</v>
      </c>
      <c r="E143" s="22"/>
      <c r="F143" s="22"/>
      <c r="G143" s="22"/>
    </row>
    <row r="164" spans="10:15" x14ac:dyDescent="0.2">
      <c r="J164" s="189"/>
      <c r="K164" s="189"/>
      <c r="L164" s="189"/>
      <c r="M164" s="189"/>
      <c r="N164" s="189"/>
      <c r="O164" s="189"/>
    </row>
  </sheetData>
  <mergeCells count="15">
    <mergeCell ref="B142:C142"/>
    <mergeCell ref="B143:C143"/>
    <mergeCell ref="B128:C128"/>
    <mergeCell ref="B129:C129"/>
    <mergeCell ref="B130:C130"/>
    <mergeCell ref="B138:C138"/>
    <mergeCell ref="B140:C140"/>
    <mergeCell ref="B141:C141"/>
    <mergeCell ref="A1:H1"/>
    <mergeCell ref="A2:H2"/>
    <mergeCell ref="A3:H3"/>
    <mergeCell ref="J2:N2"/>
    <mergeCell ref="B127:C127"/>
    <mergeCell ref="B124:F124"/>
    <mergeCell ref="B125:F125"/>
  </mergeCells>
  <hyperlinks>
    <hyperlink ref="I1" location="Index!B9" display="Index" xr:uid="{C3111198-9891-4D5D-8F56-9B0AC45DAA0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6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433</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374</v>
      </c>
      <c r="C7" s="4" t="s">
        <v>375</v>
      </c>
      <c r="D7" s="4" t="s">
        <v>119</v>
      </c>
      <c r="E7" s="5">
        <v>551852</v>
      </c>
      <c r="F7" s="6">
        <v>691.74648200000001</v>
      </c>
      <c r="G7" s="7">
        <v>3.2949342999999999E-2</v>
      </c>
      <c r="H7" s="53"/>
    </row>
    <row r="8" spans="1:14" ht="17.100000000000001" customHeight="1" x14ac:dyDescent="0.2">
      <c r="A8" s="3">
        <v>2</v>
      </c>
      <c r="B8" s="4" t="s">
        <v>83</v>
      </c>
      <c r="C8" s="4" t="s">
        <v>84</v>
      </c>
      <c r="D8" s="4" t="s">
        <v>33</v>
      </c>
      <c r="E8" s="5">
        <v>43501</v>
      </c>
      <c r="F8" s="6">
        <v>637.15914699999996</v>
      </c>
      <c r="G8" s="7">
        <v>3.0349233E-2</v>
      </c>
      <c r="H8" s="53"/>
    </row>
    <row r="9" spans="1:14" ht="17.100000000000001" customHeight="1" x14ac:dyDescent="0.2">
      <c r="A9" s="3">
        <v>3</v>
      </c>
      <c r="B9" s="4" t="s">
        <v>31</v>
      </c>
      <c r="C9" s="4" t="s">
        <v>32</v>
      </c>
      <c r="D9" s="4" t="s">
        <v>33</v>
      </c>
      <c r="E9" s="5">
        <v>31667</v>
      </c>
      <c r="F9" s="6">
        <v>612.37644599999999</v>
      </c>
      <c r="G9" s="7">
        <v>2.9168781000000001E-2</v>
      </c>
      <c r="H9" s="53"/>
    </row>
    <row r="10" spans="1:14" ht="17.100000000000001" customHeight="1" x14ac:dyDescent="0.2">
      <c r="A10" s="3">
        <v>4</v>
      </c>
      <c r="B10" s="4" t="s">
        <v>114</v>
      </c>
      <c r="C10" s="4" t="s">
        <v>115</v>
      </c>
      <c r="D10" s="4" t="s">
        <v>116</v>
      </c>
      <c r="E10" s="5">
        <v>172146</v>
      </c>
      <c r="F10" s="6">
        <v>580.73453099999995</v>
      </c>
      <c r="G10" s="7">
        <v>2.766161E-2</v>
      </c>
      <c r="H10" s="53"/>
    </row>
    <row r="11" spans="1:14" ht="29.1" customHeight="1" x14ac:dyDescent="0.2">
      <c r="A11" s="3">
        <v>5</v>
      </c>
      <c r="B11" s="4" t="s">
        <v>191</v>
      </c>
      <c r="C11" s="4" t="s">
        <v>192</v>
      </c>
      <c r="D11" s="4" t="s">
        <v>116</v>
      </c>
      <c r="E11" s="5">
        <v>162926</v>
      </c>
      <c r="F11" s="6">
        <v>548.16452700000002</v>
      </c>
      <c r="G11" s="7">
        <v>2.6110232000000001E-2</v>
      </c>
      <c r="H11" s="53"/>
    </row>
    <row r="12" spans="1:14" ht="17.100000000000001" customHeight="1" x14ac:dyDescent="0.2">
      <c r="A12" s="3">
        <v>6</v>
      </c>
      <c r="B12" s="4" t="s">
        <v>381</v>
      </c>
      <c r="C12" s="4" t="s">
        <v>382</v>
      </c>
      <c r="D12" s="4" t="s">
        <v>116</v>
      </c>
      <c r="E12" s="5">
        <v>32500</v>
      </c>
      <c r="F12" s="6">
        <v>546.87750000000005</v>
      </c>
      <c r="G12" s="7">
        <v>2.6048927999999999E-2</v>
      </c>
      <c r="H12" s="53"/>
    </row>
    <row r="13" spans="1:14" ht="17.100000000000001" customHeight="1" x14ac:dyDescent="0.2">
      <c r="A13" s="3">
        <v>7</v>
      </c>
      <c r="B13" s="4" t="s">
        <v>36</v>
      </c>
      <c r="C13" s="4" t="s">
        <v>37</v>
      </c>
      <c r="D13" s="4" t="s">
        <v>33</v>
      </c>
      <c r="E13" s="5">
        <v>28200</v>
      </c>
      <c r="F13" s="6">
        <v>502.98930000000001</v>
      </c>
      <c r="G13" s="7">
        <v>2.3958441E-2</v>
      </c>
      <c r="H13" s="53"/>
      <c r="J13" s="188" t="s">
        <v>1081</v>
      </c>
    </row>
    <row r="14" spans="1:14" ht="29.1" customHeight="1" x14ac:dyDescent="0.2">
      <c r="A14" s="3">
        <v>8</v>
      </c>
      <c r="B14" s="4" t="s">
        <v>197</v>
      </c>
      <c r="C14" s="4" t="s">
        <v>198</v>
      </c>
      <c r="D14" s="4" t="s">
        <v>199</v>
      </c>
      <c r="E14" s="5">
        <v>11594</v>
      </c>
      <c r="F14" s="6">
        <v>471.78884499999998</v>
      </c>
      <c r="G14" s="7">
        <v>2.2472296999999999E-2</v>
      </c>
      <c r="H14" s="53"/>
    </row>
    <row r="15" spans="1:14" ht="17.100000000000001" customHeight="1" x14ac:dyDescent="0.2">
      <c r="A15" s="3">
        <v>9</v>
      </c>
      <c r="B15" s="4" t="s">
        <v>301</v>
      </c>
      <c r="C15" s="4" t="s">
        <v>302</v>
      </c>
      <c r="D15" s="4" t="s">
        <v>234</v>
      </c>
      <c r="E15" s="5">
        <v>91611</v>
      </c>
      <c r="F15" s="6">
        <v>457.68855600000001</v>
      </c>
      <c r="G15" s="7">
        <v>2.1800671000000001E-2</v>
      </c>
      <c r="H15" s="53"/>
    </row>
    <row r="16" spans="1:14" ht="17.100000000000001" customHeight="1" x14ac:dyDescent="0.2">
      <c r="A16" s="3">
        <v>10</v>
      </c>
      <c r="B16" s="4" t="s">
        <v>379</v>
      </c>
      <c r="C16" s="4" t="s">
        <v>380</v>
      </c>
      <c r="D16" s="4" t="s">
        <v>33</v>
      </c>
      <c r="E16" s="5">
        <v>51999</v>
      </c>
      <c r="F16" s="6">
        <v>440.76952349999999</v>
      </c>
      <c r="G16" s="7">
        <v>2.0994781000000001E-2</v>
      </c>
      <c r="H16" s="53"/>
    </row>
    <row r="17" spans="1:8" ht="17.100000000000001" customHeight="1" x14ac:dyDescent="0.2">
      <c r="A17" s="3">
        <v>11</v>
      </c>
      <c r="B17" s="4" t="s">
        <v>434</v>
      </c>
      <c r="C17" s="4" t="s">
        <v>435</v>
      </c>
      <c r="D17" s="4" t="s">
        <v>96</v>
      </c>
      <c r="E17" s="5">
        <v>30347</v>
      </c>
      <c r="F17" s="6">
        <v>431.68607500000002</v>
      </c>
      <c r="G17" s="7">
        <v>2.0562118000000001E-2</v>
      </c>
      <c r="H17" s="53"/>
    </row>
    <row r="18" spans="1:8" ht="17.100000000000001" customHeight="1" x14ac:dyDescent="0.2">
      <c r="A18" s="3">
        <v>12</v>
      </c>
      <c r="B18" s="4" t="s">
        <v>312</v>
      </c>
      <c r="C18" s="4" t="s">
        <v>313</v>
      </c>
      <c r="D18" s="4" t="s">
        <v>224</v>
      </c>
      <c r="E18" s="5">
        <v>32200</v>
      </c>
      <c r="F18" s="6">
        <v>430.61059999999998</v>
      </c>
      <c r="G18" s="7">
        <v>2.0510891E-2</v>
      </c>
      <c r="H18" s="53"/>
    </row>
    <row r="19" spans="1:8" ht="17.100000000000001" customHeight="1" x14ac:dyDescent="0.2">
      <c r="A19" s="3">
        <v>13</v>
      </c>
      <c r="B19" s="4" t="s">
        <v>283</v>
      </c>
      <c r="C19" s="4" t="s">
        <v>284</v>
      </c>
      <c r="D19" s="4" t="s">
        <v>22</v>
      </c>
      <c r="E19" s="5">
        <v>176499</v>
      </c>
      <c r="F19" s="6">
        <v>415.03739849999999</v>
      </c>
      <c r="G19" s="7">
        <v>1.9769106000000002E-2</v>
      </c>
      <c r="H19" s="53"/>
    </row>
    <row r="20" spans="1:8" ht="17.100000000000001" customHeight="1" x14ac:dyDescent="0.2">
      <c r="A20" s="3">
        <v>14</v>
      </c>
      <c r="B20" s="4" t="s">
        <v>383</v>
      </c>
      <c r="C20" s="4" t="s">
        <v>384</v>
      </c>
      <c r="D20" s="4" t="s">
        <v>901</v>
      </c>
      <c r="E20" s="5">
        <v>35713</v>
      </c>
      <c r="F20" s="6">
        <v>386.68250749999999</v>
      </c>
      <c r="G20" s="7">
        <v>1.8418502999999999E-2</v>
      </c>
      <c r="H20" s="53"/>
    </row>
    <row r="21" spans="1:8" ht="17.100000000000001" customHeight="1" x14ac:dyDescent="0.2">
      <c r="A21" s="3">
        <v>15</v>
      </c>
      <c r="B21" s="4" t="s">
        <v>363</v>
      </c>
      <c r="C21" s="4" t="s">
        <v>364</v>
      </c>
      <c r="D21" s="4" t="s">
        <v>116</v>
      </c>
      <c r="E21" s="5">
        <v>74088</v>
      </c>
      <c r="F21" s="6">
        <v>381.18275999999997</v>
      </c>
      <c r="G21" s="7">
        <v>1.8156538E-2</v>
      </c>
      <c r="H21" s="53"/>
    </row>
    <row r="22" spans="1:8" ht="17.100000000000001" customHeight="1" x14ac:dyDescent="0.2">
      <c r="A22" s="3">
        <v>16</v>
      </c>
      <c r="B22" s="4" t="s">
        <v>436</v>
      </c>
      <c r="C22" s="4" t="s">
        <v>437</v>
      </c>
      <c r="D22" s="4" t="s">
        <v>237</v>
      </c>
      <c r="E22" s="5">
        <v>124748</v>
      </c>
      <c r="F22" s="6">
        <v>358.58812599999999</v>
      </c>
      <c r="G22" s="7">
        <v>1.7080307999999999E-2</v>
      </c>
      <c r="H22" s="53"/>
    </row>
    <row r="23" spans="1:8" ht="17.100000000000001" customHeight="1" x14ac:dyDescent="0.2">
      <c r="A23" s="3">
        <v>17</v>
      </c>
      <c r="B23" s="4" t="s">
        <v>318</v>
      </c>
      <c r="C23" s="4" t="s">
        <v>319</v>
      </c>
      <c r="D23" s="4" t="s">
        <v>320</v>
      </c>
      <c r="E23" s="5">
        <v>27031</v>
      </c>
      <c r="F23" s="6">
        <v>354.47101850000001</v>
      </c>
      <c r="G23" s="7">
        <v>1.6884202000000001E-2</v>
      </c>
      <c r="H23" s="53"/>
    </row>
    <row r="24" spans="1:8" ht="17.100000000000001" customHeight="1" x14ac:dyDescent="0.2">
      <c r="A24" s="3">
        <v>18</v>
      </c>
      <c r="B24" s="4" t="s">
        <v>438</v>
      </c>
      <c r="C24" s="4" t="s">
        <v>439</v>
      </c>
      <c r="D24" s="4" t="s">
        <v>900</v>
      </c>
      <c r="E24" s="5">
        <v>50000</v>
      </c>
      <c r="F24" s="6">
        <v>352.125</v>
      </c>
      <c r="G24" s="7">
        <v>1.6772456000000002E-2</v>
      </c>
      <c r="H24" s="53"/>
    </row>
    <row r="25" spans="1:8" ht="17.100000000000001" customHeight="1" x14ac:dyDescent="0.2">
      <c r="A25" s="3">
        <v>19</v>
      </c>
      <c r="B25" s="4" t="s">
        <v>405</v>
      </c>
      <c r="C25" s="4" t="s">
        <v>406</v>
      </c>
      <c r="D25" s="4" t="s">
        <v>320</v>
      </c>
      <c r="E25" s="5">
        <v>22068</v>
      </c>
      <c r="F25" s="6">
        <v>342.98085600000002</v>
      </c>
      <c r="G25" s="7">
        <v>1.6336901000000001E-2</v>
      </c>
      <c r="H25" s="53"/>
    </row>
    <row r="26" spans="1:8" ht="17.100000000000001" customHeight="1" x14ac:dyDescent="0.2">
      <c r="A26" s="3">
        <v>20</v>
      </c>
      <c r="B26" s="4" t="s">
        <v>365</v>
      </c>
      <c r="C26" s="4" t="s">
        <v>366</v>
      </c>
      <c r="D26" s="4" t="s">
        <v>119</v>
      </c>
      <c r="E26" s="5">
        <v>63371</v>
      </c>
      <c r="F26" s="6">
        <v>339.06653549999999</v>
      </c>
      <c r="G26" s="7">
        <v>1.6150454000000002E-2</v>
      </c>
      <c r="H26" s="53"/>
    </row>
    <row r="27" spans="1:8" ht="29.1" customHeight="1" x14ac:dyDescent="0.2">
      <c r="A27" s="3">
        <v>21</v>
      </c>
      <c r="B27" s="4" t="s">
        <v>68</v>
      </c>
      <c r="C27" s="4" t="s">
        <v>69</v>
      </c>
      <c r="D27" s="4" t="s">
        <v>25</v>
      </c>
      <c r="E27" s="5">
        <v>10728</v>
      </c>
      <c r="F27" s="6">
        <v>313.32196800000003</v>
      </c>
      <c r="G27" s="7">
        <v>1.4924186000000001E-2</v>
      </c>
      <c r="H27" s="53"/>
    </row>
    <row r="28" spans="1:8" ht="17.100000000000001" customHeight="1" x14ac:dyDescent="0.2">
      <c r="A28" s="3">
        <v>22</v>
      </c>
      <c r="B28" s="4" t="s">
        <v>420</v>
      </c>
      <c r="C28" s="4" t="s">
        <v>421</v>
      </c>
      <c r="D28" s="4" t="s">
        <v>224</v>
      </c>
      <c r="E28" s="5">
        <v>39110</v>
      </c>
      <c r="F28" s="6">
        <v>308.81256000000002</v>
      </c>
      <c r="G28" s="7">
        <v>1.4709392999999999E-2</v>
      </c>
      <c r="H28" s="53"/>
    </row>
    <row r="29" spans="1:8" ht="17.100000000000001" customHeight="1" x14ac:dyDescent="0.2">
      <c r="A29" s="3">
        <v>23</v>
      </c>
      <c r="B29" s="4" t="s">
        <v>205</v>
      </c>
      <c r="C29" s="4" t="s">
        <v>206</v>
      </c>
      <c r="D29" s="4" t="s">
        <v>900</v>
      </c>
      <c r="E29" s="5">
        <v>7786</v>
      </c>
      <c r="F29" s="6">
        <v>301.38827400000002</v>
      </c>
      <c r="G29" s="7">
        <v>1.4355758999999999E-2</v>
      </c>
      <c r="H29" s="53"/>
    </row>
    <row r="30" spans="1:8" ht="29.1" customHeight="1" x14ac:dyDescent="0.2">
      <c r="A30" s="3">
        <v>24</v>
      </c>
      <c r="B30" s="4" t="s">
        <v>401</v>
      </c>
      <c r="C30" s="4" t="s">
        <v>402</v>
      </c>
      <c r="D30" s="4" t="s">
        <v>227</v>
      </c>
      <c r="E30" s="5">
        <v>69018</v>
      </c>
      <c r="F30" s="6">
        <v>280.661697</v>
      </c>
      <c r="G30" s="7">
        <v>1.3368507999999999E-2</v>
      </c>
      <c r="H30" s="53"/>
    </row>
    <row r="31" spans="1:8" ht="29.1" customHeight="1" x14ac:dyDescent="0.2">
      <c r="A31" s="3">
        <v>25</v>
      </c>
      <c r="B31" s="4" t="s">
        <v>387</v>
      </c>
      <c r="C31" s="4" t="s">
        <v>388</v>
      </c>
      <c r="D31" s="4" t="s">
        <v>65</v>
      </c>
      <c r="E31" s="5">
        <v>16998</v>
      </c>
      <c r="F31" s="6">
        <v>274.94265000000001</v>
      </c>
      <c r="G31" s="7">
        <v>1.3096098E-2</v>
      </c>
      <c r="H31" s="53"/>
    </row>
    <row r="32" spans="1:8" ht="17.100000000000001" customHeight="1" x14ac:dyDescent="0.2">
      <c r="A32" s="3">
        <v>26</v>
      </c>
      <c r="B32" s="4" t="s">
        <v>230</v>
      </c>
      <c r="C32" s="4" t="s">
        <v>231</v>
      </c>
      <c r="D32" s="4" t="s">
        <v>87</v>
      </c>
      <c r="E32" s="5">
        <v>5394</v>
      </c>
      <c r="F32" s="6">
        <v>269.90497199999999</v>
      </c>
      <c r="G32" s="7">
        <v>1.2856143E-2</v>
      </c>
      <c r="H32" s="53"/>
    </row>
    <row r="33" spans="1:8" ht="29.1" customHeight="1" x14ac:dyDescent="0.2">
      <c r="A33" s="3">
        <v>27</v>
      </c>
      <c r="B33" s="4" t="s">
        <v>225</v>
      </c>
      <c r="C33" s="4" t="s">
        <v>226</v>
      </c>
      <c r="D33" s="4" t="s">
        <v>227</v>
      </c>
      <c r="E33" s="5">
        <v>71099</v>
      </c>
      <c r="F33" s="6">
        <v>266.79899749999998</v>
      </c>
      <c r="G33" s="7">
        <v>1.2708199E-2</v>
      </c>
      <c r="H33" s="53"/>
    </row>
    <row r="34" spans="1:8" ht="29.1" customHeight="1" x14ac:dyDescent="0.2">
      <c r="A34" s="3">
        <v>28</v>
      </c>
      <c r="B34" s="4" t="s">
        <v>407</v>
      </c>
      <c r="C34" s="4" t="s">
        <v>408</v>
      </c>
      <c r="D34" s="4" t="s">
        <v>51</v>
      </c>
      <c r="E34" s="5">
        <v>11405</v>
      </c>
      <c r="F34" s="6">
        <v>254.23455749999999</v>
      </c>
      <c r="G34" s="7">
        <v>1.2109728E-2</v>
      </c>
      <c r="H34" s="53"/>
    </row>
    <row r="35" spans="1:8" ht="17.100000000000001" customHeight="1" x14ac:dyDescent="0.2">
      <c r="A35" s="3">
        <v>29</v>
      </c>
      <c r="B35" s="4" t="s">
        <v>29</v>
      </c>
      <c r="C35" s="4" t="s">
        <v>30</v>
      </c>
      <c r="D35" s="4" t="s">
        <v>19</v>
      </c>
      <c r="E35" s="5">
        <v>41060</v>
      </c>
      <c r="F35" s="6">
        <v>251.98522</v>
      </c>
      <c r="G35" s="7">
        <v>1.2002587E-2</v>
      </c>
      <c r="H35" s="53"/>
    </row>
    <row r="36" spans="1:8" ht="17.100000000000001" customHeight="1" x14ac:dyDescent="0.2">
      <c r="A36" s="3">
        <v>30</v>
      </c>
      <c r="B36" s="4" t="s">
        <v>389</v>
      </c>
      <c r="C36" s="4" t="s">
        <v>390</v>
      </c>
      <c r="D36" s="4" t="s">
        <v>119</v>
      </c>
      <c r="E36" s="5">
        <v>32571</v>
      </c>
      <c r="F36" s="6">
        <v>238.3057215</v>
      </c>
      <c r="G36" s="7">
        <v>1.1351004E-2</v>
      </c>
      <c r="H36" s="53"/>
    </row>
    <row r="37" spans="1:8" ht="17.100000000000001" customHeight="1" x14ac:dyDescent="0.2">
      <c r="A37" s="3">
        <v>31</v>
      </c>
      <c r="B37" s="4" t="s">
        <v>412</v>
      </c>
      <c r="C37" s="4" t="s">
        <v>413</v>
      </c>
      <c r="D37" s="4" t="s">
        <v>33</v>
      </c>
      <c r="E37" s="5">
        <v>25628</v>
      </c>
      <c r="F37" s="6">
        <v>224.296256</v>
      </c>
      <c r="G37" s="7">
        <v>1.0683702999999999E-2</v>
      </c>
      <c r="H37" s="53"/>
    </row>
    <row r="38" spans="1:8" ht="29.1" customHeight="1" x14ac:dyDescent="0.2">
      <c r="A38" s="3">
        <v>32</v>
      </c>
      <c r="B38" s="4" t="s">
        <v>428</v>
      </c>
      <c r="C38" s="4" t="s">
        <v>429</v>
      </c>
      <c r="D38" s="4" t="s">
        <v>430</v>
      </c>
      <c r="E38" s="5">
        <v>37465</v>
      </c>
      <c r="F38" s="6">
        <v>213.00725750000001</v>
      </c>
      <c r="G38" s="7">
        <v>1.0145985E-2</v>
      </c>
      <c r="H38" s="53"/>
    </row>
    <row r="39" spans="1:8" ht="17.100000000000001" customHeight="1" x14ac:dyDescent="0.2">
      <c r="A39" s="3">
        <v>33</v>
      </c>
      <c r="B39" s="4" t="s">
        <v>403</v>
      </c>
      <c r="C39" s="4" t="s">
        <v>404</v>
      </c>
      <c r="D39" s="4" t="s">
        <v>13</v>
      </c>
      <c r="E39" s="5">
        <v>235040</v>
      </c>
      <c r="F39" s="6">
        <v>210.71335999999999</v>
      </c>
      <c r="G39" s="7">
        <v>1.0036721E-2</v>
      </c>
      <c r="H39" s="53"/>
    </row>
    <row r="40" spans="1:8" ht="17.100000000000001" customHeight="1" x14ac:dyDescent="0.2">
      <c r="A40" s="3">
        <v>34</v>
      </c>
      <c r="B40" s="4" t="s">
        <v>440</v>
      </c>
      <c r="C40" s="4" t="s">
        <v>441</v>
      </c>
      <c r="D40" s="4" t="s">
        <v>116</v>
      </c>
      <c r="E40" s="5">
        <v>17492</v>
      </c>
      <c r="F40" s="6">
        <v>209.82528600000001</v>
      </c>
      <c r="G40" s="7">
        <v>9.9944209999999999E-3</v>
      </c>
      <c r="H40" s="53"/>
    </row>
    <row r="41" spans="1:8" ht="17.100000000000001" customHeight="1" x14ac:dyDescent="0.2">
      <c r="A41" s="3">
        <v>35</v>
      </c>
      <c r="B41" s="4" t="s">
        <v>442</v>
      </c>
      <c r="C41" s="4" t="s">
        <v>443</v>
      </c>
      <c r="D41" s="4" t="s">
        <v>119</v>
      </c>
      <c r="E41" s="5">
        <v>252570</v>
      </c>
      <c r="F41" s="6">
        <v>205.33940999999999</v>
      </c>
      <c r="G41" s="7">
        <v>9.780749E-3</v>
      </c>
      <c r="H41" s="53"/>
    </row>
    <row r="42" spans="1:8" ht="29.1" customHeight="1" x14ac:dyDescent="0.2">
      <c r="A42" s="3">
        <v>36</v>
      </c>
      <c r="B42" s="4" t="s">
        <v>285</v>
      </c>
      <c r="C42" s="4" t="s">
        <v>286</v>
      </c>
      <c r="D42" s="4" t="s">
        <v>199</v>
      </c>
      <c r="E42" s="5">
        <v>28959</v>
      </c>
      <c r="F42" s="6">
        <v>196.76192549999999</v>
      </c>
      <c r="G42" s="7">
        <v>9.3721849999999999E-3</v>
      </c>
      <c r="H42" s="53"/>
    </row>
    <row r="43" spans="1:8" ht="29.1" customHeight="1" x14ac:dyDescent="0.2">
      <c r="A43" s="3">
        <v>37</v>
      </c>
      <c r="B43" s="4" t="s">
        <v>409</v>
      </c>
      <c r="C43" s="4" t="s">
        <v>410</v>
      </c>
      <c r="D43" s="4" t="s">
        <v>411</v>
      </c>
      <c r="E43" s="5">
        <v>157132</v>
      </c>
      <c r="F43" s="6">
        <v>196.336434</v>
      </c>
      <c r="G43" s="7">
        <v>9.3519180000000007E-3</v>
      </c>
      <c r="H43" s="53"/>
    </row>
    <row r="44" spans="1:8" ht="17.100000000000001" customHeight="1" x14ac:dyDescent="0.2">
      <c r="A44" s="3">
        <v>38</v>
      </c>
      <c r="B44" s="4" t="s">
        <v>94</v>
      </c>
      <c r="C44" s="4" t="s">
        <v>95</v>
      </c>
      <c r="D44" s="4" t="s">
        <v>96</v>
      </c>
      <c r="E44" s="5">
        <v>40384</v>
      </c>
      <c r="F44" s="6">
        <v>187.805792</v>
      </c>
      <c r="G44" s="7">
        <v>8.9455860000000002E-3</v>
      </c>
      <c r="H44" s="53"/>
    </row>
    <row r="45" spans="1:8" ht="17.100000000000001" customHeight="1" x14ac:dyDescent="0.2">
      <c r="A45" s="3">
        <v>39</v>
      </c>
      <c r="B45" s="4" t="s">
        <v>253</v>
      </c>
      <c r="C45" s="4" t="s">
        <v>254</v>
      </c>
      <c r="D45" s="4" t="s">
        <v>119</v>
      </c>
      <c r="E45" s="5">
        <v>32539</v>
      </c>
      <c r="F45" s="6">
        <v>179.14346449999999</v>
      </c>
      <c r="G45" s="7">
        <v>8.5329810000000002E-3</v>
      </c>
      <c r="H45" s="53"/>
    </row>
    <row r="46" spans="1:8" ht="17.100000000000001" customHeight="1" x14ac:dyDescent="0.2">
      <c r="A46" s="3">
        <v>40</v>
      </c>
      <c r="B46" s="4" t="s">
        <v>385</v>
      </c>
      <c r="C46" s="4" t="s">
        <v>386</v>
      </c>
      <c r="D46" s="4" t="s">
        <v>119</v>
      </c>
      <c r="E46" s="5">
        <v>19196</v>
      </c>
      <c r="F46" s="6">
        <v>175.700988</v>
      </c>
      <c r="G46" s="7">
        <v>8.3690080000000007E-3</v>
      </c>
      <c r="H46" s="53"/>
    </row>
    <row r="47" spans="1:8" ht="17.100000000000001" customHeight="1" x14ac:dyDescent="0.2">
      <c r="A47" s="3">
        <v>41</v>
      </c>
      <c r="B47" s="4" t="s">
        <v>367</v>
      </c>
      <c r="C47" s="4" t="s">
        <v>368</v>
      </c>
      <c r="D47" s="4" t="s">
        <v>116</v>
      </c>
      <c r="E47" s="5">
        <v>34209</v>
      </c>
      <c r="F47" s="6">
        <v>173.234376</v>
      </c>
      <c r="G47" s="7">
        <v>8.2515179999999994E-3</v>
      </c>
      <c r="H47" s="53"/>
    </row>
    <row r="48" spans="1:8" ht="29.1" customHeight="1" x14ac:dyDescent="0.2">
      <c r="A48" s="3">
        <v>42</v>
      </c>
      <c r="B48" s="4" t="s">
        <v>371</v>
      </c>
      <c r="C48" s="4" t="s">
        <v>372</v>
      </c>
      <c r="D48" s="4" t="s">
        <v>373</v>
      </c>
      <c r="E48" s="5">
        <v>43898</v>
      </c>
      <c r="F48" s="6">
        <v>172.431344</v>
      </c>
      <c r="G48" s="7">
        <v>8.2132679999999993E-3</v>
      </c>
      <c r="H48" s="53"/>
    </row>
    <row r="49" spans="1:8" ht="17.100000000000001" customHeight="1" x14ac:dyDescent="0.2">
      <c r="A49" s="3">
        <v>43</v>
      </c>
      <c r="B49" s="4" t="s">
        <v>422</v>
      </c>
      <c r="C49" s="4" t="s">
        <v>423</v>
      </c>
      <c r="D49" s="4" t="s">
        <v>265</v>
      </c>
      <c r="E49" s="5">
        <v>47886</v>
      </c>
      <c r="F49" s="6">
        <v>171.76708199999999</v>
      </c>
      <c r="G49" s="7">
        <v>8.1816279999999998E-3</v>
      </c>
      <c r="H49" s="53"/>
    </row>
    <row r="50" spans="1:8" ht="53.1" customHeight="1" x14ac:dyDescent="0.2">
      <c r="A50" s="3">
        <v>44</v>
      </c>
      <c r="B50" s="4" t="s">
        <v>444</v>
      </c>
      <c r="C50" s="4" t="s">
        <v>445</v>
      </c>
      <c r="D50" s="4" t="s">
        <v>48</v>
      </c>
      <c r="E50" s="5">
        <v>53387</v>
      </c>
      <c r="F50" s="6">
        <v>162.21639949999999</v>
      </c>
      <c r="G50" s="7">
        <v>7.726709E-3</v>
      </c>
      <c r="H50" s="53"/>
    </row>
    <row r="51" spans="1:8" ht="17.100000000000001" customHeight="1" x14ac:dyDescent="0.2">
      <c r="A51" s="3">
        <v>45</v>
      </c>
      <c r="B51" s="4" t="s">
        <v>446</v>
      </c>
      <c r="C51" s="4" t="s">
        <v>447</v>
      </c>
      <c r="D51" s="4" t="s">
        <v>40</v>
      </c>
      <c r="E51" s="5">
        <v>26074</v>
      </c>
      <c r="F51" s="6">
        <v>161.39805999999999</v>
      </c>
      <c r="G51" s="7">
        <v>7.6877300000000003E-3</v>
      </c>
      <c r="H51" s="53"/>
    </row>
    <row r="52" spans="1:8" ht="17.100000000000001" customHeight="1" x14ac:dyDescent="0.2">
      <c r="A52" s="3">
        <v>46</v>
      </c>
      <c r="B52" s="4" t="s">
        <v>393</v>
      </c>
      <c r="C52" s="4" t="s">
        <v>394</v>
      </c>
      <c r="D52" s="4" t="s">
        <v>212</v>
      </c>
      <c r="E52" s="5">
        <v>19644</v>
      </c>
      <c r="F52" s="6">
        <v>141.81985800000001</v>
      </c>
      <c r="G52" s="7">
        <v>6.755179E-3</v>
      </c>
      <c r="H52" s="53"/>
    </row>
    <row r="53" spans="1:8" ht="29.1" customHeight="1" x14ac:dyDescent="0.2">
      <c r="A53" s="3">
        <v>47</v>
      </c>
      <c r="B53" s="4" t="s">
        <v>418</v>
      </c>
      <c r="C53" s="4" t="s">
        <v>419</v>
      </c>
      <c r="D53" s="4" t="s">
        <v>227</v>
      </c>
      <c r="E53" s="5">
        <v>7168</v>
      </c>
      <c r="F53" s="6">
        <v>139.38176000000001</v>
      </c>
      <c r="G53" s="7">
        <v>6.6390470000000004E-3</v>
      </c>
      <c r="H53" s="53"/>
    </row>
    <row r="54" spans="1:8" ht="17.100000000000001" customHeight="1" x14ac:dyDescent="0.2">
      <c r="A54" s="3">
        <v>48</v>
      </c>
      <c r="B54" s="4" t="s">
        <v>448</v>
      </c>
      <c r="C54" s="4" t="s">
        <v>449</v>
      </c>
      <c r="D54" s="4" t="s">
        <v>13</v>
      </c>
      <c r="E54" s="5">
        <v>23421</v>
      </c>
      <c r="F54" s="6">
        <v>130.899969</v>
      </c>
      <c r="G54" s="7">
        <v>6.2350410000000002E-3</v>
      </c>
      <c r="H54" s="53"/>
    </row>
    <row r="55" spans="1:8" ht="29.1" customHeight="1" x14ac:dyDescent="0.2">
      <c r="A55" s="3">
        <v>49</v>
      </c>
      <c r="B55" s="4" t="s">
        <v>450</v>
      </c>
      <c r="C55" s="4" t="s">
        <v>451</v>
      </c>
      <c r="D55" s="4" t="s">
        <v>430</v>
      </c>
      <c r="E55" s="5">
        <v>24360</v>
      </c>
      <c r="F55" s="6">
        <v>128.99838</v>
      </c>
      <c r="G55" s="7">
        <v>6.144465E-3</v>
      </c>
      <c r="H55" s="53"/>
    </row>
    <row r="56" spans="1:8" ht="17.100000000000001" customHeight="1" x14ac:dyDescent="0.2">
      <c r="A56" s="3">
        <v>50</v>
      </c>
      <c r="B56" s="4" t="s">
        <v>452</v>
      </c>
      <c r="C56" s="4" t="s">
        <v>453</v>
      </c>
      <c r="D56" s="4" t="s">
        <v>19</v>
      </c>
      <c r="E56" s="5">
        <v>52998</v>
      </c>
      <c r="F56" s="6">
        <v>126.02924400000001</v>
      </c>
      <c r="G56" s="7">
        <v>6.0030389999999999E-3</v>
      </c>
      <c r="H56" s="53"/>
    </row>
    <row r="57" spans="1:8" ht="29.1" customHeight="1" x14ac:dyDescent="0.2">
      <c r="A57" s="3">
        <v>51</v>
      </c>
      <c r="B57" s="4" t="s">
        <v>391</v>
      </c>
      <c r="C57" s="4" t="s">
        <v>392</v>
      </c>
      <c r="D57" s="4" t="s">
        <v>116</v>
      </c>
      <c r="E57" s="5">
        <v>10609</v>
      </c>
      <c r="F57" s="6">
        <v>117.03318350000001</v>
      </c>
      <c r="G57" s="7">
        <v>5.5745370000000001E-3</v>
      </c>
      <c r="H57" s="53"/>
    </row>
    <row r="58" spans="1:8" ht="17.100000000000001" customHeight="1" x14ac:dyDescent="0.2">
      <c r="A58" s="3">
        <v>52</v>
      </c>
      <c r="B58" s="4" t="s">
        <v>416</v>
      </c>
      <c r="C58" s="4" t="s">
        <v>417</v>
      </c>
      <c r="D58" s="4" t="s">
        <v>219</v>
      </c>
      <c r="E58" s="5">
        <v>14169</v>
      </c>
      <c r="F58" s="6">
        <v>113.31657749999999</v>
      </c>
      <c r="G58" s="7">
        <v>5.3975070000000002E-3</v>
      </c>
      <c r="H58" s="53"/>
    </row>
    <row r="59" spans="1:8" ht="17.100000000000001" customHeight="1" x14ac:dyDescent="0.2">
      <c r="A59" s="3">
        <v>53</v>
      </c>
      <c r="B59" s="4" t="s">
        <v>414</v>
      </c>
      <c r="C59" s="4" t="s">
        <v>415</v>
      </c>
      <c r="D59" s="4" t="s">
        <v>87</v>
      </c>
      <c r="E59" s="5">
        <v>16162</v>
      </c>
      <c r="F59" s="6">
        <v>108.584397</v>
      </c>
      <c r="G59" s="7">
        <v>5.1721040000000003E-3</v>
      </c>
      <c r="H59" s="53"/>
    </row>
    <row r="60" spans="1:8" ht="17.100000000000001" customHeight="1" x14ac:dyDescent="0.2">
      <c r="A60" s="3">
        <v>54</v>
      </c>
      <c r="B60" s="4" t="s">
        <v>454</v>
      </c>
      <c r="C60" s="4" t="s">
        <v>455</v>
      </c>
      <c r="D60" s="4" t="s">
        <v>45</v>
      </c>
      <c r="E60" s="5">
        <v>38242</v>
      </c>
      <c r="F60" s="6">
        <v>103.368126</v>
      </c>
      <c r="G60" s="7">
        <v>4.9236419999999998E-3</v>
      </c>
      <c r="H60" s="53"/>
    </row>
    <row r="61" spans="1:8" ht="29.1" customHeight="1" x14ac:dyDescent="0.2">
      <c r="A61" s="3">
        <v>55</v>
      </c>
      <c r="B61" s="4" t="s">
        <v>456</v>
      </c>
      <c r="C61" s="4" t="s">
        <v>457</v>
      </c>
      <c r="D61" s="4" t="s">
        <v>373</v>
      </c>
      <c r="E61" s="5">
        <v>24084</v>
      </c>
      <c r="F61" s="6">
        <v>99.189954</v>
      </c>
      <c r="G61" s="7">
        <v>4.7246270000000003E-3</v>
      </c>
      <c r="H61" s="53"/>
    </row>
    <row r="62" spans="1:8" ht="17.100000000000001" customHeight="1" x14ac:dyDescent="0.2">
      <c r="A62" s="3">
        <v>56</v>
      </c>
      <c r="B62" s="4" t="s">
        <v>426</v>
      </c>
      <c r="C62" s="4" t="s">
        <v>427</v>
      </c>
      <c r="D62" s="4" t="s">
        <v>33</v>
      </c>
      <c r="E62" s="5">
        <v>11481</v>
      </c>
      <c r="F62" s="6">
        <v>94.304934000000003</v>
      </c>
      <c r="G62" s="7">
        <v>4.491943E-3</v>
      </c>
      <c r="H62" s="53"/>
    </row>
    <row r="63" spans="1:8" ht="29.1" customHeight="1" x14ac:dyDescent="0.2">
      <c r="A63" s="3">
        <v>57</v>
      </c>
      <c r="B63" s="4" t="s">
        <v>424</v>
      </c>
      <c r="C63" s="4" t="s">
        <v>425</v>
      </c>
      <c r="D63" s="4" t="s">
        <v>227</v>
      </c>
      <c r="E63" s="5">
        <v>34046</v>
      </c>
      <c r="F63" s="6">
        <v>85.149045999999998</v>
      </c>
      <c r="G63" s="7">
        <v>4.0558290000000004E-3</v>
      </c>
      <c r="H63" s="53"/>
    </row>
    <row r="64" spans="1:8" ht="29.1" customHeight="1" x14ac:dyDescent="0.2">
      <c r="A64" s="3">
        <v>58</v>
      </c>
      <c r="B64" s="4" t="s">
        <v>376</v>
      </c>
      <c r="C64" s="4" t="s">
        <v>377</v>
      </c>
      <c r="D64" s="4" t="s">
        <v>227</v>
      </c>
      <c r="E64" s="5">
        <v>2097</v>
      </c>
      <c r="F64" s="6">
        <v>82.894409999999993</v>
      </c>
      <c r="G64" s="7">
        <v>3.9484350000000001E-3</v>
      </c>
      <c r="H64" s="53"/>
    </row>
    <row r="65" spans="1:8" ht="17.100000000000001" customHeight="1" x14ac:dyDescent="0.2">
      <c r="A65" s="3">
        <v>59</v>
      </c>
      <c r="B65" s="4" t="s">
        <v>331</v>
      </c>
      <c r="C65" s="4" t="s">
        <v>332</v>
      </c>
      <c r="D65" s="4" t="s">
        <v>96</v>
      </c>
      <c r="E65" s="5">
        <v>110125</v>
      </c>
      <c r="F65" s="6">
        <v>82.59375</v>
      </c>
      <c r="G65" s="7">
        <v>3.9341139999999998E-3</v>
      </c>
      <c r="H65" s="53"/>
    </row>
    <row r="66" spans="1:8" ht="17.100000000000001" customHeight="1" x14ac:dyDescent="0.2">
      <c r="A66" s="3">
        <v>60</v>
      </c>
      <c r="B66" s="4" t="s">
        <v>458</v>
      </c>
      <c r="C66" s="4" t="s">
        <v>459</v>
      </c>
      <c r="D66" s="4" t="s">
        <v>901</v>
      </c>
      <c r="E66" s="5">
        <v>9352</v>
      </c>
      <c r="F66" s="6">
        <v>75.849395999999999</v>
      </c>
      <c r="G66" s="7">
        <v>3.6128670000000001E-3</v>
      </c>
      <c r="H66" s="53"/>
    </row>
    <row r="67" spans="1:8" ht="29.1" customHeight="1" x14ac:dyDescent="0.2">
      <c r="A67" s="3">
        <v>61</v>
      </c>
      <c r="B67" s="4" t="s">
        <v>314</v>
      </c>
      <c r="C67" s="4" t="s">
        <v>315</v>
      </c>
      <c r="D67" s="4" t="s">
        <v>199</v>
      </c>
      <c r="E67" s="5">
        <v>16020</v>
      </c>
      <c r="F67" s="6">
        <v>73.635930000000002</v>
      </c>
      <c r="G67" s="7">
        <v>3.5074350000000002E-3</v>
      </c>
      <c r="H67" s="53"/>
    </row>
    <row r="68" spans="1:8" ht="17.100000000000001" customHeight="1" x14ac:dyDescent="0.2">
      <c r="A68" s="3">
        <v>62</v>
      </c>
      <c r="B68" s="4" t="s">
        <v>395</v>
      </c>
      <c r="C68" s="4" t="s">
        <v>396</v>
      </c>
      <c r="D68" s="4" t="s">
        <v>116</v>
      </c>
      <c r="E68" s="5">
        <v>28500</v>
      </c>
      <c r="F68" s="6">
        <v>67.815749999999994</v>
      </c>
      <c r="G68" s="7">
        <v>3.2302070000000001E-3</v>
      </c>
      <c r="H68" s="53"/>
    </row>
    <row r="69" spans="1:8" ht="29.1" customHeight="1" x14ac:dyDescent="0.2">
      <c r="A69" s="3">
        <v>63</v>
      </c>
      <c r="B69" s="4" t="s">
        <v>431</v>
      </c>
      <c r="C69" s="4" t="s">
        <v>432</v>
      </c>
      <c r="D69" s="4" t="s">
        <v>199</v>
      </c>
      <c r="E69" s="5">
        <v>6324</v>
      </c>
      <c r="F69" s="6">
        <v>37.684716000000002</v>
      </c>
      <c r="G69" s="7">
        <v>1.795002E-3</v>
      </c>
      <c r="H69" s="53"/>
    </row>
    <row r="70" spans="1:8" ht="29.1" customHeight="1" x14ac:dyDescent="0.2">
      <c r="A70" s="3">
        <v>64</v>
      </c>
      <c r="B70" s="4" t="s">
        <v>397</v>
      </c>
      <c r="C70" s="4" t="s">
        <v>398</v>
      </c>
      <c r="D70" s="4" t="s">
        <v>60</v>
      </c>
      <c r="E70" s="5">
        <v>9497</v>
      </c>
      <c r="F70" s="6">
        <v>34.607067999999998</v>
      </c>
      <c r="G70" s="7">
        <v>1.6484080000000001E-3</v>
      </c>
      <c r="H70" s="53"/>
    </row>
    <row r="71" spans="1:8" ht="14.1" customHeight="1" x14ac:dyDescent="0.2">
      <c r="A71" s="1"/>
      <c r="B71" s="1"/>
      <c r="C71" s="2" t="s">
        <v>132</v>
      </c>
      <c r="D71" s="1"/>
      <c r="E71" s="1" t="s">
        <v>133</v>
      </c>
      <c r="F71" s="9">
        <v>16726.216236</v>
      </c>
      <c r="G71" s="10">
        <v>0.796704937</v>
      </c>
      <c r="H71" s="53"/>
    </row>
    <row r="72" spans="1:8" ht="14.1" customHeight="1" x14ac:dyDescent="0.2">
      <c r="A72" s="1"/>
      <c r="B72" s="1"/>
      <c r="C72" s="11"/>
      <c r="D72" s="1"/>
      <c r="E72" s="1"/>
      <c r="F72" s="12"/>
      <c r="G72" s="12"/>
      <c r="H72" s="53"/>
    </row>
    <row r="73" spans="1:8" ht="14.1" customHeight="1" x14ac:dyDescent="0.2">
      <c r="A73" s="1"/>
      <c r="B73" s="1"/>
      <c r="C73" s="2" t="s">
        <v>134</v>
      </c>
      <c r="D73" s="1"/>
      <c r="E73" s="1"/>
      <c r="F73" s="1"/>
      <c r="G73" s="1"/>
      <c r="H73" s="53"/>
    </row>
    <row r="74" spans="1:8" ht="14.1" customHeight="1" x14ac:dyDescent="0.2">
      <c r="A74" s="1"/>
      <c r="B74" s="1"/>
      <c r="C74" s="2" t="s">
        <v>132</v>
      </c>
      <c r="D74" s="1"/>
      <c r="E74" s="1" t="s">
        <v>133</v>
      </c>
      <c r="F74" s="13">
        <v>0</v>
      </c>
      <c r="G74" s="14">
        <v>0</v>
      </c>
      <c r="H74" s="53"/>
    </row>
    <row r="75" spans="1:8" ht="14.1" customHeight="1" x14ac:dyDescent="0.2">
      <c r="A75" s="1"/>
      <c r="B75" s="1"/>
      <c r="C75" s="11"/>
      <c r="D75" s="1"/>
      <c r="E75" s="1"/>
      <c r="F75" s="12"/>
      <c r="G75" s="12"/>
      <c r="H75" s="53"/>
    </row>
    <row r="76" spans="1:8" ht="14.1" customHeight="1" x14ac:dyDescent="0.2">
      <c r="A76" s="1"/>
      <c r="B76" s="1"/>
      <c r="C76" s="2" t="s">
        <v>135</v>
      </c>
      <c r="D76" s="1"/>
      <c r="E76" s="1"/>
      <c r="F76" s="1"/>
      <c r="G76" s="1"/>
      <c r="H76" s="53"/>
    </row>
    <row r="77" spans="1:8" ht="14.1" customHeight="1" x14ac:dyDescent="0.2">
      <c r="A77" s="1"/>
      <c r="B77" s="1"/>
      <c r="C77" s="2" t="s">
        <v>132</v>
      </c>
      <c r="D77" s="1"/>
      <c r="E77" s="1" t="s">
        <v>133</v>
      </c>
      <c r="F77" s="13">
        <v>0</v>
      </c>
      <c r="G77" s="14">
        <v>0</v>
      </c>
      <c r="H77" s="53"/>
    </row>
    <row r="78" spans="1:8" ht="14.1" customHeight="1" x14ac:dyDescent="0.2">
      <c r="A78" s="1"/>
      <c r="B78" s="1"/>
      <c r="C78" s="11"/>
      <c r="D78" s="1"/>
      <c r="E78" s="1"/>
      <c r="F78" s="12"/>
      <c r="G78" s="12"/>
      <c r="H78" s="53"/>
    </row>
    <row r="79" spans="1:8" ht="14.1" customHeight="1" x14ac:dyDescent="0.2">
      <c r="A79" s="1"/>
      <c r="B79" s="1"/>
      <c r="C79" s="2" t="s">
        <v>136</v>
      </c>
      <c r="D79" s="1"/>
      <c r="E79" s="1"/>
      <c r="F79" s="1"/>
      <c r="G79" s="1"/>
      <c r="H79" s="53"/>
    </row>
    <row r="80" spans="1:8" ht="17.100000000000001" customHeight="1" x14ac:dyDescent="0.2">
      <c r="A80" s="3">
        <v>1</v>
      </c>
      <c r="B80" s="4" t="s">
        <v>399</v>
      </c>
      <c r="C80" s="4" t="s">
        <v>960</v>
      </c>
      <c r="D80" s="4" t="s">
        <v>212</v>
      </c>
      <c r="E80" s="5">
        <v>1403</v>
      </c>
      <c r="F80" s="6">
        <v>2.1458884999999999</v>
      </c>
      <c r="G80" s="7">
        <v>1.0221300000000001E-4</v>
      </c>
      <c r="H80" s="53"/>
    </row>
    <row r="81" spans="1:8" ht="14.1" customHeight="1" x14ac:dyDescent="0.2">
      <c r="A81" s="1"/>
      <c r="B81" s="1"/>
      <c r="C81" s="2" t="s">
        <v>132</v>
      </c>
      <c r="D81" s="1"/>
      <c r="E81" s="1" t="s">
        <v>133</v>
      </c>
      <c r="F81" s="9">
        <v>2.1458884999999999</v>
      </c>
      <c r="G81" s="10">
        <v>1.0221300000000001E-4</v>
      </c>
      <c r="H81" s="53"/>
    </row>
    <row r="82" spans="1:8" ht="14.1" customHeight="1" x14ac:dyDescent="0.2">
      <c r="A82" s="1"/>
      <c r="B82" s="1"/>
      <c r="C82" s="11"/>
      <c r="D82" s="1"/>
      <c r="E82" s="1"/>
      <c r="F82" s="12"/>
      <c r="G82" s="12"/>
      <c r="H82" s="53"/>
    </row>
    <row r="83" spans="1:8" ht="14.1" customHeight="1" x14ac:dyDescent="0.2">
      <c r="A83" s="1"/>
      <c r="B83" s="1"/>
      <c r="C83" s="2" t="s">
        <v>137</v>
      </c>
      <c r="D83" s="1"/>
      <c r="E83" s="1"/>
      <c r="F83" s="12"/>
      <c r="G83" s="12"/>
      <c r="H83" s="53"/>
    </row>
    <row r="84" spans="1:8" ht="14.1" customHeight="1" x14ac:dyDescent="0.2">
      <c r="A84" s="1"/>
      <c r="B84" s="1"/>
      <c r="C84" s="2" t="s">
        <v>132</v>
      </c>
      <c r="D84" s="1"/>
      <c r="E84" s="1" t="s">
        <v>133</v>
      </c>
      <c r="F84" s="13">
        <v>0</v>
      </c>
      <c r="G84" s="14">
        <v>0</v>
      </c>
      <c r="H84" s="53"/>
    </row>
    <row r="85" spans="1:8" ht="14.1" customHeight="1" x14ac:dyDescent="0.2">
      <c r="A85" s="1"/>
      <c r="B85" s="1"/>
      <c r="C85" s="11"/>
      <c r="D85" s="1"/>
      <c r="E85" s="1"/>
      <c r="F85" s="12"/>
      <c r="G85" s="12"/>
      <c r="H85" s="53"/>
    </row>
    <row r="86" spans="1:8" ht="14.1" customHeight="1" x14ac:dyDescent="0.2">
      <c r="A86" s="1"/>
      <c r="B86" s="1"/>
      <c r="C86" s="2" t="s">
        <v>138</v>
      </c>
      <c r="D86" s="1"/>
      <c r="E86" s="1"/>
      <c r="F86" s="12"/>
      <c r="G86" s="12"/>
      <c r="H86" s="53"/>
    </row>
    <row r="87" spans="1:8" ht="14.1" customHeight="1" x14ac:dyDescent="0.2">
      <c r="A87" s="1"/>
      <c r="B87" s="1"/>
      <c r="C87" s="2" t="s">
        <v>132</v>
      </c>
      <c r="D87" s="1"/>
      <c r="E87" s="1" t="s">
        <v>133</v>
      </c>
      <c r="F87" s="13">
        <v>0</v>
      </c>
      <c r="G87" s="14">
        <v>0</v>
      </c>
      <c r="H87" s="53"/>
    </row>
    <row r="88" spans="1:8" ht="14.1" customHeight="1" x14ac:dyDescent="0.2">
      <c r="A88" s="1"/>
      <c r="B88" s="1"/>
      <c r="C88" s="11"/>
      <c r="D88" s="1"/>
      <c r="E88" s="1"/>
      <c r="F88" s="12"/>
      <c r="G88" s="12"/>
      <c r="H88" s="53"/>
    </row>
    <row r="89" spans="1:8" ht="18" customHeight="1" x14ac:dyDescent="0.2">
      <c r="A89" s="1"/>
      <c r="B89" s="1"/>
      <c r="C89" s="2" t="s">
        <v>139</v>
      </c>
      <c r="D89" s="1"/>
      <c r="E89" s="1"/>
      <c r="F89" s="9">
        <v>16728.362124499999</v>
      </c>
      <c r="G89" s="10">
        <v>0.79680715000000002</v>
      </c>
      <c r="H89" s="53"/>
    </row>
    <row r="90" spans="1:8" ht="14.1" customHeight="1" x14ac:dyDescent="0.2">
      <c r="A90" s="1"/>
      <c r="B90" s="1"/>
      <c r="C90" s="11"/>
      <c r="D90" s="1"/>
      <c r="E90" s="1"/>
      <c r="F90" s="12"/>
      <c r="G90" s="12"/>
      <c r="H90" s="53"/>
    </row>
    <row r="91" spans="1:8" ht="14.1" customHeight="1" x14ac:dyDescent="0.2">
      <c r="A91" s="1"/>
      <c r="B91" s="1"/>
      <c r="C91" s="2" t="s">
        <v>140</v>
      </c>
      <c r="D91" s="1"/>
      <c r="E91" s="1"/>
      <c r="F91" s="12"/>
      <c r="G91" s="12"/>
      <c r="H91" s="53"/>
    </row>
    <row r="92" spans="1:8" ht="24" customHeight="1" x14ac:dyDescent="0.2">
      <c r="A92" s="1"/>
      <c r="B92" s="1"/>
      <c r="C92" s="2" t="s">
        <v>10</v>
      </c>
      <c r="D92" s="1"/>
      <c r="E92" s="1"/>
      <c r="F92" s="12"/>
      <c r="G92" s="12"/>
      <c r="H92" s="53"/>
    </row>
    <row r="93" spans="1:8" ht="14.1" customHeight="1" x14ac:dyDescent="0.2">
      <c r="A93" s="1"/>
      <c r="B93" s="1"/>
      <c r="C93" s="2" t="s">
        <v>132</v>
      </c>
      <c r="D93" s="1"/>
      <c r="E93" s="1" t="s">
        <v>133</v>
      </c>
      <c r="F93" s="13">
        <v>0</v>
      </c>
      <c r="G93" s="14">
        <v>0</v>
      </c>
      <c r="H93" s="53"/>
    </row>
    <row r="94" spans="1:8" ht="14.1" customHeight="1" x14ac:dyDescent="0.2">
      <c r="A94" s="1"/>
      <c r="B94" s="1"/>
      <c r="C94" s="11"/>
      <c r="D94" s="1"/>
      <c r="E94" s="1"/>
      <c r="F94" s="12"/>
      <c r="G94" s="12"/>
      <c r="H94" s="53"/>
    </row>
    <row r="95" spans="1:8" ht="14.1" customHeight="1" x14ac:dyDescent="0.2">
      <c r="A95" s="1"/>
      <c r="B95" s="1"/>
      <c r="C95" s="2" t="s">
        <v>141</v>
      </c>
      <c r="D95" s="1"/>
      <c r="E95" s="1"/>
      <c r="F95" s="1"/>
      <c r="G95" s="1"/>
      <c r="H95" s="53"/>
    </row>
    <row r="96" spans="1:8" ht="14.1" customHeight="1" x14ac:dyDescent="0.2">
      <c r="A96" s="1"/>
      <c r="B96" s="1"/>
      <c r="C96" s="2" t="s">
        <v>132</v>
      </c>
      <c r="D96" s="1"/>
      <c r="E96" s="1" t="s">
        <v>133</v>
      </c>
      <c r="F96" s="13">
        <v>0</v>
      </c>
      <c r="G96" s="14">
        <v>0</v>
      </c>
      <c r="H96" s="53"/>
    </row>
    <row r="97" spans="1:8" ht="14.1" customHeight="1" x14ac:dyDescent="0.2">
      <c r="A97" s="1"/>
      <c r="B97" s="1"/>
      <c r="C97" s="11"/>
      <c r="D97" s="1"/>
      <c r="E97" s="1"/>
      <c r="F97" s="12"/>
      <c r="G97" s="12"/>
      <c r="H97" s="53"/>
    </row>
    <row r="98" spans="1:8" ht="14.1" customHeight="1" x14ac:dyDescent="0.2">
      <c r="A98" s="1"/>
      <c r="B98" s="1"/>
      <c r="C98" s="2" t="s">
        <v>142</v>
      </c>
      <c r="D98" s="1"/>
      <c r="E98" s="1"/>
      <c r="F98" s="1"/>
      <c r="G98" s="1"/>
      <c r="H98" s="53"/>
    </row>
    <row r="99" spans="1:8" ht="14.1" customHeight="1" x14ac:dyDescent="0.2">
      <c r="A99" s="1"/>
      <c r="B99" s="1"/>
      <c r="C99" s="2" t="s">
        <v>132</v>
      </c>
      <c r="D99" s="1"/>
      <c r="E99" s="1" t="s">
        <v>133</v>
      </c>
      <c r="F99" s="13">
        <v>0</v>
      </c>
      <c r="G99" s="14">
        <v>0</v>
      </c>
      <c r="H99" s="53"/>
    </row>
    <row r="100" spans="1:8" ht="14.1" customHeight="1" x14ac:dyDescent="0.2">
      <c r="A100" s="1"/>
      <c r="B100" s="1"/>
      <c r="C100" s="11"/>
      <c r="D100" s="1"/>
      <c r="E100" s="1"/>
      <c r="F100" s="12"/>
      <c r="G100" s="12"/>
      <c r="H100" s="53"/>
    </row>
    <row r="101" spans="1:8" ht="14.1" customHeight="1" x14ac:dyDescent="0.2">
      <c r="A101" s="1"/>
      <c r="B101" s="1"/>
      <c r="C101" s="2" t="s">
        <v>143</v>
      </c>
      <c r="D101" s="1"/>
      <c r="E101" s="1"/>
      <c r="F101" s="12"/>
      <c r="G101" s="12"/>
      <c r="H101" s="53"/>
    </row>
    <row r="102" spans="1:8" ht="14.1" customHeight="1" x14ac:dyDescent="0.2">
      <c r="A102" s="1"/>
      <c r="B102" s="1"/>
      <c r="C102" s="2" t="s">
        <v>132</v>
      </c>
      <c r="D102" s="1"/>
      <c r="E102" s="1" t="s">
        <v>133</v>
      </c>
      <c r="F102" s="13">
        <v>0</v>
      </c>
      <c r="G102" s="14">
        <v>0</v>
      </c>
      <c r="H102" s="53"/>
    </row>
    <row r="103" spans="1:8" ht="14.1" customHeight="1" x14ac:dyDescent="0.2">
      <c r="A103" s="1"/>
      <c r="B103" s="1"/>
      <c r="C103" s="11"/>
      <c r="D103" s="1"/>
      <c r="E103" s="1"/>
      <c r="F103" s="12"/>
      <c r="G103" s="12"/>
      <c r="H103" s="53"/>
    </row>
    <row r="104" spans="1:8" ht="14.1" customHeight="1" x14ac:dyDescent="0.2">
      <c r="A104" s="1"/>
      <c r="B104" s="1"/>
      <c r="C104" s="2" t="s">
        <v>144</v>
      </c>
      <c r="D104" s="1"/>
      <c r="E104" s="1"/>
      <c r="F104" s="9">
        <v>0</v>
      </c>
      <c r="G104" s="10">
        <v>0</v>
      </c>
      <c r="H104" s="53"/>
    </row>
    <row r="105" spans="1:8" ht="14.1" customHeight="1" x14ac:dyDescent="0.2">
      <c r="A105" s="1"/>
      <c r="B105" s="1"/>
      <c r="C105" s="11"/>
      <c r="D105" s="1"/>
      <c r="E105" s="1"/>
      <c r="F105" s="12"/>
      <c r="G105" s="12"/>
      <c r="H105" s="53"/>
    </row>
    <row r="106" spans="1:8" ht="14.1" customHeight="1" x14ac:dyDescent="0.2">
      <c r="A106" s="1"/>
      <c r="B106" s="1"/>
      <c r="C106" s="2" t="s">
        <v>145</v>
      </c>
      <c r="D106" s="1"/>
      <c r="E106" s="1"/>
      <c r="F106" s="12"/>
      <c r="G106" s="12"/>
      <c r="H106" s="53"/>
    </row>
    <row r="107" spans="1:8" ht="14.1" customHeight="1" x14ac:dyDescent="0.2">
      <c r="A107" s="1"/>
      <c r="B107" s="1"/>
      <c r="C107" s="2" t="s">
        <v>146</v>
      </c>
      <c r="D107" s="1"/>
      <c r="E107" s="1"/>
      <c r="F107" s="12"/>
      <c r="G107" s="12"/>
      <c r="H107" s="53"/>
    </row>
    <row r="108" spans="1:8" ht="14.1" customHeight="1" x14ac:dyDescent="0.2">
      <c r="A108" s="1"/>
      <c r="B108" s="1"/>
      <c r="C108" s="2" t="s">
        <v>132</v>
      </c>
      <c r="D108" s="1"/>
      <c r="E108" s="1" t="s">
        <v>133</v>
      </c>
      <c r="F108" s="13">
        <v>0</v>
      </c>
      <c r="G108" s="14">
        <v>0</v>
      </c>
      <c r="H108" s="53"/>
    </row>
    <row r="109" spans="1:8" ht="14.1" customHeight="1" x14ac:dyDescent="0.2">
      <c r="A109" s="1"/>
      <c r="B109" s="1"/>
      <c r="C109" s="11"/>
      <c r="D109" s="1"/>
      <c r="E109" s="1"/>
      <c r="F109" s="12"/>
      <c r="G109" s="12"/>
      <c r="H109" s="53"/>
    </row>
    <row r="110" spans="1:8" ht="14.1" customHeight="1" x14ac:dyDescent="0.2">
      <c r="A110" s="1"/>
      <c r="B110" s="1"/>
      <c r="C110" s="2" t="s">
        <v>147</v>
      </c>
      <c r="D110" s="1"/>
      <c r="E110" s="1"/>
      <c r="F110" s="12"/>
      <c r="G110" s="12"/>
      <c r="H110" s="53"/>
    </row>
    <row r="111" spans="1:8" ht="14.1" customHeight="1" x14ac:dyDescent="0.2">
      <c r="A111" s="1"/>
      <c r="B111" s="1"/>
      <c r="C111" s="2" t="s">
        <v>132</v>
      </c>
      <c r="D111" s="1"/>
      <c r="E111" s="1" t="s">
        <v>133</v>
      </c>
      <c r="F111" s="13">
        <v>0</v>
      </c>
      <c r="G111" s="14">
        <v>0</v>
      </c>
      <c r="H111" s="53"/>
    </row>
    <row r="112" spans="1:8" ht="14.1" customHeight="1" x14ac:dyDescent="0.2">
      <c r="A112" s="1"/>
      <c r="B112" s="1"/>
      <c r="C112" s="11"/>
      <c r="D112" s="1"/>
      <c r="E112" s="1"/>
      <c r="F112" s="12"/>
      <c r="G112" s="12"/>
      <c r="H112" s="53"/>
    </row>
    <row r="113" spans="1:8" ht="14.1" customHeight="1" x14ac:dyDescent="0.2">
      <c r="A113" s="1"/>
      <c r="B113" s="1"/>
      <c r="C113" s="2" t="s">
        <v>148</v>
      </c>
      <c r="D113" s="1"/>
      <c r="E113" s="1"/>
      <c r="F113" s="12"/>
      <c r="G113" s="12"/>
      <c r="H113" s="53"/>
    </row>
    <row r="114" spans="1:8" ht="14.1" customHeight="1" x14ac:dyDescent="0.2">
      <c r="A114" s="1"/>
      <c r="B114" s="1"/>
      <c r="C114" s="2" t="s">
        <v>132</v>
      </c>
      <c r="D114" s="1"/>
      <c r="E114" s="1" t="s">
        <v>133</v>
      </c>
      <c r="F114" s="13">
        <v>0</v>
      </c>
      <c r="G114" s="14">
        <v>0</v>
      </c>
      <c r="H114" s="53"/>
    </row>
    <row r="115" spans="1:8" ht="14.1" customHeight="1" x14ac:dyDescent="0.2">
      <c r="A115" s="1"/>
      <c r="B115" s="1"/>
      <c r="C115" s="11"/>
      <c r="D115" s="1"/>
      <c r="E115" s="1"/>
      <c r="F115" s="12"/>
      <c r="G115" s="12"/>
      <c r="H115" s="53"/>
    </row>
    <row r="116" spans="1:8" ht="14.1" customHeight="1" x14ac:dyDescent="0.2">
      <c r="A116" s="1"/>
      <c r="B116" s="1"/>
      <c r="C116" s="2" t="s">
        <v>149</v>
      </c>
      <c r="D116" s="1"/>
      <c r="E116" s="1"/>
      <c r="F116" s="12"/>
      <c r="G116" s="12"/>
      <c r="H116" s="53"/>
    </row>
    <row r="117" spans="1:8" ht="17.100000000000001" customHeight="1" x14ac:dyDescent="0.2">
      <c r="A117" s="3">
        <v>1</v>
      </c>
      <c r="B117" s="4"/>
      <c r="C117" s="4" t="s">
        <v>150</v>
      </c>
      <c r="D117" s="4"/>
      <c r="E117" s="8"/>
      <c r="F117" s="6">
        <v>4262.8752039999999</v>
      </c>
      <c r="G117" s="7">
        <v>0.20304973200000001</v>
      </c>
      <c r="H117" s="53">
        <v>6.46</v>
      </c>
    </row>
    <row r="118" spans="1:8" ht="14.1" customHeight="1" x14ac:dyDescent="0.2">
      <c r="A118" s="1"/>
      <c r="B118" s="1"/>
      <c r="C118" s="2" t="s">
        <v>132</v>
      </c>
      <c r="D118" s="1"/>
      <c r="E118" s="1" t="s">
        <v>133</v>
      </c>
      <c r="F118" s="9">
        <v>4262.8752039999999</v>
      </c>
      <c r="G118" s="10">
        <v>0.20304973200000001</v>
      </c>
      <c r="H118" s="53"/>
    </row>
    <row r="119" spans="1:8" ht="14.1" customHeight="1" x14ac:dyDescent="0.2">
      <c r="A119" s="1"/>
      <c r="B119" s="1"/>
      <c r="C119" s="11"/>
      <c r="D119" s="1"/>
      <c r="E119" s="1"/>
      <c r="F119" s="12"/>
      <c r="G119" s="12"/>
      <c r="H119" s="53"/>
    </row>
    <row r="120" spans="1:8" ht="14.1" customHeight="1" x14ac:dyDescent="0.2">
      <c r="A120" s="1"/>
      <c r="B120" s="1"/>
      <c r="C120" s="2" t="s">
        <v>151</v>
      </c>
      <c r="D120" s="1"/>
      <c r="E120" s="1"/>
      <c r="F120" s="9">
        <v>4262.8752039999999</v>
      </c>
      <c r="G120" s="10">
        <v>0.20304973200000001</v>
      </c>
      <c r="H120" s="53"/>
    </row>
    <row r="121" spans="1:8" ht="14.1" customHeight="1" x14ac:dyDescent="0.2">
      <c r="A121" s="1"/>
      <c r="B121" s="1"/>
      <c r="C121" s="12"/>
      <c r="D121" s="1"/>
      <c r="E121" s="1"/>
      <c r="F121" s="1"/>
      <c r="G121" s="1"/>
      <c r="H121" s="53"/>
    </row>
    <row r="122" spans="1:8" ht="14.1" customHeight="1" x14ac:dyDescent="0.2">
      <c r="A122" s="1"/>
      <c r="B122" s="1"/>
      <c r="C122" s="2" t="s">
        <v>152</v>
      </c>
      <c r="D122" s="1"/>
      <c r="E122" s="1"/>
      <c r="F122" s="1"/>
      <c r="G122" s="1"/>
      <c r="H122" s="53"/>
    </row>
    <row r="123" spans="1:8" ht="14.1" customHeight="1" x14ac:dyDescent="0.2">
      <c r="A123" s="1"/>
      <c r="B123" s="1"/>
      <c r="C123" s="2" t="s">
        <v>153</v>
      </c>
      <c r="D123" s="1"/>
      <c r="E123" s="1"/>
      <c r="F123" s="1"/>
      <c r="G123" s="1"/>
      <c r="H123" s="53"/>
    </row>
    <row r="124" spans="1:8" ht="14.1" customHeight="1" x14ac:dyDescent="0.2">
      <c r="A124" s="1"/>
      <c r="B124" s="1"/>
      <c r="C124" s="2" t="s">
        <v>132</v>
      </c>
      <c r="D124" s="1"/>
      <c r="E124" s="1" t="s">
        <v>133</v>
      </c>
      <c r="F124" s="13">
        <v>0</v>
      </c>
      <c r="G124" s="14">
        <v>0</v>
      </c>
      <c r="H124" s="53"/>
    </row>
    <row r="125" spans="1:8" ht="14.1" customHeight="1" x14ac:dyDescent="0.2">
      <c r="A125" s="1"/>
      <c r="B125" s="1"/>
      <c r="C125" s="11"/>
      <c r="D125" s="1"/>
      <c r="E125" s="1"/>
      <c r="F125" s="12"/>
      <c r="G125" s="12"/>
      <c r="H125" s="53"/>
    </row>
    <row r="126" spans="1:8" ht="14.1" customHeight="1" x14ac:dyDescent="0.2">
      <c r="A126" s="1"/>
      <c r="B126" s="1"/>
      <c r="C126" s="2" t="s">
        <v>154</v>
      </c>
      <c r="D126" s="1"/>
      <c r="E126" s="1"/>
      <c r="F126" s="1"/>
      <c r="G126" s="1"/>
      <c r="H126" s="53"/>
    </row>
    <row r="127" spans="1:8" ht="14.1" customHeight="1" x14ac:dyDescent="0.2">
      <c r="A127" s="1"/>
      <c r="B127" s="1"/>
      <c r="C127" s="2" t="s">
        <v>155</v>
      </c>
      <c r="D127" s="1"/>
      <c r="E127" s="1"/>
      <c r="F127" s="1"/>
      <c r="G127" s="1"/>
      <c r="H127" s="53"/>
    </row>
    <row r="128" spans="1:8" ht="14.1" customHeight="1" x14ac:dyDescent="0.2">
      <c r="A128" s="1"/>
      <c r="B128" s="1"/>
      <c r="C128" s="2" t="s">
        <v>132</v>
      </c>
      <c r="D128" s="1"/>
      <c r="E128" s="1" t="s">
        <v>133</v>
      </c>
      <c r="F128" s="13">
        <v>0</v>
      </c>
      <c r="G128" s="14">
        <v>0</v>
      </c>
      <c r="H128" s="53"/>
    </row>
    <row r="129" spans="1:8" ht="14.1" customHeight="1" x14ac:dyDescent="0.2">
      <c r="A129" s="1"/>
      <c r="B129" s="1"/>
      <c r="C129" s="11"/>
      <c r="D129" s="1"/>
      <c r="E129" s="1"/>
      <c r="F129" s="12"/>
      <c r="G129" s="12"/>
      <c r="H129" s="53"/>
    </row>
    <row r="130" spans="1:8" ht="14.1" customHeight="1" x14ac:dyDescent="0.2">
      <c r="A130" s="1"/>
      <c r="B130" s="1"/>
      <c r="C130" s="11"/>
      <c r="D130" s="1"/>
      <c r="E130" s="1"/>
      <c r="F130" s="12"/>
      <c r="G130" s="12"/>
      <c r="H130" s="53"/>
    </row>
    <row r="131" spans="1:8" ht="24" customHeight="1" x14ac:dyDescent="0.2">
      <c r="A131" s="1"/>
      <c r="B131" s="1"/>
      <c r="C131" s="2" t="s">
        <v>156</v>
      </c>
      <c r="D131" s="1"/>
      <c r="E131" s="1"/>
      <c r="F131" s="12"/>
      <c r="G131" s="12"/>
      <c r="H131" s="53"/>
    </row>
    <row r="132" spans="1:8" ht="14.1" customHeight="1" x14ac:dyDescent="0.2">
      <c r="A132" s="1"/>
      <c r="B132" s="1"/>
      <c r="C132" s="2" t="s">
        <v>132</v>
      </c>
      <c r="D132" s="1"/>
      <c r="E132" s="1" t="s">
        <v>133</v>
      </c>
      <c r="F132" s="13">
        <v>0</v>
      </c>
      <c r="G132" s="14">
        <v>0</v>
      </c>
      <c r="H132" s="53"/>
    </row>
    <row r="133" spans="1:8" ht="14.1" customHeight="1" x14ac:dyDescent="0.2">
      <c r="A133" s="1"/>
      <c r="B133" s="1"/>
      <c r="C133" s="11"/>
      <c r="D133" s="1"/>
      <c r="E133" s="1"/>
      <c r="F133" s="12"/>
      <c r="G133" s="12"/>
      <c r="H133" s="53"/>
    </row>
    <row r="134" spans="1:8" ht="14.1" customHeight="1" x14ac:dyDescent="0.2">
      <c r="A134" s="1"/>
      <c r="B134" s="4"/>
      <c r="C134" s="4"/>
      <c r="D134" s="2"/>
      <c r="E134" s="1"/>
      <c r="F134" s="4"/>
      <c r="G134" s="8"/>
      <c r="H134" s="53"/>
    </row>
    <row r="135" spans="1:8" ht="18" customHeight="1" x14ac:dyDescent="0.2">
      <c r="A135" s="8"/>
      <c r="B135" s="4"/>
      <c r="C135" s="4" t="s">
        <v>157</v>
      </c>
      <c r="D135" s="4"/>
      <c r="E135" s="8"/>
      <c r="F135" s="6">
        <v>3.0046727099999999</v>
      </c>
      <c r="G135" s="7">
        <v>1.4311900000000001E-4</v>
      </c>
      <c r="H135" s="53"/>
    </row>
    <row r="136" spans="1:8" ht="14.1" customHeight="1" x14ac:dyDescent="0.2">
      <c r="A136" s="11"/>
      <c r="B136" s="11"/>
      <c r="C136" s="2" t="s">
        <v>158</v>
      </c>
      <c r="D136" s="15"/>
      <c r="E136" s="15"/>
      <c r="F136" s="9">
        <v>20994.242001210001</v>
      </c>
      <c r="G136" s="10">
        <v>1.0000000010000001</v>
      </c>
      <c r="H136" s="53"/>
    </row>
    <row r="137" spans="1:8" ht="14.1" customHeight="1" x14ac:dyDescent="0.2">
      <c r="A137" s="16"/>
      <c r="B137" s="16"/>
      <c r="C137" s="16"/>
      <c r="D137" s="17"/>
      <c r="E137" s="17"/>
      <c r="F137" s="17"/>
      <c r="G137" s="17"/>
    </row>
    <row r="138" spans="1:8" ht="14.1" customHeight="1" x14ac:dyDescent="0.2">
      <c r="A138" s="18"/>
      <c r="B138" s="292" t="s">
        <v>133</v>
      </c>
      <c r="C138" s="292"/>
      <c r="D138" s="292"/>
      <c r="E138" s="292"/>
      <c r="F138" s="292"/>
      <c r="G138" s="20"/>
    </row>
    <row r="139" spans="1:8" ht="14.1" customHeight="1" x14ac:dyDescent="0.2">
      <c r="A139" s="18"/>
      <c r="B139" s="292" t="s">
        <v>133</v>
      </c>
      <c r="C139" s="292"/>
      <c r="D139" s="292"/>
      <c r="E139" s="292"/>
      <c r="F139" s="292"/>
      <c r="G139" s="20"/>
    </row>
    <row r="140" spans="1:8" ht="14.1" customHeight="1" x14ac:dyDescent="0.2">
      <c r="A140" s="18"/>
      <c r="B140" s="18"/>
      <c r="C140" s="18"/>
      <c r="D140" s="20"/>
      <c r="E140" s="20"/>
      <c r="F140" s="20"/>
      <c r="G140" s="20"/>
    </row>
    <row r="141" spans="1:8" ht="14.1" customHeight="1" x14ac:dyDescent="0.2">
      <c r="A141" s="18"/>
      <c r="B141" s="293" t="s">
        <v>160</v>
      </c>
      <c r="C141" s="294"/>
      <c r="D141" s="12" t="s">
        <v>133</v>
      </c>
      <c r="E141" s="21"/>
      <c r="F141" s="20"/>
      <c r="G141" s="20"/>
    </row>
    <row r="142" spans="1:8" ht="29.1" customHeight="1" x14ac:dyDescent="0.2">
      <c r="A142" s="18"/>
      <c r="B142" s="290" t="s">
        <v>161</v>
      </c>
      <c r="C142" s="291"/>
      <c r="D142" s="2" t="s">
        <v>162</v>
      </c>
      <c r="E142" s="21"/>
      <c r="F142" s="20"/>
      <c r="G142" s="20"/>
    </row>
    <row r="143" spans="1:8" ht="17.100000000000001" customHeight="1" x14ac:dyDescent="0.2">
      <c r="A143" s="18"/>
      <c r="B143" s="290" t="s">
        <v>163</v>
      </c>
      <c r="C143" s="291"/>
      <c r="D143" s="2" t="s">
        <v>162</v>
      </c>
      <c r="E143" s="21"/>
      <c r="F143" s="20"/>
      <c r="G143" s="20"/>
    </row>
    <row r="144" spans="1:8" ht="17.100000000000001" customHeight="1" x14ac:dyDescent="0.2">
      <c r="A144" s="18"/>
      <c r="B144" s="290" t="s">
        <v>164</v>
      </c>
      <c r="C144" s="291"/>
      <c r="D144" s="12" t="s">
        <v>133</v>
      </c>
      <c r="E144" s="21"/>
      <c r="F144" s="20"/>
      <c r="G144" s="20"/>
    </row>
    <row r="145" spans="1:7" ht="24" customHeight="1" x14ac:dyDescent="0.2">
      <c r="A145" s="22"/>
      <c r="B145" s="23" t="s">
        <v>133</v>
      </c>
      <c r="C145" s="23" t="s">
        <v>165</v>
      </c>
      <c r="D145" s="23" t="s">
        <v>166</v>
      </c>
      <c r="E145" s="22"/>
      <c r="F145" s="22"/>
      <c r="G145" s="22"/>
    </row>
    <row r="146" spans="1:7" ht="18" customHeight="1" x14ac:dyDescent="0.2">
      <c r="A146" s="22"/>
      <c r="B146" s="23" t="s">
        <v>167</v>
      </c>
      <c r="C146" s="23" t="s">
        <v>168</v>
      </c>
      <c r="D146" s="23" t="s">
        <v>169</v>
      </c>
      <c r="E146" s="22"/>
      <c r="F146" s="22"/>
      <c r="G146" s="22"/>
    </row>
    <row r="147" spans="1:7" ht="17.100000000000001" customHeight="1" x14ac:dyDescent="0.2">
      <c r="A147" s="22"/>
      <c r="B147" s="4" t="s">
        <v>170</v>
      </c>
      <c r="C147" s="24">
        <v>20.625599999999999</v>
      </c>
      <c r="D147" s="24">
        <v>20.011600000000001</v>
      </c>
      <c r="E147" s="22"/>
      <c r="F147" s="19"/>
      <c r="G147" s="25"/>
    </row>
    <row r="148" spans="1:7" ht="17.100000000000001" customHeight="1" x14ac:dyDescent="0.2">
      <c r="A148" s="22"/>
      <c r="B148" s="4" t="s">
        <v>1042</v>
      </c>
      <c r="C148" s="24">
        <v>19.889600000000002</v>
      </c>
      <c r="D148" s="24">
        <v>19.297499999999999</v>
      </c>
      <c r="E148" s="22"/>
      <c r="F148" s="19"/>
      <c r="G148" s="25"/>
    </row>
    <row r="149" spans="1:7" ht="17.100000000000001" customHeight="1" x14ac:dyDescent="0.2">
      <c r="A149" s="22"/>
      <c r="B149" s="4" t="s">
        <v>171</v>
      </c>
      <c r="C149" s="24">
        <v>19.915199999999999</v>
      </c>
      <c r="D149" s="24">
        <v>19.3125</v>
      </c>
      <c r="E149" s="22"/>
      <c r="F149" s="19"/>
      <c r="G149" s="25"/>
    </row>
    <row r="150" spans="1:7" ht="17.100000000000001" customHeight="1" x14ac:dyDescent="0.2">
      <c r="A150" s="22"/>
      <c r="B150" s="4" t="s">
        <v>1043</v>
      </c>
      <c r="C150" s="24">
        <v>19.1861</v>
      </c>
      <c r="D150" s="24">
        <v>18.605499999999999</v>
      </c>
      <c r="E150" s="22"/>
      <c r="F150" s="19"/>
      <c r="G150" s="25"/>
    </row>
    <row r="151" spans="1:7" ht="14.1" customHeight="1" x14ac:dyDescent="0.2">
      <c r="A151" s="22"/>
      <c r="B151" s="22"/>
      <c r="C151" s="22"/>
      <c r="D151" s="22"/>
      <c r="E151" s="22"/>
      <c r="F151" s="22"/>
      <c r="G151" s="22"/>
    </row>
    <row r="152" spans="1:7" ht="17.100000000000001" customHeight="1" x14ac:dyDescent="0.2">
      <c r="A152" s="22"/>
      <c r="B152" s="290" t="s">
        <v>1044</v>
      </c>
      <c r="C152" s="291"/>
      <c r="D152" s="2" t="s">
        <v>162</v>
      </c>
      <c r="E152" s="22"/>
      <c r="F152" s="22"/>
      <c r="G152" s="22"/>
    </row>
    <row r="153" spans="1:7" ht="18" customHeight="1" x14ac:dyDescent="0.2">
      <c r="A153" s="22"/>
      <c r="B153" s="26"/>
      <c r="C153" s="26"/>
      <c r="D153" s="27"/>
      <c r="E153" s="22"/>
      <c r="F153" s="22"/>
      <c r="G153" s="22"/>
    </row>
    <row r="154" spans="1:7" ht="29.1" customHeight="1" x14ac:dyDescent="0.2">
      <c r="A154" s="22"/>
      <c r="B154" s="290" t="s">
        <v>172</v>
      </c>
      <c r="C154" s="291"/>
      <c r="D154" s="2" t="s">
        <v>162</v>
      </c>
      <c r="E154" s="22"/>
      <c r="F154" s="22"/>
      <c r="G154" s="22"/>
    </row>
    <row r="155" spans="1:7" ht="29.1" customHeight="1" x14ac:dyDescent="0.2">
      <c r="A155" s="22"/>
      <c r="B155" s="290" t="s">
        <v>173</v>
      </c>
      <c r="C155" s="291"/>
      <c r="D155" s="2" t="s">
        <v>162</v>
      </c>
      <c r="E155" s="22"/>
      <c r="F155" s="22"/>
      <c r="G155" s="22"/>
    </row>
    <row r="156" spans="1:7" ht="17.100000000000001" customHeight="1" x14ac:dyDescent="0.2">
      <c r="A156" s="22"/>
      <c r="B156" s="290" t="s">
        <v>174</v>
      </c>
      <c r="C156" s="291"/>
      <c r="D156" s="28">
        <v>0.21262178540980281</v>
      </c>
      <c r="E156" s="22"/>
      <c r="F156" s="19"/>
      <c r="G156" s="25"/>
    </row>
    <row r="157" spans="1:7" ht="17.100000000000001" customHeight="1" x14ac:dyDescent="0.2">
      <c r="A157" s="22"/>
      <c r="B157" s="290" t="s">
        <v>175</v>
      </c>
      <c r="C157" s="291"/>
      <c r="D157" s="2" t="s">
        <v>162</v>
      </c>
      <c r="E157" s="22"/>
      <c r="F157" s="22"/>
      <c r="G157" s="22"/>
    </row>
    <row r="164" spans="10:15" x14ac:dyDescent="0.2">
      <c r="J164" s="189"/>
      <c r="K164" s="189"/>
      <c r="L164" s="189"/>
      <c r="M164" s="189"/>
      <c r="N164" s="189"/>
      <c r="O164" s="189"/>
    </row>
  </sheetData>
  <mergeCells count="15">
    <mergeCell ref="B156:C156"/>
    <mergeCell ref="B157:C157"/>
    <mergeCell ref="B142:C142"/>
    <mergeCell ref="B143:C143"/>
    <mergeCell ref="B144:C144"/>
    <mergeCell ref="B152:C152"/>
    <mergeCell ref="B154:C154"/>
    <mergeCell ref="B155:C155"/>
    <mergeCell ref="A1:H1"/>
    <mergeCell ref="A2:H2"/>
    <mergeCell ref="A3:H3"/>
    <mergeCell ref="J2:N2"/>
    <mergeCell ref="B141:C141"/>
    <mergeCell ref="B138:F138"/>
    <mergeCell ref="B139:F139"/>
  </mergeCells>
  <hyperlinks>
    <hyperlink ref="I1" location="Index!B10" display="Index" xr:uid="{FA390733-4163-436D-AADB-E9C0F728D71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6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460</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381</v>
      </c>
      <c r="C7" s="4" t="s">
        <v>382</v>
      </c>
      <c r="D7" s="4" t="s">
        <v>116</v>
      </c>
      <c r="E7" s="5">
        <v>17407</v>
      </c>
      <c r="F7" s="6">
        <v>292.90758899999997</v>
      </c>
      <c r="G7" s="7">
        <v>3.6719225000000001E-2</v>
      </c>
      <c r="H7" s="53"/>
    </row>
    <row r="8" spans="1:14" ht="17.100000000000001" customHeight="1" x14ac:dyDescent="0.2">
      <c r="A8" s="3">
        <v>2</v>
      </c>
      <c r="B8" s="4" t="s">
        <v>374</v>
      </c>
      <c r="C8" s="4" t="s">
        <v>375</v>
      </c>
      <c r="D8" s="4" t="s">
        <v>119</v>
      </c>
      <c r="E8" s="5">
        <v>210200</v>
      </c>
      <c r="F8" s="6">
        <v>263.48570000000001</v>
      </c>
      <c r="G8" s="7">
        <v>3.3030864E-2</v>
      </c>
      <c r="H8" s="53"/>
    </row>
    <row r="9" spans="1:14" ht="17.100000000000001" customHeight="1" x14ac:dyDescent="0.2">
      <c r="A9" s="3">
        <v>3</v>
      </c>
      <c r="B9" s="4" t="s">
        <v>83</v>
      </c>
      <c r="C9" s="4" t="s">
        <v>84</v>
      </c>
      <c r="D9" s="4" t="s">
        <v>33</v>
      </c>
      <c r="E9" s="5">
        <v>16493</v>
      </c>
      <c r="F9" s="6">
        <v>241.572971</v>
      </c>
      <c r="G9" s="7">
        <v>3.0283859999999999E-2</v>
      </c>
      <c r="H9" s="53"/>
    </row>
    <row r="10" spans="1:14" ht="17.100000000000001" customHeight="1" x14ac:dyDescent="0.2">
      <c r="A10" s="3">
        <v>4</v>
      </c>
      <c r="B10" s="4" t="s">
        <v>31</v>
      </c>
      <c r="C10" s="4" t="s">
        <v>32</v>
      </c>
      <c r="D10" s="4" t="s">
        <v>33</v>
      </c>
      <c r="E10" s="5">
        <v>12093</v>
      </c>
      <c r="F10" s="6">
        <v>233.854434</v>
      </c>
      <c r="G10" s="7">
        <v>2.9316254999999999E-2</v>
      </c>
      <c r="H10" s="53"/>
    </row>
    <row r="11" spans="1:14" ht="17.100000000000001" customHeight="1" x14ac:dyDescent="0.2">
      <c r="A11" s="3">
        <v>5</v>
      </c>
      <c r="B11" s="4" t="s">
        <v>114</v>
      </c>
      <c r="C11" s="4" t="s">
        <v>115</v>
      </c>
      <c r="D11" s="4" t="s">
        <v>116</v>
      </c>
      <c r="E11" s="5">
        <v>65263</v>
      </c>
      <c r="F11" s="6">
        <v>220.16473049999999</v>
      </c>
      <c r="G11" s="7">
        <v>2.7600098E-2</v>
      </c>
      <c r="H11" s="53"/>
    </row>
    <row r="12" spans="1:14" ht="17.100000000000001" customHeight="1" x14ac:dyDescent="0.2">
      <c r="A12" s="3">
        <v>6</v>
      </c>
      <c r="B12" s="4" t="s">
        <v>438</v>
      </c>
      <c r="C12" s="4" t="s">
        <v>439</v>
      </c>
      <c r="D12" s="4" t="s">
        <v>900</v>
      </c>
      <c r="E12" s="5">
        <v>31217</v>
      </c>
      <c r="F12" s="6">
        <v>219.84572249999999</v>
      </c>
      <c r="G12" s="7">
        <v>2.7560107E-2</v>
      </c>
      <c r="H12" s="53"/>
    </row>
    <row r="13" spans="1:14" ht="29.1" customHeight="1" x14ac:dyDescent="0.2">
      <c r="A13" s="3">
        <v>7</v>
      </c>
      <c r="B13" s="4" t="s">
        <v>191</v>
      </c>
      <c r="C13" s="4" t="s">
        <v>192</v>
      </c>
      <c r="D13" s="4" t="s">
        <v>116</v>
      </c>
      <c r="E13" s="5">
        <v>61313</v>
      </c>
      <c r="F13" s="6">
        <v>206.2875885</v>
      </c>
      <c r="G13" s="7">
        <v>2.5860444E-2</v>
      </c>
      <c r="H13" s="53"/>
      <c r="J13" s="188" t="s">
        <v>1081</v>
      </c>
    </row>
    <row r="14" spans="1:14" ht="17.100000000000001" customHeight="1" x14ac:dyDescent="0.2">
      <c r="A14" s="3">
        <v>8</v>
      </c>
      <c r="B14" s="4" t="s">
        <v>36</v>
      </c>
      <c r="C14" s="4" t="s">
        <v>37</v>
      </c>
      <c r="D14" s="4" t="s">
        <v>33</v>
      </c>
      <c r="E14" s="5">
        <v>10555</v>
      </c>
      <c r="F14" s="6">
        <v>188.26425750000001</v>
      </c>
      <c r="G14" s="7">
        <v>2.3601019000000001E-2</v>
      </c>
      <c r="H14" s="53"/>
    </row>
    <row r="15" spans="1:14" ht="29.1" customHeight="1" x14ac:dyDescent="0.2">
      <c r="A15" s="3">
        <v>9</v>
      </c>
      <c r="B15" s="4" t="s">
        <v>197</v>
      </c>
      <c r="C15" s="4" t="s">
        <v>198</v>
      </c>
      <c r="D15" s="4" t="s">
        <v>199</v>
      </c>
      <c r="E15" s="5">
        <v>4390</v>
      </c>
      <c r="F15" s="6">
        <v>178.640075</v>
      </c>
      <c r="G15" s="7">
        <v>2.2394521000000001E-2</v>
      </c>
      <c r="H15" s="53"/>
    </row>
    <row r="16" spans="1:14" ht="17.100000000000001" customHeight="1" x14ac:dyDescent="0.2">
      <c r="A16" s="3">
        <v>10</v>
      </c>
      <c r="B16" s="4" t="s">
        <v>301</v>
      </c>
      <c r="C16" s="4" t="s">
        <v>302</v>
      </c>
      <c r="D16" s="4" t="s">
        <v>234</v>
      </c>
      <c r="E16" s="5">
        <v>34698</v>
      </c>
      <c r="F16" s="6">
        <v>173.35120800000001</v>
      </c>
      <c r="G16" s="7">
        <v>2.1731502999999999E-2</v>
      </c>
      <c r="H16" s="53"/>
    </row>
    <row r="17" spans="1:8" ht="17.100000000000001" customHeight="1" x14ac:dyDescent="0.2">
      <c r="A17" s="3">
        <v>11</v>
      </c>
      <c r="B17" s="4" t="s">
        <v>379</v>
      </c>
      <c r="C17" s="4" t="s">
        <v>380</v>
      </c>
      <c r="D17" s="4" t="s">
        <v>33</v>
      </c>
      <c r="E17" s="5">
        <v>19221</v>
      </c>
      <c r="F17" s="6">
        <v>162.9268065</v>
      </c>
      <c r="G17" s="7">
        <v>2.0424688E-2</v>
      </c>
      <c r="H17" s="53"/>
    </row>
    <row r="18" spans="1:8" ht="17.100000000000001" customHeight="1" x14ac:dyDescent="0.2">
      <c r="A18" s="3">
        <v>12</v>
      </c>
      <c r="B18" s="4" t="s">
        <v>312</v>
      </c>
      <c r="C18" s="4" t="s">
        <v>313</v>
      </c>
      <c r="D18" s="4" t="s">
        <v>224</v>
      </c>
      <c r="E18" s="5">
        <v>12162</v>
      </c>
      <c r="F18" s="6">
        <v>162.642426</v>
      </c>
      <c r="G18" s="7">
        <v>2.0389038000000002E-2</v>
      </c>
      <c r="H18" s="53"/>
    </row>
    <row r="19" spans="1:8" ht="17.100000000000001" customHeight="1" x14ac:dyDescent="0.2">
      <c r="A19" s="3">
        <v>13</v>
      </c>
      <c r="B19" s="4" t="s">
        <v>434</v>
      </c>
      <c r="C19" s="4" t="s">
        <v>435</v>
      </c>
      <c r="D19" s="4" t="s">
        <v>96</v>
      </c>
      <c r="E19" s="5">
        <v>11320</v>
      </c>
      <c r="F19" s="6">
        <v>161.02699999999999</v>
      </c>
      <c r="G19" s="7">
        <v>2.0186526E-2</v>
      </c>
      <c r="H19" s="53"/>
    </row>
    <row r="20" spans="1:8" ht="17.100000000000001" customHeight="1" x14ac:dyDescent="0.2">
      <c r="A20" s="3">
        <v>14</v>
      </c>
      <c r="B20" s="4" t="s">
        <v>283</v>
      </c>
      <c r="C20" s="4" t="s">
        <v>284</v>
      </c>
      <c r="D20" s="4" t="s">
        <v>22</v>
      </c>
      <c r="E20" s="5">
        <v>66963</v>
      </c>
      <c r="F20" s="6">
        <v>157.4634945</v>
      </c>
      <c r="G20" s="7">
        <v>1.9739801000000001E-2</v>
      </c>
      <c r="H20" s="53"/>
    </row>
    <row r="21" spans="1:8" ht="17.100000000000001" customHeight="1" x14ac:dyDescent="0.2">
      <c r="A21" s="3">
        <v>15</v>
      </c>
      <c r="B21" s="4" t="s">
        <v>205</v>
      </c>
      <c r="C21" s="4" t="s">
        <v>206</v>
      </c>
      <c r="D21" s="4" t="s">
        <v>900</v>
      </c>
      <c r="E21" s="5">
        <v>3812</v>
      </c>
      <c r="F21" s="6">
        <v>147.558708</v>
      </c>
      <c r="G21" s="7">
        <v>1.8498126E-2</v>
      </c>
      <c r="H21" s="53"/>
    </row>
    <row r="22" spans="1:8" ht="17.100000000000001" customHeight="1" x14ac:dyDescent="0.2">
      <c r="A22" s="3">
        <v>16</v>
      </c>
      <c r="B22" s="4" t="s">
        <v>383</v>
      </c>
      <c r="C22" s="4" t="s">
        <v>384</v>
      </c>
      <c r="D22" s="4" t="s">
        <v>901</v>
      </c>
      <c r="E22" s="5">
        <v>13510</v>
      </c>
      <c r="F22" s="6">
        <v>146.27952500000001</v>
      </c>
      <c r="G22" s="7">
        <v>1.8337765999999998E-2</v>
      </c>
      <c r="H22" s="53"/>
    </row>
    <row r="23" spans="1:8" ht="17.100000000000001" customHeight="1" x14ac:dyDescent="0.2">
      <c r="A23" s="3">
        <v>17</v>
      </c>
      <c r="B23" s="4" t="s">
        <v>363</v>
      </c>
      <c r="C23" s="4" t="s">
        <v>364</v>
      </c>
      <c r="D23" s="4" t="s">
        <v>116</v>
      </c>
      <c r="E23" s="5">
        <v>27636</v>
      </c>
      <c r="F23" s="6">
        <v>142.18722</v>
      </c>
      <c r="G23" s="7">
        <v>1.782475E-2</v>
      </c>
      <c r="H23" s="53"/>
    </row>
    <row r="24" spans="1:8" ht="17.100000000000001" customHeight="1" x14ac:dyDescent="0.2">
      <c r="A24" s="3">
        <v>18</v>
      </c>
      <c r="B24" s="4" t="s">
        <v>420</v>
      </c>
      <c r="C24" s="4" t="s">
        <v>421</v>
      </c>
      <c r="D24" s="4" t="s">
        <v>224</v>
      </c>
      <c r="E24" s="5">
        <v>17350</v>
      </c>
      <c r="F24" s="6">
        <v>136.9956</v>
      </c>
      <c r="G24" s="7">
        <v>1.7173923000000001E-2</v>
      </c>
      <c r="H24" s="53"/>
    </row>
    <row r="25" spans="1:8" ht="17.100000000000001" customHeight="1" x14ac:dyDescent="0.2">
      <c r="A25" s="3">
        <v>19</v>
      </c>
      <c r="B25" s="4" t="s">
        <v>318</v>
      </c>
      <c r="C25" s="4" t="s">
        <v>319</v>
      </c>
      <c r="D25" s="4" t="s">
        <v>320</v>
      </c>
      <c r="E25" s="5">
        <v>10225</v>
      </c>
      <c r="F25" s="6">
        <v>134.08553749999999</v>
      </c>
      <c r="G25" s="7">
        <v>1.6809114E-2</v>
      </c>
      <c r="H25" s="53"/>
    </row>
    <row r="26" spans="1:8" ht="17.100000000000001" customHeight="1" x14ac:dyDescent="0.2">
      <c r="A26" s="3">
        <v>20</v>
      </c>
      <c r="B26" s="4" t="s">
        <v>436</v>
      </c>
      <c r="C26" s="4" t="s">
        <v>437</v>
      </c>
      <c r="D26" s="4" t="s">
        <v>237</v>
      </c>
      <c r="E26" s="5">
        <v>46520</v>
      </c>
      <c r="F26" s="6">
        <v>133.72174000000001</v>
      </c>
      <c r="G26" s="7">
        <v>1.6763508E-2</v>
      </c>
      <c r="H26" s="53"/>
    </row>
    <row r="27" spans="1:8" ht="17.100000000000001" customHeight="1" x14ac:dyDescent="0.2">
      <c r="A27" s="3">
        <v>21</v>
      </c>
      <c r="B27" s="4" t="s">
        <v>405</v>
      </c>
      <c r="C27" s="4" t="s">
        <v>406</v>
      </c>
      <c r="D27" s="4" t="s">
        <v>320</v>
      </c>
      <c r="E27" s="5">
        <v>8355</v>
      </c>
      <c r="F27" s="6">
        <v>129.85341</v>
      </c>
      <c r="G27" s="7">
        <v>1.6278569999999999E-2</v>
      </c>
      <c r="H27" s="53"/>
    </row>
    <row r="28" spans="1:8" ht="17.100000000000001" customHeight="1" x14ac:dyDescent="0.2">
      <c r="A28" s="3">
        <v>22</v>
      </c>
      <c r="B28" s="4" t="s">
        <v>365</v>
      </c>
      <c r="C28" s="4" t="s">
        <v>366</v>
      </c>
      <c r="D28" s="4" t="s">
        <v>119</v>
      </c>
      <c r="E28" s="5">
        <v>23973</v>
      </c>
      <c r="F28" s="6">
        <v>128.26753650000001</v>
      </c>
      <c r="G28" s="7">
        <v>1.6079763E-2</v>
      </c>
      <c r="H28" s="53"/>
    </row>
    <row r="29" spans="1:8" ht="29.1" customHeight="1" x14ac:dyDescent="0.2">
      <c r="A29" s="3">
        <v>23</v>
      </c>
      <c r="B29" s="4" t="s">
        <v>68</v>
      </c>
      <c r="C29" s="4" t="s">
        <v>69</v>
      </c>
      <c r="D29" s="4" t="s">
        <v>25</v>
      </c>
      <c r="E29" s="5">
        <v>4064</v>
      </c>
      <c r="F29" s="6">
        <v>118.693184</v>
      </c>
      <c r="G29" s="7">
        <v>1.4879511E-2</v>
      </c>
      <c r="H29" s="53"/>
    </row>
    <row r="30" spans="1:8" ht="29.1" customHeight="1" x14ac:dyDescent="0.2">
      <c r="A30" s="3">
        <v>24</v>
      </c>
      <c r="B30" s="4" t="s">
        <v>401</v>
      </c>
      <c r="C30" s="4" t="s">
        <v>402</v>
      </c>
      <c r="D30" s="4" t="s">
        <v>227</v>
      </c>
      <c r="E30" s="5">
        <v>25867</v>
      </c>
      <c r="F30" s="6">
        <v>105.18815549999999</v>
      </c>
      <c r="G30" s="7">
        <v>1.3186506000000001E-2</v>
      </c>
      <c r="H30" s="53"/>
    </row>
    <row r="31" spans="1:8" ht="29.1" customHeight="1" x14ac:dyDescent="0.2">
      <c r="A31" s="3">
        <v>25</v>
      </c>
      <c r="B31" s="4" t="s">
        <v>387</v>
      </c>
      <c r="C31" s="4" t="s">
        <v>388</v>
      </c>
      <c r="D31" s="4" t="s">
        <v>65</v>
      </c>
      <c r="E31" s="5">
        <v>6442</v>
      </c>
      <c r="F31" s="6">
        <v>104.19935</v>
      </c>
      <c r="G31" s="7">
        <v>1.3062548E-2</v>
      </c>
      <c r="H31" s="53"/>
    </row>
    <row r="32" spans="1:8" ht="17.100000000000001" customHeight="1" x14ac:dyDescent="0.2">
      <c r="A32" s="3">
        <v>26</v>
      </c>
      <c r="B32" s="4" t="s">
        <v>230</v>
      </c>
      <c r="C32" s="4" t="s">
        <v>231</v>
      </c>
      <c r="D32" s="4" t="s">
        <v>87</v>
      </c>
      <c r="E32" s="5">
        <v>2040</v>
      </c>
      <c r="F32" s="6">
        <v>102.07752000000001</v>
      </c>
      <c r="G32" s="7">
        <v>1.2796553E-2</v>
      </c>
      <c r="H32" s="53"/>
    </row>
    <row r="33" spans="1:8" ht="29.1" customHeight="1" x14ac:dyDescent="0.2">
      <c r="A33" s="3">
        <v>27</v>
      </c>
      <c r="B33" s="4" t="s">
        <v>225</v>
      </c>
      <c r="C33" s="4" t="s">
        <v>226</v>
      </c>
      <c r="D33" s="4" t="s">
        <v>227</v>
      </c>
      <c r="E33" s="5">
        <v>26473</v>
      </c>
      <c r="F33" s="6">
        <v>99.339932500000003</v>
      </c>
      <c r="G33" s="7">
        <v>1.2453366E-2</v>
      </c>
      <c r="H33" s="53"/>
    </row>
    <row r="34" spans="1:8" ht="17.100000000000001" customHeight="1" x14ac:dyDescent="0.2">
      <c r="A34" s="3">
        <v>28</v>
      </c>
      <c r="B34" s="4" t="s">
        <v>442</v>
      </c>
      <c r="C34" s="4" t="s">
        <v>443</v>
      </c>
      <c r="D34" s="4" t="s">
        <v>119</v>
      </c>
      <c r="E34" s="5">
        <v>121452</v>
      </c>
      <c r="F34" s="6">
        <v>98.740476000000001</v>
      </c>
      <c r="G34" s="7">
        <v>1.2378217E-2</v>
      </c>
      <c r="H34" s="53"/>
    </row>
    <row r="35" spans="1:8" ht="29.1" customHeight="1" x14ac:dyDescent="0.2">
      <c r="A35" s="3">
        <v>29</v>
      </c>
      <c r="B35" s="4" t="s">
        <v>407</v>
      </c>
      <c r="C35" s="4" t="s">
        <v>408</v>
      </c>
      <c r="D35" s="4" t="s">
        <v>51</v>
      </c>
      <c r="E35" s="5">
        <v>4415</v>
      </c>
      <c r="F35" s="6">
        <v>98.4169725</v>
      </c>
      <c r="G35" s="7">
        <v>1.2337661999999999E-2</v>
      </c>
      <c r="H35" s="53"/>
    </row>
    <row r="36" spans="1:8" ht="17.100000000000001" customHeight="1" x14ac:dyDescent="0.2">
      <c r="A36" s="3">
        <v>30</v>
      </c>
      <c r="B36" s="4" t="s">
        <v>29</v>
      </c>
      <c r="C36" s="4" t="s">
        <v>30</v>
      </c>
      <c r="D36" s="4" t="s">
        <v>19</v>
      </c>
      <c r="E36" s="5">
        <v>15608</v>
      </c>
      <c r="F36" s="6">
        <v>95.786295999999993</v>
      </c>
      <c r="G36" s="7">
        <v>1.2007878E-2</v>
      </c>
      <c r="H36" s="53"/>
    </row>
    <row r="37" spans="1:8" ht="17.100000000000001" customHeight="1" x14ac:dyDescent="0.2">
      <c r="A37" s="3">
        <v>31</v>
      </c>
      <c r="B37" s="4" t="s">
        <v>458</v>
      </c>
      <c r="C37" s="4" t="s">
        <v>459</v>
      </c>
      <c r="D37" s="4" t="s">
        <v>901</v>
      </c>
      <c r="E37" s="5">
        <v>11291</v>
      </c>
      <c r="F37" s="6">
        <v>91.575655499999996</v>
      </c>
      <c r="G37" s="7">
        <v>1.1480027E-2</v>
      </c>
      <c r="H37" s="53"/>
    </row>
    <row r="38" spans="1:8" ht="17.100000000000001" customHeight="1" x14ac:dyDescent="0.2">
      <c r="A38" s="3">
        <v>32</v>
      </c>
      <c r="B38" s="4" t="s">
        <v>389</v>
      </c>
      <c r="C38" s="4" t="s">
        <v>390</v>
      </c>
      <c r="D38" s="4" t="s">
        <v>119</v>
      </c>
      <c r="E38" s="5">
        <v>12330</v>
      </c>
      <c r="F38" s="6">
        <v>90.212445000000002</v>
      </c>
      <c r="G38" s="7">
        <v>1.1309134E-2</v>
      </c>
      <c r="H38" s="53"/>
    </row>
    <row r="39" spans="1:8" ht="17.100000000000001" customHeight="1" x14ac:dyDescent="0.2">
      <c r="A39" s="3">
        <v>33</v>
      </c>
      <c r="B39" s="4" t="s">
        <v>34</v>
      </c>
      <c r="C39" s="4" t="s">
        <v>35</v>
      </c>
      <c r="D39" s="4" t="s">
        <v>33</v>
      </c>
      <c r="E39" s="5">
        <v>2121</v>
      </c>
      <c r="F39" s="6">
        <v>87.812581499999993</v>
      </c>
      <c r="G39" s="7">
        <v>1.1008284E-2</v>
      </c>
      <c r="H39" s="53"/>
    </row>
    <row r="40" spans="1:8" ht="29.1" customHeight="1" x14ac:dyDescent="0.2">
      <c r="A40" s="3">
        <v>34</v>
      </c>
      <c r="B40" s="4" t="s">
        <v>450</v>
      </c>
      <c r="C40" s="4" t="s">
        <v>451</v>
      </c>
      <c r="D40" s="4" t="s">
        <v>430</v>
      </c>
      <c r="E40" s="5">
        <v>16397</v>
      </c>
      <c r="F40" s="6">
        <v>86.830313500000003</v>
      </c>
      <c r="G40" s="7">
        <v>1.0885146E-2</v>
      </c>
      <c r="H40" s="53"/>
    </row>
    <row r="41" spans="1:8" ht="17.100000000000001" customHeight="1" x14ac:dyDescent="0.2">
      <c r="A41" s="3">
        <v>35</v>
      </c>
      <c r="B41" s="4" t="s">
        <v>454</v>
      </c>
      <c r="C41" s="4" t="s">
        <v>455</v>
      </c>
      <c r="D41" s="4" t="s">
        <v>45</v>
      </c>
      <c r="E41" s="5">
        <v>31981</v>
      </c>
      <c r="F41" s="6">
        <v>86.444642999999999</v>
      </c>
      <c r="G41" s="7">
        <v>1.0836798E-2</v>
      </c>
      <c r="H41" s="53"/>
    </row>
    <row r="42" spans="1:8" ht="53.1" customHeight="1" x14ac:dyDescent="0.2">
      <c r="A42" s="3">
        <v>36</v>
      </c>
      <c r="B42" s="4" t="s">
        <v>444</v>
      </c>
      <c r="C42" s="4" t="s">
        <v>445</v>
      </c>
      <c r="D42" s="4" t="s">
        <v>48</v>
      </c>
      <c r="E42" s="5">
        <v>28232</v>
      </c>
      <c r="F42" s="6">
        <v>85.782932000000002</v>
      </c>
      <c r="G42" s="7">
        <v>1.0753845E-2</v>
      </c>
      <c r="H42" s="53"/>
    </row>
    <row r="43" spans="1:8" ht="17.100000000000001" customHeight="1" x14ac:dyDescent="0.2">
      <c r="A43" s="3">
        <v>37</v>
      </c>
      <c r="B43" s="4" t="s">
        <v>412</v>
      </c>
      <c r="C43" s="4" t="s">
        <v>413</v>
      </c>
      <c r="D43" s="4" t="s">
        <v>33</v>
      </c>
      <c r="E43" s="5">
        <v>9582</v>
      </c>
      <c r="F43" s="6">
        <v>83.861664000000005</v>
      </c>
      <c r="G43" s="7">
        <v>1.0512993E-2</v>
      </c>
      <c r="H43" s="53"/>
    </row>
    <row r="44" spans="1:8" ht="17.100000000000001" customHeight="1" x14ac:dyDescent="0.2">
      <c r="A44" s="3">
        <v>38</v>
      </c>
      <c r="B44" s="4" t="s">
        <v>448</v>
      </c>
      <c r="C44" s="4" t="s">
        <v>449</v>
      </c>
      <c r="D44" s="4" t="s">
        <v>13</v>
      </c>
      <c r="E44" s="5">
        <v>15004</v>
      </c>
      <c r="F44" s="6">
        <v>83.857355999999996</v>
      </c>
      <c r="G44" s="7">
        <v>1.0512453E-2</v>
      </c>
      <c r="H44" s="53"/>
    </row>
    <row r="45" spans="1:8" ht="29.1" customHeight="1" x14ac:dyDescent="0.2">
      <c r="A45" s="3">
        <v>39</v>
      </c>
      <c r="B45" s="4" t="s">
        <v>428</v>
      </c>
      <c r="C45" s="4" t="s">
        <v>429</v>
      </c>
      <c r="D45" s="4" t="s">
        <v>430</v>
      </c>
      <c r="E45" s="5">
        <v>14150</v>
      </c>
      <c r="F45" s="6">
        <v>80.449825000000004</v>
      </c>
      <c r="G45" s="7">
        <v>1.0085281E-2</v>
      </c>
      <c r="H45" s="53"/>
    </row>
    <row r="46" spans="1:8" ht="17.100000000000001" customHeight="1" x14ac:dyDescent="0.2">
      <c r="A46" s="3">
        <v>40</v>
      </c>
      <c r="B46" s="4" t="s">
        <v>403</v>
      </c>
      <c r="C46" s="4" t="s">
        <v>404</v>
      </c>
      <c r="D46" s="4" t="s">
        <v>13</v>
      </c>
      <c r="E46" s="5">
        <v>88984</v>
      </c>
      <c r="F46" s="6">
        <v>79.774156000000005</v>
      </c>
      <c r="G46" s="7">
        <v>1.0000578E-2</v>
      </c>
      <c r="H46" s="53"/>
    </row>
    <row r="47" spans="1:8" ht="17.100000000000001" customHeight="1" x14ac:dyDescent="0.2">
      <c r="A47" s="3">
        <v>41</v>
      </c>
      <c r="B47" s="4" t="s">
        <v>440</v>
      </c>
      <c r="C47" s="4" t="s">
        <v>441</v>
      </c>
      <c r="D47" s="4" t="s">
        <v>116</v>
      </c>
      <c r="E47" s="5">
        <v>6623</v>
      </c>
      <c r="F47" s="6">
        <v>79.446196499999999</v>
      </c>
      <c r="G47" s="7">
        <v>9.9594650000000007E-3</v>
      </c>
      <c r="H47" s="53"/>
    </row>
    <row r="48" spans="1:8" ht="29.1" customHeight="1" x14ac:dyDescent="0.2">
      <c r="A48" s="3">
        <v>42</v>
      </c>
      <c r="B48" s="4" t="s">
        <v>418</v>
      </c>
      <c r="C48" s="4" t="s">
        <v>419</v>
      </c>
      <c r="D48" s="4" t="s">
        <v>227</v>
      </c>
      <c r="E48" s="5">
        <v>3920</v>
      </c>
      <c r="F48" s="6">
        <v>76.224400000000003</v>
      </c>
      <c r="G48" s="7">
        <v>9.5555770000000009E-3</v>
      </c>
      <c r="H48" s="53"/>
    </row>
    <row r="49" spans="1:8" ht="29.1" customHeight="1" x14ac:dyDescent="0.2">
      <c r="A49" s="3">
        <v>43</v>
      </c>
      <c r="B49" s="4" t="s">
        <v>285</v>
      </c>
      <c r="C49" s="4" t="s">
        <v>286</v>
      </c>
      <c r="D49" s="4" t="s">
        <v>199</v>
      </c>
      <c r="E49" s="5">
        <v>10979</v>
      </c>
      <c r="F49" s="6">
        <v>74.596815500000005</v>
      </c>
      <c r="G49" s="7">
        <v>9.3515409999999997E-3</v>
      </c>
      <c r="H49" s="53"/>
    </row>
    <row r="50" spans="1:8" ht="17.100000000000001" customHeight="1" x14ac:dyDescent="0.2">
      <c r="A50" s="3">
        <v>44</v>
      </c>
      <c r="B50" s="4" t="s">
        <v>422</v>
      </c>
      <c r="C50" s="4" t="s">
        <v>423</v>
      </c>
      <c r="D50" s="4" t="s">
        <v>265</v>
      </c>
      <c r="E50" s="5">
        <v>20765</v>
      </c>
      <c r="F50" s="6">
        <v>74.484054999999998</v>
      </c>
      <c r="G50" s="7">
        <v>9.337405E-3</v>
      </c>
      <c r="H50" s="53"/>
    </row>
    <row r="51" spans="1:8" ht="29.1" customHeight="1" x14ac:dyDescent="0.2">
      <c r="A51" s="3">
        <v>45</v>
      </c>
      <c r="B51" s="4" t="s">
        <v>409</v>
      </c>
      <c r="C51" s="4" t="s">
        <v>410</v>
      </c>
      <c r="D51" s="4" t="s">
        <v>411</v>
      </c>
      <c r="E51" s="5">
        <v>59314</v>
      </c>
      <c r="F51" s="6">
        <v>74.112842999999998</v>
      </c>
      <c r="G51" s="7">
        <v>9.2908690000000002E-3</v>
      </c>
      <c r="H51" s="53"/>
    </row>
    <row r="52" spans="1:8" ht="17.100000000000001" customHeight="1" x14ac:dyDescent="0.2">
      <c r="A52" s="3">
        <v>46</v>
      </c>
      <c r="B52" s="4" t="s">
        <v>253</v>
      </c>
      <c r="C52" s="4" t="s">
        <v>254</v>
      </c>
      <c r="D52" s="4" t="s">
        <v>119</v>
      </c>
      <c r="E52" s="5">
        <v>12364</v>
      </c>
      <c r="F52" s="6">
        <v>68.070002000000002</v>
      </c>
      <c r="G52" s="7">
        <v>8.5333319999999994E-3</v>
      </c>
      <c r="H52" s="53"/>
    </row>
    <row r="53" spans="1:8" ht="29.1" customHeight="1" x14ac:dyDescent="0.2">
      <c r="A53" s="3">
        <v>47</v>
      </c>
      <c r="B53" s="4" t="s">
        <v>456</v>
      </c>
      <c r="C53" s="4" t="s">
        <v>457</v>
      </c>
      <c r="D53" s="4" t="s">
        <v>373</v>
      </c>
      <c r="E53" s="5">
        <v>16028</v>
      </c>
      <c r="F53" s="6">
        <v>66.011318000000003</v>
      </c>
      <c r="G53" s="7">
        <v>8.2752529999999998E-3</v>
      </c>
      <c r="H53" s="53"/>
    </row>
    <row r="54" spans="1:8" ht="17.100000000000001" customHeight="1" x14ac:dyDescent="0.2">
      <c r="A54" s="3">
        <v>48</v>
      </c>
      <c r="B54" s="4" t="s">
        <v>385</v>
      </c>
      <c r="C54" s="4" t="s">
        <v>386</v>
      </c>
      <c r="D54" s="4" t="s">
        <v>119</v>
      </c>
      <c r="E54" s="5">
        <v>7194</v>
      </c>
      <c r="F54" s="6">
        <v>65.846682000000001</v>
      </c>
      <c r="G54" s="7">
        <v>8.2546140000000004E-3</v>
      </c>
      <c r="H54" s="53"/>
    </row>
    <row r="55" spans="1:8" ht="17.100000000000001" customHeight="1" x14ac:dyDescent="0.2">
      <c r="A55" s="3">
        <v>49</v>
      </c>
      <c r="B55" s="4" t="s">
        <v>367</v>
      </c>
      <c r="C55" s="4" t="s">
        <v>368</v>
      </c>
      <c r="D55" s="4" t="s">
        <v>116</v>
      </c>
      <c r="E55" s="5">
        <v>12964</v>
      </c>
      <c r="F55" s="6">
        <v>65.649696000000006</v>
      </c>
      <c r="G55" s="7">
        <v>8.2299199999999999E-3</v>
      </c>
      <c r="H55" s="53"/>
    </row>
    <row r="56" spans="1:8" ht="29.1" customHeight="1" x14ac:dyDescent="0.2">
      <c r="A56" s="3">
        <v>50</v>
      </c>
      <c r="B56" s="4" t="s">
        <v>371</v>
      </c>
      <c r="C56" s="4" t="s">
        <v>372</v>
      </c>
      <c r="D56" s="4" t="s">
        <v>373</v>
      </c>
      <c r="E56" s="5">
        <v>16626</v>
      </c>
      <c r="F56" s="6">
        <v>65.306927999999999</v>
      </c>
      <c r="G56" s="7">
        <v>8.1869500000000001E-3</v>
      </c>
      <c r="H56" s="53"/>
    </row>
    <row r="57" spans="1:8" ht="17.100000000000001" customHeight="1" x14ac:dyDescent="0.2">
      <c r="A57" s="3">
        <v>51</v>
      </c>
      <c r="B57" s="4" t="s">
        <v>446</v>
      </c>
      <c r="C57" s="4" t="s">
        <v>447</v>
      </c>
      <c r="D57" s="4" t="s">
        <v>40</v>
      </c>
      <c r="E57" s="5">
        <v>10066</v>
      </c>
      <c r="F57" s="6">
        <v>62.308540000000001</v>
      </c>
      <c r="G57" s="7">
        <v>7.8110690000000003E-3</v>
      </c>
      <c r="H57" s="53"/>
    </row>
    <row r="58" spans="1:8" ht="17.100000000000001" customHeight="1" x14ac:dyDescent="0.2">
      <c r="A58" s="3">
        <v>52</v>
      </c>
      <c r="B58" s="4" t="s">
        <v>414</v>
      </c>
      <c r="C58" s="4" t="s">
        <v>415</v>
      </c>
      <c r="D58" s="4" t="s">
        <v>87</v>
      </c>
      <c r="E58" s="5">
        <v>8175</v>
      </c>
      <c r="F58" s="6">
        <v>54.923737500000001</v>
      </c>
      <c r="G58" s="7">
        <v>6.8853020000000003E-3</v>
      </c>
      <c r="H58" s="53"/>
    </row>
    <row r="59" spans="1:8" ht="17.100000000000001" customHeight="1" x14ac:dyDescent="0.2">
      <c r="A59" s="3">
        <v>53</v>
      </c>
      <c r="B59" s="4" t="s">
        <v>393</v>
      </c>
      <c r="C59" s="4" t="s">
        <v>394</v>
      </c>
      <c r="D59" s="4" t="s">
        <v>212</v>
      </c>
      <c r="E59" s="5">
        <v>7374</v>
      </c>
      <c r="F59" s="6">
        <v>53.236592999999999</v>
      </c>
      <c r="G59" s="7">
        <v>6.6737990000000002E-3</v>
      </c>
      <c r="H59" s="53"/>
    </row>
    <row r="60" spans="1:8" ht="17.100000000000001" customHeight="1" x14ac:dyDescent="0.2">
      <c r="A60" s="3">
        <v>54</v>
      </c>
      <c r="B60" s="4" t="s">
        <v>94</v>
      </c>
      <c r="C60" s="4" t="s">
        <v>95</v>
      </c>
      <c r="D60" s="4" t="s">
        <v>96</v>
      </c>
      <c r="E60" s="5">
        <v>10971</v>
      </c>
      <c r="F60" s="6">
        <v>51.020635499999997</v>
      </c>
      <c r="G60" s="7">
        <v>6.3960040000000003E-3</v>
      </c>
      <c r="H60" s="53"/>
    </row>
    <row r="61" spans="1:8" ht="17.100000000000001" customHeight="1" x14ac:dyDescent="0.2">
      <c r="A61" s="3">
        <v>55</v>
      </c>
      <c r="B61" s="4" t="s">
        <v>452</v>
      </c>
      <c r="C61" s="4" t="s">
        <v>453</v>
      </c>
      <c r="D61" s="4" t="s">
        <v>19</v>
      </c>
      <c r="E61" s="5">
        <v>20028</v>
      </c>
      <c r="F61" s="6">
        <v>47.626584000000001</v>
      </c>
      <c r="G61" s="7">
        <v>5.9705219999999998E-3</v>
      </c>
      <c r="H61" s="53"/>
    </row>
    <row r="62" spans="1:8" ht="29.1" customHeight="1" x14ac:dyDescent="0.2">
      <c r="A62" s="3">
        <v>56</v>
      </c>
      <c r="B62" s="4" t="s">
        <v>391</v>
      </c>
      <c r="C62" s="4" t="s">
        <v>392</v>
      </c>
      <c r="D62" s="4" t="s">
        <v>116</v>
      </c>
      <c r="E62" s="5">
        <v>3957</v>
      </c>
      <c r="F62" s="6">
        <v>43.651645500000001</v>
      </c>
      <c r="G62" s="7">
        <v>5.4722190000000004E-3</v>
      </c>
      <c r="H62" s="53"/>
    </row>
    <row r="63" spans="1:8" ht="17.100000000000001" customHeight="1" x14ac:dyDescent="0.2">
      <c r="A63" s="3">
        <v>57</v>
      </c>
      <c r="B63" s="4" t="s">
        <v>416</v>
      </c>
      <c r="C63" s="4" t="s">
        <v>417</v>
      </c>
      <c r="D63" s="4" t="s">
        <v>219</v>
      </c>
      <c r="E63" s="5">
        <v>5369</v>
      </c>
      <c r="F63" s="6">
        <v>42.938577500000001</v>
      </c>
      <c r="G63" s="7">
        <v>5.3828280000000001E-3</v>
      </c>
      <c r="H63" s="53"/>
    </row>
    <row r="64" spans="1:8" ht="17.100000000000001" customHeight="1" x14ac:dyDescent="0.2">
      <c r="A64" s="3">
        <v>58</v>
      </c>
      <c r="B64" s="4" t="s">
        <v>426</v>
      </c>
      <c r="C64" s="4" t="s">
        <v>427</v>
      </c>
      <c r="D64" s="4" t="s">
        <v>33</v>
      </c>
      <c r="E64" s="5">
        <v>4345</v>
      </c>
      <c r="F64" s="6">
        <v>35.689830000000001</v>
      </c>
      <c r="G64" s="7">
        <v>4.4741169999999997E-3</v>
      </c>
      <c r="H64" s="53"/>
    </row>
    <row r="65" spans="1:8" ht="29.1" customHeight="1" x14ac:dyDescent="0.2">
      <c r="A65" s="3">
        <v>59</v>
      </c>
      <c r="B65" s="4" t="s">
        <v>424</v>
      </c>
      <c r="C65" s="4" t="s">
        <v>425</v>
      </c>
      <c r="D65" s="4" t="s">
        <v>227</v>
      </c>
      <c r="E65" s="5">
        <v>12902</v>
      </c>
      <c r="F65" s="6">
        <v>32.267901999999999</v>
      </c>
      <c r="G65" s="7">
        <v>4.0451410000000004E-3</v>
      </c>
      <c r="H65" s="53"/>
    </row>
    <row r="66" spans="1:8" ht="29.1" customHeight="1" x14ac:dyDescent="0.2">
      <c r="A66" s="3">
        <v>60</v>
      </c>
      <c r="B66" s="4" t="s">
        <v>376</v>
      </c>
      <c r="C66" s="4" t="s">
        <v>377</v>
      </c>
      <c r="D66" s="4" t="s">
        <v>227</v>
      </c>
      <c r="E66" s="5">
        <v>792</v>
      </c>
      <c r="F66" s="6">
        <v>31.307759999999998</v>
      </c>
      <c r="G66" s="7">
        <v>3.9247759999999996E-3</v>
      </c>
      <c r="H66" s="53"/>
    </row>
    <row r="67" spans="1:8" ht="17.100000000000001" customHeight="1" x14ac:dyDescent="0.2">
      <c r="A67" s="3">
        <v>61</v>
      </c>
      <c r="B67" s="4" t="s">
        <v>331</v>
      </c>
      <c r="C67" s="4" t="s">
        <v>332</v>
      </c>
      <c r="D67" s="4" t="s">
        <v>96</v>
      </c>
      <c r="E67" s="5">
        <v>41500</v>
      </c>
      <c r="F67" s="6">
        <v>31.125</v>
      </c>
      <c r="G67" s="7">
        <v>3.901865E-3</v>
      </c>
      <c r="H67" s="53"/>
    </row>
    <row r="68" spans="1:8" ht="29.1" customHeight="1" x14ac:dyDescent="0.2">
      <c r="A68" s="3">
        <v>62</v>
      </c>
      <c r="B68" s="4" t="s">
        <v>314</v>
      </c>
      <c r="C68" s="4" t="s">
        <v>315</v>
      </c>
      <c r="D68" s="4" t="s">
        <v>199</v>
      </c>
      <c r="E68" s="5">
        <v>6070</v>
      </c>
      <c r="F68" s="6">
        <v>27.900755</v>
      </c>
      <c r="G68" s="7">
        <v>3.49767E-3</v>
      </c>
      <c r="H68" s="53"/>
    </row>
    <row r="69" spans="1:8" ht="17.100000000000001" customHeight="1" x14ac:dyDescent="0.2">
      <c r="A69" s="3">
        <v>63</v>
      </c>
      <c r="B69" s="4" t="s">
        <v>395</v>
      </c>
      <c r="C69" s="4" t="s">
        <v>396</v>
      </c>
      <c r="D69" s="4" t="s">
        <v>116</v>
      </c>
      <c r="E69" s="5">
        <v>10376</v>
      </c>
      <c r="F69" s="6">
        <v>24.689692000000001</v>
      </c>
      <c r="G69" s="7">
        <v>3.0951279999999999E-3</v>
      </c>
      <c r="H69" s="53"/>
    </row>
    <row r="70" spans="1:8" ht="29.1" customHeight="1" x14ac:dyDescent="0.2">
      <c r="A70" s="3">
        <v>64</v>
      </c>
      <c r="B70" s="4" t="s">
        <v>397</v>
      </c>
      <c r="C70" s="4" t="s">
        <v>398</v>
      </c>
      <c r="D70" s="4" t="s">
        <v>60</v>
      </c>
      <c r="E70" s="5">
        <v>3799</v>
      </c>
      <c r="F70" s="6">
        <v>13.843556</v>
      </c>
      <c r="G70" s="7">
        <v>1.735444E-3</v>
      </c>
      <c r="H70" s="53"/>
    </row>
    <row r="71" spans="1:8" ht="29.1" customHeight="1" x14ac:dyDescent="0.2">
      <c r="A71" s="3">
        <v>65</v>
      </c>
      <c r="B71" s="4" t="s">
        <v>431</v>
      </c>
      <c r="C71" s="4" t="s">
        <v>432</v>
      </c>
      <c r="D71" s="4" t="s">
        <v>199</v>
      </c>
      <c r="E71" s="5">
        <v>1852</v>
      </c>
      <c r="F71" s="6">
        <v>11.036068</v>
      </c>
      <c r="G71" s="7">
        <v>1.3834940000000001E-3</v>
      </c>
      <c r="H71" s="53"/>
    </row>
    <row r="72" spans="1:8" ht="14.1" customHeight="1" x14ac:dyDescent="0.2">
      <c r="A72" s="1"/>
      <c r="B72" s="1"/>
      <c r="C72" s="2" t="s">
        <v>132</v>
      </c>
      <c r="D72" s="1"/>
      <c r="E72" s="1" t="s">
        <v>133</v>
      </c>
      <c r="F72" s="9">
        <v>6913.7425499999999</v>
      </c>
      <c r="G72" s="10">
        <v>0.866714553</v>
      </c>
      <c r="H72" s="53"/>
    </row>
    <row r="73" spans="1:8" ht="14.1" customHeight="1" x14ac:dyDescent="0.2">
      <c r="A73" s="1"/>
      <c r="B73" s="1"/>
      <c r="C73" s="11"/>
      <c r="D73" s="1"/>
      <c r="E73" s="1"/>
      <c r="F73" s="12"/>
      <c r="G73" s="12"/>
      <c r="H73" s="53"/>
    </row>
    <row r="74" spans="1:8" ht="14.1" customHeight="1" x14ac:dyDescent="0.2">
      <c r="A74" s="1"/>
      <c r="B74" s="1"/>
      <c r="C74" s="2" t="s">
        <v>134</v>
      </c>
      <c r="D74" s="1"/>
      <c r="E74" s="1"/>
      <c r="F74" s="1"/>
      <c r="G74" s="1"/>
      <c r="H74" s="53"/>
    </row>
    <row r="75" spans="1:8" ht="14.1" customHeight="1" x14ac:dyDescent="0.2">
      <c r="A75" s="1"/>
      <c r="B75" s="1"/>
      <c r="C75" s="2" t="s">
        <v>132</v>
      </c>
      <c r="D75" s="1"/>
      <c r="E75" s="1" t="s">
        <v>133</v>
      </c>
      <c r="F75" s="13">
        <v>0</v>
      </c>
      <c r="G75" s="14">
        <v>0</v>
      </c>
      <c r="H75" s="53"/>
    </row>
    <row r="76" spans="1:8" ht="14.1" customHeight="1" x14ac:dyDescent="0.2">
      <c r="A76" s="1"/>
      <c r="B76" s="1"/>
      <c r="C76" s="11"/>
      <c r="D76" s="1"/>
      <c r="E76" s="1"/>
      <c r="F76" s="12"/>
      <c r="G76" s="12"/>
      <c r="H76" s="53"/>
    </row>
    <row r="77" spans="1:8" ht="14.1" customHeight="1" x14ac:dyDescent="0.2">
      <c r="A77" s="1"/>
      <c r="B77" s="1"/>
      <c r="C77" s="2" t="s">
        <v>135</v>
      </c>
      <c r="D77" s="1"/>
      <c r="E77" s="1"/>
      <c r="F77" s="1"/>
      <c r="G77" s="1"/>
      <c r="H77" s="53"/>
    </row>
    <row r="78" spans="1:8" ht="14.1" customHeight="1" x14ac:dyDescent="0.2">
      <c r="A78" s="1"/>
      <c r="B78" s="1"/>
      <c r="C78" s="2" t="s">
        <v>132</v>
      </c>
      <c r="D78" s="1"/>
      <c r="E78" s="1" t="s">
        <v>133</v>
      </c>
      <c r="F78" s="13">
        <v>0</v>
      </c>
      <c r="G78" s="14">
        <v>0</v>
      </c>
      <c r="H78" s="53"/>
    </row>
    <row r="79" spans="1:8" ht="14.1" customHeight="1" x14ac:dyDescent="0.2">
      <c r="A79" s="1"/>
      <c r="B79" s="1"/>
      <c r="C79" s="11"/>
      <c r="D79" s="1"/>
      <c r="E79" s="1"/>
      <c r="F79" s="12"/>
      <c r="G79" s="12"/>
      <c r="H79" s="53"/>
    </row>
    <row r="80" spans="1:8" ht="14.1" customHeight="1" x14ac:dyDescent="0.2">
      <c r="A80" s="1"/>
      <c r="B80" s="1"/>
      <c r="C80" s="2" t="s">
        <v>136</v>
      </c>
      <c r="D80" s="1"/>
      <c r="E80" s="1"/>
      <c r="F80" s="1"/>
      <c r="G80" s="1"/>
      <c r="H80" s="53"/>
    </row>
    <row r="81" spans="1:8" ht="17.100000000000001" customHeight="1" x14ac:dyDescent="0.2">
      <c r="A81" s="3">
        <v>1</v>
      </c>
      <c r="B81" s="4" t="s">
        <v>399</v>
      </c>
      <c r="C81" s="4" t="s">
        <v>960</v>
      </c>
      <c r="D81" s="4" t="s">
        <v>212</v>
      </c>
      <c r="E81" s="5">
        <v>526</v>
      </c>
      <c r="F81" s="6">
        <v>0.80451700000000004</v>
      </c>
      <c r="G81" s="7">
        <v>1.00855E-4</v>
      </c>
      <c r="H81" s="53"/>
    </row>
    <row r="82" spans="1:8" ht="14.1" customHeight="1" x14ac:dyDescent="0.2">
      <c r="A82" s="1"/>
      <c r="B82" s="1"/>
      <c r="C82" s="2" t="s">
        <v>132</v>
      </c>
      <c r="D82" s="1"/>
      <c r="E82" s="1" t="s">
        <v>133</v>
      </c>
      <c r="F82" s="9">
        <v>0.80451700000000004</v>
      </c>
      <c r="G82" s="10">
        <v>1.00855E-4</v>
      </c>
      <c r="H82" s="53"/>
    </row>
    <row r="83" spans="1:8" ht="14.1" customHeight="1" x14ac:dyDescent="0.2">
      <c r="A83" s="1"/>
      <c r="B83" s="1"/>
      <c r="C83" s="11"/>
      <c r="D83" s="1"/>
      <c r="E83" s="1"/>
      <c r="F83" s="12"/>
      <c r="G83" s="12"/>
      <c r="H83" s="53"/>
    </row>
    <row r="84" spans="1:8" ht="14.1" customHeight="1" x14ac:dyDescent="0.2">
      <c r="A84" s="1"/>
      <c r="B84" s="1"/>
      <c r="C84" s="2" t="s">
        <v>137</v>
      </c>
      <c r="D84" s="1"/>
      <c r="E84" s="1"/>
      <c r="F84" s="12"/>
      <c r="G84" s="12"/>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138</v>
      </c>
      <c r="D87" s="1"/>
      <c r="E87" s="1"/>
      <c r="F87" s="12"/>
      <c r="G87" s="12"/>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8" customHeight="1" x14ac:dyDescent="0.2">
      <c r="A90" s="1"/>
      <c r="B90" s="1"/>
      <c r="C90" s="2" t="s">
        <v>139</v>
      </c>
      <c r="D90" s="1"/>
      <c r="E90" s="1"/>
      <c r="F90" s="9">
        <v>6914.5470670000004</v>
      </c>
      <c r="G90" s="10">
        <v>0.86681540800000001</v>
      </c>
      <c r="H90" s="53"/>
    </row>
    <row r="91" spans="1:8" ht="14.1" customHeight="1" x14ac:dyDescent="0.2">
      <c r="A91" s="1"/>
      <c r="B91" s="1"/>
      <c r="C91" s="11"/>
      <c r="D91" s="1"/>
      <c r="E91" s="1"/>
      <c r="F91" s="12"/>
      <c r="G91" s="12"/>
      <c r="H91" s="53"/>
    </row>
    <row r="92" spans="1:8" ht="14.1" customHeight="1" x14ac:dyDescent="0.2">
      <c r="A92" s="1"/>
      <c r="B92" s="1"/>
      <c r="C92" s="2" t="s">
        <v>140</v>
      </c>
      <c r="D92" s="1"/>
      <c r="E92" s="1"/>
      <c r="F92" s="12"/>
      <c r="G92" s="12"/>
      <c r="H92" s="53"/>
    </row>
    <row r="93" spans="1:8" ht="24" customHeight="1" x14ac:dyDescent="0.2">
      <c r="A93" s="1"/>
      <c r="B93" s="1"/>
      <c r="C93" s="2" t="s">
        <v>10</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141</v>
      </c>
      <c r="D96" s="1"/>
      <c r="E96" s="1"/>
      <c r="F96" s="1"/>
      <c r="G96" s="1"/>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142</v>
      </c>
      <c r="D99" s="1"/>
      <c r="E99" s="1"/>
      <c r="F99" s="1"/>
      <c r="G99" s="1"/>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143</v>
      </c>
      <c r="D102" s="1"/>
      <c r="E102" s="1"/>
      <c r="F102" s="12"/>
      <c r="G102" s="12"/>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144</v>
      </c>
      <c r="D105" s="1"/>
      <c r="E105" s="1"/>
      <c r="F105" s="9">
        <v>0</v>
      </c>
      <c r="G105" s="10">
        <v>0</v>
      </c>
      <c r="H105" s="53"/>
    </row>
    <row r="106" spans="1:8" ht="14.1" customHeight="1" x14ac:dyDescent="0.2">
      <c r="A106" s="1"/>
      <c r="B106" s="1"/>
      <c r="C106" s="11"/>
      <c r="D106" s="1"/>
      <c r="E106" s="1"/>
      <c r="F106" s="12"/>
      <c r="G106" s="12"/>
      <c r="H106" s="53"/>
    </row>
    <row r="107" spans="1:8" ht="14.1" customHeight="1" x14ac:dyDescent="0.2">
      <c r="A107" s="1"/>
      <c r="B107" s="1"/>
      <c r="C107" s="2" t="s">
        <v>145</v>
      </c>
      <c r="D107" s="1"/>
      <c r="E107" s="1"/>
      <c r="F107" s="12"/>
      <c r="G107" s="12"/>
      <c r="H107" s="53"/>
    </row>
    <row r="108" spans="1:8" ht="14.1" customHeight="1" x14ac:dyDescent="0.2">
      <c r="A108" s="1"/>
      <c r="B108" s="1"/>
      <c r="C108" s="2" t="s">
        <v>146</v>
      </c>
      <c r="D108" s="1"/>
      <c r="E108" s="1"/>
      <c r="F108" s="12"/>
      <c r="G108" s="12"/>
      <c r="H108" s="53"/>
    </row>
    <row r="109" spans="1:8" ht="14.1" customHeight="1" x14ac:dyDescent="0.2">
      <c r="A109" s="1"/>
      <c r="B109" s="1"/>
      <c r="C109" s="2" t="s">
        <v>132</v>
      </c>
      <c r="D109" s="1"/>
      <c r="E109" s="1" t="s">
        <v>133</v>
      </c>
      <c r="F109" s="13">
        <v>0</v>
      </c>
      <c r="G109" s="14">
        <v>0</v>
      </c>
      <c r="H109" s="53"/>
    </row>
    <row r="110" spans="1:8" ht="14.1" customHeight="1" x14ac:dyDescent="0.2">
      <c r="A110" s="1"/>
      <c r="B110" s="1"/>
      <c r="C110" s="11"/>
      <c r="D110" s="1"/>
      <c r="E110" s="1"/>
      <c r="F110" s="12"/>
      <c r="G110" s="12"/>
      <c r="H110" s="53"/>
    </row>
    <row r="111" spans="1:8" ht="14.1" customHeight="1" x14ac:dyDescent="0.2">
      <c r="A111" s="1"/>
      <c r="B111" s="1"/>
      <c r="C111" s="2" t="s">
        <v>147</v>
      </c>
      <c r="D111" s="1"/>
      <c r="E111" s="1"/>
      <c r="F111" s="12"/>
      <c r="G111" s="12"/>
      <c r="H111" s="53"/>
    </row>
    <row r="112" spans="1:8" ht="14.1" customHeight="1" x14ac:dyDescent="0.2">
      <c r="A112" s="1"/>
      <c r="B112" s="1"/>
      <c r="C112" s="2" t="s">
        <v>132</v>
      </c>
      <c r="D112" s="1"/>
      <c r="E112" s="1" t="s">
        <v>133</v>
      </c>
      <c r="F112" s="13">
        <v>0</v>
      </c>
      <c r="G112" s="14">
        <v>0</v>
      </c>
      <c r="H112" s="53"/>
    </row>
    <row r="113" spans="1:8" ht="14.1" customHeight="1" x14ac:dyDescent="0.2">
      <c r="A113" s="1"/>
      <c r="B113" s="1"/>
      <c r="C113" s="11"/>
      <c r="D113" s="1"/>
      <c r="E113" s="1"/>
      <c r="F113" s="12"/>
      <c r="G113" s="12"/>
      <c r="H113" s="53"/>
    </row>
    <row r="114" spans="1:8" ht="14.1" customHeight="1" x14ac:dyDescent="0.2">
      <c r="A114" s="1"/>
      <c r="B114" s="1"/>
      <c r="C114" s="2" t="s">
        <v>148</v>
      </c>
      <c r="D114" s="1"/>
      <c r="E114" s="1"/>
      <c r="F114" s="12"/>
      <c r="G114" s="12"/>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1"/>
      <c r="C117" s="2" t="s">
        <v>149</v>
      </c>
      <c r="D117" s="1"/>
      <c r="E117" s="1"/>
      <c r="F117" s="12"/>
      <c r="G117" s="12"/>
      <c r="H117" s="53"/>
    </row>
    <row r="118" spans="1:8" ht="17.100000000000001" customHeight="1" x14ac:dyDescent="0.2">
      <c r="A118" s="3">
        <v>1</v>
      </c>
      <c r="B118" s="4"/>
      <c r="C118" s="4" t="s">
        <v>150</v>
      </c>
      <c r="D118" s="4"/>
      <c r="E118" s="8"/>
      <c r="F118" s="6">
        <v>1066.5858905</v>
      </c>
      <c r="G118" s="7">
        <v>0.133708408</v>
      </c>
      <c r="H118" s="53">
        <v>6.46</v>
      </c>
    </row>
    <row r="119" spans="1:8" ht="14.1" customHeight="1" x14ac:dyDescent="0.2">
      <c r="A119" s="1"/>
      <c r="B119" s="1"/>
      <c r="C119" s="2" t="s">
        <v>132</v>
      </c>
      <c r="D119" s="1"/>
      <c r="E119" s="1" t="s">
        <v>133</v>
      </c>
      <c r="F119" s="9">
        <v>1066.5858905</v>
      </c>
      <c r="G119" s="10">
        <v>0.133708408</v>
      </c>
      <c r="H119" s="53"/>
    </row>
    <row r="120" spans="1:8" ht="14.1" customHeight="1" x14ac:dyDescent="0.2">
      <c r="A120" s="1"/>
      <c r="B120" s="1"/>
      <c r="C120" s="11"/>
      <c r="D120" s="1"/>
      <c r="E120" s="1"/>
      <c r="F120" s="12"/>
      <c r="G120" s="12"/>
      <c r="H120" s="53"/>
    </row>
    <row r="121" spans="1:8" ht="14.1" customHeight="1" x14ac:dyDescent="0.2">
      <c r="A121" s="1"/>
      <c r="B121" s="1"/>
      <c r="C121" s="2" t="s">
        <v>151</v>
      </c>
      <c r="D121" s="1"/>
      <c r="E121" s="1"/>
      <c r="F121" s="9">
        <v>1066.5858905</v>
      </c>
      <c r="G121" s="10">
        <v>0.133708408</v>
      </c>
      <c r="H121" s="53"/>
    </row>
    <row r="122" spans="1:8" ht="14.1" customHeight="1" x14ac:dyDescent="0.2">
      <c r="A122" s="1"/>
      <c r="B122" s="1"/>
      <c r="C122" s="12"/>
      <c r="D122" s="1"/>
      <c r="E122" s="1"/>
      <c r="F122" s="1"/>
      <c r="G122" s="1"/>
      <c r="H122" s="53"/>
    </row>
    <row r="123" spans="1:8" ht="14.1" customHeight="1" x14ac:dyDescent="0.2">
      <c r="A123" s="1"/>
      <c r="B123" s="1"/>
      <c r="C123" s="2" t="s">
        <v>152</v>
      </c>
      <c r="D123" s="1"/>
      <c r="E123" s="1"/>
      <c r="F123" s="1"/>
      <c r="G123" s="1"/>
      <c r="H123" s="53"/>
    </row>
    <row r="124" spans="1:8" ht="14.1" customHeight="1" x14ac:dyDescent="0.2">
      <c r="A124" s="1"/>
      <c r="B124" s="1"/>
      <c r="C124" s="2" t="s">
        <v>153</v>
      </c>
      <c r="D124" s="1"/>
      <c r="E124" s="1"/>
      <c r="F124" s="1"/>
      <c r="G124" s="1"/>
      <c r="H124" s="53"/>
    </row>
    <row r="125" spans="1:8" ht="14.1" customHeight="1" x14ac:dyDescent="0.2">
      <c r="A125" s="1"/>
      <c r="B125" s="1"/>
      <c r="C125" s="2" t="s">
        <v>132</v>
      </c>
      <c r="D125" s="1"/>
      <c r="E125" s="1" t="s">
        <v>133</v>
      </c>
      <c r="F125" s="13">
        <v>0</v>
      </c>
      <c r="G125" s="14">
        <v>0</v>
      </c>
      <c r="H125" s="53"/>
    </row>
    <row r="126" spans="1:8" ht="14.1" customHeight="1" x14ac:dyDescent="0.2">
      <c r="A126" s="1"/>
      <c r="B126" s="1"/>
      <c r="C126" s="11"/>
      <c r="D126" s="1"/>
      <c r="E126" s="1"/>
      <c r="F126" s="12"/>
      <c r="G126" s="12"/>
      <c r="H126" s="53"/>
    </row>
    <row r="127" spans="1:8" ht="14.1" customHeight="1" x14ac:dyDescent="0.2">
      <c r="A127" s="1"/>
      <c r="B127" s="1"/>
      <c r="C127" s="2" t="s">
        <v>154</v>
      </c>
      <c r="D127" s="1"/>
      <c r="E127" s="1"/>
      <c r="F127" s="1"/>
      <c r="G127" s="1"/>
      <c r="H127" s="53"/>
    </row>
    <row r="128" spans="1:8" ht="14.1" customHeight="1" x14ac:dyDescent="0.2">
      <c r="A128" s="1"/>
      <c r="B128" s="1"/>
      <c r="C128" s="2" t="s">
        <v>155</v>
      </c>
      <c r="D128" s="1"/>
      <c r="E128" s="1"/>
      <c r="F128" s="1"/>
      <c r="G128" s="1"/>
      <c r="H128" s="53"/>
    </row>
    <row r="129" spans="1:8" ht="14.1" customHeight="1" x14ac:dyDescent="0.2">
      <c r="A129" s="1"/>
      <c r="B129" s="1"/>
      <c r="C129" s="2" t="s">
        <v>132</v>
      </c>
      <c r="D129" s="1"/>
      <c r="E129" s="1" t="s">
        <v>133</v>
      </c>
      <c r="F129" s="13">
        <v>0</v>
      </c>
      <c r="G129" s="14">
        <v>0</v>
      </c>
      <c r="H129" s="53"/>
    </row>
    <row r="130" spans="1:8" ht="14.1" customHeight="1" x14ac:dyDescent="0.2">
      <c r="A130" s="1"/>
      <c r="B130" s="1"/>
      <c r="C130" s="11"/>
      <c r="D130" s="1"/>
      <c r="E130" s="1"/>
      <c r="F130" s="12"/>
      <c r="G130" s="12"/>
      <c r="H130" s="53"/>
    </row>
    <row r="131" spans="1:8" ht="14.1" customHeight="1" x14ac:dyDescent="0.2">
      <c r="A131" s="1"/>
      <c r="B131" s="1"/>
      <c r="C131" s="11"/>
      <c r="D131" s="1"/>
      <c r="E131" s="1"/>
      <c r="F131" s="12"/>
      <c r="G131" s="12"/>
      <c r="H131" s="53"/>
    </row>
    <row r="132" spans="1:8" ht="24" customHeight="1" x14ac:dyDescent="0.2">
      <c r="A132" s="1"/>
      <c r="B132" s="1"/>
      <c r="C132" s="2" t="s">
        <v>156</v>
      </c>
      <c r="D132" s="1"/>
      <c r="E132" s="1"/>
      <c r="F132" s="12"/>
      <c r="G132" s="12"/>
      <c r="H132" s="53"/>
    </row>
    <row r="133" spans="1:8" ht="14.1" customHeight="1" x14ac:dyDescent="0.2">
      <c r="A133" s="1"/>
      <c r="B133" s="1"/>
      <c r="C133" s="2" t="s">
        <v>132</v>
      </c>
      <c r="D133" s="1"/>
      <c r="E133" s="1" t="s">
        <v>133</v>
      </c>
      <c r="F133" s="13">
        <v>0</v>
      </c>
      <c r="G133" s="14">
        <v>0</v>
      </c>
      <c r="H133" s="53"/>
    </row>
    <row r="134" spans="1:8" ht="14.1" customHeight="1" x14ac:dyDescent="0.2">
      <c r="A134" s="1"/>
      <c r="B134" s="1"/>
      <c r="C134" s="11"/>
      <c r="D134" s="1"/>
      <c r="E134" s="1"/>
      <c r="F134" s="12"/>
      <c r="G134" s="12"/>
      <c r="H134" s="53"/>
    </row>
    <row r="135" spans="1:8" ht="14.1" customHeight="1" x14ac:dyDescent="0.2">
      <c r="A135" s="1"/>
      <c r="B135" s="4"/>
      <c r="C135" s="4"/>
      <c r="D135" s="2"/>
      <c r="E135" s="1"/>
      <c r="F135" s="4"/>
      <c r="G135" s="8"/>
      <c r="H135" s="53"/>
    </row>
    <row r="136" spans="1:8" ht="18" customHeight="1" x14ac:dyDescent="0.2">
      <c r="A136" s="8"/>
      <c r="B136" s="4"/>
      <c r="C136" s="4" t="s">
        <v>157</v>
      </c>
      <c r="D136" s="4"/>
      <c r="E136" s="8"/>
      <c r="F136" s="6">
        <v>-4.1784101900000001</v>
      </c>
      <c r="G136" s="7">
        <v>-5.2380999999999999E-4</v>
      </c>
      <c r="H136" s="53"/>
    </row>
    <row r="137" spans="1:8" ht="14.1" customHeight="1" x14ac:dyDescent="0.2">
      <c r="A137" s="11"/>
      <c r="B137" s="11"/>
      <c r="C137" s="2" t="s">
        <v>158</v>
      </c>
      <c r="D137" s="15"/>
      <c r="E137" s="15"/>
      <c r="F137" s="9">
        <v>7976.9545669099998</v>
      </c>
      <c r="G137" s="10">
        <v>1.000000008</v>
      </c>
      <c r="H137" s="53"/>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293" t="s">
        <v>160</v>
      </c>
      <c r="C140" s="294"/>
      <c r="D140" s="12" t="s">
        <v>133</v>
      </c>
      <c r="E140" s="21"/>
      <c r="F140" s="20"/>
      <c r="G140" s="20"/>
    </row>
    <row r="141" spans="1:8" ht="29.1" customHeight="1" x14ac:dyDescent="0.2">
      <c r="A141" s="18"/>
      <c r="B141" s="290" t="s">
        <v>161</v>
      </c>
      <c r="C141" s="291"/>
      <c r="D141" s="2" t="s">
        <v>162</v>
      </c>
      <c r="E141" s="21"/>
      <c r="F141" s="20"/>
      <c r="G141" s="20"/>
    </row>
    <row r="142" spans="1:8" ht="17.100000000000001" customHeight="1" x14ac:dyDescent="0.2">
      <c r="A142" s="18"/>
      <c r="B142" s="290" t="s">
        <v>163</v>
      </c>
      <c r="C142" s="291"/>
      <c r="D142" s="2" t="s">
        <v>162</v>
      </c>
      <c r="E142" s="21"/>
      <c r="F142" s="20"/>
      <c r="G142" s="20"/>
    </row>
    <row r="143" spans="1:8" ht="17.100000000000001" customHeight="1" x14ac:dyDescent="0.2">
      <c r="A143" s="18"/>
      <c r="B143" s="290" t="s">
        <v>164</v>
      </c>
      <c r="C143" s="291"/>
      <c r="D143" s="12" t="s">
        <v>133</v>
      </c>
      <c r="E143" s="21"/>
      <c r="F143" s="20"/>
      <c r="G143" s="20"/>
    </row>
    <row r="144" spans="1:8" ht="24" customHeight="1" x14ac:dyDescent="0.2">
      <c r="A144" s="22"/>
      <c r="B144" s="23" t="s">
        <v>133</v>
      </c>
      <c r="C144" s="23" t="s">
        <v>165</v>
      </c>
      <c r="D144" s="23" t="s">
        <v>166</v>
      </c>
      <c r="E144" s="22"/>
      <c r="F144" s="22"/>
      <c r="G144" s="22"/>
    </row>
    <row r="145" spans="1:7" ht="18" customHeight="1" x14ac:dyDescent="0.2">
      <c r="A145" s="22"/>
      <c r="B145" s="23" t="s">
        <v>167</v>
      </c>
      <c r="C145" s="23" t="s">
        <v>168</v>
      </c>
      <c r="D145" s="23" t="s">
        <v>169</v>
      </c>
      <c r="E145" s="22"/>
      <c r="F145" s="22"/>
      <c r="G145" s="22"/>
    </row>
    <row r="146" spans="1:7" ht="17.100000000000001" customHeight="1" x14ac:dyDescent="0.2">
      <c r="A146" s="22"/>
      <c r="B146" s="4" t="s">
        <v>170</v>
      </c>
      <c r="C146" s="24">
        <v>20.854600000000001</v>
      </c>
      <c r="D146" s="24">
        <v>20.2058</v>
      </c>
      <c r="E146" s="22"/>
      <c r="F146" s="19"/>
      <c r="G146" s="25"/>
    </row>
    <row r="147" spans="1:7" ht="17.100000000000001" customHeight="1" x14ac:dyDescent="0.2">
      <c r="A147" s="22"/>
      <c r="B147" s="4" t="s">
        <v>1042</v>
      </c>
      <c r="C147" s="24">
        <v>20.113099999999999</v>
      </c>
      <c r="D147" s="24">
        <v>19.487300000000001</v>
      </c>
      <c r="E147" s="22"/>
      <c r="F147" s="19"/>
      <c r="G147" s="25"/>
    </row>
    <row r="148" spans="1:7" ht="17.100000000000001" customHeight="1" x14ac:dyDescent="0.2">
      <c r="A148" s="22"/>
      <c r="B148" s="4" t="s">
        <v>171</v>
      </c>
      <c r="C148" s="24">
        <v>20.3308</v>
      </c>
      <c r="D148" s="24">
        <v>19.689</v>
      </c>
      <c r="E148" s="22"/>
      <c r="F148" s="19"/>
      <c r="G148" s="25"/>
    </row>
    <row r="149" spans="1:7" ht="17.100000000000001" customHeight="1" x14ac:dyDescent="0.2">
      <c r="A149" s="22"/>
      <c r="B149" s="4" t="s">
        <v>1043</v>
      </c>
      <c r="C149" s="24">
        <v>19.595600000000001</v>
      </c>
      <c r="D149" s="24">
        <v>18.977</v>
      </c>
      <c r="E149" s="22"/>
      <c r="F149" s="19"/>
      <c r="G149" s="25"/>
    </row>
    <row r="150" spans="1:7" ht="14.1" customHeight="1" x14ac:dyDescent="0.2">
      <c r="A150" s="22"/>
      <c r="B150" s="22"/>
      <c r="C150" s="22"/>
      <c r="D150" s="22"/>
      <c r="E150" s="22"/>
      <c r="F150" s="22"/>
      <c r="G150" s="22"/>
    </row>
    <row r="151" spans="1:7" ht="17.100000000000001" customHeight="1" x14ac:dyDescent="0.2">
      <c r="A151" s="22"/>
      <c r="B151" s="290" t="s">
        <v>1044</v>
      </c>
      <c r="C151" s="291"/>
      <c r="D151" s="2" t="s">
        <v>162</v>
      </c>
      <c r="E151" s="22"/>
      <c r="F151" s="22"/>
      <c r="G151" s="22"/>
    </row>
    <row r="152" spans="1:7" ht="18" customHeight="1" x14ac:dyDescent="0.2">
      <c r="A152" s="22"/>
      <c r="B152" s="26"/>
      <c r="C152" s="26"/>
      <c r="D152" s="27"/>
      <c r="E152" s="22"/>
      <c r="F152" s="22"/>
      <c r="G152" s="22"/>
    </row>
    <row r="153" spans="1:7" ht="29.1" customHeight="1" x14ac:dyDescent="0.2">
      <c r="A153" s="22"/>
      <c r="B153" s="290" t="s">
        <v>172</v>
      </c>
      <c r="C153" s="291"/>
      <c r="D153" s="2" t="s">
        <v>162</v>
      </c>
      <c r="E153" s="22"/>
      <c r="F153" s="22"/>
      <c r="G153" s="22"/>
    </row>
    <row r="154" spans="1:7" ht="29.1" customHeight="1" x14ac:dyDescent="0.2">
      <c r="A154" s="22"/>
      <c r="B154" s="290" t="s">
        <v>173</v>
      </c>
      <c r="C154" s="291"/>
      <c r="D154" s="2" t="s">
        <v>162</v>
      </c>
      <c r="E154" s="22"/>
      <c r="F154" s="22"/>
      <c r="G154" s="22"/>
    </row>
    <row r="155" spans="1:7" ht="17.100000000000001" customHeight="1" x14ac:dyDescent="0.2">
      <c r="A155" s="22"/>
      <c r="B155" s="290" t="s">
        <v>174</v>
      </c>
      <c r="C155" s="291"/>
      <c r="D155" s="28">
        <v>0.21227831945153369</v>
      </c>
      <c r="E155" s="22"/>
      <c r="F155" s="19"/>
      <c r="G155" s="25"/>
    </row>
    <row r="156" spans="1:7" ht="17.100000000000001" customHeight="1" x14ac:dyDescent="0.2">
      <c r="A156" s="22"/>
      <c r="B156" s="290" t="s">
        <v>175</v>
      </c>
      <c r="C156" s="291"/>
      <c r="D156" s="2" t="s">
        <v>162</v>
      </c>
      <c r="E156" s="22"/>
      <c r="F156" s="22"/>
      <c r="G156" s="22"/>
    </row>
    <row r="163" spans="10:15" x14ac:dyDescent="0.2">
      <c r="J163" s="189"/>
      <c r="K163" s="189"/>
      <c r="L163" s="189"/>
      <c r="M163" s="189"/>
      <c r="N163" s="189"/>
      <c r="O163" s="189"/>
    </row>
  </sheetData>
  <mergeCells count="13">
    <mergeCell ref="A1:H1"/>
    <mergeCell ref="A2:H2"/>
    <mergeCell ref="A3:H3"/>
    <mergeCell ref="J2:N2"/>
    <mergeCell ref="B156:C156"/>
    <mergeCell ref="B141:C141"/>
    <mergeCell ref="B142:C142"/>
    <mergeCell ref="B143:C143"/>
    <mergeCell ref="B151:C151"/>
    <mergeCell ref="B153:C153"/>
    <mergeCell ref="B154:C154"/>
    <mergeCell ref="B140:C140"/>
    <mergeCell ref="B155:C155"/>
  </mergeCells>
  <hyperlinks>
    <hyperlink ref="I1" location="Index!B11" display="Index" xr:uid="{9A18EFAB-63CD-428B-A67C-C05AA727E5F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6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461</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381</v>
      </c>
      <c r="C7" s="4" t="s">
        <v>382</v>
      </c>
      <c r="D7" s="4" t="s">
        <v>116</v>
      </c>
      <c r="E7" s="5">
        <v>9128</v>
      </c>
      <c r="F7" s="6">
        <v>153.596856</v>
      </c>
      <c r="G7" s="7">
        <v>3.7248000000000003E-2</v>
      </c>
      <c r="H7" s="53"/>
    </row>
    <row r="8" spans="1:14" ht="17.100000000000001" customHeight="1" x14ac:dyDescent="0.2">
      <c r="A8" s="3">
        <v>2</v>
      </c>
      <c r="B8" s="4" t="s">
        <v>31</v>
      </c>
      <c r="C8" s="4" t="s">
        <v>32</v>
      </c>
      <c r="D8" s="4" t="s">
        <v>33</v>
      </c>
      <c r="E8" s="5">
        <v>7409</v>
      </c>
      <c r="F8" s="6">
        <v>143.27524199999999</v>
      </c>
      <c r="G8" s="7">
        <v>3.4744957E-2</v>
      </c>
      <c r="H8" s="53"/>
    </row>
    <row r="9" spans="1:14" ht="17.100000000000001" customHeight="1" x14ac:dyDescent="0.2">
      <c r="A9" s="3">
        <v>3</v>
      </c>
      <c r="B9" s="4" t="s">
        <v>374</v>
      </c>
      <c r="C9" s="4" t="s">
        <v>375</v>
      </c>
      <c r="D9" s="4" t="s">
        <v>119</v>
      </c>
      <c r="E9" s="5">
        <v>108727</v>
      </c>
      <c r="F9" s="6">
        <v>136.28929450000001</v>
      </c>
      <c r="G9" s="7">
        <v>3.3050830000000003E-2</v>
      </c>
      <c r="H9" s="53"/>
    </row>
    <row r="10" spans="1:14" ht="17.100000000000001" customHeight="1" x14ac:dyDescent="0.2">
      <c r="A10" s="3">
        <v>4</v>
      </c>
      <c r="B10" s="4" t="s">
        <v>83</v>
      </c>
      <c r="C10" s="4" t="s">
        <v>84</v>
      </c>
      <c r="D10" s="4" t="s">
        <v>33</v>
      </c>
      <c r="E10" s="5">
        <v>8542</v>
      </c>
      <c r="F10" s="6">
        <v>125.11467399999999</v>
      </c>
      <c r="G10" s="7">
        <v>3.0340928999999999E-2</v>
      </c>
      <c r="H10" s="53"/>
    </row>
    <row r="11" spans="1:14" ht="17.100000000000001" customHeight="1" x14ac:dyDescent="0.2">
      <c r="A11" s="3">
        <v>5</v>
      </c>
      <c r="B11" s="4" t="s">
        <v>114</v>
      </c>
      <c r="C11" s="4" t="s">
        <v>115</v>
      </c>
      <c r="D11" s="4" t="s">
        <v>116</v>
      </c>
      <c r="E11" s="5">
        <v>33781</v>
      </c>
      <c r="F11" s="6">
        <v>113.96020350000001</v>
      </c>
      <c r="G11" s="7">
        <v>2.7635915E-2</v>
      </c>
      <c r="H11" s="53"/>
    </row>
    <row r="12" spans="1:14" ht="17.100000000000001" customHeight="1" x14ac:dyDescent="0.2">
      <c r="A12" s="3">
        <v>6</v>
      </c>
      <c r="B12" s="4" t="s">
        <v>438</v>
      </c>
      <c r="C12" s="4" t="s">
        <v>439</v>
      </c>
      <c r="D12" s="4" t="s">
        <v>900</v>
      </c>
      <c r="E12" s="5">
        <v>16149</v>
      </c>
      <c r="F12" s="6">
        <v>113.7293325</v>
      </c>
      <c r="G12" s="7">
        <v>2.7579927000000001E-2</v>
      </c>
      <c r="H12" s="53"/>
    </row>
    <row r="13" spans="1:14" ht="29.1" customHeight="1" x14ac:dyDescent="0.2">
      <c r="A13" s="3">
        <v>7</v>
      </c>
      <c r="B13" s="4" t="s">
        <v>191</v>
      </c>
      <c r="C13" s="4" t="s">
        <v>192</v>
      </c>
      <c r="D13" s="4" t="s">
        <v>116</v>
      </c>
      <c r="E13" s="5">
        <v>31926</v>
      </c>
      <c r="F13" s="6">
        <v>107.41502699999999</v>
      </c>
      <c r="G13" s="7">
        <v>2.6048676999999999E-2</v>
      </c>
      <c r="H13" s="53"/>
    </row>
    <row r="14" spans="1:14" ht="17.100000000000001" customHeight="1" x14ac:dyDescent="0.2">
      <c r="A14" s="3">
        <v>8</v>
      </c>
      <c r="B14" s="4" t="s">
        <v>36</v>
      </c>
      <c r="C14" s="4" t="s">
        <v>37</v>
      </c>
      <c r="D14" s="4" t="s">
        <v>33</v>
      </c>
      <c r="E14" s="5">
        <v>5450</v>
      </c>
      <c r="F14" s="6">
        <v>97.208924999999994</v>
      </c>
      <c r="G14" s="7">
        <v>2.3573647E-2</v>
      </c>
      <c r="H14" s="53"/>
      <c r="J14" s="188" t="s">
        <v>1081</v>
      </c>
    </row>
    <row r="15" spans="1:14" ht="29.1" customHeight="1" x14ac:dyDescent="0.2">
      <c r="A15" s="3">
        <v>9</v>
      </c>
      <c r="B15" s="4" t="s">
        <v>197</v>
      </c>
      <c r="C15" s="4" t="s">
        <v>198</v>
      </c>
      <c r="D15" s="4" t="s">
        <v>199</v>
      </c>
      <c r="E15" s="5">
        <v>2276</v>
      </c>
      <c r="F15" s="6">
        <v>92.616129999999998</v>
      </c>
      <c r="G15" s="7">
        <v>2.2459870999999999E-2</v>
      </c>
      <c r="H15" s="53"/>
    </row>
    <row r="16" spans="1:14" ht="17.100000000000001" customHeight="1" x14ac:dyDescent="0.2">
      <c r="A16" s="3">
        <v>10</v>
      </c>
      <c r="B16" s="4" t="s">
        <v>301</v>
      </c>
      <c r="C16" s="4" t="s">
        <v>302</v>
      </c>
      <c r="D16" s="4" t="s">
        <v>234</v>
      </c>
      <c r="E16" s="5">
        <v>17981</v>
      </c>
      <c r="F16" s="6">
        <v>89.833076000000005</v>
      </c>
      <c r="G16" s="7">
        <v>2.1784966999999999E-2</v>
      </c>
      <c r="H16" s="53"/>
    </row>
    <row r="17" spans="1:8" ht="17.100000000000001" customHeight="1" x14ac:dyDescent="0.2">
      <c r="A17" s="3">
        <v>11</v>
      </c>
      <c r="B17" s="4" t="s">
        <v>434</v>
      </c>
      <c r="C17" s="4" t="s">
        <v>435</v>
      </c>
      <c r="D17" s="4" t="s">
        <v>96</v>
      </c>
      <c r="E17" s="5">
        <v>6219</v>
      </c>
      <c r="F17" s="6">
        <v>88.465275000000005</v>
      </c>
      <c r="G17" s="7">
        <v>2.1453268000000001E-2</v>
      </c>
      <c r="H17" s="53"/>
    </row>
    <row r="18" spans="1:8" ht="17.100000000000001" customHeight="1" x14ac:dyDescent="0.2">
      <c r="A18" s="3">
        <v>12</v>
      </c>
      <c r="B18" s="4" t="s">
        <v>312</v>
      </c>
      <c r="C18" s="4" t="s">
        <v>313</v>
      </c>
      <c r="D18" s="4" t="s">
        <v>224</v>
      </c>
      <c r="E18" s="5">
        <v>6299</v>
      </c>
      <c r="F18" s="6">
        <v>84.236526999999995</v>
      </c>
      <c r="G18" s="7">
        <v>2.0427776000000002E-2</v>
      </c>
      <c r="H18" s="53"/>
    </row>
    <row r="19" spans="1:8" ht="17.100000000000001" customHeight="1" x14ac:dyDescent="0.2">
      <c r="A19" s="3">
        <v>13</v>
      </c>
      <c r="B19" s="4" t="s">
        <v>283</v>
      </c>
      <c r="C19" s="4" t="s">
        <v>284</v>
      </c>
      <c r="D19" s="4" t="s">
        <v>22</v>
      </c>
      <c r="E19" s="5">
        <v>34622</v>
      </c>
      <c r="F19" s="6">
        <v>81.413633000000004</v>
      </c>
      <c r="G19" s="7">
        <v>1.9743210000000001E-2</v>
      </c>
      <c r="H19" s="53"/>
    </row>
    <row r="20" spans="1:8" ht="17.100000000000001" customHeight="1" x14ac:dyDescent="0.2">
      <c r="A20" s="3">
        <v>14</v>
      </c>
      <c r="B20" s="4" t="s">
        <v>205</v>
      </c>
      <c r="C20" s="4" t="s">
        <v>206</v>
      </c>
      <c r="D20" s="4" t="s">
        <v>900</v>
      </c>
      <c r="E20" s="5">
        <v>2021</v>
      </c>
      <c r="F20" s="6">
        <v>78.230889000000005</v>
      </c>
      <c r="G20" s="7">
        <v>1.8971379E-2</v>
      </c>
      <c r="H20" s="53"/>
    </row>
    <row r="21" spans="1:8" ht="17.100000000000001" customHeight="1" x14ac:dyDescent="0.2">
      <c r="A21" s="3">
        <v>15</v>
      </c>
      <c r="B21" s="4" t="s">
        <v>383</v>
      </c>
      <c r="C21" s="4" t="s">
        <v>384</v>
      </c>
      <c r="D21" s="4" t="s">
        <v>901</v>
      </c>
      <c r="E21" s="5">
        <v>6988</v>
      </c>
      <c r="F21" s="6">
        <v>75.662570000000002</v>
      </c>
      <c r="G21" s="7">
        <v>1.8348548999999999E-2</v>
      </c>
      <c r="H21" s="53"/>
    </row>
    <row r="22" spans="1:8" ht="17.100000000000001" customHeight="1" x14ac:dyDescent="0.2">
      <c r="A22" s="3">
        <v>16</v>
      </c>
      <c r="B22" s="4" t="s">
        <v>363</v>
      </c>
      <c r="C22" s="4" t="s">
        <v>364</v>
      </c>
      <c r="D22" s="4" t="s">
        <v>116</v>
      </c>
      <c r="E22" s="5">
        <v>14697</v>
      </c>
      <c r="F22" s="6">
        <v>75.616065000000006</v>
      </c>
      <c r="G22" s="7">
        <v>1.8337270999999999E-2</v>
      </c>
      <c r="H22" s="53"/>
    </row>
    <row r="23" spans="1:8" ht="17.100000000000001" customHeight="1" x14ac:dyDescent="0.2">
      <c r="A23" s="3">
        <v>17</v>
      </c>
      <c r="B23" s="4" t="s">
        <v>420</v>
      </c>
      <c r="C23" s="4" t="s">
        <v>421</v>
      </c>
      <c r="D23" s="4" t="s">
        <v>224</v>
      </c>
      <c r="E23" s="5">
        <v>8986</v>
      </c>
      <c r="F23" s="6">
        <v>70.953456000000003</v>
      </c>
      <c r="G23" s="7">
        <v>1.7206565E-2</v>
      </c>
      <c r="H23" s="53"/>
    </row>
    <row r="24" spans="1:8" ht="17.100000000000001" customHeight="1" x14ac:dyDescent="0.2">
      <c r="A24" s="3">
        <v>18</v>
      </c>
      <c r="B24" s="4" t="s">
        <v>436</v>
      </c>
      <c r="C24" s="4" t="s">
        <v>437</v>
      </c>
      <c r="D24" s="4" t="s">
        <v>237</v>
      </c>
      <c r="E24" s="5">
        <v>24683</v>
      </c>
      <c r="F24" s="6">
        <v>70.951283500000002</v>
      </c>
      <c r="G24" s="7">
        <v>1.7206038E-2</v>
      </c>
      <c r="H24" s="53"/>
    </row>
    <row r="25" spans="1:8" ht="17.100000000000001" customHeight="1" x14ac:dyDescent="0.2">
      <c r="A25" s="3">
        <v>19</v>
      </c>
      <c r="B25" s="4" t="s">
        <v>318</v>
      </c>
      <c r="C25" s="4" t="s">
        <v>319</v>
      </c>
      <c r="D25" s="4" t="s">
        <v>320</v>
      </c>
      <c r="E25" s="5">
        <v>5299</v>
      </c>
      <c r="F25" s="6">
        <v>69.488436500000006</v>
      </c>
      <c r="G25" s="7">
        <v>1.6851291000000001E-2</v>
      </c>
      <c r="H25" s="53"/>
    </row>
    <row r="26" spans="1:8" ht="17.100000000000001" customHeight="1" x14ac:dyDescent="0.2">
      <c r="A26" s="3">
        <v>20</v>
      </c>
      <c r="B26" s="4" t="s">
        <v>405</v>
      </c>
      <c r="C26" s="4" t="s">
        <v>406</v>
      </c>
      <c r="D26" s="4" t="s">
        <v>320</v>
      </c>
      <c r="E26" s="5">
        <v>4311</v>
      </c>
      <c r="F26" s="6">
        <v>67.001562000000007</v>
      </c>
      <c r="G26" s="7">
        <v>1.6248210999999999E-2</v>
      </c>
      <c r="H26" s="53"/>
    </row>
    <row r="27" spans="1:8" ht="17.100000000000001" customHeight="1" x14ac:dyDescent="0.2">
      <c r="A27" s="3">
        <v>21</v>
      </c>
      <c r="B27" s="4" t="s">
        <v>365</v>
      </c>
      <c r="C27" s="4" t="s">
        <v>366</v>
      </c>
      <c r="D27" s="4" t="s">
        <v>119</v>
      </c>
      <c r="E27" s="5">
        <v>12401</v>
      </c>
      <c r="F27" s="6">
        <v>66.351550500000002</v>
      </c>
      <c r="G27" s="7">
        <v>1.609058E-2</v>
      </c>
      <c r="H27" s="53"/>
    </row>
    <row r="28" spans="1:8" ht="29.1" customHeight="1" x14ac:dyDescent="0.2">
      <c r="A28" s="3">
        <v>22</v>
      </c>
      <c r="B28" s="4" t="s">
        <v>68</v>
      </c>
      <c r="C28" s="4" t="s">
        <v>69</v>
      </c>
      <c r="D28" s="4" t="s">
        <v>25</v>
      </c>
      <c r="E28" s="5">
        <v>2108</v>
      </c>
      <c r="F28" s="6">
        <v>61.566248000000002</v>
      </c>
      <c r="G28" s="7">
        <v>1.4930120999999999E-2</v>
      </c>
      <c r="H28" s="53"/>
    </row>
    <row r="29" spans="1:8" ht="29.1" customHeight="1" x14ac:dyDescent="0.2">
      <c r="A29" s="3">
        <v>23</v>
      </c>
      <c r="B29" s="4" t="s">
        <v>401</v>
      </c>
      <c r="C29" s="4" t="s">
        <v>402</v>
      </c>
      <c r="D29" s="4" t="s">
        <v>227</v>
      </c>
      <c r="E29" s="5">
        <v>13484</v>
      </c>
      <c r="F29" s="6">
        <v>54.832686000000002</v>
      </c>
      <c r="G29" s="7">
        <v>1.3297198E-2</v>
      </c>
      <c r="H29" s="53"/>
    </row>
    <row r="30" spans="1:8" ht="29.1" customHeight="1" x14ac:dyDescent="0.2">
      <c r="A30" s="3">
        <v>24</v>
      </c>
      <c r="B30" s="4" t="s">
        <v>387</v>
      </c>
      <c r="C30" s="4" t="s">
        <v>388</v>
      </c>
      <c r="D30" s="4" t="s">
        <v>65</v>
      </c>
      <c r="E30" s="5">
        <v>3341</v>
      </c>
      <c r="F30" s="6">
        <v>54.040675</v>
      </c>
      <c r="G30" s="7">
        <v>1.3105132E-2</v>
      </c>
      <c r="H30" s="53"/>
    </row>
    <row r="31" spans="1:8" ht="17.100000000000001" customHeight="1" x14ac:dyDescent="0.2">
      <c r="A31" s="3">
        <v>25</v>
      </c>
      <c r="B31" s="4" t="s">
        <v>230</v>
      </c>
      <c r="C31" s="4" t="s">
        <v>231</v>
      </c>
      <c r="D31" s="4" t="s">
        <v>87</v>
      </c>
      <c r="E31" s="5">
        <v>1054</v>
      </c>
      <c r="F31" s="6">
        <v>52.740051999999999</v>
      </c>
      <c r="G31" s="7">
        <v>1.2789724000000001E-2</v>
      </c>
      <c r="H31" s="53"/>
    </row>
    <row r="32" spans="1:8" ht="29.1" customHeight="1" x14ac:dyDescent="0.2">
      <c r="A32" s="3">
        <v>26</v>
      </c>
      <c r="B32" s="4" t="s">
        <v>225</v>
      </c>
      <c r="C32" s="4" t="s">
        <v>226</v>
      </c>
      <c r="D32" s="4" t="s">
        <v>227</v>
      </c>
      <c r="E32" s="5">
        <v>14038</v>
      </c>
      <c r="F32" s="6">
        <v>52.677594999999997</v>
      </c>
      <c r="G32" s="7">
        <v>1.2774578E-2</v>
      </c>
      <c r="H32" s="53"/>
    </row>
    <row r="33" spans="1:8" ht="17.100000000000001" customHeight="1" x14ac:dyDescent="0.2">
      <c r="A33" s="3">
        <v>27</v>
      </c>
      <c r="B33" s="4" t="s">
        <v>442</v>
      </c>
      <c r="C33" s="4" t="s">
        <v>443</v>
      </c>
      <c r="D33" s="4" t="s">
        <v>119</v>
      </c>
      <c r="E33" s="5">
        <v>62967</v>
      </c>
      <c r="F33" s="6">
        <v>51.192171000000002</v>
      </c>
      <c r="G33" s="7">
        <v>1.2414355E-2</v>
      </c>
      <c r="H33" s="53"/>
    </row>
    <row r="34" spans="1:8" ht="29.1" customHeight="1" x14ac:dyDescent="0.2">
      <c r="A34" s="3">
        <v>28</v>
      </c>
      <c r="B34" s="4" t="s">
        <v>407</v>
      </c>
      <c r="C34" s="4" t="s">
        <v>408</v>
      </c>
      <c r="D34" s="4" t="s">
        <v>51</v>
      </c>
      <c r="E34" s="5">
        <v>2243</v>
      </c>
      <c r="F34" s="6">
        <v>49.999834499999999</v>
      </c>
      <c r="G34" s="7">
        <v>1.2125208E-2</v>
      </c>
      <c r="H34" s="53"/>
    </row>
    <row r="35" spans="1:8" ht="17.100000000000001" customHeight="1" x14ac:dyDescent="0.2">
      <c r="A35" s="3">
        <v>29</v>
      </c>
      <c r="B35" s="4" t="s">
        <v>29</v>
      </c>
      <c r="C35" s="4" t="s">
        <v>30</v>
      </c>
      <c r="D35" s="4" t="s">
        <v>19</v>
      </c>
      <c r="E35" s="5">
        <v>8081</v>
      </c>
      <c r="F35" s="6">
        <v>49.593097</v>
      </c>
      <c r="G35" s="7">
        <v>1.2026571999999999E-2</v>
      </c>
      <c r="H35" s="53"/>
    </row>
    <row r="36" spans="1:8" ht="17.100000000000001" customHeight="1" x14ac:dyDescent="0.2">
      <c r="A36" s="3">
        <v>30</v>
      </c>
      <c r="B36" s="4" t="s">
        <v>379</v>
      </c>
      <c r="C36" s="4" t="s">
        <v>380</v>
      </c>
      <c r="D36" s="4" t="s">
        <v>33</v>
      </c>
      <c r="E36" s="5">
        <v>5737</v>
      </c>
      <c r="F36" s="6">
        <v>48.629680499999999</v>
      </c>
      <c r="G36" s="7">
        <v>1.1792939000000001E-2</v>
      </c>
      <c r="H36" s="53"/>
    </row>
    <row r="37" spans="1:8" ht="17.100000000000001" customHeight="1" x14ac:dyDescent="0.2">
      <c r="A37" s="3">
        <v>31</v>
      </c>
      <c r="B37" s="4" t="s">
        <v>458</v>
      </c>
      <c r="C37" s="4" t="s">
        <v>459</v>
      </c>
      <c r="D37" s="4" t="s">
        <v>901</v>
      </c>
      <c r="E37" s="5">
        <v>5849</v>
      </c>
      <c r="F37" s="6">
        <v>47.438314499999997</v>
      </c>
      <c r="G37" s="7">
        <v>1.1504027E-2</v>
      </c>
      <c r="H37" s="53"/>
    </row>
    <row r="38" spans="1:8" ht="17.100000000000001" customHeight="1" x14ac:dyDescent="0.2">
      <c r="A38" s="3">
        <v>32</v>
      </c>
      <c r="B38" s="4" t="s">
        <v>389</v>
      </c>
      <c r="C38" s="4" t="s">
        <v>390</v>
      </c>
      <c r="D38" s="4" t="s">
        <v>119</v>
      </c>
      <c r="E38" s="5">
        <v>6397</v>
      </c>
      <c r="F38" s="6">
        <v>46.803650500000003</v>
      </c>
      <c r="G38" s="7">
        <v>1.1350117E-2</v>
      </c>
      <c r="H38" s="53"/>
    </row>
    <row r="39" spans="1:8" ht="29.1" customHeight="1" x14ac:dyDescent="0.2">
      <c r="A39" s="3">
        <v>33</v>
      </c>
      <c r="B39" s="4" t="s">
        <v>450</v>
      </c>
      <c r="C39" s="4" t="s">
        <v>451</v>
      </c>
      <c r="D39" s="4" t="s">
        <v>430</v>
      </c>
      <c r="E39" s="5">
        <v>8568</v>
      </c>
      <c r="F39" s="6">
        <v>45.371844000000003</v>
      </c>
      <c r="G39" s="7">
        <v>1.1002896999999999E-2</v>
      </c>
      <c r="H39" s="53"/>
    </row>
    <row r="40" spans="1:8" ht="17.100000000000001" customHeight="1" x14ac:dyDescent="0.2">
      <c r="A40" s="3">
        <v>34</v>
      </c>
      <c r="B40" s="4" t="s">
        <v>448</v>
      </c>
      <c r="C40" s="4" t="s">
        <v>449</v>
      </c>
      <c r="D40" s="4" t="s">
        <v>13</v>
      </c>
      <c r="E40" s="5">
        <v>8109</v>
      </c>
      <c r="F40" s="6">
        <v>45.321201000000002</v>
      </c>
      <c r="G40" s="7">
        <v>1.0990616E-2</v>
      </c>
      <c r="H40" s="53"/>
    </row>
    <row r="41" spans="1:8" ht="17.100000000000001" customHeight="1" x14ac:dyDescent="0.2">
      <c r="A41" s="3">
        <v>35</v>
      </c>
      <c r="B41" s="4" t="s">
        <v>454</v>
      </c>
      <c r="C41" s="4" t="s">
        <v>455</v>
      </c>
      <c r="D41" s="4" t="s">
        <v>45</v>
      </c>
      <c r="E41" s="5">
        <v>16529</v>
      </c>
      <c r="F41" s="6">
        <v>44.677886999999998</v>
      </c>
      <c r="G41" s="7">
        <v>1.0834609E-2</v>
      </c>
      <c r="H41" s="53"/>
    </row>
    <row r="42" spans="1:8" ht="17.100000000000001" customHeight="1" x14ac:dyDescent="0.2">
      <c r="A42" s="3">
        <v>36</v>
      </c>
      <c r="B42" s="4" t="s">
        <v>412</v>
      </c>
      <c r="C42" s="4" t="s">
        <v>413</v>
      </c>
      <c r="D42" s="4" t="s">
        <v>33</v>
      </c>
      <c r="E42" s="5">
        <v>5096</v>
      </c>
      <c r="F42" s="6">
        <v>44.600192</v>
      </c>
      <c r="G42" s="7">
        <v>1.0815768E-2</v>
      </c>
      <c r="H42" s="53"/>
    </row>
    <row r="43" spans="1:8" ht="53.1" customHeight="1" x14ac:dyDescent="0.2">
      <c r="A43" s="3">
        <v>37</v>
      </c>
      <c r="B43" s="4" t="s">
        <v>444</v>
      </c>
      <c r="C43" s="4" t="s">
        <v>445</v>
      </c>
      <c r="D43" s="4" t="s">
        <v>48</v>
      </c>
      <c r="E43" s="5">
        <v>14626</v>
      </c>
      <c r="F43" s="6">
        <v>44.441101000000003</v>
      </c>
      <c r="G43" s="7">
        <v>1.0777187000000001E-2</v>
      </c>
      <c r="H43" s="53"/>
    </row>
    <row r="44" spans="1:8" ht="29.1" customHeight="1" x14ac:dyDescent="0.2">
      <c r="A44" s="3">
        <v>38</v>
      </c>
      <c r="B44" s="4" t="s">
        <v>428</v>
      </c>
      <c r="C44" s="4" t="s">
        <v>429</v>
      </c>
      <c r="D44" s="4" t="s">
        <v>430</v>
      </c>
      <c r="E44" s="5">
        <v>7362</v>
      </c>
      <c r="F44" s="6">
        <v>41.856650999999999</v>
      </c>
      <c r="G44" s="7">
        <v>1.0150446E-2</v>
      </c>
      <c r="H44" s="53"/>
    </row>
    <row r="45" spans="1:8" ht="17.100000000000001" customHeight="1" x14ac:dyDescent="0.2">
      <c r="A45" s="3">
        <v>39</v>
      </c>
      <c r="B45" s="4" t="s">
        <v>34</v>
      </c>
      <c r="C45" s="4" t="s">
        <v>35</v>
      </c>
      <c r="D45" s="4" t="s">
        <v>33</v>
      </c>
      <c r="E45" s="5">
        <v>1006</v>
      </c>
      <c r="F45" s="6">
        <v>41.649909000000001</v>
      </c>
      <c r="G45" s="7">
        <v>1.0100309999999999E-2</v>
      </c>
      <c r="H45" s="53"/>
    </row>
    <row r="46" spans="1:8" ht="17.100000000000001" customHeight="1" x14ac:dyDescent="0.2">
      <c r="A46" s="3">
        <v>40</v>
      </c>
      <c r="B46" s="4" t="s">
        <v>440</v>
      </c>
      <c r="C46" s="4" t="s">
        <v>441</v>
      </c>
      <c r="D46" s="4" t="s">
        <v>116</v>
      </c>
      <c r="E46" s="5">
        <v>3437</v>
      </c>
      <c r="F46" s="6">
        <v>41.228533499999998</v>
      </c>
      <c r="G46" s="7">
        <v>9.9981240000000006E-3</v>
      </c>
      <c r="H46" s="53"/>
    </row>
    <row r="47" spans="1:8" ht="29.1" customHeight="1" x14ac:dyDescent="0.2">
      <c r="A47" s="3">
        <v>41</v>
      </c>
      <c r="B47" s="4" t="s">
        <v>418</v>
      </c>
      <c r="C47" s="4" t="s">
        <v>419</v>
      </c>
      <c r="D47" s="4" t="s">
        <v>227</v>
      </c>
      <c r="E47" s="5">
        <v>2084</v>
      </c>
      <c r="F47" s="6">
        <v>40.523380000000003</v>
      </c>
      <c r="G47" s="7">
        <v>9.8271209999999994E-3</v>
      </c>
      <c r="H47" s="53"/>
    </row>
    <row r="48" spans="1:8" ht="17.100000000000001" customHeight="1" x14ac:dyDescent="0.2">
      <c r="A48" s="3">
        <v>42</v>
      </c>
      <c r="B48" s="4" t="s">
        <v>422</v>
      </c>
      <c r="C48" s="4" t="s">
        <v>423</v>
      </c>
      <c r="D48" s="4" t="s">
        <v>265</v>
      </c>
      <c r="E48" s="5">
        <v>11014</v>
      </c>
      <c r="F48" s="6">
        <v>39.507218000000002</v>
      </c>
      <c r="G48" s="7">
        <v>9.5806959999999997E-3</v>
      </c>
      <c r="H48" s="53"/>
    </row>
    <row r="49" spans="1:8" ht="29.1" customHeight="1" x14ac:dyDescent="0.2">
      <c r="A49" s="3">
        <v>43</v>
      </c>
      <c r="B49" s="4" t="s">
        <v>285</v>
      </c>
      <c r="C49" s="4" t="s">
        <v>286</v>
      </c>
      <c r="D49" s="4" t="s">
        <v>199</v>
      </c>
      <c r="E49" s="5">
        <v>5691</v>
      </c>
      <c r="F49" s="6">
        <v>38.667499499999998</v>
      </c>
      <c r="G49" s="7">
        <v>9.3770599999999996E-3</v>
      </c>
      <c r="H49" s="53"/>
    </row>
    <row r="50" spans="1:8" ht="29.1" customHeight="1" x14ac:dyDescent="0.2">
      <c r="A50" s="3">
        <v>44</v>
      </c>
      <c r="B50" s="4" t="s">
        <v>409</v>
      </c>
      <c r="C50" s="4" t="s">
        <v>410</v>
      </c>
      <c r="D50" s="4" t="s">
        <v>411</v>
      </c>
      <c r="E50" s="5">
        <v>30866</v>
      </c>
      <c r="F50" s="6">
        <v>38.567067000000002</v>
      </c>
      <c r="G50" s="7">
        <v>9.3527049999999994E-3</v>
      </c>
      <c r="H50" s="53"/>
    </row>
    <row r="51" spans="1:8" ht="17.100000000000001" customHeight="1" x14ac:dyDescent="0.2">
      <c r="A51" s="3">
        <v>45</v>
      </c>
      <c r="B51" s="4" t="s">
        <v>253</v>
      </c>
      <c r="C51" s="4" t="s">
        <v>254</v>
      </c>
      <c r="D51" s="4" t="s">
        <v>119</v>
      </c>
      <c r="E51" s="5">
        <v>6402</v>
      </c>
      <c r="F51" s="6">
        <v>35.246211000000002</v>
      </c>
      <c r="G51" s="7">
        <v>8.5473809999999997E-3</v>
      </c>
      <c r="H51" s="53"/>
    </row>
    <row r="52" spans="1:8" ht="17.100000000000001" customHeight="1" x14ac:dyDescent="0.2">
      <c r="A52" s="3">
        <v>46</v>
      </c>
      <c r="B52" s="4" t="s">
        <v>393</v>
      </c>
      <c r="C52" s="4" t="s">
        <v>394</v>
      </c>
      <c r="D52" s="4" t="s">
        <v>212</v>
      </c>
      <c r="E52" s="5">
        <v>4863</v>
      </c>
      <c r="F52" s="6">
        <v>35.108428500000002</v>
      </c>
      <c r="G52" s="7">
        <v>8.5139680000000002E-3</v>
      </c>
      <c r="H52" s="53"/>
    </row>
    <row r="53" spans="1:8" ht="17.100000000000001" customHeight="1" x14ac:dyDescent="0.2">
      <c r="A53" s="3">
        <v>47</v>
      </c>
      <c r="B53" s="4" t="s">
        <v>385</v>
      </c>
      <c r="C53" s="4" t="s">
        <v>386</v>
      </c>
      <c r="D53" s="4" t="s">
        <v>119</v>
      </c>
      <c r="E53" s="5">
        <v>3781</v>
      </c>
      <c r="F53" s="6">
        <v>34.607492999999998</v>
      </c>
      <c r="G53" s="7">
        <v>8.3924889999999995E-3</v>
      </c>
      <c r="H53" s="53"/>
    </row>
    <row r="54" spans="1:8" ht="29.1" customHeight="1" x14ac:dyDescent="0.2">
      <c r="A54" s="3">
        <v>48</v>
      </c>
      <c r="B54" s="4" t="s">
        <v>456</v>
      </c>
      <c r="C54" s="4" t="s">
        <v>457</v>
      </c>
      <c r="D54" s="4" t="s">
        <v>373</v>
      </c>
      <c r="E54" s="5">
        <v>8297</v>
      </c>
      <c r="F54" s="6">
        <v>34.171194499999999</v>
      </c>
      <c r="G54" s="7">
        <v>8.2866840000000008E-3</v>
      </c>
      <c r="H54" s="53"/>
    </row>
    <row r="55" spans="1:8" ht="17.100000000000001" customHeight="1" x14ac:dyDescent="0.2">
      <c r="A55" s="3">
        <v>49</v>
      </c>
      <c r="B55" s="4" t="s">
        <v>367</v>
      </c>
      <c r="C55" s="4" t="s">
        <v>368</v>
      </c>
      <c r="D55" s="4" t="s">
        <v>116</v>
      </c>
      <c r="E55" s="5">
        <v>6701</v>
      </c>
      <c r="F55" s="6">
        <v>33.933864</v>
      </c>
      <c r="G55" s="7">
        <v>8.2291299999999994E-3</v>
      </c>
      <c r="H55" s="53"/>
    </row>
    <row r="56" spans="1:8" ht="29.1" customHeight="1" x14ac:dyDescent="0.2">
      <c r="A56" s="3">
        <v>50</v>
      </c>
      <c r="B56" s="4" t="s">
        <v>371</v>
      </c>
      <c r="C56" s="4" t="s">
        <v>372</v>
      </c>
      <c r="D56" s="4" t="s">
        <v>373</v>
      </c>
      <c r="E56" s="5">
        <v>8569</v>
      </c>
      <c r="F56" s="6">
        <v>33.659032000000003</v>
      </c>
      <c r="G56" s="7">
        <v>8.1624820000000004E-3</v>
      </c>
      <c r="H56" s="53"/>
    </row>
    <row r="57" spans="1:8" ht="17.100000000000001" customHeight="1" x14ac:dyDescent="0.2">
      <c r="A57" s="3">
        <v>51</v>
      </c>
      <c r="B57" s="4" t="s">
        <v>446</v>
      </c>
      <c r="C57" s="4" t="s">
        <v>447</v>
      </c>
      <c r="D57" s="4" t="s">
        <v>40</v>
      </c>
      <c r="E57" s="5">
        <v>5422</v>
      </c>
      <c r="F57" s="6">
        <v>33.562179999999998</v>
      </c>
      <c r="G57" s="7">
        <v>8.1389949999999996E-3</v>
      </c>
      <c r="H57" s="53"/>
    </row>
    <row r="58" spans="1:8" ht="17.100000000000001" customHeight="1" x14ac:dyDescent="0.2">
      <c r="A58" s="3">
        <v>52</v>
      </c>
      <c r="B58" s="4" t="s">
        <v>414</v>
      </c>
      <c r="C58" s="4" t="s">
        <v>415</v>
      </c>
      <c r="D58" s="4" t="s">
        <v>87</v>
      </c>
      <c r="E58" s="5">
        <v>4235</v>
      </c>
      <c r="F58" s="6">
        <v>28.452847500000001</v>
      </c>
      <c r="G58" s="7">
        <v>6.899957E-3</v>
      </c>
      <c r="H58" s="53"/>
    </row>
    <row r="59" spans="1:8" ht="17.100000000000001" customHeight="1" x14ac:dyDescent="0.2">
      <c r="A59" s="3">
        <v>53</v>
      </c>
      <c r="B59" s="4" t="s">
        <v>94</v>
      </c>
      <c r="C59" s="4" t="s">
        <v>95</v>
      </c>
      <c r="D59" s="4" t="s">
        <v>96</v>
      </c>
      <c r="E59" s="5">
        <v>5816</v>
      </c>
      <c r="F59" s="6">
        <v>27.047308000000001</v>
      </c>
      <c r="G59" s="7">
        <v>6.5591060000000003E-3</v>
      </c>
      <c r="H59" s="53"/>
    </row>
    <row r="60" spans="1:8" ht="29.1" customHeight="1" x14ac:dyDescent="0.2">
      <c r="A60" s="3">
        <v>54</v>
      </c>
      <c r="B60" s="4" t="s">
        <v>391</v>
      </c>
      <c r="C60" s="4" t="s">
        <v>392</v>
      </c>
      <c r="D60" s="4" t="s">
        <v>116</v>
      </c>
      <c r="E60" s="5">
        <v>2300</v>
      </c>
      <c r="F60" s="6">
        <v>25.372450000000001</v>
      </c>
      <c r="G60" s="7">
        <v>6.1529449999999999E-3</v>
      </c>
      <c r="H60" s="53"/>
    </row>
    <row r="61" spans="1:8" ht="17.100000000000001" customHeight="1" x14ac:dyDescent="0.2">
      <c r="A61" s="3">
        <v>55</v>
      </c>
      <c r="B61" s="4" t="s">
        <v>452</v>
      </c>
      <c r="C61" s="4" t="s">
        <v>453</v>
      </c>
      <c r="D61" s="4" t="s">
        <v>19</v>
      </c>
      <c r="E61" s="5">
        <v>10375</v>
      </c>
      <c r="F61" s="6">
        <v>24.671749999999999</v>
      </c>
      <c r="G61" s="7">
        <v>5.9830220000000002E-3</v>
      </c>
      <c r="H61" s="53"/>
    </row>
    <row r="62" spans="1:8" ht="17.100000000000001" customHeight="1" x14ac:dyDescent="0.2">
      <c r="A62" s="3">
        <v>56</v>
      </c>
      <c r="B62" s="4" t="s">
        <v>416</v>
      </c>
      <c r="C62" s="4" t="s">
        <v>417</v>
      </c>
      <c r="D62" s="4" t="s">
        <v>219</v>
      </c>
      <c r="E62" s="5">
        <v>2788</v>
      </c>
      <c r="F62" s="6">
        <v>22.297029999999999</v>
      </c>
      <c r="G62" s="7">
        <v>5.4071400000000004E-3</v>
      </c>
      <c r="H62" s="53"/>
    </row>
    <row r="63" spans="1:8" ht="17.100000000000001" customHeight="1" x14ac:dyDescent="0.2">
      <c r="A63" s="3">
        <v>57</v>
      </c>
      <c r="B63" s="4" t="s">
        <v>403</v>
      </c>
      <c r="C63" s="4" t="s">
        <v>404</v>
      </c>
      <c r="D63" s="4" t="s">
        <v>13</v>
      </c>
      <c r="E63" s="5">
        <v>21843</v>
      </c>
      <c r="F63" s="6">
        <v>19.5822495</v>
      </c>
      <c r="G63" s="7">
        <v>4.7487930000000003E-3</v>
      </c>
      <c r="H63" s="53"/>
    </row>
    <row r="64" spans="1:8" ht="17.100000000000001" customHeight="1" x14ac:dyDescent="0.2">
      <c r="A64" s="3">
        <v>58</v>
      </c>
      <c r="B64" s="4" t="s">
        <v>426</v>
      </c>
      <c r="C64" s="4" t="s">
        <v>427</v>
      </c>
      <c r="D64" s="4" t="s">
        <v>33</v>
      </c>
      <c r="E64" s="5">
        <v>2256</v>
      </c>
      <c r="F64" s="6">
        <v>18.530784000000001</v>
      </c>
      <c r="G64" s="7">
        <v>4.4938069999999998E-3</v>
      </c>
      <c r="H64" s="53"/>
    </row>
    <row r="65" spans="1:8" ht="29.1" customHeight="1" x14ac:dyDescent="0.2">
      <c r="A65" s="3">
        <v>59</v>
      </c>
      <c r="B65" s="4" t="s">
        <v>424</v>
      </c>
      <c r="C65" s="4" t="s">
        <v>425</v>
      </c>
      <c r="D65" s="4" t="s">
        <v>227</v>
      </c>
      <c r="E65" s="5">
        <v>6683</v>
      </c>
      <c r="F65" s="6">
        <v>16.714182999999998</v>
      </c>
      <c r="G65" s="7">
        <v>4.0532720000000001E-3</v>
      </c>
      <c r="H65" s="53"/>
    </row>
    <row r="66" spans="1:8" ht="29.1" customHeight="1" x14ac:dyDescent="0.2">
      <c r="A66" s="3">
        <v>60</v>
      </c>
      <c r="B66" s="4" t="s">
        <v>376</v>
      </c>
      <c r="C66" s="4" t="s">
        <v>377</v>
      </c>
      <c r="D66" s="4" t="s">
        <v>227</v>
      </c>
      <c r="E66" s="5">
        <v>411</v>
      </c>
      <c r="F66" s="6">
        <v>16.246829999999999</v>
      </c>
      <c r="G66" s="7">
        <v>3.9399370000000001E-3</v>
      </c>
      <c r="H66" s="53"/>
    </row>
    <row r="67" spans="1:8" ht="17.100000000000001" customHeight="1" x14ac:dyDescent="0.2">
      <c r="A67" s="3">
        <v>61</v>
      </c>
      <c r="B67" s="4" t="s">
        <v>331</v>
      </c>
      <c r="C67" s="4" t="s">
        <v>332</v>
      </c>
      <c r="D67" s="4" t="s">
        <v>96</v>
      </c>
      <c r="E67" s="5">
        <v>21125</v>
      </c>
      <c r="F67" s="6">
        <v>15.84375</v>
      </c>
      <c r="G67" s="7">
        <v>3.8421879999999999E-3</v>
      </c>
      <c r="H67" s="53"/>
    </row>
    <row r="68" spans="1:8" ht="29.1" customHeight="1" x14ac:dyDescent="0.2">
      <c r="A68" s="3">
        <v>62</v>
      </c>
      <c r="B68" s="4" t="s">
        <v>314</v>
      </c>
      <c r="C68" s="4" t="s">
        <v>315</v>
      </c>
      <c r="D68" s="4" t="s">
        <v>199</v>
      </c>
      <c r="E68" s="5">
        <v>3145</v>
      </c>
      <c r="F68" s="6">
        <v>14.455992500000001</v>
      </c>
      <c r="G68" s="7">
        <v>3.5056499999999999E-3</v>
      </c>
      <c r="H68" s="53"/>
    </row>
    <row r="69" spans="1:8" ht="17.100000000000001" customHeight="1" x14ac:dyDescent="0.2">
      <c r="A69" s="3">
        <v>63</v>
      </c>
      <c r="B69" s="4" t="s">
        <v>395</v>
      </c>
      <c r="C69" s="4" t="s">
        <v>396</v>
      </c>
      <c r="D69" s="4" t="s">
        <v>116</v>
      </c>
      <c r="E69" s="5">
        <v>5685</v>
      </c>
      <c r="F69" s="6">
        <v>13.527457500000001</v>
      </c>
      <c r="G69" s="7">
        <v>3.2804760000000001E-3</v>
      </c>
      <c r="H69" s="53"/>
    </row>
    <row r="70" spans="1:8" ht="29.1" customHeight="1" x14ac:dyDescent="0.2">
      <c r="A70" s="3">
        <v>64</v>
      </c>
      <c r="B70" s="4" t="s">
        <v>397</v>
      </c>
      <c r="C70" s="4" t="s">
        <v>398</v>
      </c>
      <c r="D70" s="4" t="s">
        <v>60</v>
      </c>
      <c r="E70" s="5">
        <v>1899</v>
      </c>
      <c r="F70" s="6">
        <v>6.919956</v>
      </c>
      <c r="G70" s="7">
        <v>1.678124E-3</v>
      </c>
      <c r="H70" s="53"/>
    </row>
    <row r="71" spans="1:8" ht="29.1" customHeight="1" x14ac:dyDescent="0.2">
      <c r="A71" s="3">
        <v>65</v>
      </c>
      <c r="B71" s="4" t="s">
        <v>431</v>
      </c>
      <c r="C71" s="4" t="s">
        <v>432</v>
      </c>
      <c r="D71" s="4" t="s">
        <v>199</v>
      </c>
      <c r="E71" s="5">
        <v>982</v>
      </c>
      <c r="F71" s="6">
        <v>5.8517380000000001</v>
      </c>
      <c r="G71" s="7">
        <v>1.419076E-3</v>
      </c>
      <c r="H71" s="53"/>
    </row>
    <row r="72" spans="1:8" ht="14.1" customHeight="1" x14ac:dyDescent="0.2">
      <c r="A72" s="1"/>
      <c r="B72" s="1"/>
      <c r="C72" s="2" t="s">
        <v>132</v>
      </c>
      <c r="D72" s="1"/>
      <c r="E72" s="1" t="s">
        <v>133</v>
      </c>
      <c r="F72" s="9">
        <v>3573.139224</v>
      </c>
      <c r="G72" s="10">
        <v>0.86650399</v>
      </c>
      <c r="H72" s="53"/>
    </row>
    <row r="73" spans="1:8" ht="14.1" customHeight="1" x14ac:dyDescent="0.2">
      <c r="A73" s="1"/>
      <c r="B73" s="1"/>
      <c r="C73" s="11"/>
      <c r="D73" s="1"/>
      <c r="E73" s="1"/>
      <c r="F73" s="12"/>
      <c r="G73" s="12"/>
      <c r="H73" s="53"/>
    </row>
    <row r="74" spans="1:8" ht="14.1" customHeight="1" x14ac:dyDescent="0.2">
      <c r="A74" s="1"/>
      <c r="B74" s="1"/>
      <c r="C74" s="2" t="s">
        <v>134</v>
      </c>
      <c r="D74" s="1"/>
      <c r="E74" s="1"/>
      <c r="F74" s="1"/>
      <c r="G74" s="1"/>
      <c r="H74" s="53"/>
    </row>
    <row r="75" spans="1:8" ht="14.1" customHeight="1" x14ac:dyDescent="0.2">
      <c r="A75" s="1"/>
      <c r="B75" s="1"/>
      <c r="C75" s="2" t="s">
        <v>132</v>
      </c>
      <c r="D75" s="1"/>
      <c r="E75" s="1" t="s">
        <v>133</v>
      </c>
      <c r="F75" s="13">
        <v>0</v>
      </c>
      <c r="G75" s="14">
        <v>0</v>
      </c>
      <c r="H75" s="53"/>
    </row>
    <row r="76" spans="1:8" ht="14.1" customHeight="1" x14ac:dyDescent="0.2">
      <c r="A76" s="1"/>
      <c r="B76" s="1"/>
      <c r="C76" s="11"/>
      <c r="D76" s="1"/>
      <c r="E76" s="1"/>
      <c r="F76" s="12"/>
      <c r="G76" s="12"/>
      <c r="H76" s="53"/>
    </row>
    <row r="77" spans="1:8" ht="14.1" customHeight="1" x14ac:dyDescent="0.2">
      <c r="A77" s="1"/>
      <c r="B77" s="1"/>
      <c r="C77" s="2" t="s">
        <v>135</v>
      </c>
      <c r="D77" s="1"/>
      <c r="E77" s="1"/>
      <c r="F77" s="1"/>
      <c r="G77" s="1"/>
      <c r="H77" s="53"/>
    </row>
    <row r="78" spans="1:8" ht="14.1" customHeight="1" x14ac:dyDescent="0.2">
      <c r="A78" s="1"/>
      <c r="B78" s="1"/>
      <c r="C78" s="2" t="s">
        <v>132</v>
      </c>
      <c r="D78" s="1"/>
      <c r="E78" s="1" t="s">
        <v>133</v>
      </c>
      <c r="F78" s="13">
        <v>0</v>
      </c>
      <c r="G78" s="14">
        <v>0</v>
      </c>
      <c r="H78" s="53"/>
    </row>
    <row r="79" spans="1:8" ht="14.1" customHeight="1" x14ac:dyDescent="0.2">
      <c r="A79" s="1"/>
      <c r="B79" s="1"/>
      <c r="C79" s="11"/>
      <c r="D79" s="1"/>
      <c r="E79" s="1"/>
      <c r="F79" s="12"/>
      <c r="G79" s="12"/>
      <c r="H79" s="53"/>
    </row>
    <row r="80" spans="1:8" ht="14.1" customHeight="1" x14ac:dyDescent="0.2">
      <c r="A80" s="1"/>
      <c r="B80" s="1"/>
      <c r="C80" s="2" t="s">
        <v>136</v>
      </c>
      <c r="D80" s="1"/>
      <c r="E80" s="1"/>
      <c r="F80" s="1"/>
      <c r="G80" s="1"/>
      <c r="H80" s="53"/>
    </row>
    <row r="81" spans="1:8" ht="17.100000000000001" customHeight="1" x14ac:dyDescent="0.2">
      <c r="A81" s="3">
        <v>1</v>
      </c>
      <c r="B81" s="4" t="s">
        <v>399</v>
      </c>
      <c r="C81" s="4" t="s">
        <v>960</v>
      </c>
      <c r="D81" s="4" t="s">
        <v>212</v>
      </c>
      <c r="E81" s="5">
        <v>347</v>
      </c>
      <c r="F81" s="6">
        <v>0.53073650000000006</v>
      </c>
      <c r="G81" s="7">
        <v>1.28706E-4</v>
      </c>
      <c r="H81" s="53"/>
    </row>
    <row r="82" spans="1:8" ht="14.1" customHeight="1" x14ac:dyDescent="0.2">
      <c r="A82" s="1"/>
      <c r="B82" s="1"/>
      <c r="C82" s="2" t="s">
        <v>132</v>
      </c>
      <c r="D82" s="1"/>
      <c r="E82" s="1" t="s">
        <v>133</v>
      </c>
      <c r="F82" s="9">
        <v>0.53073650000000006</v>
      </c>
      <c r="G82" s="10">
        <v>1.28706E-4</v>
      </c>
      <c r="H82" s="53"/>
    </row>
    <row r="83" spans="1:8" ht="14.1" customHeight="1" x14ac:dyDescent="0.2">
      <c r="A83" s="1"/>
      <c r="B83" s="1"/>
      <c r="C83" s="11"/>
      <c r="D83" s="1"/>
      <c r="E83" s="1"/>
      <c r="F83" s="12"/>
      <c r="G83" s="12"/>
      <c r="H83" s="53"/>
    </row>
    <row r="84" spans="1:8" ht="14.1" customHeight="1" x14ac:dyDescent="0.2">
      <c r="A84" s="1"/>
      <c r="B84" s="1"/>
      <c r="C84" s="2" t="s">
        <v>137</v>
      </c>
      <c r="D84" s="1"/>
      <c r="E84" s="1"/>
      <c r="F84" s="12"/>
      <c r="G84" s="12"/>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138</v>
      </c>
      <c r="D87" s="1"/>
      <c r="E87" s="1"/>
      <c r="F87" s="12"/>
      <c r="G87" s="12"/>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8" customHeight="1" x14ac:dyDescent="0.2">
      <c r="A90" s="1"/>
      <c r="B90" s="1"/>
      <c r="C90" s="2" t="s">
        <v>139</v>
      </c>
      <c r="D90" s="1"/>
      <c r="E90" s="1"/>
      <c r="F90" s="9">
        <v>3573.6699604999999</v>
      </c>
      <c r="G90" s="10">
        <v>0.86663269600000004</v>
      </c>
      <c r="H90" s="53"/>
    </row>
    <row r="91" spans="1:8" ht="14.1" customHeight="1" x14ac:dyDescent="0.2">
      <c r="A91" s="1"/>
      <c r="B91" s="1"/>
      <c r="C91" s="11"/>
      <c r="D91" s="1"/>
      <c r="E91" s="1"/>
      <c r="F91" s="12"/>
      <c r="G91" s="12"/>
      <c r="H91" s="53"/>
    </row>
    <row r="92" spans="1:8" ht="14.1" customHeight="1" x14ac:dyDescent="0.2">
      <c r="A92" s="1"/>
      <c r="B92" s="1"/>
      <c r="C92" s="2" t="s">
        <v>140</v>
      </c>
      <c r="D92" s="1"/>
      <c r="E92" s="1"/>
      <c r="F92" s="12"/>
      <c r="G92" s="12"/>
      <c r="H92" s="53"/>
    </row>
    <row r="93" spans="1:8" ht="24" customHeight="1" x14ac:dyDescent="0.2">
      <c r="A93" s="1"/>
      <c r="B93" s="1"/>
      <c r="C93" s="2" t="s">
        <v>10</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141</v>
      </c>
      <c r="D96" s="1"/>
      <c r="E96" s="1"/>
      <c r="F96" s="1"/>
      <c r="G96" s="1"/>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142</v>
      </c>
      <c r="D99" s="1"/>
      <c r="E99" s="1"/>
      <c r="F99" s="1"/>
      <c r="G99" s="1"/>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143</v>
      </c>
      <c r="D102" s="1"/>
      <c r="E102" s="1"/>
      <c r="F102" s="12"/>
      <c r="G102" s="12"/>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144</v>
      </c>
      <c r="D105" s="1"/>
      <c r="E105" s="1"/>
      <c r="F105" s="9">
        <v>0</v>
      </c>
      <c r="G105" s="10">
        <v>0</v>
      </c>
      <c r="H105" s="53"/>
    </row>
    <row r="106" spans="1:8" ht="14.1" customHeight="1" x14ac:dyDescent="0.2">
      <c r="A106" s="1"/>
      <c r="B106" s="1"/>
      <c r="C106" s="11"/>
      <c r="D106" s="1"/>
      <c r="E106" s="1"/>
      <c r="F106" s="12"/>
      <c r="G106" s="12"/>
      <c r="H106" s="53"/>
    </row>
    <row r="107" spans="1:8" ht="14.1" customHeight="1" x14ac:dyDescent="0.2">
      <c r="A107" s="1"/>
      <c r="B107" s="1"/>
      <c r="C107" s="2" t="s">
        <v>145</v>
      </c>
      <c r="D107" s="1"/>
      <c r="E107" s="1"/>
      <c r="F107" s="12"/>
      <c r="G107" s="12"/>
      <c r="H107" s="53"/>
    </row>
    <row r="108" spans="1:8" ht="14.1" customHeight="1" x14ac:dyDescent="0.2">
      <c r="A108" s="1"/>
      <c r="B108" s="1"/>
      <c r="C108" s="2" t="s">
        <v>146</v>
      </c>
      <c r="D108" s="1"/>
      <c r="E108" s="1"/>
      <c r="F108" s="12"/>
      <c r="G108" s="12"/>
      <c r="H108" s="53"/>
    </row>
    <row r="109" spans="1:8" ht="14.1" customHeight="1" x14ac:dyDescent="0.2">
      <c r="A109" s="1"/>
      <c r="B109" s="1"/>
      <c r="C109" s="2" t="s">
        <v>132</v>
      </c>
      <c r="D109" s="1"/>
      <c r="E109" s="1" t="s">
        <v>133</v>
      </c>
      <c r="F109" s="13">
        <v>0</v>
      </c>
      <c r="G109" s="14">
        <v>0</v>
      </c>
      <c r="H109" s="53"/>
    </row>
    <row r="110" spans="1:8" ht="14.1" customHeight="1" x14ac:dyDescent="0.2">
      <c r="A110" s="1"/>
      <c r="B110" s="1"/>
      <c r="C110" s="11"/>
      <c r="D110" s="1"/>
      <c r="E110" s="1"/>
      <c r="F110" s="12"/>
      <c r="G110" s="12"/>
      <c r="H110" s="53"/>
    </row>
    <row r="111" spans="1:8" ht="14.1" customHeight="1" x14ac:dyDescent="0.2">
      <c r="A111" s="1"/>
      <c r="B111" s="1"/>
      <c r="C111" s="2" t="s">
        <v>147</v>
      </c>
      <c r="D111" s="1"/>
      <c r="E111" s="1"/>
      <c r="F111" s="12"/>
      <c r="G111" s="12"/>
      <c r="H111" s="53"/>
    </row>
    <row r="112" spans="1:8" ht="14.1" customHeight="1" x14ac:dyDescent="0.2">
      <c r="A112" s="1"/>
      <c r="B112" s="1"/>
      <c r="C112" s="2" t="s">
        <v>132</v>
      </c>
      <c r="D112" s="1"/>
      <c r="E112" s="1" t="s">
        <v>133</v>
      </c>
      <c r="F112" s="13">
        <v>0</v>
      </c>
      <c r="G112" s="14">
        <v>0</v>
      </c>
      <c r="H112" s="53"/>
    </row>
    <row r="113" spans="1:8" ht="14.1" customHeight="1" x14ac:dyDescent="0.2">
      <c r="A113" s="1"/>
      <c r="B113" s="1"/>
      <c r="C113" s="11"/>
      <c r="D113" s="1"/>
      <c r="E113" s="1"/>
      <c r="F113" s="12"/>
      <c r="G113" s="12"/>
      <c r="H113" s="53"/>
    </row>
    <row r="114" spans="1:8" ht="14.1" customHeight="1" x14ac:dyDescent="0.2">
      <c r="A114" s="1"/>
      <c r="B114" s="1"/>
      <c r="C114" s="2" t="s">
        <v>148</v>
      </c>
      <c r="D114" s="1"/>
      <c r="E114" s="1"/>
      <c r="F114" s="12"/>
      <c r="G114" s="12"/>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1"/>
      <c r="C117" s="2" t="s">
        <v>149</v>
      </c>
      <c r="D117" s="1"/>
      <c r="E117" s="1"/>
      <c r="F117" s="12"/>
      <c r="G117" s="12"/>
      <c r="H117" s="53"/>
    </row>
    <row r="118" spans="1:8" ht="17.100000000000001" customHeight="1" x14ac:dyDescent="0.2">
      <c r="A118" s="3">
        <v>1</v>
      </c>
      <c r="B118" s="4"/>
      <c r="C118" s="4" t="s">
        <v>150</v>
      </c>
      <c r="D118" s="4"/>
      <c r="E118" s="8"/>
      <c r="F118" s="6">
        <v>552.69278919999999</v>
      </c>
      <c r="G118" s="7">
        <v>0.13403074400000001</v>
      </c>
      <c r="H118" s="53">
        <v>6.46</v>
      </c>
    </row>
    <row r="119" spans="1:8" ht="14.1" customHeight="1" x14ac:dyDescent="0.2">
      <c r="A119" s="1"/>
      <c r="B119" s="1"/>
      <c r="C119" s="2" t="s">
        <v>132</v>
      </c>
      <c r="D119" s="1"/>
      <c r="E119" s="1" t="s">
        <v>133</v>
      </c>
      <c r="F119" s="9">
        <v>552.69278919999999</v>
      </c>
      <c r="G119" s="10">
        <v>0.13403074400000001</v>
      </c>
      <c r="H119" s="53"/>
    </row>
    <row r="120" spans="1:8" ht="14.1" customHeight="1" x14ac:dyDescent="0.2">
      <c r="A120" s="1"/>
      <c r="B120" s="1"/>
      <c r="C120" s="11"/>
      <c r="D120" s="1"/>
      <c r="E120" s="1"/>
      <c r="F120" s="12"/>
      <c r="G120" s="12"/>
      <c r="H120" s="53"/>
    </row>
    <row r="121" spans="1:8" ht="14.1" customHeight="1" x14ac:dyDescent="0.2">
      <c r="A121" s="1"/>
      <c r="B121" s="1"/>
      <c r="C121" s="2" t="s">
        <v>151</v>
      </c>
      <c r="D121" s="1"/>
      <c r="E121" s="1"/>
      <c r="F121" s="9">
        <v>552.69278919999999</v>
      </c>
      <c r="G121" s="10">
        <v>0.13403074400000001</v>
      </c>
      <c r="H121" s="53"/>
    </row>
    <row r="122" spans="1:8" ht="14.1" customHeight="1" x14ac:dyDescent="0.2">
      <c r="A122" s="1"/>
      <c r="B122" s="1"/>
      <c r="C122" s="12"/>
      <c r="D122" s="1"/>
      <c r="E122" s="1"/>
      <c r="F122" s="1"/>
      <c r="G122" s="1"/>
      <c r="H122" s="53"/>
    </row>
    <row r="123" spans="1:8" ht="14.1" customHeight="1" x14ac:dyDescent="0.2">
      <c r="A123" s="1"/>
      <c r="B123" s="1"/>
      <c r="C123" s="2" t="s">
        <v>152</v>
      </c>
      <c r="D123" s="1"/>
      <c r="E123" s="1"/>
      <c r="F123" s="1"/>
      <c r="G123" s="1"/>
      <c r="H123" s="53"/>
    </row>
    <row r="124" spans="1:8" ht="14.1" customHeight="1" x14ac:dyDescent="0.2">
      <c r="A124" s="1"/>
      <c r="B124" s="1"/>
      <c r="C124" s="2" t="s">
        <v>153</v>
      </c>
      <c r="D124" s="1"/>
      <c r="E124" s="1"/>
      <c r="F124" s="1"/>
      <c r="G124" s="1"/>
      <c r="H124" s="53"/>
    </row>
    <row r="125" spans="1:8" ht="14.1" customHeight="1" x14ac:dyDescent="0.2">
      <c r="A125" s="1"/>
      <c r="B125" s="1"/>
      <c r="C125" s="2" t="s">
        <v>132</v>
      </c>
      <c r="D125" s="1"/>
      <c r="E125" s="1" t="s">
        <v>133</v>
      </c>
      <c r="F125" s="13">
        <v>0</v>
      </c>
      <c r="G125" s="14">
        <v>0</v>
      </c>
      <c r="H125" s="53"/>
    </row>
    <row r="126" spans="1:8" ht="14.1" customHeight="1" x14ac:dyDescent="0.2">
      <c r="A126" s="1"/>
      <c r="B126" s="1"/>
      <c r="C126" s="11"/>
      <c r="D126" s="1"/>
      <c r="E126" s="1"/>
      <c r="F126" s="12"/>
      <c r="G126" s="12"/>
      <c r="H126" s="53"/>
    </row>
    <row r="127" spans="1:8" ht="14.1" customHeight="1" x14ac:dyDescent="0.2">
      <c r="A127" s="1"/>
      <c r="B127" s="1"/>
      <c r="C127" s="2" t="s">
        <v>154</v>
      </c>
      <c r="D127" s="1"/>
      <c r="E127" s="1"/>
      <c r="F127" s="1"/>
      <c r="G127" s="1"/>
      <c r="H127" s="53"/>
    </row>
    <row r="128" spans="1:8" ht="14.1" customHeight="1" x14ac:dyDescent="0.2">
      <c r="A128" s="1"/>
      <c r="B128" s="1"/>
      <c r="C128" s="2" t="s">
        <v>155</v>
      </c>
      <c r="D128" s="1"/>
      <c r="E128" s="1"/>
      <c r="F128" s="1"/>
      <c r="G128" s="1"/>
      <c r="H128" s="53"/>
    </row>
    <row r="129" spans="1:8" ht="14.1" customHeight="1" x14ac:dyDescent="0.2">
      <c r="A129" s="1"/>
      <c r="B129" s="1"/>
      <c r="C129" s="2" t="s">
        <v>132</v>
      </c>
      <c r="D129" s="1"/>
      <c r="E129" s="1" t="s">
        <v>133</v>
      </c>
      <c r="F129" s="13">
        <v>0</v>
      </c>
      <c r="G129" s="14">
        <v>0</v>
      </c>
      <c r="H129" s="53"/>
    </row>
    <row r="130" spans="1:8" ht="14.1" customHeight="1" x14ac:dyDescent="0.2">
      <c r="A130" s="1"/>
      <c r="B130" s="1"/>
      <c r="C130" s="11"/>
      <c r="D130" s="1"/>
      <c r="E130" s="1"/>
      <c r="F130" s="12"/>
      <c r="G130" s="12"/>
      <c r="H130" s="53"/>
    </row>
    <row r="131" spans="1:8" ht="14.1" customHeight="1" x14ac:dyDescent="0.2">
      <c r="A131" s="1"/>
      <c r="B131" s="1"/>
      <c r="C131" s="11"/>
      <c r="D131" s="1"/>
      <c r="E131" s="1"/>
      <c r="F131" s="12"/>
      <c r="G131" s="12"/>
      <c r="H131" s="53"/>
    </row>
    <row r="132" spans="1:8" ht="24" customHeight="1" x14ac:dyDescent="0.2">
      <c r="A132" s="1"/>
      <c r="B132" s="1"/>
      <c r="C132" s="2" t="s">
        <v>156</v>
      </c>
      <c r="D132" s="1"/>
      <c r="E132" s="1"/>
      <c r="F132" s="12"/>
      <c r="G132" s="12"/>
      <c r="H132" s="53"/>
    </row>
    <row r="133" spans="1:8" ht="14.1" customHeight="1" x14ac:dyDescent="0.2">
      <c r="A133" s="1"/>
      <c r="B133" s="1"/>
      <c r="C133" s="2" t="s">
        <v>132</v>
      </c>
      <c r="D133" s="1"/>
      <c r="E133" s="1" t="s">
        <v>133</v>
      </c>
      <c r="F133" s="13">
        <v>0</v>
      </c>
      <c r="G133" s="14">
        <v>0</v>
      </c>
      <c r="H133" s="53"/>
    </row>
    <row r="134" spans="1:8" ht="14.1" customHeight="1" x14ac:dyDescent="0.2">
      <c r="A134" s="1"/>
      <c r="B134" s="1"/>
      <c r="C134" s="11"/>
      <c r="D134" s="1"/>
      <c r="E134" s="1"/>
      <c r="F134" s="12"/>
      <c r="G134" s="12"/>
      <c r="H134" s="53"/>
    </row>
    <row r="135" spans="1:8" ht="14.1" customHeight="1" x14ac:dyDescent="0.2">
      <c r="A135" s="1"/>
      <c r="B135" s="4"/>
      <c r="C135" s="4"/>
      <c r="D135" s="2"/>
      <c r="E135" s="1"/>
      <c r="F135" s="4"/>
      <c r="G135" s="8"/>
      <c r="H135" s="53"/>
    </row>
    <row r="136" spans="1:8" ht="18" customHeight="1" x14ac:dyDescent="0.2">
      <c r="A136" s="8"/>
      <c r="B136" s="4"/>
      <c r="C136" s="4" t="s">
        <v>157</v>
      </c>
      <c r="D136" s="4"/>
      <c r="E136" s="8"/>
      <c r="F136" s="6">
        <v>-2.7357827100000001</v>
      </c>
      <c r="G136" s="7">
        <v>-6.6344099999999997E-4</v>
      </c>
      <c r="H136" s="53"/>
    </row>
    <row r="137" spans="1:8" ht="14.1" customHeight="1" x14ac:dyDescent="0.2">
      <c r="A137" s="11"/>
      <c r="B137" s="11"/>
      <c r="C137" s="2" t="s">
        <v>158</v>
      </c>
      <c r="D137" s="15"/>
      <c r="E137" s="15"/>
      <c r="F137" s="9">
        <v>4123.6269669900003</v>
      </c>
      <c r="G137" s="10">
        <v>0.99999999900000003</v>
      </c>
      <c r="H137" s="53"/>
    </row>
    <row r="138" spans="1:8" ht="14.1" customHeight="1" x14ac:dyDescent="0.2">
      <c r="A138" s="16"/>
      <c r="B138" s="16"/>
      <c r="C138" s="16"/>
      <c r="D138" s="17"/>
      <c r="E138" s="17"/>
      <c r="F138" s="17"/>
      <c r="G138" s="17"/>
    </row>
    <row r="139" spans="1:8" ht="14.1" customHeight="1" x14ac:dyDescent="0.2">
      <c r="A139" s="18"/>
      <c r="B139" s="292" t="s">
        <v>133</v>
      </c>
      <c r="C139" s="292"/>
      <c r="D139" s="292"/>
      <c r="E139" s="292"/>
      <c r="F139" s="292"/>
      <c r="G139" s="20"/>
    </row>
    <row r="140" spans="1:8" ht="14.1" customHeight="1" x14ac:dyDescent="0.2">
      <c r="A140" s="18"/>
      <c r="B140" s="292" t="s">
        <v>133</v>
      </c>
      <c r="C140" s="292"/>
      <c r="D140" s="292"/>
      <c r="E140" s="292"/>
      <c r="F140" s="292"/>
      <c r="G140" s="20"/>
    </row>
    <row r="141" spans="1:8" ht="14.1" customHeight="1" x14ac:dyDescent="0.2">
      <c r="A141" s="18"/>
      <c r="B141" s="18"/>
      <c r="C141" s="18"/>
      <c r="D141" s="20"/>
      <c r="E141" s="20"/>
      <c r="F141" s="20"/>
      <c r="G141" s="20"/>
    </row>
    <row r="142" spans="1:8" ht="14.1" customHeight="1" x14ac:dyDescent="0.2">
      <c r="A142" s="18"/>
      <c r="B142" s="293" t="s">
        <v>160</v>
      </c>
      <c r="C142" s="294"/>
      <c r="D142" s="12" t="s">
        <v>133</v>
      </c>
      <c r="E142" s="21"/>
      <c r="F142" s="20"/>
      <c r="G142" s="20"/>
    </row>
    <row r="143" spans="1:8" ht="29.1" customHeight="1" x14ac:dyDescent="0.2">
      <c r="A143" s="18"/>
      <c r="B143" s="290" t="s">
        <v>161</v>
      </c>
      <c r="C143" s="291"/>
      <c r="D143" s="2" t="s">
        <v>162</v>
      </c>
      <c r="E143" s="21"/>
      <c r="F143" s="20"/>
      <c r="G143" s="20"/>
    </row>
    <row r="144" spans="1:8" ht="17.100000000000001" customHeight="1" x14ac:dyDescent="0.2">
      <c r="A144" s="18"/>
      <c r="B144" s="290" t="s">
        <v>163</v>
      </c>
      <c r="C144" s="291"/>
      <c r="D144" s="2" t="s">
        <v>162</v>
      </c>
      <c r="E144" s="21"/>
      <c r="F144" s="20"/>
      <c r="G144" s="20"/>
    </row>
    <row r="145" spans="1:7" ht="17.100000000000001" customHeight="1" x14ac:dyDescent="0.2">
      <c r="A145" s="18"/>
      <c r="B145" s="290" t="s">
        <v>164</v>
      </c>
      <c r="C145" s="291"/>
      <c r="D145" s="12" t="s">
        <v>133</v>
      </c>
      <c r="E145" s="21"/>
      <c r="F145" s="20"/>
      <c r="G145" s="20"/>
    </row>
    <row r="146" spans="1:7" ht="24" customHeight="1" x14ac:dyDescent="0.2">
      <c r="A146" s="22"/>
      <c r="B146" s="23" t="s">
        <v>133</v>
      </c>
      <c r="C146" s="23" t="s">
        <v>165</v>
      </c>
      <c r="D146" s="23" t="s">
        <v>166</v>
      </c>
      <c r="E146" s="22"/>
      <c r="F146" s="22"/>
      <c r="G146" s="22"/>
    </row>
    <row r="147" spans="1:7" ht="18" customHeight="1" x14ac:dyDescent="0.2">
      <c r="A147" s="22"/>
      <c r="B147" s="23" t="s">
        <v>167</v>
      </c>
      <c r="C147" s="23" t="s">
        <v>168</v>
      </c>
      <c r="D147" s="23" t="s">
        <v>169</v>
      </c>
      <c r="E147" s="22"/>
      <c r="F147" s="22"/>
      <c r="G147" s="22"/>
    </row>
    <row r="148" spans="1:7" ht="17.100000000000001" customHeight="1" x14ac:dyDescent="0.2">
      <c r="A148" s="22"/>
      <c r="B148" s="4" t="s">
        <v>170</v>
      </c>
      <c r="C148" s="24">
        <v>23.4465</v>
      </c>
      <c r="D148" s="24">
        <v>22.689900000000002</v>
      </c>
      <c r="E148" s="22"/>
      <c r="F148" s="19"/>
      <c r="G148" s="25"/>
    </row>
    <row r="149" spans="1:7" ht="17.100000000000001" customHeight="1" x14ac:dyDescent="0.2">
      <c r="A149" s="22"/>
      <c r="B149" s="4" t="s">
        <v>1042</v>
      </c>
      <c r="C149" s="24">
        <v>21.9802</v>
      </c>
      <c r="D149" s="24">
        <v>21.271000000000001</v>
      </c>
      <c r="E149" s="22"/>
      <c r="F149" s="19"/>
      <c r="G149" s="25"/>
    </row>
    <row r="150" spans="1:7" ht="17.100000000000001" customHeight="1" x14ac:dyDescent="0.2">
      <c r="A150" s="22"/>
      <c r="B150" s="4" t="s">
        <v>171</v>
      </c>
      <c r="C150" s="24">
        <v>22.9053</v>
      </c>
      <c r="D150" s="24">
        <v>22.1557</v>
      </c>
      <c r="E150" s="22"/>
      <c r="F150" s="19"/>
      <c r="G150" s="25"/>
    </row>
    <row r="151" spans="1:7" ht="17.100000000000001" customHeight="1" x14ac:dyDescent="0.2">
      <c r="A151" s="22"/>
      <c r="B151" s="4" t="s">
        <v>1043</v>
      </c>
      <c r="C151" s="24">
        <v>21.451499999999999</v>
      </c>
      <c r="D151" s="24">
        <v>20.749500000000001</v>
      </c>
      <c r="E151" s="22"/>
      <c r="F151" s="19"/>
      <c r="G151" s="25"/>
    </row>
    <row r="152" spans="1:7" ht="14.1" customHeight="1" x14ac:dyDescent="0.2">
      <c r="A152" s="22"/>
      <c r="B152" s="22"/>
      <c r="C152" s="22"/>
      <c r="D152" s="22"/>
      <c r="E152" s="22"/>
      <c r="F152" s="22"/>
      <c r="G152" s="22"/>
    </row>
    <row r="153" spans="1:7" ht="17.100000000000001" customHeight="1" x14ac:dyDescent="0.2">
      <c r="A153" s="22"/>
      <c r="B153" s="290" t="s">
        <v>1044</v>
      </c>
      <c r="C153" s="291"/>
      <c r="D153" s="2" t="s">
        <v>162</v>
      </c>
      <c r="E153" s="22"/>
      <c r="F153" s="22"/>
      <c r="G153" s="22"/>
    </row>
    <row r="154" spans="1:7" ht="18" customHeight="1" x14ac:dyDescent="0.2">
      <c r="A154" s="22"/>
      <c r="B154" s="26"/>
      <c r="C154" s="26"/>
      <c r="D154" s="27"/>
      <c r="E154" s="22"/>
      <c r="F154" s="22"/>
      <c r="G154" s="22"/>
    </row>
    <row r="155" spans="1:7" ht="29.1" customHeight="1" x14ac:dyDescent="0.2">
      <c r="A155" s="22"/>
      <c r="B155" s="290" t="s">
        <v>172</v>
      </c>
      <c r="C155" s="291"/>
      <c r="D155" s="2" t="s">
        <v>162</v>
      </c>
      <c r="E155" s="22"/>
      <c r="F155" s="22"/>
      <c r="G155" s="22"/>
    </row>
    <row r="156" spans="1:7" ht="29.1" customHeight="1" x14ac:dyDescent="0.2">
      <c r="A156" s="22"/>
      <c r="B156" s="290" t="s">
        <v>173</v>
      </c>
      <c r="C156" s="291"/>
      <c r="D156" s="2" t="s">
        <v>162</v>
      </c>
      <c r="E156" s="22"/>
      <c r="F156" s="22"/>
      <c r="G156" s="22"/>
    </row>
    <row r="157" spans="1:7" ht="17.100000000000001" customHeight="1" x14ac:dyDescent="0.2">
      <c r="A157" s="22"/>
      <c r="B157" s="290" t="s">
        <v>174</v>
      </c>
      <c r="C157" s="291"/>
      <c r="D157" s="28">
        <v>0.21584179044072396</v>
      </c>
      <c r="E157" s="22"/>
      <c r="F157" s="19"/>
      <c r="G157" s="25"/>
    </row>
    <row r="158" spans="1:7" ht="17.100000000000001" customHeight="1" x14ac:dyDescent="0.2">
      <c r="A158" s="22"/>
      <c r="B158" s="290" t="s">
        <v>175</v>
      </c>
      <c r="C158" s="291"/>
      <c r="D158" s="2" t="s">
        <v>162</v>
      </c>
      <c r="E158" s="22"/>
      <c r="F158" s="22"/>
      <c r="G158" s="22"/>
    </row>
    <row r="162" spans="10:15" x14ac:dyDescent="0.2">
      <c r="J162" s="189"/>
      <c r="K162" s="189"/>
      <c r="L162" s="189"/>
      <c r="M162" s="189"/>
      <c r="N162" s="189"/>
      <c r="O162" s="189"/>
    </row>
  </sheetData>
  <mergeCells count="15">
    <mergeCell ref="B157:C157"/>
    <mergeCell ref="B158:C158"/>
    <mergeCell ref="B143:C143"/>
    <mergeCell ref="B144:C144"/>
    <mergeCell ref="B145:C145"/>
    <mergeCell ref="B153:C153"/>
    <mergeCell ref="B155:C155"/>
    <mergeCell ref="B156:C156"/>
    <mergeCell ref="A1:H1"/>
    <mergeCell ref="A2:H2"/>
    <mergeCell ref="A3:H3"/>
    <mergeCell ref="J2:N2"/>
    <mergeCell ref="B142:C142"/>
    <mergeCell ref="B139:F139"/>
    <mergeCell ref="B140:F140"/>
  </mergeCells>
  <hyperlinks>
    <hyperlink ref="I1" location="Index!B12" display="Index" xr:uid="{5A0186E8-ECCA-4D1C-83AC-5BF11240B7F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462</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v>
      </c>
      <c r="C7" s="4" t="s">
        <v>32</v>
      </c>
      <c r="D7" s="4" t="s">
        <v>33</v>
      </c>
      <c r="E7" s="5">
        <v>33960</v>
      </c>
      <c r="F7" s="6">
        <v>656.71848</v>
      </c>
      <c r="G7" s="7">
        <v>4.6143906999999998E-2</v>
      </c>
      <c r="H7" s="53"/>
    </row>
    <row r="8" spans="1:14" ht="17.100000000000001" customHeight="1" x14ac:dyDescent="0.2">
      <c r="A8" s="3">
        <v>2</v>
      </c>
      <c r="B8" s="4" t="s">
        <v>374</v>
      </c>
      <c r="C8" s="4" t="s">
        <v>375</v>
      </c>
      <c r="D8" s="4" t="s">
        <v>119</v>
      </c>
      <c r="E8" s="5">
        <v>384936</v>
      </c>
      <c r="F8" s="6">
        <v>482.51727599999998</v>
      </c>
      <c r="G8" s="7">
        <v>3.390377E-2</v>
      </c>
      <c r="H8" s="53"/>
    </row>
    <row r="9" spans="1:14" ht="29.1" customHeight="1" x14ac:dyDescent="0.2">
      <c r="A9" s="3">
        <v>3</v>
      </c>
      <c r="B9" s="4" t="s">
        <v>191</v>
      </c>
      <c r="C9" s="4" t="s">
        <v>192</v>
      </c>
      <c r="D9" s="4" t="s">
        <v>116</v>
      </c>
      <c r="E9" s="5">
        <v>120960</v>
      </c>
      <c r="F9" s="6">
        <v>406.96992</v>
      </c>
      <c r="G9" s="7">
        <v>2.8595483000000001E-2</v>
      </c>
      <c r="H9" s="53"/>
    </row>
    <row r="10" spans="1:14" ht="17.100000000000001" customHeight="1" x14ac:dyDescent="0.2">
      <c r="A10" s="3">
        <v>4</v>
      </c>
      <c r="B10" s="4" t="s">
        <v>114</v>
      </c>
      <c r="C10" s="4" t="s">
        <v>115</v>
      </c>
      <c r="D10" s="4" t="s">
        <v>116</v>
      </c>
      <c r="E10" s="5">
        <v>119971</v>
      </c>
      <c r="F10" s="6">
        <v>404.72216850000001</v>
      </c>
      <c r="G10" s="7">
        <v>2.8437546000000001E-2</v>
      </c>
      <c r="H10" s="53"/>
    </row>
    <row r="11" spans="1:14" ht="17.100000000000001" customHeight="1" x14ac:dyDescent="0.2">
      <c r="A11" s="3">
        <v>5</v>
      </c>
      <c r="B11" s="4" t="s">
        <v>436</v>
      </c>
      <c r="C11" s="4" t="s">
        <v>437</v>
      </c>
      <c r="D11" s="4" t="s">
        <v>237</v>
      </c>
      <c r="E11" s="5">
        <v>127326</v>
      </c>
      <c r="F11" s="6">
        <v>365.99858699999999</v>
      </c>
      <c r="G11" s="7">
        <v>2.5716658E-2</v>
      </c>
      <c r="H11" s="53"/>
    </row>
    <row r="12" spans="1:14" ht="17.100000000000001" customHeight="1" x14ac:dyDescent="0.2">
      <c r="A12" s="3">
        <v>6</v>
      </c>
      <c r="B12" s="4" t="s">
        <v>83</v>
      </c>
      <c r="C12" s="4" t="s">
        <v>84</v>
      </c>
      <c r="D12" s="4" t="s">
        <v>33</v>
      </c>
      <c r="E12" s="5">
        <v>23527</v>
      </c>
      <c r="F12" s="6">
        <v>344.59996899999999</v>
      </c>
      <c r="G12" s="7">
        <v>2.4213097999999999E-2</v>
      </c>
      <c r="H12" s="53"/>
    </row>
    <row r="13" spans="1:14" ht="17.100000000000001" customHeight="1" x14ac:dyDescent="0.2">
      <c r="A13" s="3">
        <v>7</v>
      </c>
      <c r="B13" s="4" t="s">
        <v>36</v>
      </c>
      <c r="C13" s="4" t="s">
        <v>37</v>
      </c>
      <c r="D13" s="4" t="s">
        <v>33</v>
      </c>
      <c r="E13" s="5">
        <v>19181</v>
      </c>
      <c r="F13" s="6">
        <v>342.12190650000002</v>
      </c>
      <c r="G13" s="7">
        <v>2.4038977999999999E-2</v>
      </c>
      <c r="H13" s="53"/>
      <c r="J13" s="188" t="s">
        <v>1081</v>
      </c>
    </row>
    <row r="14" spans="1:14" ht="17.100000000000001" customHeight="1" x14ac:dyDescent="0.2">
      <c r="A14" s="3">
        <v>8</v>
      </c>
      <c r="B14" s="4" t="s">
        <v>381</v>
      </c>
      <c r="C14" s="4" t="s">
        <v>382</v>
      </c>
      <c r="D14" s="4" t="s">
        <v>116</v>
      </c>
      <c r="E14" s="5">
        <v>20160</v>
      </c>
      <c r="F14" s="6">
        <v>339.23232000000002</v>
      </c>
      <c r="G14" s="7">
        <v>2.3835942999999998E-2</v>
      </c>
      <c r="H14" s="53"/>
    </row>
    <row r="15" spans="1:14" ht="29.1" customHeight="1" x14ac:dyDescent="0.2">
      <c r="A15" s="3">
        <v>9</v>
      </c>
      <c r="B15" s="4" t="s">
        <v>197</v>
      </c>
      <c r="C15" s="4" t="s">
        <v>198</v>
      </c>
      <c r="D15" s="4" t="s">
        <v>199</v>
      </c>
      <c r="E15" s="5">
        <v>7906</v>
      </c>
      <c r="F15" s="6">
        <v>321.71490499999999</v>
      </c>
      <c r="G15" s="7">
        <v>2.2605093E-2</v>
      </c>
      <c r="H15" s="53"/>
    </row>
    <row r="16" spans="1:14" ht="17.100000000000001" customHeight="1" x14ac:dyDescent="0.2">
      <c r="A16" s="3">
        <v>10</v>
      </c>
      <c r="B16" s="4" t="s">
        <v>301</v>
      </c>
      <c r="C16" s="4" t="s">
        <v>302</v>
      </c>
      <c r="D16" s="4" t="s">
        <v>234</v>
      </c>
      <c r="E16" s="5">
        <v>64027</v>
      </c>
      <c r="F16" s="6">
        <v>319.87889200000001</v>
      </c>
      <c r="G16" s="7">
        <v>2.2476086999999999E-2</v>
      </c>
      <c r="H16" s="53"/>
    </row>
    <row r="17" spans="1:8" ht="17.100000000000001" customHeight="1" x14ac:dyDescent="0.2">
      <c r="A17" s="3">
        <v>11</v>
      </c>
      <c r="B17" s="4" t="s">
        <v>434</v>
      </c>
      <c r="C17" s="4" t="s">
        <v>435</v>
      </c>
      <c r="D17" s="4" t="s">
        <v>96</v>
      </c>
      <c r="E17" s="5">
        <v>21498</v>
      </c>
      <c r="F17" s="6">
        <v>305.80905000000001</v>
      </c>
      <c r="G17" s="7">
        <v>2.1487479E-2</v>
      </c>
      <c r="H17" s="53"/>
    </row>
    <row r="18" spans="1:8" ht="17.100000000000001" customHeight="1" x14ac:dyDescent="0.2">
      <c r="A18" s="3">
        <v>12</v>
      </c>
      <c r="B18" s="4" t="s">
        <v>312</v>
      </c>
      <c r="C18" s="4" t="s">
        <v>313</v>
      </c>
      <c r="D18" s="4" t="s">
        <v>224</v>
      </c>
      <c r="E18" s="5">
        <v>21555</v>
      </c>
      <c r="F18" s="6">
        <v>288.25501500000001</v>
      </c>
      <c r="G18" s="7">
        <v>2.0254055E-2</v>
      </c>
      <c r="H18" s="53"/>
    </row>
    <row r="19" spans="1:8" ht="17.100000000000001" customHeight="1" x14ac:dyDescent="0.2">
      <c r="A19" s="3">
        <v>13</v>
      </c>
      <c r="B19" s="4" t="s">
        <v>85</v>
      </c>
      <c r="C19" s="4" t="s">
        <v>86</v>
      </c>
      <c r="D19" s="4" t="s">
        <v>87</v>
      </c>
      <c r="E19" s="5">
        <v>10363</v>
      </c>
      <c r="F19" s="6">
        <v>284.63533949999999</v>
      </c>
      <c r="G19" s="7">
        <v>1.9999721000000002E-2</v>
      </c>
      <c r="H19" s="53"/>
    </row>
    <row r="20" spans="1:8" ht="17.100000000000001" customHeight="1" x14ac:dyDescent="0.2">
      <c r="A20" s="3">
        <v>14</v>
      </c>
      <c r="B20" s="4" t="s">
        <v>438</v>
      </c>
      <c r="C20" s="4" t="s">
        <v>439</v>
      </c>
      <c r="D20" s="4" t="s">
        <v>900</v>
      </c>
      <c r="E20" s="5">
        <v>40028</v>
      </c>
      <c r="F20" s="6">
        <v>281.89719000000002</v>
      </c>
      <c r="G20" s="7">
        <v>1.9807327E-2</v>
      </c>
      <c r="H20" s="53"/>
    </row>
    <row r="21" spans="1:8" ht="17.100000000000001" customHeight="1" x14ac:dyDescent="0.2">
      <c r="A21" s="3">
        <v>15</v>
      </c>
      <c r="B21" s="4" t="s">
        <v>283</v>
      </c>
      <c r="C21" s="4" t="s">
        <v>284</v>
      </c>
      <c r="D21" s="4" t="s">
        <v>22</v>
      </c>
      <c r="E21" s="5">
        <v>119529</v>
      </c>
      <c r="F21" s="6">
        <v>281.07244350000002</v>
      </c>
      <c r="G21" s="7">
        <v>1.9749376999999999E-2</v>
      </c>
      <c r="H21" s="53"/>
    </row>
    <row r="22" spans="1:8" ht="29.1" customHeight="1" x14ac:dyDescent="0.2">
      <c r="A22" s="3">
        <v>16</v>
      </c>
      <c r="B22" s="4" t="s">
        <v>407</v>
      </c>
      <c r="C22" s="4" t="s">
        <v>408</v>
      </c>
      <c r="D22" s="4" t="s">
        <v>51</v>
      </c>
      <c r="E22" s="5">
        <v>12377</v>
      </c>
      <c r="F22" s="6">
        <v>275.90189550000002</v>
      </c>
      <c r="G22" s="7">
        <v>1.9386071000000001E-2</v>
      </c>
      <c r="H22" s="53"/>
    </row>
    <row r="23" spans="1:8" ht="17.100000000000001" customHeight="1" x14ac:dyDescent="0.2">
      <c r="A23" s="3">
        <v>17</v>
      </c>
      <c r="B23" s="4" t="s">
        <v>383</v>
      </c>
      <c r="C23" s="4" t="s">
        <v>384</v>
      </c>
      <c r="D23" s="4" t="s">
        <v>901</v>
      </c>
      <c r="E23" s="5">
        <v>23695</v>
      </c>
      <c r="F23" s="6">
        <v>256.5576125</v>
      </c>
      <c r="G23" s="7">
        <v>1.8026858E-2</v>
      </c>
      <c r="H23" s="53"/>
    </row>
    <row r="24" spans="1:8" ht="17.100000000000001" customHeight="1" x14ac:dyDescent="0.2">
      <c r="A24" s="3">
        <v>18</v>
      </c>
      <c r="B24" s="4" t="s">
        <v>420</v>
      </c>
      <c r="C24" s="4" t="s">
        <v>421</v>
      </c>
      <c r="D24" s="4" t="s">
        <v>224</v>
      </c>
      <c r="E24" s="5">
        <v>30500</v>
      </c>
      <c r="F24" s="6">
        <v>240.828</v>
      </c>
      <c r="G24" s="7">
        <v>1.6921625999999999E-2</v>
      </c>
      <c r="H24" s="53"/>
    </row>
    <row r="25" spans="1:8" ht="17.100000000000001" customHeight="1" x14ac:dyDescent="0.2">
      <c r="A25" s="3">
        <v>19</v>
      </c>
      <c r="B25" s="4" t="s">
        <v>318</v>
      </c>
      <c r="C25" s="4" t="s">
        <v>319</v>
      </c>
      <c r="D25" s="4" t="s">
        <v>320</v>
      </c>
      <c r="E25" s="5">
        <v>18321</v>
      </c>
      <c r="F25" s="6">
        <v>240.2524335</v>
      </c>
      <c r="G25" s="7">
        <v>1.6881185E-2</v>
      </c>
      <c r="H25" s="53"/>
    </row>
    <row r="26" spans="1:8" ht="17.100000000000001" customHeight="1" x14ac:dyDescent="0.2">
      <c r="A26" s="3">
        <v>20</v>
      </c>
      <c r="B26" s="4" t="s">
        <v>365</v>
      </c>
      <c r="C26" s="4" t="s">
        <v>366</v>
      </c>
      <c r="D26" s="4" t="s">
        <v>119</v>
      </c>
      <c r="E26" s="5">
        <v>43956</v>
      </c>
      <c r="F26" s="6">
        <v>235.186578</v>
      </c>
      <c r="G26" s="7">
        <v>1.6525234999999999E-2</v>
      </c>
      <c r="H26" s="53"/>
    </row>
    <row r="27" spans="1:8" ht="17.100000000000001" customHeight="1" x14ac:dyDescent="0.2">
      <c r="A27" s="3">
        <v>21</v>
      </c>
      <c r="B27" s="4" t="s">
        <v>405</v>
      </c>
      <c r="C27" s="4" t="s">
        <v>406</v>
      </c>
      <c r="D27" s="4" t="s">
        <v>320</v>
      </c>
      <c r="E27" s="5">
        <v>14772</v>
      </c>
      <c r="F27" s="6">
        <v>229.58642399999999</v>
      </c>
      <c r="G27" s="7">
        <v>1.6131744E-2</v>
      </c>
      <c r="H27" s="53"/>
    </row>
    <row r="28" spans="1:8" ht="29.1" customHeight="1" x14ac:dyDescent="0.2">
      <c r="A28" s="3">
        <v>22</v>
      </c>
      <c r="B28" s="4" t="s">
        <v>225</v>
      </c>
      <c r="C28" s="4" t="s">
        <v>226</v>
      </c>
      <c r="D28" s="4" t="s">
        <v>227</v>
      </c>
      <c r="E28" s="5">
        <v>53018</v>
      </c>
      <c r="F28" s="6">
        <v>198.95004499999999</v>
      </c>
      <c r="G28" s="7">
        <v>1.3979098000000001E-2</v>
      </c>
      <c r="H28" s="53"/>
    </row>
    <row r="29" spans="1:8" ht="29.1" customHeight="1" x14ac:dyDescent="0.2">
      <c r="A29" s="3">
        <v>23</v>
      </c>
      <c r="B29" s="4" t="s">
        <v>401</v>
      </c>
      <c r="C29" s="4" t="s">
        <v>402</v>
      </c>
      <c r="D29" s="4" t="s">
        <v>227</v>
      </c>
      <c r="E29" s="5">
        <v>46637</v>
      </c>
      <c r="F29" s="6">
        <v>189.6493605</v>
      </c>
      <c r="G29" s="7">
        <v>1.3325592000000001E-2</v>
      </c>
      <c r="H29" s="53"/>
    </row>
    <row r="30" spans="1:8" ht="29.1" customHeight="1" x14ac:dyDescent="0.2">
      <c r="A30" s="3">
        <v>24</v>
      </c>
      <c r="B30" s="4" t="s">
        <v>387</v>
      </c>
      <c r="C30" s="4" t="s">
        <v>388</v>
      </c>
      <c r="D30" s="4" t="s">
        <v>65</v>
      </c>
      <c r="E30" s="5">
        <v>11589</v>
      </c>
      <c r="F30" s="6">
        <v>187.45207500000001</v>
      </c>
      <c r="G30" s="7">
        <v>1.3171201E-2</v>
      </c>
      <c r="H30" s="53"/>
    </row>
    <row r="31" spans="1:8" ht="17.100000000000001" customHeight="1" x14ac:dyDescent="0.2">
      <c r="A31" s="3">
        <v>25</v>
      </c>
      <c r="B31" s="4" t="s">
        <v>379</v>
      </c>
      <c r="C31" s="4" t="s">
        <v>380</v>
      </c>
      <c r="D31" s="4" t="s">
        <v>33</v>
      </c>
      <c r="E31" s="5">
        <v>20871</v>
      </c>
      <c r="F31" s="6">
        <v>176.91303149999999</v>
      </c>
      <c r="G31" s="7">
        <v>1.2430682E-2</v>
      </c>
      <c r="H31" s="53"/>
    </row>
    <row r="32" spans="1:8" ht="17.100000000000001" customHeight="1" x14ac:dyDescent="0.2">
      <c r="A32" s="3">
        <v>26</v>
      </c>
      <c r="B32" s="4" t="s">
        <v>442</v>
      </c>
      <c r="C32" s="4" t="s">
        <v>443</v>
      </c>
      <c r="D32" s="4" t="s">
        <v>119</v>
      </c>
      <c r="E32" s="5">
        <v>214883</v>
      </c>
      <c r="F32" s="6">
        <v>174.69987900000001</v>
      </c>
      <c r="G32" s="7">
        <v>1.2275176E-2</v>
      </c>
      <c r="H32" s="53"/>
    </row>
    <row r="33" spans="1:8" ht="17.100000000000001" customHeight="1" x14ac:dyDescent="0.2">
      <c r="A33" s="3">
        <v>27</v>
      </c>
      <c r="B33" s="4" t="s">
        <v>29</v>
      </c>
      <c r="C33" s="4" t="s">
        <v>30</v>
      </c>
      <c r="D33" s="4" t="s">
        <v>19</v>
      </c>
      <c r="E33" s="5">
        <v>28181</v>
      </c>
      <c r="F33" s="6">
        <v>172.946797</v>
      </c>
      <c r="G33" s="7">
        <v>1.2151996999999999E-2</v>
      </c>
      <c r="H33" s="53"/>
    </row>
    <row r="34" spans="1:8" ht="17.100000000000001" customHeight="1" x14ac:dyDescent="0.2">
      <c r="A34" s="3">
        <v>28</v>
      </c>
      <c r="B34" s="4" t="s">
        <v>412</v>
      </c>
      <c r="C34" s="4" t="s">
        <v>413</v>
      </c>
      <c r="D34" s="4" t="s">
        <v>33</v>
      </c>
      <c r="E34" s="5">
        <v>19126</v>
      </c>
      <c r="F34" s="6">
        <v>167.39075199999999</v>
      </c>
      <c r="G34" s="7">
        <v>1.1761605E-2</v>
      </c>
      <c r="H34" s="53"/>
    </row>
    <row r="35" spans="1:8" ht="17.100000000000001" customHeight="1" x14ac:dyDescent="0.2">
      <c r="A35" s="3">
        <v>29</v>
      </c>
      <c r="B35" s="4" t="s">
        <v>385</v>
      </c>
      <c r="C35" s="4" t="s">
        <v>386</v>
      </c>
      <c r="D35" s="4" t="s">
        <v>119</v>
      </c>
      <c r="E35" s="5">
        <v>17966</v>
      </c>
      <c r="F35" s="6">
        <v>164.44279800000001</v>
      </c>
      <c r="G35" s="7">
        <v>1.1554469E-2</v>
      </c>
      <c r="H35" s="53"/>
    </row>
    <row r="36" spans="1:8" ht="17.100000000000001" customHeight="1" x14ac:dyDescent="0.2">
      <c r="A36" s="3">
        <v>30</v>
      </c>
      <c r="B36" s="4" t="s">
        <v>34</v>
      </c>
      <c r="C36" s="4" t="s">
        <v>35</v>
      </c>
      <c r="D36" s="4" t="s">
        <v>33</v>
      </c>
      <c r="E36" s="5">
        <v>3907</v>
      </c>
      <c r="F36" s="6">
        <v>161.7556605</v>
      </c>
      <c r="G36" s="7">
        <v>1.1365659E-2</v>
      </c>
      <c r="H36" s="53"/>
    </row>
    <row r="37" spans="1:8" ht="17.100000000000001" customHeight="1" x14ac:dyDescent="0.2">
      <c r="A37" s="3">
        <v>31</v>
      </c>
      <c r="B37" s="4" t="s">
        <v>458</v>
      </c>
      <c r="C37" s="4" t="s">
        <v>459</v>
      </c>
      <c r="D37" s="4" t="s">
        <v>901</v>
      </c>
      <c r="E37" s="5">
        <v>19892</v>
      </c>
      <c r="F37" s="6">
        <v>161.33406600000001</v>
      </c>
      <c r="G37" s="7">
        <v>1.1336036000000001E-2</v>
      </c>
      <c r="H37" s="53"/>
    </row>
    <row r="38" spans="1:8" ht="17.100000000000001" customHeight="1" x14ac:dyDescent="0.2">
      <c r="A38" s="3">
        <v>32</v>
      </c>
      <c r="B38" s="4" t="s">
        <v>389</v>
      </c>
      <c r="C38" s="4" t="s">
        <v>390</v>
      </c>
      <c r="D38" s="4" t="s">
        <v>119</v>
      </c>
      <c r="E38" s="5">
        <v>22023</v>
      </c>
      <c r="F38" s="6">
        <v>161.13127950000001</v>
      </c>
      <c r="G38" s="7">
        <v>1.1321787E-2</v>
      </c>
      <c r="H38" s="53"/>
    </row>
    <row r="39" spans="1:8" ht="29.1" customHeight="1" x14ac:dyDescent="0.2">
      <c r="A39" s="3">
        <v>33</v>
      </c>
      <c r="B39" s="4" t="s">
        <v>450</v>
      </c>
      <c r="C39" s="4" t="s">
        <v>451</v>
      </c>
      <c r="D39" s="4" t="s">
        <v>430</v>
      </c>
      <c r="E39" s="5">
        <v>30368</v>
      </c>
      <c r="F39" s="6">
        <v>160.81374400000001</v>
      </c>
      <c r="G39" s="7">
        <v>1.1299475999999999E-2</v>
      </c>
      <c r="H39" s="53"/>
    </row>
    <row r="40" spans="1:8" ht="17.100000000000001" customHeight="1" x14ac:dyDescent="0.2">
      <c r="A40" s="3">
        <v>34</v>
      </c>
      <c r="B40" s="4" t="s">
        <v>454</v>
      </c>
      <c r="C40" s="4" t="s">
        <v>455</v>
      </c>
      <c r="D40" s="4" t="s">
        <v>45</v>
      </c>
      <c r="E40" s="5">
        <v>57782</v>
      </c>
      <c r="F40" s="6">
        <v>156.18474599999999</v>
      </c>
      <c r="G40" s="7">
        <v>1.0974222E-2</v>
      </c>
      <c r="H40" s="53"/>
    </row>
    <row r="41" spans="1:8" ht="29.1" customHeight="1" x14ac:dyDescent="0.2">
      <c r="A41" s="3">
        <v>35</v>
      </c>
      <c r="B41" s="4" t="s">
        <v>463</v>
      </c>
      <c r="C41" s="4" t="s">
        <v>464</v>
      </c>
      <c r="D41" s="4" t="s">
        <v>465</v>
      </c>
      <c r="E41" s="5">
        <v>36994</v>
      </c>
      <c r="F41" s="6">
        <v>155.41179399999999</v>
      </c>
      <c r="G41" s="7">
        <v>1.0919910999999999E-2</v>
      </c>
      <c r="H41" s="53"/>
    </row>
    <row r="42" spans="1:8" ht="53.1" customHeight="1" x14ac:dyDescent="0.2">
      <c r="A42" s="3">
        <v>36</v>
      </c>
      <c r="B42" s="4" t="s">
        <v>444</v>
      </c>
      <c r="C42" s="4" t="s">
        <v>445</v>
      </c>
      <c r="D42" s="4" t="s">
        <v>48</v>
      </c>
      <c r="E42" s="5">
        <v>50508</v>
      </c>
      <c r="F42" s="6">
        <v>153.468558</v>
      </c>
      <c r="G42" s="7">
        <v>1.0783371E-2</v>
      </c>
      <c r="H42" s="53"/>
    </row>
    <row r="43" spans="1:8" ht="29.1" customHeight="1" x14ac:dyDescent="0.2">
      <c r="A43" s="3">
        <v>37</v>
      </c>
      <c r="B43" s="4" t="s">
        <v>418</v>
      </c>
      <c r="C43" s="4" t="s">
        <v>419</v>
      </c>
      <c r="D43" s="4" t="s">
        <v>227</v>
      </c>
      <c r="E43" s="5">
        <v>7795</v>
      </c>
      <c r="F43" s="6">
        <v>151.57377500000001</v>
      </c>
      <c r="G43" s="7">
        <v>1.0650234999999999E-2</v>
      </c>
      <c r="H43" s="53"/>
    </row>
    <row r="44" spans="1:8" ht="29.1" customHeight="1" x14ac:dyDescent="0.2">
      <c r="A44" s="3">
        <v>38</v>
      </c>
      <c r="B44" s="4" t="s">
        <v>428</v>
      </c>
      <c r="C44" s="4" t="s">
        <v>429</v>
      </c>
      <c r="D44" s="4" t="s">
        <v>430</v>
      </c>
      <c r="E44" s="5">
        <v>25833</v>
      </c>
      <c r="F44" s="6">
        <v>146.87352150000001</v>
      </c>
      <c r="G44" s="7">
        <v>1.0319975E-2</v>
      </c>
      <c r="H44" s="53"/>
    </row>
    <row r="45" spans="1:8" ht="29.1" customHeight="1" x14ac:dyDescent="0.2">
      <c r="A45" s="3">
        <v>39</v>
      </c>
      <c r="B45" s="4" t="s">
        <v>466</v>
      </c>
      <c r="C45" s="4" t="s">
        <v>467</v>
      </c>
      <c r="D45" s="4" t="s">
        <v>227</v>
      </c>
      <c r="E45" s="5">
        <v>2436</v>
      </c>
      <c r="F45" s="6">
        <v>142.580298</v>
      </c>
      <c r="G45" s="7">
        <v>1.0018314E-2</v>
      </c>
      <c r="H45" s="53"/>
    </row>
    <row r="46" spans="1:8" ht="29.1" customHeight="1" x14ac:dyDescent="0.2">
      <c r="A46" s="3">
        <v>40</v>
      </c>
      <c r="B46" s="4" t="s">
        <v>285</v>
      </c>
      <c r="C46" s="4" t="s">
        <v>286</v>
      </c>
      <c r="D46" s="4" t="s">
        <v>199</v>
      </c>
      <c r="E46" s="5">
        <v>19852</v>
      </c>
      <c r="F46" s="6">
        <v>134.88441399999999</v>
      </c>
      <c r="G46" s="7">
        <v>9.4775680000000005E-3</v>
      </c>
      <c r="H46" s="53"/>
    </row>
    <row r="47" spans="1:8" ht="29.1" customHeight="1" x14ac:dyDescent="0.2">
      <c r="A47" s="3">
        <v>41</v>
      </c>
      <c r="B47" s="4" t="s">
        <v>409</v>
      </c>
      <c r="C47" s="4" t="s">
        <v>410</v>
      </c>
      <c r="D47" s="4" t="s">
        <v>411</v>
      </c>
      <c r="E47" s="5">
        <v>107873</v>
      </c>
      <c r="F47" s="6">
        <v>134.78731350000001</v>
      </c>
      <c r="G47" s="7">
        <v>9.4707449999999992E-3</v>
      </c>
      <c r="H47" s="53"/>
    </row>
    <row r="48" spans="1:8" ht="17.100000000000001" customHeight="1" x14ac:dyDescent="0.2">
      <c r="A48" s="3">
        <v>42</v>
      </c>
      <c r="B48" s="4" t="s">
        <v>468</v>
      </c>
      <c r="C48" s="4" t="s">
        <v>469</v>
      </c>
      <c r="D48" s="4" t="s">
        <v>224</v>
      </c>
      <c r="E48" s="5">
        <v>63181</v>
      </c>
      <c r="F48" s="6">
        <v>129.71059299999999</v>
      </c>
      <c r="G48" s="7">
        <v>9.1140319999999993E-3</v>
      </c>
      <c r="H48" s="53"/>
    </row>
    <row r="49" spans="1:8" ht="17.100000000000001" customHeight="1" x14ac:dyDescent="0.2">
      <c r="A49" s="3">
        <v>43</v>
      </c>
      <c r="B49" s="4" t="s">
        <v>253</v>
      </c>
      <c r="C49" s="4" t="s">
        <v>254</v>
      </c>
      <c r="D49" s="4" t="s">
        <v>119</v>
      </c>
      <c r="E49" s="5">
        <v>22326</v>
      </c>
      <c r="F49" s="6">
        <v>122.91579299999999</v>
      </c>
      <c r="G49" s="7">
        <v>8.6365999999999995E-3</v>
      </c>
      <c r="H49" s="53"/>
    </row>
    <row r="50" spans="1:8" ht="17.100000000000001" customHeight="1" x14ac:dyDescent="0.2">
      <c r="A50" s="3">
        <v>44</v>
      </c>
      <c r="B50" s="4" t="s">
        <v>470</v>
      </c>
      <c r="C50" s="4" t="s">
        <v>471</v>
      </c>
      <c r="D50" s="4" t="s">
        <v>116</v>
      </c>
      <c r="E50" s="5">
        <v>8109</v>
      </c>
      <c r="F50" s="6">
        <v>121.399839</v>
      </c>
      <c r="G50" s="7">
        <v>8.5300830000000008E-3</v>
      </c>
      <c r="H50" s="53"/>
    </row>
    <row r="51" spans="1:8" ht="17.100000000000001" customHeight="1" x14ac:dyDescent="0.2">
      <c r="A51" s="3">
        <v>45</v>
      </c>
      <c r="B51" s="4" t="s">
        <v>367</v>
      </c>
      <c r="C51" s="4" t="s">
        <v>368</v>
      </c>
      <c r="D51" s="4" t="s">
        <v>116</v>
      </c>
      <c r="E51" s="5">
        <v>23119</v>
      </c>
      <c r="F51" s="6">
        <v>117.07461600000001</v>
      </c>
      <c r="G51" s="7">
        <v>8.2261729999999998E-3</v>
      </c>
      <c r="H51" s="53"/>
    </row>
    <row r="52" spans="1:8" ht="29.1" customHeight="1" x14ac:dyDescent="0.2">
      <c r="A52" s="3">
        <v>46</v>
      </c>
      <c r="B52" s="4" t="s">
        <v>456</v>
      </c>
      <c r="C52" s="4" t="s">
        <v>457</v>
      </c>
      <c r="D52" s="4" t="s">
        <v>373</v>
      </c>
      <c r="E52" s="5">
        <v>28411</v>
      </c>
      <c r="F52" s="6">
        <v>117.01070350000001</v>
      </c>
      <c r="G52" s="7">
        <v>8.2216830000000005E-3</v>
      </c>
      <c r="H52" s="53"/>
    </row>
    <row r="53" spans="1:8" ht="29.1" customHeight="1" x14ac:dyDescent="0.2">
      <c r="A53" s="3">
        <v>47</v>
      </c>
      <c r="B53" s="4" t="s">
        <v>371</v>
      </c>
      <c r="C53" s="4" t="s">
        <v>372</v>
      </c>
      <c r="D53" s="4" t="s">
        <v>373</v>
      </c>
      <c r="E53" s="5">
        <v>29241</v>
      </c>
      <c r="F53" s="6">
        <v>114.858648</v>
      </c>
      <c r="G53" s="7">
        <v>8.0704699999999997E-3</v>
      </c>
      <c r="H53" s="53"/>
    </row>
    <row r="54" spans="1:8" ht="17.100000000000001" customHeight="1" x14ac:dyDescent="0.2">
      <c r="A54" s="3">
        <v>48</v>
      </c>
      <c r="B54" s="4" t="s">
        <v>446</v>
      </c>
      <c r="C54" s="4" t="s">
        <v>447</v>
      </c>
      <c r="D54" s="4" t="s">
        <v>40</v>
      </c>
      <c r="E54" s="5">
        <v>17619</v>
      </c>
      <c r="F54" s="6">
        <v>109.06161</v>
      </c>
      <c r="G54" s="7">
        <v>7.6631449999999997E-3</v>
      </c>
      <c r="H54" s="53"/>
    </row>
    <row r="55" spans="1:8" ht="17.100000000000001" customHeight="1" x14ac:dyDescent="0.2">
      <c r="A55" s="3">
        <v>49</v>
      </c>
      <c r="B55" s="4" t="s">
        <v>414</v>
      </c>
      <c r="C55" s="4" t="s">
        <v>415</v>
      </c>
      <c r="D55" s="4" t="s">
        <v>87</v>
      </c>
      <c r="E55" s="5">
        <v>15982</v>
      </c>
      <c r="F55" s="6">
        <v>107.375067</v>
      </c>
      <c r="G55" s="7">
        <v>7.5446410000000004E-3</v>
      </c>
      <c r="H55" s="53"/>
    </row>
    <row r="56" spans="1:8" ht="17.100000000000001" customHeight="1" x14ac:dyDescent="0.2">
      <c r="A56" s="3">
        <v>50</v>
      </c>
      <c r="B56" s="4" t="s">
        <v>363</v>
      </c>
      <c r="C56" s="4" t="s">
        <v>364</v>
      </c>
      <c r="D56" s="4" t="s">
        <v>116</v>
      </c>
      <c r="E56" s="5">
        <v>20567</v>
      </c>
      <c r="F56" s="6">
        <v>105.817215</v>
      </c>
      <c r="G56" s="7">
        <v>7.4351790000000001E-3</v>
      </c>
      <c r="H56" s="53"/>
    </row>
    <row r="57" spans="1:8" ht="29.1" customHeight="1" x14ac:dyDescent="0.2">
      <c r="A57" s="3">
        <v>51</v>
      </c>
      <c r="B57" s="4" t="s">
        <v>391</v>
      </c>
      <c r="C57" s="4" t="s">
        <v>392</v>
      </c>
      <c r="D57" s="4" t="s">
        <v>116</v>
      </c>
      <c r="E57" s="5">
        <v>9500</v>
      </c>
      <c r="F57" s="6">
        <v>104.79925</v>
      </c>
      <c r="G57" s="7">
        <v>7.3636530000000004E-3</v>
      </c>
      <c r="H57" s="53"/>
    </row>
    <row r="58" spans="1:8" ht="29.1" customHeight="1" x14ac:dyDescent="0.2">
      <c r="A58" s="3">
        <v>52</v>
      </c>
      <c r="B58" s="4" t="s">
        <v>472</v>
      </c>
      <c r="C58" s="4" t="s">
        <v>473</v>
      </c>
      <c r="D58" s="4" t="s">
        <v>60</v>
      </c>
      <c r="E58" s="5">
        <v>103230</v>
      </c>
      <c r="F58" s="6">
        <v>103.90099499999999</v>
      </c>
      <c r="G58" s="7">
        <v>7.3005370000000002E-3</v>
      </c>
      <c r="H58" s="53"/>
    </row>
    <row r="59" spans="1:8" ht="17.100000000000001" customHeight="1" x14ac:dyDescent="0.2">
      <c r="A59" s="3">
        <v>53</v>
      </c>
      <c r="B59" s="4" t="s">
        <v>393</v>
      </c>
      <c r="C59" s="4" t="s">
        <v>394</v>
      </c>
      <c r="D59" s="4" t="s">
        <v>212</v>
      </c>
      <c r="E59" s="5">
        <v>14087</v>
      </c>
      <c r="F59" s="6">
        <v>101.70109650000001</v>
      </c>
      <c r="G59" s="7">
        <v>7.145963E-3</v>
      </c>
      <c r="H59" s="53"/>
    </row>
    <row r="60" spans="1:8" ht="29.1" customHeight="1" x14ac:dyDescent="0.2">
      <c r="A60" s="3">
        <v>54</v>
      </c>
      <c r="B60" s="4" t="s">
        <v>474</v>
      </c>
      <c r="C60" s="4" t="s">
        <v>475</v>
      </c>
      <c r="D60" s="4" t="s">
        <v>227</v>
      </c>
      <c r="E60" s="5">
        <v>2024</v>
      </c>
      <c r="F60" s="6">
        <v>89.697608000000002</v>
      </c>
      <c r="G60" s="7">
        <v>6.3025449999999997E-3</v>
      </c>
      <c r="H60" s="53"/>
    </row>
    <row r="61" spans="1:8" ht="17.100000000000001" customHeight="1" x14ac:dyDescent="0.2">
      <c r="A61" s="3">
        <v>55</v>
      </c>
      <c r="B61" s="4" t="s">
        <v>452</v>
      </c>
      <c r="C61" s="4" t="s">
        <v>453</v>
      </c>
      <c r="D61" s="4" t="s">
        <v>19</v>
      </c>
      <c r="E61" s="5">
        <v>34897</v>
      </c>
      <c r="F61" s="6">
        <v>82.985066000000003</v>
      </c>
      <c r="G61" s="7">
        <v>5.8308930000000002E-3</v>
      </c>
      <c r="H61" s="53"/>
    </row>
    <row r="62" spans="1:8" ht="17.100000000000001" customHeight="1" x14ac:dyDescent="0.2">
      <c r="A62" s="3">
        <v>56</v>
      </c>
      <c r="B62" s="4" t="s">
        <v>416</v>
      </c>
      <c r="C62" s="4" t="s">
        <v>417</v>
      </c>
      <c r="D62" s="4" t="s">
        <v>219</v>
      </c>
      <c r="E62" s="5">
        <v>9697</v>
      </c>
      <c r="F62" s="6">
        <v>77.551757499999994</v>
      </c>
      <c r="G62" s="7">
        <v>5.449125E-3</v>
      </c>
      <c r="H62" s="53"/>
    </row>
    <row r="63" spans="1:8" ht="17.100000000000001" customHeight="1" x14ac:dyDescent="0.2">
      <c r="A63" s="3">
        <v>57</v>
      </c>
      <c r="B63" s="4" t="s">
        <v>440</v>
      </c>
      <c r="C63" s="4" t="s">
        <v>441</v>
      </c>
      <c r="D63" s="4" t="s">
        <v>116</v>
      </c>
      <c r="E63" s="5">
        <v>5957</v>
      </c>
      <c r="F63" s="6">
        <v>71.457193500000002</v>
      </c>
      <c r="G63" s="7">
        <v>5.0208939999999997E-3</v>
      </c>
      <c r="H63" s="53"/>
    </row>
    <row r="64" spans="1:8" ht="17.100000000000001" customHeight="1" x14ac:dyDescent="0.2">
      <c r="A64" s="3">
        <v>58</v>
      </c>
      <c r="B64" s="4" t="s">
        <v>426</v>
      </c>
      <c r="C64" s="4" t="s">
        <v>427</v>
      </c>
      <c r="D64" s="4" t="s">
        <v>33</v>
      </c>
      <c r="E64" s="5">
        <v>7769</v>
      </c>
      <c r="F64" s="6">
        <v>63.814565999999999</v>
      </c>
      <c r="G64" s="7">
        <v>4.4838899999999999E-3</v>
      </c>
      <c r="H64" s="53"/>
    </row>
    <row r="65" spans="1:8" ht="29.1" customHeight="1" x14ac:dyDescent="0.2">
      <c r="A65" s="3">
        <v>59</v>
      </c>
      <c r="B65" s="4" t="s">
        <v>424</v>
      </c>
      <c r="C65" s="4" t="s">
        <v>425</v>
      </c>
      <c r="D65" s="4" t="s">
        <v>227</v>
      </c>
      <c r="E65" s="5">
        <v>23079</v>
      </c>
      <c r="F65" s="6">
        <v>57.720579000000001</v>
      </c>
      <c r="G65" s="7">
        <v>4.0556999999999998E-3</v>
      </c>
      <c r="H65" s="53"/>
    </row>
    <row r="66" spans="1:8" ht="29.1" customHeight="1" x14ac:dyDescent="0.2">
      <c r="A66" s="3">
        <v>60</v>
      </c>
      <c r="B66" s="4" t="s">
        <v>376</v>
      </c>
      <c r="C66" s="4" t="s">
        <v>377</v>
      </c>
      <c r="D66" s="4" t="s">
        <v>227</v>
      </c>
      <c r="E66" s="5">
        <v>1438</v>
      </c>
      <c r="F66" s="6">
        <v>56.844140000000003</v>
      </c>
      <c r="G66" s="7">
        <v>3.9941170000000002E-3</v>
      </c>
      <c r="H66" s="53"/>
    </row>
    <row r="67" spans="1:8" ht="17.100000000000001" customHeight="1" x14ac:dyDescent="0.2">
      <c r="A67" s="3">
        <v>61</v>
      </c>
      <c r="B67" s="4" t="s">
        <v>331</v>
      </c>
      <c r="C67" s="4" t="s">
        <v>332</v>
      </c>
      <c r="D67" s="4" t="s">
        <v>96</v>
      </c>
      <c r="E67" s="5">
        <v>72875</v>
      </c>
      <c r="F67" s="6">
        <v>54.65625</v>
      </c>
      <c r="G67" s="7">
        <v>3.8403869999999998E-3</v>
      </c>
      <c r="H67" s="53"/>
    </row>
    <row r="68" spans="1:8" ht="17.100000000000001" customHeight="1" x14ac:dyDescent="0.2">
      <c r="A68" s="3">
        <v>62</v>
      </c>
      <c r="B68" s="4" t="s">
        <v>395</v>
      </c>
      <c r="C68" s="4" t="s">
        <v>396</v>
      </c>
      <c r="D68" s="4" t="s">
        <v>116</v>
      </c>
      <c r="E68" s="5">
        <v>22129</v>
      </c>
      <c r="F68" s="6">
        <v>52.655955499999997</v>
      </c>
      <c r="G68" s="7">
        <v>3.6998370000000001E-3</v>
      </c>
      <c r="H68" s="53"/>
    </row>
    <row r="69" spans="1:8" ht="29.1" customHeight="1" x14ac:dyDescent="0.2">
      <c r="A69" s="3">
        <v>63</v>
      </c>
      <c r="B69" s="4" t="s">
        <v>314</v>
      </c>
      <c r="C69" s="4" t="s">
        <v>315</v>
      </c>
      <c r="D69" s="4" t="s">
        <v>199</v>
      </c>
      <c r="E69" s="5">
        <v>10835</v>
      </c>
      <c r="F69" s="6">
        <v>49.803077500000001</v>
      </c>
      <c r="G69" s="7">
        <v>3.4993820000000001E-3</v>
      </c>
      <c r="H69" s="53"/>
    </row>
    <row r="70" spans="1:8" ht="17.100000000000001" customHeight="1" x14ac:dyDescent="0.2">
      <c r="A70" s="3">
        <v>64</v>
      </c>
      <c r="B70" s="4" t="s">
        <v>403</v>
      </c>
      <c r="C70" s="4" t="s">
        <v>404</v>
      </c>
      <c r="D70" s="4" t="s">
        <v>13</v>
      </c>
      <c r="E70" s="5">
        <v>47153</v>
      </c>
      <c r="F70" s="6">
        <v>42.272664499999998</v>
      </c>
      <c r="G70" s="7">
        <v>2.970262E-3</v>
      </c>
      <c r="H70" s="53"/>
    </row>
    <row r="71" spans="1:8" ht="29.1" customHeight="1" x14ac:dyDescent="0.2">
      <c r="A71" s="3">
        <v>65</v>
      </c>
      <c r="B71" s="4" t="s">
        <v>397</v>
      </c>
      <c r="C71" s="4" t="s">
        <v>398</v>
      </c>
      <c r="D71" s="4" t="s">
        <v>60</v>
      </c>
      <c r="E71" s="5">
        <v>6615</v>
      </c>
      <c r="F71" s="6">
        <v>24.105060000000002</v>
      </c>
      <c r="G71" s="7">
        <v>1.6937269999999999E-3</v>
      </c>
      <c r="H71" s="53"/>
    </row>
    <row r="72" spans="1:8" ht="14.1" customHeight="1" x14ac:dyDescent="0.2">
      <c r="A72" s="1"/>
      <c r="B72" s="1"/>
      <c r="C72" s="2" t="s">
        <v>132</v>
      </c>
      <c r="D72" s="1"/>
      <c r="E72" s="1" t="s">
        <v>133</v>
      </c>
      <c r="F72" s="9">
        <v>12236.889657</v>
      </c>
      <c r="G72" s="10">
        <v>0.85981727799999996</v>
      </c>
      <c r="H72" s="53"/>
    </row>
    <row r="73" spans="1:8" ht="14.1" customHeight="1" x14ac:dyDescent="0.2">
      <c r="A73" s="1"/>
      <c r="B73" s="1"/>
      <c r="C73" s="11"/>
      <c r="D73" s="1"/>
      <c r="E73" s="1"/>
      <c r="F73" s="12"/>
      <c r="G73" s="12"/>
      <c r="H73" s="53"/>
    </row>
    <row r="74" spans="1:8" ht="14.1" customHeight="1" x14ac:dyDescent="0.2">
      <c r="A74" s="1"/>
      <c r="B74" s="1"/>
      <c r="C74" s="2" t="s">
        <v>134</v>
      </c>
      <c r="D74" s="1"/>
      <c r="E74" s="1"/>
      <c r="F74" s="1"/>
      <c r="G74" s="1"/>
      <c r="H74" s="53"/>
    </row>
    <row r="75" spans="1:8" ht="14.1" customHeight="1" x14ac:dyDescent="0.2">
      <c r="A75" s="1"/>
      <c r="B75" s="1"/>
      <c r="C75" s="2" t="s">
        <v>132</v>
      </c>
      <c r="D75" s="1"/>
      <c r="E75" s="1" t="s">
        <v>133</v>
      </c>
      <c r="F75" s="13">
        <v>0</v>
      </c>
      <c r="G75" s="14">
        <v>0</v>
      </c>
      <c r="H75" s="53"/>
    </row>
    <row r="76" spans="1:8" ht="14.1" customHeight="1" x14ac:dyDescent="0.2">
      <c r="A76" s="1"/>
      <c r="B76" s="1"/>
      <c r="C76" s="11"/>
      <c r="D76" s="1"/>
      <c r="E76" s="1"/>
      <c r="F76" s="12"/>
      <c r="G76" s="12"/>
      <c r="H76" s="53"/>
    </row>
    <row r="77" spans="1:8" ht="14.1" customHeight="1" x14ac:dyDescent="0.2">
      <c r="A77" s="1"/>
      <c r="B77" s="1"/>
      <c r="C77" s="2" t="s">
        <v>135</v>
      </c>
      <c r="D77" s="1"/>
      <c r="E77" s="1"/>
      <c r="F77" s="1"/>
      <c r="G77" s="1"/>
      <c r="H77" s="53"/>
    </row>
    <row r="78" spans="1:8" ht="14.1" customHeight="1" x14ac:dyDescent="0.2">
      <c r="A78" s="1"/>
      <c r="B78" s="1"/>
      <c r="C78" s="2" t="s">
        <v>132</v>
      </c>
      <c r="D78" s="1"/>
      <c r="E78" s="1" t="s">
        <v>133</v>
      </c>
      <c r="F78" s="13">
        <v>0</v>
      </c>
      <c r="G78" s="14">
        <v>0</v>
      </c>
      <c r="H78" s="53"/>
    </row>
    <row r="79" spans="1:8" ht="14.1" customHeight="1" x14ac:dyDescent="0.2">
      <c r="A79" s="1"/>
      <c r="B79" s="1"/>
      <c r="C79" s="11"/>
      <c r="D79" s="1"/>
      <c r="E79" s="1"/>
      <c r="F79" s="12"/>
      <c r="G79" s="12"/>
      <c r="H79" s="53"/>
    </row>
    <row r="80" spans="1:8" ht="14.1" customHeight="1" x14ac:dyDescent="0.2">
      <c r="A80" s="1"/>
      <c r="B80" s="1"/>
      <c r="C80" s="2" t="s">
        <v>136</v>
      </c>
      <c r="D80" s="1"/>
      <c r="E80" s="1"/>
      <c r="F80" s="1"/>
      <c r="G80" s="1"/>
      <c r="H80" s="53"/>
    </row>
    <row r="81" spans="1:8" ht="17.100000000000001" customHeight="1" x14ac:dyDescent="0.2">
      <c r="A81" s="3">
        <v>1</v>
      </c>
      <c r="B81" s="4" t="s">
        <v>399</v>
      </c>
      <c r="C81" s="4" t="s">
        <v>960</v>
      </c>
      <c r="D81" s="4" t="s">
        <v>212</v>
      </c>
      <c r="E81" s="5">
        <v>1006</v>
      </c>
      <c r="F81" s="6">
        <v>1.5386770000000001</v>
      </c>
      <c r="G81" s="7">
        <v>1.08114E-4</v>
      </c>
      <c r="H81" s="53"/>
    </row>
    <row r="82" spans="1:8" ht="14.1" customHeight="1" x14ac:dyDescent="0.2">
      <c r="A82" s="1"/>
      <c r="B82" s="1"/>
      <c r="C82" s="2" t="s">
        <v>132</v>
      </c>
      <c r="D82" s="1"/>
      <c r="E82" s="1" t="s">
        <v>133</v>
      </c>
      <c r="F82" s="9">
        <v>1.5386770000000001</v>
      </c>
      <c r="G82" s="10">
        <v>1.08114E-4</v>
      </c>
      <c r="H82" s="53"/>
    </row>
    <row r="83" spans="1:8" ht="14.1" customHeight="1" x14ac:dyDescent="0.2">
      <c r="A83" s="1"/>
      <c r="B83" s="1"/>
      <c r="C83" s="11"/>
      <c r="D83" s="1"/>
      <c r="E83" s="1"/>
      <c r="F83" s="12"/>
      <c r="G83" s="12"/>
      <c r="H83" s="53"/>
    </row>
    <row r="84" spans="1:8" ht="14.1" customHeight="1" x14ac:dyDescent="0.2">
      <c r="A84" s="1"/>
      <c r="B84" s="1"/>
      <c r="C84" s="2" t="s">
        <v>137</v>
      </c>
      <c r="D84" s="1"/>
      <c r="E84" s="1"/>
      <c r="F84" s="12"/>
      <c r="G84" s="12"/>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138</v>
      </c>
      <c r="D87" s="1"/>
      <c r="E87" s="1"/>
      <c r="F87" s="12"/>
      <c r="G87" s="12"/>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8" customHeight="1" x14ac:dyDescent="0.2">
      <c r="A90" s="1"/>
      <c r="B90" s="1"/>
      <c r="C90" s="2" t="s">
        <v>139</v>
      </c>
      <c r="D90" s="1"/>
      <c r="E90" s="1"/>
      <c r="F90" s="9">
        <v>12238.428334</v>
      </c>
      <c r="G90" s="10">
        <v>0.85992539199999996</v>
      </c>
      <c r="H90" s="53"/>
    </row>
    <row r="91" spans="1:8" ht="14.1" customHeight="1" x14ac:dyDescent="0.2">
      <c r="A91" s="1"/>
      <c r="B91" s="1"/>
      <c r="C91" s="11"/>
      <c r="D91" s="1"/>
      <c r="E91" s="1"/>
      <c r="F91" s="12"/>
      <c r="G91" s="12"/>
      <c r="H91" s="53"/>
    </row>
    <row r="92" spans="1:8" ht="14.1" customHeight="1" x14ac:dyDescent="0.2">
      <c r="A92" s="1"/>
      <c r="B92" s="1"/>
      <c r="C92" s="2" t="s">
        <v>140</v>
      </c>
      <c r="D92" s="1"/>
      <c r="E92" s="1"/>
      <c r="F92" s="12"/>
      <c r="G92" s="12"/>
      <c r="H92" s="53"/>
    </row>
    <row r="93" spans="1:8" ht="24" customHeight="1" x14ac:dyDescent="0.2">
      <c r="A93" s="1"/>
      <c r="B93" s="1"/>
      <c r="C93" s="2" t="s">
        <v>10</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141</v>
      </c>
      <c r="D96" s="1"/>
      <c r="E96" s="1"/>
      <c r="F96" s="1"/>
      <c r="G96" s="1"/>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142</v>
      </c>
      <c r="D99" s="1"/>
      <c r="E99" s="1"/>
      <c r="F99" s="1"/>
      <c r="G99" s="1"/>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143</v>
      </c>
      <c r="D102" s="1"/>
      <c r="E102" s="1"/>
      <c r="F102" s="12"/>
      <c r="G102" s="12"/>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144</v>
      </c>
      <c r="D105" s="1"/>
      <c r="E105" s="1"/>
      <c r="F105" s="9">
        <v>0</v>
      </c>
      <c r="G105" s="10">
        <v>0</v>
      </c>
      <c r="H105" s="53"/>
    </row>
    <row r="106" spans="1:8" ht="14.1" customHeight="1" x14ac:dyDescent="0.2">
      <c r="A106" s="1"/>
      <c r="B106" s="1"/>
      <c r="C106" s="11"/>
      <c r="D106" s="1"/>
      <c r="E106" s="1"/>
      <c r="F106" s="12"/>
      <c r="G106" s="12"/>
      <c r="H106" s="53"/>
    </row>
    <row r="107" spans="1:8" ht="14.1" customHeight="1" x14ac:dyDescent="0.2">
      <c r="A107" s="1"/>
      <c r="B107" s="1"/>
      <c r="C107" s="2" t="s">
        <v>145</v>
      </c>
      <c r="D107" s="1"/>
      <c r="E107" s="1"/>
      <c r="F107" s="12"/>
      <c r="G107" s="12"/>
      <c r="H107" s="53"/>
    </row>
    <row r="108" spans="1:8" ht="14.1" customHeight="1" x14ac:dyDescent="0.2">
      <c r="A108" s="1"/>
      <c r="B108" s="1"/>
      <c r="C108" s="2" t="s">
        <v>146</v>
      </c>
      <c r="D108" s="1"/>
      <c r="E108" s="1"/>
      <c r="F108" s="12"/>
      <c r="G108" s="12"/>
      <c r="H108" s="53"/>
    </row>
    <row r="109" spans="1:8" ht="14.1" customHeight="1" x14ac:dyDescent="0.2">
      <c r="A109" s="1"/>
      <c r="B109" s="1"/>
      <c r="C109" s="2" t="s">
        <v>132</v>
      </c>
      <c r="D109" s="1"/>
      <c r="E109" s="1" t="s">
        <v>133</v>
      </c>
      <c r="F109" s="13">
        <v>0</v>
      </c>
      <c r="G109" s="14">
        <v>0</v>
      </c>
      <c r="H109" s="53"/>
    </row>
    <row r="110" spans="1:8" ht="14.1" customHeight="1" x14ac:dyDescent="0.2">
      <c r="A110" s="1"/>
      <c r="B110" s="1"/>
      <c r="C110" s="11"/>
      <c r="D110" s="1"/>
      <c r="E110" s="1"/>
      <c r="F110" s="12"/>
      <c r="G110" s="12"/>
      <c r="H110" s="53"/>
    </row>
    <row r="111" spans="1:8" ht="14.1" customHeight="1" x14ac:dyDescent="0.2">
      <c r="A111" s="1"/>
      <c r="B111" s="1"/>
      <c r="C111" s="2" t="s">
        <v>147</v>
      </c>
      <c r="D111" s="1"/>
      <c r="E111" s="1"/>
      <c r="F111" s="12"/>
      <c r="G111" s="12"/>
      <c r="H111" s="53"/>
    </row>
    <row r="112" spans="1:8" ht="14.1" customHeight="1" x14ac:dyDescent="0.2">
      <c r="A112" s="1"/>
      <c r="B112" s="1"/>
      <c r="C112" s="2" t="s">
        <v>132</v>
      </c>
      <c r="D112" s="1"/>
      <c r="E112" s="1" t="s">
        <v>133</v>
      </c>
      <c r="F112" s="13">
        <v>0</v>
      </c>
      <c r="G112" s="14">
        <v>0</v>
      </c>
      <c r="H112" s="53"/>
    </row>
    <row r="113" spans="1:8" ht="14.1" customHeight="1" x14ac:dyDescent="0.2">
      <c r="A113" s="1"/>
      <c r="B113" s="1"/>
      <c r="C113" s="11"/>
      <c r="D113" s="1"/>
      <c r="E113" s="1"/>
      <c r="F113" s="12"/>
      <c r="G113" s="12"/>
      <c r="H113" s="53"/>
    </row>
    <row r="114" spans="1:8" ht="14.1" customHeight="1" x14ac:dyDescent="0.2">
      <c r="A114" s="1"/>
      <c r="B114" s="1"/>
      <c r="C114" s="2" t="s">
        <v>148</v>
      </c>
      <c r="D114" s="1"/>
      <c r="E114" s="1"/>
      <c r="F114" s="12"/>
      <c r="G114" s="12"/>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1"/>
      <c r="C117" s="2" t="s">
        <v>149</v>
      </c>
      <c r="D117" s="1"/>
      <c r="E117" s="1"/>
      <c r="F117" s="12"/>
      <c r="G117" s="12"/>
      <c r="H117" s="53"/>
    </row>
    <row r="118" spans="1:8" ht="17.100000000000001" customHeight="1" x14ac:dyDescent="0.2">
      <c r="A118" s="3">
        <v>1</v>
      </c>
      <c r="B118" s="4"/>
      <c r="C118" s="4" t="s">
        <v>150</v>
      </c>
      <c r="D118" s="4"/>
      <c r="E118" s="8"/>
      <c r="F118" s="6">
        <v>1995.6397429000001</v>
      </c>
      <c r="G118" s="7">
        <v>0.14022235799999999</v>
      </c>
      <c r="H118" s="53">
        <v>6.46</v>
      </c>
    </row>
    <row r="119" spans="1:8" ht="14.1" customHeight="1" x14ac:dyDescent="0.2">
      <c r="A119" s="1"/>
      <c r="B119" s="1"/>
      <c r="C119" s="2" t="s">
        <v>132</v>
      </c>
      <c r="D119" s="1"/>
      <c r="E119" s="1" t="s">
        <v>133</v>
      </c>
      <c r="F119" s="9">
        <v>1995.6397429000001</v>
      </c>
      <c r="G119" s="10">
        <v>0.14022235799999999</v>
      </c>
      <c r="H119" s="53"/>
    </row>
    <row r="120" spans="1:8" ht="14.1" customHeight="1" x14ac:dyDescent="0.2">
      <c r="A120" s="1"/>
      <c r="B120" s="1"/>
      <c r="C120" s="11"/>
      <c r="D120" s="1"/>
      <c r="E120" s="1"/>
      <c r="F120" s="12"/>
      <c r="G120" s="12"/>
      <c r="H120" s="53"/>
    </row>
    <row r="121" spans="1:8" ht="14.1" customHeight="1" x14ac:dyDescent="0.2">
      <c r="A121" s="1"/>
      <c r="B121" s="1"/>
      <c r="C121" s="2" t="s">
        <v>151</v>
      </c>
      <c r="D121" s="1"/>
      <c r="E121" s="1"/>
      <c r="F121" s="9">
        <v>1995.6397429000001</v>
      </c>
      <c r="G121" s="10">
        <v>0.14022235799999999</v>
      </c>
      <c r="H121" s="53"/>
    </row>
    <row r="122" spans="1:8" ht="14.1" customHeight="1" x14ac:dyDescent="0.2">
      <c r="A122" s="1"/>
      <c r="B122" s="1"/>
      <c r="C122" s="12"/>
      <c r="D122" s="1"/>
      <c r="E122" s="1"/>
      <c r="F122" s="1"/>
      <c r="G122" s="1"/>
      <c r="H122" s="53"/>
    </row>
    <row r="123" spans="1:8" ht="14.1" customHeight="1" x14ac:dyDescent="0.2">
      <c r="A123" s="1"/>
      <c r="B123" s="1"/>
      <c r="C123" s="2" t="s">
        <v>152</v>
      </c>
      <c r="D123" s="1"/>
      <c r="E123" s="1"/>
      <c r="F123" s="1"/>
      <c r="G123" s="1"/>
      <c r="H123" s="53"/>
    </row>
    <row r="124" spans="1:8" ht="14.1" customHeight="1" x14ac:dyDescent="0.2">
      <c r="A124" s="1"/>
      <c r="B124" s="1"/>
      <c r="C124" s="2" t="s">
        <v>153</v>
      </c>
      <c r="D124" s="1"/>
      <c r="E124" s="1"/>
      <c r="F124" s="1"/>
      <c r="G124" s="1"/>
      <c r="H124" s="53"/>
    </row>
    <row r="125" spans="1:8" ht="14.1" customHeight="1" x14ac:dyDescent="0.2">
      <c r="A125" s="1"/>
      <c r="B125" s="1"/>
      <c r="C125" s="2" t="s">
        <v>132</v>
      </c>
      <c r="D125" s="1"/>
      <c r="E125" s="1" t="s">
        <v>133</v>
      </c>
      <c r="F125" s="13">
        <v>0</v>
      </c>
      <c r="G125" s="14">
        <v>0</v>
      </c>
      <c r="H125" s="53"/>
    </row>
    <row r="126" spans="1:8" ht="14.1" customHeight="1" x14ac:dyDescent="0.2">
      <c r="A126" s="1"/>
      <c r="B126" s="1"/>
      <c r="C126" s="11"/>
      <c r="D126" s="1"/>
      <c r="E126" s="1"/>
      <c r="F126" s="12"/>
      <c r="G126" s="12"/>
      <c r="H126" s="53"/>
    </row>
    <row r="127" spans="1:8" ht="14.1" customHeight="1" x14ac:dyDescent="0.2">
      <c r="A127" s="1"/>
      <c r="B127" s="1"/>
      <c r="C127" s="2" t="s">
        <v>154</v>
      </c>
      <c r="D127" s="1"/>
      <c r="E127" s="1"/>
      <c r="F127" s="1"/>
      <c r="G127" s="1"/>
      <c r="H127" s="53"/>
    </row>
    <row r="128" spans="1:8" ht="14.1" customHeight="1" x14ac:dyDescent="0.2">
      <c r="A128" s="1"/>
      <c r="B128" s="1"/>
      <c r="C128" s="2" t="s">
        <v>155</v>
      </c>
      <c r="D128" s="1"/>
      <c r="E128" s="1"/>
      <c r="F128" s="1"/>
      <c r="G128" s="1"/>
      <c r="H128" s="53"/>
    </row>
    <row r="129" spans="1:8" ht="14.1" customHeight="1" x14ac:dyDescent="0.2">
      <c r="A129" s="1"/>
      <c r="B129" s="1"/>
      <c r="C129" s="2" t="s">
        <v>132</v>
      </c>
      <c r="D129" s="1"/>
      <c r="E129" s="1" t="s">
        <v>133</v>
      </c>
      <c r="F129" s="13">
        <v>0</v>
      </c>
      <c r="G129" s="14">
        <v>0</v>
      </c>
      <c r="H129" s="53"/>
    </row>
    <row r="130" spans="1:8" ht="14.1" customHeight="1" x14ac:dyDescent="0.2">
      <c r="A130" s="1"/>
      <c r="B130" s="1"/>
      <c r="C130" s="11"/>
      <c r="D130" s="1"/>
      <c r="E130" s="1"/>
      <c r="F130" s="12"/>
      <c r="G130" s="12"/>
      <c r="H130" s="53"/>
    </row>
    <row r="131" spans="1:8" ht="14.1" customHeight="1" x14ac:dyDescent="0.2">
      <c r="A131" s="1"/>
      <c r="B131" s="1"/>
      <c r="C131" s="11"/>
      <c r="D131" s="1"/>
      <c r="E131" s="1"/>
      <c r="F131" s="12"/>
      <c r="G131" s="12"/>
      <c r="H131" s="53"/>
    </row>
    <row r="132" spans="1:8" ht="24" customHeight="1" x14ac:dyDescent="0.2">
      <c r="A132" s="1"/>
      <c r="B132" s="1"/>
      <c r="C132" s="2" t="s">
        <v>156</v>
      </c>
      <c r="D132" s="1"/>
      <c r="E132" s="1"/>
      <c r="F132" s="12"/>
      <c r="G132" s="12"/>
      <c r="H132" s="53"/>
    </row>
    <row r="133" spans="1:8" ht="14.1" customHeight="1" x14ac:dyDescent="0.2">
      <c r="A133" s="1"/>
      <c r="B133" s="1"/>
      <c r="C133" s="2" t="s">
        <v>132</v>
      </c>
      <c r="D133" s="1"/>
      <c r="E133" s="1" t="s">
        <v>133</v>
      </c>
      <c r="F133" s="13">
        <v>0</v>
      </c>
      <c r="G133" s="14">
        <v>0</v>
      </c>
      <c r="H133" s="53"/>
    </row>
    <row r="134" spans="1:8" ht="14.1" customHeight="1" x14ac:dyDescent="0.2">
      <c r="A134" s="1"/>
      <c r="B134" s="1"/>
      <c r="C134" s="11"/>
      <c r="D134" s="1"/>
      <c r="E134" s="1"/>
      <c r="F134" s="12"/>
      <c r="G134" s="12"/>
      <c r="H134" s="53"/>
    </row>
    <row r="135" spans="1:8" ht="14.1" customHeight="1" x14ac:dyDescent="0.2">
      <c r="A135" s="1"/>
      <c r="B135" s="4"/>
      <c r="C135" s="4"/>
      <c r="D135" s="2"/>
      <c r="E135" s="1"/>
      <c r="F135" s="4"/>
      <c r="G135" s="8"/>
      <c r="H135" s="53"/>
    </row>
    <row r="136" spans="1:8" ht="18" customHeight="1" x14ac:dyDescent="0.2">
      <c r="A136" s="8"/>
      <c r="B136" s="4"/>
      <c r="C136" s="4" t="s">
        <v>157</v>
      </c>
      <c r="D136" s="4"/>
      <c r="E136" s="8"/>
      <c r="F136" s="6">
        <v>-2.1027367099999998</v>
      </c>
      <c r="G136" s="7">
        <v>-1.4774699999999999E-4</v>
      </c>
      <c r="H136" s="53"/>
    </row>
    <row r="137" spans="1:8" ht="14.1" customHeight="1" x14ac:dyDescent="0.2">
      <c r="A137" s="11"/>
      <c r="B137" s="11"/>
      <c r="C137" s="2" t="s">
        <v>158</v>
      </c>
      <c r="D137" s="15"/>
      <c r="E137" s="15"/>
      <c r="F137" s="9">
        <v>14231.96534019</v>
      </c>
      <c r="G137" s="10">
        <v>1.000000003</v>
      </c>
      <c r="H137" s="53"/>
    </row>
    <row r="138" spans="1:8" ht="14.1" customHeight="1" x14ac:dyDescent="0.2">
      <c r="A138" s="16"/>
      <c r="B138" s="16"/>
      <c r="C138" s="16"/>
      <c r="D138" s="17"/>
      <c r="E138" s="17"/>
      <c r="F138" s="17"/>
      <c r="G138" s="17"/>
    </row>
    <row r="139" spans="1:8" ht="14.1" customHeight="1" x14ac:dyDescent="0.2">
      <c r="A139" s="18"/>
      <c r="B139" s="292" t="s">
        <v>133</v>
      </c>
      <c r="C139" s="292"/>
      <c r="D139" s="292"/>
      <c r="E139" s="292"/>
      <c r="F139" s="292"/>
      <c r="G139" s="20"/>
    </row>
    <row r="140" spans="1:8" ht="14.1" customHeight="1" x14ac:dyDescent="0.2">
      <c r="A140" s="18"/>
      <c r="B140" s="292" t="s">
        <v>133</v>
      </c>
      <c r="C140" s="292"/>
      <c r="D140" s="292"/>
      <c r="E140" s="292"/>
      <c r="F140" s="292"/>
      <c r="G140" s="20"/>
    </row>
    <row r="141" spans="1:8" ht="14.1" customHeight="1" x14ac:dyDescent="0.2">
      <c r="A141" s="18"/>
      <c r="B141" s="18"/>
      <c r="C141" s="18"/>
      <c r="D141" s="20"/>
      <c r="E141" s="20"/>
      <c r="F141" s="20"/>
      <c r="G141" s="20"/>
    </row>
    <row r="142" spans="1:8" ht="14.1" customHeight="1" x14ac:dyDescent="0.2">
      <c r="A142" s="18"/>
      <c r="B142" s="293" t="s">
        <v>160</v>
      </c>
      <c r="C142" s="294"/>
      <c r="D142" s="12" t="s">
        <v>133</v>
      </c>
      <c r="E142" s="21"/>
      <c r="F142" s="20"/>
      <c r="G142" s="20"/>
    </row>
    <row r="143" spans="1:8" ht="29.1" customHeight="1" x14ac:dyDescent="0.2">
      <c r="A143" s="18"/>
      <c r="B143" s="290" t="s">
        <v>161</v>
      </c>
      <c r="C143" s="291"/>
      <c r="D143" s="2" t="s">
        <v>162</v>
      </c>
      <c r="E143" s="21"/>
      <c r="F143" s="20"/>
      <c r="G143" s="20"/>
    </row>
    <row r="144" spans="1:8" ht="17.100000000000001" customHeight="1" x14ac:dyDescent="0.2">
      <c r="A144" s="18"/>
      <c r="B144" s="290" t="s">
        <v>163</v>
      </c>
      <c r="C144" s="291"/>
      <c r="D144" s="2" t="s">
        <v>162</v>
      </c>
      <c r="E144" s="21"/>
      <c r="F144" s="20"/>
      <c r="G144" s="20"/>
    </row>
    <row r="145" spans="1:15" ht="17.100000000000001" customHeight="1" x14ac:dyDescent="0.2">
      <c r="A145" s="18"/>
      <c r="B145" s="290" t="s">
        <v>164</v>
      </c>
      <c r="C145" s="291"/>
      <c r="D145" s="12" t="s">
        <v>133</v>
      </c>
      <c r="E145" s="21"/>
      <c r="F145" s="20"/>
      <c r="G145" s="20"/>
    </row>
    <row r="146" spans="1:15" ht="24" customHeight="1" x14ac:dyDescent="0.2">
      <c r="A146" s="22"/>
      <c r="B146" s="23" t="s">
        <v>133</v>
      </c>
      <c r="C146" s="23" t="s">
        <v>165</v>
      </c>
      <c r="D146" s="23" t="s">
        <v>166</v>
      </c>
      <c r="E146" s="22"/>
      <c r="F146" s="22"/>
      <c r="G146" s="22"/>
    </row>
    <row r="147" spans="1:15" ht="18" customHeight="1" x14ac:dyDescent="0.2">
      <c r="A147" s="22"/>
      <c r="B147" s="23" t="s">
        <v>167</v>
      </c>
      <c r="C147" s="23" t="s">
        <v>168</v>
      </c>
      <c r="D147" s="23" t="s">
        <v>169</v>
      </c>
      <c r="E147" s="22"/>
      <c r="F147" s="22"/>
      <c r="G147" s="22"/>
    </row>
    <row r="148" spans="1:15" ht="17.100000000000001" customHeight="1" x14ac:dyDescent="0.2">
      <c r="A148" s="22"/>
      <c r="B148" s="4" t="s">
        <v>170</v>
      </c>
      <c r="C148" s="24">
        <v>23.2498</v>
      </c>
      <c r="D148" s="24">
        <v>22.475999999999999</v>
      </c>
      <c r="E148" s="22"/>
      <c r="F148" s="19"/>
      <c r="G148" s="25"/>
    </row>
    <row r="149" spans="1:15" ht="17.100000000000001" customHeight="1" x14ac:dyDescent="0.2">
      <c r="A149" s="22"/>
      <c r="B149" s="4" t="s">
        <v>1042</v>
      </c>
      <c r="C149" s="24">
        <v>21.822299999999998</v>
      </c>
      <c r="D149" s="24">
        <v>21.096</v>
      </c>
      <c r="E149" s="22"/>
      <c r="F149" s="19"/>
      <c r="G149" s="25"/>
    </row>
    <row r="150" spans="1:15" ht="17.100000000000001" customHeight="1" x14ac:dyDescent="0.2">
      <c r="A150" s="22"/>
      <c r="B150" s="4" t="s">
        <v>171</v>
      </c>
      <c r="C150" s="24">
        <v>22.808800000000002</v>
      </c>
      <c r="D150" s="24">
        <v>22.041899999999998</v>
      </c>
      <c r="E150" s="22"/>
      <c r="F150" s="19"/>
      <c r="G150" s="25"/>
    </row>
    <row r="151" spans="1:15" ht="17.100000000000001" customHeight="1" x14ac:dyDescent="0.2">
      <c r="A151" s="22"/>
      <c r="B151" s="4" t="s">
        <v>1043</v>
      </c>
      <c r="C151" s="24">
        <v>21.3904</v>
      </c>
      <c r="D151" s="24">
        <v>20.671199999999999</v>
      </c>
      <c r="E151" s="22"/>
      <c r="F151" s="19"/>
      <c r="G151" s="25"/>
    </row>
    <row r="152" spans="1:15" ht="14.1" customHeight="1" x14ac:dyDescent="0.2">
      <c r="A152" s="22"/>
      <c r="B152" s="22"/>
      <c r="C152" s="22"/>
      <c r="D152" s="22"/>
      <c r="E152" s="22"/>
      <c r="F152" s="22"/>
      <c r="G152" s="22"/>
    </row>
    <row r="153" spans="1:15" ht="17.100000000000001" customHeight="1" x14ac:dyDescent="0.2">
      <c r="A153" s="22"/>
      <c r="B153" s="290" t="s">
        <v>1044</v>
      </c>
      <c r="C153" s="291"/>
      <c r="D153" s="2" t="s">
        <v>162</v>
      </c>
      <c r="E153" s="22"/>
      <c r="F153" s="22"/>
      <c r="G153" s="22"/>
    </row>
    <row r="154" spans="1:15" ht="18" customHeight="1" x14ac:dyDescent="0.2">
      <c r="A154" s="22"/>
      <c r="B154" s="26"/>
      <c r="C154" s="26"/>
      <c r="D154" s="27"/>
      <c r="E154" s="22"/>
      <c r="F154" s="22"/>
      <c r="G154" s="22"/>
    </row>
    <row r="155" spans="1:15" ht="29.1" customHeight="1" x14ac:dyDescent="0.2">
      <c r="A155" s="22"/>
      <c r="B155" s="290" t="s">
        <v>172</v>
      </c>
      <c r="C155" s="291"/>
      <c r="D155" s="2" t="s">
        <v>162</v>
      </c>
      <c r="E155" s="22"/>
      <c r="F155" s="22"/>
      <c r="G155" s="22"/>
    </row>
    <row r="156" spans="1:15" ht="29.1" customHeight="1" x14ac:dyDescent="0.2">
      <c r="A156" s="22"/>
      <c r="B156" s="290" t="s">
        <v>173</v>
      </c>
      <c r="C156" s="291"/>
      <c r="D156" s="2" t="s">
        <v>162</v>
      </c>
      <c r="E156" s="22"/>
      <c r="F156" s="22"/>
      <c r="G156" s="22"/>
      <c r="J156" s="189"/>
      <c r="K156" s="189"/>
      <c r="L156" s="189"/>
      <c r="M156" s="189"/>
      <c r="N156" s="189"/>
      <c r="O156" s="189"/>
    </row>
    <row r="157" spans="1:15" ht="17.100000000000001" customHeight="1" x14ac:dyDescent="0.2">
      <c r="A157" s="22"/>
      <c r="B157" s="290" t="s">
        <v>174</v>
      </c>
      <c r="C157" s="291"/>
      <c r="D157" s="28">
        <v>0.27903313563875248</v>
      </c>
      <c r="E157" s="22"/>
      <c r="F157" s="19"/>
      <c r="G157" s="25"/>
    </row>
    <row r="158" spans="1:15" ht="17.100000000000001" customHeight="1" x14ac:dyDescent="0.2">
      <c r="A158" s="22"/>
      <c r="B158" s="290" t="s">
        <v>175</v>
      </c>
      <c r="C158" s="291"/>
      <c r="D158" s="2" t="s">
        <v>162</v>
      </c>
      <c r="E158" s="22"/>
      <c r="F158" s="22"/>
      <c r="G158" s="22"/>
    </row>
  </sheetData>
  <mergeCells count="15">
    <mergeCell ref="B157:C157"/>
    <mergeCell ref="B158:C158"/>
    <mergeCell ref="B143:C143"/>
    <mergeCell ref="B144:C144"/>
    <mergeCell ref="B145:C145"/>
    <mergeCell ref="B153:C153"/>
    <mergeCell ref="B155:C155"/>
    <mergeCell ref="B156:C156"/>
    <mergeCell ref="A1:H1"/>
    <mergeCell ref="A2:H2"/>
    <mergeCell ref="A3:H3"/>
    <mergeCell ref="J2:N2"/>
    <mergeCell ref="B142:C142"/>
    <mergeCell ref="B139:F139"/>
    <mergeCell ref="B140:F140"/>
  </mergeCells>
  <hyperlinks>
    <hyperlink ref="I1" location="Index!B13" display="Index" xr:uid="{14185D36-46D2-4314-982F-3A807792856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476</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374</v>
      </c>
      <c r="C7" s="4" t="s">
        <v>375</v>
      </c>
      <c r="D7" s="4" t="s">
        <v>119</v>
      </c>
      <c r="E7" s="5">
        <v>91263</v>
      </c>
      <c r="F7" s="6">
        <v>114.39817050000001</v>
      </c>
      <c r="G7" s="7">
        <v>3.8560746E-2</v>
      </c>
      <c r="H7" s="53"/>
    </row>
    <row r="8" spans="1:14" ht="17.100000000000001" customHeight="1" x14ac:dyDescent="0.2">
      <c r="A8" s="3">
        <v>2</v>
      </c>
      <c r="B8" s="4" t="s">
        <v>381</v>
      </c>
      <c r="C8" s="4" t="s">
        <v>382</v>
      </c>
      <c r="D8" s="4" t="s">
        <v>116</v>
      </c>
      <c r="E8" s="5">
        <v>6741</v>
      </c>
      <c r="F8" s="6">
        <v>113.430807</v>
      </c>
      <c r="G8" s="7">
        <v>3.8234672999999997E-2</v>
      </c>
      <c r="H8" s="53"/>
    </row>
    <row r="9" spans="1:14" ht="17.100000000000001" customHeight="1" x14ac:dyDescent="0.2">
      <c r="A9" s="3">
        <v>3</v>
      </c>
      <c r="B9" s="4" t="s">
        <v>83</v>
      </c>
      <c r="C9" s="4" t="s">
        <v>84</v>
      </c>
      <c r="D9" s="4" t="s">
        <v>33</v>
      </c>
      <c r="E9" s="5">
        <v>7681</v>
      </c>
      <c r="F9" s="6">
        <v>112.503607</v>
      </c>
      <c r="G9" s="7">
        <v>3.7922137000000002E-2</v>
      </c>
      <c r="H9" s="53"/>
    </row>
    <row r="10" spans="1:14" ht="17.100000000000001" customHeight="1" x14ac:dyDescent="0.2">
      <c r="A10" s="3">
        <v>4</v>
      </c>
      <c r="B10" s="4" t="s">
        <v>31</v>
      </c>
      <c r="C10" s="4" t="s">
        <v>32</v>
      </c>
      <c r="D10" s="4" t="s">
        <v>33</v>
      </c>
      <c r="E10" s="5">
        <v>5488</v>
      </c>
      <c r="F10" s="6">
        <v>106.12694399999999</v>
      </c>
      <c r="G10" s="7">
        <v>3.5772723999999999E-2</v>
      </c>
      <c r="H10" s="53"/>
    </row>
    <row r="11" spans="1:14" ht="17.100000000000001" customHeight="1" x14ac:dyDescent="0.2">
      <c r="A11" s="3">
        <v>5</v>
      </c>
      <c r="B11" s="4" t="s">
        <v>438</v>
      </c>
      <c r="C11" s="4" t="s">
        <v>439</v>
      </c>
      <c r="D11" s="4" t="s">
        <v>900</v>
      </c>
      <c r="E11" s="5">
        <v>13845</v>
      </c>
      <c r="F11" s="6">
        <v>97.503412499999996</v>
      </c>
      <c r="G11" s="7">
        <v>3.2865947999999999E-2</v>
      </c>
      <c r="H11" s="53"/>
    </row>
    <row r="12" spans="1:14" ht="29.1" customHeight="1" x14ac:dyDescent="0.2">
      <c r="A12" s="3">
        <v>6</v>
      </c>
      <c r="B12" s="4" t="s">
        <v>191</v>
      </c>
      <c r="C12" s="4" t="s">
        <v>192</v>
      </c>
      <c r="D12" s="4" t="s">
        <v>116</v>
      </c>
      <c r="E12" s="5">
        <v>27823</v>
      </c>
      <c r="F12" s="6">
        <v>93.610483500000001</v>
      </c>
      <c r="G12" s="7">
        <v>3.1553739999999997E-2</v>
      </c>
      <c r="H12" s="53"/>
    </row>
    <row r="13" spans="1:14" ht="17.100000000000001" customHeight="1" x14ac:dyDescent="0.2">
      <c r="A13" s="3">
        <v>7</v>
      </c>
      <c r="B13" s="4" t="s">
        <v>114</v>
      </c>
      <c r="C13" s="4" t="s">
        <v>115</v>
      </c>
      <c r="D13" s="4" t="s">
        <v>116</v>
      </c>
      <c r="E13" s="5">
        <v>26505</v>
      </c>
      <c r="F13" s="6">
        <v>89.414617500000006</v>
      </c>
      <c r="G13" s="7">
        <v>3.0139419000000001E-2</v>
      </c>
      <c r="H13" s="53"/>
      <c r="J13" s="188" t="s">
        <v>1082</v>
      </c>
    </row>
    <row r="14" spans="1:14" ht="17.100000000000001" customHeight="1" x14ac:dyDescent="0.2">
      <c r="A14" s="3">
        <v>8</v>
      </c>
      <c r="B14" s="4" t="s">
        <v>301</v>
      </c>
      <c r="C14" s="4" t="s">
        <v>302</v>
      </c>
      <c r="D14" s="4" t="s">
        <v>234</v>
      </c>
      <c r="E14" s="5">
        <v>16846</v>
      </c>
      <c r="F14" s="6">
        <v>84.162616</v>
      </c>
      <c r="G14" s="7">
        <v>2.8369101000000001E-2</v>
      </c>
      <c r="H14" s="53"/>
    </row>
    <row r="15" spans="1:14" ht="17.100000000000001" customHeight="1" x14ac:dyDescent="0.2">
      <c r="A15" s="3">
        <v>9</v>
      </c>
      <c r="B15" s="4" t="s">
        <v>205</v>
      </c>
      <c r="C15" s="4" t="s">
        <v>206</v>
      </c>
      <c r="D15" s="4" t="s">
        <v>900</v>
      </c>
      <c r="E15" s="5">
        <v>2123</v>
      </c>
      <c r="F15" s="6">
        <v>82.179207000000005</v>
      </c>
      <c r="G15" s="7">
        <v>2.7700544000000001E-2</v>
      </c>
      <c r="H15" s="53"/>
    </row>
    <row r="16" spans="1:14" ht="17.100000000000001" customHeight="1" x14ac:dyDescent="0.2">
      <c r="A16" s="3">
        <v>10</v>
      </c>
      <c r="B16" s="4" t="s">
        <v>379</v>
      </c>
      <c r="C16" s="4" t="s">
        <v>380</v>
      </c>
      <c r="D16" s="4" t="s">
        <v>33</v>
      </c>
      <c r="E16" s="5">
        <v>9092</v>
      </c>
      <c r="F16" s="6">
        <v>77.068337999999997</v>
      </c>
      <c r="G16" s="7">
        <v>2.5977798999999999E-2</v>
      </c>
      <c r="H16" s="53"/>
    </row>
    <row r="17" spans="1:8" ht="17.100000000000001" customHeight="1" x14ac:dyDescent="0.2">
      <c r="A17" s="3">
        <v>11</v>
      </c>
      <c r="B17" s="4" t="s">
        <v>312</v>
      </c>
      <c r="C17" s="4" t="s">
        <v>313</v>
      </c>
      <c r="D17" s="4" t="s">
        <v>224</v>
      </c>
      <c r="E17" s="5">
        <v>5630</v>
      </c>
      <c r="F17" s="6">
        <v>75.289990000000003</v>
      </c>
      <c r="G17" s="7">
        <v>2.5378362000000002E-2</v>
      </c>
      <c r="H17" s="53"/>
    </row>
    <row r="18" spans="1:8" ht="29.1" customHeight="1" x14ac:dyDescent="0.2">
      <c r="A18" s="3">
        <v>12</v>
      </c>
      <c r="B18" s="4" t="s">
        <v>197</v>
      </c>
      <c r="C18" s="4" t="s">
        <v>198</v>
      </c>
      <c r="D18" s="4" t="s">
        <v>199</v>
      </c>
      <c r="E18" s="5">
        <v>1842</v>
      </c>
      <c r="F18" s="6">
        <v>74.955584999999999</v>
      </c>
      <c r="G18" s="7">
        <v>2.5265643000000001E-2</v>
      </c>
      <c r="H18" s="53"/>
    </row>
    <row r="19" spans="1:8" ht="17.100000000000001" customHeight="1" x14ac:dyDescent="0.2">
      <c r="A19" s="3">
        <v>13</v>
      </c>
      <c r="B19" s="4" t="s">
        <v>363</v>
      </c>
      <c r="C19" s="4" t="s">
        <v>364</v>
      </c>
      <c r="D19" s="4" t="s">
        <v>116</v>
      </c>
      <c r="E19" s="5">
        <v>14146</v>
      </c>
      <c r="F19" s="6">
        <v>72.781170000000003</v>
      </c>
      <c r="G19" s="7">
        <v>2.4532702E-2</v>
      </c>
      <c r="H19" s="53"/>
    </row>
    <row r="20" spans="1:8" ht="17.100000000000001" customHeight="1" x14ac:dyDescent="0.2">
      <c r="A20" s="3">
        <v>14</v>
      </c>
      <c r="B20" s="4" t="s">
        <v>436</v>
      </c>
      <c r="C20" s="4" t="s">
        <v>437</v>
      </c>
      <c r="D20" s="4" t="s">
        <v>237</v>
      </c>
      <c r="E20" s="5">
        <v>24416</v>
      </c>
      <c r="F20" s="6">
        <v>70.183791999999997</v>
      </c>
      <c r="G20" s="7">
        <v>2.3657191000000001E-2</v>
      </c>
      <c r="H20" s="53"/>
    </row>
    <row r="21" spans="1:8" ht="17.100000000000001" customHeight="1" x14ac:dyDescent="0.2">
      <c r="A21" s="3">
        <v>15</v>
      </c>
      <c r="B21" s="4" t="s">
        <v>420</v>
      </c>
      <c r="C21" s="4" t="s">
        <v>421</v>
      </c>
      <c r="D21" s="4" t="s">
        <v>224</v>
      </c>
      <c r="E21" s="5">
        <v>8151</v>
      </c>
      <c r="F21" s="6">
        <v>64.360296000000005</v>
      </c>
      <c r="G21" s="7">
        <v>2.1694237000000002E-2</v>
      </c>
      <c r="H21" s="53"/>
    </row>
    <row r="22" spans="1:8" ht="17.100000000000001" customHeight="1" x14ac:dyDescent="0.2">
      <c r="A22" s="3">
        <v>16</v>
      </c>
      <c r="B22" s="4" t="s">
        <v>405</v>
      </c>
      <c r="C22" s="4" t="s">
        <v>406</v>
      </c>
      <c r="D22" s="4" t="s">
        <v>320</v>
      </c>
      <c r="E22" s="5">
        <v>4118</v>
      </c>
      <c r="F22" s="6">
        <v>64.001956000000007</v>
      </c>
      <c r="G22" s="7">
        <v>2.1573450000000001E-2</v>
      </c>
      <c r="H22" s="53"/>
    </row>
    <row r="23" spans="1:8" ht="17.100000000000001" customHeight="1" x14ac:dyDescent="0.2">
      <c r="A23" s="3">
        <v>17</v>
      </c>
      <c r="B23" s="4" t="s">
        <v>403</v>
      </c>
      <c r="C23" s="4" t="s">
        <v>404</v>
      </c>
      <c r="D23" s="4" t="s">
        <v>13</v>
      </c>
      <c r="E23" s="5">
        <v>70325</v>
      </c>
      <c r="F23" s="6">
        <v>63.046362500000001</v>
      </c>
      <c r="G23" s="7">
        <v>2.1251342999999999E-2</v>
      </c>
      <c r="H23" s="53"/>
    </row>
    <row r="24" spans="1:8" ht="29.1" customHeight="1" x14ac:dyDescent="0.2">
      <c r="A24" s="3">
        <v>18</v>
      </c>
      <c r="B24" s="4" t="s">
        <v>225</v>
      </c>
      <c r="C24" s="4" t="s">
        <v>226</v>
      </c>
      <c r="D24" s="4" t="s">
        <v>227</v>
      </c>
      <c r="E24" s="5">
        <v>16491</v>
      </c>
      <c r="F24" s="6">
        <v>61.8824775</v>
      </c>
      <c r="G24" s="7">
        <v>2.0859026999999999E-2</v>
      </c>
      <c r="H24" s="53"/>
    </row>
    <row r="25" spans="1:8" ht="17.100000000000001" customHeight="1" x14ac:dyDescent="0.2">
      <c r="A25" s="3">
        <v>19</v>
      </c>
      <c r="B25" s="4" t="s">
        <v>365</v>
      </c>
      <c r="C25" s="4" t="s">
        <v>366</v>
      </c>
      <c r="D25" s="4" t="s">
        <v>119</v>
      </c>
      <c r="E25" s="5">
        <v>11094</v>
      </c>
      <c r="F25" s="6">
        <v>59.358446999999998</v>
      </c>
      <c r="G25" s="7">
        <v>2.000824E-2</v>
      </c>
      <c r="H25" s="53"/>
    </row>
    <row r="26" spans="1:8" ht="17.100000000000001" customHeight="1" x14ac:dyDescent="0.2">
      <c r="A26" s="3">
        <v>20</v>
      </c>
      <c r="B26" s="4" t="s">
        <v>230</v>
      </c>
      <c r="C26" s="4" t="s">
        <v>231</v>
      </c>
      <c r="D26" s="4" t="s">
        <v>87</v>
      </c>
      <c r="E26" s="5">
        <v>1151</v>
      </c>
      <c r="F26" s="6">
        <v>57.593738000000002</v>
      </c>
      <c r="G26" s="7">
        <v>1.9413401E-2</v>
      </c>
      <c r="H26" s="53"/>
    </row>
    <row r="27" spans="1:8" ht="29.1" customHeight="1" x14ac:dyDescent="0.2">
      <c r="A27" s="3">
        <v>21</v>
      </c>
      <c r="B27" s="4" t="s">
        <v>409</v>
      </c>
      <c r="C27" s="4" t="s">
        <v>410</v>
      </c>
      <c r="D27" s="4" t="s">
        <v>411</v>
      </c>
      <c r="E27" s="5">
        <v>44667</v>
      </c>
      <c r="F27" s="6">
        <v>55.8114165</v>
      </c>
      <c r="G27" s="7">
        <v>1.8812624999999999E-2</v>
      </c>
      <c r="H27" s="53"/>
    </row>
    <row r="28" spans="1:8" ht="29.1" customHeight="1" x14ac:dyDescent="0.2">
      <c r="A28" s="3">
        <v>22</v>
      </c>
      <c r="B28" s="4" t="s">
        <v>401</v>
      </c>
      <c r="C28" s="4" t="s">
        <v>402</v>
      </c>
      <c r="D28" s="4" t="s">
        <v>227</v>
      </c>
      <c r="E28" s="5">
        <v>13550</v>
      </c>
      <c r="F28" s="6">
        <v>55.101075000000002</v>
      </c>
      <c r="G28" s="7">
        <v>1.8573187000000001E-2</v>
      </c>
      <c r="H28" s="53"/>
    </row>
    <row r="29" spans="1:8" ht="29.1" customHeight="1" x14ac:dyDescent="0.2">
      <c r="A29" s="3">
        <v>23</v>
      </c>
      <c r="B29" s="4" t="s">
        <v>68</v>
      </c>
      <c r="C29" s="4" t="s">
        <v>69</v>
      </c>
      <c r="D29" s="4" t="s">
        <v>25</v>
      </c>
      <c r="E29" s="5">
        <v>1823</v>
      </c>
      <c r="F29" s="6">
        <v>53.242538000000003</v>
      </c>
      <c r="G29" s="7">
        <v>1.7946720999999999E-2</v>
      </c>
      <c r="H29" s="53"/>
    </row>
    <row r="30" spans="1:8" ht="29.1" customHeight="1" x14ac:dyDescent="0.2">
      <c r="A30" s="3">
        <v>24</v>
      </c>
      <c r="B30" s="4" t="s">
        <v>418</v>
      </c>
      <c r="C30" s="4" t="s">
        <v>419</v>
      </c>
      <c r="D30" s="4" t="s">
        <v>227</v>
      </c>
      <c r="E30" s="5">
        <v>2681</v>
      </c>
      <c r="F30" s="6">
        <v>52.132044999999998</v>
      </c>
      <c r="G30" s="7">
        <v>1.7572401000000001E-2</v>
      </c>
      <c r="H30" s="53"/>
    </row>
    <row r="31" spans="1:8" ht="17.100000000000001" customHeight="1" x14ac:dyDescent="0.2">
      <c r="A31" s="3">
        <v>25</v>
      </c>
      <c r="B31" s="4" t="s">
        <v>422</v>
      </c>
      <c r="C31" s="4" t="s">
        <v>423</v>
      </c>
      <c r="D31" s="4" t="s">
        <v>265</v>
      </c>
      <c r="E31" s="5">
        <v>14444</v>
      </c>
      <c r="F31" s="6">
        <v>51.810628000000001</v>
      </c>
      <c r="G31" s="7">
        <v>1.746406E-2</v>
      </c>
      <c r="H31" s="53"/>
    </row>
    <row r="32" spans="1:8" ht="17.100000000000001" customHeight="1" x14ac:dyDescent="0.2">
      <c r="A32" s="3">
        <v>26</v>
      </c>
      <c r="B32" s="4" t="s">
        <v>283</v>
      </c>
      <c r="C32" s="4" t="s">
        <v>284</v>
      </c>
      <c r="D32" s="4" t="s">
        <v>22</v>
      </c>
      <c r="E32" s="5">
        <v>21314</v>
      </c>
      <c r="F32" s="6">
        <v>50.119871000000003</v>
      </c>
      <c r="G32" s="7">
        <v>1.6894148000000001E-2</v>
      </c>
      <c r="H32" s="53"/>
    </row>
    <row r="33" spans="1:8" ht="17.100000000000001" customHeight="1" x14ac:dyDescent="0.2">
      <c r="A33" s="3">
        <v>27</v>
      </c>
      <c r="B33" s="4" t="s">
        <v>434</v>
      </c>
      <c r="C33" s="4" t="s">
        <v>435</v>
      </c>
      <c r="D33" s="4" t="s">
        <v>96</v>
      </c>
      <c r="E33" s="5">
        <v>3479</v>
      </c>
      <c r="F33" s="6">
        <v>49.488774999999997</v>
      </c>
      <c r="G33" s="7">
        <v>1.6681422000000001E-2</v>
      </c>
      <c r="H33" s="53"/>
    </row>
    <row r="34" spans="1:8" ht="17.100000000000001" customHeight="1" x14ac:dyDescent="0.2">
      <c r="A34" s="3">
        <v>28</v>
      </c>
      <c r="B34" s="4" t="s">
        <v>458</v>
      </c>
      <c r="C34" s="4" t="s">
        <v>459</v>
      </c>
      <c r="D34" s="4" t="s">
        <v>901</v>
      </c>
      <c r="E34" s="5">
        <v>6040</v>
      </c>
      <c r="F34" s="6">
        <v>48.98742</v>
      </c>
      <c r="G34" s="7">
        <v>1.6512427E-2</v>
      </c>
      <c r="H34" s="53"/>
    </row>
    <row r="35" spans="1:8" ht="29.1" customHeight="1" x14ac:dyDescent="0.2">
      <c r="A35" s="3">
        <v>29</v>
      </c>
      <c r="B35" s="4" t="s">
        <v>407</v>
      </c>
      <c r="C35" s="4" t="s">
        <v>408</v>
      </c>
      <c r="D35" s="4" t="s">
        <v>51</v>
      </c>
      <c r="E35" s="5">
        <v>2187</v>
      </c>
      <c r="F35" s="6">
        <v>48.751510500000002</v>
      </c>
      <c r="G35" s="7">
        <v>1.6432908E-2</v>
      </c>
      <c r="H35" s="53"/>
    </row>
    <row r="36" spans="1:8" ht="17.100000000000001" customHeight="1" x14ac:dyDescent="0.2">
      <c r="A36" s="3">
        <v>30</v>
      </c>
      <c r="B36" s="4" t="s">
        <v>318</v>
      </c>
      <c r="C36" s="4" t="s">
        <v>319</v>
      </c>
      <c r="D36" s="4" t="s">
        <v>320</v>
      </c>
      <c r="E36" s="5">
        <v>3672</v>
      </c>
      <c r="F36" s="6">
        <v>48.152771999999999</v>
      </c>
      <c r="G36" s="7">
        <v>1.6231089000000001E-2</v>
      </c>
      <c r="H36" s="53"/>
    </row>
    <row r="37" spans="1:8" ht="17.100000000000001" customHeight="1" x14ac:dyDescent="0.2">
      <c r="A37" s="3">
        <v>31</v>
      </c>
      <c r="B37" s="4" t="s">
        <v>442</v>
      </c>
      <c r="C37" s="4" t="s">
        <v>443</v>
      </c>
      <c r="D37" s="4" t="s">
        <v>119</v>
      </c>
      <c r="E37" s="5">
        <v>59081</v>
      </c>
      <c r="F37" s="6">
        <v>48.032853000000003</v>
      </c>
      <c r="G37" s="7">
        <v>1.6190666999999999E-2</v>
      </c>
      <c r="H37" s="53"/>
    </row>
    <row r="38" spans="1:8" ht="29.1" customHeight="1" x14ac:dyDescent="0.2">
      <c r="A38" s="3">
        <v>32</v>
      </c>
      <c r="B38" s="4" t="s">
        <v>428</v>
      </c>
      <c r="C38" s="4" t="s">
        <v>429</v>
      </c>
      <c r="D38" s="4" t="s">
        <v>430</v>
      </c>
      <c r="E38" s="5">
        <v>8191</v>
      </c>
      <c r="F38" s="6">
        <v>46.569930499999998</v>
      </c>
      <c r="G38" s="7">
        <v>1.5697552E-2</v>
      </c>
      <c r="H38" s="53"/>
    </row>
    <row r="39" spans="1:8" ht="17.100000000000001" customHeight="1" x14ac:dyDescent="0.2">
      <c r="A39" s="3">
        <v>33</v>
      </c>
      <c r="B39" s="4" t="s">
        <v>94</v>
      </c>
      <c r="C39" s="4" t="s">
        <v>95</v>
      </c>
      <c r="D39" s="4" t="s">
        <v>96</v>
      </c>
      <c r="E39" s="5">
        <v>9950</v>
      </c>
      <c r="F39" s="6">
        <v>46.272475</v>
      </c>
      <c r="G39" s="7">
        <v>1.5597288000000001E-2</v>
      </c>
      <c r="H39" s="53"/>
    </row>
    <row r="40" spans="1:8" ht="17.100000000000001" customHeight="1" x14ac:dyDescent="0.2">
      <c r="A40" s="3">
        <v>34</v>
      </c>
      <c r="B40" s="4" t="s">
        <v>393</v>
      </c>
      <c r="C40" s="4" t="s">
        <v>394</v>
      </c>
      <c r="D40" s="4" t="s">
        <v>212</v>
      </c>
      <c r="E40" s="5">
        <v>6215</v>
      </c>
      <c r="F40" s="6">
        <v>44.869192499999997</v>
      </c>
      <c r="G40" s="7">
        <v>1.5124276000000001E-2</v>
      </c>
      <c r="H40" s="53"/>
    </row>
    <row r="41" spans="1:8" ht="29.1" customHeight="1" x14ac:dyDescent="0.2">
      <c r="A41" s="3">
        <v>35</v>
      </c>
      <c r="B41" s="4" t="s">
        <v>387</v>
      </c>
      <c r="C41" s="4" t="s">
        <v>388</v>
      </c>
      <c r="D41" s="4" t="s">
        <v>65</v>
      </c>
      <c r="E41" s="5">
        <v>2627</v>
      </c>
      <c r="F41" s="6">
        <v>42.491725000000002</v>
      </c>
      <c r="G41" s="7">
        <v>1.4322892E-2</v>
      </c>
      <c r="H41" s="53"/>
    </row>
    <row r="42" spans="1:8" ht="17.100000000000001" customHeight="1" x14ac:dyDescent="0.2">
      <c r="A42" s="3">
        <v>36</v>
      </c>
      <c r="B42" s="4" t="s">
        <v>385</v>
      </c>
      <c r="C42" s="4" t="s">
        <v>386</v>
      </c>
      <c r="D42" s="4" t="s">
        <v>119</v>
      </c>
      <c r="E42" s="5">
        <v>4638</v>
      </c>
      <c r="F42" s="6">
        <v>42.451613999999999</v>
      </c>
      <c r="G42" s="7">
        <v>1.4309372000000001E-2</v>
      </c>
      <c r="H42" s="53"/>
    </row>
    <row r="43" spans="1:8" ht="17.100000000000001" customHeight="1" x14ac:dyDescent="0.2">
      <c r="A43" s="3">
        <v>37</v>
      </c>
      <c r="B43" s="4" t="s">
        <v>36</v>
      </c>
      <c r="C43" s="4" t="s">
        <v>37</v>
      </c>
      <c r="D43" s="4" t="s">
        <v>33</v>
      </c>
      <c r="E43" s="5">
        <v>2356</v>
      </c>
      <c r="F43" s="6">
        <v>42.022793999999998</v>
      </c>
      <c r="G43" s="7">
        <v>1.4164827E-2</v>
      </c>
      <c r="H43" s="53"/>
    </row>
    <row r="44" spans="1:8" ht="17.100000000000001" customHeight="1" x14ac:dyDescent="0.2">
      <c r="A44" s="3">
        <v>38</v>
      </c>
      <c r="B44" s="4" t="s">
        <v>383</v>
      </c>
      <c r="C44" s="4" t="s">
        <v>384</v>
      </c>
      <c r="D44" s="4" t="s">
        <v>901</v>
      </c>
      <c r="E44" s="5">
        <v>3553</v>
      </c>
      <c r="F44" s="6">
        <v>38.470107499999997</v>
      </c>
      <c r="G44" s="7">
        <v>1.2967306E-2</v>
      </c>
      <c r="H44" s="53"/>
    </row>
    <row r="45" spans="1:8" ht="17.100000000000001" customHeight="1" x14ac:dyDescent="0.2">
      <c r="A45" s="3">
        <v>39</v>
      </c>
      <c r="B45" s="4" t="s">
        <v>367</v>
      </c>
      <c r="C45" s="4" t="s">
        <v>368</v>
      </c>
      <c r="D45" s="4" t="s">
        <v>116</v>
      </c>
      <c r="E45" s="5">
        <v>7524</v>
      </c>
      <c r="F45" s="6">
        <v>38.101536000000003</v>
      </c>
      <c r="G45" s="7">
        <v>1.284307E-2</v>
      </c>
      <c r="H45" s="53"/>
    </row>
    <row r="46" spans="1:8" ht="53.1" customHeight="1" x14ac:dyDescent="0.2">
      <c r="A46" s="3">
        <v>40</v>
      </c>
      <c r="B46" s="4" t="s">
        <v>444</v>
      </c>
      <c r="C46" s="4" t="s">
        <v>445</v>
      </c>
      <c r="D46" s="4" t="s">
        <v>48</v>
      </c>
      <c r="E46" s="5">
        <v>11330</v>
      </c>
      <c r="F46" s="6">
        <v>34.426205000000003</v>
      </c>
      <c r="G46" s="7">
        <v>1.1604208E-2</v>
      </c>
      <c r="H46" s="53"/>
    </row>
    <row r="47" spans="1:8" ht="29.1" customHeight="1" x14ac:dyDescent="0.2">
      <c r="A47" s="3">
        <v>41</v>
      </c>
      <c r="B47" s="4" t="s">
        <v>285</v>
      </c>
      <c r="C47" s="4" t="s">
        <v>286</v>
      </c>
      <c r="D47" s="4" t="s">
        <v>199</v>
      </c>
      <c r="E47" s="5">
        <v>5060</v>
      </c>
      <c r="F47" s="6">
        <v>34.38017</v>
      </c>
      <c r="G47" s="7">
        <v>1.1588691E-2</v>
      </c>
      <c r="H47" s="53"/>
    </row>
    <row r="48" spans="1:8" ht="17.100000000000001" customHeight="1" x14ac:dyDescent="0.2">
      <c r="A48" s="3">
        <v>42</v>
      </c>
      <c r="B48" s="4" t="s">
        <v>448</v>
      </c>
      <c r="C48" s="4" t="s">
        <v>449</v>
      </c>
      <c r="D48" s="4" t="s">
        <v>13</v>
      </c>
      <c r="E48" s="5">
        <v>6034</v>
      </c>
      <c r="F48" s="6">
        <v>33.724026000000002</v>
      </c>
      <c r="G48" s="7">
        <v>1.1367521E-2</v>
      </c>
      <c r="H48" s="53"/>
    </row>
    <row r="49" spans="1:8" ht="17.100000000000001" customHeight="1" x14ac:dyDescent="0.2">
      <c r="A49" s="3">
        <v>43</v>
      </c>
      <c r="B49" s="4" t="s">
        <v>468</v>
      </c>
      <c r="C49" s="4" t="s">
        <v>469</v>
      </c>
      <c r="D49" s="4" t="s">
        <v>224</v>
      </c>
      <c r="E49" s="5">
        <v>16207</v>
      </c>
      <c r="F49" s="6">
        <v>33.272970999999998</v>
      </c>
      <c r="G49" s="7">
        <v>1.1215482000000001E-2</v>
      </c>
      <c r="H49" s="53"/>
    </row>
    <row r="50" spans="1:8" ht="17.100000000000001" customHeight="1" x14ac:dyDescent="0.2">
      <c r="A50" s="3">
        <v>44</v>
      </c>
      <c r="B50" s="4" t="s">
        <v>389</v>
      </c>
      <c r="C50" s="4" t="s">
        <v>390</v>
      </c>
      <c r="D50" s="4" t="s">
        <v>119</v>
      </c>
      <c r="E50" s="5">
        <v>4394</v>
      </c>
      <c r="F50" s="6">
        <v>32.148701000000003</v>
      </c>
      <c r="G50" s="7">
        <v>1.0836518999999999E-2</v>
      </c>
      <c r="H50" s="53"/>
    </row>
    <row r="51" spans="1:8" ht="17.100000000000001" customHeight="1" x14ac:dyDescent="0.2">
      <c r="A51" s="3">
        <v>45</v>
      </c>
      <c r="B51" s="4" t="s">
        <v>416</v>
      </c>
      <c r="C51" s="4" t="s">
        <v>417</v>
      </c>
      <c r="D51" s="4" t="s">
        <v>219</v>
      </c>
      <c r="E51" s="5">
        <v>3908</v>
      </c>
      <c r="F51" s="6">
        <v>31.25423</v>
      </c>
      <c r="G51" s="7">
        <v>1.0535015E-2</v>
      </c>
      <c r="H51" s="53"/>
    </row>
    <row r="52" spans="1:8" ht="17.100000000000001" customHeight="1" x14ac:dyDescent="0.2">
      <c r="A52" s="3">
        <v>46</v>
      </c>
      <c r="B52" s="4" t="s">
        <v>412</v>
      </c>
      <c r="C52" s="4" t="s">
        <v>413</v>
      </c>
      <c r="D52" s="4" t="s">
        <v>33</v>
      </c>
      <c r="E52" s="5">
        <v>3042</v>
      </c>
      <c r="F52" s="6">
        <v>26.623584000000001</v>
      </c>
      <c r="G52" s="7">
        <v>8.9741409999999997E-3</v>
      </c>
      <c r="H52" s="53"/>
    </row>
    <row r="53" spans="1:8" ht="17.100000000000001" customHeight="1" x14ac:dyDescent="0.2">
      <c r="A53" s="3">
        <v>47</v>
      </c>
      <c r="B53" s="4" t="s">
        <v>446</v>
      </c>
      <c r="C53" s="4" t="s">
        <v>447</v>
      </c>
      <c r="D53" s="4" t="s">
        <v>40</v>
      </c>
      <c r="E53" s="5">
        <v>4036</v>
      </c>
      <c r="F53" s="6">
        <v>24.982839999999999</v>
      </c>
      <c r="G53" s="7">
        <v>8.4210870000000007E-3</v>
      </c>
      <c r="H53" s="53"/>
    </row>
    <row r="54" spans="1:8" ht="29.1" customHeight="1" x14ac:dyDescent="0.2">
      <c r="A54" s="3">
        <v>48</v>
      </c>
      <c r="B54" s="4" t="s">
        <v>376</v>
      </c>
      <c r="C54" s="4" t="s">
        <v>377</v>
      </c>
      <c r="D54" s="4" t="s">
        <v>227</v>
      </c>
      <c r="E54" s="5">
        <v>596</v>
      </c>
      <c r="F54" s="6">
        <v>23.55988</v>
      </c>
      <c r="G54" s="7">
        <v>7.9414429999999994E-3</v>
      </c>
      <c r="H54" s="53"/>
    </row>
    <row r="55" spans="1:8" ht="17.100000000000001" customHeight="1" x14ac:dyDescent="0.2">
      <c r="A55" s="3">
        <v>49</v>
      </c>
      <c r="B55" s="4" t="s">
        <v>426</v>
      </c>
      <c r="C55" s="4" t="s">
        <v>427</v>
      </c>
      <c r="D55" s="4" t="s">
        <v>33</v>
      </c>
      <c r="E55" s="5">
        <v>2107</v>
      </c>
      <c r="F55" s="6">
        <v>17.306898</v>
      </c>
      <c r="G55" s="7">
        <v>5.8337199999999997E-3</v>
      </c>
      <c r="H55" s="53"/>
    </row>
    <row r="56" spans="1:8" ht="17.100000000000001" customHeight="1" x14ac:dyDescent="0.2">
      <c r="A56" s="3">
        <v>50</v>
      </c>
      <c r="B56" s="4" t="s">
        <v>331</v>
      </c>
      <c r="C56" s="4" t="s">
        <v>332</v>
      </c>
      <c r="D56" s="4" t="s">
        <v>96</v>
      </c>
      <c r="E56" s="5">
        <v>22875</v>
      </c>
      <c r="F56" s="6">
        <v>17.15625</v>
      </c>
      <c r="G56" s="7">
        <v>5.7829400000000003E-3</v>
      </c>
      <c r="H56" s="53"/>
    </row>
    <row r="57" spans="1:8" ht="29.1" customHeight="1" x14ac:dyDescent="0.2">
      <c r="A57" s="3">
        <v>51</v>
      </c>
      <c r="B57" s="4" t="s">
        <v>431</v>
      </c>
      <c r="C57" s="4" t="s">
        <v>432</v>
      </c>
      <c r="D57" s="4" t="s">
        <v>199</v>
      </c>
      <c r="E57" s="5">
        <v>2348</v>
      </c>
      <c r="F57" s="6">
        <v>13.991732000000001</v>
      </c>
      <c r="G57" s="7">
        <v>4.7162610000000002E-3</v>
      </c>
      <c r="H57" s="53"/>
    </row>
    <row r="58" spans="1:8" ht="17.100000000000001" customHeight="1" x14ac:dyDescent="0.2">
      <c r="A58" s="3">
        <v>52</v>
      </c>
      <c r="B58" s="4" t="s">
        <v>452</v>
      </c>
      <c r="C58" s="4" t="s">
        <v>453</v>
      </c>
      <c r="D58" s="4" t="s">
        <v>19</v>
      </c>
      <c r="E58" s="5">
        <v>1978</v>
      </c>
      <c r="F58" s="6">
        <v>4.703684</v>
      </c>
      <c r="G58" s="7">
        <v>1.585494E-3</v>
      </c>
      <c r="H58" s="53"/>
    </row>
    <row r="59" spans="1:8" ht="29.1" customHeight="1" x14ac:dyDescent="0.2">
      <c r="A59" s="3">
        <v>53</v>
      </c>
      <c r="B59" s="4" t="s">
        <v>424</v>
      </c>
      <c r="C59" s="4" t="s">
        <v>425</v>
      </c>
      <c r="D59" s="4" t="s">
        <v>227</v>
      </c>
      <c r="E59" s="5">
        <v>1719</v>
      </c>
      <c r="F59" s="6">
        <v>4.2992189999999999</v>
      </c>
      <c r="G59" s="7">
        <v>1.449159E-3</v>
      </c>
      <c r="H59" s="53"/>
    </row>
    <row r="60" spans="1:8" ht="14.1" customHeight="1" x14ac:dyDescent="0.2">
      <c r="A60" s="1"/>
      <c r="B60" s="1"/>
      <c r="C60" s="2" t="s">
        <v>132</v>
      </c>
      <c r="D60" s="1"/>
      <c r="E60" s="1" t="s">
        <v>133</v>
      </c>
      <c r="F60" s="9">
        <v>2868.5626855</v>
      </c>
      <c r="G60" s="10">
        <v>0.96692034599999999</v>
      </c>
      <c r="H60" s="53"/>
    </row>
    <row r="61" spans="1:8" ht="14.1" customHeight="1" x14ac:dyDescent="0.2">
      <c r="A61" s="1"/>
      <c r="B61" s="1"/>
      <c r="C61" s="11"/>
      <c r="D61" s="1"/>
      <c r="E61" s="1"/>
      <c r="F61" s="12"/>
      <c r="G61" s="12"/>
      <c r="H61" s="53"/>
    </row>
    <row r="62" spans="1:8" ht="14.1" customHeight="1" x14ac:dyDescent="0.2">
      <c r="A62" s="1"/>
      <c r="B62" s="1"/>
      <c r="C62" s="2" t="s">
        <v>134</v>
      </c>
      <c r="D62" s="1"/>
      <c r="E62" s="1"/>
      <c r="F62" s="1"/>
      <c r="G62" s="1"/>
      <c r="H62" s="53"/>
    </row>
    <row r="63" spans="1:8" ht="14.1" customHeight="1" x14ac:dyDescent="0.2">
      <c r="A63" s="1"/>
      <c r="B63" s="1"/>
      <c r="C63" s="2" t="s">
        <v>132</v>
      </c>
      <c r="D63" s="1"/>
      <c r="E63" s="1" t="s">
        <v>133</v>
      </c>
      <c r="F63" s="13">
        <v>0</v>
      </c>
      <c r="G63" s="14">
        <v>0</v>
      </c>
      <c r="H63" s="53"/>
    </row>
    <row r="64" spans="1:8" ht="14.1" customHeight="1" x14ac:dyDescent="0.2">
      <c r="A64" s="1"/>
      <c r="B64" s="1"/>
      <c r="C64" s="11"/>
      <c r="D64" s="1"/>
      <c r="E64" s="1"/>
      <c r="F64" s="12"/>
      <c r="G64" s="12"/>
      <c r="H64" s="53"/>
    </row>
    <row r="65" spans="1:8" ht="14.1" customHeight="1" x14ac:dyDescent="0.2">
      <c r="A65" s="1"/>
      <c r="B65" s="1"/>
      <c r="C65" s="2" t="s">
        <v>135</v>
      </c>
      <c r="D65" s="1"/>
      <c r="E65" s="1"/>
      <c r="F65" s="1"/>
      <c r="G65" s="1"/>
      <c r="H65" s="53"/>
    </row>
    <row r="66" spans="1:8" ht="14.1" customHeight="1" x14ac:dyDescent="0.2">
      <c r="A66" s="1"/>
      <c r="B66" s="1"/>
      <c r="C66" s="2" t="s">
        <v>132</v>
      </c>
      <c r="D66" s="1"/>
      <c r="E66" s="1" t="s">
        <v>133</v>
      </c>
      <c r="F66" s="13">
        <v>0</v>
      </c>
      <c r="G66" s="14">
        <v>0</v>
      </c>
      <c r="H66" s="53"/>
    </row>
    <row r="67" spans="1:8" ht="14.1" customHeight="1" x14ac:dyDescent="0.2">
      <c r="A67" s="1"/>
      <c r="B67" s="1"/>
      <c r="C67" s="11"/>
      <c r="D67" s="1"/>
      <c r="E67" s="1"/>
      <c r="F67" s="12"/>
      <c r="G67" s="12"/>
      <c r="H67" s="53"/>
    </row>
    <row r="68" spans="1:8" ht="14.1" customHeight="1" x14ac:dyDescent="0.2">
      <c r="A68" s="1"/>
      <c r="B68" s="1"/>
      <c r="C68" s="2" t="s">
        <v>136</v>
      </c>
      <c r="D68" s="1"/>
      <c r="E68" s="1"/>
      <c r="F68" s="1"/>
      <c r="G68" s="1"/>
      <c r="H68" s="53"/>
    </row>
    <row r="69" spans="1:8" ht="17.100000000000001" customHeight="1" x14ac:dyDescent="0.2">
      <c r="A69" s="3">
        <v>1</v>
      </c>
      <c r="B69" s="4" t="s">
        <v>399</v>
      </c>
      <c r="C69" s="4" t="s">
        <v>960</v>
      </c>
      <c r="D69" s="4" t="s">
        <v>212</v>
      </c>
      <c r="E69" s="5">
        <v>443</v>
      </c>
      <c r="F69" s="6">
        <v>0.67756850000000002</v>
      </c>
      <c r="G69" s="7">
        <v>2.2839099999999999E-4</v>
      </c>
      <c r="H69" s="53"/>
    </row>
    <row r="70" spans="1:8" ht="14.1" customHeight="1" x14ac:dyDescent="0.2">
      <c r="A70" s="1"/>
      <c r="B70" s="1"/>
      <c r="C70" s="2" t="s">
        <v>132</v>
      </c>
      <c r="D70" s="1"/>
      <c r="E70" s="1" t="s">
        <v>133</v>
      </c>
      <c r="F70" s="9">
        <v>0.67756850000000002</v>
      </c>
      <c r="G70" s="10">
        <v>2.2839099999999999E-4</v>
      </c>
      <c r="H70" s="53"/>
    </row>
    <row r="71" spans="1:8" ht="14.1" customHeight="1" x14ac:dyDescent="0.2">
      <c r="A71" s="1"/>
      <c r="B71" s="1"/>
      <c r="C71" s="11"/>
      <c r="D71" s="1"/>
      <c r="E71" s="1"/>
      <c r="F71" s="12"/>
      <c r="G71" s="12"/>
      <c r="H71" s="53"/>
    </row>
    <row r="72" spans="1:8" ht="14.1" customHeight="1" x14ac:dyDescent="0.2">
      <c r="A72" s="1"/>
      <c r="B72" s="1"/>
      <c r="C72" s="2" t="s">
        <v>137</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4.1" customHeight="1" x14ac:dyDescent="0.2">
      <c r="A75" s="1"/>
      <c r="B75" s="1"/>
      <c r="C75" s="2" t="s">
        <v>138</v>
      </c>
      <c r="D75" s="1"/>
      <c r="E75" s="1"/>
      <c r="F75" s="12"/>
      <c r="G75" s="12"/>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8" customHeight="1" x14ac:dyDescent="0.2">
      <c r="A78" s="1"/>
      <c r="B78" s="1"/>
      <c r="C78" s="2" t="s">
        <v>139</v>
      </c>
      <c r="D78" s="1"/>
      <c r="E78" s="1"/>
      <c r="F78" s="9">
        <v>2869.2402539999998</v>
      </c>
      <c r="G78" s="10">
        <v>0.96714873700000004</v>
      </c>
      <c r="H78" s="53"/>
    </row>
    <row r="79" spans="1:8" ht="14.1" customHeight="1" x14ac:dyDescent="0.2">
      <c r="A79" s="1"/>
      <c r="B79" s="1"/>
      <c r="C79" s="11"/>
      <c r="D79" s="1"/>
      <c r="E79" s="1"/>
      <c r="F79" s="12"/>
      <c r="G79" s="12"/>
      <c r="H79" s="53"/>
    </row>
    <row r="80" spans="1:8" ht="14.1" customHeight="1" x14ac:dyDescent="0.2">
      <c r="A80" s="1"/>
      <c r="B80" s="1"/>
      <c r="C80" s="2" t="s">
        <v>140</v>
      </c>
      <c r="D80" s="1"/>
      <c r="E80" s="1"/>
      <c r="F80" s="12"/>
      <c r="G80" s="12"/>
      <c r="H80" s="53"/>
    </row>
    <row r="81" spans="1:8" ht="24" customHeight="1" x14ac:dyDescent="0.2">
      <c r="A81" s="1"/>
      <c r="B81" s="1"/>
      <c r="C81" s="2" t="s">
        <v>10</v>
      </c>
      <c r="D81" s="1"/>
      <c r="E81" s="1"/>
      <c r="F81" s="12"/>
      <c r="G81" s="12"/>
      <c r="H81" s="53"/>
    </row>
    <row r="82" spans="1:8" ht="14.1" customHeight="1" x14ac:dyDescent="0.2">
      <c r="A82" s="1"/>
      <c r="B82" s="1"/>
      <c r="C82" s="2" t="s">
        <v>132</v>
      </c>
      <c r="D82" s="1"/>
      <c r="E82" s="1" t="s">
        <v>133</v>
      </c>
      <c r="F82" s="13">
        <v>0</v>
      </c>
      <c r="G82" s="14">
        <v>0</v>
      </c>
      <c r="H82" s="53"/>
    </row>
    <row r="83" spans="1:8" ht="14.1" customHeight="1" x14ac:dyDescent="0.2">
      <c r="A83" s="1"/>
      <c r="B83" s="1"/>
      <c r="C83" s="11"/>
      <c r="D83" s="1"/>
      <c r="E83" s="1"/>
      <c r="F83" s="12"/>
      <c r="G83" s="12"/>
      <c r="H83" s="53"/>
    </row>
    <row r="84" spans="1:8" ht="14.1" customHeight="1" x14ac:dyDescent="0.2">
      <c r="A84" s="1"/>
      <c r="B84" s="1"/>
      <c r="C84" s="2" t="s">
        <v>141</v>
      </c>
      <c r="D84" s="1"/>
      <c r="E84" s="1"/>
      <c r="F84" s="1"/>
      <c r="G84" s="1"/>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142</v>
      </c>
      <c r="D87" s="1"/>
      <c r="E87" s="1"/>
      <c r="F87" s="1"/>
      <c r="G87" s="1"/>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4.1" customHeight="1" x14ac:dyDescent="0.2">
      <c r="A90" s="1"/>
      <c r="B90" s="1"/>
      <c r="C90" s="2" t="s">
        <v>143</v>
      </c>
      <c r="D90" s="1"/>
      <c r="E90" s="1"/>
      <c r="F90" s="12"/>
      <c r="G90" s="12"/>
      <c r="H90" s="53"/>
    </row>
    <row r="91" spans="1:8" ht="14.1" customHeight="1" x14ac:dyDescent="0.2">
      <c r="A91" s="1"/>
      <c r="B91" s="1"/>
      <c r="C91" s="2" t="s">
        <v>132</v>
      </c>
      <c r="D91" s="1"/>
      <c r="E91" s="1" t="s">
        <v>133</v>
      </c>
      <c r="F91" s="13">
        <v>0</v>
      </c>
      <c r="G91" s="14">
        <v>0</v>
      </c>
      <c r="H91" s="53"/>
    </row>
    <row r="92" spans="1:8" ht="14.1" customHeight="1" x14ac:dyDescent="0.2">
      <c r="A92" s="1"/>
      <c r="B92" s="1"/>
      <c r="C92" s="11"/>
      <c r="D92" s="1"/>
      <c r="E92" s="1"/>
      <c r="F92" s="12"/>
      <c r="G92" s="12"/>
      <c r="H92" s="53"/>
    </row>
    <row r="93" spans="1:8" ht="14.1" customHeight="1" x14ac:dyDescent="0.2">
      <c r="A93" s="1"/>
      <c r="B93" s="1"/>
      <c r="C93" s="2" t="s">
        <v>144</v>
      </c>
      <c r="D93" s="1"/>
      <c r="E93" s="1"/>
      <c r="F93" s="9">
        <v>0</v>
      </c>
      <c r="G93" s="10">
        <v>0</v>
      </c>
      <c r="H93" s="53"/>
    </row>
    <row r="94" spans="1:8" ht="14.1" customHeight="1" x14ac:dyDescent="0.2">
      <c r="A94" s="1"/>
      <c r="B94" s="1"/>
      <c r="C94" s="11"/>
      <c r="D94" s="1"/>
      <c r="E94" s="1"/>
      <c r="F94" s="12"/>
      <c r="G94" s="12"/>
      <c r="H94" s="53"/>
    </row>
    <row r="95" spans="1:8" ht="14.1" customHeight="1" x14ac:dyDescent="0.2">
      <c r="A95" s="1"/>
      <c r="B95" s="1"/>
      <c r="C95" s="2" t="s">
        <v>145</v>
      </c>
      <c r="D95" s="1"/>
      <c r="E95" s="1"/>
      <c r="F95" s="12"/>
      <c r="G95" s="12"/>
      <c r="H95" s="53"/>
    </row>
    <row r="96" spans="1:8" ht="14.1" customHeight="1" x14ac:dyDescent="0.2">
      <c r="A96" s="1"/>
      <c r="B96" s="1"/>
      <c r="C96" s="2" t="s">
        <v>146</v>
      </c>
      <c r="D96" s="1"/>
      <c r="E96" s="1"/>
      <c r="F96" s="12"/>
      <c r="G96" s="12"/>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147</v>
      </c>
      <c r="D99" s="1"/>
      <c r="E99" s="1"/>
      <c r="F99" s="12"/>
      <c r="G99" s="12"/>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148</v>
      </c>
      <c r="D102" s="1"/>
      <c r="E102" s="1"/>
      <c r="F102" s="12"/>
      <c r="G102" s="12"/>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149</v>
      </c>
      <c r="D105" s="1"/>
      <c r="E105" s="1"/>
      <c r="F105" s="12"/>
      <c r="G105" s="12"/>
      <c r="H105" s="53"/>
    </row>
    <row r="106" spans="1:8" ht="17.100000000000001" customHeight="1" x14ac:dyDescent="0.2">
      <c r="A106" s="3">
        <v>1</v>
      </c>
      <c r="B106" s="4"/>
      <c r="C106" s="4" t="s">
        <v>150</v>
      </c>
      <c r="D106" s="4"/>
      <c r="E106" s="8"/>
      <c r="F106" s="6">
        <v>112.13073230000001</v>
      </c>
      <c r="G106" s="7">
        <v>3.7796450000000002E-2</v>
      </c>
      <c r="H106" s="53">
        <v>6.46</v>
      </c>
    </row>
    <row r="107" spans="1:8" ht="14.1" customHeight="1" x14ac:dyDescent="0.2">
      <c r="A107" s="1"/>
      <c r="B107" s="1"/>
      <c r="C107" s="2" t="s">
        <v>132</v>
      </c>
      <c r="D107" s="1"/>
      <c r="E107" s="1" t="s">
        <v>133</v>
      </c>
      <c r="F107" s="9">
        <v>112.13073230000001</v>
      </c>
      <c r="G107" s="10">
        <v>3.7796450000000002E-2</v>
      </c>
      <c r="H107" s="53"/>
    </row>
    <row r="108" spans="1:8" ht="14.1" customHeight="1" x14ac:dyDescent="0.2">
      <c r="A108" s="1"/>
      <c r="B108" s="1"/>
      <c r="C108" s="11"/>
      <c r="D108" s="1"/>
      <c r="E108" s="1"/>
      <c r="F108" s="12"/>
      <c r="G108" s="12"/>
      <c r="H108" s="53"/>
    </row>
    <row r="109" spans="1:8" ht="14.1" customHeight="1" x14ac:dyDescent="0.2">
      <c r="A109" s="1"/>
      <c r="B109" s="1"/>
      <c r="C109" s="2" t="s">
        <v>151</v>
      </c>
      <c r="D109" s="1"/>
      <c r="E109" s="1"/>
      <c r="F109" s="9">
        <v>112.13073230000001</v>
      </c>
      <c r="G109" s="10">
        <v>3.7796450000000002E-2</v>
      </c>
      <c r="H109" s="53"/>
    </row>
    <row r="110" spans="1:8" ht="14.1" customHeight="1" x14ac:dyDescent="0.2">
      <c r="A110" s="1"/>
      <c r="B110" s="1"/>
      <c r="C110" s="12"/>
      <c r="D110" s="1"/>
      <c r="E110" s="1"/>
      <c r="F110" s="1"/>
      <c r="G110" s="1"/>
      <c r="H110" s="53"/>
    </row>
    <row r="111" spans="1:8" ht="14.1" customHeight="1" x14ac:dyDescent="0.2">
      <c r="A111" s="1"/>
      <c r="B111" s="1"/>
      <c r="C111" s="2" t="s">
        <v>152</v>
      </c>
      <c r="D111" s="1"/>
      <c r="E111" s="1"/>
      <c r="F111" s="1"/>
      <c r="G111" s="1"/>
      <c r="H111" s="53"/>
    </row>
    <row r="112" spans="1:8" ht="14.1" customHeight="1" x14ac:dyDescent="0.2">
      <c r="A112" s="1"/>
      <c r="B112" s="1"/>
      <c r="C112" s="2" t="s">
        <v>153</v>
      </c>
      <c r="D112" s="1"/>
      <c r="E112" s="1"/>
      <c r="F112" s="1"/>
      <c r="G112" s="1"/>
      <c r="H112" s="53"/>
    </row>
    <row r="113" spans="1:8" ht="14.1" customHeight="1" x14ac:dyDescent="0.2">
      <c r="A113" s="1"/>
      <c r="B113" s="1"/>
      <c r="C113" s="2" t="s">
        <v>132</v>
      </c>
      <c r="D113" s="1"/>
      <c r="E113" s="1" t="s">
        <v>133</v>
      </c>
      <c r="F113" s="13">
        <v>0</v>
      </c>
      <c r="G113" s="14">
        <v>0</v>
      </c>
      <c r="H113" s="53"/>
    </row>
    <row r="114" spans="1:8" ht="14.1" customHeight="1" x14ac:dyDescent="0.2">
      <c r="A114" s="1"/>
      <c r="B114" s="1"/>
      <c r="C114" s="11"/>
      <c r="D114" s="1"/>
      <c r="E114" s="1"/>
      <c r="F114" s="12"/>
      <c r="G114" s="12"/>
      <c r="H114" s="53"/>
    </row>
    <row r="115" spans="1:8" ht="14.1" customHeight="1" x14ac:dyDescent="0.2">
      <c r="A115" s="1"/>
      <c r="B115" s="1"/>
      <c r="C115" s="2" t="s">
        <v>154</v>
      </c>
      <c r="D115" s="1"/>
      <c r="E115" s="1"/>
      <c r="F115" s="1"/>
      <c r="G115" s="1"/>
      <c r="H115" s="53"/>
    </row>
    <row r="116" spans="1:8" ht="14.1" customHeight="1" x14ac:dyDescent="0.2">
      <c r="A116" s="1"/>
      <c r="B116" s="1"/>
      <c r="C116" s="2" t="s">
        <v>155</v>
      </c>
      <c r="D116" s="1"/>
      <c r="E116" s="1"/>
      <c r="F116" s="1"/>
      <c r="G116" s="1"/>
      <c r="H116" s="53"/>
    </row>
    <row r="117" spans="1:8" ht="14.1" customHeight="1" x14ac:dyDescent="0.2">
      <c r="A117" s="1"/>
      <c r="B117" s="1"/>
      <c r="C117" s="2" t="s">
        <v>132</v>
      </c>
      <c r="D117" s="1"/>
      <c r="E117" s="1" t="s">
        <v>133</v>
      </c>
      <c r="F117" s="13">
        <v>0</v>
      </c>
      <c r="G117" s="14">
        <v>0</v>
      </c>
      <c r="H117" s="53"/>
    </row>
    <row r="118" spans="1:8" ht="14.1" customHeight="1" x14ac:dyDescent="0.2">
      <c r="A118" s="1"/>
      <c r="B118" s="1"/>
      <c r="C118" s="11"/>
      <c r="D118" s="1"/>
      <c r="E118" s="1"/>
      <c r="F118" s="12"/>
      <c r="G118" s="12"/>
      <c r="H118" s="53"/>
    </row>
    <row r="119" spans="1:8" ht="14.1" customHeight="1" x14ac:dyDescent="0.2">
      <c r="A119" s="1"/>
      <c r="B119" s="1"/>
      <c r="C119" s="11"/>
      <c r="D119" s="1"/>
      <c r="E119" s="1"/>
      <c r="F119" s="12"/>
      <c r="G119" s="12"/>
      <c r="H119" s="53"/>
    </row>
    <row r="120" spans="1:8" ht="24" customHeight="1" x14ac:dyDescent="0.2">
      <c r="A120" s="1"/>
      <c r="B120" s="1"/>
      <c r="C120" s="2" t="s">
        <v>156</v>
      </c>
      <c r="D120" s="1"/>
      <c r="E120" s="1"/>
      <c r="F120" s="12"/>
      <c r="G120" s="12"/>
      <c r="H120" s="53"/>
    </row>
    <row r="121" spans="1:8" ht="14.1" customHeight="1" x14ac:dyDescent="0.2">
      <c r="A121" s="1"/>
      <c r="B121" s="1"/>
      <c r="C121" s="2" t="s">
        <v>132</v>
      </c>
      <c r="D121" s="1"/>
      <c r="E121" s="1" t="s">
        <v>133</v>
      </c>
      <c r="F121" s="13">
        <v>0</v>
      </c>
      <c r="G121" s="14">
        <v>0</v>
      </c>
      <c r="H121" s="53"/>
    </row>
    <row r="122" spans="1:8" ht="14.1" customHeight="1" x14ac:dyDescent="0.2">
      <c r="A122" s="1"/>
      <c r="B122" s="1"/>
      <c r="C122" s="11"/>
      <c r="D122" s="1"/>
      <c r="E122" s="1"/>
      <c r="F122" s="12"/>
      <c r="G122" s="12"/>
      <c r="H122" s="53"/>
    </row>
    <row r="123" spans="1:8" ht="14.1" customHeight="1" x14ac:dyDescent="0.2">
      <c r="A123" s="1"/>
      <c r="B123" s="4"/>
      <c r="C123" s="4"/>
      <c r="D123" s="2"/>
      <c r="E123" s="1"/>
      <c r="F123" s="4"/>
      <c r="G123" s="8"/>
      <c r="H123" s="53"/>
    </row>
    <row r="124" spans="1:8" ht="18" customHeight="1" x14ac:dyDescent="0.2">
      <c r="A124" s="8"/>
      <c r="B124" s="4"/>
      <c r="C124" s="4" t="s">
        <v>157</v>
      </c>
      <c r="D124" s="4"/>
      <c r="E124" s="8"/>
      <c r="F124" s="6">
        <v>-14.670882280000001</v>
      </c>
      <c r="G124" s="7">
        <v>-4.9451850000000004E-3</v>
      </c>
      <c r="H124" s="53"/>
    </row>
    <row r="125" spans="1:8" ht="14.1" customHeight="1" x14ac:dyDescent="0.2">
      <c r="A125" s="11"/>
      <c r="B125" s="11"/>
      <c r="C125" s="2" t="s">
        <v>158</v>
      </c>
      <c r="D125" s="15"/>
      <c r="E125" s="15"/>
      <c r="F125" s="9">
        <v>2966.7001040199998</v>
      </c>
      <c r="G125" s="10">
        <v>1.0000000019999999</v>
      </c>
      <c r="H125" s="53"/>
    </row>
    <row r="126" spans="1:8" ht="14.1" customHeight="1" x14ac:dyDescent="0.2">
      <c r="A126" s="16"/>
      <c r="B126" s="16"/>
      <c r="C126" s="16"/>
      <c r="D126" s="17"/>
      <c r="E126" s="17"/>
      <c r="F126" s="17"/>
      <c r="G126" s="17"/>
    </row>
    <row r="127" spans="1:8" ht="14.1" customHeight="1" x14ac:dyDescent="0.2">
      <c r="A127" s="18"/>
      <c r="B127" s="292" t="s">
        <v>133</v>
      </c>
      <c r="C127" s="292"/>
      <c r="D127" s="292"/>
      <c r="E127" s="292"/>
      <c r="F127" s="292"/>
      <c r="G127" s="20"/>
    </row>
    <row r="128" spans="1:8" ht="14.1" customHeight="1" x14ac:dyDescent="0.2">
      <c r="A128" s="18"/>
      <c r="B128" s="292" t="s">
        <v>133</v>
      </c>
      <c r="C128" s="292"/>
      <c r="D128" s="292"/>
      <c r="E128" s="292"/>
      <c r="F128" s="292"/>
      <c r="G128" s="20"/>
    </row>
    <row r="129" spans="1:7" ht="14.1" customHeight="1" x14ac:dyDescent="0.2">
      <c r="A129" s="18"/>
      <c r="B129" s="18"/>
      <c r="C129" s="18"/>
      <c r="D129" s="20"/>
      <c r="E129" s="20"/>
      <c r="F129" s="20"/>
      <c r="G129" s="20"/>
    </row>
    <row r="130" spans="1:7" ht="14.1" customHeight="1" x14ac:dyDescent="0.2">
      <c r="A130" s="18"/>
      <c r="B130" s="293" t="s">
        <v>160</v>
      </c>
      <c r="C130" s="294"/>
      <c r="D130" s="12" t="s">
        <v>133</v>
      </c>
      <c r="E130" s="21"/>
      <c r="F130" s="20"/>
      <c r="G130" s="20"/>
    </row>
    <row r="131" spans="1:7" ht="29.1" customHeight="1" x14ac:dyDescent="0.2">
      <c r="A131" s="18"/>
      <c r="B131" s="290" t="s">
        <v>161</v>
      </c>
      <c r="C131" s="291"/>
      <c r="D131" s="2" t="s">
        <v>162</v>
      </c>
      <c r="E131" s="21"/>
      <c r="F131" s="20"/>
      <c r="G131" s="20"/>
    </row>
    <row r="132" spans="1:7" ht="17.100000000000001" customHeight="1" x14ac:dyDescent="0.2">
      <c r="A132" s="18"/>
      <c r="B132" s="290" t="s">
        <v>163</v>
      </c>
      <c r="C132" s="291"/>
      <c r="D132" s="2" t="s">
        <v>162</v>
      </c>
      <c r="E132" s="21"/>
      <c r="F132" s="20"/>
      <c r="G132" s="20"/>
    </row>
    <row r="133" spans="1:7" ht="17.100000000000001" customHeight="1" x14ac:dyDescent="0.2">
      <c r="A133" s="18"/>
      <c r="B133" s="290" t="s">
        <v>164</v>
      </c>
      <c r="C133" s="291"/>
      <c r="D133" s="12" t="s">
        <v>133</v>
      </c>
      <c r="E133" s="21"/>
      <c r="F133" s="20"/>
      <c r="G133" s="20"/>
    </row>
    <row r="134" spans="1:7" ht="24" customHeight="1" x14ac:dyDescent="0.2">
      <c r="A134" s="22"/>
      <c r="B134" s="23" t="s">
        <v>133</v>
      </c>
      <c r="C134" s="23" t="s">
        <v>165</v>
      </c>
      <c r="D134" s="23" t="s">
        <v>166</v>
      </c>
      <c r="E134" s="22"/>
      <c r="F134" s="22"/>
      <c r="G134" s="22"/>
    </row>
    <row r="135" spans="1:7" ht="18" customHeight="1" x14ac:dyDescent="0.2">
      <c r="A135" s="22"/>
      <c r="B135" s="23" t="s">
        <v>167</v>
      </c>
      <c r="C135" s="23" t="s">
        <v>168</v>
      </c>
      <c r="D135" s="23" t="s">
        <v>169</v>
      </c>
      <c r="E135" s="22"/>
      <c r="F135" s="22"/>
      <c r="G135" s="22"/>
    </row>
    <row r="136" spans="1:7" ht="17.100000000000001" customHeight="1" x14ac:dyDescent="0.2">
      <c r="A136" s="22"/>
      <c r="B136" s="4" t="s">
        <v>170</v>
      </c>
      <c r="C136" s="24">
        <v>17.510000000000002</v>
      </c>
      <c r="D136" s="24">
        <v>16.894400000000001</v>
      </c>
      <c r="E136" s="22"/>
      <c r="F136" s="19"/>
      <c r="G136" s="25"/>
    </row>
    <row r="137" spans="1:7" ht="17.100000000000001" customHeight="1" x14ac:dyDescent="0.2">
      <c r="A137" s="22"/>
      <c r="B137" s="4" t="s">
        <v>1042</v>
      </c>
      <c r="C137" s="24">
        <v>17.510000000000002</v>
      </c>
      <c r="D137" s="24">
        <v>16.894400000000001</v>
      </c>
      <c r="E137" s="22"/>
      <c r="F137" s="19"/>
      <c r="G137" s="25"/>
    </row>
    <row r="138" spans="1:7" ht="17.100000000000001" customHeight="1" x14ac:dyDescent="0.2">
      <c r="A138" s="22"/>
      <c r="B138" s="4" t="s">
        <v>171</v>
      </c>
      <c r="C138" s="24">
        <v>17.0426</v>
      </c>
      <c r="D138" s="24">
        <v>16.437899999999999</v>
      </c>
      <c r="E138" s="22"/>
      <c r="F138" s="19"/>
      <c r="G138" s="25"/>
    </row>
    <row r="139" spans="1:7" ht="17.100000000000001" customHeight="1" x14ac:dyDescent="0.2">
      <c r="A139" s="22"/>
      <c r="B139" s="4" t="s">
        <v>1043</v>
      </c>
      <c r="C139" s="24">
        <v>17.0427</v>
      </c>
      <c r="D139" s="24">
        <v>16.437999999999999</v>
      </c>
      <c r="E139" s="22"/>
      <c r="F139" s="19"/>
      <c r="G139" s="25"/>
    </row>
    <row r="140" spans="1:7" ht="14.1" customHeight="1" x14ac:dyDescent="0.2">
      <c r="A140" s="22"/>
      <c r="B140" s="22"/>
      <c r="C140" s="22"/>
      <c r="D140" s="22"/>
      <c r="E140" s="22"/>
      <c r="F140" s="22"/>
      <c r="G140" s="22"/>
    </row>
    <row r="141" spans="1:7" ht="17.100000000000001" customHeight="1" x14ac:dyDescent="0.2">
      <c r="A141" s="22"/>
      <c r="B141" s="290" t="s">
        <v>1044</v>
      </c>
      <c r="C141" s="291"/>
      <c r="D141" s="2" t="s">
        <v>162</v>
      </c>
      <c r="E141" s="22"/>
      <c r="F141" s="22"/>
      <c r="G141" s="22"/>
    </row>
    <row r="142" spans="1:7" ht="18" customHeight="1" x14ac:dyDescent="0.2">
      <c r="A142" s="22"/>
      <c r="B142" s="26"/>
      <c r="C142" s="26"/>
      <c r="D142" s="27"/>
      <c r="E142" s="22"/>
      <c r="F142" s="22"/>
      <c r="G142" s="22"/>
    </row>
    <row r="143" spans="1:7" ht="29.1" customHeight="1" x14ac:dyDescent="0.2">
      <c r="A143" s="22"/>
      <c r="B143" s="290" t="s">
        <v>172</v>
      </c>
      <c r="C143" s="291"/>
      <c r="D143" s="2" t="s">
        <v>162</v>
      </c>
      <c r="E143" s="22"/>
      <c r="F143" s="22"/>
      <c r="G143" s="22"/>
    </row>
    <row r="144" spans="1:7" ht="29.1" customHeight="1" x14ac:dyDescent="0.2">
      <c r="A144" s="22"/>
      <c r="B144" s="290" t="s">
        <v>173</v>
      </c>
      <c r="C144" s="291"/>
      <c r="D144" s="2" t="s">
        <v>162</v>
      </c>
      <c r="E144" s="22"/>
      <c r="F144" s="22"/>
      <c r="G144" s="22"/>
    </row>
    <row r="145" spans="1:14" ht="17.100000000000001" customHeight="1" x14ac:dyDescent="0.2">
      <c r="A145" s="22"/>
      <c r="B145" s="290" t="s">
        <v>174</v>
      </c>
      <c r="C145" s="291"/>
      <c r="D145" s="28">
        <v>0.12393015962056014</v>
      </c>
      <c r="E145" s="22"/>
      <c r="F145" s="19"/>
      <c r="G145" s="25"/>
    </row>
    <row r="146" spans="1:14" ht="17.100000000000001" customHeight="1" x14ac:dyDescent="0.2">
      <c r="A146" s="22"/>
      <c r="B146" s="290" t="s">
        <v>175</v>
      </c>
      <c r="C146" s="291"/>
      <c r="D146" s="2" t="s">
        <v>162</v>
      </c>
      <c r="E146" s="22"/>
      <c r="F146" s="22"/>
      <c r="G146" s="22"/>
    </row>
    <row r="158" spans="1:14" x14ac:dyDescent="0.2">
      <c r="J158" s="189"/>
      <c r="K158" s="189"/>
      <c r="L158" s="189"/>
      <c r="M158" s="189"/>
      <c r="N158" s="189"/>
    </row>
  </sheetData>
  <mergeCells count="15">
    <mergeCell ref="B145:C145"/>
    <mergeCell ref="B146:C146"/>
    <mergeCell ref="B131:C131"/>
    <mergeCell ref="B132:C132"/>
    <mergeCell ref="B133:C133"/>
    <mergeCell ref="B141:C141"/>
    <mergeCell ref="B143:C143"/>
    <mergeCell ref="B144:C144"/>
    <mergeCell ref="A1:H1"/>
    <mergeCell ref="A2:H2"/>
    <mergeCell ref="A3:H3"/>
    <mergeCell ref="J2:N2"/>
    <mergeCell ref="B130:C130"/>
    <mergeCell ref="B127:F127"/>
    <mergeCell ref="B128:F128"/>
  </mergeCells>
  <hyperlinks>
    <hyperlink ref="I1" location="Index!B14" display="Index" xr:uid="{3BAA813C-9362-4C89-9421-3DAB6B73889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477</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381</v>
      </c>
      <c r="C7" s="4" t="s">
        <v>382</v>
      </c>
      <c r="D7" s="4" t="s">
        <v>116</v>
      </c>
      <c r="E7" s="5">
        <v>4578</v>
      </c>
      <c r="F7" s="6">
        <v>77.034006000000005</v>
      </c>
      <c r="G7" s="7">
        <v>3.9658477999999997E-2</v>
      </c>
      <c r="H7" s="53"/>
    </row>
    <row r="8" spans="1:14" ht="17.100000000000001" customHeight="1" x14ac:dyDescent="0.2">
      <c r="A8" s="3">
        <v>2</v>
      </c>
      <c r="B8" s="4" t="s">
        <v>374</v>
      </c>
      <c r="C8" s="4" t="s">
        <v>375</v>
      </c>
      <c r="D8" s="4" t="s">
        <v>119</v>
      </c>
      <c r="E8" s="5">
        <v>59758</v>
      </c>
      <c r="F8" s="6">
        <v>74.906653000000006</v>
      </c>
      <c r="G8" s="7">
        <v>3.8563278999999999E-2</v>
      </c>
      <c r="H8" s="53"/>
    </row>
    <row r="9" spans="1:14" ht="17.100000000000001" customHeight="1" x14ac:dyDescent="0.2">
      <c r="A9" s="3">
        <v>3</v>
      </c>
      <c r="B9" s="4" t="s">
        <v>83</v>
      </c>
      <c r="C9" s="4" t="s">
        <v>84</v>
      </c>
      <c r="D9" s="4" t="s">
        <v>33</v>
      </c>
      <c r="E9" s="5">
        <v>4789</v>
      </c>
      <c r="F9" s="6">
        <v>70.144482999999994</v>
      </c>
      <c r="G9" s="7">
        <v>3.6111628999999999E-2</v>
      </c>
      <c r="H9" s="53"/>
    </row>
    <row r="10" spans="1:14" ht="17.100000000000001" customHeight="1" x14ac:dyDescent="0.2">
      <c r="A10" s="3">
        <v>4</v>
      </c>
      <c r="B10" s="4" t="s">
        <v>31</v>
      </c>
      <c r="C10" s="4" t="s">
        <v>32</v>
      </c>
      <c r="D10" s="4" t="s">
        <v>33</v>
      </c>
      <c r="E10" s="5">
        <v>3493</v>
      </c>
      <c r="F10" s="6">
        <v>67.547634000000002</v>
      </c>
      <c r="G10" s="7">
        <v>3.4774724999999999E-2</v>
      </c>
      <c r="H10" s="53"/>
    </row>
    <row r="11" spans="1:14" ht="17.100000000000001" customHeight="1" x14ac:dyDescent="0.2">
      <c r="A11" s="3">
        <v>5</v>
      </c>
      <c r="B11" s="4" t="s">
        <v>438</v>
      </c>
      <c r="C11" s="4" t="s">
        <v>439</v>
      </c>
      <c r="D11" s="4" t="s">
        <v>900</v>
      </c>
      <c r="E11" s="5">
        <v>8856</v>
      </c>
      <c r="F11" s="6">
        <v>62.368380000000002</v>
      </c>
      <c r="G11" s="7">
        <v>3.2108352E-2</v>
      </c>
      <c r="H11" s="53"/>
    </row>
    <row r="12" spans="1:14" ht="29.1" customHeight="1" x14ac:dyDescent="0.2">
      <c r="A12" s="3">
        <v>6</v>
      </c>
      <c r="B12" s="4" t="s">
        <v>191</v>
      </c>
      <c r="C12" s="4" t="s">
        <v>192</v>
      </c>
      <c r="D12" s="4" t="s">
        <v>116</v>
      </c>
      <c r="E12" s="5">
        <v>17793</v>
      </c>
      <c r="F12" s="6">
        <v>59.864548499999998</v>
      </c>
      <c r="G12" s="7">
        <v>3.0819335E-2</v>
      </c>
      <c r="H12" s="53"/>
    </row>
    <row r="13" spans="1:14" ht="17.100000000000001" customHeight="1" x14ac:dyDescent="0.2">
      <c r="A13" s="3">
        <v>7</v>
      </c>
      <c r="B13" s="4" t="s">
        <v>114</v>
      </c>
      <c r="C13" s="4" t="s">
        <v>115</v>
      </c>
      <c r="D13" s="4" t="s">
        <v>116</v>
      </c>
      <c r="E13" s="5">
        <v>17019</v>
      </c>
      <c r="F13" s="6">
        <v>57.413596499999997</v>
      </c>
      <c r="G13" s="7">
        <v>2.9557541999999999E-2</v>
      </c>
      <c r="H13" s="53"/>
      <c r="J13" s="188" t="s">
        <v>1077</v>
      </c>
    </row>
    <row r="14" spans="1:14" ht="17.100000000000001" customHeight="1" x14ac:dyDescent="0.2">
      <c r="A14" s="3">
        <v>8</v>
      </c>
      <c r="B14" s="4" t="s">
        <v>301</v>
      </c>
      <c r="C14" s="4" t="s">
        <v>302</v>
      </c>
      <c r="D14" s="4" t="s">
        <v>234</v>
      </c>
      <c r="E14" s="5">
        <v>10907</v>
      </c>
      <c r="F14" s="6">
        <v>54.491371999999998</v>
      </c>
      <c r="G14" s="7">
        <v>2.8053128E-2</v>
      </c>
      <c r="H14" s="53"/>
    </row>
    <row r="15" spans="1:14" ht="17.100000000000001" customHeight="1" x14ac:dyDescent="0.2">
      <c r="A15" s="3">
        <v>9</v>
      </c>
      <c r="B15" s="4" t="s">
        <v>363</v>
      </c>
      <c r="C15" s="4" t="s">
        <v>364</v>
      </c>
      <c r="D15" s="4" t="s">
        <v>116</v>
      </c>
      <c r="E15" s="5">
        <v>10545</v>
      </c>
      <c r="F15" s="6">
        <v>54.254024999999999</v>
      </c>
      <c r="G15" s="7">
        <v>2.7930937999999999E-2</v>
      </c>
      <c r="H15" s="53"/>
    </row>
    <row r="16" spans="1:14" ht="17.100000000000001" customHeight="1" x14ac:dyDescent="0.2">
      <c r="A16" s="3">
        <v>10</v>
      </c>
      <c r="B16" s="4" t="s">
        <v>312</v>
      </c>
      <c r="C16" s="4" t="s">
        <v>313</v>
      </c>
      <c r="D16" s="4" t="s">
        <v>224</v>
      </c>
      <c r="E16" s="5">
        <v>3795</v>
      </c>
      <c r="F16" s="6">
        <v>50.750534999999999</v>
      </c>
      <c r="G16" s="7">
        <v>2.6127279E-2</v>
      </c>
      <c r="H16" s="53"/>
    </row>
    <row r="17" spans="1:8" ht="29.1" customHeight="1" x14ac:dyDescent="0.2">
      <c r="A17" s="3">
        <v>11</v>
      </c>
      <c r="B17" s="4" t="s">
        <v>197</v>
      </c>
      <c r="C17" s="4" t="s">
        <v>198</v>
      </c>
      <c r="D17" s="4" t="s">
        <v>199</v>
      </c>
      <c r="E17" s="5">
        <v>1246</v>
      </c>
      <c r="F17" s="6">
        <v>50.702855</v>
      </c>
      <c r="G17" s="7">
        <v>2.6102732E-2</v>
      </c>
      <c r="H17" s="53"/>
    </row>
    <row r="18" spans="1:8" ht="17.100000000000001" customHeight="1" x14ac:dyDescent="0.2">
      <c r="A18" s="3">
        <v>12</v>
      </c>
      <c r="B18" s="4" t="s">
        <v>205</v>
      </c>
      <c r="C18" s="4" t="s">
        <v>206</v>
      </c>
      <c r="D18" s="4" t="s">
        <v>900</v>
      </c>
      <c r="E18" s="5">
        <v>1308</v>
      </c>
      <c r="F18" s="6">
        <v>50.631371999999999</v>
      </c>
      <c r="G18" s="7">
        <v>2.6065932E-2</v>
      </c>
      <c r="H18" s="53"/>
    </row>
    <row r="19" spans="1:8" ht="17.100000000000001" customHeight="1" x14ac:dyDescent="0.2">
      <c r="A19" s="3">
        <v>13</v>
      </c>
      <c r="B19" s="4" t="s">
        <v>379</v>
      </c>
      <c r="C19" s="4" t="s">
        <v>380</v>
      </c>
      <c r="D19" s="4" t="s">
        <v>33</v>
      </c>
      <c r="E19" s="5">
        <v>5962</v>
      </c>
      <c r="F19" s="6">
        <v>50.536892999999999</v>
      </c>
      <c r="G19" s="7">
        <v>2.6017292000000001E-2</v>
      </c>
      <c r="H19" s="53"/>
    </row>
    <row r="20" spans="1:8" ht="17.100000000000001" customHeight="1" x14ac:dyDescent="0.2">
      <c r="A20" s="3">
        <v>14</v>
      </c>
      <c r="B20" s="4" t="s">
        <v>436</v>
      </c>
      <c r="C20" s="4" t="s">
        <v>437</v>
      </c>
      <c r="D20" s="4" t="s">
        <v>237</v>
      </c>
      <c r="E20" s="5">
        <v>15930</v>
      </c>
      <c r="F20" s="6">
        <v>45.790785</v>
      </c>
      <c r="G20" s="7">
        <v>2.3573910999999999E-2</v>
      </c>
      <c r="H20" s="53"/>
    </row>
    <row r="21" spans="1:8" ht="17.100000000000001" customHeight="1" x14ac:dyDescent="0.2">
      <c r="A21" s="3">
        <v>15</v>
      </c>
      <c r="B21" s="4" t="s">
        <v>405</v>
      </c>
      <c r="C21" s="4" t="s">
        <v>406</v>
      </c>
      <c r="D21" s="4" t="s">
        <v>320</v>
      </c>
      <c r="E21" s="5">
        <v>2656</v>
      </c>
      <c r="F21" s="6">
        <v>41.279552000000002</v>
      </c>
      <c r="G21" s="7">
        <v>2.1251447999999999E-2</v>
      </c>
      <c r="H21" s="53"/>
    </row>
    <row r="22" spans="1:8" ht="17.100000000000001" customHeight="1" x14ac:dyDescent="0.2">
      <c r="A22" s="3">
        <v>16</v>
      </c>
      <c r="B22" s="4" t="s">
        <v>420</v>
      </c>
      <c r="C22" s="4" t="s">
        <v>421</v>
      </c>
      <c r="D22" s="4" t="s">
        <v>224</v>
      </c>
      <c r="E22" s="5">
        <v>5099</v>
      </c>
      <c r="F22" s="6">
        <v>40.261704000000002</v>
      </c>
      <c r="G22" s="7">
        <v>2.0727441999999999E-2</v>
      </c>
      <c r="H22" s="53"/>
    </row>
    <row r="23" spans="1:8" ht="17.100000000000001" customHeight="1" x14ac:dyDescent="0.2">
      <c r="A23" s="3">
        <v>17</v>
      </c>
      <c r="B23" s="4" t="s">
        <v>383</v>
      </c>
      <c r="C23" s="4" t="s">
        <v>384</v>
      </c>
      <c r="D23" s="4" t="s">
        <v>901</v>
      </c>
      <c r="E23" s="5">
        <v>3437</v>
      </c>
      <c r="F23" s="6">
        <v>37.2141175</v>
      </c>
      <c r="G23" s="7">
        <v>1.915849E-2</v>
      </c>
      <c r="H23" s="53"/>
    </row>
    <row r="24" spans="1:8" ht="17.100000000000001" customHeight="1" x14ac:dyDescent="0.2">
      <c r="A24" s="3">
        <v>18</v>
      </c>
      <c r="B24" s="4" t="s">
        <v>365</v>
      </c>
      <c r="C24" s="4" t="s">
        <v>366</v>
      </c>
      <c r="D24" s="4" t="s">
        <v>119</v>
      </c>
      <c r="E24" s="5">
        <v>6934</v>
      </c>
      <c r="F24" s="6">
        <v>37.100366999999999</v>
      </c>
      <c r="G24" s="7">
        <v>1.9099929000000002E-2</v>
      </c>
      <c r="H24" s="53"/>
    </row>
    <row r="25" spans="1:8" ht="17.100000000000001" customHeight="1" x14ac:dyDescent="0.2">
      <c r="A25" s="3">
        <v>19</v>
      </c>
      <c r="B25" s="4" t="s">
        <v>94</v>
      </c>
      <c r="C25" s="4" t="s">
        <v>95</v>
      </c>
      <c r="D25" s="4" t="s">
        <v>96</v>
      </c>
      <c r="E25" s="5">
        <v>7883</v>
      </c>
      <c r="F25" s="6">
        <v>36.659891500000001</v>
      </c>
      <c r="G25" s="7">
        <v>1.8873165000000001E-2</v>
      </c>
      <c r="H25" s="53"/>
    </row>
    <row r="26" spans="1:8" ht="17.100000000000001" customHeight="1" x14ac:dyDescent="0.2">
      <c r="A26" s="3">
        <v>20</v>
      </c>
      <c r="B26" s="4" t="s">
        <v>403</v>
      </c>
      <c r="C26" s="4" t="s">
        <v>404</v>
      </c>
      <c r="D26" s="4" t="s">
        <v>13</v>
      </c>
      <c r="E26" s="5">
        <v>40346</v>
      </c>
      <c r="F26" s="6">
        <v>36.170189000000001</v>
      </c>
      <c r="G26" s="7">
        <v>1.8621057E-2</v>
      </c>
      <c r="H26" s="53"/>
    </row>
    <row r="27" spans="1:8" ht="29.1" customHeight="1" x14ac:dyDescent="0.2">
      <c r="A27" s="3">
        <v>21</v>
      </c>
      <c r="B27" s="4" t="s">
        <v>225</v>
      </c>
      <c r="C27" s="4" t="s">
        <v>226</v>
      </c>
      <c r="D27" s="4" t="s">
        <v>227</v>
      </c>
      <c r="E27" s="5">
        <v>9440</v>
      </c>
      <c r="F27" s="6">
        <v>35.4236</v>
      </c>
      <c r="G27" s="7">
        <v>1.8236700000000002E-2</v>
      </c>
      <c r="H27" s="53"/>
    </row>
    <row r="28" spans="1:8" ht="29.1" customHeight="1" x14ac:dyDescent="0.2">
      <c r="A28" s="3">
        <v>22</v>
      </c>
      <c r="B28" s="4" t="s">
        <v>418</v>
      </c>
      <c r="C28" s="4" t="s">
        <v>419</v>
      </c>
      <c r="D28" s="4" t="s">
        <v>227</v>
      </c>
      <c r="E28" s="5">
        <v>1815</v>
      </c>
      <c r="F28" s="6">
        <v>35.292675000000003</v>
      </c>
      <c r="G28" s="7">
        <v>1.8169297000000001E-2</v>
      </c>
      <c r="H28" s="53"/>
    </row>
    <row r="29" spans="1:8" ht="29.1" customHeight="1" x14ac:dyDescent="0.2">
      <c r="A29" s="3">
        <v>23</v>
      </c>
      <c r="B29" s="4" t="s">
        <v>409</v>
      </c>
      <c r="C29" s="4" t="s">
        <v>410</v>
      </c>
      <c r="D29" s="4" t="s">
        <v>411</v>
      </c>
      <c r="E29" s="5">
        <v>28099</v>
      </c>
      <c r="F29" s="6">
        <v>35.109700500000002</v>
      </c>
      <c r="G29" s="7">
        <v>1.8075099000000001E-2</v>
      </c>
      <c r="H29" s="53"/>
    </row>
    <row r="30" spans="1:8" ht="17.100000000000001" customHeight="1" x14ac:dyDescent="0.2">
      <c r="A30" s="3">
        <v>24</v>
      </c>
      <c r="B30" s="4" t="s">
        <v>230</v>
      </c>
      <c r="C30" s="4" t="s">
        <v>231</v>
      </c>
      <c r="D30" s="4" t="s">
        <v>87</v>
      </c>
      <c r="E30" s="5">
        <v>700</v>
      </c>
      <c r="F30" s="6">
        <v>35.026600000000002</v>
      </c>
      <c r="G30" s="7">
        <v>1.8032316999999999E-2</v>
      </c>
      <c r="H30" s="53"/>
    </row>
    <row r="31" spans="1:8" ht="29.1" customHeight="1" x14ac:dyDescent="0.2">
      <c r="A31" s="3">
        <v>25</v>
      </c>
      <c r="B31" s="4" t="s">
        <v>68</v>
      </c>
      <c r="C31" s="4" t="s">
        <v>69</v>
      </c>
      <c r="D31" s="4" t="s">
        <v>25</v>
      </c>
      <c r="E31" s="5">
        <v>1193</v>
      </c>
      <c r="F31" s="6">
        <v>34.842758000000003</v>
      </c>
      <c r="G31" s="7">
        <v>1.7937672000000002E-2</v>
      </c>
      <c r="H31" s="53"/>
    </row>
    <row r="32" spans="1:8" ht="17.100000000000001" customHeight="1" x14ac:dyDescent="0.2">
      <c r="A32" s="3">
        <v>26</v>
      </c>
      <c r="B32" s="4" t="s">
        <v>422</v>
      </c>
      <c r="C32" s="4" t="s">
        <v>423</v>
      </c>
      <c r="D32" s="4" t="s">
        <v>265</v>
      </c>
      <c r="E32" s="5">
        <v>9664</v>
      </c>
      <c r="F32" s="6">
        <v>34.664768000000002</v>
      </c>
      <c r="G32" s="7">
        <v>1.7846040000000001E-2</v>
      </c>
      <c r="H32" s="53"/>
    </row>
    <row r="33" spans="1:8" ht="17.100000000000001" customHeight="1" x14ac:dyDescent="0.2">
      <c r="A33" s="3">
        <v>27</v>
      </c>
      <c r="B33" s="4" t="s">
        <v>36</v>
      </c>
      <c r="C33" s="4" t="s">
        <v>37</v>
      </c>
      <c r="D33" s="4" t="s">
        <v>33</v>
      </c>
      <c r="E33" s="5">
        <v>1906</v>
      </c>
      <c r="F33" s="6">
        <v>33.996369000000001</v>
      </c>
      <c r="G33" s="7">
        <v>1.7501935999999999E-2</v>
      </c>
      <c r="H33" s="53"/>
    </row>
    <row r="34" spans="1:8" ht="17.100000000000001" customHeight="1" x14ac:dyDescent="0.2">
      <c r="A34" s="3">
        <v>28</v>
      </c>
      <c r="B34" s="4" t="s">
        <v>434</v>
      </c>
      <c r="C34" s="4" t="s">
        <v>435</v>
      </c>
      <c r="D34" s="4" t="s">
        <v>96</v>
      </c>
      <c r="E34" s="5">
        <v>2275</v>
      </c>
      <c r="F34" s="6">
        <v>32.361874999999998</v>
      </c>
      <c r="G34" s="7">
        <v>1.6660469000000001E-2</v>
      </c>
      <c r="H34" s="53"/>
    </row>
    <row r="35" spans="1:8" ht="53.1" customHeight="1" x14ac:dyDescent="0.2">
      <c r="A35" s="3">
        <v>29</v>
      </c>
      <c r="B35" s="4" t="s">
        <v>444</v>
      </c>
      <c r="C35" s="4" t="s">
        <v>445</v>
      </c>
      <c r="D35" s="4" t="s">
        <v>48</v>
      </c>
      <c r="E35" s="5">
        <v>10454</v>
      </c>
      <c r="F35" s="6">
        <v>31.764479000000001</v>
      </c>
      <c r="G35" s="7">
        <v>1.6352919E-2</v>
      </c>
      <c r="H35" s="53"/>
    </row>
    <row r="36" spans="1:8" ht="29.1" customHeight="1" x14ac:dyDescent="0.2">
      <c r="A36" s="3">
        <v>30</v>
      </c>
      <c r="B36" s="4" t="s">
        <v>407</v>
      </c>
      <c r="C36" s="4" t="s">
        <v>408</v>
      </c>
      <c r="D36" s="4" t="s">
        <v>51</v>
      </c>
      <c r="E36" s="5">
        <v>1417</v>
      </c>
      <c r="F36" s="6">
        <v>31.587055500000002</v>
      </c>
      <c r="G36" s="7">
        <v>1.6261579000000002E-2</v>
      </c>
      <c r="H36" s="53"/>
    </row>
    <row r="37" spans="1:8" ht="17.100000000000001" customHeight="1" x14ac:dyDescent="0.2">
      <c r="A37" s="3">
        <v>31</v>
      </c>
      <c r="B37" s="4" t="s">
        <v>283</v>
      </c>
      <c r="C37" s="4" t="s">
        <v>284</v>
      </c>
      <c r="D37" s="4" t="s">
        <v>22</v>
      </c>
      <c r="E37" s="5">
        <v>13326</v>
      </c>
      <c r="F37" s="6">
        <v>31.336089000000001</v>
      </c>
      <c r="G37" s="7">
        <v>1.6132376E-2</v>
      </c>
      <c r="H37" s="53"/>
    </row>
    <row r="38" spans="1:8" ht="17.100000000000001" customHeight="1" x14ac:dyDescent="0.2">
      <c r="A38" s="3">
        <v>32</v>
      </c>
      <c r="B38" s="4" t="s">
        <v>442</v>
      </c>
      <c r="C38" s="4" t="s">
        <v>443</v>
      </c>
      <c r="D38" s="4" t="s">
        <v>119</v>
      </c>
      <c r="E38" s="5">
        <v>38221</v>
      </c>
      <c r="F38" s="6">
        <v>31.073672999999999</v>
      </c>
      <c r="G38" s="7">
        <v>1.5997279999999999E-2</v>
      </c>
      <c r="H38" s="53"/>
    </row>
    <row r="39" spans="1:8" ht="17.100000000000001" customHeight="1" x14ac:dyDescent="0.2">
      <c r="A39" s="3">
        <v>33</v>
      </c>
      <c r="B39" s="4" t="s">
        <v>318</v>
      </c>
      <c r="C39" s="4" t="s">
        <v>319</v>
      </c>
      <c r="D39" s="4" t="s">
        <v>320</v>
      </c>
      <c r="E39" s="5">
        <v>2367</v>
      </c>
      <c r="F39" s="6">
        <v>31.039654500000001</v>
      </c>
      <c r="G39" s="7">
        <v>1.5979766999999999E-2</v>
      </c>
      <c r="H39" s="53"/>
    </row>
    <row r="40" spans="1:8" ht="17.100000000000001" customHeight="1" x14ac:dyDescent="0.2">
      <c r="A40" s="3">
        <v>34</v>
      </c>
      <c r="B40" s="4" t="s">
        <v>458</v>
      </c>
      <c r="C40" s="4" t="s">
        <v>459</v>
      </c>
      <c r="D40" s="4" t="s">
        <v>901</v>
      </c>
      <c r="E40" s="5">
        <v>3807</v>
      </c>
      <c r="F40" s="6">
        <v>30.876673499999999</v>
      </c>
      <c r="G40" s="7">
        <v>1.5895861000000001E-2</v>
      </c>
      <c r="H40" s="53"/>
    </row>
    <row r="41" spans="1:8" ht="17.100000000000001" customHeight="1" x14ac:dyDescent="0.2">
      <c r="A41" s="3">
        <v>35</v>
      </c>
      <c r="B41" s="4" t="s">
        <v>385</v>
      </c>
      <c r="C41" s="4" t="s">
        <v>386</v>
      </c>
      <c r="D41" s="4" t="s">
        <v>119</v>
      </c>
      <c r="E41" s="5">
        <v>3328</v>
      </c>
      <c r="F41" s="6">
        <v>30.461183999999999</v>
      </c>
      <c r="G41" s="7">
        <v>1.5681960000000002E-2</v>
      </c>
      <c r="H41" s="53"/>
    </row>
    <row r="42" spans="1:8" ht="29.1" customHeight="1" x14ac:dyDescent="0.2">
      <c r="A42" s="3">
        <v>36</v>
      </c>
      <c r="B42" s="4" t="s">
        <v>401</v>
      </c>
      <c r="C42" s="4" t="s">
        <v>402</v>
      </c>
      <c r="D42" s="4" t="s">
        <v>227</v>
      </c>
      <c r="E42" s="5">
        <v>7291</v>
      </c>
      <c r="F42" s="6">
        <v>29.648851499999999</v>
      </c>
      <c r="G42" s="7">
        <v>1.5263756999999999E-2</v>
      </c>
      <c r="H42" s="53"/>
    </row>
    <row r="43" spans="1:8" ht="17.100000000000001" customHeight="1" x14ac:dyDescent="0.2">
      <c r="A43" s="3">
        <v>37</v>
      </c>
      <c r="B43" s="4" t="s">
        <v>393</v>
      </c>
      <c r="C43" s="4" t="s">
        <v>394</v>
      </c>
      <c r="D43" s="4" t="s">
        <v>212</v>
      </c>
      <c r="E43" s="5">
        <v>3820</v>
      </c>
      <c r="F43" s="6">
        <v>27.578489999999999</v>
      </c>
      <c r="G43" s="7">
        <v>1.4197898E-2</v>
      </c>
      <c r="H43" s="53"/>
    </row>
    <row r="44" spans="1:8" ht="29.1" customHeight="1" x14ac:dyDescent="0.2">
      <c r="A44" s="3">
        <v>38</v>
      </c>
      <c r="B44" s="4" t="s">
        <v>387</v>
      </c>
      <c r="C44" s="4" t="s">
        <v>388</v>
      </c>
      <c r="D44" s="4" t="s">
        <v>65</v>
      </c>
      <c r="E44" s="5">
        <v>1669</v>
      </c>
      <c r="F44" s="6">
        <v>26.996075000000001</v>
      </c>
      <c r="G44" s="7">
        <v>1.389806E-2</v>
      </c>
      <c r="H44" s="53"/>
    </row>
    <row r="45" spans="1:8" ht="17.100000000000001" customHeight="1" x14ac:dyDescent="0.2">
      <c r="A45" s="3">
        <v>39</v>
      </c>
      <c r="B45" s="4" t="s">
        <v>448</v>
      </c>
      <c r="C45" s="4" t="s">
        <v>449</v>
      </c>
      <c r="D45" s="4" t="s">
        <v>13</v>
      </c>
      <c r="E45" s="5">
        <v>4308</v>
      </c>
      <c r="F45" s="6">
        <v>24.077411999999999</v>
      </c>
      <c r="G45" s="7">
        <v>1.239548E-2</v>
      </c>
      <c r="H45" s="53"/>
    </row>
    <row r="46" spans="1:8" ht="17.100000000000001" customHeight="1" x14ac:dyDescent="0.2">
      <c r="A46" s="3">
        <v>40</v>
      </c>
      <c r="B46" s="4" t="s">
        <v>367</v>
      </c>
      <c r="C46" s="4" t="s">
        <v>368</v>
      </c>
      <c r="D46" s="4" t="s">
        <v>116</v>
      </c>
      <c r="E46" s="5">
        <v>4498</v>
      </c>
      <c r="F46" s="6">
        <v>22.777871999999999</v>
      </c>
      <c r="G46" s="7">
        <v>1.1726454000000001E-2</v>
      </c>
      <c r="H46" s="53"/>
    </row>
    <row r="47" spans="1:8" ht="29.1" customHeight="1" x14ac:dyDescent="0.2">
      <c r="A47" s="3">
        <v>41</v>
      </c>
      <c r="B47" s="4" t="s">
        <v>285</v>
      </c>
      <c r="C47" s="4" t="s">
        <v>286</v>
      </c>
      <c r="D47" s="4" t="s">
        <v>199</v>
      </c>
      <c r="E47" s="5">
        <v>3180</v>
      </c>
      <c r="F47" s="6">
        <v>21.60651</v>
      </c>
      <c r="G47" s="7">
        <v>1.1123416000000001E-2</v>
      </c>
      <c r="H47" s="53"/>
    </row>
    <row r="48" spans="1:8" ht="17.100000000000001" customHeight="1" x14ac:dyDescent="0.2">
      <c r="A48" s="3">
        <v>42</v>
      </c>
      <c r="B48" s="4" t="s">
        <v>468</v>
      </c>
      <c r="C48" s="4" t="s">
        <v>469</v>
      </c>
      <c r="D48" s="4" t="s">
        <v>224</v>
      </c>
      <c r="E48" s="5">
        <v>10135</v>
      </c>
      <c r="F48" s="6">
        <v>20.807155000000002</v>
      </c>
      <c r="G48" s="7">
        <v>1.0711894E-2</v>
      </c>
      <c r="H48" s="53"/>
    </row>
    <row r="49" spans="1:8" ht="17.100000000000001" customHeight="1" x14ac:dyDescent="0.2">
      <c r="A49" s="3">
        <v>43</v>
      </c>
      <c r="B49" s="4" t="s">
        <v>389</v>
      </c>
      <c r="C49" s="4" t="s">
        <v>390</v>
      </c>
      <c r="D49" s="4" t="s">
        <v>119</v>
      </c>
      <c r="E49" s="5">
        <v>2752</v>
      </c>
      <c r="F49" s="6">
        <v>20.135007999999999</v>
      </c>
      <c r="G49" s="7">
        <v>1.0365861000000001E-2</v>
      </c>
      <c r="H49" s="53"/>
    </row>
    <row r="50" spans="1:8" ht="17.100000000000001" customHeight="1" x14ac:dyDescent="0.2">
      <c r="A50" s="3">
        <v>44</v>
      </c>
      <c r="B50" s="4" t="s">
        <v>412</v>
      </c>
      <c r="C50" s="4" t="s">
        <v>413</v>
      </c>
      <c r="D50" s="4" t="s">
        <v>33</v>
      </c>
      <c r="E50" s="5">
        <v>2300</v>
      </c>
      <c r="F50" s="6">
        <v>20.1296</v>
      </c>
      <c r="G50" s="7">
        <v>1.0363076000000001E-2</v>
      </c>
      <c r="H50" s="53"/>
    </row>
    <row r="51" spans="1:8" ht="29.1" customHeight="1" x14ac:dyDescent="0.2">
      <c r="A51" s="3">
        <v>45</v>
      </c>
      <c r="B51" s="4" t="s">
        <v>428</v>
      </c>
      <c r="C51" s="4" t="s">
        <v>429</v>
      </c>
      <c r="D51" s="4" t="s">
        <v>430</v>
      </c>
      <c r="E51" s="5">
        <v>3485</v>
      </c>
      <c r="F51" s="6">
        <v>19.8139675</v>
      </c>
      <c r="G51" s="7">
        <v>1.0200582999999999E-2</v>
      </c>
      <c r="H51" s="53"/>
    </row>
    <row r="52" spans="1:8" ht="17.100000000000001" customHeight="1" x14ac:dyDescent="0.2">
      <c r="A52" s="3">
        <v>46</v>
      </c>
      <c r="B52" s="4" t="s">
        <v>416</v>
      </c>
      <c r="C52" s="4" t="s">
        <v>417</v>
      </c>
      <c r="D52" s="4" t="s">
        <v>219</v>
      </c>
      <c r="E52" s="5">
        <v>2336</v>
      </c>
      <c r="F52" s="6">
        <v>18.68216</v>
      </c>
      <c r="G52" s="7">
        <v>9.6179089999999991E-3</v>
      </c>
      <c r="H52" s="53"/>
    </row>
    <row r="53" spans="1:8" ht="29.1" customHeight="1" x14ac:dyDescent="0.2">
      <c r="A53" s="3">
        <v>47</v>
      </c>
      <c r="B53" s="4" t="s">
        <v>376</v>
      </c>
      <c r="C53" s="4" t="s">
        <v>377</v>
      </c>
      <c r="D53" s="4" t="s">
        <v>227</v>
      </c>
      <c r="E53" s="5">
        <v>472</v>
      </c>
      <c r="F53" s="6">
        <v>18.658159999999999</v>
      </c>
      <c r="G53" s="7">
        <v>9.6055529999999993E-3</v>
      </c>
      <c r="H53" s="53"/>
    </row>
    <row r="54" spans="1:8" ht="17.100000000000001" customHeight="1" x14ac:dyDescent="0.2">
      <c r="A54" s="3">
        <v>48</v>
      </c>
      <c r="B54" s="4" t="s">
        <v>446</v>
      </c>
      <c r="C54" s="4" t="s">
        <v>447</v>
      </c>
      <c r="D54" s="4" t="s">
        <v>40</v>
      </c>
      <c r="E54" s="5">
        <v>2557</v>
      </c>
      <c r="F54" s="6">
        <v>15.827830000000001</v>
      </c>
      <c r="G54" s="7">
        <v>8.1484490000000003E-3</v>
      </c>
      <c r="H54" s="53"/>
    </row>
    <row r="55" spans="1:8" ht="17.100000000000001" customHeight="1" x14ac:dyDescent="0.2">
      <c r="A55" s="3">
        <v>49</v>
      </c>
      <c r="B55" s="4" t="s">
        <v>331</v>
      </c>
      <c r="C55" s="4" t="s">
        <v>332</v>
      </c>
      <c r="D55" s="4" t="s">
        <v>96</v>
      </c>
      <c r="E55" s="5">
        <v>14375</v>
      </c>
      <c r="F55" s="6">
        <v>10.78125</v>
      </c>
      <c r="G55" s="7">
        <v>5.5503790000000002E-3</v>
      </c>
      <c r="H55" s="53"/>
    </row>
    <row r="56" spans="1:8" ht="17.100000000000001" customHeight="1" x14ac:dyDescent="0.2">
      <c r="A56" s="3">
        <v>50</v>
      </c>
      <c r="B56" s="4" t="s">
        <v>426</v>
      </c>
      <c r="C56" s="4" t="s">
        <v>427</v>
      </c>
      <c r="D56" s="4" t="s">
        <v>33</v>
      </c>
      <c r="E56" s="5">
        <v>1303</v>
      </c>
      <c r="F56" s="6">
        <v>10.702842</v>
      </c>
      <c r="G56" s="7">
        <v>5.5100139999999997E-3</v>
      </c>
      <c r="H56" s="53"/>
    </row>
    <row r="57" spans="1:8" ht="29.1" customHeight="1" x14ac:dyDescent="0.2">
      <c r="A57" s="3">
        <v>51</v>
      </c>
      <c r="B57" s="4" t="s">
        <v>431</v>
      </c>
      <c r="C57" s="4" t="s">
        <v>432</v>
      </c>
      <c r="D57" s="4" t="s">
        <v>199</v>
      </c>
      <c r="E57" s="5">
        <v>1125</v>
      </c>
      <c r="F57" s="6">
        <v>6.703875</v>
      </c>
      <c r="G57" s="7">
        <v>3.4512739999999998E-3</v>
      </c>
      <c r="H57" s="53"/>
    </row>
    <row r="58" spans="1:8" ht="17.100000000000001" customHeight="1" x14ac:dyDescent="0.2">
      <c r="A58" s="3">
        <v>52</v>
      </c>
      <c r="B58" s="4" t="s">
        <v>452</v>
      </c>
      <c r="C58" s="4" t="s">
        <v>453</v>
      </c>
      <c r="D58" s="4" t="s">
        <v>19</v>
      </c>
      <c r="E58" s="5">
        <v>1389</v>
      </c>
      <c r="F58" s="6">
        <v>3.303042</v>
      </c>
      <c r="G58" s="7">
        <v>1.700465E-3</v>
      </c>
      <c r="H58" s="53"/>
    </row>
    <row r="59" spans="1:8" ht="29.1" customHeight="1" x14ac:dyDescent="0.2">
      <c r="A59" s="3">
        <v>53</v>
      </c>
      <c r="B59" s="4" t="s">
        <v>424</v>
      </c>
      <c r="C59" s="4" t="s">
        <v>425</v>
      </c>
      <c r="D59" s="4" t="s">
        <v>227</v>
      </c>
      <c r="E59" s="5">
        <v>1120</v>
      </c>
      <c r="F59" s="6">
        <v>2.8011200000000001</v>
      </c>
      <c r="G59" s="7">
        <v>1.4420660000000001E-3</v>
      </c>
      <c r="H59" s="53"/>
    </row>
    <row r="60" spans="1:8" ht="14.1" customHeight="1" x14ac:dyDescent="0.2">
      <c r="A60" s="1"/>
      <c r="B60" s="1"/>
      <c r="C60" s="2" t="s">
        <v>132</v>
      </c>
      <c r="D60" s="1"/>
      <c r="E60" s="1" t="s">
        <v>133</v>
      </c>
      <c r="F60" s="9">
        <v>1871.0113329999999</v>
      </c>
      <c r="G60" s="10">
        <v>0.96322994299999998</v>
      </c>
      <c r="H60" s="53"/>
    </row>
    <row r="61" spans="1:8" ht="14.1" customHeight="1" x14ac:dyDescent="0.2">
      <c r="A61" s="1"/>
      <c r="B61" s="1"/>
      <c r="C61" s="11"/>
      <c r="D61" s="1"/>
      <c r="E61" s="1"/>
      <c r="F61" s="12"/>
      <c r="G61" s="12"/>
      <c r="H61" s="53"/>
    </row>
    <row r="62" spans="1:8" ht="14.1" customHeight="1" x14ac:dyDescent="0.2">
      <c r="A62" s="1"/>
      <c r="B62" s="1"/>
      <c r="C62" s="2" t="s">
        <v>134</v>
      </c>
      <c r="D62" s="1"/>
      <c r="E62" s="1"/>
      <c r="F62" s="1"/>
      <c r="G62" s="1"/>
      <c r="H62" s="53"/>
    </row>
    <row r="63" spans="1:8" ht="14.1" customHeight="1" x14ac:dyDescent="0.2">
      <c r="A63" s="1"/>
      <c r="B63" s="1"/>
      <c r="C63" s="2" t="s">
        <v>132</v>
      </c>
      <c r="D63" s="1"/>
      <c r="E63" s="1" t="s">
        <v>133</v>
      </c>
      <c r="F63" s="13">
        <v>0</v>
      </c>
      <c r="G63" s="14">
        <v>0</v>
      </c>
      <c r="H63" s="53"/>
    </row>
    <row r="64" spans="1:8" ht="14.1" customHeight="1" x14ac:dyDescent="0.2">
      <c r="A64" s="1"/>
      <c r="B64" s="1"/>
      <c r="C64" s="11"/>
      <c r="D64" s="1"/>
      <c r="E64" s="1"/>
      <c r="F64" s="12"/>
      <c r="G64" s="12"/>
      <c r="H64" s="53"/>
    </row>
    <row r="65" spans="1:8" ht="14.1" customHeight="1" x14ac:dyDescent="0.2">
      <c r="A65" s="1"/>
      <c r="B65" s="1"/>
      <c r="C65" s="2" t="s">
        <v>135</v>
      </c>
      <c r="D65" s="1"/>
      <c r="E65" s="1"/>
      <c r="F65" s="1"/>
      <c r="G65" s="1"/>
      <c r="H65" s="53"/>
    </row>
    <row r="66" spans="1:8" ht="14.1" customHeight="1" x14ac:dyDescent="0.2">
      <c r="A66" s="1"/>
      <c r="B66" s="1"/>
      <c r="C66" s="2" t="s">
        <v>132</v>
      </c>
      <c r="D66" s="1"/>
      <c r="E66" s="1" t="s">
        <v>133</v>
      </c>
      <c r="F66" s="13">
        <v>0</v>
      </c>
      <c r="G66" s="14">
        <v>0</v>
      </c>
      <c r="H66" s="53"/>
    </row>
    <row r="67" spans="1:8" ht="14.1" customHeight="1" x14ac:dyDescent="0.2">
      <c r="A67" s="1"/>
      <c r="B67" s="1"/>
      <c r="C67" s="11"/>
      <c r="D67" s="1"/>
      <c r="E67" s="1"/>
      <c r="F67" s="12"/>
      <c r="G67" s="12"/>
      <c r="H67" s="53"/>
    </row>
    <row r="68" spans="1:8" ht="14.1" customHeight="1" x14ac:dyDescent="0.2">
      <c r="A68" s="1"/>
      <c r="B68" s="1"/>
      <c r="C68" s="2" t="s">
        <v>136</v>
      </c>
      <c r="D68" s="1"/>
      <c r="E68" s="1"/>
      <c r="F68" s="1"/>
      <c r="G68" s="1"/>
      <c r="H68" s="53"/>
    </row>
    <row r="69" spans="1:8" ht="17.100000000000001" customHeight="1" x14ac:dyDescent="0.2">
      <c r="A69" s="3">
        <v>1</v>
      </c>
      <c r="B69" s="4" t="s">
        <v>399</v>
      </c>
      <c r="C69" s="4" t="s">
        <v>960</v>
      </c>
      <c r="D69" s="4" t="s">
        <v>212</v>
      </c>
      <c r="E69" s="5">
        <v>272</v>
      </c>
      <c r="F69" s="6">
        <v>0.416024</v>
      </c>
      <c r="G69" s="7">
        <v>2.1417699999999999E-4</v>
      </c>
      <c r="H69" s="53"/>
    </row>
    <row r="70" spans="1:8" ht="14.1" customHeight="1" x14ac:dyDescent="0.2">
      <c r="A70" s="1"/>
      <c r="B70" s="1"/>
      <c r="C70" s="2" t="s">
        <v>132</v>
      </c>
      <c r="D70" s="1"/>
      <c r="E70" s="1" t="s">
        <v>133</v>
      </c>
      <c r="F70" s="9">
        <v>0.416024</v>
      </c>
      <c r="G70" s="10">
        <v>2.1417699999999999E-4</v>
      </c>
      <c r="H70" s="53"/>
    </row>
    <row r="71" spans="1:8" ht="14.1" customHeight="1" x14ac:dyDescent="0.2">
      <c r="A71" s="1"/>
      <c r="B71" s="1"/>
      <c r="C71" s="11"/>
      <c r="D71" s="1"/>
      <c r="E71" s="1"/>
      <c r="F71" s="12"/>
      <c r="G71" s="12"/>
      <c r="H71" s="53"/>
    </row>
    <row r="72" spans="1:8" ht="14.1" customHeight="1" x14ac:dyDescent="0.2">
      <c r="A72" s="1"/>
      <c r="B72" s="1"/>
      <c r="C72" s="2" t="s">
        <v>137</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4.1" customHeight="1" x14ac:dyDescent="0.2">
      <c r="A75" s="1"/>
      <c r="B75" s="1"/>
      <c r="C75" s="2" t="s">
        <v>138</v>
      </c>
      <c r="D75" s="1"/>
      <c r="E75" s="1"/>
      <c r="F75" s="12"/>
      <c r="G75" s="12"/>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8" customHeight="1" x14ac:dyDescent="0.2">
      <c r="A78" s="1"/>
      <c r="B78" s="1"/>
      <c r="C78" s="2" t="s">
        <v>139</v>
      </c>
      <c r="D78" s="1"/>
      <c r="E78" s="1"/>
      <c r="F78" s="9">
        <v>1871.427357</v>
      </c>
      <c r="G78" s="10">
        <v>0.96344412000000001</v>
      </c>
      <c r="H78" s="53"/>
    </row>
    <row r="79" spans="1:8" ht="14.1" customHeight="1" x14ac:dyDescent="0.2">
      <c r="A79" s="1"/>
      <c r="B79" s="1"/>
      <c r="C79" s="11"/>
      <c r="D79" s="1"/>
      <c r="E79" s="1"/>
      <c r="F79" s="12"/>
      <c r="G79" s="12"/>
      <c r="H79" s="53"/>
    </row>
    <row r="80" spans="1:8" ht="14.1" customHeight="1" x14ac:dyDescent="0.2">
      <c r="A80" s="1"/>
      <c r="B80" s="1"/>
      <c r="C80" s="2" t="s">
        <v>140</v>
      </c>
      <c r="D80" s="1"/>
      <c r="E80" s="1"/>
      <c r="F80" s="12"/>
      <c r="G80" s="12"/>
      <c r="H80" s="53"/>
    </row>
    <row r="81" spans="1:8" ht="24" customHeight="1" x14ac:dyDescent="0.2">
      <c r="A81" s="1"/>
      <c r="B81" s="1"/>
      <c r="C81" s="2" t="s">
        <v>10</v>
      </c>
      <c r="D81" s="1"/>
      <c r="E81" s="1"/>
      <c r="F81" s="12"/>
      <c r="G81" s="12"/>
      <c r="H81" s="53"/>
    </row>
    <row r="82" spans="1:8" ht="14.1" customHeight="1" x14ac:dyDescent="0.2">
      <c r="A82" s="1"/>
      <c r="B82" s="1"/>
      <c r="C82" s="2" t="s">
        <v>132</v>
      </c>
      <c r="D82" s="1"/>
      <c r="E82" s="1" t="s">
        <v>133</v>
      </c>
      <c r="F82" s="13">
        <v>0</v>
      </c>
      <c r="G82" s="14">
        <v>0</v>
      </c>
      <c r="H82" s="53"/>
    </row>
    <row r="83" spans="1:8" ht="14.1" customHeight="1" x14ac:dyDescent="0.2">
      <c r="A83" s="1"/>
      <c r="B83" s="1"/>
      <c r="C83" s="11"/>
      <c r="D83" s="1"/>
      <c r="E83" s="1"/>
      <c r="F83" s="12"/>
      <c r="G83" s="12"/>
      <c r="H83" s="53"/>
    </row>
    <row r="84" spans="1:8" ht="14.1" customHeight="1" x14ac:dyDescent="0.2">
      <c r="A84" s="1"/>
      <c r="B84" s="1"/>
      <c r="C84" s="2" t="s">
        <v>141</v>
      </c>
      <c r="D84" s="1"/>
      <c r="E84" s="1"/>
      <c r="F84" s="1"/>
      <c r="G84" s="1"/>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142</v>
      </c>
      <c r="D87" s="1"/>
      <c r="E87" s="1"/>
      <c r="F87" s="1"/>
      <c r="G87" s="1"/>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4.1" customHeight="1" x14ac:dyDescent="0.2">
      <c r="A90" s="1"/>
      <c r="B90" s="1"/>
      <c r="C90" s="2" t="s">
        <v>143</v>
      </c>
      <c r="D90" s="1"/>
      <c r="E90" s="1"/>
      <c r="F90" s="12"/>
      <c r="G90" s="12"/>
      <c r="H90" s="53"/>
    </row>
    <row r="91" spans="1:8" ht="14.1" customHeight="1" x14ac:dyDescent="0.2">
      <c r="A91" s="1"/>
      <c r="B91" s="1"/>
      <c r="C91" s="2" t="s">
        <v>132</v>
      </c>
      <c r="D91" s="1"/>
      <c r="E91" s="1" t="s">
        <v>133</v>
      </c>
      <c r="F91" s="13">
        <v>0</v>
      </c>
      <c r="G91" s="14">
        <v>0</v>
      </c>
      <c r="H91" s="53"/>
    </row>
    <row r="92" spans="1:8" ht="14.1" customHeight="1" x14ac:dyDescent="0.2">
      <c r="A92" s="1"/>
      <c r="B92" s="1"/>
      <c r="C92" s="11"/>
      <c r="D92" s="1"/>
      <c r="E92" s="1"/>
      <c r="F92" s="12"/>
      <c r="G92" s="12"/>
      <c r="H92" s="53"/>
    </row>
    <row r="93" spans="1:8" ht="14.1" customHeight="1" x14ac:dyDescent="0.2">
      <c r="A93" s="1"/>
      <c r="B93" s="1"/>
      <c r="C93" s="2" t="s">
        <v>144</v>
      </c>
      <c r="D93" s="1"/>
      <c r="E93" s="1"/>
      <c r="F93" s="9">
        <v>0</v>
      </c>
      <c r="G93" s="10">
        <v>0</v>
      </c>
      <c r="H93" s="53"/>
    </row>
    <row r="94" spans="1:8" ht="14.1" customHeight="1" x14ac:dyDescent="0.2">
      <c r="A94" s="1"/>
      <c r="B94" s="1"/>
      <c r="C94" s="11"/>
      <c r="D94" s="1"/>
      <c r="E94" s="1"/>
      <c r="F94" s="12"/>
      <c r="G94" s="12"/>
      <c r="H94" s="53"/>
    </row>
    <row r="95" spans="1:8" ht="14.1" customHeight="1" x14ac:dyDescent="0.2">
      <c r="A95" s="1"/>
      <c r="B95" s="1"/>
      <c r="C95" s="2" t="s">
        <v>145</v>
      </c>
      <c r="D95" s="1"/>
      <c r="E95" s="1"/>
      <c r="F95" s="12"/>
      <c r="G95" s="12"/>
      <c r="H95" s="53"/>
    </row>
    <row r="96" spans="1:8" ht="14.1" customHeight="1" x14ac:dyDescent="0.2">
      <c r="A96" s="1"/>
      <c r="B96" s="1"/>
      <c r="C96" s="2" t="s">
        <v>146</v>
      </c>
      <c r="D96" s="1"/>
      <c r="E96" s="1"/>
      <c r="F96" s="12"/>
      <c r="G96" s="12"/>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147</v>
      </c>
      <c r="D99" s="1"/>
      <c r="E99" s="1"/>
      <c r="F99" s="12"/>
      <c r="G99" s="12"/>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148</v>
      </c>
      <c r="D102" s="1"/>
      <c r="E102" s="1"/>
      <c r="F102" s="12"/>
      <c r="G102" s="12"/>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149</v>
      </c>
      <c r="D105" s="1"/>
      <c r="E105" s="1"/>
      <c r="F105" s="12"/>
      <c r="G105" s="12"/>
      <c r="H105" s="53"/>
    </row>
    <row r="106" spans="1:8" ht="17.100000000000001" customHeight="1" x14ac:dyDescent="0.2">
      <c r="A106" s="3">
        <v>1</v>
      </c>
      <c r="B106" s="4"/>
      <c r="C106" s="4" t="s">
        <v>150</v>
      </c>
      <c r="D106" s="4"/>
      <c r="E106" s="8"/>
      <c r="F106" s="6">
        <v>68.727089699999993</v>
      </c>
      <c r="G106" s="7">
        <v>3.5381928999999999E-2</v>
      </c>
      <c r="H106" s="53">
        <v>6.46</v>
      </c>
    </row>
    <row r="107" spans="1:8" ht="14.1" customHeight="1" x14ac:dyDescent="0.2">
      <c r="A107" s="1"/>
      <c r="B107" s="1"/>
      <c r="C107" s="2" t="s">
        <v>132</v>
      </c>
      <c r="D107" s="1"/>
      <c r="E107" s="1" t="s">
        <v>133</v>
      </c>
      <c r="F107" s="9">
        <v>68.727089699999993</v>
      </c>
      <c r="G107" s="10">
        <v>3.5381928999999999E-2</v>
      </c>
      <c r="H107" s="53"/>
    </row>
    <row r="108" spans="1:8" ht="14.1" customHeight="1" x14ac:dyDescent="0.2">
      <c r="A108" s="1"/>
      <c r="B108" s="1"/>
      <c r="C108" s="11"/>
      <c r="D108" s="1"/>
      <c r="E108" s="1"/>
      <c r="F108" s="12"/>
      <c r="G108" s="12"/>
      <c r="H108" s="53"/>
    </row>
    <row r="109" spans="1:8" ht="14.1" customHeight="1" x14ac:dyDescent="0.2">
      <c r="A109" s="1"/>
      <c r="B109" s="1"/>
      <c r="C109" s="2" t="s">
        <v>151</v>
      </c>
      <c r="D109" s="1"/>
      <c r="E109" s="1"/>
      <c r="F109" s="9">
        <v>68.727089699999993</v>
      </c>
      <c r="G109" s="10">
        <v>3.5381928999999999E-2</v>
      </c>
      <c r="H109" s="53"/>
    </row>
    <row r="110" spans="1:8" ht="14.1" customHeight="1" x14ac:dyDescent="0.2">
      <c r="A110" s="1"/>
      <c r="B110" s="1"/>
      <c r="C110" s="12"/>
      <c r="D110" s="1"/>
      <c r="E110" s="1"/>
      <c r="F110" s="1"/>
      <c r="G110" s="1"/>
      <c r="H110" s="53"/>
    </row>
    <row r="111" spans="1:8" ht="14.1" customHeight="1" x14ac:dyDescent="0.2">
      <c r="A111" s="1"/>
      <c r="B111" s="1"/>
      <c r="C111" s="2" t="s">
        <v>152</v>
      </c>
      <c r="D111" s="1"/>
      <c r="E111" s="1"/>
      <c r="F111" s="1"/>
      <c r="G111" s="1"/>
      <c r="H111" s="53"/>
    </row>
    <row r="112" spans="1:8" ht="14.1" customHeight="1" x14ac:dyDescent="0.2">
      <c r="A112" s="1"/>
      <c r="B112" s="1"/>
      <c r="C112" s="2" t="s">
        <v>153</v>
      </c>
      <c r="D112" s="1"/>
      <c r="E112" s="1"/>
      <c r="F112" s="1"/>
      <c r="G112" s="1"/>
      <c r="H112" s="53"/>
    </row>
    <row r="113" spans="1:8" ht="14.1" customHeight="1" x14ac:dyDescent="0.2">
      <c r="A113" s="1"/>
      <c r="B113" s="1"/>
      <c r="C113" s="2" t="s">
        <v>132</v>
      </c>
      <c r="D113" s="1"/>
      <c r="E113" s="1" t="s">
        <v>133</v>
      </c>
      <c r="F113" s="13">
        <v>0</v>
      </c>
      <c r="G113" s="14">
        <v>0</v>
      </c>
      <c r="H113" s="53"/>
    </row>
    <row r="114" spans="1:8" ht="14.1" customHeight="1" x14ac:dyDescent="0.2">
      <c r="A114" s="1"/>
      <c r="B114" s="1"/>
      <c r="C114" s="11"/>
      <c r="D114" s="1"/>
      <c r="E114" s="1"/>
      <c r="F114" s="12"/>
      <c r="G114" s="12"/>
      <c r="H114" s="53"/>
    </row>
    <row r="115" spans="1:8" ht="14.1" customHeight="1" x14ac:dyDescent="0.2">
      <c r="A115" s="1"/>
      <c r="B115" s="1"/>
      <c r="C115" s="2" t="s">
        <v>154</v>
      </c>
      <c r="D115" s="1"/>
      <c r="E115" s="1"/>
      <c r="F115" s="1"/>
      <c r="G115" s="1"/>
      <c r="H115" s="53"/>
    </row>
    <row r="116" spans="1:8" ht="14.1" customHeight="1" x14ac:dyDescent="0.2">
      <c r="A116" s="1"/>
      <c r="B116" s="1"/>
      <c r="C116" s="2" t="s">
        <v>155</v>
      </c>
      <c r="D116" s="1"/>
      <c r="E116" s="1"/>
      <c r="F116" s="1"/>
      <c r="G116" s="1"/>
      <c r="H116" s="53"/>
    </row>
    <row r="117" spans="1:8" ht="14.1" customHeight="1" x14ac:dyDescent="0.2">
      <c r="A117" s="1"/>
      <c r="B117" s="1"/>
      <c r="C117" s="2" t="s">
        <v>132</v>
      </c>
      <c r="D117" s="1"/>
      <c r="E117" s="1" t="s">
        <v>133</v>
      </c>
      <c r="F117" s="13">
        <v>0</v>
      </c>
      <c r="G117" s="14">
        <v>0</v>
      </c>
      <c r="H117" s="53"/>
    </row>
    <row r="118" spans="1:8" ht="14.1" customHeight="1" x14ac:dyDescent="0.2">
      <c r="A118" s="1"/>
      <c r="B118" s="1"/>
      <c r="C118" s="11"/>
      <c r="D118" s="1"/>
      <c r="E118" s="1"/>
      <c r="F118" s="12"/>
      <c r="G118" s="12"/>
      <c r="H118" s="53"/>
    </row>
    <row r="119" spans="1:8" ht="14.1" customHeight="1" x14ac:dyDescent="0.2">
      <c r="A119" s="1"/>
      <c r="B119" s="1"/>
      <c r="C119" s="11"/>
      <c r="D119" s="1"/>
      <c r="E119" s="1"/>
      <c r="F119" s="12"/>
      <c r="G119" s="12"/>
      <c r="H119" s="53"/>
    </row>
    <row r="120" spans="1:8" ht="24" customHeight="1" x14ac:dyDescent="0.2">
      <c r="A120" s="1"/>
      <c r="B120" s="1"/>
      <c r="C120" s="2" t="s">
        <v>156</v>
      </c>
      <c r="D120" s="1"/>
      <c r="E120" s="1"/>
      <c r="F120" s="12"/>
      <c r="G120" s="12"/>
      <c r="H120" s="53"/>
    </row>
    <row r="121" spans="1:8" ht="14.1" customHeight="1" x14ac:dyDescent="0.2">
      <c r="A121" s="1"/>
      <c r="B121" s="1"/>
      <c r="C121" s="2" t="s">
        <v>132</v>
      </c>
      <c r="D121" s="1"/>
      <c r="E121" s="1" t="s">
        <v>133</v>
      </c>
      <c r="F121" s="13">
        <v>0</v>
      </c>
      <c r="G121" s="14">
        <v>0</v>
      </c>
      <c r="H121" s="53"/>
    </row>
    <row r="122" spans="1:8" ht="14.1" customHeight="1" x14ac:dyDescent="0.2">
      <c r="A122" s="1"/>
      <c r="B122" s="1"/>
      <c r="C122" s="11"/>
      <c r="D122" s="1"/>
      <c r="E122" s="1"/>
      <c r="F122" s="12"/>
      <c r="G122" s="12"/>
      <c r="H122" s="53"/>
    </row>
    <row r="123" spans="1:8" ht="14.1" customHeight="1" x14ac:dyDescent="0.2">
      <c r="A123" s="1"/>
      <c r="B123" s="4"/>
      <c r="C123" s="4"/>
      <c r="D123" s="2"/>
      <c r="E123" s="1"/>
      <c r="F123" s="4"/>
      <c r="G123" s="8"/>
      <c r="H123" s="53"/>
    </row>
    <row r="124" spans="1:8" ht="18" customHeight="1" x14ac:dyDescent="0.2">
      <c r="A124" s="8"/>
      <c r="B124" s="4"/>
      <c r="C124" s="4" t="s">
        <v>157</v>
      </c>
      <c r="D124" s="4"/>
      <c r="E124" s="8"/>
      <c r="F124" s="6">
        <v>2.28032258</v>
      </c>
      <c r="G124" s="7">
        <v>1.1739509999999999E-3</v>
      </c>
      <c r="H124" s="53"/>
    </row>
    <row r="125" spans="1:8" ht="14.1" customHeight="1" x14ac:dyDescent="0.2">
      <c r="A125" s="11"/>
      <c r="B125" s="11"/>
      <c r="C125" s="2" t="s">
        <v>158</v>
      </c>
      <c r="D125" s="15"/>
      <c r="E125" s="15"/>
      <c r="F125" s="9">
        <v>1942.43476928</v>
      </c>
      <c r="G125" s="10">
        <v>1</v>
      </c>
      <c r="H125" s="53"/>
    </row>
    <row r="126" spans="1:8" ht="14.1" customHeight="1" x14ac:dyDescent="0.2">
      <c r="A126" s="16"/>
      <c r="B126" s="16"/>
      <c r="C126" s="16"/>
      <c r="D126" s="17"/>
      <c r="E126" s="17"/>
      <c r="F126" s="17"/>
      <c r="G126" s="17"/>
    </row>
    <row r="127" spans="1:8" ht="14.1" customHeight="1" x14ac:dyDescent="0.2">
      <c r="A127" s="18"/>
      <c r="B127" s="292" t="s">
        <v>133</v>
      </c>
      <c r="C127" s="292"/>
      <c r="D127" s="292"/>
      <c r="E127" s="292"/>
      <c r="F127" s="292"/>
      <c r="G127" s="20"/>
    </row>
    <row r="128" spans="1:8" ht="14.1" customHeight="1" x14ac:dyDescent="0.2">
      <c r="A128" s="18"/>
      <c r="B128" s="292" t="s">
        <v>133</v>
      </c>
      <c r="C128" s="292"/>
      <c r="D128" s="292"/>
      <c r="E128" s="292"/>
      <c r="F128" s="292"/>
      <c r="G128" s="20"/>
    </row>
    <row r="129" spans="1:7" ht="14.1" customHeight="1" x14ac:dyDescent="0.2">
      <c r="A129" s="18"/>
      <c r="B129" s="18"/>
      <c r="C129" s="18"/>
      <c r="D129" s="20"/>
      <c r="E129" s="20"/>
      <c r="F129" s="20"/>
      <c r="G129" s="20"/>
    </row>
    <row r="130" spans="1:7" ht="14.1" customHeight="1" x14ac:dyDescent="0.2">
      <c r="A130" s="18"/>
      <c r="B130" s="293" t="s">
        <v>160</v>
      </c>
      <c r="C130" s="294"/>
      <c r="D130" s="12" t="s">
        <v>133</v>
      </c>
      <c r="E130" s="21"/>
      <c r="F130" s="20"/>
      <c r="G130" s="20"/>
    </row>
    <row r="131" spans="1:7" ht="29.1" customHeight="1" x14ac:dyDescent="0.2">
      <c r="A131" s="18"/>
      <c r="B131" s="290" t="s">
        <v>161</v>
      </c>
      <c r="C131" s="291"/>
      <c r="D131" s="2" t="s">
        <v>162</v>
      </c>
      <c r="E131" s="21"/>
      <c r="F131" s="20"/>
      <c r="G131" s="20"/>
    </row>
    <row r="132" spans="1:7" ht="17.100000000000001" customHeight="1" x14ac:dyDescent="0.2">
      <c r="A132" s="18"/>
      <c r="B132" s="290" t="s">
        <v>163</v>
      </c>
      <c r="C132" s="291"/>
      <c r="D132" s="2" t="s">
        <v>162</v>
      </c>
      <c r="E132" s="21"/>
      <c r="F132" s="20"/>
      <c r="G132" s="20"/>
    </row>
    <row r="133" spans="1:7" ht="17.100000000000001" customHeight="1" x14ac:dyDescent="0.2">
      <c r="A133" s="18"/>
      <c r="B133" s="290" t="s">
        <v>164</v>
      </c>
      <c r="C133" s="291"/>
      <c r="D133" s="12" t="s">
        <v>133</v>
      </c>
      <c r="E133" s="21"/>
      <c r="F133" s="20"/>
      <c r="G133" s="20"/>
    </row>
    <row r="134" spans="1:7" ht="24" customHeight="1" x14ac:dyDescent="0.2">
      <c r="A134" s="22"/>
      <c r="B134" s="23" t="s">
        <v>133</v>
      </c>
      <c r="C134" s="23" t="s">
        <v>165</v>
      </c>
      <c r="D134" s="23" t="s">
        <v>166</v>
      </c>
      <c r="E134" s="22"/>
      <c r="F134" s="22"/>
      <c r="G134" s="22"/>
    </row>
    <row r="135" spans="1:7" ht="18" customHeight="1" x14ac:dyDescent="0.2">
      <c r="A135" s="22"/>
      <c r="B135" s="23" t="s">
        <v>167</v>
      </c>
      <c r="C135" s="23" t="s">
        <v>168</v>
      </c>
      <c r="D135" s="23" t="s">
        <v>169</v>
      </c>
      <c r="E135" s="22"/>
      <c r="F135" s="22"/>
      <c r="G135" s="22"/>
    </row>
    <row r="136" spans="1:7" ht="17.100000000000001" customHeight="1" x14ac:dyDescent="0.2">
      <c r="A136" s="22"/>
      <c r="B136" s="4" t="s">
        <v>170</v>
      </c>
      <c r="C136" s="24">
        <v>19.934899999999999</v>
      </c>
      <c r="D136" s="24">
        <v>19.216000000000001</v>
      </c>
      <c r="E136" s="22"/>
      <c r="F136" s="19"/>
      <c r="G136" s="25"/>
    </row>
    <row r="137" spans="1:7" ht="17.100000000000001" customHeight="1" x14ac:dyDescent="0.2">
      <c r="A137" s="22"/>
      <c r="B137" s="4" t="s">
        <v>1042</v>
      </c>
      <c r="C137" s="24">
        <v>19.250299999999999</v>
      </c>
      <c r="D137" s="24">
        <v>18.556100000000001</v>
      </c>
      <c r="E137" s="22"/>
      <c r="F137" s="19"/>
      <c r="G137" s="25"/>
    </row>
    <row r="138" spans="1:7" ht="17.100000000000001" customHeight="1" x14ac:dyDescent="0.2">
      <c r="A138" s="22"/>
      <c r="B138" s="4" t="s">
        <v>171</v>
      </c>
      <c r="C138" s="24">
        <v>19.673999999999999</v>
      </c>
      <c r="D138" s="24">
        <v>18.962599999999998</v>
      </c>
      <c r="E138" s="22"/>
      <c r="F138" s="19"/>
      <c r="G138" s="25"/>
    </row>
    <row r="139" spans="1:7" ht="17.100000000000001" customHeight="1" x14ac:dyDescent="0.2">
      <c r="A139" s="22"/>
      <c r="B139" s="4" t="s">
        <v>1043</v>
      </c>
      <c r="C139" s="24">
        <v>18.991399999999999</v>
      </c>
      <c r="D139" s="24">
        <v>18.3047</v>
      </c>
      <c r="E139" s="22"/>
      <c r="F139" s="19"/>
      <c r="G139" s="25"/>
    </row>
    <row r="140" spans="1:7" ht="14.1" customHeight="1" x14ac:dyDescent="0.2">
      <c r="A140" s="22"/>
      <c r="B140" s="22"/>
      <c r="C140" s="22"/>
      <c r="D140" s="22"/>
      <c r="E140" s="22"/>
      <c r="F140" s="22"/>
      <c r="G140" s="22"/>
    </row>
    <row r="141" spans="1:7" ht="17.100000000000001" customHeight="1" x14ac:dyDescent="0.2">
      <c r="A141" s="22"/>
      <c r="B141" s="290" t="s">
        <v>1044</v>
      </c>
      <c r="C141" s="291"/>
      <c r="D141" s="2" t="s">
        <v>162</v>
      </c>
      <c r="E141" s="22"/>
      <c r="F141" s="22"/>
      <c r="G141" s="22"/>
    </row>
    <row r="142" spans="1:7" ht="18" customHeight="1" x14ac:dyDescent="0.2">
      <c r="A142" s="22"/>
      <c r="B142" s="26"/>
      <c r="C142" s="26"/>
      <c r="D142" s="27"/>
      <c r="E142" s="22"/>
      <c r="F142" s="22"/>
      <c r="G142" s="22"/>
    </row>
    <row r="143" spans="1:7" ht="29.1" customHeight="1" x14ac:dyDescent="0.2">
      <c r="A143" s="22"/>
      <c r="B143" s="290" t="s">
        <v>172</v>
      </c>
      <c r="C143" s="291"/>
      <c r="D143" s="2" t="s">
        <v>162</v>
      </c>
      <c r="E143" s="22"/>
      <c r="F143" s="22"/>
      <c r="G143" s="22"/>
    </row>
    <row r="144" spans="1:7" ht="29.1" customHeight="1" x14ac:dyDescent="0.2">
      <c r="A144" s="22"/>
      <c r="B144" s="290" t="s">
        <v>173</v>
      </c>
      <c r="C144" s="291"/>
      <c r="D144" s="2" t="s">
        <v>162</v>
      </c>
      <c r="E144" s="22"/>
      <c r="F144" s="22"/>
      <c r="G144" s="22"/>
    </row>
    <row r="145" spans="1:14" ht="17.100000000000001" customHeight="1" x14ac:dyDescent="0.2">
      <c r="A145" s="22"/>
      <c r="B145" s="290" t="s">
        <v>174</v>
      </c>
      <c r="C145" s="291"/>
      <c r="D145" s="28">
        <v>0.12300677479698177</v>
      </c>
      <c r="E145" s="22"/>
      <c r="F145" s="19"/>
      <c r="G145" s="25"/>
    </row>
    <row r="146" spans="1:14" ht="17.100000000000001" customHeight="1" x14ac:dyDescent="0.2">
      <c r="A146" s="22"/>
      <c r="B146" s="290" t="s">
        <v>175</v>
      </c>
      <c r="C146" s="291"/>
      <c r="D146" s="2" t="s">
        <v>162</v>
      </c>
      <c r="E146" s="22"/>
      <c r="F146" s="22"/>
      <c r="G146" s="22"/>
    </row>
    <row r="155" spans="1:14" x14ac:dyDescent="0.2">
      <c r="J155" s="189"/>
      <c r="K155" s="189"/>
      <c r="L155" s="189"/>
      <c r="M155" s="189"/>
      <c r="N155" s="189"/>
    </row>
  </sheetData>
  <mergeCells count="15">
    <mergeCell ref="B145:C145"/>
    <mergeCell ref="B146:C146"/>
    <mergeCell ref="B131:C131"/>
    <mergeCell ref="B132:C132"/>
    <mergeCell ref="B133:C133"/>
    <mergeCell ref="B141:C141"/>
    <mergeCell ref="B143:C143"/>
    <mergeCell ref="B144:C144"/>
    <mergeCell ref="A1:H1"/>
    <mergeCell ref="A2:H2"/>
    <mergeCell ref="A3:H3"/>
    <mergeCell ref="J2:N2"/>
    <mergeCell ref="B130:C130"/>
    <mergeCell ref="B127:F127"/>
    <mergeCell ref="B128:F128"/>
  </mergeCells>
  <hyperlinks>
    <hyperlink ref="I1" location="Index!B15" display="Index" xr:uid="{C4FF9E09-75F0-43C0-B6B2-07F41942966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3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478</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19081</v>
      </c>
      <c r="F7" s="6">
        <v>169.98308850000001</v>
      </c>
      <c r="G7" s="7">
        <v>9.5430192999999996E-2</v>
      </c>
      <c r="H7" s="53"/>
    </row>
    <row r="8" spans="1:14" ht="17.100000000000001" customHeight="1" x14ac:dyDescent="0.2">
      <c r="A8" s="3">
        <v>2</v>
      </c>
      <c r="B8" s="4" t="s">
        <v>20</v>
      </c>
      <c r="C8" s="4" t="s">
        <v>21</v>
      </c>
      <c r="D8" s="4" t="s">
        <v>22</v>
      </c>
      <c r="E8" s="5">
        <v>5610</v>
      </c>
      <c r="F8" s="6">
        <v>142.89792</v>
      </c>
      <c r="G8" s="7">
        <v>8.0224311000000006E-2</v>
      </c>
      <c r="H8" s="53"/>
    </row>
    <row r="9" spans="1:14" ht="17.100000000000001" customHeight="1" x14ac:dyDescent="0.2">
      <c r="A9" s="3">
        <v>3</v>
      </c>
      <c r="B9" s="4" t="s">
        <v>291</v>
      </c>
      <c r="C9" s="4" t="s">
        <v>292</v>
      </c>
      <c r="D9" s="4" t="s">
        <v>900</v>
      </c>
      <c r="E9" s="5">
        <v>8300</v>
      </c>
      <c r="F9" s="6">
        <v>125.1806</v>
      </c>
      <c r="G9" s="7">
        <v>7.0277630999999993E-2</v>
      </c>
      <c r="H9" s="53"/>
    </row>
    <row r="10" spans="1:14" ht="17.100000000000001" customHeight="1" x14ac:dyDescent="0.2">
      <c r="A10" s="3">
        <v>4</v>
      </c>
      <c r="B10" s="4" t="s">
        <v>266</v>
      </c>
      <c r="C10" s="4" t="s">
        <v>267</v>
      </c>
      <c r="D10" s="4" t="s">
        <v>19</v>
      </c>
      <c r="E10" s="5">
        <v>7350</v>
      </c>
      <c r="F10" s="6">
        <v>119.669025</v>
      </c>
      <c r="G10" s="7">
        <v>6.7183379000000001E-2</v>
      </c>
      <c r="H10" s="53"/>
    </row>
    <row r="11" spans="1:14" ht="17.100000000000001" customHeight="1" x14ac:dyDescent="0.2">
      <c r="A11" s="3">
        <v>5</v>
      </c>
      <c r="B11" s="4" t="s">
        <v>29</v>
      </c>
      <c r="C11" s="4" t="s">
        <v>30</v>
      </c>
      <c r="D11" s="4" t="s">
        <v>19</v>
      </c>
      <c r="E11" s="5">
        <v>17595</v>
      </c>
      <c r="F11" s="6">
        <v>107.980515</v>
      </c>
      <c r="G11" s="7">
        <v>6.0621332999999999E-2</v>
      </c>
      <c r="H11" s="53"/>
    </row>
    <row r="12" spans="1:14" ht="29.1" customHeight="1" x14ac:dyDescent="0.2">
      <c r="A12" s="3">
        <v>6</v>
      </c>
      <c r="B12" s="4" t="s">
        <v>293</v>
      </c>
      <c r="C12" s="4" t="s">
        <v>294</v>
      </c>
      <c r="D12" s="4" t="s">
        <v>119</v>
      </c>
      <c r="E12" s="5">
        <v>3376</v>
      </c>
      <c r="F12" s="6">
        <v>89.045376000000005</v>
      </c>
      <c r="G12" s="7">
        <v>4.9990958000000002E-2</v>
      </c>
      <c r="H12" s="53"/>
    </row>
    <row r="13" spans="1:14" ht="17.100000000000001" customHeight="1" x14ac:dyDescent="0.2">
      <c r="A13" s="3">
        <v>7</v>
      </c>
      <c r="B13" s="4" t="s">
        <v>181</v>
      </c>
      <c r="C13" s="4" t="s">
        <v>182</v>
      </c>
      <c r="D13" s="4" t="s">
        <v>19</v>
      </c>
      <c r="E13" s="5">
        <v>8341</v>
      </c>
      <c r="F13" s="6">
        <v>77.884087500000007</v>
      </c>
      <c r="G13" s="7">
        <v>4.3724899999999997E-2</v>
      </c>
      <c r="H13" s="53"/>
      <c r="J13" s="188" t="s">
        <v>1077</v>
      </c>
    </row>
    <row r="14" spans="1:14" ht="17.100000000000001" customHeight="1" x14ac:dyDescent="0.2">
      <c r="A14" s="3">
        <v>8</v>
      </c>
      <c r="B14" s="4" t="s">
        <v>11</v>
      </c>
      <c r="C14" s="4" t="s">
        <v>12</v>
      </c>
      <c r="D14" s="4" t="s">
        <v>13</v>
      </c>
      <c r="E14" s="5">
        <v>3340</v>
      </c>
      <c r="F14" s="6">
        <v>69.665719999999993</v>
      </c>
      <c r="G14" s="7">
        <v>3.9111027E-2</v>
      </c>
      <c r="H14" s="53"/>
    </row>
    <row r="15" spans="1:14" ht="17.100000000000001" customHeight="1" x14ac:dyDescent="0.2">
      <c r="A15" s="3">
        <v>9</v>
      </c>
      <c r="B15" s="4" t="s">
        <v>14</v>
      </c>
      <c r="C15" s="4" t="s">
        <v>15</v>
      </c>
      <c r="D15" s="4" t="s">
        <v>16</v>
      </c>
      <c r="E15" s="5">
        <v>6757</v>
      </c>
      <c r="F15" s="6">
        <v>54.468176999999997</v>
      </c>
      <c r="G15" s="7">
        <v>3.0578975000000001E-2</v>
      </c>
      <c r="H15" s="53"/>
    </row>
    <row r="16" spans="1:14" ht="29.1" customHeight="1" x14ac:dyDescent="0.2">
      <c r="A16" s="3">
        <v>10</v>
      </c>
      <c r="B16" s="4" t="s">
        <v>23</v>
      </c>
      <c r="C16" s="4" t="s">
        <v>24</v>
      </c>
      <c r="D16" s="4" t="s">
        <v>25</v>
      </c>
      <c r="E16" s="5">
        <v>746</v>
      </c>
      <c r="F16" s="6">
        <v>51.914512999999999</v>
      </c>
      <c r="G16" s="7">
        <v>2.9145323000000001E-2</v>
      </c>
      <c r="H16" s="53"/>
    </row>
    <row r="17" spans="1:8" ht="29.1" customHeight="1" x14ac:dyDescent="0.2">
      <c r="A17" s="3">
        <v>11</v>
      </c>
      <c r="B17" s="4" t="s">
        <v>197</v>
      </c>
      <c r="C17" s="4" t="s">
        <v>198</v>
      </c>
      <c r="D17" s="4" t="s">
        <v>199</v>
      </c>
      <c r="E17" s="5">
        <v>1204</v>
      </c>
      <c r="F17" s="6">
        <v>48.993769999999998</v>
      </c>
      <c r="G17" s="7">
        <v>2.7505589E-2</v>
      </c>
      <c r="H17" s="53"/>
    </row>
    <row r="18" spans="1:8" ht="17.100000000000001" customHeight="1" x14ac:dyDescent="0.2">
      <c r="A18" s="3">
        <v>12</v>
      </c>
      <c r="B18" s="4" t="s">
        <v>179</v>
      </c>
      <c r="C18" s="4" t="s">
        <v>180</v>
      </c>
      <c r="D18" s="4" t="s">
        <v>19</v>
      </c>
      <c r="E18" s="5">
        <v>25574</v>
      </c>
      <c r="F18" s="6">
        <v>47.490918000000001</v>
      </c>
      <c r="G18" s="7">
        <v>2.6661872999999999E-2</v>
      </c>
      <c r="H18" s="53"/>
    </row>
    <row r="19" spans="1:8" ht="17.100000000000001" customHeight="1" x14ac:dyDescent="0.2">
      <c r="A19" s="3">
        <v>13</v>
      </c>
      <c r="B19" s="4" t="s">
        <v>310</v>
      </c>
      <c r="C19" s="4" t="s">
        <v>311</v>
      </c>
      <c r="D19" s="4" t="s">
        <v>305</v>
      </c>
      <c r="E19" s="5">
        <v>12606</v>
      </c>
      <c r="F19" s="6">
        <v>41.795192999999998</v>
      </c>
      <c r="G19" s="7">
        <v>2.3464235999999999E-2</v>
      </c>
      <c r="H19" s="53"/>
    </row>
    <row r="20" spans="1:8" ht="17.100000000000001" customHeight="1" x14ac:dyDescent="0.2">
      <c r="A20" s="3">
        <v>14</v>
      </c>
      <c r="B20" s="4" t="s">
        <v>295</v>
      </c>
      <c r="C20" s="4" t="s">
        <v>296</v>
      </c>
      <c r="D20" s="4" t="s">
        <v>248</v>
      </c>
      <c r="E20" s="5">
        <v>3200</v>
      </c>
      <c r="F20" s="6">
        <v>39.401600000000002</v>
      </c>
      <c r="G20" s="7">
        <v>2.2120449E-2</v>
      </c>
      <c r="H20" s="53"/>
    </row>
    <row r="21" spans="1:8" ht="17.100000000000001" customHeight="1" x14ac:dyDescent="0.2">
      <c r="A21" s="3">
        <v>15</v>
      </c>
      <c r="B21" s="4" t="s">
        <v>436</v>
      </c>
      <c r="C21" s="4" t="s">
        <v>437</v>
      </c>
      <c r="D21" s="4" t="s">
        <v>237</v>
      </c>
      <c r="E21" s="5">
        <v>13359</v>
      </c>
      <c r="F21" s="6">
        <v>38.400445499999996</v>
      </c>
      <c r="G21" s="7">
        <v>2.1558391E-2</v>
      </c>
      <c r="H21" s="53"/>
    </row>
    <row r="22" spans="1:8" ht="17.100000000000001" customHeight="1" x14ac:dyDescent="0.2">
      <c r="A22" s="3">
        <v>16</v>
      </c>
      <c r="B22" s="4" t="s">
        <v>354</v>
      </c>
      <c r="C22" s="4" t="s">
        <v>355</v>
      </c>
      <c r="D22" s="4" t="s">
        <v>116</v>
      </c>
      <c r="E22" s="5">
        <v>1421</v>
      </c>
      <c r="F22" s="6">
        <v>36.910474999999998</v>
      </c>
      <c r="G22" s="7">
        <v>2.0721907000000001E-2</v>
      </c>
      <c r="H22" s="53"/>
    </row>
    <row r="23" spans="1:8" ht="29.1" customHeight="1" x14ac:dyDescent="0.2">
      <c r="A23" s="3">
        <v>17</v>
      </c>
      <c r="B23" s="4" t="s">
        <v>202</v>
      </c>
      <c r="C23" s="4" t="s">
        <v>203</v>
      </c>
      <c r="D23" s="4" t="s">
        <v>204</v>
      </c>
      <c r="E23" s="5">
        <v>4000</v>
      </c>
      <c r="F23" s="6">
        <v>35.485999999999997</v>
      </c>
      <c r="G23" s="7">
        <v>1.9922193000000001E-2</v>
      </c>
      <c r="H23" s="53"/>
    </row>
    <row r="24" spans="1:8" ht="17.100000000000001" customHeight="1" x14ac:dyDescent="0.2">
      <c r="A24" s="3">
        <v>18</v>
      </c>
      <c r="B24" s="4" t="s">
        <v>350</v>
      </c>
      <c r="C24" s="4" t="s">
        <v>351</v>
      </c>
      <c r="D24" s="4" t="s">
        <v>72</v>
      </c>
      <c r="E24" s="5">
        <v>9000</v>
      </c>
      <c r="F24" s="6">
        <v>34.915500000000002</v>
      </c>
      <c r="G24" s="7">
        <v>1.9601908000000001E-2</v>
      </c>
      <c r="H24" s="53"/>
    </row>
    <row r="25" spans="1:8" ht="17.100000000000001" customHeight="1" x14ac:dyDescent="0.2">
      <c r="A25" s="3">
        <v>19</v>
      </c>
      <c r="B25" s="4" t="s">
        <v>217</v>
      </c>
      <c r="C25" s="4" t="s">
        <v>218</v>
      </c>
      <c r="D25" s="4" t="s">
        <v>219</v>
      </c>
      <c r="E25" s="5">
        <v>6000</v>
      </c>
      <c r="F25" s="6">
        <v>34.835999999999999</v>
      </c>
      <c r="G25" s="7">
        <v>1.9557275999999998E-2</v>
      </c>
      <c r="H25" s="53"/>
    </row>
    <row r="26" spans="1:8" ht="17.100000000000001" customHeight="1" x14ac:dyDescent="0.2">
      <c r="A26" s="3">
        <v>20</v>
      </c>
      <c r="B26" s="4" t="s">
        <v>85</v>
      </c>
      <c r="C26" s="4" t="s">
        <v>86</v>
      </c>
      <c r="D26" s="4" t="s">
        <v>87</v>
      </c>
      <c r="E26" s="5">
        <v>1240</v>
      </c>
      <c r="F26" s="6">
        <v>34.058459999999997</v>
      </c>
      <c r="G26" s="7">
        <v>1.9120758000000002E-2</v>
      </c>
      <c r="H26" s="53"/>
    </row>
    <row r="27" spans="1:8" ht="17.100000000000001" customHeight="1" x14ac:dyDescent="0.2">
      <c r="A27" s="3">
        <v>21</v>
      </c>
      <c r="B27" s="4" t="s">
        <v>297</v>
      </c>
      <c r="C27" s="4" t="s">
        <v>298</v>
      </c>
      <c r="D27" s="4" t="s">
        <v>900</v>
      </c>
      <c r="E27" s="5">
        <v>960</v>
      </c>
      <c r="F27" s="6">
        <v>31.264320000000001</v>
      </c>
      <c r="G27" s="7">
        <v>1.7552100000000001E-2</v>
      </c>
      <c r="H27" s="53"/>
    </row>
    <row r="28" spans="1:8" ht="17.100000000000001" customHeight="1" x14ac:dyDescent="0.2">
      <c r="A28" s="3">
        <v>22</v>
      </c>
      <c r="B28" s="4" t="s">
        <v>308</v>
      </c>
      <c r="C28" s="4" t="s">
        <v>309</v>
      </c>
      <c r="D28" s="4" t="s">
        <v>900</v>
      </c>
      <c r="E28" s="5">
        <v>3000</v>
      </c>
      <c r="F28" s="6">
        <v>31.178999999999998</v>
      </c>
      <c r="G28" s="7">
        <v>1.7504200000000001E-2</v>
      </c>
      <c r="H28" s="53"/>
    </row>
    <row r="29" spans="1:8" ht="17.100000000000001" customHeight="1" x14ac:dyDescent="0.2">
      <c r="A29" s="3">
        <v>23</v>
      </c>
      <c r="B29" s="4" t="s">
        <v>329</v>
      </c>
      <c r="C29" s="4" t="s">
        <v>330</v>
      </c>
      <c r="D29" s="4" t="s">
        <v>19</v>
      </c>
      <c r="E29" s="5">
        <v>1570</v>
      </c>
      <c r="F29" s="6">
        <v>28.687825</v>
      </c>
      <c r="G29" s="7">
        <v>1.6105629999999999E-2</v>
      </c>
      <c r="H29" s="53"/>
    </row>
    <row r="30" spans="1:8" ht="29.1" customHeight="1" x14ac:dyDescent="0.2">
      <c r="A30" s="3">
        <v>24</v>
      </c>
      <c r="B30" s="4" t="s">
        <v>299</v>
      </c>
      <c r="C30" s="4" t="s">
        <v>300</v>
      </c>
      <c r="D30" s="4" t="s">
        <v>227</v>
      </c>
      <c r="E30" s="5">
        <v>2650</v>
      </c>
      <c r="F30" s="6">
        <v>26.537099999999999</v>
      </c>
      <c r="G30" s="7">
        <v>1.4898191E-2</v>
      </c>
      <c r="H30" s="53"/>
    </row>
    <row r="31" spans="1:8" ht="17.100000000000001" customHeight="1" x14ac:dyDescent="0.2">
      <c r="A31" s="3">
        <v>25</v>
      </c>
      <c r="B31" s="4" t="s">
        <v>283</v>
      </c>
      <c r="C31" s="4" t="s">
        <v>284</v>
      </c>
      <c r="D31" s="4" t="s">
        <v>22</v>
      </c>
      <c r="E31" s="5">
        <v>10787</v>
      </c>
      <c r="F31" s="6">
        <v>25.365630500000002</v>
      </c>
      <c r="G31" s="7">
        <v>1.4240516999999999E-2</v>
      </c>
      <c r="H31" s="53"/>
    </row>
    <row r="32" spans="1:8" ht="17.100000000000001" customHeight="1" x14ac:dyDescent="0.2">
      <c r="A32" s="3">
        <v>26</v>
      </c>
      <c r="B32" s="4" t="s">
        <v>303</v>
      </c>
      <c r="C32" s="4" t="s">
        <v>304</v>
      </c>
      <c r="D32" s="4" t="s">
        <v>305</v>
      </c>
      <c r="E32" s="5">
        <v>788</v>
      </c>
      <c r="F32" s="6">
        <v>20.181073999999999</v>
      </c>
      <c r="G32" s="7">
        <v>1.1329855E-2</v>
      </c>
      <c r="H32" s="53"/>
    </row>
    <row r="33" spans="1:8" ht="17.100000000000001" customHeight="1" x14ac:dyDescent="0.2">
      <c r="A33" s="3">
        <v>27</v>
      </c>
      <c r="B33" s="4" t="s">
        <v>479</v>
      </c>
      <c r="C33" s="4" t="s">
        <v>480</v>
      </c>
      <c r="D33" s="4" t="s">
        <v>190</v>
      </c>
      <c r="E33" s="5">
        <v>7000</v>
      </c>
      <c r="F33" s="6">
        <v>20.125</v>
      </c>
      <c r="G33" s="7">
        <v>1.1298374999999999E-2</v>
      </c>
      <c r="H33" s="53"/>
    </row>
    <row r="34" spans="1:8" ht="17.100000000000001" customHeight="1" x14ac:dyDescent="0.2">
      <c r="A34" s="3">
        <v>28</v>
      </c>
      <c r="B34" s="4" t="s">
        <v>101</v>
      </c>
      <c r="C34" s="4" t="s">
        <v>102</v>
      </c>
      <c r="D34" s="4" t="s">
        <v>22</v>
      </c>
      <c r="E34" s="5">
        <v>5912</v>
      </c>
      <c r="F34" s="6">
        <v>19.539159999999999</v>
      </c>
      <c r="G34" s="7">
        <v>1.0969478E-2</v>
      </c>
      <c r="H34" s="53"/>
    </row>
    <row r="35" spans="1:8" ht="29.1" customHeight="1" x14ac:dyDescent="0.2">
      <c r="A35" s="3">
        <v>29</v>
      </c>
      <c r="B35" s="4" t="s">
        <v>481</v>
      </c>
      <c r="C35" s="4" t="s">
        <v>482</v>
      </c>
      <c r="D35" s="4" t="s">
        <v>227</v>
      </c>
      <c r="E35" s="5">
        <v>1814</v>
      </c>
      <c r="F35" s="6">
        <v>19.517733</v>
      </c>
      <c r="G35" s="7">
        <v>1.0957448999999999E-2</v>
      </c>
      <c r="H35" s="53"/>
    </row>
    <row r="36" spans="1:8" ht="17.100000000000001" customHeight="1" x14ac:dyDescent="0.2">
      <c r="A36" s="3">
        <v>30</v>
      </c>
      <c r="B36" s="4" t="s">
        <v>327</v>
      </c>
      <c r="C36" s="4" t="s">
        <v>328</v>
      </c>
      <c r="D36" s="4" t="s">
        <v>19</v>
      </c>
      <c r="E36" s="5">
        <v>1556</v>
      </c>
      <c r="F36" s="6">
        <v>18.984756000000001</v>
      </c>
      <c r="G36" s="7">
        <v>1.0658229999999999E-2</v>
      </c>
      <c r="H36" s="53"/>
    </row>
    <row r="37" spans="1:8" ht="29.1" customHeight="1" x14ac:dyDescent="0.2">
      <c r="A37" s="3">
        <v>31</v>
      </c>
      <c r="B37" s="4" t="s">
        <v>483</v>
      </c>
      <c r="C37" s="4" t="s">
        <v>484</v>
      </c>
      <c r="D37" s="4" t="s">
        <v>25</v>
      </c>
      <c r="E37" s="5">
        <v>1871</v>
      </c>
      <c r="F37" s="6">
        <v>18.341412999999999</v>
      </c>
      <c r="G37" s="7">
        <v>1.0297051E-2</v>
      </c>
      <c r="H37" s="53"/>
    </row>
    <row r="38" spans="1:8" ht="17.100000000000001" customHeight="1" x14ac:dyDescent="0.2">
      <c r="A38" s="3">
        <v>32</v>
      </c>
      <c r="B38" s="4" t="s">
        <v>38</v>
      </c>
      <c r="C38" s="4" t="s">
        <v>39</v>
      </c>
      <c r="D38" s="4" t="s">
        <v>40</v>
      </c>
      <c r="E38" s="5">
        <v>2464</v>
      </c>
      <c r="F38" s="6">
        <v>18.204032000000002</v>
      </c>
      <c r="G38" s="7">
        <v>1.0219924E-2</v>
      </c>
      <c r="H38" s="53"/>
    </row>
    <row r="39" spans="1:8" ht="29.1" customHeight="1" x14ac:dyDescent="0.2">
      <c r="A39" s="3">
        <v>33</v>
      </c>
      <c r="B39" s="4" t="s">
        <v>485</v>
      </c>
      <c r="C39" s="4" t="s">
        <v>486</v>
      </c>
      <c r="D39" s="4" t="s">
        <v>430</v>
      </c>
      <c r="E39" s="5">
        <v>2272</v>
      </c>
      <c r="F39" s="6">
        <v>17.425104000000001</v>
      </c>
      <c r="G39" s="7">
        <v>9.7826260000000009E-3</v>
      </c>
      <c r="H39" s="53"/>
    </row>
    <row r="40" spans="1:8" ht="17.100000000000001" customHeight="1" x14ac:dyDescent="0.2">
      <c r="A40" s="3">
        <v>34</v>
      </c>
      <c r="B40" s="4" t="s">
        <v>103</v>
      </c>
      <c r="C40" s="4" t="s">
        <v>104</v>
      </c>
      <c r="D40" s="4" t="s">
        <v>105</v>
      </c>
      <c r="E40" s="5">
        <v>2289</v>
      </c>
      <c r="F40" s="6">
        <v>10.8349815</v>
      </c>
      <c r="G40" s="7">
        <v>6.0828660000000001E-3</v>
      </c>
      <c r="H40" s="53"/>
    </row>
    <row r="41" spans="1:8" ht="17.100000000000001" customHeight="1" x14ac:dyDescent="0.2">
      <c r="A41" s="3">
        <v>35</v>
      </c>
      <c r="B41" s="4" t="s">
        <v>316</v>
      </c>
      <c r="C41" s="4" t="s">
        <v>317</v>
      </c>
      <c r="D41" s="4" t="s">
        <v>900</v>
      </c>
      <c r="E41" s="5">
        <v>2582</v>
      </c>
      <c r="F41" s="6">
        <v>10.140805</v>
      </c>
      <c r="G41" s="7">
        <v>5.6931489999999998E-3</v>
      </c>
      <c r="H41" s="53"/>
    </row>
    <row r="42" spans="1:8" ht="29.1" customHeight="1" x14ac:dyDescent="0.2">
      <c r="A42" s="3">
        <v>36</v>
      </c>
      <c r="B42" s="4" t="s">
        <v>257</v>
      </c>
      <c r="C42" s="4" t="s">
        <v>258</v>
      </c>
      <c r="D42" s="4" t="s">
        <v>227</v>
      </c>
      <c r="E42" s="5">
        <v>462</v>
      </c>
      <c r="F42" s="6">
        <v>7.2836610000000004</v>
      </c>
      <c r="G42" s="7">
        <v>4.0891199999999999E-3</v>
      </c>
      <c r="H42" s="53"/>
    </row>
    <row r="43" spans="1:8" ht="17.100000000000001" customHeight="1" x14ac:dyDescent="0.2">
      <c r="A43" s="3">
        <v>37</v>
      </c>
      <c r="B43" s="4" t="s">
        <v>333</v>
      </c>
      <c r="C43" s="48" t="s">
        <v>958</v>
      </c>
      <c r="D43" s="48" t="s">
        <v>16</v>
      </c>
      <c r="E43" s="5">
        <v>482</v>
      </c>
      <c r="F43" s="6">
        <v>2.0899519999999998</v>
      </c>
      <c r="G43" s="7">
        <v>1.17332E-3</v>
      </c>
      <c r="H43" s="53"/>
    </row>
    <row r="44" spans="1:8" ht="14.1" customHeight="1" x14ac:dyDescent="0.2">
      <c r="A44" s="1"/>
      <c r="B44" s="1"/>
      <c r="C44" s="2" t="s">
        <v>132</v>
      </c>
      <c r="D44" s="1"/>
      <c r="E44" s="1" t="s">
        <v>133</v>
      </c>
      <c r="F44" s="9">
        <f>SUM(F7:F43)</f>
        <v>1726.6789305</v>
      </c>
      <c r="G44" s="10">
        <f>SUM(G7:G43)</f>
        <v>0.96937469099999973</v>
      </c>
      <c r="H44" s="53"/>
    </row>
    <row r="45" spans="1:8" ht="14.1" customHeight="1" x14ac:dyDescent="0.2">
      <c r="A45" s="1"/>
      <c r="B45" s="1"/>
      <c r="C45" s="11"/>
      <c r="D45" s="1"/>
      <c r="E45" s="1"/>
      <c r="F45" s="12"/>
      <c r="G45" s="12"/>
      <c r="H45" s="53"/>
    </row>
    <row r="46" spans="1:8" ht="14.1" customHeight="1" x14ac:dyDescent="0.2">
      <c r="A46" s="1"/>
      <c r="B46" s="1"/>
      <c r="C46" s="2" t="s">
        <v>134</v>
      </c>
      <c r="D46" s="1"/>
      <c r="E46" s="1"/>
      <c r="F46" s="1"/>
      <c r="G46" s="1"/>
      <c r="H46" s="53"/>
    </row>
    <row r="47" spans="1:8" ht="14.1" customHeight="1" x14ac:dyDescent="0.2">
      <c r="A47" s="1"/>
      <c r="B47" s="1"/>
      <c r="C47" s="2" t="s">
        <v>132</v>
      </c>
      <c r="D47" s="1"/>
      <c r="E47" s="1" t="s">
        <v>133</v>
      </c>
      <c r="F47" s="13">
        <v>0</v>
      </c>
      <c r="G47" s="14">
        <v>0</v>
      </c>
      <c r="H47" s="53"/>
    </row>
    <row r="48" spans="1:8" ht="14.1" customHeight="1" x14ac:dyDescent="0.2">
      <c r="A48" s="1"/>
      <c r="B48" s="1"/>
      <c r="C48" s="11"/>
      <c r="D48" s="1"/>
      <c r="E48" s="1"/>
      <c r="F48" s="12"/>
      <c r="G48" s="12"/>
      <c r="H48" s="53"/>
    </row>
    <row r="49" spans="1:8" ht="14.1" customHeight="1" x14ac:dyDescent="0.2">
      <c r="A49" s="1"/>
      <c r="B49" s="1"/>
      <c r="C49" s="2" t="s">
        <v>135</v>
      </c>
      <c r="D49" s="1"/>
      <c r="E49" s="1"/>
      <c r="F49" s="1"/>
      <c r="G49" s="1"/>
      <c r="H49" s="53"/>
    </row>
    <row r="50" spans="1:8" ht="14.1" customHeight="1" x14ac:dyDescent="0.2">
      <c r="A50" s="1"/>
      <c r="B50" s="1"/>
      <c r="C50" s="2" t="s">
        <v>132</v>
      </c>
      <c r="D50" s="1"/>
      <c r="E50" s="1" t="s">
        <v>133</v>
      </c>
      <c r="F50" s="13">
        <v>0</v>
      </c>
      <c r="G50" s="14">
        <v>0</v>
      </c>
      <c r="H50" s="53"/>
    </row>
    <row r="51" spans="1:8" ht="14.1" customHeight="1" x14ac:dyDescent="0.2">
      <c r="A51" s="1"/>
      <c r="B51" s="1"/>
      <c r="C51" s="11"/>
      <c r="D51" s="1"/>
      <c r="E51" s="1"/>
      <c r="F51" s="12"/>
      <c r="G51" s="12"/>
      <c r="H51" s="53"/>
    </row>
    <row r="52" spans="1:8" ht="14.1" customHeight="1" x14ac:dyDescent="0.2">
      <c r="A52" s="1"/>
      <c r="B52" s="1"/>
      <c r="C52" s="2" t="s">
        <v>136</v>
      </c>
      <c r="D52" s="1"/>
      <c r="E52" s="1"/>
      <c r="F52" s="1"/>
      <c r="G52" s="1"/>
      <c r="H52" s="53"/>
    </row>
    <row r="53" spans="1:8" ht="14.1" customHeight="1" x14ac:dyDescent="0.2">
      <c r="A53" s="1"/>
      <c r="B53" s="1"/>
      <c r="C53" s="2" t="s">
        <v>132</v>
      </c>
      <c r="D53" s="1"/>
      <c r="E53" s="1" t="s">
        <v>133</v>
      </c>
      <c r="F53" s="9">
        <v>0</v>
      </c>
      <c r="G53" s="10">
        <v>0</v>
      </c>
      <c r="H53" s="53"/>
    </row>
    <row r="54" spans="1:8" ht="14.1" customHeight="1" x14ac:dyDescent="0.2">
      <c r="A54" s="1"/>
      <c r="B54" s="1"/>
      <c r="C54" s="11"/>
      <c r="D54" s="1"/>
      <c r="E54" s="1"/>
      <c r="F54" s="12"/>
      <c r="G54" s="12"/>
      <c r="H54" s="53"/>
    </row>
    <row r="55" spans="1:8" ht="14.1" customHeight="1" x14ac:dyDescent="0.2">
      <c r="A55" s="1"/>
      <c r="B55" s="1"/>
      <c r="C55" s="2" t="s">
        <v>137</v>
      </c>
      <c r="D55" s="1"/>
      <c r="E55" s="1"/>
      <c r="F55" s="12"/>
      <c r="G55" s="12"/>
      <c r="H55" s="53"/>
    </row>
    <row r="56" spans="1:8" ht="14.1" customHeight="1" x14ac:dyDescent="0.2">
      <c r="A56" s="1"/>
      <c r="B56" s="1"/>
      <c r="C56" s="2" t="s">
        <v>132</v>
      </c>
      <c r="D56" s="1"/>
      <c r="E56" s="1" t="s">
        <v>133</v>
      </c>
      <c r="F56" s="13">
        <v>0</v>
      </c>
      <c r="G56" s="14">
        <v>0</v>
      </c>
      <c r="H56" s="53"/>
    </row>
    <row r="57" spans="1:8" ht="14.1" customHeight="1" x14ac:dyDescent="0.2">
      <c r="A57" s="1"/>
      <c r="B57" s="1"/>
      <c r="C57" s="11"/>
      <c r="D57" s="1"/>
      <c r="E57" s="1"/>
      <c r="F57" s="12"/>
      <c r="G57" s="12"/>
      <c r="H57" s="53"/>
    </row>
    <row r="58" spans="1:8" ht="14.1" customHeight="1" x14ac:dyDescent="0.2">
      <c r="A58" s="1"/>
      <c r="B58" s="1"/>
      <c r="C58" s="2" t="s">
        <v>138</v>
      </c>
      <c r="D58" s="1"/>
      <c r="E58" s="1"/>
      <c r="F58" s="12"/>
      <c r="G58" s="12"/>
      <c r="H58" s="53"/>
    </row>
    <row r="59" spans="1:8" ht="14.1" customHeight="1" x14ac:dyDescent="0.2">
      <c r="A59" s="1"/>
      <c r="B59" s="1"/>
      <c r="C59" s="2" t="s">
        <v>132</v>
      </c>
      <c r="D59" s="1"/>
      <c r="E59" s="1" t="s">
        <v>133</v>
      </c>
      <c r="F59" s="13">
        <v>0</v>
      </c>
      <c r="G59" s="14">
        <v>0</v>
      </c>
      <c r="H59" s="53"/>
    </row>
    <row r="60" spans="1:8" ht="14.1" customHeight="1" x14ac:dyDescent="0.2">
      <c r="A60" s="1"/>
      <c r="B60" s="1"/>
      <c r="C60" s="11"/>
      <c r="D60" s="1"/>
      <c r="E60" s="1"/>
      <c r="F60" s="12"/>
      <c r="G60" s="12"/>
      <c r="H60" s="53"/>
    </row>
    <row r="61" spans="1:8" ht="18" customHeight="1" x14ac:dyDescent="0.2">
      <c r="A61" s="1"/>
      <c r="B61" s="1"/>
      <c r="C61" s="2" t="s">
        <v>139</v>
      </c>
      <c r="D61" s="1"/>
      <c r="E61" s="1"/>
      <c r="F61" s="9">
        <v>1726.6789305</v>
      </c>
      <c r="G61" s="10">
        <v>0.96937469099999996</v>
      </c>
      <c r="H61" s="53"/>
    </row>
    <row r="62" spans="1:8" ht="14.1" customHeight="1" x14ac:dyDescent="0.2">
      <c r="A62" s="1"/>
      <c r="B62" s="1"/>
      <c r="C62" s="11"/>
      <c r="D62" s="1"/>
      <c r="E62" s="1"/>
      <c r="F62" s="12"/>
      <c r="G62" s="12"/>
      <c r="H62" s="53"/>
    </row>
    <row r="63" spans="1:8" ht="14.1" customHeight="1" x14ac:dyDescent="0.2">
      <c r="A63" s="1"/>
      <c r="B63" s="1"/>
      <c r="C63" s="2" t="s">
        <v>140</v>
      </c>
      <c r="D63" s="1"/>
      <c r="E63" s="1"/>
      <c r="F63" s="12"/>
      <c r="G63" s="12"/>
      <c r="H63" s="53"/>
    </row>
    <row r="64" spans="1:8" ht="24" customHeight="1" x14ac:dyDescent="0.2">
      <c r="A64" s="1"/>
      <c r="B64" s="1"/>
      <c r="C64" s="2" t="s">
        <v>10</v>
      </c>
      <c r="D64" s="1"/>
      <c r="E64" s="1"/>
      <c r="F64" s="12"/>
      <c r="G64" s="12"/>
      <c r="H64" s="53"/>
    </row>
    <row r="65" spans="1:8" ht="14.1" customHeight="1" x14ac:dyDescent="0.2">
      <c r="A65" s="1"/>
      <c r="B65" s="1"/>
      <c r="C65" s="2" t="s">
        <v>132</v>
      </c>
      <c r="D65" s="1"/>
      <c r="E65" s="1" t="s">
        <v>133</v>
      </c>
      <c r="F65" s="13">
        <v>0</v>
      </c>
      <c r="G65" s="14">
        <v>0</v>
      </c>
      <c r="H65" s="53"/>
    </row>
    <row r="66" spans="1:8" ht="14.1" customHeight="1" x14ac:dyDescent="0.2">
      <c r="A66" s="1"/>
      <c r="B66" s="1"/>
      <c r="C66" s="11"/>
      <c r="D66" s="1"/>
      <c r="E66" s="1"/>
      <c r="F66" s="12"/>
      <c r="G66" s="12"/>
      <c r="H66" s="53"/>
    </row>
    <row r="67" spans="1:8" ht="14.1" customHeight="1" x14ac:dyDescent="0.2">
      <c r="A67" s="1"/>
      <c r="B67" s="1"/>
      <c r="C67" s="2" t="s">
        <v>141</v>
      </c>
      <c r="D67" s="1"/>
      <c r="E67" s="1"/>
      <c r="F67" s="1"/>
      <c r="G67" s="1"/>
      <c r="H67" s="53"/>
    </row>
    <row r="68" spans="1:8" ht="14.1" customHeight="1" x14ac:dyDescent="0.2">
      <c r="A68" s="1"/>
      <c r="B68" s="1"/>
      <c r="C68" s="2" t="s">
        <v>132</v>
      </c>
      <c r="D68" s="1"/>
      <c r="E68" s="1" t="s">
        <v>133</v>
      </c>
      <c r="F68" s="13">
        <v>0</v>
      </c>
      <c r="G68" s="14">
        <v>0</v>
      </c>
      <c r="H68" s="53"/>
    </row>
    <row r="69" spans="1:8" ht="14.1" customHeight="1" x14ac:dyDescent="0.2">
      <c r="A69" s="1"/>
      <c r="B69" s="1"/>
      <c r="C69" s="11"/>
      <c r="D69" s="1"/>
      <c r="E69" s="1"/>
      <c r="F69" s="12"/>
      <c r="G69" s="12"/>
      <c r="H69" s="53"/>
    </row>
    <row r="70" spans="1:8" ht="14.1" customHeight="1" x14ac:dyDescent="0.2">
      <c r="A70" s="1"/>
      <c r="B70" s="1"/>
      <c r="C70" s="2" t="s">
        <v>142</v>
      </c>
      <c r="D70" s="1"/>
      <c r="E70" s="1"/>
      <c r="F70" s="1"/>
      <c r="G70" s="1"/>
      <c r="H70" s="53"/>
    </row>
    <row r="71" spans="1:8" ht="14.1" customHeight="1" x14ac:dyDescent="0.2">
      <c r="A71" s="1"/>
      <c r="B71" s="1"/>
      <c r="C71" s="2" t="s">
        <v>132</v>
      </c>
      <c r="D71" s="1"/>
      <c r="E71" s="1" t="s">
        <v>133</v>
      </c>
      <c r="F71" s="13">
        <v>0</v>
      </c>
      <c r="G71" s="14">
        <v>0</v>
      </c>
      <c r="H71" s="53"/>
    </row>
    <row r="72" spans="1:8" ht="14.1" customHeight="1" x14ac:dyDescent="0.2">
      <c r="A72" s="1"/>
      <c r="B72" s="1"/>
      <c r="C72" s="11"/>
      <c r="D72" s="1"/>
      <c r="E72" s="1"/>
      <c r="F72" s="12"/>
      <c r="G72" s="12"/>
      <c r="H72" s="53"/>
    </row>
    <row r="73" spans="1:8" ht="14.1" customHeight="1" x14ac:dyDescent="0.2">
      <c r="A73" s="1"/>
      <c r="B73" s="1"/>
      <c r="C73" s="2" t="s">
        <v>143</v>
      </c>
      <c r="D73" s="1"/>
      <c r="E73" s="1"/>
      <c r="F73" s="12"/>
      <c r="G73" s="12"/>
      <c r="H73" s="53"/>
    </row>
    <row r="74" spans="1:8" ht="14.1" customHeight="1" x14ac:dyDescent="0.2">
      <c r="A74" s="1"/>
      <c r="B74" s="1"/>
      <c r="C74" s="2" t="s">
        <v>132</v>
      </c>
      <c r="D74" s="1"/>
      <c r="E74" s="1" t="s">
        <v>133</v>
      </c>
      <c r="F74" s="13">
        <v>0</v>
      </c>
      <c r="G74" s="14">
        <v>0</v>
      </c>
      <c r="H74" s="53"/>
    </row>
    <row r="75" spans="1:8" ht="14.1" customHeight="1" x14ac:dyDescent="0.2">
      <c r="A75" s="1"/>
      <c r="B75" s="1"/>
      <c r="C75" s="11"/>
      <c r="D75" s="1"/>
      <c r="E75" s="1"/>
      <c r="F75" s="12"/>
      <c r="G75" s="12"/>
      <c r="H75" s="53"/>
    </row>
    <row r="76" spans="1:8" ht="14.1" customHeight="1" x14ac:dyDescent="0.2">
      <c r="A76" s="1"/>
      <c r="B76" s="1"/>
      <c r="C76" s="2" t="s">
        <v>144</v>
      </c>
      <c r="D76" s="1"/>
      <c r="E76" s="1"/>
      <c r="F76" s="9">
        <v>0</v>
      </c>
      <c r="G76" s="10">
        <v>0</v>
      </c>
      <c r="H76" s="53"/>
    </row>
    <row r="77" spans="1:8" ht="14.1" customHeight="1" x14ac:dyDescent="0.2">
      <c r="A77" s="1"/>
      <c r="B77" s="1"/>
      <c r="C77" s="11"/>
      <c r="D77" s="1"/>
      <c r="E77" s="1"/>
      <c r="F77" s="12"/>
      <c r="G77" s="12"/>
      <c r="H77" s="53"/>
    </row>
    <row r="78" spans="1:8" ht="14.1" customHeight="1" x14ac:dyDescent="0.2">
      <c r="A78" s="1"/>
      <c r="B78" s="1"/>
      <c r="C78" s="2" t="s">
        <v>145</v>
      </c>
      <c r="D78" s="1"/>
      <c r="E78" s="1"/>
      <c r="F78" s="12"/>
      <c r="G78" s="12"/>
      <c r="H78" s="53"/>
    </row>
    <row r="79" spans="1:8" ht="14.1" customHeight="1" x14ac:dyDescent="0.2">
      <c r="A79" s="1"/>
      <c r="B79" s="1"/>
      <c r="C79" s="2" t="s">
        <v>146</v>
      </c>
      <c r="D79" s="1"/>
      <c r="E79" s="1"/>
      <c r="F79" s="12"/>
      <c r="G79" s="12"/>
      <c r="H79" s="53"/>
    </row>
    <row r="80" spans="1:8" ht="14.1" customHeight="1" x14ac:dyDescent="0.2">
      <c r="A80" s="1"/>
      <c r="B80" s="1"/>
      <c r="C80" s="2" t="s">
        <v>132</v>
      </c>
      <c r="D80" s="1"/>
      <c r="E80" s="1" t="s">
        <v>133</v>
      </c>
      <c r="F80" s="13">
        <v>0</v>
      </c>
      <c r="G80" s="14">
        <v>0</v>
      </c>
      <c r="H80" s="53"/>
    </row>
    <row r="81" spans="1:8" ht="14.1" customHeight="1" x14ac:dyDescent="0.2">
      <c r="A81" s="1"/>
      <c r="B81" s="1"/>
      <c r="C81" s="11"/>
      <c r="D81" s="1"/>
      <c r="E81" s="1"/>
      <c r="F81" s="12"/>
      <c r="G81" s="12"/>
      <c r="H81" s="53"/>
    </row>
    <row r="82" spans="1:8" ht="14.1" customHeight="1" x14ac:dyDescent="0.2">
      <c r="A82" s="1"/>
      <c r="B82" s="1"/>
      <c r="C82" s="2" t="s">
        <v>147</v>
      </c>
      <c r="D82" s="1"/>
      <c r="E82" s="1"/>
      <c r="F82" s="12"/>
      <c r="G82" s="12"/>
      <c r="H82" s="53"/>
    </row>
    <row r="83" spans="1:8" ht="14.1" customHeight="1" x14ac:dyDescent="0.2">
      <c r="A83" s="1"/>
      <c r="B83" s="1"/>
      <c r="C83" s="2" t="s">
        <v>132</v>
      </c>
      <c r="D83" s="1"/>
      <c r="E83" s="1" t="s">
        <v>133</v>
      </c>
      <c r="F83" s="13">
        <v>0</v>
      </c>
      <c r="G83" s="14">
        <v>0</v>
      </c>
      <c r="H83" s="53"/>
    </row>
    <row r="84" spans="1:8" ht="14.1" customHeight="1" x14ac:dyDescent="0.2">
      <c r="A84" s="1"/>
      <c r="B84" s="1"/>
      <c r="C84" s="11"/>
      <c r="D84" s="1"/>
      <c r="E84" s="1"/>
      <c r="F84" s="12"/>
      <c r="G84" s="12"/>
      <c r="H84" s="53"/>
    </row>
    <row r="85" spans="1:8" ht="14.1" customHeight="1" x14ac:dyDescent="0.2">
      <c r="A85" s="1"/>
      <c r="B85" s="1"/>
      <c r="C85" s="2" t="s">
        <v>148</v>
      </c>
      <c r="D85" s="1"/>
      <c r="E85" s="1"/>
      <c r="F85" s="12"/>
      <c r="G85" s="12"/>
      <c r="H85" s="53"/>
    </row>
    <row r="86" spans="1:8" ht="14.1" customHeight="1" x14ac:dyDescent="0.2">
      <c r="A86" s="1"/>
      <c r="B86" s="1"/>
      <c r="C86" s="2" t="s">
        <v>132</v>
      </c>
      <c r="D86" s="1"/>
      <c r="E86" s="1" t="s">
        <v>133</v>
      </c>
      <c r="F86" s="13">
        <v>0</v>
      </c>
      <c r="G86" s="14">
        <v>0</v>
      </c>
      <c r="H86" s="53"/>
    </row>
    <row r="87" spans="1:8" ht="14.1" customHeight="1" x14ac:dyDescent="0.2">
      <c r="A87" s="1"/>
      <c r="B87" s="1"/>
      <c r="C87" s="11"/>
      <c r="D87" s="1"/>
      <c r="E87" s="1"/>
      <c r="F87" s="12"/>
      <c r="G87" s="12"/>
      <c r="H87" s="53"/>
    </row>
    <row r="88" spans="1:8" ht="14.1" customHeight="1" x14ac:dyDescent="0.2">
      <c r="A88" s="1"/>
      <c r="B88" s="1"/>
      <c r="C88" s="2" t="s">
        <v>149</v>
      </c>
      <c r="D88" s="1"/>
      <c r="E88" s="1"/>
      <c r="F88" s="12"/>
      <c r="G88" s="12"/>
      <c r="H88" s="53"/>
    </row>
    <row r="89" spans="1:8" ht="17.100000000000001" customHeight="1" x14ac:dyDescent="0.2">
      <c r="A89" s="3">
        <v>1</v>
      </c>
      <c r="B89" s="4"/>
      <c r="C89" s="4" t="s">
        <v>150</v>
      </c>
      <c r="D89" s="4"/>
      <c r="E89" s="8"/>
      <c r="F89" s="6">
        <v>54.139938700000002</v>
      </c>
      <c r="G89" s="7">
        <v>3.0394699000000001E-2</v>
      </c>
      <c r="H89" s="53">
        <v>6.46</v>
      </c>
    </row>
    <row r="90" spans="1:8" ht="14.1" customHeight="1" x14ac:dyDescent="0.2">
      <c r="A90" s="1"/>
      <c r="B90" s="1"/>
      <c r="C90" s="2" t="s">
        <v>132</v>
      </c>
      <c r="D90" s="1"/>
      <c r="E90" s="1" t="s">
        <v>133</v>
      </c>
      <c r="F90" s="9">
        <v>54.139938700000002</v>
      </c>
      <c r="G90" s="10">
        <v>3.0394699000000001E-2</v>
      </c>
      <c r="H90" s="53"/>
    </row>
    <row r="91" spans="1:8" ht="14.1" customHeight="1" x14ac:dyDescent="0.2">
      <c r="A91" s="1"/>
      <c r="B91" s="1"/>
      <c r="C91" s="11"/>
      <c r="D91" s="1"/>
      <c r="E91" s="1"/>
      <c r="F91" s="12"/>
      <c r="G91" s="12"/>
      <c r="H91" s="53"/>
    </row>
    <row r="92" spans="1:8" ht="14.1" customHeight="1" x14ac:dyDescent="0.2">
      <c r="A92" s="1"/>
      <c r="B92" s="1"/>
      <c r="C92" s="2" t="s">
        <v>151</v>
      </c>
      <c r="D92" s="1"/>
      <c r="E92" s="1"/>
      <c r="F92" s="9">
        <v>54.139938700000002</v>
      </c>
      <c r="G92" s="10">
        <v>3.0394699000000001E-2</v>
      </c>
      <c r="H92" s="53"/>
    </row>
    <row r="93" spans="1:8" ht="14.1" customHeight="1" x14ac:dyDescent="0.2">
      <c r="A93" s="1"/>
      <c r="B93" s="1"/>
      <c r="C93" s="12"/>
      <c r="D93" s="1"/>
      <c r="E93" s="1"/>
      <c r="F93" s="1"/>
      <c r="G93" s="1"/>
      <c r="H93" s="53"/>
    </row>
    <row r="94" spans="1:8" ht="14.1" customHeight="1" x14ac:dyDescent="0.2">
      <c r="A94" s="1"/>
      <c r="B94" s="1"/>
      <c r="C94" s="2" t="s">
        <v>152</v>
      </c>
      <c r="D94" s="1"/>
      <c r="E94" s="1"/>
      <c r="F94" s="1"/>
      <c r="G94" s="1"/>
      <c r="H94" s="53"/>
    </row>
    <row r="95" spans="1:8" ht="14.1" customHeight="1" x14ac:dyDescent="0.2">
      <c r="A95" s="1"/>
      <c r="B95" s="1"/>
      <c r="C95" s="2" t="s">
        <v>153</v>
      </c>
      <c r="D95" s="1"/>
      <c r="E95" s="1"/>
      <c r="F95" s="1"/>
      <c r="G95" s="1"/>
      <c r="H95" s="53"/>
    </row>
    <row r="96" spans="1:8" ht="14.1" customHeight="1" x14ac:dyDescent="0.2">
      <c r="A96" s="1"/>
      <c r="B96" s="1"/>
      <c r="C96" s="2" t="s">
        <v>132</v>
      </c>
      <c r="D96" s="1"/>
      <c r="E96" s="1" t="s">
        <v>133</v>
      </c>
      <c r="F96" s="13">
        <v>0</v>
      </c>
      <c r="G96" s="14">
        <v>0</v>
      </c>
      <c r="H96" s="53"/>
    </row>
    <row r="97" spans="1:8" ht="14.1" customHeight="1" x14ac:dyDescent="0.2">
      <c r="A97" s="1"/>
      <c r="B97" s="1"/>
      <c r="C97" s="11"/>
      <c r="D97" s="1"/>
      <c r="E97" s="1"/>
      <c r="F97" s="12"/>
      <c r="G97" s="12"/>
      <c r="H97" s="53"/>
    </row>
    <row r="98" spans="1:8" ht="14.1" customHeight="1" x14ac:dyDescent="0.2">
      <c r="A98" s="1"/>
      <c r="B98" s="1"/>
      <c r="C98" s="2" t="s">
        <v>154</v>
      </c>
      <c r="D98" s="1"/>
      <c r="E98" s="1"/>
      <c r="F98" s="1"/>
      <c r="G98" s="1"/>
      <c r="H98" s="53"/>
    </row>
    <row r="99" spans="1:8" ht="14.1" customHeight="1" x14ac:dyDescent="0.2">
      <c r="A99" s="1"/>
      <c r="B99" s="1"/>
      <c r="C99" s="2" t="s">
        <v>155</v>
      </c>
      <c r="D99" s="1"/>
      <c r="E99" s="1"/>
      <c r="F99" s="1"/>
      <c r="G99" s="1"/>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11"/>
      <c r="D102" s="1"/>
      <c r="E102" s="1"/>
      <c r="F102" s="12"/>
      <c r="G102" s="12"/>
      <c r="H102" s="53"/>
    </row>
    <row r="103" spans="1:8" ht="24" customHeight="1" x14ac:dyDescent="0.2">
      <c r="A103" s="1"/>
      <c r="B103" s="1"/>
      <c r="C103" s="2" t="s">
        <v>156</v>
      </c>
      <c r="D103" s="1"/>
      <c r="E103" s="1"/>
      <c r="F103" s="12"/>
      <c r="G103" s="12"/>
      <c r="H103" s="53"/>
    </row>
    <row r="104" spans="1:8" ht="14.1" customHeight="1" x14ac:dyDescent="0.2">
      <c r="A104" s="1"/>
      <c r="B104" s="1"/>
      <c r="C104" s="2" t="s">
        <v>132</v>
      </c>
      <c r="D104" s="1"/>
      <c r="E104" s="1" t="s">
        <v>133</v>
      </c>
      <c r="F104" s="13">
        <v>0</v>
      </c>
      <c r="G104" s="14">
        <v>0</v>
      </c>
      <c r="H104" s="53"/>
    </row>
    <row r="105" spans="1:8" ht="14.1" customHeight="1" x14ac:dyDescent="0.2">
      <c r="A105" s="1"/>
      <c r="B105" s="1"/>
      <c r="C105" s="11"/>
      <c r="D105" s="1"/>
      <c r="E105" s="1"/>
      <c r="F105" s="12"/>
      <c r="G105" s="12"/>
      <c r="H105" s="53"/>
    </row>
    <row r="106" spans="1:8" ht="14.1" customHeight="1" x14ac:dyDescent="0.2">
      <c r="A106" s="1"/>
      <c r="B106" s="4"/>
      <c r="C106" s="4"/>
      <c r="D106" s="2"/>
      <c r="E106" s="1"/>
      <c r="F106" s="4"/>
      <c r="G106" s="8"/>
      <c r="H106" s="53"/>
    </row>
    <row r="107" spans="1:8" ht="18" customHeight="1" x14ac:dyDescent="0.2">
      <c r="A107" s="8"/>
      <c r="B107" s="4"/>
      <c r="C107" s="4" t="s">
        <v>157</v>
      </c>
      <c r="D107" s="4"/>
      <c r="E107" s="8"/>
      <c r="F107" s="6">
        <v>0.41076919000000001</v>
      </c>
      <c r="G107" s="7">
        <v>2.3060999999999999E-4</v>
      </c>
      <c r="H107" s="53"/>
    </row>
    <row r="108" spans="1:8" ht="14.1" customHeight="1" x14ac:dyDescent="0.2">
      <c r="A108" s="11"/>
      <c r="B108" s="11"/>
      <c r="C108" s="2" t="s">
        <v>158</v>
      </c>
      <c r="D108" s="15"/>
      <c r="E108" s="15"/>
      <c r="F108" s="9">
        <v>1781.22963839</v>
      </c>
      <c r="G108" s="10">
        <v>1</v>
      </c>
      <c r="H108" s="53"/>
    </row>
    <row r="109" spans="1:8" ht="14.1" customHeight="1" x14ac:dyDescent="0.2">
      <c r="A109" s="16"/>
      <c r="B109" s="16"/>
      <c r="C109" s="16"/>
      <c r="D109" s="17"/>
      <c r="E109" s="17"/>
      <c r="F109" s="17"/>
      <c r="G109" s="17"/>
    </row>
    <row r="110" spans="1:8" ht="14.1" customHeight="1" x14ac:dyDescent="0.2">
      <c r="A110" s="18"/>
      <c r="B110" s="292" t="s">
        <v>133</v>
      </c>
      <c r="C110" s="292"/>
      <c r="D110" s="292"/>
      <c r="E110" s="292"/>
      <c r="F110" s="292"/>
      <c r="G110" s="20"/>
    </row>
    <row r="111" spans="1:8" ht="14.1" customHeight="1" x14ac:dyDescent="0.2">
      <c r="A111" s="18"/>
      <c r="B111" s="292" t="s">
        <v>133</v>
      </c>
      <c r="C111" s="292"/>
      <c r="D111" s="292"/>
      <c r="E111" s="292"/>
      <c r="F111" s="292"/>
      <c r="G111" s="20"/>
    </row>
    <row r="112" spans="1:8" ht="14.1" customHeight="1" x14ac:dyDescent="0.2">
      <c r="A112" s="18"/>
      <c r="B112" s="18"/>
      <c r="C112" s="18"/>
      <c r="D112" s="20"/>
      <c r="E112" s="20"/>
      <c r="F112" s="20"/>
      <c r="G112" s="20"/>
    </row>
    <row r="113" spans="1:7" ht="14.1" customHeight="1" x14ac:dyDescent="0.2">
      <c r="A113" s="18"/>
      <c r="B113" s="293" t="s">
        <v>160</v>
      </c>
      <c r="C113" s="294"/>
      <c r="D113" s="12" t="s">
        <v>133</v>
      </c>
      <c r="E113" s="21"/>
      <c r="F113" s="20"/>
      <c r="G113" s="20"/>
    </row>
    <row r="114" spans="1:7" ht="29.1" customHeight="1" x14ac:dyDescent="0.2">
      <c r="A114" s="18"/>
      <c r="B114" s="290" t="s">
        <v>161</v>
      </c>
      <c r="C114" s="291"/>
      <c r="D114" s="2" t="s">
        <v>162</v>
      </c>
      <c r="E114" s="21"/>
      <c r="F114" s="20"/>
      <c r="G114" s="20"/>
    </row>
    <row r="115" spans="1:7" ht="17.100000000000001" customHeight="1" x14ac:dyDescent="0.2">
      <c r="A115" s="18"/>
      <c r="B115" s="290" t="s">
        <v>163</v>
      </c>
      <c r="C115" s="291"/>
      <c r="D115" s="2" t="s">
        <v>162</v>
      </c>
      <c r="E115" s="21"/>
      <c r="F115" s="20"/>
      <c r="G115" s="20"/>
    </row>
    <row r="116" spans="1:7" ht="17.100000000000001" customHeight="1" x14ac:dyDescent="0.2">
      <c r="A116" s="18"/>
      <c r="B116" s="290" t="s">
        <v>164</v>
      </c>
      <c r="C116" s="291"/>
      <c r="D116" s="12" t="s">
        <v>133</v>
      </c>
      <c r="E116" s="21"/>
      <c r="F116" s="20"/>
      <c r="G116" s="20"/>
    </row>
    <row r="117" spans="1:7" ht="24" customHeight="1" x14ac:dyDescent="0.2">
      <c r="A117" s="22"/>
      <c r="B117" s="23" t="s">
        <v>133</v>
      </c>
      <c r="C117" s="23" t="s">
        <v>165</v>
      </c>
      <c r="D117" s="23" t="s">
        <v>166</v>
      </c>
      <c r="E117" s="22"/>
      <c r="F117" s="22"/>
      <c r="G117" s="22"/>
    </row>
    <row r="118" spans="1:7" ht="18" customHeight="1" x14ac:dyDescent="0.2">
      <c r="A118" s="22"/>
      <c r="B118" s="23" t="s">
        <v>167</v>
      </c>
      <c r="C118" s="23" t="s">
        <v>168</v>
      </c>
      <c r="D118" s="23" t="s">
        <v>169</v>
      </c>
      <c r="E118" s="22"/>
      <c r="F118" s="22"/>
      <c r="G118" s="22"/>
    </row>
    <row r="119" spans="1:7" ht="17.100000000000001" customHeight="1" x14ac:dyDescent="0.2">
      <c r="A119" s="22"/>
      <c r="B119" s="4" t="s">
        <v>170</v>
      </c>
      <c r="C119" s="24">
        <v>24.406400000000001</v>
      </c>
      <c r="D119" s="24">
        <v>23.717300000000002</v>
      </c>
      <c r="E119" s="22"/>
      <c r="F119" s="19"/>
      <c r="G119" s="25"/>
    </row>
    <row r="120" spans="1:7" ht="17.100000000000001" customHeight="1" x14ac:dyDescent="0.2">
      <c r="A120" s="22"/>
      <c r="B120" s="4" t="s">
        <v>1042</v>
      </c>
      <c r="C120" s="24">
        <v>20.331499999999998</v>
      </c>
      <c r="D120" s="24">
        <v>19.7575</v>
      </c>
      <c r="E120" s="22"/>
      <c r="F120" s="19"/>
      <c r="G120" s="25"/>
    </row>
    <row r="121" spans="1:7" ht="17.100000000000001" customHeight="1" x14ac:dyDescent="0.2">
      <c r="A121" s="22"/>
      <c r="B121" s="4" t="s">
        <v>171</v>
      </c>
      <c r="C121" s="24">
        <v>23.809000000000001</v>
      </c>
      <c r="D121" s="24">
        <v>23.129799999999999</v>
      </c>
      <c r="E121" s="22"/>
      <c r="F121" s="19"/>
      <c r="G121" s="25"/>
    </row>
    <row r="122" spans="1:7" ht="17.100000000000001" customHeight="1" x14ac:dyDescent="0.2">
      <c r="A122" s="22"/>
      <c r="B122" s="4" t="s">
        <v>1043</v>
      </c>
      <c r="C122" s="24">
        <v>19.766100000000002</v>
      </c>
      <c r="D122" s="24">
        <v>19.202300000000001</v>
      </c>
      <c r="E122" s="22"/>
      <c r="F122" s="19"/>
      <c r="G122" s="25"/>
    </row>
    <row r="123" spans="1:7" ht="14.1" customHeight="1" x14ac:dyDescent="0.2">
      <c r="A123" s="22"/>
      <c r="B123" s="22"/>
      <c r="C123" s="22"/>
      <c r="D123" s="22"/>
      <c r="E123" s="22"/>
      <c r="F123" s="22"/>
      <c r="G123" s="22"/>
    </row>
    <row r="124" spans="1:7" ht="17.100000000000001" customHeight="1" x14ac:dyDescent="0.2">
      <c r="A124" s="22"/>
      <c r="B124" s="290" t="s">
        <v>1044</v>
      </c>
      <c r="C124" s="291"/>
      <c r="D124" s="2" t="s">
        <v>162</v>
      </c>
      <c r="E124" s="22"/>
      <c r="F124" s="22"/>
      <c r="G124" s="22"/>
    </row>
    <row r="125" spans="1:7" ht="18" customHeight="1" x14ac:dyDescent="0.2">
      <c r="A125" s="22"/>
      <c r="B125" s="26"/>
      <c r="C125" s="26"/>
      <c r="D125" s="27"/>
      <c r="E125" s="22"/>
      <c r="F125" s="22"/>
      <c r="G125" s="22"/>
    </row>
    <row r="126" spans="1:7" ht="29.1" customHeight="1" x14ac:dyDescent="0.2">
      <c r="A126" s="22"/>
      <c r="B126" s="290" t="s">
        <v>172</v>
      </c>
      <c r="C126" s="291"/>
      <c r="D126" s="2" t="s">
        <v>162</v>
      </c>
      <c r="E126" s="22"/>
      <c r="F126" s="22"/>
      <c r="G126" s="22"/>
    </row>
    <row r="127" spans="1:7" ht="29.1" customHeight="1" x14ac:dyDescent="0.2">
      <c r="A127" s="22"/>
      <c r="B127" s="290" t="s">
        <v>173</v>
      </c>
      <c r="C127" s="291"/>
      <c r="D127" s="2" t="s">
        <v>162</v>
      </c>
      <c r="E127" s="22"/>
      <c r="F127" s="22"/>
      <c r="G127" s="22"/>
    </row>
    <row r="128" spans="1:7" ht="17.100000000000001" customHeight="1" x14ac:dyDescent="0.2">
      <c r="A128" s="22"/>
      <c r="B128" s="290" t="s">
        <v>174</v>
      </c>
      <c r="C128" s="291"/>
      <c r="D128" s="28">
        <v>3.8335246160996872E-2</v>
      </c>
      <c r="E128" s="22"/>
      <c r="F128" s="19"/>
      <c r="G128" s="25"/>
    </row>
    <row r="129" spans="1:14" ht="17.100000000000001" customHeight="1" x14ac:dyDescent="0.2">
      <c r="A129" s="22"/>
      <c r="B129" s="290" t="s">
        <v>175</v>
      </c>
      <c r="C129" s="291"/>
      <c r="D129" s="2" t="s">
        <v>162</v>
      </c>
      <c r="E129" s="22"/>
      <c r="F129" s="22"/>
      <c r="G129" s="22"/>
    </row>
    <row r="130" spans="1:14" x14ac:dyDescent="0.2">
      <c r="J130" s="189"/>
      <c r="K130" s="189"/>
      <c r="L130" s="189"/>
      <c r="M130" s="189"/>
      <c r="N130" s="189"/>
    </row>
  </sheetData>
  <mergeCells count="15">
    <mergeCell ref="B128:C128"/>
    <mergeCell ref="B129:C129"/>
    <mergeCell ref="B114:C114"/>
    <mergeCell ref="B115:C115"/>
    <mergeCell ref="B116:C116"/>
    <mergeCell ref="B124:C124"/>
    <mergeCell ref="B126:C126"/>
    <mergeCell ref="B127:C127"/>
    <mergeCell ref="A1:H1"/>
    <mergeCell ref="A2:H2"/>
    <mergeCell ref="A3:H3"/>
    <mergeCell ref="J2:N2"/>
    <mergeCell ref="B113:C113"/>
    <mergeCell ref="B110:F110"/>
    <mergeCell ref="B111:F111"/>
  </mergeCells>
  <hyperlinks>
    <hyperlink ref="I1" location="Index!B16" display="Index" xr:uid="{EA119055-D704-4C3F-8711-C9801EA0A77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12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487</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12088</v>
      </c>
      <c r="F7" s="6">
        <v>107.685948</v>
      </c>
      <c r="G7" s="7">
        <v>9.5552210999999998E-2</v>
      </c>
      <c r="H7" s="53"/>
    </row>
    <row r="8" spans="1:14" ht="17.100000000000001" customHeight="1" x14ac:dyDescent="0.2">
      <c r="A8" s="3">
        <v>2</v>
      </c>
      <c r="B8" s="4" t="s">
        <v>20</v>
      </c>
      <c r="C8" s="4" t="s">
        <v>21</v>
      </c>
      <c r="D8" s="4" t="s">
        <v>22</v>
      </c>
      <c r="E8" s="5">
        <v>3489</v>
      </c>
      <c r="F8" s="6">
        <v>88.871808000000001</v>
      </c>
      <c r="G8" s="7">
        <v>7.8857993000000001E-2</v>
      </c>
      <c r="H8" s="53"/>
    </row>
    <row r="9" spans="1:14" ht="17.100000000000001" customHeight="1" x14ac:dyDescent="0.2">
      <c r="A9" s="3">
        <v>3</v>
      </c>
      <c r="B9" s="4" t="s">
        <v>291</v>
      </c>
      <c r="C9" s="4" t="s">
        <v>292</v>
      </c>
      <c r="D9" s="4" t="s">
        <v>900</v>
      </c>
      <c r="E9" s="5">
        <v>5779</v>
      </c>
      <c r="F9" s="6">
        <v>87.158878000000001</v>
      </c>
      <c r="G9" s="7">
        <v>7.7338070999999994E-2</v>
      </c>
      <c r="H9" s="53"/>
    </row>
    <row r="10" spans="1:14" ht="17.100000000000001" customHeight="1" x14ac:dyDescent="0.2">
      <c r="A10" s="3">
        <v>4</v>
      </c>
      <c r="B10" s="4" t="s">
        <v>266</v>
      </c>
      <c r="C10" s="4" t="s">
        <v>267</v>
      </c>
      <c r="D10" s="4" t="s">
        <v>19</v>
      </c>
      <c r="E10" s="5">
        <v>4906</v>
      </c>
      <c r="F10" s="6">
        <v>79.877038999999996</v>
      </c>
      <c r="G10" s="7">
        <v>7.0876728999999999E-2</v>
      </c>
      <c r="H10" s="53"/>
    </row>
    <row r="11" spans="1:14" ht="17.100000000000001" customHeight="1" x14ac:dyDescent="0.2">
      <c r="A11" s="3">
        <v>5</v>
      </c>
      <c r="B11" s="4" t="s">
        <v>29</v>
      </c>
      <c r="C11" s="4" t="s">
        <v>30</v>
      </c>
      <c r="D11" s="4" t="s">
        <v>19</v>
      </c>
      <c r="E11" s="5">
        <v>12485</v>
      </c>
      <c r="F11" s="6">
        <v>76.620445000000004</v>
      </c>
      <c r="G11" s="7">
        <v>6.7987078000000006E-2</v>
      </c>
      <c r="H11" s="53"/>
    </row>
    <row r="12" spans="1:14" ht="29.1" customHeight="1" x14ac:dyDescent="0.2">
      <c r="A12" s="3">
        <v>6</v>
      </c>
      <c r="B12" s="4" t="s">
        <v>293</v>
      </c>
      <c r="C12" s="4" t="s">
        <v>294</v>
      </c>
      <c r="D12" s="4" t="s">
        <v>119</v>
      </c>
      <c r="E12" s="5">
        <v>2230</v>
      </c>
      <c r="F12" s="6">
        <v>58.818480000000001</v>
      </c>
      <c r="G12" s="7">
        <v>5.2190986000000002E-2</v>
      </c>
      <c r="H12" s="53"/>
    </row>
    <row r="13" spans="1:14" ht="17.100000000000001" customHeight="1" x14ac:dyDescent="0.2">
      <c r="A13" s="3">
        <v>7</v>
      </c>
      <c r="B13" s="4" t="s">
        <v>181</v>
      </c>
      <c r="C13" s="4" t="s">
        <v>182</v>
      </c>
      <c r="D13" s="4" t="s">
        <v>19</v>
      </c>
      <c r="E13" s="5">
        <v>5335</v>
      </c>
      <c r="F13" s="6">
        <v>49.815562499999999</v>
      </c>
      <c r="G13" s="7">
        <v>4.4202490999999997E-2</v>
      </c>
      <c r="H13" s="53"/>
      <c r="J13" s="188" t="s">
        <v>1077</v>
      </c>
    </row>
    <row r="14" spans="1:14" ht="17.100000000000001" customHeight="1" x14ac:dyDescent="0.2">
      <c r="A14" s="3">
        <v>8</v>
      </c>
      <c r="B14" s="4" t="s">
        <v>11</v>
      </c>
      <c r="C14" s="4" t="s">
        <v>12</v>
      </c>
      <c r="D14" s="4" t="s">
        <v>13</v>
      </c>
      <c r="E14" s="5">
        <v>2233</v>
      </c>
      <c r="F14" s="6">
        <v>46.575913999999997</v>
      </c>
      <c r="G14" s="7">
        <v>4.1327876999999999E-2</v>
      </c>
      <c r="H14" s="53"/>
    </row>
    <row r="15" spans="1:14" ht="17.100000000000001" customHeight="1" x14ac:dyDescent="0.2">
      <c r="A15" s="3">
        <v>9</v>
      </c>
      <c r="B15" s="4" t="s">
        <v>14</v>
      </c>
      <c r="C15" s="4" t="s">
        <v>15</v>
      </c>
      <c r="D15" s="4" t="s">
        <v>16</v>
      </c>
      <c r="E15" s="5">
        <v>4570</v>
      </c>
      <c r="F15" s="6">
        <v>36.838769999999997</v>
      </c>
      <c r="G15" s="7">
        <v>3.2687885E-2</v>
      </c>
      <c r="H15" s="53"/>
    </row>
    <row r="16" spans="1:14" ht="29.1" customHeight="1" x14ac:dyDescent="0.2">
      <c r="A16" s="3">
        <v>10</v>
      </c>
      <c r="B16" s="4" t="s">
        <v>23</v>
      </c>
      <c r="C16" s="4" t="s">
        <v>24</v>
      </c>
      <c r="D16" s="4" t="s">
        <v>25</v>
      </c>
      <c r="E16" s="5">
        <v>501</v>
      </c>
      <c r="F16" s="6">
        <v>34.8648405</v>
      </c>
      <c r="G16" s="7">
        <v>3.0936373E-2</v>
      </c>
      <c r="H16" s="53"/>
    </row>
    <row r="17" spans="1:8" ht="17.100000000000001" customHeight="1" x14ac:dyDescent="0.2">
      <c r="A17" s="3">
        <v>11</v>
      </c>
      <c r="B17" s="4" t="s">
        <v>350</v>
      </c>
      <c r="C17" s="4" t="s">
        <v>351</v>
      </c>
      <c r="D17" s="4" t="s">
        <v>72</v>
      </c>
      <c r="E17" s="5">
        <v>7590</v>
      </c>
      <c r="F17" s="6">
        <v>29.445405000000001</v>
      </c>
      <c r="G17" s="7">
        <v>2.6127582999999999E-2</v>
      </c>
      <c r="H17" s="53"/>
    </row>
    <row r="18" spans="1:8" ht="17.100000000000001" customHeight="1" x14ac:dyDescent="0.2">
      <c r="A18" s="3">
        <v>12</v>
      </c>
      <c r="B18" s="4" t="s">
        <v>354</v>
      </c>
      <c r="C18" s="4" t="s">
        <v>355</v>
      </c>
      <c r="D18" s="4" t="s">
        <v>116</v>
      </c>
      <c r="E18" s="5">
        <v>959</v>
      </c>
      <c r="F18" s="6">
        <v>24.910025000000001</v>
      </c>
      <c r="G18" s="7">
        <v>2.2103235999999998E-2</v>
      </c>
      <c r="H18" s="53"/>
    </row>
    <row r="19" spans="1:8" ht="17.100000000000001" customHeight="1" x14ac:dyDescent="0.2">
      <c r="A19" s="3">
        <v>13</v>
      </c>
      <c r="B19" s="4" t="s">
        <v>310</v>
      </c>
      <c r="C19" s="4" t="s">
        <v>311</v>
      </c>
      <c r="D19" s="4" t="s">
        <v>305</v>
      </c>
      <c r="E19" s="5">
        <v>7286</v>
      </c>
      <c r="F19" s="6">
        <v>24.156732999999999</v>
      </c>
      <c r="G19" s="7">
        <v>2.1434822999999999E-2</v>
      </c>
      <c r="H19" s="53"/>
    </row>
    <row r="20" spans="1:8" ht="17.100000000000001" customHeight="1" x14ac:dyDescent="0.2">
      <c r="A20" s="3">
        <v>14</v>
      </c>
      <c r="B20" s="4" t="s">
        <v>295</v>
      </c>
      <c r="C20" s="4" t="s">
        <v>296</v>
      </c>
      <c r="D20" s="4" t="s">
        <v>248</v>
      </c>
      <c r="E20" s="5">
        <v>1859</v>
      </c>
      <c r="F20" s="6">
        <v>22.889866999999999</v>
      </c>
      <c r="G20" s="7">
        <v>2.0310703999999999E-2</v>
      </c>
      <c r="H20" s="53"/>
    </row>
    <row r="21" spans="1:8" ht="17.100000000000001" customHeight="1" x14ac:dyDescent="0.2">
      <c r="A21" s="3">
        <v>15</v>
      </c>
      <c r="B21" s="4" t="s">
        <v>179</v>
      </c>
      <c r="C21" s="4" t="s">
        <v>180</v>
      </c>
      <c r="D21" s="4" t="s">
        <v>19</v>
      </c>
      <c r="E21" s="5">
        <v>12176</v>
      </c>
      <c r="F21" s="6">
        <v>22.610831999999998</v>
      </c>
      <c r="G21" s="7">
        <v>2.0063109999999999E-2</v>
      </c>
      <c r="H21" s="53"/>
    </row>
    <row r="22" spans="1:8" ht="17.100000000000001" customHeight="1" x14ac:dyDescent="0.2">
      <c r="A22" s="3">
        <v>16</v>
      </c>
      <c r="B22" s="4" t="s">
        <v>217</v>
      </c>
      <c r="C22" s="4" t="s">
        <v>218</v>
      </c>
      <c r="D22" s="4" t="s">
        <v>219</v>
      </c>
      <c r="E22" s="5">
        <v>3810</v>
      </c>
      <c r="F22" s="6">
        <v>22.12086</v>
      </c>
      <c r="G22" s="7">
        <v>1.9628346000000001E-2</v>
      </c>
      <c r="H22" s="53"/>
    </row>
    <row r="23" spans="1:8" ht="17.100000000000001" customHeight="1" x14ac:dyDescent="0.2">
      <c r="A23" s="3">
        <v>17</v>
      </c>
      <c r="B23" s="4" t="s">
        <v>297</v>
      </c>
      <c r="C23" s="4" t="s">
        <v>298</v>
      </c>
      <c r="D23" s="4" t="s">
        <v>900</v>
      </c>
      <c r="E23" s="5">
        <v>672</v>
      </c>
      <c r="F23" s="6">
        <v>21.885024000000001</v>
      </c>
      <c r="G23" s="7">
        <v>1.9419084E-2</v>
      </c>
      <c r="H23" s="53"/>
    </row>
    <row r="24" spans="1:8" ht="29.1" customHeight="1" x14ac:dyDescent="0.2">
      <c r="A24" s="3">
        <v>18</v>
      </c>
      <c r="B24" s="4" t="s">
        <v>197</v>
      </c>
      <c r="C24" s="4" t="s">
        <v>198</v>
      </c>
      <c r="D24" s="4" t="s">
        <v>199</v>
      </c>
      <c r="E24" s="5">
        <v>526</v>
      </c>
      <c r="F24" s="6">
        <v>21.404254999999999</v>
      </c>
      <c r="G24" s="7">
        <v>1.8992485999999999E-2</v>
      </c>
      <c r="H24" s="53"/>
    </row>
    <row r="25" spans="1:8" ht="17.100000000000001" customHeight="1" x14ac:dyDescent="0.2">
      <c r="A25" s="3">
        <v>19</v>
      </c>
      <c r="B25" s="4" t="s">
        <v>308</v>
      </c>
      <c r="C25" s="4" t="s">
        <v>309</v>
      </c>
      <c r="D25" s="4" t="s">
        <v>900</v>
      </c>
      <c r="E25" s="5">
        <v>1859</v>
      </c>
      <c r="F25" s="6">
        <v>19.320587</v>
      </c>
      <c r="G25" s="7">
        <v>1.7143599999999998E-2</v>
      </c>
      <c r="H25" s="53"/>
    </row>
    <row r="26" spans="1:8" ht="17.100000000000001" customHeight="1" x14ac:dyDescent="0.2">
      <c r="A26" s="3">
        <v>20</v>
      </c>
      <c r="B26" s="4" t="s">
        <v>283</v>
      </c>
      <c r="C26" s="4" t="s">
        <v>284</v>
      </c>
      <c r="D26" s="4" t="s">
        <v>22</v>
      </c>
      <c r="E26" s="5">
        <v>8132</v>
      </c>
      <c r="F26" s="6">
        <v>19.122398</v>
      </c>
      <c r="G26" s="7">
        <v>1.6967742000000001E-2</v>
      </c>
      <c r="H26" s="53"/>
    </row>
    <row r="27" spans="1:8" ht="29.1" customHeight="1" x14ac:dyDescent="0.2">
      <c r="A27" s="3">
        <v>21</v>
      </c>
      <c r="B27" s="4" t="s">
        <v>202</v>
      </c>
      <c r="C27" s="4" t="s">
        <v>203</v>
      </c>
      <c r="D27" s="4" t="s">
        <v>204</v>
      </c>
      <c r="E27" s="5">
        <v>2059</v>
      </c>
      <c r="F27" s="6">
        <v>18.2664185</v>
      </c>
      <c r="G27" s="7">
        <v>1.6208212E-2</v>
      </c>
      <c r="H27" s="53"/>
    </row>
    <row r="28" spans="1:8" ht="17.100000000000001" customHeight="1" x14ac:dyDescent="0.2">
      <c r="A28" s="3">
        <v>22</v>
      </c>
      <c r="B28" s="4" t="s">
        <v>329</v>
      </c>
      <c r="C28" s="4" t="s">
        <v>330</v>
      </c>
      <c r="D28" s="4" t="s">
        <v>19</v>
      </c>
      <c r="E28" s="5">
        <v>916</v>
      </c>
      <c r="F28" s="6">
        <v>16.73761</v>
      </c>
      <c r="G28" s="7">
        <v>1.4851665E-2</v>
      </c>
      <c r="H28" s="53"/>
    </row>
    <row r="29" spans="1:8" ht="17.100000000000001" customHeight="1" x14ac:dyDescent="0.2">
      <c r="A29" s="3">
        <v>23</v>
      </c>
      <c r="B29" s="4" t="s">
        <v>436</v>
      </c>
      <c r="C29" s="4" t="s">
        <v>437</v>
      </c>
      <c r="D29" s="4" t="s">
        <v>237</v>
      </c>
      <c r="E29" s="5">
        <v>5791</v>
      </c>
      <c r="F29" s="6">
        <v>16.6462295</v>
      </c>
      <c r="G29" s="7">
        <v>1.4770581E-2</v>
      </c>
      <c r="H29" s="53"/>
    </row>
    <row r="30" spans="1:8" ht="17.100000000000001" customHeight="1" x14ac:dyDescent="0.2">
      <c r="A30" s="3">
        <v>24</v>
      </c>
      <c r="B30" s="4" t="s">
        <v>85</v>
      </c>
      <c r="C30" s="4" t="s">
        <v>86</v>
      </c>
      <c r="D30" s="4" t="s">
        <v>87</v>
      </c>
      <c r="E30" s="5">
        <v>587</v>
      </c>
      <c r="F30" s="6">
        <v>16.122835500000001</v>
      </c>
      <c r="G30" s="7">
        <v>1.4306162000000001E-2</v>
      </c>
      <c r="H30" s="53"/>
    </row>
    <row r="31" spans="1:8" ht="17.100000000000001" customHeight="1" x14ac:dyDescent="0.2">
      <c r="A31" s="3">
        <v>25</v>
      </c>
      <c r="B31" s="4" t="s">
        <v>103</v>
      </c>
      <c r="C31" s="4" t="s">
        <v>104</v>
      </c>
      <c r="D31" s="4" t="s">
        <v>105</v>
      </c>
      <c r="E31" s="5">
        <v>2990</v>
      </c>
      <c r="F31" s="6">
        <v>14.153165</v>
      </c>
      <c r="G31" s="7">
        <v>1.2558428E-2</v>
      </c>
      <c r="H31" s="53"/>
    </row>
    <row r="32" spans="1:8" ht="17.100000000000001" customHeight="1" x14ac:dyDescent="0.2">
      <c r="A32" s="3">
        <v>26</v>
      </c>
      <c r="B32" s="4" t="s">
        <v>479</v>
      </c>
      <c r="C32" s="4" t="s">
        <v>480</v>
      </c>
      <c r="D32" s="4" t="s">
        <v>190</v>
      </c>
      <c r="E32" s="5">
        <v>4646</v>
      </c>
      <c r="F32" s="6">
        <v>13.357250000000001</v>
      </c>
      <c r="G32" s="7">
        <v>1.1852194E-2</v>
      </c>
      <c r="H32" s="53"/>
    </row>
    <row r="33" spans="1:8" ht="17.100000000000001" customHeight="1" x14ac:dyDescent="0.2">
      <c r="A33" s="3">
        <v>27</v>
      </c>
      <c r="B33" s="4" t="s">
        <v>303</v>
      </c>
      <c r="C33" s="4" t="s">
        <v>304</v>
      </c>
      <c r="D33" s="4" t="s">
        <v>305</v>
      </c>
      <c r="E33" s="5">
        <v>517</v>
      </c>
      <c r="F33" s="6">
        <v>13.2406285</v>
      </c>
      <c r="G33" s="7">
        <v>1.1748712999999999E-2</v>
      </c>
      <c r="H33" s="53"/>
    </row>
    <row r="34" spans="1:8" ht="17.100000000000001" customHeight="1" x14ac:dyDescent="0.2">
      <c r="A34" s="3">
        <v>28</v>
      </c>
      <c r="B34" s="4" t="s">
        <v>101</v>
      </c>
      <c r="C34" s="4" t="s">
        <v>102</v>
      </c>
      <c r="D34" s="4" t="s">
        <v>22</v>
      </c>
      <c r="E34" s="5">
        <v>3989</v>
      </c>
      <c r="F34" s="6">
        <v>13.183645</v>
      </c>
      <c r="G34" s="7">
        <v>1.1698151E-2</v>
      </c>
      <c r="H34" s="53"/>
    </row>
    <row r="35" spans="1:8" ht="29.1" customHeight="1" x14ac:dyDescent="0.2">
      <c r="A35" s="3">
        <v>29</v>
      </c>
      <c r="B35" s="4" t="s">
        <v>481</v>
      </c>
      <c r="C35" s="4" t="s">
        <v>482</v>
      </c>
      <c r="D35" s="4" t="s">
        <v>227</v>
      </c>
      <c r="E35" s="5">
        <v>1213</v>
      </c>
      <c r="F35" s="6">
        <v>13.051273500000001</v>
      </c>
      <c r="G35" s="7">
        <v>1.1580694000000001E-2</v>
      </c>
      <c r="H35" s="53"/>
    </row>
    <row r="36" spans="1:8" ht="17.100000000000001" customHeight="1" x14ac:dyDescent="0.2">
      <c r="A36" s="3">
        <v>30</v>
      </c>
      <c r="B36" s="4" t="s">
        <v>327</v>
      </c>
      <c r="C36" s="4" t="s">
        <v>328</v>
      </c>
      <c r="D36" s="4" t="s">
        <v>19</v>
      </c>
      <c r="E36" s="5">
        <v>1052</v>
      </c>
      <c r="F36" s="6">
        <v>12.835452</v>
      </c>
      <c r="G36" s="7">
        <v>1.1389191E-2</v>
      </c>
      <c r="H36" s="53"/>
    </row>
    <row r="37" spans="1:8" ht="29.1" customHeight="1" x14ac:dyDescent="0.2">
      <c r="A37" s="3">
        <v>31</v>
      </c>
      <c r="B37" s="4" t="s">
        <v>483</v>
      </c>
      <c r="C37" s="4" t="s">
        <v>484</v>
      </c>
      <c r="D37" s="4" t="s">
        <v>25</v>
      </c>
      <c r="E37" s="5">
        <v>1266</v>
      </c>
      <c r="F37" s="6">
        <v>12.410598</v>
      </c>
      <c r="G37" s="7">
        <v>1.1012208000000001E-2</v>
      </c>
      <c r="H37" s="53"/>
    </row>
    <row r="38" spans="1:8" ht="29.1" customHeight="1" x14ac:dyDescent="0.2">
      <c r="A38" s="3">
        <v>32</v>
      </c>
      <c r="B38" s="4" t="s">
        <v>485</v>
      </c>
      <c r="C38" s="4" t="s">
        <v>486</v>
      </c>
      <c r="D38" s="4" t="s">
        <v>430</v>
      </c>
      <c r="E38" s="5">
        <v>1535</v>
      </c>
      <c r="F38" s="6">
        <v>11.7726825</v>
      </c>
      <c r="G38" s="7">
        <v>1.0446171000000001E-2</v>
      </c>
      <c r="H38" s="53"/>
    </row>
    <row r="39" spans="1:8" ht="17.100000000000001" customHeight="1" x14ac:dyDescent="0.2">
      <c r="A39" s="3">
        <v>33</v>
      </c>
      <c r="B39" s="4" t="s">
        <v>38</v>
      </c>
      <c r="C39" s="4" t="s">
        <v>39</v>
      </c>
      <c r="D39" s="4" t="s">
        <v>40</v>
      </c>
      <c r="E39" s="5">
        <v>1593</v>
      </c>
      <c r="F39" s="6">
        <v>11.769083999999999</v>
      </c>
      <c r="G39" s="7">
        <v>1.0442978E-2</v>
      </c>
      <c r="H39" s="53"/>
    </row>
    <row r="40" spans="1:8" ht="17.100000000000001" customHeight="1" x14ac:dyDescent="0.2">
      <c r="A40" s="3">
        <v>34</v>
      </c>
      <c r="B40" s="4" t="s">
        <v>316</v>
      </c>
      <c r="C40" s="4" t="s">
        <v>317</v>
      </c>
      <c r="D40" s="4" t="s">
        <v>900</v>
      </c>
      <c r="E40" s="5">
        <v>1742</v>
      </c>
      <c r="F40" s="6">
        <v>6.8417050000000001</v>
      </c>
      <c r="G40" s="7">
        <v>6.0708020000000001E-3</v>
      </c>
      <c r="H40" s="53"/>
    </row>
    <row r="41" spans="1:8" ht="29.1" customHeight="1" x14ac:dyDescent="0.2">
      <c r="A41" s="3">
        <v>35</v>
      </c>
      <c r="B41" s="4" t="s">
        <v>257</v>
      </c>
      <c r="C41" s="4" t="s">
        <v>258</v>
      </c>
      <c r="D41" s="4" t="s">
        <v>227</v>
      </c>
      <c r="E41" s="5">
        <v>311</v>
      </c>
      <c r="F41" s="6">
        <v>4.9030705000000001</v>
      </c>
      <c r="G41" s="7">
        <v>4.3506070000000003E-3</v>
      </c>
      <c r="H41" s="53"/>
    </row>
    <row r="42" spans="1:8" ht="17.100000000000001" customHeight="1" x14ac:dyDescent="0.2">
      <c r="A42" s="3">
        <v>36</v>
      </c>
      <c r="B42" s="4" t="s">
        <v>333</v>
      </c>
      <c r="C42" s="48" t="s">
        <v>958</v>
      </c>
      <c r="D42" s="4" t="s">
        <v>16</v>
      </c>
      <c r="E42" s="5">
        <v>327</v>
      </c>
      <c r="F42" s="6">
        <v>1.417872</v>
      </c>
      <c r="G42" s="7">
        <v>1.25811E-3</v>
      </c>
      <c r="H42" s="53"/>
    </row>
    <row r="43" spans="1:8" ht="14.1" customHeight="1" x14ac:dyDescent="0.2">
      <c r="A43" s="1"/>
      <c r="B43" s="1"/>
      <c r="C43" s="2" t="s">
        <v>132</v>
      </c>
      <c r="D43" s="1"/>
      <c r="E43" s="1" t="s">
        <v>133</v>
      </c>
      <c r="F43" s="9">
        <v>1091.7031904999999</v>
      </c>
      <c r="G43" s="10">
        <v>0.96869327500000002</v>
      </c>
      <c r="H43" s="53"/>
    </row>
    <row r="44" spans="1:8" ht="14.1" customHeight="1" x14ac:dyDescent="0.2">
      <c r="A44" s="1"/>
      <c r="B44" s="1"/>
      <c r="C44" s="11"/>
      <c r="D44" s="1"/>
      <c r="E44" s="1"/>
      <c r="F44" s="12"/>
      <c r="G44" s="12"/>
      <c r="H44" s="53"/>
    </row>
    <row r="45" spans="1:8" ht="14.1" customHeight="1" x14ac:dyDescent="0.2">
      <c r="A45" s="1"/>
      <c r="B45" s="1"/>
      <c r="C45" s="2" t="s">
        <v>134</v>
      </c>
      <c r="D45" s="1"/>
      <c r="E45" s="1"/>
      <c r="F45" s="1"/>
      <c r="G45" s="1"/>
      <c r="H45" s="53"/>
    </row>
    <row r="46" spans="1:8" ht="14.1" customHeight="1" x14ac:dyDescent="0.2">
      <c r="A46" s="1"/>
      <c r="B46" s="1"/>
      <c r="C46" s="2" t="s">
        <v>132</v>
      </c>
      <c r="D46" s="1"/>
      <c r="E46" s="1" t="s">
        <v>133</v>
      </c>
      <c r="F46" s="13">
        <v>0</v>
      </c>
      <c r="G46" s="14">
        <v>0</v>
      </c>
      <c r="H46" s="53"/>
    </row>
    <row r="47" spans="1:8" ht="14.1" customHeight="1" x14ac:dyDescent="0.2">
      <c r="A47" s="1"/>
      <c r="B47" s="1"/>
      <c r="C47" s="11"/>
      <c r="D47" s="1"/>
      <c r="E47" s="1"/>
      <c r="F47" s="12"/>
      <c r="G47" s="12"/>
      <c r="H47" s="53"/>
    </row>
    <row r="48" spans="1:8" ht="14.1" customHeight="1" x14ac:dyDescent="0.2">
      <c r="A48" s="1"/>
      <c r="B48" s="1"/>
      <c r="C48" s="2" t="s">
        <v>135</v>
      </c>
      <c r="D48" s="1"/>
      <c r="E48" s="1"/>
      <c r="F48" s="1"/>
      <c r="G48" s="1"/>
      <c r="H48" s="53"/>
    </row>
    <row r="49" spans="1:8" ht="14.1" customHeight="1" x14ac:dyDescent="0.2">
      <c r="A49" s="1"/>
      <c r="B49" s="1"/>
      <c r="C49" s="2" t="s">
        <v>132</v>
      </c>
      <c r="D49" s="1"/>
      <c r="E49" s="1" t="s">
        <v>133</v>
      </c>
      <c r="F49" s="13">
        <v>0</v>
      </c>
      <c r="G49" s="14">
        <v>0</v>
      </c>
      <c r="H49" s="53"/>
    </row>
    <row r="50" spans="1:8" ht="14.1" customHeight="1" x14ac:dyDescent="0.2">
      <c r="A50" s="1"/>
      <c r="B50" s="1"/>
      <c r="C50" s="11"/>
      <c r="D50" s="1"/>
      <c r="E50" s="1"/>
      <c r="F50" s="12"/>
      <c r="G50" s="12"/>
      <c r="H50" s="53"/>
    </row>
    <row r="51" spans="1:8" ht="14.1" customHeight="1" x14ac:dyDescent="0.2">
      <c r="A51" s="1"/>
      <c r="B51" s="1"/>
      <c r="C51" s="2" t="s">
        <v>136</v>
      </c>
      <c r="D51" s="1"/>
      <c r="E51" s="1"/>
      <c r="F51" s="1"/>
      <c r="G51" s="1"/>
      <c r="H51" s="53"/>
    </row>
    <row r="52" spans="1:8" ht="14.1" customHeight="1" x14ac:dyDescent="0.2">
      <c r="A52" s="1"/>
      <c r="B52" s="1"/>
      <c r="C52" s="2" t="s">
        <v>132</v>
      </c>
      <c r="D52" s="1"/>
      <c r="E52" s="1" t="s">
        <v>133</v>
      </c>
      <c r="F52" s="9">
        <v>0</v>
      </c>
      <c r="G52" s="10">
        <v>0</v>
      </c>
      <c r="H52" s="53"/>
    </row>
    <row r="53" spans="1:8" ht="14.1" customHeight="1" x14ac:dyDescent="0.2">
      <c r="A53" s="1"/>
      <c r="B53" s="1"/>
      <c r="C53" s="11"/>
      <c r="D53" s="1"/>
      <c r="E53" s="1"/>
      <c r="F53" s="12"/>
      <c r="G53" s="12"/>
      <c r="H53" s="53"/>
    </row>
    <row r="54" spans="1:8" ht="14.1" customHeight="1" x14ac:dyDescent="0.2">
      <c r="A54" s="1"/>
      <c r="B54" s="1"/>
      <c r="C54" s="2" t="s">
        <v>137</v>
      </c>
      <c r="D54" s="1"/>
      <c r="E54" s="1"/>
      <c r="F54" s="12"/>
      <c r="G54" s="12"/>
      <c r="H54" s="53"/>
    </row>
    <row r="55" spans="1:8" ht="14.1" customHeight="1" x14ac:dyDescent="0.2">
      <c r="A55" s="1"/>
      <c r="B55" s="1"/>
      <c r="C55" s="2" t="s">
        <v>132</v>
      </c>
      <c r="D55" s="1"/>
      <c r="E55" s="1" t="s">
        <v>133</v>
      </c>
      <c r="F55" s="13">
        <v>0</v>
      </c>
      <c r="G55" s="14">
        <v>0</v>
      </c>
      <c r="H55" s="53"/>
    </row>
    <row r="56" spans="1:8" ht="14.1" customHeight="1" x14ac:dyDescent="0.2">
      <c r="A56" s="1"/>
      <c r="B56" s="1"/>
      <c r="C56" s="11"/>
      <c r="D56" s="1"/>
      <c r="E56" s="1"/>
      <c r="F56" s="12"/>
      <c r="G56" s="12"/>
      <c r="H56" s="53"/>
    </row>
    <row r="57" spans="1:8" ht="14.1" customHeight="1" x14ac:dyDescent="0.2">
      <c r="A57" s="1"/>
      <c r="B57" s="1"/>
      <c r="C57" s="2" t="s">
        <v>138</v>
      </c>
      <c r="D57" s="1"/>
      <c r="E57" s="1"/>
      <c r="F57" s="12"/>
      <c r="G57" s="12"/>
      <c r="H57" s="53"/>
    </row>
    <row r="58" spans="1:8" ht="14.1" customHeight="1" x14ac:dyDescent="0.2">
      <c r="A58" s="1"/>
      <c r="B58" s="1"/>
      <c r="C58" s="2" t="s">
        <v>132</v>
      </c>
      <c r="D58" s="1"/>
      <c r="E58" s="1" t="s">
        <v>133</v>
      </c>
      <c r="F58" s="13">
        <v>0</v>
      </c>
      <c r="G58" s="14">
        <v>0</v>
      </c>
      <c r="H58" s="53"/>
    </row>
    <row r="59" spans="1:8" ht="14.1" customHeight="1" x14ac:dyDescent="0.2">
      <c r="A59" s="1"/>
      <c r="B59" s="1"/>
      <c r="C59" s="11"/>
      <c r="D59" s="1"/>
      <c r="E59" s="1"/>
      <c r="F59" s="12"/>
      <c r="G59" s="12"/>
      <c r="H59" s="53"/>
    </row>
    <row r="60" spans="1:8" ht="18" customHeight="1" x14ac:dyDescent="0.2">
      <c r="A60" s="1"/>
      <c r="B60" s="1"/>
      <c r="C60" s="2" t="s">
        <v>139</v>
      </c>
      <c r="D60" s="1"/>
      <c r="E60" s="1"/>
      <c r="F60" s="9">
        <v>1091.7031904999999</v>
      </c>
      <c r="G60" s="10">
        <v>0.96869327500000002</v>
      </c>
      <c r="H60" s="53"/>
    </row>
    <row r="61" spans="1:8" ht="14.1" customHeight="1" x14ac:dyDescent="0.2">
      <c r="A61" s="1"/>
      <c r="B61" s="1"/>
      <c r="C61" s="11"/>
      <c r="D61" s="1"/>
      <c r="E61" s="1"/>
      <c r="F61" s="12"/>
      <c r="G61" s="12"/>
      <c r="H61" s="53"/>
    </row>
    <row r="62" spans="1:8" ht="14.1" customHeight="1" x14ac:dyDescent="0.2">
      <c r="A62" s="1"/>
      <c r="B62" s="1"/>
      <c r="C62" s="2" t="s">
        <v>140</v>
      </c>
      <c r="D62" s="1"/>
      <c r="E62" s="1"/>
      <c r="F62" s="12"/>
      <c r="G62" s="12"/>
      <c r="H62" s="53"/>
    </row>
    <row r="63" spans="1:8" ht="24" customHeight="1" x14ac:dyDescent="0.2">
      <c r="A63" s="1"/>
      <c r="B63" s="1"/>
      <c r="C63" s="2" t="s">
        <v>10</v>
      </c>
      <c r="D63" s="1"/>
      <c r="E63" s="1"/>
      <c r="F63" s="12"/>
      <c r="G63" s="12"/>
      <c r="H63" s="53"/>
    </row>
    <row r="64" spans="1:8" ht="14.1" customHeight="1" x14ac:dyDescent="0.2">
      <c r="A64" s="1"/>
      <c r="B64" s="1"/>
      <c r="C64" s="2" t="s">
        <v>132</v>
      </c>
      <c r="D64" s="1"/>
      <c r="E64" s="1" t="s">
        <v>133</v>
      </c>
      <c r="F64" s="13">
        <v>0</v>
      </c>
      <c r="G64" s="14">
        <v>0</v>
      </c>
      <c r="H64" s="53"/>
    </row>
    <row r="65" spans="1:8" ht="14.1" customHeight="1" x14ac:dyDescent="0.2">
      <c r="A65" s="1"/>
      <c r="B65" s="1"/>
      <c r="C65" s="11"/>
      <c r="D65" s="1"/>
      <c r="E65" s="1"/>
      <c r="F65" s="12"/>
      <c r="G65" s="12"/>
      <c r="H65" s="53"/>
    </row>
    <row r="66" spans="1:8" ht="14.1" customHeight="1" x14ac:dyDescent="0.2">
      <c r="A66" s="1"/>
      <c r="B66" s="1"/>
      <c r="C66" s="2" t="s">
        <v>141</v>
      </c>
      <c r="D66" s="1"/>
      <c r="E66" s="1"/>
      <c r="F66" s="1"/>
      <c r="G66" s="1"/>
      <c r="H66" s="53"/>
    </row>
    <row r="67" spans="1:8" ht="14.1" customHeight="1" x14ac:dyDescent="0.2">
      <c r="A67" s="1"/>
      <c r="B67" s="1"/>
      <c r="C67" s="2" t="s">
        <v>132</v>
      </c>
      <c r="D67" s="1"/>
      <c r="E67" s="1" t="s">
        <v>133</v>
      </c>
      <c r="F67" s="13">
        <v>0</v>
      </c>
      <c r="G67" s="14">
        <v>0</v>
      </c>
      <c r="H67" s="53"/>
    </row>
    <row r="68" spans="1:8" ht="14.1" customHeight="1" x14ac:dyDescent="0.2">
      <c r="A68" s="1"/>
      <c r="B68" s="1"/>
      <c r="C68" s="11"/>
      <c r="D68" s="1"/>
      <c r="E68" s="1"/>
      <c r="F68" s="12"/>
      <c r="G68" s="12"/>
      <c r="H68" s="53"/>
    </row>
    <row r="69" spans="1:8" ht="14.1" customHeight="1" x14ac:dyDescent="0.2">
      <c r="A69" s="1"/>
      <c r="B69" s="1"/>
      <c r="C69" s="2" t="s">
        <v>142</v>
      </c>
      <c r="D69" s="1"/>
      <c r="E69" s="1"/>
      <c r="F69" s="1"/>
      <c r="G69" s="1"/>
      <c r="H69" s="53"/>
    </row>
    <row r="70" spans="1:8" ht="14.1" customHeight="1" x14ac:dyDescent="0.2">
      <c r="A70" s="1"/>
      <c r="B70" s="1"/>
      <c r="C70" s="2" t="s">
        <v>132</v>
      </c>
      <c r="D70" s="1"/>
      <c r="E70" s="1" t="s">
        <v>133</v>
      </c>
      <c r="F70" s="13">
        <v>0</v>
      </c>
      <c r="G70" s="14">
        <v>0</v>
      </c>
      <c r="H70" s="53"/>
    </row>
    <row r="71" spans="1:8" ht="14.1" customHeight="1" x14ac:dyDescent="0.2">
      <c r="A71" s="1"/>
      <c r="B71" s="1"/>
      <c r="C71" s="11"/>
      <c r="D71" s="1"/>
      <c r="E71" s="1"/>
      <c r="F71" s="12"/>
      <c r="G71" s="12"/>
      <c r="H71" s="53"/>
    </row>
    <row r="72" spans="1:8" ht="14.1" customHeight="1" x14ac:dyDescent="0.2">
      <c r="A72" s="1"/>
      <c r="B72" s="1"/>
      <c r="C72" s="2" t="s">
        <v>143</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4.1" customHeight="1" x14ac:dyDescent="0.2">
      <c r="A75" s="1"/>
      <c r="B75" s="1"/>
      <c r="C75" s="2" t="s">
        <v>144</v>
      </c>
      <c r="D75" s="1"/>
      <c r="E75" s="1"/>
      <c r="F75" s="9">
        <v>0</v>
      </c>
      <c r="G75" s="10">
        <v>0</v>
      </c>
      <c r="H75" s="53"/>
    </row>
    <row r="76" spans="1:8" ht="14.1" customHeight="1" x14ac:dyDescent="0.2">
      <c r="A76" s="1"/>
      <c r="B76" s="1"/>
      <c r="C76" s="11"/>
      <c r="D76" s="1"/>
      <c r="E76" s="1"/>
      <c r="F76" s="12"/>
      <c r="G76" s="12"/>
      <c r="H76" s="53"/>
    </row>
    <row r="77" spans="1:8" ht="14.1" customHeight="1" x14ac:dyDescent="0.2">
      <c r="A77" s="1"/>
      <c r="B77" s="1"/>
      <c r="C77" s="2" t="s">
        <v>145</v>
      </c>
      <c r="D77" s="1"/>
      <c r="E77" s="1"/>
      <c r="F77" s="12"/>
      <c r="G77" s="12"/>
      <c r="H77" s="53"/>
    </row>
    <row r="78" spans="1:8" ht="14.1" customHeight="1" x14ac:dyDescent="0.2">
      <c r="A78" s="1"/>
      <c r="B78" s="1"/>
      <c r="C78" s="2" t="s">
        <v>146</v>
      </c>
      <c r="D78" s="1"/>
      <c r="E78" s="1"/>
      <c r="F78" s="12"/>
      <c r="G78" s="12"/>
      <c r="H78" s="53"/>
    </row>
    <row r="79" spans="1:8" ht="14.1" customHeight="1" x14ac:dyDescent="0.2">
      <c r="A79" s="1"/>
      <c r="B79" s="1"/>
      <c r="C79" s="2" t="s">
        <v>132</v>
      </c>
      <c r="D79" s="1"/>
      <c r="E79" s="1" t="s">
        <v>133</v>
      </c>
      <c r="F79" s="13">
        <v>0</v>
      </c>
      <c r="G79" s="14">
        <v>0</v>
      </c>
      <c r="H79" s="53"/>
    </row>
    <row r="80" spans="1:8" ht="14.1" customHeight="1" x14ac:dyDescent="0.2">
      <c r="A80" s="1"/>
      <c r="B80" s="1"/>
      <c r="C80" s="11"/>
      <c r="D80" s="1"/>
      <c r="E80" s="1"/>
      <c r="F80" s="12"/>
      <c r="G80" s="12"/>
      <c r="H80" s="53"/>
    </row>
    <row r="81" spans="1:8" ht="14.1" customHeight="1" x14ac:dyDescent="0.2">
      <c r="A81" s="1"/>
      <c r="B81" s="1"/>
      <c r="C81" s="2" t="s">
        <v>147</v>
      </c>
      <c r="D81" s="1"/>
      <c r="E81" s="1"/>
      <c r="F81" s="12"/>
      <c r="G81" s="12"/>
      <c r="H81" s="53"/>
    </row>
    <row r="82" spans="1:8" ht="14.1" customHeight="1" x14ac:dyDescent="0.2">
      <c r="A82" s="1"/>
      <c r="B82" s="1"/>
      <c r="C82" s="2" t="s">
        <v>132</v>
      </c>
      <c r="D82" s="1"/>
      <c r="E82" s="1" t="s">
        <v>133</v>
      </c>
      <c r="F82" s="13">
        <v>0</v>
      </c>
      <c r="G82" s="14">
        <v>0</v>
      </c>
      <c r="H82" s="53"/>
    </row>
    <row r="83" spans="1:8" ht="14.1" customHeight="1" x14ac:dyDescent="0.2">
      <c r="A83" s="1"/>
      <c r="B83" s="1"/>
      <c r="C83" s="11"/>
      <c r="D83" s="1"/>
      <c r="E83" s="1"/>
      <c r="F83" s="12"/>
      <c r="G83" s="12"/>
      <c r="H83" s="53"/>
    </row>
    <row r="84" spans="1:8" ht="14.1" customHeight="1" x14ac:dyDescent="0.2">
      <c r="A84" s="1"/>
      <c r="B84" s="1"/>
      <c r="C84" s="2" t="s">
        <v>148</v>
      </c>
      <c r="D84" s="1"/>
      <c r="E84" s="1"/>
      <c r="F84" s="12"/>
      <c r="G84" s="12"/>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149</v>
      </c>
      <c r="D87" s="1"/>
      <c r="E87" s="1"/>
      <c r="F87" s="12"/>
      <c r="G87" s="12"/>
      <c r="H87" s="53"/>
    </row>
    <row r="88" spans="1:8" ht="17.100000000000001" customHeight="1" x14ac:dyDescent="0.2">
      <c r="A88" s="3">
        <v>1</v>
      </c>
      <c r="B88" s="4"/>
      <c r="C88" s="4" t="s">
        <v>150</v>
      </c>
      <c r="D88" s="4"/>
      <c r="E88" s="8"/>
      <c r="F88" s="6">
        <v>33.624537400000001</v>
      </c>
      <c r="G88" s="7">
        <v>2.9835823000000001E-2</v>
      </c>
      <c r="H88" s="53">
        <v>6.46</v>
      </c>
    </row>
    <row r="89" spans="1:8" ht="14.1" customHeight="1" x14ac:dyDescent="0.2">
      <c r="A89" s="1"/>
      <c r="B89" s="1"/>
      <c r="C89" s="2" t="s">
        <v>132</v>
      </c>
      <c r="D89" s="1"/>
      <c r="E89" s="1" t="s">
        <v>133</v>
      </c>
      <c r="F89" s="9">
        <v>33.624537400000001</v>
      </c>
      <c r="G89" s="10">
        <v>2.9835823000000001E-2</v>
      </c>
      <c r="H89" s="53"/>
    </row>
    <row r="90" spans="1:8" ht="14.1" customHeight="1" x14ac:dyDescent="0.2">
      <c r="A90" s="1"/>
      <c r="B90" s="1"/>
      <c r="C90" s="11"/>
      <c r="D90" s="1"/>
      <c r="E90" s="1"/>
      <c r="F90" s="12"/>
      <c r="G90" s="12"/>
      <c r="H90" s="53"/>
    </row>
    <row r="91" spans="1:8" ht="14.1" customHeight="1" x14ac:dyDescent="0.2">
      <c r="A91" s="1"/>
      <c r="B91" s="1"/>
      <c r="C91" s="2" t="s">
        <v>151</v>
      </c>
      <c r="D91" s="1"/>
      <c r="E91" s="1"/>
      <c r="F91" s="9">
        <v>33.624537400000001</v>
      </c>
      <c r="G91" s="10">
        <v>2.9835823000000001E-2</v>
      </c>
      <c r="H91" s="53"/>
    </row>
    <row r="92" spans="1:8" ht="14.1" customHeight="1" x14ac:dyDescent="0.2">
      <c r="A92" s="1"/>
      <c r="B92" s="1"/>
      <c r="C92" s="12"/>
      <c r="D92" s="1"/>
      <c r="E92" s="1"/>
      <c r="F92" s="1"/>
      <c r="G92" s="1"/>
      <c r="H92" s="53"/>
    </row>
    <row r="93" spans="1:8" ht="14.1" customHeight="1" x14ac:dyDescent="0.2">
      <c r="A93" s="1"/>
      <c r="B93" s="1"/>
      <c r="C93" s="2" t="s">
        <v>152</v>
      </c>
      <c r="D93" s="1"/>
      <c r="E93" s="1"/>
      <c r="F93" s="1"/>
      <c r="G93" s="1"/>
      <c r="H93" s="53"/>
    </row>
    <row r="94" spans="1:8" ht="14.1" customHeight="1" x14ac:dyDescent="0.2">
      <c r="A94" s="1"/>
      <c r="B94" s="1"/>
      <c r="C94" s="2" t="s">
        <v>153</v>
      </c>
      <c r="D94" s="1"/>
      <c r="E94" s="1"/>
      <c r="F94" s="1"/>
      <c r="G94" s="1"/>
      <c r="H94" s="53"/>
    </row>
    <row r="95" spans="1:8" ht="14.1" customHeight="1" x14ac:dyDescent="0.2">
      <c r="A95" s="1"/>
      <c r="B95" s="1"/>
      <c r="C95" s="2" t="s">
        <v>132</v>
      </c>
      <c r="D95" s="1"/>
      <c r="E95" s="1" t="s">
        <v>133</v>
      </c>
      <c r="F95" s="13">
        <v>0</v>
      </c>
      <c r="G95" s="14">
        <v>0</v>
      </c>
      <c r="H95" s="53"/>
    </row>
    <row r="96" spans="1:8" ht="14.1" customHeight="1" x14ac:dyDescent="0.2">
      <c r="A96" s="1"/>
      <c r="B96" s="1"/>
      <c r="C96" s="11"/>
      <c r="D96" s="1"/>
      <c r="E96" s="1"/>
      <c r="F96" s="12"/>
      <c r="G96" s="12"/>
      <c r="H96" s="53"/>
    </row>
    <row r="97" spans="1:8" ht="14.1" customHeight="1" x14ac:dyDescent="0.2">
      <c r="A97" s="1"/>
      <c r="B97" s="1"/>
      <c r="C97" s="2" t="s">
        <v>154</v>
      </c>
      <c r="D97" s="1"/>
      <c r="E97" s="1"/>
      <c r="F97" s="1"/>
      <c r="G97" s="1"/>
      <c r="H97" s="53"/>
    </row>
    <row r="98" spans="1:8" ht="14.1" customHeight="1" x14ac:dyDescent="0.2">
      <c r="A98" s="1"/>
      <c r="B98" s="1"/>
      <c r="C98" s="2" t="s">
        <v>155</v>
      </c>
      <c r="D98" s="1"/>
      <c r="E98" s="1"/>
      <c r="F98" s="1"/>
      <c r="G98" s="1"/>
      <c r="H98" s="53"/>
    </row>
    <row r="99" spans="1:8" ht="14.1" customHeight="1" x14ac:dyDescent="0.2">
      <c r="A99" s="1"/>
      <c r="B99" s="1"/>
      <c r="C99" s="2" t="s">
        <v>132</v>
      </c>
      <c r="D99" s="1"/>
      <c r="E99" s="1" t="s">
        <v>133</v>
      </c>
      <c r="F99" s="13">
        <v>0</v>
      </c>
      <c r="G99" s="14">
        <v>0</v>
      </c>
      <c r="H99" s="53"/>
    </row>
    <row r="100" spans="1:8" ht="14.1" customHeight="1" x14ac:dyDescent="0.2">
      <c r="A100" s="1"/>
      <c r="B100" s="1"/>
      <c r="C100" s="11"/>
      <c r="D100" s="1"/>
      <c r="E100" s="1"/>
      <c r="F100" s="12"/>
      <c r="G100" s="12"/>
      <c r="H100" s="53"/>
    </row>
    <row r="101" spans="1:8" ht="14.1" customHeight="1" x14ac:dyDescent="0.2">
      <c r="A101" s="1"/>
      <c r="B101" s="1"/>
      <c r="C101" s="11"/>
      <c r="D101" s="1"/>
      <c r="E101" s="1"/>
      <c r="F101" s="12"/>
      <c r="G101" s="12"/>
      <c r="H101" s="53"/>
    </row>
    <row r="102" spans="1:8" ht="24" customHeight="1" x14ac:dyDescent="0.2">
      <c r="A102" s="1"/>
      <c r="B102" s="1"/>
      <c r="C102" s="2" t="s">
        <v>156</v>
      </c>
      <c r="D102" s="1"/>
      <c r="E102" s="1"/>
      <c r="F102" s="12"/>
      <c r="G102" s="12"/>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4"/>
      <c r="C105" s="4"/>
      <c r="D105" s="2"/>
      <c r="E105" s="1"/>
      <c r="F105" s="4"/>
      <c r="G105" s="8"/>
      <c r="H105" s="53"/>
    </row>
    <row r="106" spans="1:8" ht="18" customHeight="1" x14ac:dyDescent="0.2">
      <c r="A106" s="8"/>
      <c r="B106" s="4"/>
      <c r="C106" s="4" t="s">
        <v>157</v>
      </c>
      <c r="D106" s="4"/>
      <c r="E106" s="8"/>
      <c r="F106" s="6">
        <v>1.657683</v>
      </c>
      <c r="G106" s="7">
        <v>1.4709E-3</v>
      </c>
      <c r="H106" s="53"/>
    </row>
    <row r="107" spans="1:8" ht="14.1" customHeight="1" x14ac:dyDescent="0.2">
      <c r="A107" s="11"/>
      <c r="B107" s="11"/>
      <c r="C107" s="2" t="s">
        <v>158</v>
      </c>
      <c r="D107" s="15"/>
      <c r="E107" s="15"/>
      <c r="F107" s="9">
        <v>1126.9854109</v>
      </c>
      <c r="G107" s="10">
        <v>0.99999999799999995</v>
      </c>
      <c r="H107" s="53"/>
    </row>
    <row r="108" spans="1:8" ht="14.1" customHeight="1" x14ac:dyDescent="0.2">
      <c r="A108" s="16"/>
      <c r="B108" s="16"/>
      <c r="C108" s="16"/>
      <c r="D108" s="17"/>
      <c r="E108" s="17"/>
      <c r="F108" s="17"/>
      <c r="G108" s="17"/>
    </row>
    <row r="109" spans="1:8" ht="14.1" customHeight="1" x14ac:dyDescent="0.2">
      <c r="A109" s="18"/>
      <c r="B109" s="292" t="s">
        <v>133</v>
      </c>
      <c r="C109" s="292"/>
      <c r="D109" s="292"/>
      <c r="E109" s="292"/>
      <c r="F109" s="292"/>
      <c r="G109" s="20"/>
    </row>
    <row r="110" spans="1:8" ht="14.1" customHeight="1" x14ac:dyDescent="0.2">
      <c r="A110" s="18"/>
      <c r="B110" s="292" t="s">
        <v>133</v>
      </c>
      <c r="C110" s="292"/>
      <c r="D110" s="292"/>
      <c r="E110" s="292"/>
      <c r="F110" s="292"/>
      <c r="G110" s="20"/>
    </row>
    <row r="111" spans="1:8" ht="14.1" customHeight="1" x14ac:dyDescent="0.2">
      <c r="A111" s="18"/>
      <c r="B111" s="18"/>
      <c r="C111" s="18"/>
      <c r="D111" s="20"/>
      <c r="E111" s="20"/>
      <c r="F111" s="20"/>
      <c r="G111" s="20"/>
    </row>
    <row r="112" spans="1:8" ht="14.1" customHeight="1" x14ac:dyDescent="0.2">
      <c r="A112" s="18"/>
      <c r="B112" s="293" t="s">
        <v>160</v>
      </c>
      <c r="C112" s="294"/>
      <c r="D112" s="12" t="s">
        <v>133</v>
      </c>
      <c r="E112" s="21"/>
      <c r="F112" s="20"/>
      <c r="G112" s="20"/>
    </row>
    <row r="113" spans="1:14" ht="29.1" customHeight="1" x14ac:dyDescent="0.2">
      <c r="A113" s="18"/>
      <c r="B113" s="290" t="s">
        <v>161</v>
      </c>
      <c r="C113" s="291"/>
      <c r="D113" s="2" t="s">
        <v>162</v>
      </c>
      <c r="E113" s="21"/>
      <c r="F113" s="20"/>
      <c r="G113" s="20"/>
    </row>
    <row r="114" spans="1:14" ht="17.100000000000001" customHeight="1" x14ac:dyDescent="0.2">
      <c r="A114" s="18"/>
      <c r="B114" s="290" t="s">
        <v>163</v>
      </c>
      <c r="C114" s="291"/>
      <c r="D114" s="2" t="s">
        <v>162</v>
      </c>
      <c r="E114" s="21"/>
      <c r="F114" s="20"/>
      <c r="G114" s="20"/>
    </row>
    <row r="115" spans="1:14" ht="17.100000000000001" customHeight="1" x14ac:dyDescent="0.2">
      <c r="A115" s="18"/>
      <c r="B115" s="290" t="s">
        <v>164</v>
      </c>
      <c r="C115" s="291"/>
      <c r="D115" s="12" t="s">
        <v>133</v>
      </c>
      <c r="E115" s="21"/>
      <c r="F115" s="20"/>
      <c r="G115" s="20"/>
    </row>
    <row r="116" spans="1:14" ht="24" customHeight="1" x14ac:dyDescent="0.2">
      <c r="A116" s="22"/>
      <c r="B116" s="23" t="s">
        <v>133</v>
      </c>
      <c r="C116" s="23" t="s">
        <v>165</v>
      </c>
      <c r="D116" s="23" t="s">
        <v>166</v>
      </c>
      <c r="E116" s="22"/>
      <c r="F116" s="22"/>
      <c r="G116" s="22"/>
    </row>
    <row r="117" spans="1:14" ht="18" customHeight="1" x14ac:dyDescent="0.2">
      <c r="A117" s="22"/>
      <c r="B117" s="23" t="s">
        <v>167</v>
      </c>
      <c r="C117" s="23" t="s">
        <v>168</v>
      </c>
      <c r="D117" s="23" t="s">
        <v>169</v>
      </c>
      <c r="E117" s="22"/>
      <c r="F117" s="22"/>
      <c r="G117" s="22"/>
    </row>
    <row r="118" spans="1:14" ht="17.100000000000001" customHeight="1" x14ac:dyDescent="0.2">
      <c r="A118" s="22"/>
      <c r="B118" s="4" t="s">
        <v>170</v>
      </c>
      <c r="C118" s="24">
        <v>26.5565</v>
      </c>
      <c r="D118" s="24">
        <v>25.7911</v>
      </c>
      <c r="E118" s="22"/>
      <c r="F118" s="19"/>
      <c r="G118" s="25"/>
    </row>
    <row r="119" spans="1:14" ht="17.100000000000001" customHeight="1" x14ac:dyDescent="0.2">
      <c r="A119" s="22"/>
      <c r="B119" s="4" t="s">
        <v>1042</v>
      </c>
      <c r="C119" s="24">
        <v>21.516999999999999</v>
      </c>
      <c r="D119" s="24">
        <v>20.896899999999999</v>
      </c>
      <c r="E119" s="22"/>
      <c r="F119" s="19"/>
      <c r="G119" s="25"/>
    </row>
    <row r="120" spans="1:14" ht="17.100000000000001" customHeight="1" x14ac:dyDescent="0.2">
      <c r="A120" s="22"/>
      <c r="B120" s="4" t="s">
        <v>171</v>
      </c>
      <c r="C120" s="24">
        <v>25.908300000000001</v>
      </c>
      <c r="D120" s="24">
        <v>25.157800000000002</v>
      </c>
      <c r="E120" s="22"/>
      <c r="F120" s="19"/>
      <c r="G120" s="25"/>
    </row>
    <row r="121" spans="1:14" ht="17.100000000000001" customHeight="1" x14ac:dyDescent="0.2">
      <c r="A121" s="22"/>
      <c r="B121" s="4" t="s">
        <v>1043</v>
      </c>
      <c r="C121" s="24">
        <v>20.911300000000001</v>
      </c>
      <c r="D121" s="24">
        <v>20.305599999999998</v>
      </c>
      <c r="E121" s="22"/>
      <c r="F121" s="19"/>
      <c r="G121" s="25"/>
    </row>
    <row r="122" spans="1:14" ht="14.1" customHeight="1" x14ac:dyDescent="0.2">
      <c r="A122" s="22"/>
      <c r="B122" s="22"/>
      <c r="C122" s="22"/>
      <c r="D122" s="22"/>
      <c r="E122" s="22"/>
      <c r="F122" s="22"/>
      <c r="G122" s="22"/>
    </row>
    <row r="123" spans="1:14" ht="17.100000000000001" customHeight="1" x14ac:dyDescent="0.2">
      <c r="A123" s="22"/>
      <c r="B123" s="290" t="s">
        <v>1044</v>
      </c>
      <c r="C123" s="291"/>
      <c r="D123" s="2" t="s">
        <v>162</v>
      </c>
      <c r="E123" s="22"/>
      <c r="F123" s="22"/>
      <c r="G123" s="22"/>
    </row>
    <row r="124" spans="1:14" ht="18" customHeight="1" x14ac:dyDescent="0.2">
      <c r="A124" s="22"/>
      <c r="B124" s="26"/>
      <c r="C124" s="26"/>
      <c r="D124" s="27"/>
      <c r="E124" s="22"/>
      <c r="F124" s="22"/>
      <c r="G124" s="22"/>
    </row>
    <row r="125" spans="1:14" ht="29.1" customHeight="1" x14ac:dyDescent="0.2">
      <c r="A125" s="22"/>
      <c r="B125" s="290" t="s">
        <v>172</v>
      </c>
      <c r="C125" s="291"/>
      <c r="D125" s="2" t="s">
        <v>162</v>
      </c>
      <c r="E125" s="22"/>
      <c r="F125" s="22"/>
      <c r="G125" s="22"/>
    </row>
    <row r="126" spans="1:14" ht="29.1" customHeight="1" x14ac:dyDescent="0.2">
      <c r="A126" s="22"/>
      <c r="B126" s="290" t="s">
        <v>173</v>
      </c>
      <c r="C126" s="291"/>
      <c r="D126" s="2" t="s">
        <v>162</v>
      </c>
      <c r="E126" s="22"/>
      <c r="F126" s="22"/>
      <c r="G126" s="22"/>
    </row>
    <row r="127" spans="1:14" ht="17.100000000000001" customHeight="1" x14ac:dyDescent="0.2">
      <c r="A127" s="22"/>
      <c r="B127" s="290" t="s">
        <v>174</v>
      </c>
      <c r="C127" s="291"/>
      <c r="D127" s="28">
        <v>4.5137642808759246E-2</v>
      </c>
      <c r="E127" s="22"/>
      <c r="F127" s="19"/>
      <c r="G127" s="25"/>
      <c r="J127" s="189"/>
      <c r="K127" s="189"/>
      <c r="L127" s="189"/>
      <c r="M127" s="189"/>
      <c r="N127" s="189"/>
    </row>
    <row r="128" spans="1:14" ht="17.100000000000001" customHeight="1" x14ac:dyDescent="0.2">
      <c r="A128" s="22"/>
      <c r="B128" s="290" t="s">
        <v>175</v>
      </c>
      <c r="C128" s="291"/>
      <c r="D128" s="2" t="s">
        <v>162</v>
      </c>
      <c r="E128" s="22"/>
      <c r="F128" s="22"/>
      <c r="G128" s="22"/>
    </row>
  </sheetData>
  <mergeCells count="15">
    <mergeCell ref="B127:C127"/>
    <mergeCell ref="B128:C128"/>
    <mergeCell ref="B113:C113"/>
    <mergeCell ref="B114:C114"/>
    <mergeCell ref="B115:C115"/>
    <mergeCell ref="B123:C123"/>
    <mergeCell ref="B125:C125"/>
    <mergeCell ref="B126:C126"/>
    <mergeCell ref="A1:H1"/>
    <mergeCell ref="A2:H2"/>
    <mergeCell ref="A3:H3"/>
    <mergeCell ref="J2:N2"/>
    <mergeCell ref="B112:C112"/>
    <mergeCell ref="B109:F109"/>
    <mergeCell ref="B110:F110"/>
  </mergeCells>
  <hyperlinks>
    <hyperlink ref="I1" location="Index!B17" display="Index" xr:uid="{AB57B4A0-066F-48C6-A2D6-810183A6BBA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5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488</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438</v>
      </c>
      <c r="C7" s="4" t="s">
        <v>439</v>
      </c>
      <c r="D7" s="4" t="s">
        <v>900</v>
      </c>
      <c r="E7" s="5">
        <v>37699</v>
      </c>
      <c r="F7" s="6">
        <v>265.49520749999999</v>
      </c>
      <c r="G7" s="7">
        <v>4.0610691999999997E-2</v>
      </c>
      <c r="H7" s="53"/>
    </row>
    <row r="8" spans="1:14" ht="17.100000000000001" customHeight="1" x14ac:dyDescent="0.2">
      <c r="A8" s="3">
        <v>2</v>
      </c>
      <c r="B8" s="4" t="s">
        <v>374</v>
      </c>
      <c r="C8" s="4" t="s">
        <v>375</v>
      </c>
      <c r="D8" s="4" t="s">
        <v>119</v>
      </c>
      <c r="E8" s="5">
        <v>192978</v>
      </c>
      <c r="F8" s="6">
        <v>241.89792299999999</v>
      </c>
      <c r="G8" s="7">
        <v>3.7001203000000003E-2</v>
      </c>
      <c r="H8" s="53"/>
    </row>
    <row r="9" spans="1:14" ht="17.100000000000001" customHeight="1" x14ac:dyDescent="0.2">
      <c r="A9" s="3">
        <v>3</v>
      </c>
      <c r="B9" s="4" t="s">
        <v>31</v>
      </c>
      <c r="C9" s="4" t="s">
        <v>32</v>
      </c>
      <c r="D9" s="4" t="s">
        <v>33</v>
      </c>
      <c r="E9" s="5">
        <v>12434</v>
      </c>
      <c r="F9" s="6">
        <v>240.44869199999999</v>
      </c>
      <c r="G9" s="7">
        <v>3.6779526E-2</v>
      </c>
      <c r="H9" s="53"/>
    </row>
    <row r="10" spans="1:14" ht="17.100000000000001" customHeight="1" x14ac:dyDescent="0.2">
      <c r="A10" s="3">
        <v>4</v>
      </c>
      <c r="B10" s="4" t="s">
        <v>83</v>
      </c>
      <c r="C10" s="4" t="s">
        <v>84</v>
      </c>
      <c r="D10" s="4" t="s">
        <v>33</v>
      </c>
      <c r="E10" s="5">
        <v>15897</v>
      </c>
      <c r="F10" s="6">
        <v>232.84335899999999</v>
      </c>
      <c r="G10" s="7">
        <v>3.5616198000000002E-2</v>
      </c>
      <c r="H10" s="53"/>
    </row>
    <row r="11" spans="1:14" ht="17.100000000000001" customHeight="1" x14ac:dyDescent="0.2">
      <c r="A11" s="3">
        <v>5</v>
      </c>
      <c r="B11" s="4" t="s">
        <v>114</v>
      </c>
      <c r="C11" s="4" t="s">
        <v>115</v>
      </c>
      <c r="D11" s="4" t="s">
        <v>116</v>
      </c>
      <c r="E11" s="5">
        <v>65253</v>
      </c>
      <c r="F11" s="6">
        <v>220.13099550000001</v>
      </c>
      <c r="G11" s="7">
        <v>3.3671688999999998E-2</v>
      </c>
      <c r="H11" s="53"/>
    </row>
    <row r="12" spans="1:14" ht="17.100000000000001" customHeight="1" x14ac:dyDescent="0.2">
      <c r="A12" s="3">
        <v>6</v>
      </c>
      <c r="B12" s="4" t="s">
        <v>318</v>
      </c>
      <c r="C12" s="4" t="s">
        <v>319</v>
      </c>
      <c r="D12" s="4" t="s">
        <v>320</v>
      </c>
      <c r="E12" s="5">
        <v>16028</v>
      </c>
      <c r="F12" s="6">
        <v>210.183178</v>
      </c>
      <c r="G12" s="7">
        <v>3.2150049999999999E-2</v>
      </c>
      <c r="H12" s="53"/>
    </row>
    <row r="13" spans="1:14" ht="17.100000000000001" customHeight="1" x14ac:dyDescent="0.2">
      <c r="A13" s="3">
        <v>7</v>
      </c>
      <c r="B13" s="4" t="s">
        <v>436</v>
      </c>
      <c r="C13" s="4" t="s">
        <v>437</v>
      </c>
      <c r="D13" s="4" t="s">
        <v>237</v>
      </c>
      <c r="E13" s="5">
        <v>72529</v>
      </c>
      <c r="F13" s="6">
        <v>208.4846105</v>
      </c>
      <c r="G13" s="7">
        <v>3.1890234000000003E-2</v>
      </c>
      <c r="H13" s="53"/>
      <c r="J13" s="188" t="s">
        <v>1083</v>
      </c>
    </row>
    <row r="14" spans="1:14" ht="29.1" customHeight="1" x14ac:dyDescent="0.2">
      <c r="A14" s="3">
        <v>8</v>
      </c>
      <c r="B14" s="4" t="s">
        <v>197</v>
      </c>
      <c r="C14" s="4" t="s">
        <v>198</v>
      </c>
      <c r="D14" s="4" t="s">
        <v>199</v>
      </c>
      <c r="E14" s="5">
        <v>4936</v>
      </c>
      <c r="F14" s="6">
        <v>200.85818</v>
      </c>
      <c r="G14" s="7">
        <v>3.072368E-2</v>
      </c>
      <c r="H14" s="53"/>
    </row>
    <row r="15" spans="1:14" ht="17.100000000000001" customHeight="1" x14ac:dyDescent="0.2">
      <c r="A15" s="3">
        <v>9</v>
      </c>
      <c r="B15" s="4" t="s">
        <v>363</v>
      </c>
      <c r="C15" s="4" t="s">
        <v>364</v>
      </c>
      <c r="D15" s="4" t="s">
        <v>116</v>
      </c>
      <c r="E15" s="5">
        <v>37592</v>
      </c>
      <c r="F15" s="6">
        <v>193.41084000000001</v>
      </c>
      <c r="G15" s="7">
        <v>2.9584519E-2</v>
      </c>
      <c r="H15" s="53"/>
    </row>
    <row r="16" spans="1:14" ht="17.100000000000001" customHeight="1" x14ac:dyDescent="0.2">
      <c r="A16" s="3">
        <v>10</v>
      </c>
      <c r="B16" s="4" t="s">
        <v>94</v>
      </c>
      <c r="C16" s="4" t="s">
        <v>95</v>
      </c>
      <c r="D16" s="4" t="s">
        <v>96</v>
      </c>
      <c r="E16" s="5">
        <v>40332</v>
      </c>
      <c r="F16" s="6">
        <v>187.56396599999999</v>
      </c>
      <c r="G16" s="7">
        <v>2.8690169000000001E-2</v>
      </c>
      <c r="H16" s="53"/>
    </row>
    <row r="17" spans="1:8" ht="17.100000000000001" customHeight="1" x14ac:dyDescent="0.2">
      <c r="A17" s="3">
        <v>11</v>
      </c>
      <c r="B17" s="4" t="s">
        <v>381</v>
      </c>
      <c r="C17" s="4" t="s">
        <v>382</v>
      </c>
      <c r="D17" s="4" t="s">
        <v>116</v>
      </c>
      <c r="E17" s="5">
        <v>11132</v>
      </c>
      <c r="F17" s="6">
        <v>187.318164</v>
      </c>
      <c r="G17" s="7">
        <v>2.8652571000000002E-2</v>
      </c>
      <c r="H17" s="53"/>
    </row>
    <row r="18" spans="1:8" ht="17.100000000000001" customHeight="1" x14ac:dyDescent="0.2">
      <c r="A18" s="3">
        <v>12</v>
      </c>
      <c r="B18" s="4" t="s">
        <v>301</v>
      </c>
      <c r="C18" s="4" t="s">
        <v>302</v>
      </c>
      <c r="D18" s="4" t="s">
        <v>234</v>
      </c>
      <c r="E18" s="5">
        <v>36966</v>
      </c>
      <c r="F18" s="6">
        <v>184.68213600000001</v>
      </c>
      <c r="G18" s="7">
        <v>2.8249359000000002E-2</v>
      </c>
      <c r="H18" s="53"/>
    </row>
    <row r="19" spans="1:8" ht="17.100000000000001" customHeight="1" x14ac:dyDescent="0.2">
      <c r="A19" s="3">
        <v>13</v>
      </c>
      <c r="B19" s="4" t="s">
        <v>36</v>
      </c>
      <c r="C19" s="4" t="s">
        <v>37</v>
      </c>
      <c r="D19" s="4" t="s">
        <v>33</v>
      </c>
      <c r="E19" s="5">
        <v>10116</v>
      </c>
      <c r="F19" s="6">
        <v>180.434034</v>
      </c>
      <c r="G19" s="7">
        <v>2.7599559999999999E-2</v>
      </c>
      <c r="H19" s="53"/>
    </row>
    <row r="20" spans="1:8" ht="17.100000000000001" customHeight="1" x14ac:dyDescent="0.2">
      <c r="A20" s="3">
        <v>14</v>
      </c>
      <c r="B20" s="4" t="s">
        <v>448</v>
      </c>
      <c r="C20" s="4" t="s">
        <v>449</v>
      </c>
      <c r="D20" s="4" t="s">
        <v>13</v>
      </c>
      <c r="E20" s="5">
        <v>31964</v>
      </c>
      <c r="F20" s="6">
        <v>178.64679599999999</v>
      </c>
      <c r="G20" s="7">
        <v>2.7326181000000001E-2</v>
      </c>
      <c r="H20" s="53"/>
    </row>
    <row r="21" spans="1:8" ht="17.100000000000001" customHeight="1" x14ac:dyDescent="0.2">
      <c r="A21" s="3">
        <v>15</v>
      </c>
      <c r="B21" s="4" t="s">
        <v>312</v>
      </c>
      <c r="C21" s="4" t="s">
        <v>313</v>
      </c>
      <c r="D21" s="4" t="s">
        <v>224</v>
      </c>
      <c r="E21" s="5">
        <v>12562</v>
      </c>
      <c r="F21" s="6">
        <v>167.991626</v>
      </c>
      <c r="G21" s="7">
        <v>2.5696343999999999E-2</v>
      </c>
      <c r="H21" s="53"/>
    </row>
    <row r="22" spans="1:8" ht="29.1" customHeight="1" x14ac:dyDescent="0.2">
      <c r="A22" s="3">
        <v>16</v>
      </c>
      <c r="B22" s="4" t="s">
        <v>68</v>
      </c>
      <c r="C22" s="4" t="s">
        <v>69</v>
      </c>
      <c r="D22" s="4" t="s">
        <v>25</v>
      </c>
      <c r="E22" s="5">
        <v>5414</v>
      </c>
      <c r="F22" s="6">
        <v>158.121284</v>
      </c>
      <c r="G22" s="7">
        <v>2.4186556000000001E-2</v>
      </c>
      <c r="H22" s="53"/>
    </row>
    <row r="23" spans="1:8" ht="17.100000000000001" customHeight="1" x14ac:dyDescent="0.2">
      <c r="A23" s="3">
        <v>17</v>
      </c>
      <c r="B23" s="4" t="s">
        <v>420</v>
      </c>
      <c r="C23" s="4" t="s">
        <v>421</v>
      </c>
      <c r="D23" s="4" t="s">
        <v>224</v>
      </c>
      <c r="E23" s="5">
        <v>18794</v>
      </c>
      <c r="F23" s="6">
        <v>148.397424</v>
      </c>
      <c r="G23" s="7">
        <v>2.2699174999999999E-2</v>
      </c>
      <c r="H23" s="53"/>
    </row>
    <row r="24" spans="1:8" ht="29.1" customHeight="1" x14ac:dyDescent="0.2">
      <c r="A24" s="3">
        <v>18</v>
      </c>
      <c r="B24" s="4" t="s">
        <v>407</v>
      </c>
      <c r="C24" s="4" t="s">
        <v>408</v>
      </c>
      <c r="D24" s="4" t="s">
        <v>51</v>
      </c>
      <c r="E24" s="5">
        <v>6607</v>
      </c>
      <c r="F24" s="6">
        <v>147.27994050000001</v>
      </c>
      <c r="G24" s="7">
        <v>2.2528242E-2</v>
      </c>
      <c r="H24" s="53"/>
    </row>
    <row r="25" spans="1:8" ht="29.1" customHeight="1" x14ac:dyDescent="0.2">
      <c r="A25" s="3">
        <v>19</v>
      </c>
      <c r="B25" s="4" t="s">
        <v>401</v>
      </c>
      <c r="C25" s="4" t="s">
        <v>402</v>
      </c>
      <c r="D25" s="4" t="s">
        <v>227</v>
      </c>
      <c r="E25" s="5">
        <v>36034</v>
      </c>
      <c r="F25" s="6">
        <v>146.53226100000001</v>
      </c>
      <c r="G25" s="7">
        <v>2.2413875999999999E-2</v>
      </c>
      <c r="H25" s="53"/>
    </row>
    <row r="26" spans="1:8" ht="17.100000000000001" customHeight="1" x14ac:dyDescent="0.2">
      <c r="A26" s="3">
        <v>20</v>
      </c>
      <c r="B26" s="4" t="s">
        <v>365</v>
      </c>
      <c r="C26" s="4" t="s">
        <v>366</v>
      </c>
      <c r="D26" s="4" t="s">
        <v>119</v>
      </c>
      <c r="E26" s="5">
        <v>26340</v>
      </c>
      <c r="F26" s="6">
        <v>140.93217000000001</v>
      </c>
      <c r="G26" s="7">
        <v>2.1557274000000001E-2</v>
      </c>
      <c r="H26" s="53"/>
    </row>
    <row r="27" spans="1:8" ht="17.100000000000001" customHeight="1" x14ac:dyDescent="0.2">
      <c r="A27" s="3">
        <v>21</v>
      </c>
      <c r="B27" s="4" t="s">
        <v>422</v>
      </c>
      <c r="C27" s="4" t="s">
        <v>423</v>
      </c>
      <c r="D27" s="4" t="s">
        <v>265</v>
      </c>
      <c r="E27" s="5">
        <v>38459</v>
      </c>
      <c r="F27" s="6">
        <v>137.95243300000001</v>
      </c>
      <c r="G27" s="7">
        <v>2.1101486999999999E-2</v>
      </c>
      <c r="H27" s="53"/>
    </row>
    <row r="28" spans="1:8" ht="17.100000000000001" customHeight="1" x14ac:dyDescent="0.2">
      <c r="A28" s="3">
        <v>22</v>
      </c>
      <c r="B28" s="4" t="s">
        <v>468</v>
      </c>
      <c r="C28" s="4" t="s">
        <v>469</v>
      </c>
      <c r="D28" s="4" t="s">
        <v>224</v>
      </c>
      <c r="E28" s="5">
        <v>65797</v>
      </c>
      <c r="F28" s="6">
        <v>135.08124100000001</v>
      </c>
      <c r="G28" s="7">
        <v>2.0662303999999999E-2</v>
      </c>
      <c r="H28" s="53"/>
    </row>
    <row r="29" spans="1:8" ht="17.100000000000001" customHeight="1" x14ac:dyDescent="0.2">
      <c r="A29" s="3">
        <v>23</v>
      </c>
      <c r="B29" s="4" t="s">
        <v>405</v>
      </c>
      <c r="C29" s="4" t="s">
        <v>406</v>
      </c>
      <c r="D29" s="4" t="s">
        <v>320</v>
      </c>
      <c r="E29" s="5">
        <v>8551</v>
      </c>
      <c r="F29" s="6">
        <v>132.899642</v>
      </c>
      <c r="G29" s="7">
        <v>2.0328602000000001E-2</v>
      </c>
      <c r="H29" s="53"/>
    </row>
    <row r="30" spans="1:8" ht="29.1" customHeight="1" x14ac:dyDescent="0.2">
      <c r="A30" s="3">
        <v>24</v>
      </c>
      <c r="B30" s="4" t="s">
        <v>409</v>
      </c>
      <c r="C30" s="4" t="s">
        <v>410</v>
      </c>
      <c r="D30" s="4" t="s">
        <v>411</v>
      </c>
      <c r="E30" s="5">
        <v>96813</v>
      </c>
      <c r="F30" s="6">
        <v>120.9678435</v>
      </c>
      <c r="G30" s="7">
        <v>1.8503490000000001E-2</v>
      </c>
      <c r="H30" s="53"/>
    </row>
    <row r="31" spans="1:8" ht="17.100000000000001" customHeight="1" x14ac:dyDescent="0.2">
      <c r="A31" s="3">
        <v>25</v>
      </c>
      <c r="B31" s="4" t="s">
        <v>389</v>
      </c>
      <c r="C31" s="4" t="s">
        <v>390</v>
      </c>
      <c r="D31" s="4" t="s">
        <v>119</v>
      </c>
      <c r="E31" s="5">
        <v>15340</v>
      </c>
      <c r="F31" s="6">
        <v>112.23511000000001</v>
      </c>
      <c r="G31" s="7">
        <v>1.7167713000000001E-2</v>
      </c>
      <c r="H31" s="53"/>
    </row>
    <row r="32" spans="1:8" ht="29.1" customHeight="1" x14ac:dyDescent="0.2">
      <c r="A32" s="3">
        <v>26</v>
      </c>
      <c r="B32" s="4" t="s">
        <v>428</v>
      </c>
      <c r="C32" s="4" t="s">
        <v>429</v>
      </c>
      <c r="D32" s="4" t="s">
        <v>430</v>
      </c>
      <c r="E32" s="5">
        <v>18954</v>
      </c>
      <c r="F32" s="6">
        <v>107.762967</v>
      </c>
      <c r="G32" s="7">
        <v>1.6483645000000002E-2</v>
      </c>
      <c r="H32" s="53"/>
    </row>
    <row r="33" spans="1:8" ht="29.1" customHeight="1" x14ac:dyDescent="0.2">
      <c r="A33" s="3">
        <v>27</v>
      </c>
      <c r="B33" s="4" t="s">
        <v>387</v>
      </c>
      <c r="C33" s="4" t="s">
        <v>388</v>
      </c>
      <c r="D33" s="4" t="s">
        <v>65</v>
      </c>
      <c r="E33" s="5">
        <v>6367</v>
      </c>
      <c r="F33" s="6">
        <v>102.986225</v>
      </c>
      <c r="G33" s="7">
        <v>1.5752984000000001E-2</v>
      </c>
      <c r="H33" s="53"/>
    </row>
    <row r="34" spans="1:8" ht="17.100000000000001" customHeight="1" x14ac:dyDescent="0.2">
      <c r="A34" s="3">
        <v>28</v>
      </c>
      <c r="B34" s="4" t="s">
        <v>367</v>
      </c>
      <c r="C34" s="4" t="s">
        <v>368</v>
      </c>
      <c r="D34" s="4" t="s">
        <v>116</v>
      </c>
      <c r="E34" s="5">
        <v>20256</v>
      </c>
      <c r="F34" s="6">
        <v>102.576384</v>
      </c>
      <c r="G34" s="7">
        <v>1.5690294E-2</v>
      </c>
      <c r="H34" s="53"/>
    </row>
    <row r="35" spans="1:8" ht="53.1" customHeight="1" x14ac:dyDescent="0.2">
      <c r="A35" s="3">
        <v>29</v>
      </c>
      <c r="B35" s="4" t="s">
        <v>444</v>
      </c>
      <c r="C35" s="4" t="s">
        <v>445</v>
      </c>
      <c r="D35" s="4" t="s">
        <v>48</v>
      </c>
      <c r="E35" s="5">
        <v>33472</v>
      </c>
      <c r="F35" s="6">
        <v>101.704672</v>
      </c>
      <c r="G35" s="7">
        <v>1.5556955000000001E-2</v>
      </c>
      <c r="H35" s="53"/>
    </row>
    <row r="36" spans="1:8" ht="17.100000000000001" customHeight="1" x14ac:dyDescent="0.2">
      <c r="A36" s="3">
        <v>30</v>
      </c>
      <c r="B36" s="4" t="s">
        <v>442</v>
      </c>
      <c r="C36" s="4" t="s">
        <v>443</v>
      </c>
      <c r="D36" s="4" t="s">
        <v>119</v>
      </c>
      <c r="E36" s="5">
        <v>124593</v>
      </c>
      <c r="F36" s="6">
        <v>101.29410900000001</v>
      </c>
      <c r="G36" s="7">
        <v>1.5494155000000001E-2</v>
      </c>
      <c r="H36" s="53"/>
    </row>
    <row r="37" spans="1:8" ht="17.100000000000001" customHeight="1" x14ac:dyDescent="0.2">
      <c r="A37" s="3">
        <v>31</v>
      </c>
      <c r="B37" s="4" t="s">
        <v>458</v>
      </c>
      <c r="C37" s="4" t="s">
        <v>459</v>
      </c>
      <c r="D37" s="4" t="s">
        <v>901</v>
      </c>
      <c r="E37" s="5">
        <v>12295</v>
      </c>
      <c r="F37" s="6">
        <v>99.718597500000001</v>
      </c>
      <c r="G37" s="7">
        <v>1.5253160999999999E-2</v>
      </c>
      <c r="H37" s="53"/>
    </row>
    <row r="38" spans="1:8" ht="29.1" customHeight="1" x14ac:dyDescent="0.2">
      <c r="A38" s="3">
        <v>32</v>
      </c>
      <c r="B38" s="4" t="s">
        <v>450</v>
      </c>
      <c r="C38" s="4" t="s">
        <v>451</v>
      </c>
      <c r="D38" s="4" t="s">
        <v>430</v>
      </c>
      <c r="E38" s="5">
        <v>18519</v>
      </c>
      <c r="F38" s="6">
        <v>98.067364499999996</v>
      </c>
      <c r="G38" s="7">
        <v>1.5000585E-2</v>
      </c>
      <c r="H38" s="53"/>
    </row>
    <row r="39" spans="1:8" ht="17.100000000000001" customHeight="1" x14ac:dyDescent="0.2">
      <c r="A39" s="3">
        <v>33</v>
      </c>
      <c r="B39" s="4" t="s">
        <v>403</v>
      </c>
      <c r="C39" s="4" t="s">
        <v>404</v>
      </c>
      <c r="D39" s="4" t="s">
        <v>13</v>
      </c>
      <c r="E39" s="5">
        <v>104608</v>
      </c>
      <c r="F39" s="6">
        <v>93.781071999999995</v>
      </c>
      <c r="G39" s="7">
        <v>1.4344945E-2</v>
      </c>
      <c r="H39" s="53"/>
    </row>
    <row r="40" spans="1:8" ht="29.1" customHeight="1" x14ac:dyDescent="0.2">
      <c r="A40" s="3">
        <v>34</v>
      </c>
      <c r="B40" s="4" t="s">
        <v>463</v>
      </c>
      <c r="C40" s="4" t="s">
        <v>464</v>
      </c>
      <c r="D40" s="4" t="s">
        <v>465</v>
      </c>
      <c r="E40" s="5">
        <v>20856</v>
      </c>
      <c r="F40" s="6">
        <v>87.616056</v>
      </c>
      <c r="G40" s="7">
        <v>1.3401932E-2</v>
      </c>
      <c r="H40" s="53"/>
    </row>
    <row r="41" spans="1:8" ht="29.1" customHeight="1" x14ac:dyDescent="0.2">
      <c r="A41" s="3">
        <v>35</v>
      </c>
      <c r="B41" s="4" t="s">
        <v>489</v>
      </c>
      <c r="C41" s="4" t="s">
        <v>490</v>
      </c>
      <c r="D41" s="4" t="s">
        <v>65</v>
      </c>
      <c r="E41" s="5">
        <v>26477</v>
      </c>
      <c r="F41" s="6">
        <v>75.644789000000003</v>
      </c>
      <c r="G41" s="7">
        <v>1.1570782E-2</v>
      </c>
      <c r="H41" s="53"/>
    </row>
    <row r="42" spans="1:8" ht="17.100000000000001" customHeight="1" x14ac:dyDescent="0.2">
      <c r="A42" s="3">
        <v>36</v>
      </c>
      <c r="B42" s="4" t="s">
        <v>393</v>
      </c>
      <c r="C42" s="4" t="s">
        <v>394</v>
      </c>
      <c r="D42" s="4" t="s">
        <v>212</v>
      </c>
      <c r="E42" s="5">
        <v>10328</v>
      </c>
      <c r="F42" s="6">
        <v>74.562995999999998</v>
      </c>
      <c r="G42" s="7">
        <v>1.1405309000000001E-2</v>
      </c>
      <c r="H42" s="53"/>
    </row>
    <row r="43" spans="1:8" ht="29.1" customHeight="1" x14ac:dyDescent="0.2">
      <c r="A43" s="3">
        <v>37</v>
      </c>
      <c r="B43" s="4" t="s">
        <v>371</v>
      </c>
      <c r="C43" s="4" t="s">
        <v>372</v>
      </c>
      <c r="D43" s="4" t="s">
        <v>373</v>
      </c>
      <c r="E43" s="5">
        <v>18905</v>
      </c>
      <c r="F43" s="6">
        <v>74.258840000000006</v>
      </c>
      <c r="G43" s="7">
        <v>1.1358785E-2</v>
      </c>
      <c r="H43" s="53"/>
    </row>
    <row r="44" spans="1:8" ht="17.100000000000001" customHeight="1" x14ac:dyDescent="0.2">
      <c r="A44" s="3">
        <v>38</v>
      </c>
      <c r="B44" s="4" t="s">
        <v>454</v>
      </c>
      <c r="C44" s="4" t="s">
        <v>455</v>
      </c>
      <c r="D44" s="4" t="s">
        <v>45</v>
      </c>
      <c r="E44" s="5">
        <v>27402</v>
      </c>
      <c r="F44" s="6">
        <v>74.067605999999998</v>
      </c>
      <c r="G44" s="7">
        <v>1.1329532999999999E-2</v>
      </c>
      <c r="H44" s="53"/>
    </row>
    <row r="45" spans="1:8" ht="17.100000000000001" customHeight="1" x14ac:dyDescent="0.2">
      <c r="A45" s="3">
        <v>39</v>
      </c>
      <c r="B45" s="4" t="s">
        <v>414</v>
      </c>
      <c r="C45" s="4" t="s">
        <v>415</v>
      </c>
      <c r="D45" s="4" t="s">
        <v>87</v>
      </c>
      <c r="E45" s="5">
        <v>10808</v>
      </c>
      <c r="F45" s="6">
        <v>72.613547999999994</v>
      </c>
      <c r="G45" s="7">
        <v>1.1107117E-2</v>
      </c>
      <c r="H45" s="53"/>
    </row>
    <row r="46" spans="1:8" ht="29.1" customHeight="1" x14ac:dyDescent="0.2">
      <c r="A46" s="3">
        <v>40</v>
      </c>
      <c r="B46" s="4" t="s">
        <v>285</v>
      </c>
      <c r="C46" s="4" t="s">
        <v>286</v>
      </c>
      <c r="D46" s="4" t="s">
        <v>199</v>
      </c>
      <c r="E46" s="5">
        <v>10502</v>
      </c>
      <c r="F46" s="6">
        <v>71.355839000000003</v>
      </c>
      <c r="G46" s="7">
        <v>1.0914736E-2</v>
      </c>
      <c r="H46" s="53"/>
    </row>
    <row r="47" spans="1:8" ht="29.1" customHeight="1" x14ac:dyDescent="0.2">
      <c r="A47" s="3">
        <v>41</v>
      </c>
      <c r="B47" s="4" t="s">
        <v>456</v>
      </c>
      <c r="C47" s="4" t="s">
        <v>457</v>
      </c>
      <c r="D47" s="4" t="s">
        <v>373</v>
      </c>
      <c r="E47" s="5">
        <v>16350</v>
      </c>
      <c r="F47" s="6">
        <v>67.337474999999998</v>
      </c>
      <c r="G47" s="7">
        <v>1.0300078000000001E-2</v>
      </c>
      <c r="H47" s="53"/>
    </row>
    <row r="48" spans="1:8" ht="17.100000000000001" customHeight="1" x14ac:dyDescent="0.2">
      <c r="A48" s="3">
        <v>42</v>
      </c>
      <c r="B48" s="4" t="s">
        <v>416</v>
      </c>
      <c r="C48" s="4" t="s">
        <v>417</v>
      </c>
      <c r="D48" s="4" t="s">
        <v>219</v>
      </c>
      <c r="E48" s="5">
        <v>7165</v>
      </c>
      <c r="F48" s="6">
        <v>57.302087499999999</v>
      </c>
      <c r="G48" s="7">
        <v>8.7650450000000008E-3</v>
      </c>
      <c r="H48" s="53"/>
    </row>
    <row r="49" spans="1:8" ht="29.1" customHeight="1" x14ac:dyDescent="0.2">
      <c r="A49" s="3">
        <v>43</v>
      </c>
      <c r="B49" s="4" t="s">
        <v>391</v>
      </c>
      <c r="C49" s="4" t="s">
        <v>392</v>
      </c>
      <c r="D49" s="4" t="s">
        <v>116</v>
      </c>
      <c r="E49" s="5">
        <v>5046</v>
      </c>
      <c r="F49" s="6">
        <v>55.664949</v>
      </c>
      <c r="G49" s="7">
        <v>8.5146249999999996E-3</v>
      </c>
      <c r="H49" s="53"/>
    </row>
    <row r="50" spans="1:8" ht="17.100000000000001" customHeight="1" x14ac:dyDescent="0.2">
      <c r="A50" s="3">
        <v>44</v>
      </c>
      <c r="B50" s="4" t="s">
        <v>395</v>
      </c>
      <c r="C50" s="4" t="s">
        <v>396</v>
      </c>
      <c r="D50" s="4" t="s">
        <v>116</v>
      </c>
      <c r="E50" s="5">
        <v>20113</v>
      </c>
      <c r="F50" s="6">
        <v>47.858883499999997</v>
      </c>
      <c r="G50" s="7">
        <v>7.3205930000000002E-3</v>
      </c>
      <c r="H50" s="53"/>
    </row>
    <row r="51" spans="1:8" ht="17.100000000000001" customHeight="1" x14ac:dyDescent="0.2">
      <c r="A51" s="3">
        <v>45</v>
      </c>
      <c r="B51" s="4" t="s">
        <v>452</v>
      </c>
      <c r="C51" s="4" t="s">
        <v>453</v>
      </c>
      <c r="D51" s="4" t="s">
        <v>19</v>
      </c>
      <c r="E51" s="5">
        <v>18341</v>
      </c>
      <c r="F51" s="6">
        <v>43.614897999999997</v>
      </c>
      <c r="G51" s="7">
        <v>6.6714239999999996E-3</v>
      </c>
      <c r="H51" s="53"/>
    </row>
    <row r="52" spans="1:8" ht="29.1" customHeight="1" x14ac:dyDescent="0.2">
      <c r="A52" s="3">
        <v>46</v>
      </c>
      <c r="B52" s="4" t="s">
        <v>376</v>
      </c>
      <c r="C52" s="4" t="s">
        <v>377</v>
      </c>
      <c r="D52" s="4" t="s">
        <v>227</v>
      </c>
      <c r="E52" s="5">
        <v>1052</v>
      </c>
      <c r="F52" s="6">
        <v>41.585560000000001</v>
      </c>
      <c r="G52" s="7">
        <v>6.3610130000000004E-3</v>
      </c>
      <c r="H52" s="53"/>
    </row>
    <row r="53" spans="1:8" ht="17.100000000000001" customHeight="1" x14ac:dyDescent="0.2">
      <c r="A53" s="3">
        <v>47</v>
      </c>
      <c r="B53" s="4" t="s">
        <v>125</v>
      </c>
      <c r="C53" s="4" t="s">
        <v>126</v>
      </c>
      <c r="D53" s="4" t="s">
        <v>116</v>
      </c>
      <c r="E53" s="5">
        <v>1940</v>
      </c>
      <c r="F53" s="6">
        <v>36.691220000000001</v>
      </c>
      <c r="G53" s="7">
        <v>5.6123639999999999E-3</v>
      </c>
      <c r="H53" s="53"/>
    </row>
    <row r="54" spans="1:8" ht="17.100000000000001" customHeight="1" x14ac:dyDescent="0.2">
      <c r="A54" s="3">
        <v>48</v>
      </c>
      <c r="B54" s="4" t="s">
        <v>426</v>
      </c>
      <c r="C54" s="4" t="s">
        <v>427</v>
      </c>
      <c r="D54" s="4" t="s">
        <v>33</v>
      </c>
      <c r="E54" s="5">
        <v>4443</v>
      </c>
      <c r="F54" s="6">
        <v>36.494802</v>
      </c>
      <c r="G54" s="7">
        <v>5.58232E-3</v>
      </c>
      <c r="H54" s="53"/>
    </row>
    <row r="55" spans="1:8" ht="17.100000000000001" customHeight="1" x14ac:dyDescent="0.2">
      <c r="A55" s="3">
        <v>49</v>
      </c>
      <c r="B55" s="4" t="s">
        <v>331</v>
      </c>
      <c r="C55" s="4" t="s">
        <v>332</v>
      </c>
      <c r="D55" s="4" t="s">
        <v>96</v>
      </c>
      <c r="E55" s="5">
        <v>45125</v>
      </c>
      <c r="F55" s="6">
        <v>33.84375</v>
      </c>
      <c r="G55" s="7">
        <v>5.1768090000000001E-3</v>
      </c>
      <c r="H55" s="53"/>
    </row>
    <row r="56" spans="1:8" ht="29.1" customHeight="1" x14ac:dyDescent="0.2">
      <c r="A56" s="3">
        <v>50</v>
      </c>
      <c r="B56" s="4" t="s">
        <v>431</v>
      </c>
      <c r="C56" s="4" t="s">
        <v>432</v>
      </c>
      <c r="D56" s="4" t="s">
        <v>199</v>
      </c>
      <c r="E56" s="5">
        <v>3563</v>
      </c>
      <c r="F56" s="6">
        <v>21.231916999999999</v>
      </c>
      <c r="G56" s="7">
        <v>3.2476779999999999E-3</v>
      </c>
      <c r="H56" s="53"/>
    </row>
    <row r="57" spans="1:8" ht="29.1" customHeight="1" x14ac:dyDescent="0.2">
      <c r="A57" s="3">
        <v>51</v>
      </c>
      <c r="B57" s="4" t="s">
        <v>424</v>
      </c>
      <c r="C57" s="4" t="s">
        <v>425</v>
      </c>
      <c r="D57" s="4" t="s">
        <v>227</v>
      </c>
      <c r="E57" s="5">
        <v>3593</v>
      </c>
      <c r="F57" s="6">
        <v>8.9860930000000003</v>
      </c>
      <c r="G57" s="7">
        <v>1.374531E-3</v>
      </c>
      <c r="H57" s="53"/>
    </row>
    <row r="58" spans="1:8" ht="14.1" customHeight="1" x14ac:dyDescent="0.2">
      <c r="A58" s="1"/>
      <c r="B58" s="1"/>
      <c r="C58" s="2" t="s">
        <v>132</v>
      </c>
      <c r="D58" s="1"/>
      <c r="E58" s="1" t="s">
        <v>133</v>
      </c>
      <c r="F58" s="9">
        <v>6269.4117564999997</v>
      </c>
      <c r="G58" s="10">
        <v>0.95898209199999995</v>
      </c>
      <c r="H58" s="53"/>
    </row>
    <row r="59" spans="1:8" ht="14.1" customHeight="1" x14ac:dyDescent="0.2">
      <c r="A59" s="1"/>
      <c r="B59" s="1"/>
      <c r="C59" s="11"/>
      <c r="D59" s="1"/>
      <c r="E59" s="1"/>
      <c r="F59" s="12"/>
      <c r="G59" s="12"/>
      <c r="H59" s="53"/>
    </row>
    <row r="60" spans="1:8" ht="14.1" customHeight="1" x14ac:dyDescent="0.2">
      <c r="A60" s="1"/>
      <c r="B60" s="1"/>
      <c r="C60" s="2" t="s">
        <v>134</v>
      </c>
      <c r="D60" s="1"/>
      <c r="E60" s="1"/>
      <c r="F60" s="1"/>
      <c r="G60" s="1"/>
      <c r="H60" s="53"/>
    </row>
    <row r="61" spans="1:8" ht="14.1" customHeight="1" x14ac:dyDescent="0.2">
      <c r="A61" s="1"/>
      <c r="B61" s="1"/>
      <c r="C61" s="2" t="s">
        <v>132</v>
      </c>
      <c r="D61" s="1"/>
      <c r="E61" s="1" t="s">
        <v>133</v>
      </c>
      <c r="F61" s="13">
        <v>0</v>
      </c>
      <c r="G61" s="14">
        <v>0</v>
      </c>
      <c r="H61" s="53"/>
    </row>
    <row r="62" spans="1:8" ht="14.1" customHeight="1" x14ac:dyDescent="0.2">
      <c r="A62" s="1"/>
      <c r="B62" s="1"/>
      <c r="C62" s="11"/>
      <c r="D62" s="1"/>
      <c r="E62" s="1"/>
      <c r="F62" s="12"/>
      <c r="G62" s="12"/>
      <c r="H62" s="53"/>
    </row>
    <row r="63" spans="1:8" ht="14.1" customHeight="1" x14ac:dyDescent="0.2">
      <c r="A63" s="1"/>
      <c r="B63" s="1"/>
      <c r="C63" s="2" t="s">
        <v>135</v>
      </c>
      <c r="D63" s="1"/>
      <c r="E63" s="1"/>
      <c r="F63" s="1"/>
      <c r="G63" s="1"/>
      <c r="H63" s="53"/>
    </row>
    <row r="64" spans="1:8" ht="14.1" customHeight="1" x14ac:dyDescent="0.2">
      <c r="A64" s="1"/>
      <c r="B64" s="1"/>
      <c r="C64" s="2" t="s">
        <v>132</v>
      </c>
      <c r="D64" s="1"/>
      <c r="E64" s="1" t="s">
        <v>133</v>
      </c>
      <c r="F64" s="13">
        <v>0</v>
      </c>
      <c r="G64" s="14">
        <v>0</v>
      </c>
      <c r="H64" s="53"/>
    </row>
    <row r="65" spans="1:8" ht="14.1" customHeight="1" x14ac:dyDescent="0.2">
      <c r="A65" s="1"/>
      <c r="B65" s="1"/>
      <c r="C65" s="11"/>
      <c r="D65" s="1"/>
      <c r="E65" s="1"/>
      <c r="F65" s="12"/>
      <c r="G65" s="12"/>
      <c r="H65" s="53"/>
    </row>
    <row r="66" spans="1:8" ht="14.1" customHeight="1" x14ac:dyDescent="0.2">
      <c r="A66" s="1"/>
      <c r="B66" s="1"/>
      <c r="C66" s="2" t="s">
        <v>136</v>
      </c>
      <c r="D66" s="1"/>
      <c r="E66" s="1"/>
      <c r="F66" s="1"/>
      <c r="G66" s="1"/>
      <c r="H66" s="53"/>
    </row>
    <row r="67" spans="1:8" ht="17.100000000000001" customHeight="1" x14ac:dyDescent="0.2">
      <c r="A67" s="3">
        <v>1</v>
      </c>
      <c r="B67" s="4" t="s">
        <v>399</v>
      </c>
      <c r="C67" s="4" t="s">
        <v>960</v>
      </c>
      <c r="D67" s="4" t="s">
        <v>212</v>
      </c>
      <c r="E67" s="5">
        <v>737</v>
      </c>
      <c r="F67" s="6">
        <v>1.1272415</v>
      </c>
      <c r="G67" s="7">
        <v>1.72425E-4</v>
      </c>
      <c r="H67" s="53"/>
    </row>
    <row r="68" spans="1:8" ht="14.1" customHeight="1" x14ac:dyDescent="0.2">
      <c r="A68" s="1"/>
      <c r="B68" s="1"/>
      <c r="C68" s="2" t="s">
        <v>132</v>
      </c>
      <c r="D68" s="1"/>
      <c r="E68" s="1" t="s">
        <v>133</v>
      </c>
      <c r="F68" s="9">
        <v>1.1272415</v>
      </c>
      <c r="G68" s="10">
        <v>1.72425E-4</v>
      </c>
      <c r="H68" s="53"/>
    </row>
    <row r="69" spans="1:8" ht="14.1" customHeight="1" x14ac:dyDescent="0.2">
      <c r="A69" s="1"/>
      <c r="B69" s="1"/>
      <c r="C69" s="11"/>
      <c r="D69" s="1"/>
      <c r="E69" s="1"/>
      <c r="F69" s="12"/>
      <c r="G69" s="12"/>
      <c r="H69" s="53"/>
    </row>
    <row r="70" spans="1:8" ht="14.1" customHeight="1" x14ac:dyDescent="0.2">
      <c r="A70" s="1"/>
      <c r="B70" s="1"/>
      <c r="C70" s="2" t="s">
        <v>137</v>
      </c>
      <c r="D70" s="1"/>
      <c r="E70" s="1"/>
      <c r="F70" s="12"/>
      <c r="G70" s="12"/>
      <c r="H70" s="53"/>
    </row>
    <row r="71" spans="1:8" ht="14.1" customHeight="1" x14ac:dyDescent="0.2">
      <c r="A71" s="1"/>
      <c r="B71" s="1"/>
      <c r="C71" s="2" t="s">
        <v>132</v>
      </c>
      <c r="D71" s="1"/>
      <c r="E71" s="1" t="s">
        <v>133</v>
      </c>
      <c r="F71" s="13">
        <v>0</v>
      </c>
      <c r="G71" s="14">
        <v>0</v>
      </c>
      <c r="H71" s="53"/>
    </row>
    <row r="72" spans="1:8" ht="14.1" customHeight="1" x14ac:dyDescent="0.2">
      <c r="A72" s="1"/>
      <c r="B72" s="1"/>
      <c r="C72" s="11"/>
      <c r="D72" s="1"/>
      <c r="E72" s="1"/>
      <c r="F72" s="12"/>
      <c r="G72" s="12"/>
      <c r="H72" s="53"/>
    </row>
    <row r="73" spans="1:8" ht="14.1" customHeight="1" x14ac:dyDescent="0.2">
      <c r="A73" s="1"/>
      <c r="B73" s="1"/>
      <c r="C73" s="2" t="s">
        <v>138</v>
      </c>
      <c r="D73" s="1"/>
      <c r="E73" s="1"/>
      <c r="F73" s="12"/>
      <c r="G73" s="12"/>
      <c r="H73" s="53"/>
    </row>
    <row r="74" spans="1:8" ht="14.1" customHeight="1" x14ac:dyDescent="0.2">
      <c r="A74" s="1"/>
      <c r="B74" s="1"/>
      <c r="C74" s="2" t="s">
        <v>132</v>
      </c>
      <c r="D74" s="1"/>
      <c r="E74" s="1" t="s">
        <v>133</v>
      </c>
      <c r="F74" s="13">
        <v>0</v>
      </c>
      <c r="G74" s="14">
        <v>0</v>
      </c>
      <c r="H74" s="53"/>
    </row>
    <row r="75" spans="1:8" ht="14.1" customHeight="1" x14ac:dyDescent="0.2">
      <c r="A75" s="1"/>
      <c r="B75" s="1"/>
      <c r="C75" s="11"/>
      <c r="D75" s="1"/>
      <c r="E75" s="1"/>
      <c r="F75" s="12"/>
      <c r="G75" s="12"/>
      <c r="H75" s="53"/>
    </row>
    <row r="76" spans="1:8" ht="18" customHeight="1" x14ac:dyDescent="0.2">
      <c r="A76" s="1"/>
      <c r="B76" s="1"/>
      <c r="C76" s="2" t="s">
        <v>139</v>
      </c>
      <c r="D76" s="1"/>
      <c r="E76" s="1"/>
      <c r="F76" s="9">
        <v>6270.538998</v>
      </c>
      <c r="G76" s="10">
        <v>0.95915451699999998</v>
      </c>
      <c r="H76" s="53"/>
    </row>
    <row r="77" spans="1:8" ht="14.1" customHeight="1" x14ac:dyDescent="0.2">
      <c r="A77" s="1"/>
      <c r="B77" s="1"/>
      <c r="C77" s="11"/>
      <c r="D77" s="1"/>
      <c r="E77" s="1"/>
      <c r="F77" s="12"/>
      <c r="G77" s="12"/>
      <c r="H77" s="53"/>
    </row>
    <row r="78" spans="1:8" ht="14.1" customHeight="1" x14ac:dyDescent="0.2">
      <c r="A78" s="1"/>
      <c r="B78" s="1"/>
      <c r="C78" s="2" t="s">
        <v>140</v>
      </c>
      <c r="D78" s="1"/>
      <c r="E78" s="1"/>
      <c r="F78" s="12"/>
      <c r="G78" s="12"/>
      <c r="H78" s="53"/>
    </row>
    <row r="79" spans="1:8" ht="24" customHeight="1" x14ac:dyDescent="0.2">
      <c r="A79" s="1"/>
      <c r="B79" s="1"/>
      <c r="C79" s="2" t="s">
        <v>10</v>
      </c>
      <c r="D79" s="1"/>
      <c r="E79" s="1"/>
      <c r="F79" s="12"/>
      <c r="G79" s="12"/>
      <c r="H79" s="53"/>
    </row>
    <row r="80" spans="1:8" ht="14.1" customHeight="1" x14ac:dyDescent="0.2">
      <c r="A80" s="1"/>
      <c r="B80" s="1"/>
      <c r="C80" s="2" t="s">
        <v>132</v>
      </c>
      <c r="D80" s="1"/>
      <c r="E80" s="1" t="s">
        <v>133</v>
      </c>
      <c r="F80" s="13">
        <v>0</v>
      </c>
      <c r="G80" s="14">
        <v>0</v>
      </c>
      <c r="H80" s="53"/>
    </row>
    <row r="81" spans="1:8" ht="14.1" customHeight="1" x14ac:dyDescent="0.2">
      <c r="A81" s="1"/>
      <c r="B81" s="1"/>
      <c r="C81" s="11"/>
      <c r="D81" s="1"/>
      <c r="E81" s="1"/>
      <c r="F81" s="12"/>
      <c r="G81" s="12"/>
      <c r="H81" s="53"/>
    </row>
    <row r="82" spans="1:8" ht="14.1" customHeight="1" x14ac:dyDescent="0.2">
      <c r="A82" s="1"/>
      <c r="B82" s="1"/>
      <c r="C82" s="2" t="s">
        <v>141</v>
      </c>
      <c r="D82" s="1"/>
      <c r="E82" s="1"/>
      <c r="F82" s="1"/>
      <c r="G82" s="1"/>
      <c r="H82" s="53"/>
    </row>
    <row r="83" spans="1:8" ht="14.1" customHeight="1" x14ac:dyDescent="0.2">
      <c r="A83" s="1"/>
      <c r="B83" s="1"/>
      <c r="C83" s="2" t="s">
        <v>132</v>
      </c>
      <c r="D83" s="1"/>
      <c r="E83" s="1" t="s">
        <v>133</v>
      </c>
      <c r="F83" s="13">
        <v>0</v>
      </c>
      <c r="G83" s="14">
        <v>0</v>
      </c>
      <c r="H83" s="53"/>
    </row>
    <row r="84" spans="1:8" ht="14.1" customHeight="1" x14ac:dyDescent="0.2">
      <c r="A84" s="1"/>
      <c r="B84" s="1"/>
      <c r="C84" s="11"/>
      <c r="D84" s="1"/>
      <c r="E84" s="1"/>
      <c r="F84" s="12"/>
      <c r="G84" s="12"/>
      <c r="H84" s="53"/>
    </row>
    <row r="85" spans="1:8" ht="14.1" customHeight="1" x14ac:dyDescent="0.2">
      <c r="A85" s="1"/>
      <c r="B85" s="1"/>
      <c r="C85" s="2" t="s">
        <v>142</v>
      </c>
      <c r="D85" s="1"/>
      <c r="E85" s="1"/>
      <c r="F85" s="1"/>
      <c r="G85" s="1"/>
      <c r="H85" s="53"/>
    </row>
    <row r="86" spans="1:8" ht="14.1" customHeight="1" x14ac:dyDescent="0.2">
      <c r="A86" s="1"/>
      <c r="B86" s="1"/>
      <c r="C86" s="2" t="s">
        <v>132</v>
      </c>
      <c r="D86" s="1"/>
      <c r="E86" s="1" t="s">
        <v>133</v>
      </c>
      <c r="F86" s="13">
        <v>0</v>
      </c>
      <c r="G86" s="14">
        <v>0</v>
      </c>
      <c r="H86" s="53"/>
    </row>
    <row r="87" spans="1:8" ht="14.1" customHeight="1" x14ac:dyDescent="0.2">
      <c r="A87" s="1"/>
      <c r="B87" s="1"/>
      <c r="C87" s="11"/>
      <c r="D87" s="1"/>
      <c r="E87" s="1"/>
      <c r="F87" s="12"/>
      <c r="G87" s="12"/>
      <c r="H87" s="53"/>
    </row>
    <row r="88" spans="1:8" ht="14.1" customHeight="1" x14ac:dyDescent="0.2">
      <c r="A88" s="1"/>
      <c r="B88" s="1"/>
      <c r="C88" s="2" t="s">
        <v>143</v>
      </c>
      <c r="D88" s="1"/>
      <c r="E88" s="1"/>
      <c r="F88" s="12"/>
      <c r="G88" s="12"/>
      <c r="H88" s="53"/>
    </row>
    <row r="89" spans="1:8" ht="14.1" customHeight="1" x14ac:dyDescent="0.2">
      <c r="A89" s="1"/>
      <c r="B89" s="1"/>
      <c r="C89" s="2" t="s">
        <v>132</v>
      </c>
      <c r="D89" s="1"/>
      <c r="E89" s="1" t="s">
        <v>133</v>
      </c>
      <c r="F89" s="13">
        <v>0</v>
      </c>
      <c r="G89" s="14">
        <v>0</v>
      </c>
      <c r="H89" s="53"/>
    </row>
    <row r="90" spans="1:8" ht="14.1" customHeight="1" x14ac:dyDescent="0.2">
      <c r="A90" s="1"/>
      <c r="B90" s="1"/>
      <c r="C90" s="11"/>
      <c r="D90" s="1"/>
      <c r="E90" s="1"/>
      <c r="F90" s="12"/>
      <c r="G90" s="12"/>
      <c r="H90" s="53"/>
    </row>
    <row r="91" spans="1:8" ht="14.1" customHeight="1" x14ac:dyDescent="0.2">
      <c r="A91" s="1"/>
      <c r="B91" s="1"/>
      <c r="C91" s="2" t="s">
        <v>144</v>
      </c>
      <c r="D91" s="1"/>
      <c r="E91" s="1"/>
      <c r="F91" s="9">
        <v>0</v>
      </c>
      <c r="G91" s="10">
        <v>0</v>
      </c>
      <c r="H91" s="53"/>
    </row>
    <row r="92" spans="1:8" ht="14.1" customHeight="1" x14ac:dyDescent="0.2">
      <c r="A92" s="1"/>
      <c r="B92" s="1"/>
      <c r="C92" s="11"/>
      <c r="D92" s="1"/>
      <c r="E92" s="1"/>
      <c r="F92" s="12"/>
      <c r="G92" s="12"/>
      <c r="H92" s="53"/>
    </row>
    <row r="93" spans="1:8" ht="14.1" customHeight="1" x14ac:dyDescent="0.2">
      <c r="A93" s="1"/>
      <c r="B93" s="1"/>
      <c r="C93" s="2" t="s">
        <v>145</v>
      </c>
      <c r="D93" s="1"/>
      <c r="E93" s="1"/>
      <c r="F93" s="12"/>
      <c r="G93" s="12"/>
      <c r="H93" s="53"/>
    </row>
    <row r="94" spans="1:8" ht="14.1" customHeight="1" x14ac:dyDescent="0.2">
      <c r="A94" s="1"/>
      <c r="B94" s="1"/>
      <c r="C94" s="2" t="s">
        <v>146</v>
      </c>
      <c r="D94" s="1"/>
      <c r="E94" s="1"/>
      <c r="F94" s="12"/>
      <c r="G94" s="12"/>
      <c r="H94" s="53"/>
    </row>
    <row r="95" spans="1:8" ht="14.1" customHeight="1" x14ac:dyDescent="0.2">
      <c r="A95" s="1"/>
      <c r="B95" s="1"/>
      <c r="C95" s="2" t="s">
        <v>132</v>
      </c>
      <c r="D95" s="1"/>
      <c r="E95" s="1" t="s">
        <v>133</v>
      </c>
      <c r="F95" s="13">
        <v>0</v>
      </c>
      <c r="G95" s="14">
        <v>0</v>
      </c>
      <c r="H95" s="53"/>
    </row>
    <row r="96" spans="1:8" ht="14.1" customHeight="1" x14ac:dyDescent="0.2">
      <c r="A96" s="1"/>
      <c r="B96" s="1"/>
      <c r="C96" s="11"/>
      <c r="D96" s="1"/>
      <c r="E96" s="1"/>
      <c r="F96" s="12"/>
      <c r="G96" s="12"/>
      <c r="H96" s="53"/>
    </row>
    <row r="97" spans="1:8" ht="14.1" customHeight="1" x14ac:dyDescent="0.2">
      <c r="A97" s="1"/>
      <c r="B97" s="1"/>
      <c r="C97" s="2" t="s">
        <v>147</v>
      </c>
      <c r="D97" s="1"/>
      <c r="E97" s="1"/>
      <c r="F97" s="12"/>
      <c r="G97" s="12"/>
      <c r="H97" s="53"/>
    </row>
    <row r="98" spans="1:8" ht="14.1" customHeight="1" x14ac:dyDescent="0.2">
      <c r="A98" s="1"/>
      <c r="B98" s="1"/>
      <c r="C98" s="2" t="s">
        <v>132</v>
      </c>
      <c r="D98" s="1"/>
      <c r="E98" s="1" t="s">
        <v>133</v>
      </c>
      <c r="F98" s="13">
        <v>0</v>
      </c>
      <c r="G98" s="14">
        <v>0</v>
      </c>
      <c r="H98" s="53"/>
    </row>
    <row r="99" spans="1:8" ht="14.1" customHeight="1" x14ac:dyDescent="0.2">
      <c r="A99" s="1"/>
      <c r="B99" s="1"/>
      <c r="C99" s="11"/>
      <c r="D99" s="1"/>
      <c r="E99" s="1"/>
      <c r="F99" s="12"/>
      <c r="G99" s="12"/>
      <c r="H99" s="53"/>
    </row>
    <row r="100" spans="1:8" ht="14.1" customHeight="1" x14ac:dyDescent="0.2">
      <c r="A100" s="1"/>
      <c r="B100" s="1"/>
      <c r="C100" s="2" t="s">
        <v>148</v>
      </c>
      <c r="D100" s="1"/>
      <c r="E100" s="1"/>
      <c r="F100" s="12"/>
      <c r="G100" s="12"/>
      <c r="H100" s="53"/>
    </row>
    <row r="101" spans="1:8" ht="14.1" customHeight="1" x14ac:dyDescent="0.2">
      <c r="A101" s="1"/>
      <c r="B101" s="1"/>
      <c r="C101" s="2" t="s">
        <v>132</v>
      </c>
      <c r="D101" s="1"/>
      <c r="E101" s="1" t="s">
        <v>133</v>
      </c>
      <c r="F101" s="13">
        <v>0</v>
      </c>
      <c r="G101" s="14">
        <v>0</v>
      </c>
      <c r="H101" s="53"/>
    </row>
    <row r="102" spans="1:8" ht="14.1" customHeight="1" x14ac:dyDescent="0.2">
      <c r="A102" s="1"/>
      <c r="B102" s="1"/>
      <c r="C102" s="11"/>
      <c r="D102" s="1"/>
      <c r="E102" s="1"/>
      <c r="F102" s="12"/>
      <c r="G102" s="12"/>
      <c r="H102" s="53"/>
    </row>
    <row r="103" spans="1:8" ht="14.1" customHeight="1" x14ac:dyDescent="0.2">
      <c r="A103" s="1"/>
      <c r="B103" s="1"/>
      <c r="C103" s="2" t="s">
        <v>149</v>
      </c>
      <c r="D103" s="1"/>
      <c r="E103" s="1"/>
      <c r="F103" s="12"/>
      <c r="G103" s="12"/>
      <c r="H103" s="53"/>
    </row>
    <row r="104" spans="1:8" ht="17.100000000000001" customHeight="1" x14ac:dyDescent="0.2">
      <c r="A104" s="3">
        <v>1</v>
      </c>
      <c r="B104" s="4"/>
      <c r="C104" s="4" t="s">
        <v>150</v>
      </c>
      <c r="D104" s="4"/>
      <c r="E104" s="8"/>
      <c r="F104" s="6">
        <v>314.86403289999998</v>
      </c>
      <c r="G104" s="7">
        <v>4.8162248999999997E-2</v>
      </c>
      <c r="H104" s="53">
        <v>6.46</v>
      </c>
    </row>
    <row r="105" spans="1:8" ht="14.1" customHeight="1" x14ac:dyDescent="0.2">
      <c r="A105" s="1"/>
      <c r="B105" s="1"/>
      <c r="C105" s="2" t="s">
        <v>132</v>
      </c>
      <c r="D105" s="1"/>
      <c r="E105" s="1" t="s">
        <v>133</v>
      </c>
      <c r="F105" s="9">
        <v>314.86403289999998</v>
      </c>
      <c r="G105" s="10">
        <v>4.8162248999999997E-2</v>
      </c>
      <c r="H105" s="53"/>
    </row>
    <row r="106" spans="1:8" ht="14.1" customHeight="1" x14ac:dyDescent="0.2">
      <c r="A106" s="1"/>
      <c r="B106" s="1"/>
      <c r="C106" s="11"/>
      <c r="D106" s="1"/>
      <c r="E106" s="1"/>
      <c r="F106" s="12"/>
      <c r="G106" s="12"/>
      <c r="H106" s="53"/>
    </row>
    <row r="107" spans="1:8" ht="14.1" customHeight="1" x14ac:dyDescent="0.2">
      <c r="A107" s="1"/>
      <c r="B107" s="1"/>
      <c r="C107" s="2" t="s">
        <v>151</v>
      </c>
      <c r="D107" s="1"/>
      <c r="E107" s="1"/>
      <c r="F107" s="9">
        <v>314.86403289999998</v>
      </c>
      <c r="G107" s="10">
        <v>4.8162248999999997E-2</v>
      </c>
      <c r="H107" s="53"/>
    </row>
    <row r="108" spans="1:8" ht="14.1" customHeight="1" x14ac:dyDescent="0.2">
      <c r="A108" s="1"/>
      <c r="B108" s="1"/>
      <c r="C108" s="12"/>
      <c r="D108" s="1"/>
      <c r="E108" s="1"/>
      <c r="F108" s="1"/>
      <c r="G108" s="1"/>
      <c r="H108" s="53"/>
    </row>
    <row r="109" spans="1:8" ht="14.1" customHeight="1" x14ac:dyDescent="0.2">
      <c r="A109" s="1"/>
      <c r="B109" s="1"/>
      <c r="C109" s="2" t="s">
        <v>152</v>
      </c>
      <c r="D109" s="1"/>
      <c r="E109" s="1"/>
      <c r="F109" s="1"/>
      <c r="G109" s="1"/>
      <c r="H109" s="53"/>
    </row>
    <row r="110" spans="1:8" ht="14.1" customHeight="1" x14ac:dyDescent="0.2">
      <c r="A110" s="1"/>
      <c r="B110" s="1"/>
      <c r="C110" s="2" t="s">
        <v>153</v>
      </c>
      <c r="D110" s="1"/>
      <c r="E110" s="1"/>
      <c r="F110" s="1"/>
      <c r="G110" s="1"/>
      <c r="H110" s="53"/>
    </row>
    <row r="111" spans="1:8" ht="14.1" customHeight="1" x14ac:dyDescent="0.2">
      <c r="A111" s="1"/>
      <c r="B111" s="1"/>
      <c r="C111" s="2" t="s">
        <v>132</v>
      </c>
      <c r="D111" s="1"/>
      <c r="E111" s="1" t="s">
        <v>133</v>
      </c>
      <c r="F111" s="13">
        <v>0</v>
      </c>
      <c r="G111" s="14">
        <v>0</v>
      </c>
      <c r="H111" s="53"/>
    </row>
    <row r="112" spans="1:8" ht="14.1" customHeight="1" x14ac:dyDescent="0.2">
      <c r="A112" s="1"/>
      <c r="B112" s="1"/>
      <c r="C112" s="11"/>
      <c r="D112" s="1"/>
      <c r="E112" s="1"/>
      <c r="F112" s="12"/>
      <c r="G112" s="12"/>
      <c r="H112" s="53"/>
    </row>
    <row r="113" spans="1:8" ht="14.1" customHeight="1" x14ac:dyDescent="0.2">
      <c r="A113" s="1"/>
      <c r="B113" s="1"/>
      <c r="C113" s="2" t="s">
        <v>154</v>
      </c>
      <c r="D113" s="1"/>
      <c r="E113" s="1"/>
      <c r="F113" s="1"/>
      <c r="G113" s="1"/>
      <c r="H113" s="53"/>
    </row>
    <row r="114" spans="1:8" ht="14.1" customHeight="1" x14ac:dyDescent="0.2">
      <c r="A114" s="1"/>
      <c r="B114" s="1"/>
      <c r="C114" s="2" t="s">
        <v>155</v>
      </c>
      <c r="D114" s="1"/>
      <c r="E114" s="1"/>
      <c r="F114" s="1"/>
      <c r="G114" s="1"/>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1"/>
      <c r="C117" s="11"/>
      <c r="D117" s="1"/>
      <c r="E117" s="1"/>
      <c r="F117" s="12"/>
      <c r="G117" s="12"/>
      <c r="H117" s="53"/>
    </row>
    <row r="118" spans="1:8" ht="24" customHeight="1" x14ac:dyDescent="0.2">
      <c r="A118" s="1"/>
      <c r="B118" s="1"/>
      <c r="C118" s="2" t="s">
        <v>156</v>
      </c>
      <c r="D118" s="1"/>
      <c r="E118" s="1"/>
      <c r="F118" s="12"/>
      <c r="G118" s="12"/>
      <c r="H118" s="53"/>
    </row>
    <row r="119" spans="1:8" ht="14.1" customHeight="1" x14ac:dyDescent="0.2">
      <c r="A119" s="1"/>
      <c r="B119" s="1"/>
      <c r="C119" s="2" t="s">
        <v>132</v>
      </c>
      <c r="D119" s="1"/>
      <c r="E119" s="1" t="s">
        <v>133</v>
      </c>
      <c r="F119" s="13">
        <v>0</v>
      </c>
      <c r="G119" s="14">
        <v>0</v>
      </c>
      <c r="H119" s="53"/>
    </row>
    <row r="120" spans="1:8" ht="14.1" customHeight="1" x14ac:dyDescent="0.2">
      <c r="A120" s="1"/>
      <c r="B120" s="1"/>
      <c r="C120" s="11"/>
      <c r="D120" s="1"/>
      <c r="E120" s="1"/>
      <c r="F120" s="12"/>
      <c r="G120" s="12"/>
      <c r="H120" s="53"/>
    </row>
    <row r="121" spans="1:8" ht="14.1" customHeight="1" x14ac:dyDescent="0.2">
      <c r="A121" s="1"/>
      <c r="B121" s="4"/>
      <c r="C121" s="4"/>
      <c r="D121" s="2"/>
      <c r="E121" s="1"/>
      <c r="F121" s="4"/>
      <c r="G121" s="8"/>
      <c r="H121" s="53"/>
    </row>
    <row r="122" spans="1:8" ht="18" customHeight="1" x14ac:dyDescent="0.2">
      <c r="A122" s="8"/>
      <c r="B122" s="4"/>
      <c r="C122" s="4" t="s">
        <v>157</v>
      </c>
      <c r="D122" s="4"/>
      <c r="E122" s="8"/>
      <c r="F122" s="6">
        <v>-47.833884910000002</v>
      </c>
      <c r="G122" s="7">
        <v>-7.3167689999999999E-3</v>
      </c>
      <c r="H122" s="53"/>
    </row>
    <row r="123" spans="1:8" ht="14.1" customHeight="1" x14ac:dyDescent="0.2">
      <c r="A123" s="11"/>
      <c r="B123" s="11"/>
      <c r="C123" s="2" t="s">
        <v>158</v>
      </c>
      <c r="D123" s="15"/>
      <c r="E123" s="15"/>
      <c r="F123" s="9">
        <v>6537.5691459899999</v>
      </c>
      <c r="G123" s="10">
        <v>0.99999999699999997</v>
      </c>
      <c r="H123" s="53"/>
    </row>
    <row r="124" spans="1:8" ht="14.1" customHeight="1" x14ac:dyDescent="0.2">
      <c r="A124" s="16"/>
      <c r="B124" s="16"/>
      <c r="C124" s="16"/>
      <c r="D124" s="17"/>
      <c r="E124" s="17"/>
      <c r="F124" s="17"/>
      <c r="G124" s="17"/>
    </row>
    <row r="125" spans="1:8" ht="14.1" customHeight="1" x14ac:dyDescent="0.2">
      <c r="A125" s="18"/>
      <c r="B125" s="292" t="s">
        <v>133</v>
      </c>
      <c r="C125" s="292"/>
      <c r="D125" s="292"/>
      <c r="E125" s="292"/>
      <c r="F125" s="292"/>
      <c r="G125" s="20"/>
    </row>
    <row r="126" spans="1:8" ht="14.1" customHeight="1" x14ac:dyDescent="0.2">
      <c r="A126" s="18"/>
      <c r="B126" s="292" t="s">
        <v>133</v>
      </c>
      <c r="C126" s="292"/>
      <c r="D126" s="292"/>
      <c r="E126" s="292"/>
      <c r="F126" s="292"/>
      <c r="G126" s="20"/>
    </row>
    <row r="127" spans="1:8" ht="14.1" customHeight="1" x14ac:dyDescent="0.2">
      <c r="A127" s="18"/>
      <c r="B127" s="18"/>
      <c r="C127" s="18"/>
      <c r="D127" s="20"/>
      <c r="E127" s="20"/>
      <c r="F127" s="20"/>
      <c r="G127" s="20"/>
    </row>
    <row r="128" spans="1:8" ht="14.1" customHeight="1" x14ac:dyDescent="0.2">
      <c r="A128" s="18"/>
      <c r="B128" s="293" t="s">
        <v>160</v>
      </c>
      <c r="C128" s="294"/>
      <c r="D128" s="12" t="s">
        <v>133</v>
      </c>
      <c r="E128" s="21"/>
      <c r="F128" s="20"/>
      <c r="G128" s="20"/>
    </row>
    <row r="129" spans="1:7" ht="29.1" customHeight="1" x14ac:dyDescent="0.2">
      <c r="A129" s="18"/>
      <c r="B129" s="290" t="s">
        <v>161</v>
      </c>
      <c r="C129" s="291"/>
      <c r="D129" s="2" t="s">
        <v>162</v>
      </c>
      <c r="E129" s="21"/>
      <c r="F129" s="20"/>
      <c r="G129" s="20"/>
    </row>
    <row r="130" spans="1:7" ht="17.100000000000001" customHeight="1" x14ac:dyDescent="0.2">
      <c r="A130" s="18"/>
      <c r="B130" s="290" t="s">
        <v>163</v>
      </c>
      <c r="C130" s="291"/>
      <c r="D130" s="2" t="s">
        <v>162</v>
      </c>
      <c r="E130" s="21"/>
      <c r="F130" s="20"/>
      <c r="G130" s="20"/>
    </row>
    <row r="131" spans="1:7" ht="17.100000000000001" customHeight="1" x14ac:dyDescent="0.2">
      <c r="A131" s="18"/>
      <c r="B131" s="290" t="s">
        <v>164</v>
      </c>
      <c r="C131" s="291"/>
      <c r="D131" s="12" t="s">
        <v>133</v>
      </c>
      <c r="E131" s="21"/>
      <c r="F131" s="20"/>
      <c r="G131" s="20"/>
    </row>
    <row r="132" spans="1:7" ht="24" customHeight="1" x14ac:dyDescent="0.2">
      <c r="A132" s="22"/>
      <c r="B132" s="23" t="s">
        <v>133</v>
      </c>
      <c r="C132" s="23" t="s">
        <v>165</v>
      </c>
      <c r="D132" s="23" t="s">
        <v>166</v>
      </c>
      <c r="E132" s="22"/>
      <c r="F132" s="22"/>
      <c r="G132" s="22"/>
    </row>
    <row r="133" spans="1:7" ht="18" customHeight="1" x14ac:dyDescent="0.2">
      <c r="A133" s="22"/>
      <c r="B133" s="23" t="s">
        <v>167</v>
      </c>
      <c r="C133" s="23" t="s">
        <v>168</v>
      </c>
      <c r="D133" s="23" t="s">
        <v>169</v>
      </c>
      <c r="E133" s="22"/>
      <c r="F133" s="22"/>
      <c r="G133" s="22"/>
    </row>
    <row r="134" spans="1:7" ht="17.100000000000001" customHeight="1" x14ac:dyDescent="0.2">
      <c r="A134" s="22"/>
      <c r="B134" s="4" t="s">
        <v>170</v>
      </c>
      <c r="C134" s="24">
        <v>20.722300000000001</v>
      </c>
      <c r="D134" s="24">
        <v>19.995200000000001</v>
      </c>
      <c r="E134" s="22"/>
      <c r="F134" s="19"/>
      <c r="G134" s="25"/>
    </row>
    <row r="135" spans="1:7" ht="17.100000000000001" customHeight="1" x14ac:dyDescent="0.2">
      <c r="A135" s="22"/>
      <c r="B135" s="4" t="s">
        <v>1042</v>
      </c>
      <c r="C135" s="24">
        <v>19.0867</v>
      </c>
      <c r="D135" s="24">
        <v>18.417000000000002</v>
      </c>
      <c r="E135" s="22"/>
      <c r="F135" s="19"/>
      <c r="G135" s="25"/>
    </row>
    <row r="136" spans="1:7" ht="17.100000000000001" customHeight="1" x14ac:dyDescent="0.2">
      <c r="A136" s="22"/>
      <c r="B136" s="4" t="s">
        <v>171</v>
      </c>
      <c r="C136" s="24">
        <v>20.2195</v>
      </c>
      <c r="D136" s="24">
        <v>19.507200000000001</v>
      </c>
      <c r="E136" s="22"/>
      <c r="F136" s="19"/>
      <c r="G136" s="25"/>
    </row>
    <row r="137" spans="1:7" ht="17.100000000000001" customHeight="1" x14ac:dyDescent="0.2">
      <c r="A137" s="22"/>
      <c r="B137" s="4" t="s">
        <v>1043</v>
      </c>
      <c r="C137" s="24">
        <v>18.606200000000001</v>
      </c>
      <c r="D137" s="24">
        <v>17.950700000000001</v>
      </c>
      <c r="E137" s="22"/>
      <c r="F137" s="19"/>
      <c r="G137" s="25"/>
    </row>
    <row r="138" spans="1:7" ht="14.1" customHeight="1" x14ac:dyDescent="0.2">
      <c r="A138" s="22"/>
      <c r="B138" s="22"/>
      <c r="C138" s="22"/>
      <c r="D138" s="22"/>
      <c r="E138" s="22"/>
      <c r="F138" s="22"/>
      <c r="G138" s="22"/>
    </row>
    <row r="139" spans="1:7" ht="17.100000000000001" customHeight="1" x14ac:dyDescent="0.2">
      <c r="A139" s="22"/>
      <c r="B139" s="290" t="s">
        <v>1044</v>
      </c>
      <c r="C139" s="291"/>
      <c r="D139" s="2" t="s">
        <v>162</v>
      </c>
      <c r="E139" s="22"/>
      <c r="F139" s="22"/>
      <c r="G139" s="22"/>
    </row>
    <row r="140" spans="1:7" ht="18" customHeight="1" x14ac:dyDescent="0.2">
      <c r="A140" s="22"/>
      <c r="B140" s="26"/>
      <c r="C140" s="26"/>
      <c r="D140" s="27"/>
      <c r="E140" s="22"/>
      <c r="F140" s="22"/>
      <c r="G140" s="22"/>
    </row>
    <row r="141" spans="1:7" ht="29.1" customHeight="1" x14ac:dyDescent="0.2">
      <c r="A141" s="22"/>
      <c r="B141" s="290" t="s">
        <v>172</v>
      </c>
      <c r="C141" s="291"/>
      <c r="D141" s="2" t="s">
        <v>162</v>
      </c>
      <c r="E141" s="22"/>
      <c r="F141" s="22"/>
      <c r="G141" s="22"/>
    </row>
    <row r="142" spans="1:7" ht="29.1" customHeight="1" x14ac:dyDescent="0.2">
      <c r="A142" s="22"/>
      <c r="B142" s="290" t="s">
        <v>173</v>
      </c>
      <c r="C142" s="291"/>
      <c r="D142" s="2" t="s">
        <v>162</v>
      </c>
      <c r="E142" s="22"/>
      <c r="F142" s="22"/>
      <c r="G142" s="22"/>
    </row>
    <row r="143" spans="1:7" ht="17.100000000000001" customHeight="1" x14ac:dyDescent="0.2">
      <c r="A143" s="22"/>
      <c r="B143" s="290" t="s">
        <v>174</v>
      </c>
      <c r="C143" s="291"/>
      <c r="D143" s="28">
        <v>9.1354660534091345E-2</v>
      </c>
      <c r="E143" s="22"/>
      <c r="F143" s="19"/>
      <c r="G143" s="25"/>
    </row>
    <row r="144" spans="1:7" ht="17.100000000000001" customHeight="1" x14ac:dyDescent="0.2">
      <c r="A144" s="22"/>
      <c r="B144" s="290" t="s">
        <v>175</v>
      </c>
      <c r="C144" s="291"/>
      <c r="D144" s="2" t="s">
        <v>162</v>
      </c>
      <c r="E144" s="22"/>
      <c r="F144" s="22"/>
      <c r="G144" s="22"/>
    </row>
    <row r="156" spans="10:14" x14ac:dyDescent="0.2">
      <c r="J156" s="189"/>
      <c r="K156" s="189"/>
      <c r="L156" s="189"/>
      <c r="M156" s="189"/>
      <c r="N156" s="189"/>
    </row>
  </sheetData>
  <mergeCells count="15">
    <mergeCell ref="B143:C143"/>
    <mergeCell ref="B144:C144"/>
    <mergeCell ref="B129:C129"/>
    <mergeCell ref="B130:C130"/>
    <mergeCell ref="B131:C131"/>
    <mergeCell ref="B139:C139"/>
    <mergeCell ref="B141:C141"/>
    <mergeCell ref="B142:C142"/>
    <mergeCell ref="A1:H1"/>
    <mergeCell ref="A2:H2"/>
    <mergeCell ref="A3:H3"/>
    <mergeCell ref="J2:N2"/>
    <mergeCell ref="B128:C128"/>
    <mergeCell ref="B125:F125"/>
    <mergeCell ref="B126:F126"/>
  </mergeCells>
  <hyperlinks>
    <hyperlink ref="I1" location="Index!B18" display="Index" xr:uid="{39804B95-BB5B-4452-B7E0-E1B93CE288E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491</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438</v>
      </c>
      <c r="C7" s="4" t="s">
        <v>439</v>
      </c>
      <c r="D7" s="4" t="s">
        <v>900</v>
      </c>
      <c r="E7" s="5">
        <v>19582</v>
      </c>
      <c r="F7" s="6">
        <v>137.90623500000001</v>
      </c>
      <c r="G7" s="7">
        <v>4.3050092999999998E-2</v>
      </c>
      <c r="H7" s="53"/>
    </row>
    <row r="8" spans="1:14" ht="17.100000000000001" customHeight="1" x14ac:dyDescent="0.2">
      <c r="A8" s="3">
        <v>2</v>
      </c>
      <c r="B8" s="4" t="s">
        <v>83</v>
      </c>
      <c r="C8" s="4" t="s">
        <v>84</v>
      </c>
      <c r="D8" s="4" t="s">
        <v>33</v>
      </c>
      <c r="E8" s="5">
        <v>7749</v>
      </c>
      <c r="F8" s="6">
        <v>113.49960299999999</v>
      </c>
      <c r="G8" s="7">
        <v>3.5431091999999997E-2</v>
      </c>
      <c r="H8" s="53"/>
    </row>
    <row r="9" spans="1:14" ht="17.100000000000001" customHeight="1" x14ac:dyDescent="0.2">
      <c r="A9" s="3">
        <v>3</v>
      </c>
      <c r="B9" s="4" t="s">
        <v>31</v>
      </c>
      <c r="C9" s="4" t="s">
        <v>32</v>
      </c>
      <c r="D9" s="4" t="s">
        <v>33</v>
      </c>
      <c r="E9" s="5">
        <v>5766</v>
      </c>
      <c r="F9" s="6">
        <v>111.50290800000001</v>
      </c>
      <c r="G9" s="7">
        <v>3.4807785000000001E-2</v>
      </c>
      <c r="H9" s="53"/>
    </row>
    <row r="10" spans="1:14" ht="17.100000000000001" customHeight="1" x14ac:dyDescent="0.2">
      <c r="A10" s="3">
        <v>4</v>
      </c>
      <c r="B10" s="4" t="s">
        <v>374</v>
      </c>
      <c r="C10" s="4" t="s">
        <v>375</v>
      </c>
      <c r="D10" s="4" t="s">
        <v>119</v>
      </c>
      <c r="E10" s="5">
        <v>88789</v>
      </c>
      <c r="F10" s="6">
        <v>111.2970115</v>
      </c>
      <c r="G10" s="7">
        <v>3.4743509999999998E-2</v>
      </c>
      <c r="H10" s="53"/>
    </row>
    <row r="11" spans="1:14" ht="17.100000000000001" customHeight="1" x14ac:dyDescent="0.2">
      <c r="A11" s="3">
        <v>5</v>
      </c>
      <c r="B11" s="4" t="s">
        <v>114</v>
      </c>
      <c r="C11" s="4" t="s">
        <v>115</v>
      </c>
      <c r="D11" s="4" t="s">
        <v>116</v>
      </c>
      <c r="E11" s="5">
        <v>31555</v>
      </c>
      <c r="F11" s="6">
        <v>106.45079250000001</v>
      </c>
      <c r="G11" s="7">
        <v>3.3230668999999997E-2</v>
      </c>
      <c r="H11" s="53"/>
    </row>
    <row r="12" spans="1:14" ht="17.100000000000001" customHeight="1" x14ac:dyDescent="0.2">
      <c r="A12" s="3">
        <v>6</v>
      </c>
      <c r="B12" s="4" t="s">
        <v>436</v>
      </c>
      <c r="C12" s="4" t="s">
        <v>437</v>
      </c>
      <c r="D12" s="4" t="s">
        <v>237</v>
      </c>
      <c r="E12" s="5">
        <v>35324</v>
      </c>
      <c r="F12" s="6">
        <v>101.538838</v>
      </c>
      <c r="G12" s="7">
        <v>3.1697308E-2</v>
      </c>
      <c r="H12" s="53"/>
    </row>
    <row r="13" spans="1:14" ht="17.100000000000001" customHeight="1" x14ac:dyDescent="0.2">
      <c r="A13" s="3">
        <v>7</v>
      </c>
      <c r="B13" s="4" t="s">
        <v>318</v>
      </c>
      <c r="C13" s="4" t="s">
        <v>319</v>
      </c>
      <c r="D13" s="4" t="s">
        <v>320</v>
      </c>
      <c r="E13" s="5">
        <v>7740</v>
      </c>
      <c r="F13" s="6">
        <v>101.49849</v>
      </c>
      <c r="G13" s="7">
        <v>3.1684713000000003E-2</v>
      </c>
      <c r="H13" s="53"/>
      <c r="J13" s="188" t="s">
        <v>1083</v>
      </c>
    </row>
    <row r="14" spans="1:14" ht="17.100000000000001" customHeight="1" x14ac:dyDescent="0.2">
      <c r="A14" s="3">
        <v>8</v>
      </c>
      <c r="B14" s="4" t="s">
        <v>448</v>
      </c>
      <c r="C14" s="4" t="s">
        <v>449</v>
      </c>
      <c r="D14" s="4" t="s">
        <v>13</v>
      </c>
      <c r="E14" s="5">
        <v>17176</v>
      </c>
      <c r="F14" s="6">
        <v>95.996663999999996</v>
      </c>
      <c r="G14" s="7">
        <v>2.9967211000000001E-2</v>
      </c>
      <c r="H14" s="53"/>
    </row>
    <row r="15" spans="1:14" ht="29.1" customHeight="1" x14ac:dyDescent="0.2">
      <c r="A15" s="3">
        <v>9</v>
      </c>
      <c r="B15" s="4" t="s">
        <v>197</v>
      </c>
      <c r="C15" s="4" t="s">
        <v>198</v>
      </c>
      <c r="D15" s="4" t="s">
        <v>199</v>
      </c>
      <c r="E15" s="5">
        <v>2356</v>
      </c>
      <c r="F15" s="6">
        <v>95.871530000000007</v>
      </c>
      <c r="G15" s="7">
        <v>2.9928148000000002E-2</v>
      </c>
      <c r="H15" s="53"/>
    </row>
    <row r="16" spans="1:14" ht="17.100000000000001" customHeight="1" x14ac:dyDescent="0.2">
      <c r="A16" s="3">
        <v>10</v>
      </c>
      <c r="B16" s="4" t="s">
        <v>381</v>
      </c>
      <c r="C16" s="4" t="s">
        <v>382</v>
      </c>
      <c r="D16" s="4" t="s">
        <v>116</v>
      </c>
      <c r="E16" s="5">
        <v>5646</v>
      </c>
      <c r="F16" s="6">
        <v>95.005241999999996</v>
      </c>
      <c r="G16" s="7">
        <v>2.9657719999999999E-2</v>
      </c>
      <c r="H16" s="53"/>
    </row>
    <row r="17" spans="1:8" ht="17.100000000000001" customHeight="1" x14ac:dyDescent="0.2">
      <c r="A17" s="3">
        <v>11</v>
      </c>
      <c r="B17" s="4" t="s">
        <v>363</v>
      </c>
      <c r="C17" s="4" t="s">
        <v>364</v>
      </c>
      <c r="D17" s="4" t="s">
        <v>116</v>
      </c>
      <c r="E17" s="5">
        <v>18118</v>
      </c>
      <c r="F17" s="6">
        <v>93.217110000000005</v>
      </c>
      <c r="G17" s="7">
        <v>2.909952E-2</v>
      </c>
      <c r="H17" s="53"/>
    </row>
    <row r="18" spans="1:8" ht="17.100000000000001" customHeight="1" x14ac:dyDescent="0.2">
      <c r="A18" s="3">
        <v>12</v>
      </c>
      <c r="B18" s="4" t="s">
        <v>301</v>
      </c>
      <c r="C18" s="4" t="s">
        <v>302</v>
      </c>
      <c r="D18" s="4" t="s">
        <v>234</v>
      </c>
      <c r="E18" s="5">
        <v>18116</v>
      </c>
      <c r="F18" s="6">
        <v>90.507536000000002</v>
      </c>
      <c r="G18" s="7">
        <v>2.8253673999999999E-2</v>
      </c>
      <c r="H18" s="53"/>
    </row>
    <row r="19" spans="1:8" ht="17.100000000000001" customHeight="1" x14ac:dyDescent="0.2">
      <c r="A19" s="3">
        <v>13</v>
      </c>
      <c r="B19" s="4" t="s">
        <v>36</v>
      </c>
      <c r="C19" s="4" t="s">
        <v>37</v>
      </c>
      <c r="D19" s="4" t="s">
        <v>33</v>
      </c>
      <c r="E19" s="5">
        <v>4869</v>
      </c>
      <c r="F19" s="6">
        <v>86.845918499999996</v>
      </c>
      <c r="G19" s="7">
        <v>2.711063E-2</v>
      </c>
      <c r="H19" s="53"/>
    </row>
    <row r="20" spans="1:8" ht="17.100000000000001" customHeight="1" x14ac:dyDescent="0.2">
      <c r="A20" s="3">
        <v>14</v>
      </c>
      <c r="B20" s="4" t="s">
        <v>94</v>
      </c>
      <c r="C20" s="4" t="s">
        <v>95</v>
      </c>
      <c r="D20" s="4" t="s">
        <v>96</v>
      </c>
      <c r="E20" s="5">
        <v>18429</v>
      </c>
      <c r="F20" s="6">
        <v>85.704064500000001</v>
      </c>
      <c r="G20" s="7">
        <v>2.6754178E-2</v>
      </c>
      <c r="H20" s="53"/>
    </row>
    <row r="21" spans="1:8" ht="17.100000000000001" customHeight="1" x14ac:dyDescent="0.2">
      <c r="A21" s="3">
        <v>15</v>
      </c>
      <c r="B21" s="4" t="s">
        <v>312</v>
      </c>
      <c r="C21" s="4" t="s">
        <v>313</v>
      </c>
      <c r="D21" s="4" t="s">
        <v>224</v>
      </c>
      <c r="E21" s="5">
        <v>6161</v>
      </c>
      <c r="F21" s="6">
        <v>82.391052999999999</v>
      </c>
      <c r="G21" s="7">
        <v>2.5719957000000002E-2</v>
      </c>
      <c r="H21" s="53"/>
    </row>
    <row r="22" spans="1:8" ht="29.1" customHeight="1" x14ac:dyDescent="0.2">
      <c r="A22" s="3">
        <v>16</v>
      </c>
      <c r="B22" s="4" t="s">
        <v>401</v>
      </c>
      <c r="C22" s="4" t="s">
        <v>402</v>
      </c>
      <c r="D22" s="4" t="s">
        <v>227</v>
      </c>
      <c r="E22" s="5">
        <v>18366</v>
      </c>
      <c r="F22" s="6">
        <v>74.685338999999999</v>
      </c>
      <c r="G22" s="7">
        <v>2.331447E-2</v>
      </c>
      <c r="H22" s="53"/>
    </row>
    <row r="23" spans="1:8" ht="29.1" customHeight="1" x14ac:dyDescent="0.2">
      <c r="A23" s="3">
        <v>17</v>
      </c>
      <c r="B23" s="4" t="s">
        <v>68</v>
      </c>
      <c r="C23" s="4" t="s">
        <v>69</v>
      </c>
      <c r="D23" s="4" t="s">
        <v>25</v>
      </c>
      <c r="E23" s="5">
        <v>2480</v>
      </c>
      <c r="F23" s="6">
        <v>72.430880000000002</v>
      </c>
      <c r="G23" s="7">
        <v>2.2610696999999999E-2</v>
      </c>
      <c r="H23" s="53"/>
    </row>
    <row r="24" spans="1:8" ht="17.100000000000001" customHeight="1" x14ac:dyDescent="0.2">
      <c r="A24" s="3">
        <v>18</v>
      </c>
      <c r="B24" s="4" t="s">
        <v>420</v>
      </c>
      <c r="C24" s="4" t="s">
        <v>421</v>
      </c>
      <c r="D24" s="4" t="s">
        <v>224</v>
      </c>
      <c r="E24" s="5">
        <v>9165</v>
      </c>
      <c r="F24" s="6">
        <v>72.366839999999996</v>
      </c>
      <c r="G24" s="7">
        <v>2.2590705999999999E-2</v>
      </c>
      <c r="H24" s="53"/>
    </row>
    <row r="25" spans="1:8" ht="29.1" customHeight="1" x14ac:dyDescent="0.2">
      <c r="A25" s="3">
        <v>19</v>
      </c>
      <c r="B25" s="4" t="s">
        <v>407</v>
      </c>
      <c r="C25" s="4" t="s">
        <v>408</v>
      </c>
      <c r="D25" s="4" t="s">
        <v>51</v>
      </c>
      <c r="E25" s="5">
        <v>3181</v>
      </c>
      <c r="F25" s="6">
        <v>70.9092615</v>
      </c>
      <c r="G25" s="7">
        <v>2.2135695E-2</v>
      </c>
      <c r="H25" s="53"/>
    </row>
    <row r="26" spans="1:8" ht="29.1" customHeight="1" x14ac:dyDescent="0.2">
      <c r="A26" s="3">
        <v>20</v>
      </c>
      <c r="B26" s="4" t="s">
        <v>489</v>
      </c>
      <c r="C26" s="4" t="s">
        <v>490</v>
      </c>
      <c r="D26" s="4" t="s">
        <v>65</v>
      </c>
      <c r="E26" s="5">
        <v>23991</v>
      </c>
      <c r="F26" s="6">
        <v>68.542287000000002</v>
      </c>
      <c r="G26" s="7">
        <v>2.1396798000000002E-2</v>
      </c>
      <c r="H26" s="53"/>
    </row>
    <row r="27" spans="1:8" ht="17.100000000000001" customHeight="1" x14ac:dyDescent="0.2">
      <c r="A27" s="3">
        <v>21</v>
      </c>
      <c r="B27" s="4" t="s">
        <v>365</v>
      </c>
      <c r="C27" s="4" t="s">
        <v>366</v>
      </c>
      <c r="D27" s="4" t="s">
        <v>119</v>
      </c>
      <c r="E27" s="5">
        <v>12457</v>
      </c>
      <c r="F27" s="6">
        <v>66.6511785</v>
      </c>
      <c r="G27" s="7">
        <v>2.0806452E-2</v>
      </c>
      <c r="H27" s="53"/>
    </row>
    <row r="28" spans="1:8" ht="17.100000000000001" customHeight="1" x14ac:dyDescent="0.2">
      <c r="A28" s="3">
        <v>22</v>
      </c>
      <c r="B28" s="4" t="s">
        <v>422</v>
      </c>
      <c r="C28" s="4" t="s">
        <v>423</v>
      </c>
      <c r="D28" s="4" t="s">
        <v>265</v>
      </c>
      <c r="E28" s="5">
        <v>17911</v>
      </c>
      <c r="F28" s="6">
        <v>64.246757000000002</v>
      </c>
      <c r="G28" s="7">
        <v>2.0055864999999999E-2</v>
      </c>
      <c r="H28" s="53"/>
    </row>
    <row r="29" spans="1:8" ht="17.100000000000001" customHeight="1" x14ac:dyDescent="0.2">
      <c r="A29" s="3">
        <v>23</v>
      </c>
      <c r="B29" s="4" t="s">
        <v>468</v>
      </c>
      <c r="C29" s="4" t="s">
        <v>469</v>
      </c>
      <c r="D29" s="4" t="s">
        <v>224</v>
      </c>
      <c r="E29" s="5">
        <v>31256</v>
      </c>
      <c r="F29" s="6">
        <v>64.168567999999993</v>
      </c>
      <c r="G29" s="7">
        <v>2.0031456999999999E-2</v>
      </c>
      <c r="H29" s="53"/>
    </row>
    <row r="30" spans="1:8" ht="17.100000000000001" customHeight="1" x14ac:dyDescent="0.2">
      <c r="A30" s="3">
        <v>24</v>
      </c>
      <c r="B30" s="4" t="s">
        <v>405</v>
      </c>
      <c r="C30" s="4" t="s">
        <v>406</v>
      </c>
      <c r="D30" s="4" t="s">
        <v>320</v>
      </c>
      <c r="E30" s="5">
        <v>4114</v>
      </c>
      <c r="F30" s="6">
        <v>63.939788</v>
      </c>
      <c r="G30" s="7">
        <v>1.9960038999999999E-2</v>
      </c>
      <c r="H30" s="53"/>
    </row>
    <row r="31" spans="1:8" ht="29.1" customHeight="1" x14ac:dyDescent="0.2">
      <c r="A31" s="3">
        <v>25</v>
      </c>
      <c r="B31" s="4" t="s">
        <v>409</v>
      </c>
      <c r="C31" s="4" t="s">
        <v>410</v>
      </c>
      <c r="D31" s="4" t="s">
        <v>411</v>
      </c>
      <c r="E31" s="5">
        <v>47711</v>
      </c>
      <c r="F31" s="6">
        <v>59.614894499999998</v>
      </c>
      <c r="G31" s="7">
        <v>1.8609939999999998E-2</v>
      </c>
      <c r="H31" s="53"/>
    </row>
    <row r="32" spans="1:8" ht="29.1" customHeight="1" x14ac:dyDescent="0.2">
      <c r="A32" s="3">
        <v>26</v>
      </c>
      <c r="B32" s="4" t="s">
        <v>463</v>
      </c>
      <c r="C32" s="4" t="s">
        <v>464</v>
      </c>
      <c r="D32" s="4" t="s">
        <v>465</v>
      </c>
      <c r="E32" s="5">
        <v>13939</v>
      </c>
      <c r="F32" s="6">
        <v>58.557738999999998</v>
      </c>
      <c r="G32" s="7">
        <v>1.8279928000000001E-2</v>
      </c>
      <c r="H32" s="53"/>
    </row>
    <row r="33" spans="1:8" ht="17.100000000000001" customHeight="1" x14ac:dyDescent="0.2">
      <c r="A33" s="3">
        <v>27</v>
      </c>
      <c r="B33" s="4" t="s">
        <v>367</v>
      </c>
      <c r="C33" s="4" t="s">
        <v>368</v>
      </c>
      <c r="D33" s="4" t="s">
        <v>116</v>
      </c>
      <c r="E33" s="5">
        <v>10328</v>
      </c>
      <c r="F33" s="6">
        <v>52.300992000000001</v>
      </c>
      <c r="G33" s="7">
        <v>1.6326764000000001E-2</v>
      </c>
      <c r="H33" s="53"/>
    </row>
    <row r="34" spans="1:8" ht="17.100000000000001" customHeight="1" x14ac:dyDescent="0.2">
      <c r="A34" s="3">
        <v>28</v>
      </c>
      <c r="B34" s="4" t="s">
        <v>389</v>
      </c>
      <c r="C34" s="4" t="s">
        <v>390</v>
      </c>
      <c r="D34" s="4" t="s">
        <v>119</v>
      </c>
      <c r="E34" s="5">
        <v>7127</v>
      </c>
      <c r="F34" s="6">
        <v>52.144695499999997</v>
      </c>
      <c r="G34" s="7">
        <v>1.6277973000000001E-2</v>
      </c>
      <c r="H34" s="53"/>
    </row>
    <row r="35" spans="1:8" ht="29.1" customHeight="1" x14ac:dyDescent="0.2">
      <c r="A35" s="3">
        <v>29</v>
      </c>
      <c r="B35" s="4" t="s">
        <v>387</v>
      </c>
      <c r="C35" s="4" t="s">
        <v>388</v>
      </c>
      <c r="D35" s="4" t="s">
        <v>65</v>
      </c>
      <c r="E35" s="5">
        <v>3088</v>
      </c>
      <c r="F35" s="6">
        <v>49.948399999999999</v>
      </c>
      <c r="G35" s="7">
        <v>1.5592356999999999E-2</v>
      </c>
      <c r="H35" s="53"/>
    </row>
    <row r="36" spans="1:8" ht="29.1" customHeight="1" x14ac:dyDescent="0.2">
      <c r="A36" s="3">
        <v>30</v>
      </c>
      <c r="B36" s="4" t="s">
        <v>428</v>
      </c>
      <c r="C36" s="4" t="s">
        <v>429</v>
      </c>
      <c r="D36" s="4" t="s">
        <v>430</v>
      </c>
      <c r="E36" s="5">
        <v>8645</v>
      </c>
      <c r="F36" s="6">
        <v>49.1511475</v>
      </c>
      <c r="G36" s="7">
        <v>1.5343479E-2</v>
      </c>
      <c r="H36" s="53"/>
    </row>
    <row r="37" spans="1:8" ht="17.100000000000001" customHeight="1" x14ac:dyDescent="0.2">
      <c r="A37" s="3">
        <v>31</v>
      </c>
      <c r="B37" s="4" t="s">
        <v>442</v>
      </c>
      <c r="C37" s="4" t="s">
        <v>443</v>
      </c>
      <c r="D37" s="4" t="s">
        <v>119</v>
      </c>
      <c r="E37" s="5">
        <v>60160</v>
      </c>
      <c r="F37" s="6">
        <v>48.910080000000001</v>
      </c>
      <c r="G37" s="7">
        <v>1.5268225E-2</v>
      </c>
      <c r="H37" s="53"/>
    </row>
    <row r="38" spans="1:8" ht="17.100000000000001" customHeight="1" x14ac:dyDescent="0.2">
      <c r="A38" s="3">
        <v>32</v>
      </c>
      <c r="B38" s="4" t="s">
        <v>458</v>
      </c>
      <c r="C38" s="4" t="s">
        <v>459</v>
      </c>
      <c r="D38" s="4" t="s">
        <v>901</v>
      </c>
      <c r="E38" s="5">
        <v>5920</v>
      </c>
      <c r="F38" s="6">
        <v>48.014159999999997</v>
      </c>
      <c r="G38" s="7">
        <v>1.4988547E-2</v>
      </c>
      <c r="H38" s="53"/>
    </row>
    <row r="39" spans="1:8" ht="53.1" customHeight="1" x14ac:dyDescent="0.2">
      <c r="A39" s="3">
        <v>33</v>
      </c>
      <c r="B39" s="4" t="s">
        <v>444</v>
      </c>
      <c r="C39" s="4" t="s">
        <v>445</v>
      </c>
      <c r="D39" s="4" t="s">
        <v>48</v>
      </c>
      <c r="E39" s="5">
        <v>15720</v>
      </c>
      <c r="F39" s="6">
        <v>47.765219999999999</v>
      </c>
      <c r="G39" s="7">
        <v>1.4910835000000001E-2</v>
      </c>
      <c r="H39" s="53"/>
    </row>
    <row r="40" spans="1:8" ht="29.1" customHeight="1" x14ac:dyDescent="0.2">
      <c r="A40" s="3">
        <v>34</v>
      </c>
      <c r="B40" s="4" t="s">
        <v>450</v>
      </c>
      <c r="C40" s="4" t="s">
        <v>451</v>
      </c>
      <c r="D40" s="4" t="s">
        <v>430</v>
      </c>
      <c r="E40" s="5">
        <v>8921</v>
      </c>
      <c r="F40" s="6">
        <v>47.241155499999998</v>
      </c>
      <c r="G40" s="7">
        <v>1.4747237999999999E-2</v>
      </c>
      <c r="H40" s="53"/>
    </row>
    <row r="41" spans="1:8" ht="17.100000000000001" customHeight="1" x14ac:dyDescent="0.2">
      <c r="A41" s="3">
        <v>35</v>
      </c>
      <c r="B41" s="4" t="s">
        <v>403</v>
      </c>
      <c r="C41" s="4" t="s">
        <v>404</v>
      </c>
      <c r="D41" s="4" t="s">
        <v>13</v>
      </c>
      <c r="E41" s="5">
        <v>50158</v>
      </c>
      <c r="F41" s="6">
        <v>44.966647000000002</v>
      </c>
      <c r="G41" s="7">
        <v>1.4037206999999999E-2</v>
      </c>
      <c r="H41" s="53"/>
    </row>
    <row r="42" spans="1:8" ht="17.100000000000001" customHeight="1" x14ac:dyDescent="0.2">
      <c r="A42" s="3">
        <v>36</v>
      </c>
      <c r="B42" s="4" t="s">
        <v>454</v>
      </c>
      <c r="C42" s="4" t="s">
        <v>455</v>
      </c>
      <c r="D42" s="4" t="s">
        <v>45</v>
      </c>
      <c r="E42" s="5">
        <v>13444</v>
      </c>
      <c r="F42" s="6">
        <v>36.339131999999999</v>
      </c>
      <c r="G42" s="7">
        <v>1.1343961E-2</v>
      </c>
      <c r="H42" s="53"/>
    </row>
    <row r="43" spans="1:8" ht="29.1" customHeight="1" x14ac:dyDescent="0.2">
      <c r="A43" s="3">
        <v>37</v>
      </c>
      <c r="B43" s="4" t="s">
        <v>285</v>
      </c>
      <c r="C43" s="4" t="s">
        <v>286</v>
      </c>
      <c r="D43" s="4" t="s">
        <v>199</v>
      </c>
      <c r="E43" s="5">
        <v>5097</v>
      </c>
      <c r="F43" s="6">
        <v>34.631566499999998</v>
      </c>
      <c r="G43" s="7">
        <v>1.0810912000000001E-2</v>
      </c>
      <c r="H43" s="53"/>
    </row>
    <row r="44" spans="1:8" ht="17.100000000000001" customHeight="1" x14ac:dyDescent="0.2">
      <c r="A44" s="3">
        <v>38</v>
      </c>
      <c r="B44" s="4" t="s">
        <v>393</v>
      </c>
      <c r="C44" s="4" t="s">
        <v>394</v>
      </c>
      <c r="D44" s="4" t="s">
        <v>212</v>
      </c>
      <c r="E44" s="5">
        <v>4775</v>
      </c>
      <c r="F44" s="6">
        <v>34.473112499999999</v>
      </c>
      <c r="G44" s="7">
        <v>1.0761447E-2</v>
      </c>
      <c r="H44" s="53"/>
    </row>
    <row r="45" spans="1:8" ht="17.100000000000001" customHeight="1" x14ac:dyDescent="0.2">
      <c r="A45" s="3">
        <v>39</v>
      </c>
      <c r="B45" s="4" t="s">
        <v>414</v>
      </c>
      <c r="C45" s="4" t="s">
        <v>415</v>
      </c>
      <c r="D45" s="4" t="s">
        <v>87</v>
      </c>
      <c r="E45" s="5">
        <v>5084</v>
      </c>
      <c r="F45" s="6">
        <v>34.156854000000003</v>
      </c>
      <c r="G45" s="7">
        <v>1.0662721E-2</v>
      </c>
      <c r="H45" s="53"/>
    </row>
    <row r="46" spans="1:8" ht="29.1" customHeight="1" x14ac:dyDescent="0.2">
      <c r="A46" s="3">
        <v>40</v>
      </c>
      <c r="B46" s="4" t="s">
        <v>371</v>
      </c>
      <c r="C46" s="4" t="s">
        <v>372</v>
      </c>
      <c r="D46" s="4" t="s">
        <v>373</v>
      </c>
      <c r="E46" s="5">
        <v>8672</v>
      </c>
      <c r="F46" s="6">
        <v>34.063616000000003</v>
      </c>
      <c r="G46" s="7">
        <v>1.0633615000000001E-2</v>
      </c>
      <c r="H46" s="53"/>
    </row>
    <row r="47" spans="1:8" ht="29.1" customHeight="1" x14ac:dyDescent="0.2">
      <c r="A47" s="3">
        <v>41</v>
      </c>
      <c r="B47" s="4" t="s">
        <v>456</v>
      </c>
      <c r="C47" s="4" t="s">
        <v>457</v>
      </c>
      <c r="D47" s="4" t="s">
        <v>373</v>
      </c>
      <c r="E47" s="5">
        <v>7893</v>
      </c>
      <c r="F47" s="6">
        <v>32.507320499999999</v>
      </c>
      <c r="G47" s="7">
        <v>1.0147787E-2</v>
      </c>
      <c r="H47" s="53"/>
    </row>
    <row r="48" spans="1:8" ht="29.1" customHeight="1" x14ac:dyDescent="0.2">
      <c r="A48" s="3">
        <v>42</v>
      </c>
      <c r="B48" s="4" t="s">
        <v>391</v>
      </c>
      <c r="C48" s="4" t="s">
        <v>392</v>
      </c>
      <c r="D48" s="4" t="s">
        <v>116</v>
      </c>
      <c r="E48" s="5">
        <v>2514</v>
      </c>
      <c r="F48" s="6">
        <v>27.733191000000001</v>
      </c>
      <c r="G48" s="7">
        <v>8.657451E-3</v>
      </c>
      <c r="H48" s="53"/>
    </row>
    <row r="49" spans="1:8" ht="17.100000000000001" customHeight="1" x14ac:dyDescent="0.2">
      <c r="A49" s="3">
        <v>43</v>
      </c>
      <c r="B49" s="4" t="s">
        <v>416</v>
      </c>
      <c r="C49" s="4" t="s">
        <v>417</v>
      </c>
      <c r="D49" s="4" t="s">
        <v>219</v>
      </c>
      <c r="E49" s="5">
        <v>3248</v>
      </c>
      <c r="F49" s="6">
        <v>25.97588</v>
      </c>
      <c r="G49" s="7">
        <v>8.1088719999999996E-3</v>
      </c>
      <c r="H49" s="53"/>
    </row>
    <row r="50" spans="1:8" ht="17.100000000000001" customHeight="1" x14ac:dyDescent="0.2">
      <c r="A50" s="3">
        <v>44</v>
      </c>
      <c r="B50" s="4" t="s">
        <v>452</v>
      </c>
      <c r="C50" s="4" t="s">
        <v>453</v>
      </c>
      <c r="D50" s="4" t="s">
        <v>19</v>
      </c>
      <c r="E50" s="5">
        <v>8773</v>
      </c>
      <c r="F50" s="6">
        <v>20.862193999999999</v>
      </c>
      <c r="G50" s="7">
        <v>6.5125369999999997E-3</v>
      </c>
      <c r="H50" s="53"/>
    </row>
    <row r="51" spans="1:8" ht="29.1" customHeight="1" x14ac:dyDescent="0.2">
      <c r="A51" s="3">
        <v>45</v>
      </c>
      <c r="B51" s="4" t="s">
        <v>376</v>
      </c>
      <c r="C51" s="4" t="s">
        <v>377</v>
      </c>
      <c r="D51" s="4" t="s">
        <v>227</v>
      </c>
      <c r="E51" s="5">
        <v>482</v>
      </c>
      <c r="F51" s="6">
        <v>19.053460000000001</v>
      </c>
      <c r="G51" s="7">
        <v>5.9479049999999999E-3</v>
      </c>
      <c r="H51" s="53"/>
    </row>
    <row r="52" spans="1:8" ht="17.100000000000001" customHeight="1" x14ac:dyDescent="0.2">
      <c r="A52" s="3">
        <v>46</v>
      </c>
      <c r="B52" s="4" t="s">
        <v>125</v>
      </c>
      <c r="C52" s="4" t="s">
        <v>126</v>
      </c>
      <c r="D52" s="4" t="s">
        <v>116</v>
      </c>
      <c r="E52" s="5">
        <v>937</v>
      </c>
      <c r="F52" s="6">
        <v>17.721481000000001</v>
      </c>
      <c r="G52" s="7">
        <v>5.5321019999999997E-3</v>
      </c>
      <c r="H52" s="53"/>
    </row>
    <row r="53" spans="1:8" ht="17.100000000000001" customHeight="1" x14ac:dyDescent="0.2">
      <c r="A53" s="3">
        <v>47</v>
      </c>
      <c r="B53" s="4" t="s">
        <v>426</v>
      </c>
      <c r="C53" s="4" t="s">
        <v>427</v>
      </c>
      <c r="D53" s="4" t="s">
        <v>33</v>
      </c>
      <c r="E53" s="5">
        <v>2157</v>
      </c>
      <c r="F53" s="6">
        <v>17.717597999999999</v>
      </c>
      <c r="G53" s="7">
        <v>5.5308900000000001E-3</v>
      </c>
      <c r="H53" s="53"/>
    </row>
    <row r="54" spans="1:8" ht="17.100000000000001" customHeight="1" x14ac:dyDescent="0.2">
      <c r="A54" s="3">
        <v>48</v>
      </c>
      <c r="B54" s="4" t="s">
        <v>331</v>
      </c>
      <c r="C54" s="4" t="s">
        <v>332</v>
      </c>
      <c r="D54" s="4" t="s">
        <v>96</v>
      </c>
      <c r="E54" s="5">
        <v>21625</v>
      </c>
      <c r="F54" s="6">
        <v>16.21875</v>
      </c>
      <c r="G54" s="7">
        <v>5.0629960000000002E-3</v>
      </c>
      <c r="H54" s="53"/>
    </row>
    <row r="55" spans="1:8" ht="29.1" customHeight="1" x14ac:dyDescent="0.2">
      <c r="A55" s="3">
        <v>49</v>
      </c>
      <c r="B55" s="4" t="s">
        <v>431</v>
      </c>
      <c r="C55" s="4" t="s">
        <v>432</v>
      </c>
      <c r="D55" s="4" t="s">
        <v>199</v>
      </c>
      <c r="E55" s="5">
        <v>1745</v>
      </c>
      <c r="F55" s="6">
        <v>10.398455</v>
      </c>
      <c r="G55" s="7">
        <v>3.2460779999999999E-3</v>
      </c>
      <c r="H55" s="53"/>
    </row>
    <row r="56" spans="1:8" ht="29.1" customHeight="1" x14ac:dyDescent="0.2">
      <c r="A56" s="3">
        <v>50</v>
      </c>
      <c r="B56" s="4" t="s">
        <v>424</v>
      </c>
      <c r="C56" s="4" t="s">
        <v>425</v>
      </c>
      <c r="D56" s="4" t="s">
        <v>227</v>
      </c>
      <c r="E56" s="5">
        <v>1757</v>
      </c>
      <c r="F56" s="6">
        <v>4.3942569999999996</v>
      </c>
      <c r="G56" s="7">
        <v>1.371752E-3</v>
      </c>
      <c r="H56" s="53"/>
    </row>
    <row r="57" spans="1:8" ht="14.1" customHeight="1" x14ac:dyDescent="0.2">
      <c r="A57" s="1"/>
      <c r="B57" s="1"/>
      <c r="C57" s="2" t="s">
        <v>132</v>
      </c>
      <c r="D57" s="1"/>
      <c r="E57" s="1" t="s">
        <v>133</v>
      </c>
      <c r="F57" s="9">
        <v>3052.0358934999999</v>
      </c>
      <c r="G57" s="10">
        <v>0.95275190600000004</v>
      </c>
      <c r="H57" s="53"/>
    </row>
    <row r="58" spans="1:8" ht="14.1" customHeight="1" x14ac:dyDescent="0.2">
      <c r="A58" s="1"/>
      <c r="B58" s="1"/>
      <c r="C58" s="11"/>
      <c r="D58" s="1"/>
      <c r="E58" s="1"/>
      <c r="F58" s="12"/>
      <c r="G58" s="12"/>
      <c r="H58" s="53"/>
    </row>
    <row r="59" spans="1:8" ht="14.1" customHeight="1" x14ac:dyDescent="0.2">
      <c r="A59" s="1"/>
      <c r="B59" s="1"/>
      <c r="C59" s="2" t="s">
        <v>134</v>
      </c>
      <c r="D59" s="1"/>
      <c r="E59" s="1"/>
      <c r="F59" s="1"/>
      <c r="G59" s="1"/>
      <c r="H59" s="53"/>
    </row>
    <row r="60" spans="1:8" ht="14.1" customHeight="1" x14ac:dyDescent="0.2">
      <c r="A60" s="1"/>
      <c r="B60" s="1"/>
      <c r="C60" s="2" t="s">
        <v>132</v>
      </c>
      <c r="D60" s="1"/>
      <c r="E60" s="1" t="s">
        <v>133</v>
      </c>
      <c r="F60" s="13">
        <v>0</v>
      </c>
      <c r="G60" s="14">
        <v>0</v>
      </c>
      <c r="H60" s="53"/>
    </row>
    <row r="61" spans="1:8" ht="14.1" customHeight="1" x14ac:dyDescent="0.2">
      <c r="A61" s="1"/>
      <c r="B61" s="1"/>
      <c r="C61" s="11"/>
      <c r="D61" s="1"/>
      <c r="E61" s="1"/>
      <c r="F61" s="12"/>
      <c r="G61" s="12"/>
      <c r="H61" s="53"/>
    </row>
    <row r="62" spans="1:8" ht="14.1" customHeight="1" x14ac:dyDescent="0.2">
      <c r="A62" s="1"/>
      <c r="B62" s="1"/>
      <c r="C62" s="2" t="s">
        <v>135</v>
      </c>
      <c r="D62" s="1"/>
      <c r="E62" s="1"/>
      <c r="F62" s="1"/>
      <c r="G62" s="1"/>
      <c r="H62" s="53"/>
    </row>
    <row r="63" spans="1:8" ht="14.1" customHeight="1" x14ac:dyDescent="0.2">
      <c r="A63" s="1"/>
      <c r="B63" s="1"/>
      <c r="C63" s="2" t="s">
        <v>132</v>
      </c>
      <c r="D63" s="1"/>
      <c r="E63" s="1" t="s">
        <v>133</v>
      </c>
      <c r="F63" s="13">
        <v>0</v>
      </c>
      <c r="G63" s="14">
        <v>0</v>
      </c>
      <c r="H63" s="53"/>
    </row>
    <row r="64" spans="1:8" ht="14.1" customHeight="1" x14ac:dyDescent="0.2">
      <c r="A64" s="1"/>
      <c r="B64" s="1"/>
      <c r="C64" s="11"/>
      <c r="D64" s="1"/>
      <c r="E64" s="1"/>
      <c r="F64" s="12"/>
      <c r="G64" s="12"/>
      <c r="H64" s="53"/>
    </row>
    <row r="65" spans="1:8" ht="14.1" customHeight="1" x14ac:dyDescent="0.2">
      <c r="A65" s="1"/>
      <c r="B65" s="1"/>
      <c r="C65" s="2" t="s">
        <v>136</v>
      </c>
      <c r="D65" s="1"/>
      <c r="E65" s="1"/>
      <c r="F65" s="1"/>
      <c r="G65" s="1"/>
      <c r="H65" s="53"/>
    </row>
    <row r="66" spans="1:8" ht="17.100000000000001" customHeight="1" x14ac:dyDescent="0.2">
      <c r="A66" s="3">
        <v>1</v>
      </c>
      <c r="B66" s="4" t="s">
        <v>399</v>
      </c>
      <c r="C66" s="4" t="s">
        <v>960</v>
      </c>
      <c r="D66" s="4" t="s">
        <v>212</v>
      </c>
      <c r="E66" s="5">
        <v>341</v>
      </c>
      <c r="F66" s="6">
        <v>0.52155949999999995</v>
      </c>
      <c r="G66" s="7">
        <v>1.6281499999999999E-4</v>
      </c>
      <c r="H66" s="53"/>
    </row>
    <row r="67" spans="1:8" ht="14.1" customHeight="1" x14ac:dyDescent="0.2">
      <c r="A67" s="1"/>
      <c r="B67" s="1"/>
      <c r="C67" s="2" t="s">
        <v>132</v>
      </c>
      <c r="D67" s="1"/>
      <c r="E67" s="1" t="s">
        <v>133</v>
      </c>
      <c r="F67" s="9">
        <v>0.52155949999999995</v>
      </c>
      <c r="G67" s="10">
        <v>1.6281499999999999E-4</v>
      </c>
      <c r="H67" s="53"/>
    </row>
    <row r="68" spans="1:8" ht="14.1" customHeight="1" x14ac:dyDescent="0.2">
      <c r="A68" s="1"/>
      <c r="B68" s="1"/>
      <c r="C68" s="11"/>
      <c r="D68" s="1"/>
      <c r="E68" s="1"/>
      <c r="F68" s="12"/>
      <c r="G68" s="12"/>
      <c r="H68" s="53"/>
    </row>
    <row r="69" spans="1:8" ht="14.1" customHeight="1" x14ac:dyDescent="0.2">
      <c r="A69" s="1"/>
      <c r="B69" s="1"/>
      <c r="C69" s="2" t="s">
        <v>137</v>
      </c>
      <c r="D69" s="1"/>
      <c r="E69" s="1"/>
      <c r="F69" s="12"/>
      <c r="G69" s="12"/>
      <c r="H69" s="53"/>
    </row>
    <row r="70" spans="1:8" ht="14.1" customHeight="1" x14ac:dyDescent="0.2">
      <c r="A70" s="1"/>
      <c r="B70" s="1"/>
      <c r="C70" s="2" t="s">
        <v>132</v>
      </c>
      <c r="D70" s="1"/>
      <c r="E70" s="1" t="s">
        <v>133</v>
      </c>
      <c r="F70" s="13">
        <v>0</v>
      </c>
      <c r="G70" s="14">
        <v>0</v>
      </c>
      <c r="H70" s="53"/>
    </row>
    <row r="71" spans="1:8" ht="14.1" customHeight="1" x14ac:dyDescent="0.2">
      <c r="A71" s="1"/>
      <c r="B71" s="1"/>
      <c r="C71" s="11"/>
      <c r="D71" s="1"/>
      <c r="E71" s="1"/>
      <c r="F71" s="12"/>
      <c r="G71" s="12"/>
      <c r="H71" s="53"/>
    </row>
    <row r="72" spans="1:8" ht="14.1" customHeight="1" x14ac:dyDescent="0.2">
      <c r="A72" s="1"/>
      <c r="B72" s="1"/>
      <c r="C72" s="2" t="s">
        <v>138</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8" customHeight="1" x14ac:dyDescent="0.2">
      <c r="A75" s="1"/>
      <c r="B75" s="1"/>
      <c r="C75" s="2" t="s">
        <v>139</v>
      </c>
      <c r="D75" s="1"/>
      <c r="E75" s="1"/>
      <c r="F75" s="9">
        <v>3052.5574529999999</v>
      </c>
      <c r="G75" s="10">
        <v>0.95291472099999996</v>
      </c>
      <c r="H75" s="53"/>
    </row>
    <row r="76" spans="1:8" ht="14.1" customHeight="1" x14ac:dyDescent="0.2">
      <c r="A76" s="1"/>
      <c r="B76" s="1"/>
      <c r="C76" s="11"/>
      <c r="D76" s="1"/>
      <c r="E76" s="1"/>
      <c r="F76" s="12"/>
      <c r="G76" s="12"/>
      <c r="H76" s="53"/>
    </row>
    <row r="77" spans="1:8" ht="14.1" customHeight="1" x14ac:dyDescent="0.2">
      <c r="A77" s="1"/>
      <c r="B77" s="1"/>
      <c r="C77" s="2" t="s">
        <v>140</v>
      </c>
      <c r="D77" s="1"/>
      <c r="E77" s="1"/>
      <c r="F77" s="12"/>
      <c r="G77" s="12"/>
      <c r="H77" s="53"/>
    </row>
    <row r="78" spans="1:8" ht="24" customHeight="1" x14ac:dyDescent="0.2">
      <c r="A78" s="1"/>
      <c r="B78" s="1"/>
      <c r="C78" s="2" t="s">
        <v>10</v>
      </c>
      <c r="D78" s="1"/>
      <c r="E78" s="1"/>
      <c r="F78" s="12"/>
      <c r="G78" s="12"/>
      <c r="H78" s="53"/>
    </row>
    <row r="79" spans="1:8" ht="14.1" customHeight="1" x14ac:dyDescent="0.2">
      <c r="A79" s="1"/>
      <c r="B79" s="1"/>
      <c r="C79" s="2" t="s">
        <v>132</v>
      </c>
      <c r="D79" s="1"/>
      <c r="E79" s="1" t="s">
        <v>133</v>
      </c>
      <c r="F79" s="13">
        <v>0</v>
      </c>
      <c r="G79" s="14">
        <v>0</v>
      </c>
      <c r="H79" s="53"/>
    </row>
    <row r="80" spans="1:8" ht="14.1" customHeight="1" x14ac:dyDescent="0.2">
      <c r="A80" s="1"/>
      <c r="B80" s="1"/>
      <c r="C80" s="11"/>
      <c r="D80" s="1"/>
      <c r="E80" s="1"/>
      <c r="F80" s="12"/>
      <c r="G80" s="12"/>
      <c r="H80" s="53"/>
    </row>
    <row r="81" spans="1:8" ht="14.1" customHeight="1" x14ac:dyDescent="0.2">
      <c r="A81" s="1"/>
      <c r="B81" s="1"/>
      <c r="C81" s="2" t="s">
        <v>141</v>
      </c>
      <c r="D81" s="1"/>
      <c r="E81" s="1"/>
      <c r="F81" s="1"/>
      <c r="G81" s="1"/>
      <c r="H81" s="53"/>
    </row>
    <row r="82" spans="1:8" ht="14.1" customHeight="1" x14ac:dyDescent="0.2">
      <c r="A82" s="1"/>
      <c r="B82" s="1"/>
      <c r="C82" s="2" t="s">
        <v>132</v>
      </c>
      <c r="D82" s="1"/>
      <c r="E82" s="1" t="s">
        <v>133</v>
      </c>
      <c r="F82" s="13">
        <v>0</v>
      </c>
      <c r="G82" s="14">
        <v>0</v>
      </c>
      <c r="H82" s="53"/>
    </row>
    <row r="83" spans="1:8" ht="14.1" customHeight="1" x14ac:dyDescent="0.2">
      <c r="A83" s="1"/>
      <c r="B83" s="1"/>
      <c r="C83" s="11"/>
      <c r="D83" s="1"/>
      <c r="E83" s="1"/>
      <c r="F83" s="12"/>
      <c r="G83" s="12"/>
      <c r="H83" s="53"/>
    </row>
    <row r="84" spans="1:8" ht="14.1" customHeight="1" x14ac:dyDescent="0.2">
      <c r="A84" s="1"/>
      <c r="B84" s="1"/>
      <c r="C84" s="2" t="s">
        <v>142</v>
      </c>
      <c r="D84" s="1"/>
      <c r="E84" s="1"/>
      <c r="F84" s="1"/>
      <c r="G84" s="1"/>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143</v>
      </c>
      <c r="D87" s="1"/>
      <c r="E87" s="1"/>
      <c r="F87" s="12"/>
      <c r="G87" s="12"/>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4.1" customHeight="1" x14ac:dyDescent="0.2">
      <c r="A90" s="1"/>
      <c r="B90" s="1"/>
      <c r="C90" s="2" t="s">
        <v>144</v>
      </c>
      <c r="D90" s="1"/>
      <c r="E90" s="1"/>
      <c r="F90" s="9">
        <v>0</v>
      </c>
      <c r="G90" s="10">
        <v>0</v>
      </c>
      <c r="H90" s="53"/>
    </row>
    <row r="91" spans="1:8" ht="14.1" customHeight="1" x14ac:dyDescent="0.2">
      <c r="A91" s="1"/>
      <c r="B91" s="1"/>
      <c r="C91" s="11"/>
      <c r="D91" s="1"/>
      <c r="E91" s="1"/>
      <c r="F91" s="12"/>
      <c r="G91" s="12"/>
      <c r="H91" s="53"/>
    </row>
    <row r="92" spans="1:8" ht="14.1" customHeight="1" x14ac:dyDescent="0.2">
      <c r="A92" s="1"/>
      <c r="B92" s="1"/>
      <c r="C92" s="2" t="s">
        <v>145</v>
      </c>
      <c r="D92" s="1"/>
      <c r="E92" s="1"/>
      <c r="F92" s="12"/>
      <c r="G92" s="12"/>
      <c r="H92" s="53"/>
    </row>
    <row r="93" spans="1:8" ht="14.1" customHeight="1" x14ac:dyDescent="0.2">
      <c r="A93" s="1"/>
      <c r="B93" s="1"/>
      <c r="C93" s="2" t="s">
        <v>146</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147</v>
      </c>
      <c r="D96" s="1"/>
      <c r="E96" s="1"/>
      <c r="F96" s="12"/>
      <c r="G96" s="12"/>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148</v>
      </c>
      <c r="D99" s="1"/>
      <c r="E99" s="1"/>
      <c r="F99" s="12"/>
      <c r="G99" s="12"/>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149</v>
      </c>
      <c r="D102" s="1"/>
      <c r="E102" s="1"/>
      <c r="F102" s="12"/>
      <c r="G102" s="12"/>
      <c r="H102" s="53"/>
    </row>
    <row r="103" spans="1:8" ht="17.100000000000001" customHeight="1" x14ac:dyDescent="0.2">
      <c r="A103" s="3">
        <v>1</v>
      </c>
      <c r="B103" s="4"/>
      <c r="C103" s="4" t="s">
        <v>150</v>
      </c>
      <c r="D103" s="4"/>
      <c r="E103" s="8"/>
      <c r="F103" s="6">
        <v>168.91116819999999</v>
      </c>
      <c r="G103" s="7">
        <v>5.2728880999999998E-2</v>
      </c>
      <c r="H103" s="53">
        <v>6.46</v>
      </c>
    </row>
    <row r="104" spans="1:8" ht="14.1" customHeight="1" x14ac:dyDescent="0.2">
      <c r="A104" s="1"/>
      <c r="B104" s="1"/>
      <c r="C104" s="2" t="s">
        <v>132</v>
      </c>
      <c r="D104" s="1"/>
      <c r="E104" s="1" t="s">
        <v>133</v>
      </c>
      <c r="F104" s="9">
        <v>168.91116819999999</v>
      </c>
      <c r="G104" s="10">
        <v>5.2728880999999998E-2</v>
      </c>
      <c r="H104" s="53"/>
    </row>
    <row r="105" spans="1:8" ht="14.1" customHeight="1" x14ac:dyDescent="0.2">
      <c r="A105" s="1"/>
      <c r="B105" s="1"/>
      <c r="C105" s="11"/>
      <c r="D105" s="1"/>
      <c r="E105" s="1"/>
      <c r="F105" s="12"/>
      <c r="G105" s="12"/>
      <c r="H105" s="53"/>
    </row>
    <row r="106" spans="1:8" ht="14.1" customHeight="1" x14ac:dyDescent="0.2">
      <c r="A106" s="1"/>
      <c r="B106" s="1"/>
      <c r="C106" s="2" t="s">
        <v>151</v>
      </c>
      <c r="D106" s="1"/>
      <c r="E106" s="1"/>
      <c r="F106" s="9">
        <v>168.91116819999999</v>
      </c>
      <c r="G106" s="10">
        <v>5.2728880999999998E-2</v>
      </c>
      <c r="H106" s="53"/>
    </row>
    <row r="107" spans="1:8" ht="14.1" customHeight="1" x14ac:dyDescent="0.2">
      <c r="A107" s="1"/>
      <c r="B107" s="1"/>
      <c r="C107" s="12"/>
      <c r="D107" s="1"/>
      <c r="E107" s="1"/>
      <c r="F107" s="1"/>
      <c r="G107" s="1"/>
      <c r="H107" s="53"/>
    </row>
    <row r="108" spans="1:8" ht="14.1" customHeight="1" x14ac:dyDescent="0.2">
      <c r="A108" s="1"/>
      <c r="B108" s="1"/>
      <c r="C108" s="2" t="s">
        <v>152</v>
      </c>
      <c r="D108" s="1"/>
      <c r="E108" s="1"/>
      <c r="F108" s="1"/>
      <c r="G108" s="1"/>
      <c r="H108" s="53"/>
    </row>
    <row r="109" spans="1:8" ht="14.1" customHeight="1" x14ac:dyDescent="0.2">
      <c r="A109" s="1"/>
      <c r="B109" s="1"/>
      <c r="C109" s="2" t="s">
        <v>153</v>
      </c>
      <c r="D109" s="1"/>
      <c r="E109" s="1"/>
      <c r="F109" s="1"/>
      <c r="G109" s="1"/>
      <c r="H109" s="53"/>
    </row>
    <row r="110" spans="1:8" ht="14.1" customHeight="1" x14ac:dyDescent="0.2">
      <c r="A110" s="1"/>
      <c r="B110" s="1"/>
      <c r="C110" s="2" t="s">
        <v>132</v>
      </c>
      <c r="D110" s="1"/>
      <c r="E110" s="1" t="s">
        <v>133</v>
      </c>
      <c r="F110" s="13">
        <v>0</v>
      </c>
      <c r="G110" s="14">
        <v>0</v>
      </c>
      <c r="H110" s="53"/>
    </row>
    <row r="111" spans="1:8" ht="14.1" customHeight="1" x14ac:dyDescent="0.2">
      <c r="A111" s="1"/>
      <c r="B111" s="1"/>
      <c r="C111" s="11"/>
      <c r="D111" s="1"/>
      <c r="E111" s="1"/>
      <c r="F111" s="12"/>
      <c r="G111" s="12"/>
      <c r="H111" s="53"/>
    </row>
    <row r="112" spans="1:8" ht="14.1" customHeight="1" x14ac:dyDescent="0.2">
      <c r="A112" s="1"/>
      <c r="B112" s="1"/>
      <c r="C112" s="2" t="s">
        <v>154</v>
      </c>
      <c r="D112" s="1"/>
      <c r="E112" s="1"/>
      <c r="F112" s="1"/>
      <c r="G112" s="1"/>
      <c r="H112" s="53"/>
    </row>
    <row r="113" spans="1:8" ht="14.1" customHeight="1" x14ac:dyDescent="0.2">
      <c r="A113" s="1"/>
      <c r="B113" s="1"/>
      <c r="C113" s="2" t="s">
        <v>155</v>
      </c>
      <c r="D113" s="1"/>
      <c r="E113" s="1"/>
      <c r="F113" s="1"/>
      <c r="G113" s="1"/>
      <c r="H113" s="53"/>
    </row>
    <row r="114" spans="1:8" ht="14.1" customHeight="1" x14ac:dyDescent="0.2">
      <c r="A114" s="1"/>
      <c r="B114" s="1"/>
      <c r="C114" s="2" t="s">
        <v>132</v>
      </c>
      <c r="D114" s="1"/>
      <c r="E114" s="1" t="s">
        <v>133</v>
      </c>
      <c r="F114" s="13">
        <v>0</v>
      </c>
      <c r="G114" s="14">
        <v>0</v>
      </c>
      <c r="H114" s="53"/>
    </row>
    <row r="115" spans="1:8" ht="14.1" customHeight="1" x14ac:dyDescent="0.2">
      <c r="A115" s="1"/>
      <c r="B115" s="1"/>
      <c r="C115" s="11"/>
      <c r="D115" s="1"/>
      <c r="E115" s="1"/>
      <c r="F115" s="12"/>
      <c r="G115" s="12"/>
      <c r="H115" s="53"/>
    </row>
    <row r="116" spans="1:8" ht="14.1" customHeight="1" x14ac:dyDescent="0.2">
      <c r="A116" s="1"/>
      <c r="B116" s="1"/>
      <c r="C116" s="11"/>
      <c r="D116" s="1"/>
      <c r="E116" s="1"/>
      <c r="F116" s="12"/>
      <c r="G116" s="12"/>
      <c r="H116" s="53"/>
    </row>
    <row r="117" spans="1:8" ht="24" customHeight="1" x14ac:dyDescent="0.2">
      <c r="A117" s="1"/>
      <c r="B117" s="1"/>
      <c r="C117" s="2" t="s">
        <v>156</v>
      </c>
      <c r="D117" s="1"/>
      <c r="E117" s="1"/>
      <c r="F117" s="12"/>
      <c r="G117" s="12"/>
      <c r="H117" s="53"/>
    </row>
    <row r="118" spans="1:8" ht="14.1" customHeight="1" x14ac:dyDescent="0.2">
      <c r="A118" s="1"/>
      <c r="B118" s="1"/>
      <c r="C118" s="2" t="s">
        <v>132</v>
      </c>
      <c r="D118" s="1"/>
      <c r="E118" s="1" t="s">
        <v>133</v>
      </c>
      <c r="F118" s="13">
        <v>0</v>
      </c>
      <c r="G118" s="14">
        <v>0</v>
      </c>
      <c r="H118" s="53"/>
    </row>
    <row r="119" spans="1:8" ht="14.1" customHeight="1" x14ac:dyDescent="0.2">
      <c r="A119" s="1"/>
      <c r="B119" s="1"/>
      <c r="C119" s="11"/>
      <c r="D119" s="1"/>
      <c r="E119" s="1"/>
      <c r="F119" s="12"/>
      <c r="G119" s="12"/>
      <c r="H119" s="53"/>
    </row>
    <row r="120" spans="1:8" ht="14.1" customHeight="1" x14ac:dyDescent="0.2">
      <c r="A120" s="1"/>
      <c r="B120" s="4"/>
      <c r="C120" s="4"/>
      <c r="D120" s="2"/>
      <c r="E120" s="1"/>
      <c r="F120" s="4"/>
      <c r="G120" s="8"/>
      <c r="H120" s="53"/>
    </row>
    <row r="121" spans="1:8" ht="18" customHeight="1" x14ac:dyDescent="0.2">
      <c r="A121" s="8"/>
      <c r="B121" s="4"/>
      <c r="C121" s="4" t="s">
        <v>157</v>
      </c>
      <c r="D121" s="4"/>
      <c r="E121" s="8"/>
      <c r="F121" s="6">
        <v>-18.078668910000001</v>
      </c>
      <c r="G121" s="7">
        <v>-5.6436050000000003E-3</v>
      </c>
      <c r="H121" s="53"/>
    </row>
    <row r="122" spans="1:8" ht="14.1" customHeight="1" x14ac:dyDescent="0.2">
      <c r="A122" s="11"/>
      <c r="B122" s="11"/>
      <c r="C122" s="2" t="s">
        <v>158</v>
      </c>
      <c r="D122" s="15"/>
      <c r="E122" s="15"/>
      <c r="F122" s="9">
        <v>3203.3899522900001</v>
      </c>
      <c r="G122" s="10">
        <v>0.99999999699999997</v>
      </c>
      <c r="H122" s="53"/>
    </row>
    <row r="123" spans="1:8" ht="14.1" customHeight="1" x14ac:dyDescent="0.2">
      <c r="A123" s="16"/>
      <c r="B123" s="16"/>
      <c r="C123" s="16"/>
      <c r="D123" s="17"/>
      <c r="E123" s="17"/>
      <c r="F123" s="17"/>
      <c r="G123" s="17"/>
    </row>
    <row r="124" spans="1:8" ht="14.1" customHeight="1" x14ac:dyDescent="0.2">
      <c r="A124" s="18"/>
      <c r="B124" s="292" t="s">
        <v>133</v>
      </c>
      <c r="C124" s="292"/>
      <c r="D124" s="292"/>
      <c r="E124" s="292"/>
      <c r="F124" s="292"/>
      <c r="G124" s="20"/>
    </row>
    <row r="125" spans="1:8" ht="14.1" customHeight="1" x14ac:dyDescent="0.2">
      <c r="A125" s="18"/>
      <c r="B125" s="292" t="s">
        <v>133</v>
      </c>
      <c r="C125" s="292"/>
      <c r="D125" s="292"/>
      <c r="E125" s="292"/>
      <c r="F125" s="292"/>
      <c r="G125" s="20"/>
    </row>
    <row r="126" spans="1:8" ht="14.1" customHeight="1" x14ac:dyDescent="0.2">
      <c r="A126" s="18"/>
      <c r="B126" s="18"/>
      <c r="C126" s="18"/>
      <c r="D126" s="20"/>
      <c r="E126" s="20"/>
      <c r="F126" s="20"/>
      <c r="G126" s="20"/>
    </row>
    <row r="127" spans="1:8" ht="14.1" customHeight="1" x14ac:dyDescent="0.2">
      <c r="A127" s="18"/>
      <c r="B127" s="293" t="s">
        <v>160</v>
      </c>
      <c r="C127" s="294"/>
      <c r="D127" s="12" t="s">
        <v>133</v>
      </c>
      <c r="E127" s="21"/>
      <c r="F127" s="20"/>
      <c r="G127" s="20"/>
    </row>
    <row r="128" spans="1:8" ht="29.1" customHeight="1" x14ac:dyDescent="0.2">
      <c r="A128" s="18"/>
      <c r="B128" s="290" t="s">
        <v>161</v>
      </c>
      <c r="C128" s="291"/>
      <c r="D128" s="2" t="s">
        <v>162</v>
      </c>
      <c r="E128" s="21"/>
      <c r="F128" s="20"/>
      <c r="G128" s="20"/>
    </row>
    <row r="129" spans="1:7" ht="17.100000000000001" customHeight="1" x14ac:dyDescent="0.2">
      <c r="A129" s="18"/>
      <c r="B129" s="290" t="s">
        <v>163</v>
      </c>
      <c r="C129" s="291"/>
      <c r="D129" s="2" t="s">
        <v>162</v>
      </c>
      <c r="E129" s="21"/>
      <c r="F129" s="20"/>
      <c r="G129" s="20"/>
    </row>
    <row r="130" spans="1:7" ht="17.100000000000001" customHeight="1" x14ac:dyDescent="0.2">
      <c r="A130" s="18"/>
      <c r="B130" s="290" t="s">
        <v>164</v>
      </c>
      <c r="C130" s="291"/>
      <c r="D130" s="12" t="s">
        <v>133</v>
      </c>
      <c r="E130" s="21"/>
      <c r="F130" s="20"/>
      <c r="G130" s="20"/>
    </row>
    <row r="131" spans="1:7" ht="24" customHeight="1" x14ac:dyDescent="0.2">
      <c r="A131" s="22"/>
      <c r="B131" s="23" t="s">
        <v>133</v>
      </c>
      <c r="C131" s="23" t="s">
        <v>165</v>
      </c>
      <c r="D131" s="23" t="s">
        <v>166</v>
      </c>
      <c r="E131" s="22"/>
      <c r="F131" s="22"/>
      <c r="G131" s="22"/>
    </row>
    <row r="132" spans="1:7" ht="18" customHeight="1" x14ac:dyDescent="0.2">
      <c r="A132" s="22"/>
      <c r="B132" s="23" t="s">
        <v>167</v>
      </c>
      <c r="C132" s="23" t="s">
        <v>168</v>
      </c>
      <c r="D132" s="23" t="s">
        <v>169</v>
      </c>
      <c r="E132" s="22"/>
      <c r="F132" s="22"/>
      <c r="G132" s="22"/>
    </row>
    <row r="133" spans="1:7" ht="17.100000000000001" customHeight="1" x14ac:dyDescent="0.2">
      <c r="A133" s="22"/>
      <c r="B133" s="4" t="s">
        <v>170</v>
      </c>
      <c r="C133" s="24">
        <v>17.796099999999999</v>
      </c>
      <c r="D133" s="24">
        <v>17.183900000000001</v>
      </c>
      <c r="E133" s="22"/>
      <c r="F133" s="19"/>
      <c r="G133" s="25"/>
    </row>
    <row r="134" spans="1:7" ht="17.100000000000001" customHeight="1" x14ac:dyDescent="0.2">
      <c r="A134" s="22"/>
      <c r="B134" s="4" t="s">
        <v>1042</v>
      </c>
      <c r="C134" s="24">
        <v>17.796099999999999</v>
      </c>
      <c r="D134" s="24">
        <v>17.183900000000001</v>
      </c>
      <c r="E134" s="22"/>
      <c r="F134" s="19"/>
      <c r="G134" s="25"/>
    </row>
    <row r="135" spans="1:7" ht="17.100000000000001" customHeight="1" x14ac:dyDescent="0.2">
      <c r="A135" s="22"/>
      <c r="B135" s="4" t="s">
        <v>171</v>
      </c>
      <c r="C135" s="24">
        <v>17.4557</v>
      </c>
      <c r="D135" s="24">
        <v>16.8536</v>
      </c>
      <c r="E135" s="22"/>
      <c r="F135" s="19"/>
      <c r="G135" s="25"/>
    </row>
    <row r="136" spans="1:7" ht="17.100000000000001" customHeight="1" x14ac:dyDescent="0.2">
      <c r="A136" s="22"/>
      <c r="B136" s="4" t="s">
        <v>1043</v>
      </c>
      <c r="C136" s="24">
        <v>17.455500000000001</v>
      </c>
      <c r="D136" s="24">
        <v>16.853400000000001</v>
      </c>
      <c r="E136" s="22"/>
      <c r="F136" s="19"/>
      <c r="G136" s="25"/>
    </row>
    <row r="137" spans="1:7" ht="14.1" customHeight="1" x14ac:dyDescent="0.2">
      <c r="A137" s="22"/>
      <c r="B137" s="22"/>
      <c r="C137" s="22"/>
      <c r="D137" s="22"/>
      <c r="E137" s="22"/>
      <c r="F137" s="22"/>
      <c r="G137" s="22"/>
    </row>
    <row r="138" spans="1:7" ht="17.100000000000001" customHeight="1" x14ac:dyDescent="0.2">
      <c r="A138" s="22"/>
      <c r="B138" s="290" t="s">
        <v>1044</v>
      </c>
      <c r="C138" s="291"/>
      <c r="D138" s="2" t="s">
        <v>162</v>
      </c>
      <c r="E138" s="22"/>
      <c r="F138" s="22"/>
      <c r="G138" s="22"/>
    </row>
    <row r="139" spans="1:7" ht="18" customHeight="1" x14ac:dyDescent="0.2">
      <c r="A139" s="22"/>
      <c r="B139" s="26"/>
      <c r="C139" s="26"/>
      <c r="D139" s="27"/>
      <c r="E139" s="22"/>
      <c r="F139" s="22"/>
      <c r="G139" s="22"/>
    </row>
    <row r="140" spans="1:7" ht="29.1" customHeight="1" x14ac:dyDescent="0.2">
      <c r="A140" s="22"/>
      <c r="B140" s="290" t="s">
        <v>172</v>
      </c>
      <c r="C140" s="291"/>
      <c r="D140" s="2" t="s">
        <v>162</v>
      </c>
      <c r="E140" s="22"/>
      <c r="F140" s="22"/>
      <c r="G140" s="22"/>
    </row>
    <row r="141" spans="1:7" ht="29.1" customHeight="1" x14ac:dyDescent="0.2">
      <c r="A141" s="22"/>
      <c r="B141" s="290" t="s">
        <v>173</v>
      </c>
      <c r="C141" s="291"/>
      <c r="D141" s="2" t="s">
        <v>162</v>
      </c>
      <c r="E141" s="22"/>
      <c r="F141" s="22"/>
      <c r="G141" s="22"/>
    </row>
    <row r="142" spans="1:7" ht="17.100000000000001" customHeight="1" x14ac:dyDescent="0.2">
      <c r="A142" s="22"/>
      <c r="B142" s="290" t="s">
        <v>174</v>
      </c>
      <c r="C142" s="291"/>
      <c r="D142" s="28">
        <v>8.7547124992774103E-2</v>
      </c>
      <c r="E142" s="22"/>
      <c r="F142" s="19"/>
      <c r="G142" s="25"/>
    </row>
    <row r="143" spans="1:7" ht="17.100000000000001" customHeight="1" x14ac:dyDescent="0.2">
      <c r="A143" s="22"/>
      <c r="B143" s="290" t="s">
        <v>175</v>
      </c>
      <c r="C143" s="291"/>
      <c r="D143" s="2" t="s">
        <v>162</v>
      </c>
      <c r="E143" s="22"/>
      <c r="F143" s="22"/>
      <c r="G143" s="22"/>
    </row>
    <row r="155" spans="10:14" x14ac:dyDescent="0.2">
      <c r="J155" s="189"/>
      <c r="K155" s="189"/>
      <c r="L155" s="189"/>
      <c r="M155" s="189"/>
      <c r="N155" s="189"/>
    </row>
  </sheetData>
  <mergeCells count="15">
    <mergeCell ref="B142:C142"/>
    <mergeCell ref="B143:C143"/>
    <mergeCell ref="B128:C128"/>
    <mergeCell ref="B129:C129"/>
    <mergeCell ref="B130:C130"/>
    <mergeCell ref="B138:C138"/>
    <mergeCell ref="B140:C140"/>
    <mergeCell ref="B141:C141"/>
    <mergeCell ref="A1:H1"/>
    <mergeCell ref="A2:H2"/>
    <mergeCell ref="A3:H3"/>
    <mergeCell ref="J2:N2"/>
    <mergeCell ref="B127:C127"/>
    <mergeCell ref="B124:F124"/>
    <mergeCell ref="B125:F125"/>
  </mergeCells>
  <hyperlinks>
    <hyperlink ref="I1" location="Index!B19" display="Index" xr:uid="{DC7DAEC2-B99C-4D15-8976-38E2A00A3A8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5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492</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374</v>
      </c>
      <c r="C7" s="4" t="s">
        <v>375</v>
      </c>
      <c r="D7" s="4" t="s">
        <v>119</v>
      </c>
      <c r="E7" s="5">
        <v>96084</v>
      </c>
      <c r="F7" s="6">
        <v>120.441294</v>
      </c>
      <c r="G7" s="7">
        <v>4.2417614999999999E-2</v>
      </c>
      <c r="H7" s="53"/>
    </row>
    <row r="8" spans="1:14" ht="17.100000000000001" customHeight="1" x14ac:dyDescent="0.2">
      <c r="A8" s="3">
        <v>2</v>
      </c>
      <c r="B8" s="4" t="s">
        <v>31</v>
      </c>
      <c r="C8" s="4" t="s">
        <v>32</v>
      </c>
      <c r="D8" s="4" t="s">
        <v>33</v>
      </c>
      <c r="E8" s="5">
        <v>5066</v>
      </c>
      <c r="F8" s="6">
        <v>97.966307999999998</v>
      </c>
      <c r="G8" s="7">
        <v>3.4502261999999999E-2</v>
      </c>
      <c r="H8" s="53"/>
    </row>
    <row r="9" spans="1:14" ht="17.100000000000001" customHeight="1" x14ac:dyDescent="0.2">
      <c r="A9" s="3">
        <v>3</v>
      </c>
      <c r="B9" s="4" t="s">
        <v>301</v>
      </c>
      <c r="C9" s="4" t="s">
        <v>302</v>
      </c>
      <c r="D9" s="4" t="s">
        <v>234</v>
      </c>
      <c r="E9" s="5">
        <v>19524</v>
      </c>
      <c r="F9" s="6">
        <v>97.541904000000002</v>
      </c>
      <c r="G9" s="7">
        <v>3.4352793E-2</v>
      </c>
      <c r="H9" s="53"/>
    </row>
    <row r="10" spans="1:14" ht="17.100000000000001" customHeight="1" x14ac:dyDescent="0.2">
      <c r="A10" s="3">
        <v>4</v>
      </c>
      <c r="B10" s="4" t="s">
        <v>381</v>
      </c>
      <c r="C10" s="4" t="s">
        <v>382</v>
      </c>
      <c r="D10" s="4" t="s">
        <v>116</v>
      </c>
      <c r="E10" s="5">
        <v>5377</v>
      </c>
      <c r="F10" s="6">
        <v>90.478779000000003</v>
      </c>
      <c r="G10" s="7">
        <v>3.1865267000000003E-2</v>
      </c>
      <c r="H10" s="53"/>
    </row>
    <row r="11" spans="1:14" ht="17.100000000000001" customHeight="1" x14ac:dyDescent="0.2">
      <c r="A11" s="3">
        <v>5</v>
      </c>
      <c r="B11" s="4" t="s">
        <v>114</v>
      </c>
      <c r="C11" s="4" t="s">
        <v>115</v>
      </c>
      <c r="D11" s="4" t="s">
        <v>116</v>
      </c>
      <c r="E11" s="5">
        <v>26570</v>
      </c>
      <c r="F11" s="6">
        <v>89.633894999999995</v>
      </c>
      <c r="G11" s="7">
        <v>3.1567710999999998E-2</v>
      </c>
      <c r="H11" s="53"/>
    </row>
    <row r="12" spans="1:14" ht="17.100000000000001" customHeight="1" x14ac:dyDescent="0.2">
      <c r="A12" s="3">
        <v>6</v>
      </c>
      <c r="B12" s="4" t="s">
        <v>83</v>
      </c>
      <c r="C12" s="4" t="s">
        <v>84</v>
      </c>
      <c r="D12" s="4" t="s">
        <v>33</v>
      </c>
      <c r="E12" s="5">
        <v>5898</v>
      </c>
      <c r="F12" s="6">
        <v>86.388006000000004</v>
      </c>
      <c r="G12" s="7">
        <v>3.0424558000000001E-2</v>
      </c>
      <c r="H12" s="53"/>
    </row>
    <row r="13" spans="1:14" ht="17.100000000000001" customHeight="1" x14ac:dyDescent="0.2">
      <c r="A13" s="3">
        <v>7</v>
      </c>
      <c r="B13" s="4" t="s">
        <v>438</v>
      </c>
      <c r="C13" s="4" t="s">
        <v>439</v>
      </c>
      <c r="D13" s="4" t="s">
        <v>900</v>
      </c>
      <c r="E13" s="5">
        <v>12073</v>
      </c>
      <c r="F13" s="6">
        <v>85.024102499999998</v>
      </c>
      <c r="G13" s="7">
        <v>2.9944212000000001E-2</v>
      </c>
      <c r="H13" s="53"/>
    </row>
    <row r="14" spans="1:14" ht="17.100000000000001" customHeight="1" x14ac:dyDescent="0.2">
      <c r="A14" s="3">
        <v>8</v>
      </c>
      <c r="B14" s="4" t="s">
        <v>318</v>
      </c>
      <c r="C14" s="4" t="s">
        <v>319</v>
      </c>
      <c r="D14" s="4" t="s">
        <v>320</v>
      </c>
      <c r="E14" s="5">
        <v>6432</v>
      </c>
      <c r="F14" s="6">
        <v>84.346031999999994</v>
      </c>
      <c r="G14" s="7">
        <v>2.9705406E-2</v>
      </c>
      <c r="H14" s="53"/>
      <c r="J14" s="188" t="s">
        <v>1083</v>
      </c>
    </row>
    <row r="15" spans="1:14" ht="17.100000000000001" customHeight="1" x14ac:dyDescent="0.2">
      <c r="A15" s="3">
        <v>9</v>
      </c>
      <c r="B15" s="4" t="s">
        <v>94</v>
      </c>
      <c r="C15" s="4" t="s">
        <v>95</v>
      </c>
      <c r="D15" s="4" t="s">
        <v>96</v>
      </c>
      <c r="E15" s="5">
        <v>16682</v>
      </c>
      <c r="F15" s="6">
        <v>77.579640999999995</v>
      </c>
      <c r="G15" s="7">
        <v>2.7322384000000002E-2</v>
      </c>
      <c r="H15" s="53"/>
    </row>
    <row r="16" spans="1:14" ht="29.1" customHeight="1" x14ac:dyDescent="0.2">
      <c r="A16" s="3">
        <v>10</v>
      </c>
      <c r="B16" s="4" t="s">
        <v>191</v>
      </c>
      <c r="C16" s="4" t="s">
        <v>192</v>
      </c>
      <c r="D16" s="4" t="s">
        <v>116</v>
      </c>
      <c r="E16" s="5">
        <v>22574</v>
      </c>
      <c r="F16" s="6">
        <v>75.950222999999994</v>
      </c>
      <c r="G16" s="7">
        <v>2.6748528000000001E-2</v>
      </c>
      <c r="H16" s="53"/>
    </row>
    <row r="17" spans="1:8" ht="29.1" customHeight="1" x14ac:dyDescent="0.2">
      <c r="A17" s="3">
        <v>11</v>
      </c>
      <c r="B17" s="4" t="s">
        <v>197</v>
      </c>
      <c r="C17" s="4" t="s">
        <v>198</v>
      </c>
      <c r="D17" s="4" t="s">
        <v>199</v>
      </c>
      <c r="E17" s="5">
        <v>1852</v>
      </c>
      <c r="F17" s="6">
        <v>75.36251</v>
      </c>
      <c r="G17" s="7">
        <v>2.6541544E-2</v>
      </c>
      <c r="H17" s="53"/>
    </row>
    <row r="18" spans="1:8" ht="17.100000000000001" customHeight="1" x14ac:dyDescent="0.2">
      <c r="A18" s="3">
        <v>12</v>
      </c>
      <c r="B18" s="4" t="s">
        <v>312</v>
      </c>
      <c r="C18" s="4" t="s">
        <v>313</v>
      </c>
      <c r="D18" s="4" t="s">
        <v>224</v>
      </c>
      <c r="E18" s="5">
        <v>5601</v>
      </c>
      <c r="F18" s="6">
        <v>74.902173000000005</v>
      </c>
      <c r="G18" s="7">
        <v>2.6379420000000001E-2</v>
      </c>
      <c r="H18" s="53"/>
    </row>
    <row r="19" spans="1:8" ht="17.100000000000001" customHeight="1" x14ac:dyDescent="0.2">
      <c r="A19" s="3">
        <v>13</v>
      </c>
      <c r="B19" s="4" t="s">
        <v>363</v>
      </c>
      <c r="C19" s="4" t="s">
        <v>364</v>
      </c>
      <c r="D19" s="4" t="s">
        <v>116</v>
      </c>
      <c r="E19" s="5">
        <v>14444</v>
      </c>
      <c r="F19" s="6">
        <v>74.31438</v>
      </c>
      <c r="G19" s="7">
        <v>2.6172408000000001E-2</v>
      </c>
      <c r="H19" s="53"/>
    </row>
    <row r="20" spans="1:8" ht="17.100000000000001" customHeight="1" x14ac:dyDescent="0.2">
      <c r="A20" s="3">
        <v>14</v>
      </c>
      <c r="B20" s="4" t="s">
        <v>436</v>
      </c>
      <c r="C20" s="4" t="s">
        <v>437</v>
      </c>
      <c r="D20" s="4" t="s">
        <v>237</v>
      </c>
      <c r="E20" s="5">
        <v>24965</v>
      </c>
      <c r="F20" s="6">
        <v>71.761892500000002</v>
      </c>
      <c r="G20" s="7">
        <v>2.5273461000000001E-2</v>
      </c>
      <c r="H20" s="53"/>
    </row>
    <row r="21" spans="1:8" ht="29.1" customHeight="1" x14ac:dyDescent="0.2">
      <c r="A21" s="3">
        <v>15</v>
      </c>
      <c r="B21" s="4" t="s">
        <v>401</v>
      </c>
      <c r="C21" s="4" t="s">
        <v>402</v>
      </c>
      <c r="D21" s="4" t="s">
        <v>227</v>
      </c>
      <c r="E21" s="5">
        <v>17579</v>
      </c>
      <c r="F21" s="6">
        <v>71.485003500000005</v>
      </c>
      <c r="G21" s="7">
        <v>2.5175943999999999E-2</v>
      </c>
      <c r="H21" s="53"/>
    </row>
    <row r="22" spans="1:8" ht="17.100000000000001" customHeight="1" x14ac:dyDescent="0.2">
      <c r="A22" s="3">
        <v>16</v>
      </c>
      <c r="B22" s="4" t="s">
        <v>468</v>
      </c>
      <c r="C22" s="4" t="s">
        <v>469</v>
      </c>
      <c r="D22" s="4" t="s">
        <v>224</v>
      </c>
      <c r="E22" s="5">
        <v>33431</v>
      </c>
      <c r="F22" s="6">
        <v>68.633842999999999</v>
      </c>
      <c r="G22" s="7">
        <v>2.4171808999999999E-2</v>
      </c>
      <c r="H22" s="53"/>
    </row>
    <row r="23" spans="1:8" ht="17.100000000000001" customHeight="1" x14ac:dyDescent="0.2">
      <c r="A23" s="3">
        <v>17</v>
      </c>
      <c r="B23" s="4" t="s">
        <v>365</v>
      </c>
      <c r="C23" s="4" t="s">
        <v>366</v>
      </c>
      <c r="D23" s="4" t="s">
        <v>119</v>
      </c>
      <c r="E23" s="5">
        <v>12229</v>
      </c>
      <c r="F23" s="6">
        <v>65.431264499999997</v>
      </c>
      <c r="G23" s="7">
        <v>2.3043909000000001E-2</v>
      </c>
      <c r="H23" s="53"/>
    </row>
    <row r="24" spans="1:8" ht="17.100000000000001" customHeight="1" x14ac:dyDescent="0.2">
      <c r="A24" s="3">
        <v>18</v>
      </c>
      <c r="B24" s="4" t="s">
        <v>405</v>
      </c>
      <c r="C24" s="4" t="s">
        <v>406</v>
      </c>
      <c r="D24" s="4" t="s">
        <v>320</v>
      </c>
      <c r="E24" s="5">
        <v>4116</v>
      </c>
      <c r="F24" s="6">
        <v>63.970872</v>
      </c>
      <c r="G24" s="7">
        <v>2.252958E-2</v>
      </c>
      <c r="H24" s="53"/>
    </row>
    <row r="25" spans="1:8" ht="17.100000000000001" customHeight="1" x14ac:dyDescent="0.2">
      <c r="A25" s="3">
        <v>19</v>
      </c>
      <c r="B25" s="4" t="s">
        <v>420</v>
      </c>
      <c r="C25" s="4" t="s">
        <v>421</v>
      </c>
      <c r="D25" s="4" t="s">
        <v>224</v>
      </c>
      <c r="E25" s="5">
        <v>8090</v>
      </c>
      <c r="F25" s="6">
        <v>63.878639999999997</v>
      </c>
      <c r="G25" s="7">
        <v>2.2497098E-2</v>
      </c>
      <c r="H25" s="53"/>
    </row>
    <row r="26" spans="1:8" ht="17.100000000000001" customHeight="1" x14ac:dyDescent="0.2">
      <c r="A26" s="3">
        <v>20</v>
      </c>
      <c r="B26" s="4" t="s">
        <v>205</v>
      </c>
      <c r="C26" s="4" t="s">
        <v>206</v>
      </c>
      <c r="D26" s="4" t="s">
        <v>900</v>
      </c>
      <c r="E26" s="5">
        <v>1624</v>
      </c>
      <c r="F26" s="6">
        <v>62.863416000000001</v>
      </c>
      <c r="G26" s="7">
        <v>2.2139551E-2</v>
      </c>
      <c r="H26" s="53"/>
    </row>
    <row r="27" spans="1:8" ht="29.1" customHeight="1" x14ac:dyDescent="0.2">
      <c r="A27" s="3">
        <v>21</v>
      </c>
      <c r="B27" s="4" t="s">
        <v>225</v>
      </c>
      <c r="C27" s="4" t="s">
        <v>226</v>
      </c>
      <c r="D27" s="4" t="s">
        <v>227</v>
      </c>
      <c r="E27" s="5">
        <v>15078</v>
      </c>
      <c r="F27" s="6">
        <v>56.580195000000003</v>
      </c>
      <c r="G27" s="7">
        <v>1.9926695000000001E-2</v>
      </c>
      <c r="H27" s="53"/>
    </row>
    <row r="28" spans="1:8" ht="17.100000000000001" customHeight="1" x14ac:dyDescent="0.2">
      <c r="A28" s="3">
        <v>22</v>
      </c>
      <c r="B28" s="4" t="s">
        <v>422</v>
      </c>
      <c r="C28" s="4" t="s">
        <v>423</v>
      </c>
      <c r="D28" s="4" t="s">
        <v>265</v>
      </c>
      <c r="E28" s="5">
        <v>15525</v>
      </c>
      <c r="F28" s="6">
        <v>55.688175000000001</v>
      </c>
      <c r="G28" s="7">
        <v>1.9612538999999998E-2</v>
      </c>
      <c r="H28" s="53"/>
    </row>
    <row r="29" spans="1:8" ht="17.100000000000001" customHeight="1" x14ac:dyDescent="0.2">
      <c r="A29" s="3">
        <v>23</v>
      </c>
      <c r="B29" s="4" t="s">
        <v>36</v>
      </c>
      <c r="C29" s="4" t="s">
        <v>37</v>
      </c>
      <c r="D29" s="4" t="s">
        <v>33</v>
      </c>
      <c r="E29" s="5">
        <v>3026</v>
      </c>
      <c r="F29" s="6">
        <v>53.973249000000003</v>
      </c>
      <c r="G29" s="7">
        <v>1.9008568E-2</v>
      </c>
      <c r="H29" s="53"/>
    </row>
    <row r="30" spans="1:8" ht="17.100000000000001" customHeight="1" x14ac:dyDescent="0.2">
      <c r="A30" s="3">
        <v>24</v>
      </c>
      <c r="B30" s="4" t="s">
        <v>448</v>
      </c>
      <c r="C30" s="4" t="s">
        <v>449</v>
      </c>
      <c r="D30" s="4" t="s">
        <v>13</v>
      </c>
      <c r="E30" s="5">
        <v>8951</v>
      </c>
      <c r="F30" s="6">
        <v>50.027138999999998</v>
      </c>
      <c r="G30" s="7">
        <v>1.7618807E-2</v>
      </c>
      <c r="H30" s="53"/>
    </row>
    <row r="31" spans="1:8" ht="29.1" customHeight="1" x14ac:dyDescent="0.2">
      <c r="A31" s="3">
        <v>25</v>
      </c>
      <c r="B31" s="4" t="s">
        <v>387</v>
      </c>
      <c r="C31" s="4" t="s">
        <v>388</v>
      </c>
      <c r="D31" s="4" t="s">
        <v>65</v>
      </c>
      <c r="E31" s="5">
        <v>3057</v>
      </c>
      <c r="F31" s="6">
        <v>49.446975000000002</v>
      </c>
      <c r="G31" s="7">
        <v>1.7414481999999998E-2</v>
      </c>
      <c r="H31" s="53"/>
    </row>
    <row r="32" spans="1:8" ht="29.1" customHeight="1" x14ac:dyDescent="0.2">
      <c r="A32" s="3">
        <v>26</v>
      </c>
      <c r="B32" s="4" t="s">
        <v>407</v>
      </c>
      <c r="C32" s="4" t="s">
        <v>408</v>
      </c>
      <c r="D32" s="4" t="s">
        <v>51</v>
      </c>
      <c r="E32" s="5">
        <v>2217</v>
      </c>
      <c r="F32" s="6">
        <v>49.420255500000003</v>
      </c>
      <c r="G32" s="7">
        <v>1.7405072000000001E-2</v>
      </c>
      <c r="H32" s="53"/>
    </row>
    <row r="33" spans="1:8" ht="17.100000000000001" customHeight="1" x14ac:dyDescent="0.2">
      <c r="A33" s="3">
        <v>27</v>
      </c>
      <c r="B33" s="4" t="s">
        <v>458</v>
      </c>
      <c r="C33" s="4" t="s">
        <v>459</v>
      </c>
      <c r="D33" s="4" t="s">
        <v>901</v>
      </c>
      <c r="E33" s="5">
        <v>6046</v>
      </c>
      <c r="F33" s="6">
        <v>49.036082999999998</v>
      </c>
      <c r="G33" s="7">
        <v>1.7269771999999999E-2</v>
      </c>
      <c r="H33" s="53"/>
    </row>
    <row r="34" spans="1:8" ht="29.1" customHeight="1" x14ac:dyDescent="0.2">
      <c r="A34" s="3">
        <v>28</v>
      </c>
      <c r="B34" s="4" t="s">
        <v>409</v>
      </c>
      <c r="C34" s="4" t="s">
        <v>410</v>
      </c>
      <c r="D34" s="4" t="s">
        <v>411</v>
      </c>
      <c r="E34" s="5">
        <v>39159</v>
      </c>
      <c r="F34" s="6">
        <v>48.929170499999998</v>
      </c>
      <c r="G34" s="7">
        <v>1.7232119000000001E-2</v>
      </c>
      <c r="H34" s="53"/>
    </row>
    <row r="35" spans="1:8" ht="17.100000000000001" customHeight="1" x14ac:dyDescent="0.2">
      <c r="A35" s="3">
        <v>29</v>
      </c>
      <c r="B35" s="4" t="s">
        <v>403</v>
      </c>
      <c r="C35" s="4" t="s">
        <v>404</v>
      </c>
      <c r="D35" s="4" t="s">
        <v>13</v>
      </c>
      <c r="E35" s="5">
        <v>51989</v>
      </c>
      <c r="F35" s="6">
        <v>46.608138500000003</v>
      </c>
      <c r="G35" s="7">
        <v>1.6414686000000001E-2</v>
      </c>
      <c r="H35" s="53"/>
    </row>
    <row r="36" spans="1:8" ht="29.1" customHeight="1" x14ac:dyDescent="0.2">
      <c r="A36" s="3">
        <v>30</v>
      </c>
      <c r="B36" s="4" t="s">
        <v>68</v>
      </c>
      <c r="C36" s="4" t="s">
        <v>69</v>
      </c>
      <c r="D36" s="4" t="s">
        <v>25</v>
      </c>
      <c r="E36" s="5">
        <v>1574</v>
      </c>
      <c r="F36" s="6">
        <v>45.970244000000001</v>
      </c>
      <c r="G36" s="7">
        <v>1.6190029000000002E-2</v>
      </c>
      <c r="H36" s="53"/>
    </row>
    <row r="37" spans="1:8" ht="17.100000000000001" customHeight="1" x14ac:dyDescent="0.2">
      <c r="A37" s="3">
        <v>31</v>
      </c>
      <c r="B37" s="4" t="s">
        <v>367</v>
      </c>
      <c r="C37" s="4" t="s">
        <v>368</v>
      </c>
      <c r="D37" s="4" t="s">
        <v>116</v>
      </c>
      <c r="E37" s="5">
        <v>9015</v>
      </c>
      <c r="F37" s="6">
        <v>45.651960000000003</v>
      </c>
      <c r="G37" s="7">
        <v>1.6077935000000002E-2</v>
      </c>
      <c r="H37" s="53"/>
    </row>
    <row r="38" spans="1:8" ht="17.100000000000001" customHeight="1" x14ac:dyDescent="0.2">
      <c r="A38" s="3">
        <v>32</v>
      </c>
      <c r="B38" s="4" t="s">
        <v>389</v>
      </c>
      <c r="C38" s="4" t="s">
        <v>390</v>
      </c>
      <c r="D38" s="4" t="s">
        <v>119</v>
      </c>
      <c r="E38" s="5">
        <v>6095</v>
      </c>
      <c r="F38" s="6">
        <v>44.594067500000001</v>
      </c>
      <c r="G38" s="7">
        <v>1.5705361000000001E-2</v>
      </c>
      <c r="H38" s="53"/>
    </row>
    <row r="39" spans="1:8" ht="29.1" customHeight="1" x14ac:dyDescent="0.2">
      <c r="A39" s="3">
        <v>33</v>
      </c>
      <c r="B39" s="4" t="s">
        <v>371</v>
      </c>
      <c r="C39" s="4" t="s">
        <v>372</v>
      </c>
      <c r="D39" s="4" t="s">
        <v>373</v>
      </c>
      <c r="E39" s="5">
        <v>9641</v>
      </c>
      <c r="F39" s="6">
        <v>37.869847999999998</v>
      </c>
      <c r="G39" s="7">
        <v>1.3337191999999999E-2</v>
      </c>
      <c r="H39" s="53"/>
    </row>
    <row r="40" spans="1:8" ht="17.100000000000001" customHeight="1" x14ac:dyDescent="0.2">
      <c r="A40" s="3">
        <v>34</v>
      </c>
      <c r="B40" s="4" t="s">
        <v>383</v>
      </c>
      <c r="C40" s="4" t="s">
        <v>384</v>
      </c>
      <c r="D40" s="4" t="s">
        <v>901</v>
      </c>
      <c r="E40" s="5">
        <v>3490</v>
      </c>
      <c r="F40" s="6">
        <v>37.787975000000003</v>
      </c>
      <c r="G40" s="7">
        <v>1.3308357E-2</v>
      </c>
      <c r="H40" s="53"/>
    </row>
    <row r="41" spans="1:8" ht="29.1" customHeight="1" x14ac:dyDescent="0.2">
      <c r="A41" s="3">
        <v>35</v>
      </c>
      <c r="B41" s="4" t="s">
        <v>285</v>
      </c>
      <c r="C41" s="4" t="s">
        <v>286</v>
      </c>
      <c r="D41" s="4" t="s">
        <v>199</v>
      </c>
      <c r="E41" s="5">
        <v>4967</v>
      </c>
      <c r="F41" s="6">
        <v>33.748281499999997</v>
      </c>
      <c r="G41" s="7">
        <v>1.1885638E-2</v>
      </c>
      <c r="H41" s="53"/>
    </row>
    <row r="42" spans="1:8" ht="17.100000000000001" customHeight="1" x14ac:dyDescent="0.2">
      <c r="A42" s="3">
        <v>36</v>
      </c>
      <c r="B42" s="4" t="s">
        <v>393</v>
      </c>
      <c r="C42" s="4" t="s">
        <v>394</v>
      </c>
      <c r="D42" s="4" t="s">
        <v>212</v>
      </c>
      <c r="E42" s="5">
        <v>4552</v>
      </c>
      <c r="F42" s="6">
        <v>32.863163999999998</v>
      </c>
      <c r="G42" s="7">
        <v>1.1573913E-2</v>
      </c>
      <c r="H42" s="53"/>
    </row>
    <row r="43" spans="1:8" ht="29.1" customHeight="1" x14ac:dyDescent="0.2">
      <c r="A43" s="3">
        <v>37</v>
      </c>
      <c r="B43" s="4" t="s">
        <v>450</v>
      </c>
      <c r="C43" s="4" t="s">
        <v>451</v>
      </c>
      <c r="D43" s="4" t="s">
        <v>430</v>
      </c>
      <c r="E43" s="5">
        <v>6151</v>
      </c>
      <c r="F43" s="6">
        <v>32.572620499999999</v>
      </c>
      <c r="G43" s="7">
        <v>1.1471588E-2</v>
      </c>
      <c r="H43" s="53"/>
    </row>
    <row r="44" spans="1:8" ht="29.1" customHeight="1" x14ac:dyDescent="0.2">
      <c r="A44" s="3">
        <v>38</v>
      </c>
      <c r="B44" s="4" t="s">
        <v>456</v>
      </c>
      <c r="C44" s="4" t="s">
        <v>457</v>
      </c>
      <c r="D44" s="4" t="s">
        <v>373</v>
      </c>
      <c r="E44" s="5">
        <v>7853</v>
      </c>
      <c r="F44" s="6">
        <v>32.342580499999997</v>
      </c>
      <c r="G44" s="7">
        <v>1.1390571E-2</v>
      </c>
      <c r="H44" s="53"/>
    </row>
    <row r="45" spans="1:8" ht="17.100000000000001" customHeight="1" x14ac:dyDescent="0.2">
      <c r="A45" s="3">
        <v>39</v>
      </c>
      <c r="B45" s="4" t="s">
        <v>442</v>
      </c>
      <c r="C45" s="4" t="s">
        <v>443</v>
      </c>
      <c r="D45" s="4" t="s">
        <v>119</v>
      </c>
      <c r="E45" s="5">
        <v>38726</v>
      </c>
      <c r="F45" s="6">
        <v>31.484238000000001</v>
      </c>
      <c r="G45" s="7">
        <v>1.1088275999999999E-2</v>
      </c>
      <c r="H45" s="53"/>
    </row>
    <row r="46" spans="1:8" ht="29.1" customHeight="1" x14ac:dyDescent="0.2">
      <c r="A46" s="3">
        <v>40</v>
      </c>
      <c r="B46" s="4" t="s">
        <v>418</v>
      </c>
      <c r="C46" s="4" t="s">
        <v>419</v>
      </c>
      <c r="D46" s="4" t="s">
        <v>227</v>
      </c>
      <c r="E46" s="5">
        <v>1489</v>
      </c>
      <c r="F46" s="6">
        <v>28.953605</v>
      </c>
      <c r="G46" s="7">
        <v>1.0197025E-2</v>
      </c>
      <c r="H46" s="53"/>
    </row>
    <row r="47" spans="1:8" ht="29.1" customHeight="1" x14ac:dyDescent="0.2">
      <c r="A47" s="3">
        <v>41</v>
      </c>
      <c r="B47" s="4" t="s">
        <v>463</v>
      </c>
      <c r="C47" s="4" t="s">
        <v>464</v>
      </c>
      <c r="D47" s="4" t="s">
        <v>465</v>
      </c>
      <c r="E47" s="5">
        <v>6786</v>
      </c>
      <c r="F47" s="6">
        <v>28.507985999999999</v>
      </c>
      <c r="G47" s="7">
        <v>1.0040083999999999E-2</v>
      </c>
      <c r="H47" s="53"/>
    </row>
    <row r="48" spans="1:8" ht="17.100000000000001" customHeight="1" x14ac:dyDescent="0.2">
      <c r="A48" s="3">
        <v>42</v>
      </c>
      <c r="B48" s="4" t="s">
        <v>414</v>
      </c>
      <c r="C48" s="4" t="s">
        <v>415</v>
      </c>
      <c r="D48" s="4" t="s">
        <v>87</v>
      </c>
      <c r="E48" s="5">
        <v>3898</v>
      </c>
      <c r="F48" s="6">
        <v>26.188713</v>
      </c>
      <c r="G48" s="7">
        <v>9.2232709999999999E-3</v>
      </c>
      <c r="H48" s="53"/>
    </row>
    <row r="49" spans="1:8" ht="29.1" customHeight="1" x14ac:dyDescent="0.2">
      <c r="A49" s="3">
        <v>43</v>
      </c>
      <c r="B49" s="4" t="s">
        <v>391</v>
      </c>
      <c r="C49" s="4" t="s">
        <v>392</v>
      </c>
      <c r="D49" s="4" t="s">
        <v>116</v>
      </c>
      <c r="E49" s="5">
        <v>2262</v>
      </c>
      <c r="F49" s="6">
        <v>24.953253</v>
      </c>
      <c r="G49" s="7">
        <v>8.7881609999999992E-3</v>
      </c>
      <c r="H49" s="53"/>
    </row>
    <row r="50" spans="1:8" ht="29.1" customHeight="1" x14ac:dyDescent="0.2">
      <c r="A50" s="3">
        <v>44</v>
      </c>
      <c r="B50" s="4" t="s">
        <v>376</v>
      </c>
      <c r="C50" s="4" t="s">
        <v>377</v>
      </c>
      <c r="D50" s="4" t="s">
        <v>227</v>
      </c>
      <c r="E50" s="5">
        <v>536</v>
      </c>
      <c r="F50" s="6">
        <v>21.188079999999999</v>
      </c>
      <c r="G50" s="7">
        <v>7.4621239999999997E-3</v>
      </c>
      <c r="H50" s="53"/>
    </row>
    <row r="51" spans="1:8" ht="17.100000000000001" customHeight="1" x14ac:dyDescent="0.2">
      <c r="A51" s="3">
        <v>45</v>
      </c>
      <c r="B51" s="4" t="s">
        <v>452</v>
      </c>
      <c r="C51" s="4" t="s">
        <v>453</v>
      </c>
      <c r="D51" s="4" t="s">
        <v>19</v>
      </c>
      <c r="E51" s="5">
        <v>8871</v>
      </c>
      <c r="F51" s="6">
        <v>21.095237999999998</v>
      </c>
      <c r="G51" s="7">
        <v>7.4294260000000003E-3</v>
      </c>
      <c r="H51" s="53"/>
    </row>
    <row r="52" spans="1:8" ht="17.100000000000001" customHeight="1" x14ac:dyDescent="0.2">
      <c r="A52" s="3">
        <v>46</v>
      </c>
      <c r="B52" s="4" t="s">
        <v>416</v>
      </c>
      <c r="C52" s="4" t="s">
        <v>417</v>
      </c>
      <c r="D52" s="4" t="s">
        <v>219</v>
      </c>
      <c r="E52" s="5">
        <v>2470</v>
      </c>
      <c r="F52" s="6">
        <v>19.753824999999999</v>
      </c>
      <c r="G52" s="7">
        <v>6.9569999999999996E-3</v>
      </c>
      <c r="H52" s="53"/>
    </row>
    <row r="53" spans="1:8" ht="17.100000000000001" customHeight="1" x14ac:dyDescent="0.2">
      <c r="A53" s="3">
        <v>47</v>
      </c>
      <c r="B53" s="4" t="s">
        <v>125</v>
      </c>
      <c r="C53" s="4" t="s">
        <v>126</v>
      </c>
      <c r="D53" s="4" t="s">
        <v>116</v>
      </c>
      <c r="E53" s="5">
        <v>928</v>
      </c>
      <c r="F53" s="6">
        <v>17.551264</v>
      </c>
      <c r="G53" s="7">
        <v>6.1812919999999997E-3</v>
      </c>
      <c r="H53" s="53"/>
    </row>
    <row r="54" spans="1:8" ht="17.100000000000001" customHeight="1" x14ac:dyDescent="0.2">
      <c r="A54" s="3">
        <v>48</v>
      </c>
      <c r="B54" s="4" t="s">
        <v>426</v>
      </c>
      <c r="C54" s="4" t="s">
        <v>427</v>
      </c>
      <c r="D54" s="4" t="s">
        <v>33</v>
      </c>
      <c r="E54" s="5">
        <v>2121</v>
      </c>
      <c r="F54" s="6">
        <v>17.421894000000002</v>
      </c>
      <c r="G54" s="7">
        <v>6.1357290000000004E-3</v>
      </c>
      <c r="H54" s="53"/>
    </row>
    <row r="55" spans="1:8" ht="17.100000000000001" customHeight="1" x14ac:dyDescent="0.2">
      <c r="A55" s="3">
        <v>49</v>
      </c>
      <c r="B55" s="4" t="s">
        <v>395</v>
      </c>
      <c r="C55" s="4" t="s">
        <v>396</v>
      </c>
      <c r="D55" s="4" t="s">
        <v>116</v>
      </c>
      <c r="E55" s="5">
        <v>7251</v>
      </c>
      <c r="F55" s="6">
        <v>17.253754499999999</v>
      </c>
      <c r="G55" s="7">
        <v>6.0765130000000004E-3</v>
      </c>
      <c r="H55" s="53"/>
    </row>
    <row r="56" spans="1:8" ht="17.100000000000001" customHeight="1" x14ac:dyDescent="0.2">
      <c r="A56" s="3">
        <v>50</v>
      </c>
      <c r="B56" s="4" t="s">
        <v>331</v>
      </c>
      <c r="C56" s="4" t="s">
        <v>332</v>
      </c>
      <c r="D56" s="4" t="s">
        <v>96</v>
      </c>
      <c r="E56" s="5">
        <v>21625</v>
      </c>
      <c r="F56" s="6">
        <v>16.21875</v>
      </c>
      <c r="G56" s="7">
        <v>5.7120000000000001E-3</v>
      </c>
      <c r="H56" s="53"/>
    </row>
    <row r="57" spans="1:8" ht="53.1" customHeight="1" x14ac:dyDescent="0.2">
      <c r="A57" s="3">
        <v>51</v>
      </c>
      <c r="B57" s="4" t="s">
        <v>444</v>
      </c>
      <c r="C57" s="4" t="s">
        <v>445</v>
      </c>
      <c r="D57" s="4" t="s">
        <v>48</v>
      </c>
      <c r="E57" s="5">
        <v>4894</v>
      </c>
      <c r="F57" s="6">
        <v>14.870419</v>
      </c>
      <c r="G57" s="7">
        <v>5.2371379999999997E-3</v>
      </c>
      <c r="H57" s="53"/>
    </row>
    <row r="58" spans="1:8" ht="29.1" customHeight="1" x14ac:dyDescent="0.2">
      <c r="A58" s="3">
        <v>52</v>
      </c>
      <c r="B58" s="4" t="s">
        <v>428</v>
      </c>
      <c r="C58" s="4" t="s">
        <v>429</v>
      </c>
      <c r="D58" s="4" t="s">
        <v>430</v>
      </c>
      <c r="E58" s="5">
        <v>2505</v>
      </c>
      <c r="F58" s="6">
        <v>14.2421775</v>
      </c>
      <c r="G58" s="7">
        <v>5.0158809999999998E-3</v>
      </c>
      <c r="H58" s="53"/>
    </row>
    <row r="59" spans="1:8" ht="29.1" customHeight="1" x14ac:dyDescent="0.2">
      <c r="A59" s="3">
        <v>53</v>
      </c>
      <c r="B59" s="4" t="s">
        <v>431</v>
      </c>
      <c r="C59" s="4" t="s">
        <v>432</v>
      </c>
      <c r="D59" s="4" t="s">
        <v>199</v>
      </c>
      <c r="E59" s="5">
        <v>1926</v>
      </c>
      <c r="F59" s="6">
        <v>11.477034</v>
      </c>
      <c r="G59" s="7">
        <v>4.0420389999999999E-3</v>
      </c>
      <c r="H59" s="53"/>
    </row>
    <row r="60" spans="1:8" ht="29.1" customHeight="1" x14ac:dyDescent="0.2">
      <c r="A60" s="3">
        <v>54</v>
      </c>
      <c r="B60" s="4" t="s">
        <v>424</v>
      </c>
      <c r="C60" s="4" t="s">
        <v>425</v>
      </c>
      <c r="D60" s="4" t="s">
        <v>227</v>
      </c>
      <c r="E60" s="5">
        <v>1748</v>
      </c>
      <c r="F60" s="6">
        <v>4.3717480000000002</v>
      </c>
      <c r="G60" s="7">
        <v>1.539664E-3</v>
      </c>
      <c r="H60" s="53"/>
    </row>
    <row r="61" spans="1:8" ht="14.1" customHeight="1" x14ac:dyDescent="0.2">
      <c r="A61" s="1"/>
      <c r="B61" s="1"/>
      <c r="C61" s="2" t="s">
        <v>132</v>
      </c>
      <c r="D61" s="1"/>
      <c r="E61" s="1" t="s">
        <v>133</v>
      </c>
      <c r="F61" s="9">
        <v>2716.5962795</v>
      </c>
      <c r="G61" s="10">
        <v>0.95674440699999996</v>
      </c>
      <c r="H61" s="53"/>
    </row>
    <row r="62" spans="1:8" ht="14.1" customHeight="1" x14ac:dyDescent="0.2">
      <c r="A62" s="1"/>
      <c r="B62" s="1"/>
      <c r="C62" s="11"/>
      <c r="D62" s="1"/>
      <c r="E62" s="1"/>
      <c r="F62" s="12"/>
      <c r="G62" s="12"/>
      <c r="H62" s="53"/>
    </row>
    <row r="63" spans="1:8" ht="14.1" customHeight="1" x14ac:dyDescent="0.2">
      <c r="A63" s="1"/>
      <c r="B63" s="1"/>
      <c r="C63" s="2" t="s">
        <v>134</v>
      </c>
      <c r="D63" s="1"/>
      <c r="E63" s="1"/>
      <c r="F63" s="1"/>
      <c r="G63" s="1"/>
      <c r="H63" s="53"/>
    </row>
    <row r="64" spans="1:8" ht="14.1" customHeight="1" x14ac:dyDescent="0.2">
      <c r="A64" s="1"/>
      <c r="B64" s="1"/>
      <c r="C64" s="2" t="s">
        <v>132</v>
      </c>
      <c r="D64" s="1"/>
      <c r="E64" s="1" t="s">
        <v>133</v>
      </c>
      <c r="F64" s="13">
        <v>0</v>
      </c>
      <c r="G64" s="14">
        <v>0</v>
      </c>
      <c r="H64" s="53"/>
    </row>
    <row r="65" spans="1:8" ht="14.1" customHeight="1" x14ac:dyDescent="0.2">
      <c r="A65" s="1"/>
      <c r="B65" s="1"/>
      <c r="C65" s="11"/>
      <c r="D65" s="1"/>
      <c r="E65" s="1"/>
      <c r="F65" s="12"/>
      <c r="G65" s="12"/>
      <c r="H65" s="53"/>
    </row>
    <row r="66" spans="1:8" ht="14.1" customHeight="1" x14ac:dyDescent="0.2">
      <c r="A66" s="1"/>
      <c r="B66" s="1"/>
      <c r="C66" s="2" t="s">
        <v>135</v>
      </c>
      <c r="D66" s="1"/>
      <c r="E66" s="1"/>
      <c r="F66" s="1"/>
      <c r="G66" s="1"/>
      <c r="H66" s="53"/>
    </row>
    <row r="67" spans="1:8" ht="14.1" customHeight="1" x14ac:dyDescent="0.2">
      <c r="A67" s="1"/>
      <c r="B67" s="1"/>
      <c r="C67" s="2" t="s">
        <v>132</v>
      </c>
      <c r="D67" s="1"/>
      <c r="E67" s="1" t="s">
        <v>133</v>
      </c>
      <c r="F67" s="13">
        <v>0</v>
      </c>
      <c r="G67" s="14">
        <v>0</v>
      </c>
      <c r="H67" s="53"/>
    </row>
    <row r="68" spans="1:8" ht="14.1" customHeight="1" x14ac:dyDescent="0.2">
      <c r="A68" s="1"/>
      <c r="B68" s="1"/>
      <c r="C68" s="11"/>
      <c r="D68" s="1"/>
      <c r="E68" s="1"/>
      <c r="F68" s="12"/>
      <c r="G68" s="12"/>
      <c r="H68" s="53"/>
    </row>
    <row r="69" spans="1:8" ht="14.1" customHeight="1" x14ac:dyDescent="0.2">
      <c r="A69" s="1"/>
      <c r="B69" s="1"/>
      <c r="C69" s="2" t="s">
        <v>136</v>
      </c>
      <c r="D69" s="1"/>
      <c r="E69" s="1"/>
      <c r="F69" s="1"/>
      <c r="G69" s="1"/>
      <c r="H69" s="53"/>
    </row>
    <row r="70" spans="1:8" ht="17.100000000000001" customHeight="1" x14ac:dyDescent="0.2">
      <c r="A70" s="3">
        <v>1</v>
      </c>
      <c r="B70" s="4" t="s">
        <v>399</v>
      </c>
      <c r="C70" s="4" t="s">
        <v>960</v>
      </c>
      <c r="D70" s="4" t="s">
        <v>212</v>
      </c>
      <c r="E70" s="5">
        <v>325</v>
      </c>
      <c r="F70" s="6">
        <v>0.49708750000000002</v>
      </c>
      <c r="G70" s="7">
        <v>1.75067E-4</v>
      </c>
      <c r="H70" s="53"/>
    </row>
    <row r="71" spans="1:8" ht="14.1" customHeight="1" x14ac:dyDescent="0.2">
      <c r="A71" s="1"/>
      <c r="B71" s="1"/>
      <c r="C71" s="2" t="s">
        <v>132</v>
      </c>
      <c r="D71" s="1"/>
      <c r="E71" s="1" t="s">
        <v>133</v>
      </c>
      <c r="F71" s="9">
        <v>0.49708750000000002</v>
      </c>
      <c r="G71" s="10">
        <v>1.75067E-4</v>
      </c>
      <c r="H71" s="53"/>
    </row>
    <row r="72" spans="1:8" ht="14.1" customHeight="1" x14ac:dyDescent="0.2">
      <c r="A72" s="1"/>
      <c r="B72" s="1"/>
      <c r="C72" s="11"/>
      <c r="D72" s="1"/>
      <c r="E72" s="1"/>
      <c r="F72" s="12"/>
      <c r="G72" s="12"/>
      <c r="H72" s="53"/>
    </row>
    <row r="73" spans="1:8" ht="14.1" customHeight="1" x14ac:dyDescent="0.2">
      <c r="A73" s="1"/>
      <c r="B73" s="1"/>
      <c r="C73" s="2" t="s">
        <v>137</v>
      </c>
      <c r="D73" s="1"/>
      <c r="E73" s="1"/>
      <c r="F73" s="12"/>
      <c r="G73" s="12"/>
      <c r="H73" s="53"/>
    </row>
    <row r="74" spans="1:8" ht="14.1" customHeight="1" x14ac:dyDescent="0.2">
      <c r="A74" s="1"/>
      <c r="B74" s="1"/>
      <c r="C74" s="2" t="s">
        <v>132</v>
      </c>
      <c r="D74" s="1"/>
      <c r="E74" s="1" t="s">
        <v>133</v>
      </c>
      <c r="F74" s="13">
        <v>0</v>
      </c>
      <c r="G74" s="14">
        <v>0</v>
      </c>
      <c r="H74" s="53"/>
    </row>
    <row r="75" spans="1:8" ht="14.1" customHeight="1" x14ac:dyDescent="0.2">
      <c r="A75" s="1"/>
      <c r="B75" s="1"/>
      <c r="C75" s="11"/>
      <c r="D75" s="1"/>
      <c r="E75" s="1"/>
      <c r="F75" s="12"/>
      <c r="G75" s="12"/>
      <c r="H75" s="53"/>
    </row>
    <row r="76" spans="1:8" ht="14.1" customHeight="1" x14ac:dyDescent="0.2">
      <c r="A76" s="1"/>
      <c r="B76" s="1"/>
      <c r="C76" s="2" t="s">
        <v>138</v>
      </c>
      <c r="D76" s="1"/>
      <c r="E76" s="1"/>
      <c r="F76" s="12"/>
      <c r="G76" s="12"/>
      <c r="H76" s="53"/>
    </row>
    <row r="77" spans="1:8" ht="14.1" customHeight="1" x14ac:dyDescent="0.2">
      <c r="A77" s="1"/>
      <c r="B77" s="1"/>
      <c r="C77" s="2" t="s">
        <v>132</v>
      </c>
      <c r="D77" s="1"/>
      <c r="E77" s="1" t="s">
        <v>133</v>
      </c>
      <c r="F77" s="13">
        <v>0</v>
      </c>
      <c r="G77" s="14">
        <v>0</v>
      </c>
      <c r="H77" s="53"/>
    </row>
    <row r="78" spans="1:8" ht="14.1" customHeight="1" x14ac:dyDescent="0.2">
      <c r="A78" s="1"/>
      <c r="B78" s="1"/>
      <c r="C78" s="11"/>
      <c r="D78" s="1"/>
      <c r="E78" s="1"/>
      <c r="F78" s="12"/>
      <c r="G78" s="12"/>
      <c r="H78" s="53"/>
    </row>
    <row r="79" spans="1:8" ht="18" customHeight="1" x14ac:dyDescent="0.2">
      <c r="A79" s="1"/>
      <c r="B79" s="1"/>
      <c r="C79" s="2" t="s">
        <v>139</v>
      </c>
      <c r="D79" s="1"/>
      <c r="E79" s="1"/>
      <c r="F79" s="9">
        <v>2717.0933669999999</v>
      </c>
      <c r="G79" s="10">
        <v>0.95691947399999999</v>
      </c>
      <c r="H79" s="53"/>
    </row>
    <row r="80" spans="1:8" ht="14.1" customHeight="1" x14ac:dyDescent="0.2">
      <c r="A80" s="1"/>
      <c r="B80" s="1"/>
      <c r="C80" s="11"/>
      <c r="D80" s="1"/>
      <c r="E80" s="1"/>
      <c r="F80" s="12"/>
      <c r="G80" s="12"/>
      <c r="H80" s="53"/>
    </row>
    <row r="81" spans="1:8" ht="14.1" customHeight="1" x14ac:dyDescent="0.2">
      <c r="A81" s="1"/>
      <c r="B81" s="1"/>
      <c r="C81" s="2" t="s">
        <v>140</v>
      </c>
      <c r="D81" s="1"/>
      <c r="E81" s="1"/>
      <c r="F81" s="12"/>
      <c r="G81" s="12"/>
      <c r="H81" s="53"/>
    </row>
    <row r="82" spans="1:8" ht="24" customHeight="1" x14ac:dyDescent="0.2">
      <c r="A82" s="1"/>
      <c r="B82" s="1"/>
      <c r="C82" s="2" t="s">
        <v>10</v>
      </c>
      <c r="D82" s="1"/>
      <c r="E82" s="1"/>
      <c r="F82" s="12"/>
      <c r="G82" s="12"/>
      <c r="H82" s="53"/>
    </row>
    <row r="83" spans="1:8" ht="14.1" customHeight="1" x14ac:dyDescent="0.2">
      <c r="A83" s="1"/>
      <c r="B83" s="1"/>
      <c r="C83" s="2" t="s">
        <v>132</v>
      </c>
      <c r="D83" s="1"/>
      <c r="E83" s="1" t="s">
        <v>133</v>
      </c>
      <c r="F83" s="13">
        <v>0</v>
      </c>
      <c r="G83" s="14">
        <v>0</v>
      </c>
      <c r="H83" s="53"/>
    </row>
    <row r="84" spans="1:8" ht="14.1" customHeight="1" x14ac:dyDescent="0.2">
      <c r="A84" s="1"/>
      <c r="B84" s="1"/>
      <c r="C84" s="11"/>
      <c r="D84" s="1"/>
      <c r="E84" s="1"/>
      <c r="F84" s="12"/>
      <c r="G84" s="12"/>
      <c r="H84" s="53"/>
    </row>
    <row r="85" spans="1:8" ht="14.1" customHeight="1" x14ac:dyDescent="0.2">
      <c r="A85" s="1"/>
      <c r="B85" s="1"/>
      <c r="C85" s="2" t="s">
        <v>141</v>
      </c>
      <c r="D85" s="1"/>
      <c r="E85" s="1"/>
      <c r="F85" s="1"/>
      <c r="G85" s="1"/>
      <c r="H85" s="53"/>
    </row>
    <row r="86" spans="1:8" ht="14.1" customHeight="1" x14ac:dyDescent="0.2">
      <c r="A86" s="1"/>
      <c r="B86" s="1"/>
      <c r="C86" s="2" t="s">
        <v>132</v>
      </c>
      <c r="D86" s="1"/>
      <c r="E86" s="1" t="s">
        <v>133</v>
      </c>
      <c r="F86" s="13">
        <v>0</v>
      </c>
      <c r="G86" s="14">
        <v>0</v>
      </c>
      <c r="H86" s="53"/>
    </row>
    <row r="87" spans="1:8" ht="14.1" customHeight="1" x14ac:dyDescent="0.2">
      <c r="A87" s="1"/>
      <c r="B87" s="1"/>
      <c r="C87" s="11"/>
      <c r="D87" s="1"/>
      <c r="E87" s="1"/>
      <c r="F87" s="12"/>
      <c r="G87" s="12"/>
      <c r="H87" s="53"/>
    </row>
    <row r="88" spans="1:8" ht="14.1" customHeight="1" x14ac:dyDescent="0.2">
      <c r="A88" s="1"/>
      <c r="B88" s="1"/>
      <c r="C88" s="2" t="s">
        <v>142</v>
      </c>
      <c r="D88" s="1"/>
      <c r="E88" s="1"/>
      <c r="F88" s="1"/>
      <c r="G88" s="1"/>
      <c r="H88" s="53"/>
    </row>
    <row r="89" spans="1:8" ht="14.1" customHeight="1" x14ac:dyDescent="0.2">
      <c r="A89" s="1"/>
      <c r="B89" s="1"/>
      <c r="C89" s="2" t="s">
        <v>132</v>
      </c>
      <c r="D89" s="1"/>
      <c r="E89" s="1" t="s">
        <v>133</v>
      </c>
      <c r="F89" s="13">
        <v>0</v>
      </c>
      <c r="G89" s="14">
        <v>0</v>
      </c>
      <c r="H89" s="53"/>
    </row>
    <row r="90" spans="1:8" ht="14.1" customHeight="1" x14ac:dyDescent="0.2">
      <c r="A90" s="1"/>
      <c r="B90" s="1"/>
      <c r="C90" s="11"/>
      <c r="D90" s="1"/>
      <c r="E90" s="1"/>
      <c r="F90" s="12"/>
      <c r="G90" s="12"/>
      <c r="H90" s="53"/>
    </row>
    <row r="91" spans="1:8" ht="14.1" customHeight="1" x14ac:dyDescent="0.2">
      <c r="A91" s="1"/>
      <c r="B91" s="1"/>
      <c r="C91" s="2" t="s">
        <v>143</v>
      </c>
      <c r="D91" s="1"/>
      <c r="E91" s="1"/>
      <c r="F91" s="12"/>
      <c r="G91" s="12"/>
      <c r="H91" s="53"/>
    </row>
    <row r="92" spans="1:8" ht="14.1" customHeight="1" x14ac:dyDescent="0.2">
      <c r="A92" s="1"/>
      <c r="B92" s="1"/>
      <c r="C92" s="2" t="s">
        <v>132</v>
      </c>
      <c r="D92" s="1"/>
      <c r="E92" s="1" t="s">
        <v>133</v>
      </c>
      <c r="F92" s="13">
        <v>0</v>
      </c>
      <c r="G92" s="14">
        <v>0</v>
      </c>
      <c r="H92" s="53"/>
    </row>
    <row r="93" spans="1:8" ht="14.1" customHeight="1" x14ac:dyDescent="0.2">
      <c r="A93" s="1"/>
      <c r="B93" s="1"/>
      <c r="C93" s="11"/>
      <c r="D93" s="1"/>
      <c r="E93" s="1"/>
      <c r="F93" s="12"/>
      <c r="G93" s="12"/>
      <c r="H93" s="53"/>
    </row>
    <row r="94" spans="1:8" ht="14.1" customHeight="1" x14ac:dyDescent="0.2">
      <c r="A94" s="1"/>
      <c r="B94" s="1"/>
      <c r="C94" s="2" t="s">
        <v>144</v>
      </c>
      <c r="D94" s="1"/>
      <c r="E94" s="1"/>
      <c r="F94" s="9">
        <v>0</v>
      </c>
      <c r="G94" s="10">
        <v>0</v>
      </c>
      <c r="H94" s="53"/>
    </row>
    <row r="95" spans="1:8" ht="14.1" customHeight="1" x14ac:dyDescent="0.2">
      <c r="A95" s="1"/>
      <c r="B95" s="1"/>
      <c r="C95" s="11"/>
      <c r="D95" s="1"/>
      <c r="E95" s="1"/>
      <c r="F95" s="12"/>
      <c r="G95" s="12"/>
      <c r="H95" s="53"/>
    </row>
    <row r="96" spans="1:8" ht="14.1" customHeight="1" x14ac:dyDescent="0.2">
      <c r="A96" s="1"/>
      <c r="B96" s="1"/>
      <c r="C96" s="2" t="s">
        <v>145</v>
      </c>
      <c r="D96" s="1"/>
      <c r="E96" s="1"/>
      <c r="F96" s="12"/>
      <c r="G96" s="12"/>
      <c r="H96" s="53"/>
    </row>
    <row r="97" spans="1:8" ht="14.1" customHeight="1" x14ac:dyDescent="0.2">
      <c r="A97" s="1"/>
      <c r="B97" s="1"/>
      <c r="C97" s="2" t="s">
        <v>146</v>
      </c>
      <c r="D97" s="1"/>
      <c r="E97" s="1"/>
      <c r="F97" s="12"/>
      <c r="G97" s="12"/>
      <c r="H97" s="53"/>
    </row>
    <row r="98" spans="1:8" ht="14.1" customHeight="1" x14ac:dyDescent="0.2">
      <c r="A98" s="1"/>
      <c r="B98" s="1"/>
      <c r="C98" s="2" t="s">
        <v>132</v>
      </c>
      <c r="D98" s="1"/>
      <c r="E98" s="1" t="s">
        <v>133</v>
      </c>
      <c r="F98" s="13">
        <v>0</v>
      </c>
      <c r="G98" s="14">
        <v>0</v>
      </c>
      <c r="H98" s="53"/>
    </row>
    <row r="99" spans="1:8" ht="14.1" customHeight="1" x14ac:dyDescent="0.2">
      <c r="A99" s="1"/>
      <c r="B99" s="1"/>
      <c r="C99" s="11"/>
      <c r="D99" s="1"/>
      <c r="E99" s="1"/>
      <c r="F99" s="12"/>
      <c r="G99" s="12"/>
      <c r="H99" s="53"/>
    </row>
    <row r="100" spans="1:8" ht="14.1" customHeight="1" x14ac:dyDescent="0.2">
      <c r="A100" s="1"/>
      <c r="B100" s="1"/>
      <c r="C100" s="2" t="s">
        <v>147</v>
      </c>
      <c r="D100" s="1"/>
      <c r="E100" s="1"/>
      <c r="F100" s="12"/>
      <c r="G100" s="12"/>
      <c r="H100" s="53"/>
    </row>
    <row r="101" spans="1:8" ht="14.1" customHeight="1" x14ac:dyDescent="0.2">
      <c r="A101" s="1"/>
      <c r="B101" s="1"/>
      <c r="C101" s="2" t="s">
        <v>132</v>
      </c>
      <c r="D101" s="1"/>
      <c r="E101" s="1" t="s">
        <v>133</v>
      </c>
      <c r="F101" s="13">
        <v>0</v>
      </c>
      <c r="G101" s="14">
        <v>0</v>
      </c>
      <c r="H101" s="53"/>
    </row>
    <row r="102" spans="1:8" ht="14.1" customHeight="1" x14ac:dyDescent="0.2">
      <c r="A102" s="1"/>
      <c r="B102" s="1"/>
      <c r="C102" s="11"/>
      <c r="D102" s="1"/>
      <c r="E102" s="1"/>
      <c r="F102" s="12"/>
      <c r="G102" s="12"/>
      <c r="H102" s="53"/>
    </row>
    <row r="103" spans="1:8" ht="14.1" customHeight="1" x14ac:dyDescent="0.2">
      <c r="A103" s="1"/>
      <c r="B103" s="1"/>
      <c r="C103" s="2" t="s">
        <v>148</v>
      </c>
      <c r="D103" s="1"/>
      <c r="E103" s="1"/>
      <c r="F103" s="12"/>
      <c r="G103" s="12"/>
      <c r="H103" s="53"/>
    </row>
    <row r="104" spans="1:8" ht="14.1" customHeight="1" x14ac:dyDescent="0.2">
      <c r="A104" s="1"/>
      <c r="B104" s="1"/>
      <c r="C104" s="2" t="s">
        <v>132</v>
      </c>
      <c r="D104" s="1"/>
      <c r="E104" s="1" t="s">
        <v>133</v>
      </c>
      <c r="F104" s="13">
        <v>0</v>
      </c>
      <c r="G104" s="14">
        <v>0</v>
      </c>
      <c r="H104" s="53"/>
    </row>
    <row r="105" spans="1:8" ht="14.1" customHeight="1" x14ac:dyDescent="0.2">
      <c r="A105" s="1"/>
      <c r="B105" s="1"/>
      <c r="C105" s="11"/>
      <c r="D105" s="1"/>
      <c r="E105" s="1"/>
      <c r="F105" s="12"/>
      <c r="G105" s="12"/>
      <c r="H105" s="53"/>
    </row>
    <row r="106" spans="1:8" ht="14.1" customHeight="1" x14ac:dyDescent="0.2">
      <c r="A106" s="1"/>
      <c r="B106" s="1"/>
      <c r="C106" s="2" t="s">
        <v>149</v>
      </c>
      <c r="D106" s="1"/>
      <c r="E106" s="1"/>
      <c r="F106" s="12"/>
      <c r="G106" s="12"/>
      <c r="H106" s="53"/>
    </row>
    <row r="107" spans="1:8" ht="17.100000000000001" customHeight="1" x14ac:dyDescent="0.2">
      <c r="A107" s="3">
        <v>1</v>
      </c>
      <c r="B107" s="4"/>
      <c r="C107" s="4" t="s">
        <v>150</v>
      </c>
      <c r="D107" s="4"/>
      <c r="E107" s="8"/>
      <c r="F107" s="6">
        <v>123.58684599999999</v>
      </c>
      <c r="G107" s="7">
        <v>4.3525431000000003E-2</v>
      </c>
      <c r="H107" s="53">
        <v>6.46</v>
      </c>
    </row>
    <row r="108" spans="1:8" ht="14.1" customHeight="1" x14ac:dyDescent="0.2">
      <c r="A108" s="1"/>
      <c r="B108" s="1"/>
      <c r="C108" s="2" t="s">
        <v>132</v>
      </c>
      <c r="D108" s="1"/>
      <c r="E108" s="1" t="s">
        <v>133</v>
      </c>
      <c r="F108" s="9">
        <v>123.58684599999999</v>
      </c>
      <c r="G108" s="10">
        <v>4.3525431000000003E-2</v>
      </c>
      <c r="H108" s="53"/>
    </row>
    <row r="109" spans="1:8" ht="14.1" customHeight="1" x14ac:dyDescent="0.2">
      <c r="A109" s="1"/>
      <c r="B109" s="1"/>
      <c r="C109" s="11"/>
      <c r="D109" s="1"/>
      <c r="E109" s="1"/>
      <c r="F109" s="12"/>
      <c r="G109" s="12"/>
      <c r="H109" s="53"/>
    </row>
    <row r="110" spans="1:8" ht="14.1" customHeight="1" x14ac:dyDescent="0.2">
      <c r="A110" s="1"/>
      <c r="B110" s="1"/>
      <c r="C110" s="2" t="s">
        <v>151</v>
      </c>
      <c r="D110" s="1"/>
      <c r="E110" s="1"/>
      <c r="F110" s="9">
        <v>123.58684599999999</v>
      </c>
      <c r="G110" s="10">
        <v>4.3525431000000003E-2</v>
      </c>
      <c r="H110" s="53"/>
    </row>
    <row r="111" spans="1:8" ht="14.1" customHeight="1" x14ac:dyDescent="0.2">
      <c r="A111" s="1"/>
      <c r="B111" s="1"/>
      <c r="C111" s="12"/>
      <c r="D111" s="1"/>
      <c r="E111" s="1"/>
      <c r="F111" s="1"/>
      <c r="G111" s="1"/>
      <c r="H111" s="53"/>
    </row>
    <row r="112" spans="1:8" ht="14.1" customHeight="1" x14ac:dyDescent="0.2">
      <c r="A112" s="1"/>
      <c r="B112" s="1"/>
      <c r="C112" s="2" t="s">
        <v>152</v>
      </c>
      <c r="D112" s="1"/>
      <c r="E112" s="1"/>
      <c r="F112" s="1"/>
      <c r="G112" s="1"/>
      <c r="H112" s="53"/>
    </row>
    <row r="113" spans="1:8" ht="14.1" customHeight="1" x14ac:dyDescent="0.2">
      <c r="A113" s="1"/>
      <c r="B113" s="1"/>
      <c r="C113" s="2" t="s">
        <v>153</v>
      </c>
      <c r="D113" s="1"/>
      <c r="E113" s="1"/>
      <c r="F113" s="1"/>
      <c r="G113" s="1"/>
      <c r="H113" s="53"/>
    </row>
    <row r="114" spans="1:8" ht="14.1" customHeight="1" x14ac:dyDescent="0.2">
      <c r="A114" s="1"/>
      <c r="B114" s="1"/>
      <c r="C114" s="2" t="s">
        <v>132</v>
      </c>
      <c r="D114" s="1"/>
      <c r="E114" s="1" t="s">
        <v>133</v>
      </c>
      <c r="F114" s="13">
        <v>0</v>
      </c>
      <c r="G114" s="14">
        <v>0</v>
      </c>
      <c r="H114" s="53"/>
    </row>
    <row r="115" spans="1:8" ht="14.1" customHeight="1" x14ac:dyDescent="0.2">
      <c r="A115" s="1"/>
      <c r="B115" s="1"/>
      <c r="C115" s="11"/>
      <c r="D115" s="1"/>
      <c r="E115" s="1"/>
      <c r="F115" s="12"/>
      <c r="G115" s="12"/>
      <c r="H115" s="53"/>
    </row>
    <row r="116" spans="1:8" ht="14.1" customHeight="1" x14ac:dyDescent="0.2">
      <c r="A116" s="1"/>
      <c r="B116" s="1"/>
      <c r="C116" s="2" t="s">
        <v>154</v>
      </c>
      <c r="D116" s="1"/>
      <c r="E116" s="1"/>
      <c r="F116" s="1"/>
      <c r="G116" s="1"/>
      <c r="H116" s="53"/>
    </row>
    <row r="117" spans="1:8" ht="14.1" customHeight="1" x14ac:dyDescent="0.2">
      <c r="A117" s="1"/>
      <c r="B117" s="1"/>
      <c r="C117" s="2" t="s">
        <v>155</v>
      </c>
      <c r="D117" s="1"/>
      <c r="E117" s="1"/>
      <c r="F117" s="1"/>
      <c r="G117" s="1"/>
      <c r="H117" s="53"/>
    </row>
    <row r="118" spans="1:8" ht="14.1" customHeight="1" x14ac:dyDescent="0.2">
      <c r="A118" s="1"/>
      <c r="B118" s="1"/>
      <c r="C118" s="2" t="s">
        <v>132</v>
      </c>
      <c r="D118" s="1"/>
      <c r="E118" s="1" t="s">
        <v>133</v>
      </c>
      <c r="F118" s="13">
        <v>0</v>
      </c>
      <c r="G118" s="14">
        <v>0</v>
      </c>
      <c r="H118" s="53"/>
    </row>
    <row r="119" spans="1:8" ht="14.1" customHeight="1" x14ac:dyDescent="0.2">
      <c r="A119" s="1"/>
      <c r="B119" s="1"/>
      <c r="C119" s="11"/>
      <c r="D119" s="1"/>
      <c r="E119" s="1"/>
      <c r="F119" s="12"/>
      <c r="G119" s="12"/>
      <c r="H119" s="53"/>
    </row>
    <row r="120" spans="1:8" ht="14.1" customHeight="1" x14ac:dyDescent="0.2">
      <c r="A120" s="1"/>
      <c r="B120" s="1"/>
      <c r="C120" s="11"/>
      <c r="D120" s="1"/>
      <c r="E120" s="1"/>
      <c r="F120" s="12"/>
      <c r="G120" s="12"/>
      <c r="H120" s="53"/>
    </row>
    <row r="121" spans="1:8" ht="24" customHeight="1" x14ac:dyDescent="0.2">
      <c r="A121" s="1"/>
      <c r="B121" s="1"/>
      <c r="C121" s="2" t="s">
        <v>156</v>
      </c>
      <c r="D121" s="1"/>
      <c r="E121" s="1"/>
      <c r="F121" s="12"/>
      <c r="G121" s="12"/>
      <c r="H121" s="53"/>
    </row>
    <row r="122" spans="1:8" ht="14.1" customHeight="1" x14ac:dyDescent="0.2">
      <c r="A122" s="1"/>
      <c r="B122" s="1"/>
      <c r="C122" s="2" t="s">
        <v>132</v>
      </c>
      <c r="D122" s="1"/>
      <c r="E122" s="1" t="s">
        <v>133</v>
      </c>
      <c r="F122" s="13">
        <v>0</v>
      </c>
      <c r="G122" s="14">
        <v>0</v>
      </c>
      <c r="H122" s="53"/>
    </row>
    <row r="123" spans="1:8" ht="14.1" customHeight="1" x14ac:dyDescent="0.2">
      <c r="A123" s="1"/>
      <c r="B123" s="1"/>
      <c r="C123" s="11"/>
      <c r="D123" s="1"/>
      <c r="E123" s="1"/>
      <c r="F123" s="12"/>
      <c r="G123" s="12"/>
      <c r="H123" s="53"/>
    </row>
    <row r="124" spans="1:8" ht="14.1" customHeight="1" x14ac:dyDescent="0.2">
      <c r="A124" s="1"/>
      <c r="B124" s="4"/>
      <c r="C124" s="4"/>
      <c r="D124" s="2"/>
      <c r="E124" s="1"/>
      <c r="F124" s="4"/>
      <c r="G124" s="8"/>
      <c r="H124" s="53"/>
    </row>
    <row r="125" spans="1:8" ht="18" customHeight="1" x14ac:dyDescent="0.2">
      <c r="A125" s="8"/>
      <c r="B125" s="4"/>
      <c r="C125" s="4" t="s">
        <v>157</v>
      </c>
      <c r="D125" s="4"/>
      <c r="E125" s="8"/>
      <c r="F125" s="6">
        <v>-1.2632633099999999</v>
      </c>
      <c r="G125" s="7">
        <v>-4.44902E-4</v>
      </c>
      <c r="H125" s="53"/>
    </row>
    <row r="126" spans="1:8" ht="14.1" customHeight="1" x14ac:dyDescent="0.2">
      <c r="A126" s="11"/>
      <c r="B126" s="11"/>
      <c r="C126" s="2" t="s">
        <v>158</v>
      </c>
      <c r="D126" s="15"/>
      <c r="E126" s="15"/>
      <c r="F126" s="9">
        <v>2839.4169496899999</v>
      </c>
      <c r="G126" s="10">
        <v>1.000000003</v>
      </c>
      <c r="H126" s="53"/>
    </row>
    <row r="127" spans="1:8" ht="14.1" customHeight="1" x14ac:dyDescent="0.2">
      <c r="A127" s="16"/>
      <c r="B127" s="16"/>
      <c r="C127" s="16"/>
      <c r="D127" s="17"/>
      <c r="E127" s="17"/>
      <c r="F127" s="17"/>
      <c r="G127" s="17"/>
    </row>
    <row r="128" spans="1:8" ht="14.1" customHeight="1" x14ac:dyDescent="0.2">
      <c r="A128" s="18"/>
      <c r="B128" s="292" t="s">
        <v>133</v>
      </c>
      <c r="C128" s="292"/>
      <c r="D128" s="292"/>
      <c r="E128" s="292"/>
      <c r="F128" s="292"/>
      <c r="G128" s="20"/>
    </row>
    <row r="129" spans="1:7" ht="14.1" customHeight="1" x14ac:dyDescent="0.2">
      <c r="A129" s="18"/>
      <c r="B129" s="292" t="s">
        <v>133</v>
      </c>
      <c r="C129" s="292"/>
      <c r="D129" s="292"/>
      <c r="E129" s="292"/>
      <c r="F129" s="292"/>
      <c r="G129" s="20"/>
    </row>
    <row r="130" spans="1:7" ht="14.1" customHeight="1" x14ac:dyDescent="0.2">
      <c r="A130" s="18"/>
      <c r="B130" s="18"/>
      <c r="C130" s="18"/>
      <c r="D130" s="20"/>
      <c r="E130" s="20"/>
      <c r="F130" s="20"/>
      <c r="G130" s="20"/>
    </row>
    <row r="131" spans="1:7" ht="14.1" customHeight="1" x14ac:dyDescent="0.2">
      <c r="A131" s="18"/>
      <c r="B131" s="293" t="s">
        <v>160</v>
      </c>
      <c r="C131" s="294"/>
      <c r="D131" s="12" t="s">
        <v>133</v>
      </c>
      <c r="E131" s="21"/>
      <c r="F131" s="20"/>
      <c r="G131" s="20"/>
    </row>
    <row r="132" spans="1:7" ht="29.1" customHeight="1" x14ac:dyDescent="0.2">
      <c r="A132" s="18"/>
      <c r="B132" s="290" t="s">
        <v>161</v>
      </c>
      <c r="C132" s="291"/>
      <c r="D132" s="2" t="s">
        <v>162</v>
      </c>
      <c r="E132" s="21"/>
      <c r="F132" s="20"/>
      <c r="G132" s="20"/>
    </row>
    <row r="133" spans="1:7" ht="17.100000000000001" customHeight="1" x14ac:dyDescent="0.2">
      <c r="A133" s="18"/>
      <c r="B133" s="290" t="s">
        <v>163</v>
      </c>
      <c r="C133" s="291"/>
      <c r="D133" s="2" t="s">
        <v>162</v>
      </c>
      <c r="E133" s="21"/>
      <c r="F133" s="20"/>
      <c r="G133" s="20"/>
    </row>
    <row r="134" spans="1:7" ht="17.100000000000001" customHeight="1" x14ac:dyDescent="0.2">
      <c r="A134" s="18"/>
      <c r="B134" s="290" t="s">
        <v>164</v>
      </c>
      <c r="C134" s="291"/>
      <c r="D134" s="12" t="s">
        <v>133</v>
      </c>
      <c r="E134" s="21"/>
      <c r="F134" s="20"/>
      <c r="G134" s="20"/>
    </row>
    <row r="135" spans="1:7" ht="24" customHeight="1" x14ac:dyDescent="0.2">
      <c r="A135" s="22"/>
      <c r="B135" s="23" t="s">
        <v>133</v>
      </c>
      <c r="C135" s="23" t="s">
        <v>165</v>
      </c>
      <c r="D135" s="23" t="s">
        <v>166</v>
      </c>
      <c r="E135" s="22"/>
      <c r="F135" s="22"/>
      <c r="G135" s="22"/>
    </row>
    <row r="136" spans="1:7" ht="18" customHeight="1" x14ac:dyDescent="0.2">
      <c r="A136" s="22"/>
      <c r="B136" s="23" t="s">
        <v>167</v>
      </c>
      <c r="C136" s="23" t="s">
        <v>168</v>
      </c>
      <c r="D136" s="23" t="s">
        <v>169</v>
      </c>
      <c r="E136" s="22"/>
      <c r="F136" s="22"/>
      <c r="G136" s="22"/>
    </row>
    <row r="137" spans="1:7" ht="17.100000000000001" customHeight="1" x14ac:dyDescent="0.2">
      <c r="A137" s="22"/>
      <c r="B137" s="4" t="s">
        <v>170</v>
      </c>
      <c r="C137" s="24">
        <v>17.433399999999999</v>
      </c>
      <c r="D137" s="24">
        <v>16.784300000000002</v>
      </c>
      <c r="E137" s="22"/>
      <c r="F137" s="19"/>
      <c r="G137" s="25"/>
    </row>
    <row r="138" spans="1:7" ht="17.100000000000001" customHeight="1" x14ac:dyDescent="0.2">
      <c r="A138" s="22"/>
      <c r="B138" s="4" t="s">
        <v>1042</v>
      </c>
      <c r="C138" s="24">
        <v>17.433399999999999</v>
      </c>
      <c r="D138" s="24">
        <v>16.784300000000002</v>
      </c>
      <c r="E138" s="22"/>
      <c r="F138" s="19"/>
      <c r="G138" s="25"/>
    </row>
    <row r="139" spans="1:7" ht="17.100000000000001" customHeight="1" x14ac:dyDescent="0.2">
      <c r="A139" s="22"/>
      <c r="B139" s="4" t="s">
        <v>171</v>
      </c>
      <c r="C139" s="24">
        <v>17.053899999999999</v>
      </c>
      <c r="D139" s="24">
        <v>16.4163</v>
      </c>
      <c r="E139" s="22"/>
      <c r="F139" s="19"/>
      <c r="G139" s="25"/>
    </row>
    <row r="140" spans="1:7" ht="17.100000000000001" customHeight="1" x14ac:dyDescent="0.2">
      <c r="A140" s="22"/>
      <c r="B140" s="4" t="s">
        <v>1043</v>
      </c>
      <c r="C140" s="24">
        <v>17.053899999999999</v>
      </c>
      <c r="D140" s="24">
        <v>16.4163</v>
      </c>
      <c r="E140" s="22"/>
      <c r="F140" s="19"/>
      <c r="G140" s="25"/>
    </row>
    <row r="141" spans="1:7" ht="14.1" customHeight="1" x14ac:dyDescent="0.2">
      <c r="A141" s="22"/>
      <c r="B141" s="22"/>
      <c r="C141" s="22"/>
      <c r="D141" s="22"/>
      <c r="E141" s="22"/>
      <c r="F141" s="22"/>
      <c r="G141" s="22"/>
    </row>
    <row r="142" spans="1:7" ht="17.100000000000001" customHeight="1" x14ac:dyDescent="0.2">
      <c r="A142" s="22"/>
      <c r="B142" s="290" t="s">
        <v>1044</v>
      </c>
      <c r="C142" s="291"/>
      <c r="D142" s="2" t="s">
        <v>162</v>
      </c>
      <c r="E142" s="22"/>
      <c r="F142" s="22"/>
      <c r="G142" s="22"/>
    </row>
    <row r="143" spans="1:7" ht="18" customHeight="1" x14ac:dyDescent="0.2">
      <c r="A143" s="22"/>
      <c r="B143" s="26"/>
      <c r="C143" s="26"/>
      <c r="D143" s="27"/>
      <c r="E143" s="22"/>
      <c r="F143" s="22"/>
      <c r="G143" s="22"/>
    </row>
    <row r="144" spans="1:7" ht="29.1" customHeight="1" x14ac:dyDescent="0.2">
      <c r="A144" s="22"/>
      <c r="B144" s="290" t="s">
        <v>172</v>
      </c>
      <c r="C144" s="291"/>
      <c r="D144" s="2" t="s">
        <v>162</v>
      </c>
      <c r="E144" s="22"/>
      <c r="F144" s="22"/>
      <c r="G144" s="22"/>
    </row>
    <row r="145" spans="1:14" ht="29.1" customHeight="1" x14ac:dyDescent="0.2">
      <c r="A145" s="22"/>
      <c r="B145" s="290" t="s">
        <v>173</v>
      </c>
      <c r="C145" s="291"/>
      <c r="D145" s="2" t="s">
        <v>162</v>
      </c>
      <c r="E145" s="22"/>
      <c r="F145" s="22"/>
      <c r="G145" s="22"/>
    </row>
    <row r="146" spans="1:14" ht="17.100000000000001" customHeight="1" x14ac:dyDescent="0.2">
      <c r="A146" s="22"/>
      <c r="B146" s="290" t="s">
        <v>174</v>
      </c>
      <c r="C146" s="291"/>
      <c r="D146" s="28">
        <v>0.10029987473353807</v>
      </c>
      <c r="E146" s="22"/>
      <c r="F146" s="19"/>
      <c r="G146" s="25"/>
    </row>
    <row r="147" spans="1:14" ht="17.100000000000001" customHeight="1" x14ac:dyDescent="0.2">
      <c r="A147" s="22"/>
      <c r="B147" s="290" t="s">
        <v>175</v>
      </c>
      <c r="C147" s="291"/>
      <c r="D147" s="2" t="s">
        <v>162</v>
      </c>
      <c r="E147" s="22"/>
      <c r="F147" s="22"/>
      <c r="G147" s="22"/>
    </row>
    <row r="154" spans="1:14" x14ac:dyDescent="0.2">
      <c r="J154" s="189"/>
      <c r="K154" s="189"/>
      <c r="L154" s="189"/>
      <c r="M154" s="189"/>
      <c r="N154" s="189"/>
    </row>
  </sheetData>
  <mergeCells count="15">
    <mergeCell ref="B146:C146"/>
    <mergeCell ref="B147:C147"/>
    <mergeCell ref="B132:C132"/>
    <mergeCell ref="B133:C133"/>
    <mergeCell ref="B134:C134"/>
    <mergeCell ref="B142:C142"/>
    <mergeCell ref="B144:C144"/>
    <mergeCell ref="B145:C145"/>
    <mergeCell ref="A1:H1"/>
    <mergeCell ref="A2:H2"/>
    <mergeCell ref="A3:H3"/>
    <mergeCell ref="J2:N2"/>
    <mergeCell ref="B131:C131"/>
    <mergeCell ref="B128:F128"/>
    <mergeCell ref="B129:F129"/>
  </mergeCells>
  <hyperlinks>
    <hyperlink ref="I1" location="Index!B20" display="Index" xr:uid="{CAC4EC03-44B0-4127-97D4-8FBFC2624ED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493</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374</v>
      </c>
      <c r="C7" s="4" t="s">
        <v>375</v>
      </c>
      <c r="D7" s="4" t="s">
        <v>119</v>
      </c>
      <c r="E7" s="5">
        <v>94613</v>
      </c>
      <c r="F7" s="6">
        <v>118.5973955</v>
      </c>
      <c r="G7" s="7">
        <v>3.6355301999999999E-2</v>
      </c>
      <c r="H7" s="53"/>
    </row>
    <row r="8" spans="1:14" ht="17.100000000000001" customHeight="1" x14ac:dyDescent="0.2">
      <c r="A8" s="3">
        <v>2</v>
      </c>
      <c r="B8" s="4" t="s">
        <v>83</v>
      </c>
      <c r="C8" s="4" t="s">
        <v>84</v>
      </c>
      <c r="D8" s="4" t="s">
        <v>33</v>
      </c>
      <c r="E8" s="5">
        <v>7968</v>
      </c>
      <c r="F8" s="6">
        <v>116.707296</v>
      </c>
      <c r="G8" s="7">
        <v>3.5775902999999998E-2</v>
      </c>
      <c r="H8" s="53"/>
    </row>
    <row r="9" spans="1:14" ht="17.100000000000001" customHeight="1" x14ac:dyDescent="0.2">
      <c r="A9" s="3">
        <v>3</v>
      </c>
      <c r="B9" s="4" t="s">
        <v>31</v>
      </c>
      <c r="C9" s="4" t="s">
        <v>32</v>
      </c>
      <c r="D9" s="4" t="s">
        <v>33</v>
      </c>
      <c r="E9" s="5">
        <v>5959</v>
      </c>
      <c r="F9" s="6">
        <v>115.235142</v>
      </c>
      <c r="G9" s="7">
        <v>3.5324622999999999E-2</v>
      </c>
      <c r="H9" s="53"/>
    </row>
    <row r="10" spans="1:14" ht="17.100000000000001" customHeight="1" x14ac:dyDescent="0.2">
      <c r="A10" s="3">
        <v>4</v>
      </c>
      <c r="B10" s="4" t="s">
        <v>438</v>
      </c>
      <c r="C10" s="4" t="s">
        <v>439</v>
      </c>
      <c r="D10" s="4" t="s">
        <v>900</v>
      </c>
      <c r="E10" s="5">
        <v>14987</v>
      </c>
      <c r="F10" s="6">
        <v>105.5459475</v>
      </c>
      <c r="G10" s="7">
        <v>3.2354460000000002E-2</v>
      </c>
      <c r="H10" s="53"/>
    </row>
    <row r="11" spans="1:14" ht="17.100000000000001" customHeight="1" x14ac:dyDescent="0.2">
      <c r="A11" s="3">
        <v>5</v>
      </c>
      <c r="B11" s="4" t="s">
        <v>301</v>
      </c>
      <c r="C11" s="4" t="s">
        <v>302</v>
      </c>
      <c r="D11" s="4" t="s">
        <v>234</v>
      </c>
      <c r="E11" s="5">
        <v>19759</v>
      </c>
      <c r="F11" s="6">
        <v>98.715964</v>
      </c>
      <c r="G11" s="7">
        <v>3.0260770999999999E-2</v>
      </c>
      <c r="H11" s="53"/>
    </row>
    <row r="12" spans="1:14" ht="17.100000000000001" customHeight="1" x14ac:dyDescent="0.2">
      <c r="A12" s="3">
        <v>6</v>
      </c>
      <c r="B12" s="4" t="s">
        <v>381</v>
      </c>
      <c r="C12" s="4" t="s">
        <v>382</v>
      </c>
      <c r="D12" s="4" t="s">
        <v>116</v>
      </c>
      <c r="E12" s="5">
        <v>5611</v>
      </c>
      <c r="F12" s="6">
        <v>94.416297</v>
      </c>
      <c r="G12" s="7">
        <v>2.8942735000000001E-2</v>
      </c>
      <c r="H12" s="53"/>
    </row>
    <row r="13" spans="1:14" ht="17.100000000000001" customHeight="1" x14ac:dyDescent="0.2">
      <c r="A13" s="3">
        <v>7</v>
      </c>
      <c r="B13" s="4" t="s">
        <v>114</v>
      </c>
      <c r="C13" s="4" t="s">
        <v>115</v>
      </c>
      <c r="D13" s="4" t="s">
        <v>116</v>
      </c>
      <c r="E13" s="5">
        <v>27826</v>
      </c>
      <c r="F13" s="6">
        <v>93.871010999999996</v>
      </c>
      <c r="G13" s="7">
        <v>2.8775581000000001E-2</v>
      </c>
      <c r="H13" s="53"/>
    </row>
    <row r="14" spans="1:14" ht="17.100000000000001" customHeight="1" x14ac:dyDescent="0.2">
      <c r="A14" s="3">
        <v>8</v>
      </c>
      <c r="B14" s="4" t="s">
        <v>436</v>
      </c>
      <c r="C14" s="4" t="s">
        <v>437</v>
      </c>
      <c r="D14" s="4" t="s">
        <v>237</v>
      </c>
      <c r="E14" s="5">
        <v>32339</v>
      </c>
      <c r="F14" s="6">
        <v>92.958455499999999</v>
      </c>
      <c r="G14" s="7">
        <v>2.8495842E-2</v>
      </c>
      <c r="H14" s="53"/>
      <c r="J14" s="188" t="s">
        <v>1083</v>
      </c>
    </row>
    <row r="15" spans="1:14" ht="17.100000000000001" customHeight="1" x14ac:dyDescent="0.2">
      <c r="A15" s="3">
        <v>9</v>
      </c>
      <c r="B15" s="4" t="s">
        <v>448</v>
      </c>
      <c r="C15" s="4" t="s">
        <v>449</v>
      </c>
      <c r="D15" s="4" t="s">
        <v>13</v>
      </c>
      <c r="E15" s="5">
        <v>16334</v>
      </c>
      <c r="F15" s="6">
        <v>91.290726000000006</v>
      </c>
      <c r="G15" s="7">
        <v>2.798461E-2</v>
      </c>
      <c r="H15" s="53"/>
    </row>
    <row r="16" spans="1:14" ht="17.100000000000001" customHeight="1" x14ac:dyDescent="0.2">
      <c r="A16" s="3">
        <v>10</v>
      </c>
      <c r="B16" s="4" t="s">
        <v>205</v>
      </c>
      <c r="C16" s="4" t="s">
        <v>206</v>
      </c>
      <c r="D16" s="4" t="s">
        <v>900</v>
      </c>
      <c r="E16" s="5">
        <v>2353</v>
      </c>
      <c r="F16" s="6">
        <v>91.082277000000005</v>
      </c>
      <c r="G16" s="7">
        <v>2.7920711000000001E-2</v>
      </c>
      <c r="H16" s="53"/>
    </row>
    <row r="17" spans="1:8" ht="17.100000000000001" customHeight="1" x14ac:dyDescent="0.2">
      <c r="A17" s="3">
        <v>11</v>
      </c>
      <c r="B17" s="4" t="s">
        <v>363</v>
      </c>
      <c r="C17" s="4" t="s">
        <v>364</v>
      </c>
      <c r="D17" s="4" t="s">
        <v>116</v>
      </c>
      <c r="E17" s="5">
        <v>16978</v>
      </c>
      <c r="F17" s="6">
        <v>87.35181</v>
      </c>
      <c r="G17" s="7">
        <v>2.6777160000000001E-2</v>
      </c>
      <c r="H17" s="53"/>
    </row>
    <row r="18" spans="1:8" ht="29.1" customHeight="1" x14ac:dyDescent="0.2">
      <c r="A18" s="3">
        <v>12</v>
      </c>
      <c r="B18" s="4" t="s">
        <v>197</v>
      </c>
      <c r="C18" s="4" t="s">
        <v>198</v>
      </c>
      <c r="D18" s="4" t="s">
        <v>199</v>
      </c>
      <c r="E18" s="5">
        <v>2136</v>
      </c>
      <c r="F18" s="6">
        <v>86.919179999999997</v>
      </c>
      <c r="G18" s="7">
        <v>2.6644540000000001E-2</v>
      </c>
      <c r="H18" s="53"/>
    </row>
    <row r="19" spans="1:8" ht="17.100000000000001" customHeight="1" x14ac:dyDescent="0.2">
      <c r="A19" s="3">
        <v>13</v>
      </c>
      <c r="B19" s="4" t="s">
        <v>312</v>
      </c>
      <c r="C19" s="4" t="s">
        <v>313</v>
      </c>
      <c r="D19" s="4" t="s">
        <v>224</v>
      </c>
      <c r="E19" s="5">
        <v>6371</v>
      </c>
      <c r="F19" s="6">
        <v>85.199382999999997</v>
      </c>
      <c r="G19" s="7">
        <v>2.6117346E-2</v>
      </c>
      <c r="H19" s="53"/>
    </row>
    <row r="20" spans="1:8" ht="17.100000000000001" customHeight="1" x14ac:dyDescent="0.2">
      <c r="A20" s="3">
        <v>14</v>
      </c>
      <c r="B20" s="4" t="s">
        <v>318</v>
      </c>
      <c r="C20" s="4" t="s">
        <v>319</v>
      </c>
      <c r="D20" s="4" t="s">
        <v>320</v>
      </c>
      <c r="E20" s="5">
        <v>6199</v>
      </c>
      <c r="F20" s="6">
        <v>81.290586500000003</v>
      </c>
      <c r="G20" s="7">
        <v>2.4919129000000002E-2</v>
      </c>
      <c r="H20" s="53"/>
    </row>
    <row r="21" spans="1:8" ht="17.100000000000001" customHeight="1" x14ac:dyDescent="0.2">
      <c r="A21" s="3">
        <v>15</v>
      </c>
      <c r="B21" s="4" t="s">
        <v>94</v>
      </c>
      <c r="C21" s="4" t="s">
        <v>95</v>
      </c>
      <c r="D21" s="4" t="s">
        <v>96</v>
      </c>
      <c r="E21" s="5">
        <v>17357</v>
      </c>
      <c r="F21" s="6">
        <v>80.718728499999997</v>
      </c>
      <c r="G21" s="7">
        <v>2.4743828999999998E-2</v>
      </c>
      <c r="H21" s="53"/>
    </row>
    <row r="22" spans="1:8" ht="29.1" customHeight="1" x14ac:dyDescent="0.2">
      <c r="A22" s="3">
        <v>16</v>
      </c>
      <c r="B22" s="4" t="s">
        <v>191</v>
      </c>
      <c r="C22" s="4" t="s">
        <v>192</v>
      </c>
      <c r="D22" s="4" t="s">
        <v>116</v>
      </c>
      <c r="E22" s="5">
        <v>23570</v>
      </c>
      <c r="F22" s="6">
        <v>79.301265000000001</v>
      </c>
      <c r="G22" s="7">
        <v>2.4309315000000001E-2</v>
      </c>
      <c r="H22" s="53"/>
    </row>
    <row r="23" spans="1:8" ht="17.100000000000001" customHeight="1" x14ac:dyDescent="0.2">
      <c r="A23" s="3">
        <v>17</v>
      </c>
      <c r="B23" s="4" t="s">
        <v>379</v>
      </c>
      <c r="C23" s="4" t="s">
        <v>380</v>
      </c>
      <c r="D23" s="4" t="s">
        <v>33</v>
      </c>
      <c r="E23" s="5">
        <v>9335</v>
      </c>
      <c r="F23" s="6">
        <v>79.128127500000005</v>
      </c>
      <c r="G23" s="7">
        <v>2.4256239999999998E-2</v>
      </c>
      <c r="H23" s="53"/>
    </row>
    <row r="24" spans="1:8" ht="17.100000000000001" customHeight="1" x14ac:dyDescent="0.2">
      <c r="A24" s="3">
        <v>18</v>
      </c>
      <c r="B24" s="4" t="s">
        <v>420</v>
      </c>
      <c r="C24" s="4" t="s">
        <v>421</v>
      </c>
      <c r="D24" s="4" t="s">
        <v>224</v>
      </c>
      <c r="E24" s="5">
        <v>9506</v>
      </c>
      <c r="F24" s="6">
        <v>75.059376</v>
      </c>
      <c r="G24" s="7">
        <v>2.300899E-2</v>
      </c>
      <c r="H24" s="53"/>
    </row>
    <row r="25" spans="1:8" ht="29.1" customHeight="1" x14ac:dyDescent="0.2">
      <c r="A25" s="3">
        <v>19</v>
      </c>
      <c r="B25" s="4" t="s">
        <v>401</v>
      </c>
      <c r="C25" s="4" t="s">
        <v>402</v>
      </c>
      <c r="D25" s="4" t="s">
        <v>227</v>
      </c>
      <c r="E25" s="5">
        <v>17769</v>
      </c>
      <c r="F25" s="6">
        <v>72.257638499999999</v>
      </c>
      <c r="G25" s="7">
        <v>2.2150133999999998E-2</v>
      </c>
      <c r="H25" s="53"/>
    </row>
    <row r="26" spans="1:8" ht="17.100000000000001" customHeight="1" x14ac:dyDescent="0.2">
      <c r="A26" s="3">
        <v>20</v>
      </c>
      <c r="B26" s="4" t="s">
        <v>422</v>
      </c>
      <c r="C26" s="4" t="s">
        <v>423</v>
      </c>
      <c r="D26" s="4" t="s">
        <v>265</v>
      </c>
      <c r="E26" s="5">
        <v>18670</v>
      </c>
      <c r="F26" s="6">
        <v>66.969290000000001</v>
      </c>
      <c r="G26" s="7">
        <v>2.0529024E-2</v>
      </c>
      <c r="H26" s="53"/>
    </row>
    <row r="27" spans="1:8" ht="17.100000000000001" customHeight="1" x14ac:dyDescent="0.2">
      <c r="A27" s="3">
        <v>21</v>
      </c>
      <c r="B27" s="4" t="s">
        <v>405</v>
      </c>
      <c r="C27" s="4" t="s">
        <v>406</v>
      </c>
      <c r="D27" s="4" t="s">
        <v>320</v>
      </c>
      <c r="E27" s="5">
        <v>4288</v>
      </c>
      <c r="F27" s="6">
        <v>66.644096000000005</v>
      </c>
      <c r="G27" s="7">
        <v>2.0429336999999999E-2</v>
      </c>
      <c r="H27" s="53"/>
    </row>
    <row r="28" spans="1:8" ht="29.1" customHeight="1" x14ac:dyDescent="0.2">
      <c r="A28" s="3">
        <v>22</v>
      </c>
      <c r="B28" s="4" t="s">
        <v>68</v>
      </c>
      <c r="C28" s="4" t="s">
        <v>69</v>
      </c>
      <c r="D28" s="4" t="s">
        <v>25</v>
      </c>
      <c r="E28" s="5">
        <v>2267</v>
      </c>
      <c r="F28" s="6">
        <v>66.210002000000003</v>
      </c>
      <c r="G28" s="7">
        <v>2.0296268999999999E-2</v>
      </c>
      <c r="H28" s="53"/>
    </row>
    <row r="29" spans="1:8" ht="17.100000000000001" customHeight="1" x14ac:dyDescent="0.2">
      <c r="A29" s="3">
        <v>23</v>
      </c>
      <c r="B29" s="4" t="s">
        <v>468</v>
      </c>
      <c r="C29" s="4" t="s">
        <v>469</v>
      </c>
      <c r="D29" s="4" t="s">
        <v>224</v>
      </c>
      <c r="E29" s="5">
        <v>32152</v>
      </c>
      <c r="F29" s="6">
        <v>66.008055999999996</v>
      </c>
      <c r="G29" s="7">
        <v>2.0234362999999998E-2</v>
      </c>
      <c r="H29" s="53"/>
    </row>
    <row r="30" spans="1:8" ht="29.1" customHeight="1" x14ac:dyDescent="0.2">
      <c r="A30" s="3">
        <v>24</v>
      </c>
      <c r="B30" s="4" t="s">
        <v>407</v>
      </c>
      <c r="C30" s="4" t="s">
        <v>408</v>
      </c>
      <c r="D30" s="4" t="s">
        <v>51</v>
      </c>
      <c r="E30" s="5">
        <v>2903</v>
      </c>
      <c r="F30" s="6">
        <v>64.712224500000005</v>
      </c>
      <c r="G30" s="7">
        <v>1.9837133999999999E-2</v>
      </c>
      <c r="H30" s="53"/>
    </row>
    <row r="31" spans="1:8" ht="17.100000000000001" customHeight="1" x14ac:dyDescent="0.2">
      <c r="A31" s="3">
        <v>25</v>
      </c>
      <c r="B31" s="4" t="s">
        <v>365</v>
      </c>
      <c r="C31" s="4" t="s">
        <v>366</v>
      </c>
      <c r="D31" s="4" t="s">
        <v>119</v>
      </c>
      <c r="E31" s="5">
        <v>11039</v>
      </c>
      <c r="F31" s="6">
        <v>59.064169499999998</v>
      </c>
      <c r="G31" s="7">
        <v>1.8105758E-2</v>
      </c>
      <c r="H31" s="53"/>
    </row>
    <row r="32" spans="1:8" ht="17.100000000000001" customHeight="1" x14ac:dyDescent="0.2">
      <c r="A32" s="3">
        <v>26</v>
      </c>
      <c r="B32" s="4" t="s">
        <v>367</v>
      </c>
      <c r="C32" s="4" t="s">
        <v>368</v>
      </c>
      <c r="D32" s="4" t="s">
        <v>116</v>
      </c>
      <c r="E32" s="5">
        <v>11129</v>
      </c>
      <c r="F32" s="6">
        <v>56.357256</v>
      </c>
      <c r="G32" s="7">
        <v>1.7275970000000002E-2</v>
      </c>
      <c r="H32" s="53"/>
    </row>
    <row r="33" spans="1:8" ht="29.1" customHeight="1" x14ac:dyDescent="0.2">
      <c r="A33" s="3">
        <v>27</v>
      </c>
      <c r="B33" s="4" t="s">
        <v>225</v>
      </c>
      <c r="C33" s="4" t="s">
        <v>226</v>
      </c>
      <c r="D33" s="4" t="s">
        <v>227</v>
      </c>
      <c r="E33" s="5">
        <v>14944</v>
      </c>
      <c r="F33" s="6">
        <v>56.077359999999999</v>
      </c>
      <c r="G33" s="7">
        <v>1.7190169000000002E-2</v>
      </c>
      <c r="H33" s="53"/>
    </row>
    <row r="34" spans="1:8" ht="53.1" customHeight="1" x14ac:dyDescent="0.2">
      <c r="A34" s="3">
        <v>28</v>
      </c>
      <c r="B34" s="4" t="s">
        <v>444</v>
      </c>
      <c r="C34" s="4" t="s">
        <v>445</v>
      </c>
      <c r="D34" s="4" t="s">
        <v>48</v>
      </c>
      <c r="E34" s="5">
        <v>17050</v>
      </c>
      <c r="F34" s="6">
        <v>51.806424999999997</v>
      </c>
      <c r="G34" s="7">
        <v>1.5880940999999999E-2</v>
      </c>
      <c r="H34" s="53"/>
    </row>
    <row r="35" spans="1:8" ht="29.1" customHeight="1" x14ac:dyDescent="0.2">
      <c r="A35" s="3">
        <v>29</v>
      </c>
      <c r="B35" s="4" t="s">
        <v>387</v>
      </c>
      <c r="C35" s="4" t="s">
        <v>388</v>
      </c>
      <c r="D35" s="4" t="s">
        <v>65</v>
      </c>
      <c r="E35" s="5">
        <v>3200</v>
      </c>
      <c r="F35" s="6">
        <v>51.76</v>
      </c>
      <c r="G35" s="7">
        <v>1.5866709E-2</v>
      </c>
      <c r="H35" s="53"/>
    </row>
    <row r="36" spans="1:8" ht="17.100000000000001" customHeight="1" x14ac:dyDescent="0.2">
      <c r="A36" s="3">
        <v>30</v>
      </c>
      <c r="B36" s="4" t="s">
        <v>442</v>
      </c>
      <c r="C36" s="4" t="s">
        <v>443</v>
      </c>
      <c r="D36" s="4" t="s">
        <v>119</v>
      </c>
      <c r="E36" s="5">
        <v>62770</v>
      </c>
      <c r="F36" s="6">
        <v>51.03201</v>
      </c>
      <c r="G36" s="7">
        <v>1.5643549E-2</v>
      </c>
      <c r="H36" s="53"/>
    </row>
    <row r="37" spans="1:8" ht="17.100000000000001" customHeight="1" x14ac:dyDescent="0.2">
      <c r="A37" s="3">
        <v>31</v>
      </c>
      <c r="B37" s="4" t="s">
        <v>458</v>
      </c>
      <c r="C37" s="4" t="s">
        <v>459</v>
      </c>
      <c r="D37" s="4" t="s">
        <v>901</v>
      </c>
      <c r="E37" s="5">
        <v>6153</v>
      </c>
      <c r="F37" s="6">
        <v>49.903906499999998</v>
      </c>
      <c r="G37" s="7">
        <v>1.5297735E-2</v>
      </c>
      <c r="H37" s="53"/>
    </row>
    <row r="38" spans="1:8" ht="29.1" customHeight="1" x14ac:dyDescent="0.2">
      <c r="A38" s="3">
        <v>32</v>
      </c>
      <c r="B38" s="4" t="s">
        <v>409</v>
      </c>
      <c r="C38" s="4" t="s">
        <v>410</v>
      </c>
      <c r="D38" s="4" t="s">
        <v>411</v>
      </c>
      <c r="E38" s="5">
        <v>39723</v>
      </c>
      <c r="F38" s="6">
        <v>49.633888499999998</v>
      </c>
      <c r="G38" s="7">
        <v>1.5214963E-2</v>
      </c>
      <c r="H38" s="53"/>
    </row>
    <row r="39" spans="1:8" ht="29.1" customHeight="1" x14ac:dyDescent="0.2">
      <c r="A39" s="3">
        <v>33</v>
      </c>
      <c r="B39" s="4" t="s">
        <v>450</v>
      </c>
      <c r="C39" s="4" t="s">
        <v>451</v>
      </c>
      <c r="D39" s="4" t="s">
        <v>430</v>
      </c>
      <c r="E39" s="5">
        <v>9296</v>
      </c>
      <c r="F39" s="6">
        <v>49.226967999999999</v>
      </c>
      <c r="G39" s="7">
        <v>1.5090223999999999E-2</v>
      </c>
      <c r="H39" s="53"/>
    </row>
    <row r="40" spans="1:8" ht="17.100000000000001" customHeight="1" x14ac:dyDescent="0.2">
      <c r="A40" s="3">
        <v>34</v>
      </c>
      <c r="B40" s="4" t="s">
        <v>389</v>
      </c>
      <c r="C40" s="4" t="s">
        <v>390</v>
      </c>
      <c r="D40" s="4" t="s">
        <v>119</v>
      </c>
      <c r="E40" s="5">
        <v>6413</v>
      </c>
      <c r="F40" s="6">
        <v>46.920714500000003</v>
      </c>
      <c r="G40" s="7">
        <v>1.4383256000000001E-2</v>
      </c>
      <c r="H40" s="53"/>
    </row>
    <row r="41" spans="1:8" ht="17.100000000000001" customHeight="1" x14ac:dyDescent="0.2">
      <c r="A41" s="3">
        <v>35</v>
      </c>
      <c r="B41" s="4" t="s">
        <v>403</v>
      </c>
      <c r="C41" s="4" t="s">
        <v>404</v>
      </c>
      <c r="D41" s="4" t="s">
        <v>13</v>
      </c>
      <c r="E41" s="5">
        <v>48779</v>
      </c>
      <c r="F41" s="6">
        <v>43.730373499999999</v>
      </c>
      <c r="G41" s="7">
        <v>1.3405277E-2</v>
      </c>
      <c r="H41" s="53"/>
    </row>
    <row r="42" spans="1:8" ht="17.100000000000001" customHeight="1" x14ac:dyDescent="0.2">
      <c r="A42" s="3">
        <v>36</v>
      </c>
      <c r="B42" s="4" t="s">
        <v>383</v>
      </c>
      <c r="C42" s="4" t="s">
        <v>384</v>
      </c>
      <c r="D42" s="4" t="s">
        <v>901</v>
      </c>
      <c r="E42" s="5">
        <v>3655</v>
      </c>
      <c r="F42" s="6">
        <v>39.574512499999997</v>
      </c>
      <c r="G42" s="7">
        <v>1.2131322999999999E-2</v>
      </c>
      <c r="H42" s="53"/>
    </row>
    <row r="43" spans="1:8" ht="17.100000000000001" customHeight="1" x14ac:dyDescent="0.2">
      <c r="A43" s="3">
        <v>37</v>
      </c>
      <c r="B43" s="4" t="s">
        <v>414</v>
      </c>
      <c r="C43" s="4" t="s">
        <v>415</v>
      </c>
      <c r="D43" s="4" t="s">
        <v>87</v>
      </c>
      <c r="E43" s="5">
        <v>5781</v>
      </c>
      <c r="F43" s="6">
        <v>38.839648500000003</v>
      </c>
      <c r="G43" s="7">
        <v>1.1906055E-2</v>
      </c>
      <c r="H43" s="53"/>
    </row>
    <row r="44" spans="1:8" ht="29.1" customHeight="1" x14ac:dyDescent="0.2">
      <c r="A44" s="3">
        <v>38</v>
      </c>
      <c r="B44" s="4" t="s">
        <v>371</v>
      </c>
      <c r="C44" s="4" t="s">
        <v>372</v>
      </c>
      <c r="D44" s="4" t="s">
        <v>373</v>
      </c>
      <c r="E44" s="5">
        <v>9760</v>
      </c>
      <c r="F44" s="6">
        <v>38.33728</v>
      </c>
      <c r="G44" s="7">
        <v>1.1752057E-2</v>
      </c>
      <c r="H44" s="53"/>
    </row>
    <row r="45" spans="1:8" ht="29.1" customHeight="1" x14ac:dyDescent="0.2">
      <c r="A45" s="3">
        <v>39</v>
      </c>
      <c r="B45" s="4" t="s">
        <v>285</v>
      </c>
      <c r="C45" s="4" t="s">
        <v>286</v>
      </c>
      <c r="D45" s="4" t="s">
        <v>199</v>
      </c>
      <c r="E45" s="5">
        <v>5263</v>
      </c>
      <c r="F45" s="6">
        <v>35.759453499999999</v>
      </c>
      <c r="G45" s="7">
        <v>1.096184E-2</v>
      </c>
      <c r="H45" s="53"/>
    </row>
    <row r="46" spans="1:8" ht="29.1" customHeight="1" x14ac:dyDescent="0.2">
      <c r="A46" s="3">
        <v>40</v>
      </c>
      <c r="B46" s="4" t="s">
        <v>418</v>
      </c>
      <c r="C46" s="4" t="s">
        <v>419</v>
      </c>
      <c r="D46" s="4" t="s">
        <v>227</v>
      </c>
      <c r="E46" s="5">
        <v>1825</v>
      </c>
      <c r="F46" s="6">
        <v>35.487124999999999</v>
      </c>
      <c r="G46" s="7">
        <v>1.087836E-2</v>
      </c>
      <c r="H46" s="53"/>
    </row>
    <row r="47" spans="1:8" ht="29.1" customHeight="1" x14ac:dyDescent="0.2">
      <c r="A47" s="3">
        <v>41</v>
      </c>
      <c r="B47" s="4" t="s">
        <v>456</v>
      </c>
      <c r="C47" s="4" t="s">
        <v>457</v>
      </c>
      <c r="D47" s="4" t="s">
        <v>373</v>
      </c>
      <c r="E47" s="5">
        <v>8218</v>
      </c>
      <c r="F47" s="6">
        <v>33.845832999999999</v>
      </c>
      <c r="G47" s="7">
        <v>1.0375232E-2</v>
      </c>
      <c r="H47" s="53"/>
    </row>
    <row r="48" spans="1:8" ht="29.1" customHeight="1" x14ac:dyDescent="0.2">
      <c r="A48" s="3">
        <v>42</v>
      </c>
      <c r="B48" s="4" t="s">
        <v>489</v>
      </c>
      <c r="C48" s="4" t="s">
        <v>490</v>
      </c>
      <c r="D48" s="4" t="s">
        <v>65</v>
      </c>
      <c r="E48" s="5">
        <v>11833</v>
      </c>
      <c r="F48" s="6">
        <v>33.806880999999997</v>
      </c>
      <c r="G48" s="7">
        <v>1.0363291E-2</v>
      </c>
      <c r="H48" s="53"/>
    </row>
    <row r="49" spans="1:8" ht="29.1" customHeight="1" x14ac:dyDescent="0.2">
      <c r="A49" s="3">
        <v>43</v>
      </c>
      <c r="B49" s="4" t="s">
        <v>428</v>
      </c>
      <c r="C49" s="4" t="s">
        <v>429</v>
      </c>
      <c r="D49" s="4" t="s">
        <v>430</v>
      </c>
      <c r="E49" s="5">
        <v>5842</v>
      </c>
      <c r="F49" s="6">
        <v>33.214691000000002</v>
      </c>
      <c r="G49" s="7">
        <v>1.0181759E-2</v>
      </c>
      <c r="H49" s="53"/>
    </row>
    <row r="50" spans="1:8" ht="29.1" customHeight="1" x14ac:dyDescent="0.2">
      <c r="A50" s="3">
        <v>44</v>
      </c>
      <c r="B50" s="4" t="s">
        <v>463</v>
      </c>
      <c r="C50" s="4" t="s">
        <v>464</v>
      </c>
      <c r="D50" s="4" t="s">
        <v>465</v>
      </c>
      <c r="E50" s="5">
        <v>7328</v>
      </c>
      <c r="F50" s="6">
        <v>30.784928000000001</v>
      </c>
      <c r="G50" s="7">
        <v>9.4369299999999996E-3</v>
      </c>
      <c r="H50" s="53"/>
    </row>
    <row r="51" spans="1:8" ht="17.100000000000001" customHeight="1" x14ac:dyDescent="0.2">
      <c r="A51" s="3">
        <v>45</v>
      </c>
      <c r="B51" s="4" t="s">
        <v>395</v>
      </c>
      <c r="C51" s="4" t="s">
        <v>396</v>
      </c>
      <c r="D51" s="4" t="s">
        <v>116</v>
      </c>
      <c r="E51" s="5">
        <v>12795</v>
      </c>
      <c r="F51" s="6">
        <v>30.445702499999999</v>
      </c>
      <c r="G51" s="7">
        <v>9.3329429999999998E-3</v>
      </c>
      <c r="H51" s="53"/>
    </row>
    <row r="52" spans="1:8" ht="29.1" customHeight="1" x14ac:dyDescent="0.2">
      <c r="A52" s="3">
        <v>46</v>
      </c>
      <c r="B52" s="4" t="s">
        <v>391</v>
      </c>
      <c r="C52" s="4" t="s">
        <v>392</v>
      </c>
      <c r="D52" s="4" t="s">
        <v>116</v>
      </c>
      <c r="E52" s="5">
        <v>2285</v>
      </c>
      <c r="F52" s="6">
        <v>25.206977500000001</v>
      </c>
      <c r="G52" s="7">
        <v>7.7270439999999998E-3</v>
      </c>
      <c r="H52" s="53"/>
    </row>
    <row r="53" spans="1:8" ht="17.100000000000001" customHeight="1" x14ac:dyDescent="0.2">
      <c r="A53" s="3">
        <v>47</v>
      </c>
      <c r="B53" s="4" t="s">
        <v>452</v>
      </c>
      <c r="C53" s="4" t="s">
        <v>453</v>
      </c>
      <c r="D53" s="4" t="s">
        <v>19</v>
      </c>
      <c r="E53" s="5">
        <v>9321</v>
      </c>
      <c r="F53" s="6">
        <v>22.165337999999998</v>
      </c>
      <c r="G53" s="7">
        <v>6.7946480000000004E-3</v>
      </c>
      <c r="H53" s="53"/>
    </row>
    <row r="54" spans="1:8" ht="29.1" customHeight="1" x14ac:dyDescent="0.2">
      <c r="A54" s="3">
        <v>48</v>
      </c>
      <c r="B54" s="4" t="s">
        <v>376</v>
      </c>
      <c r="C54" s="4" t="s">
        <v>377</v>
      </c>
      <c r="D54" s="4" t="s">
        <v>227</v>
      </c>
      <c r="E54" s="5">
        <v>546</v>
      </c>
      <c r="F54" s="6">
        <v>21.583379999999998</v>
      </c>
      <c r="G54" s="7">
        <v>6.6162520000000004E-3</v>
      </c>
      <c r="H54" s="53"/>
    </row>
    <row r="55" spans="1:8" ht="17.100000000000001" customHeight="1" x14ac:dyDescent="0.2">
      <c r="A55" s="3">
        <v>49</v>
      </c>
      <c r="B55" s="4" t="s">
        <v>426</v>
      </c>
      <c r="C55" s="4" t="s">
        <v>427</v>
      </c>
      <c r="D55" s="4" t="s">
        <v>33</v>
      </c>
      <c r="E55" s="5">
        <v>2302</v>
      </c>
      <c r="F55" s="6">
        <v>18.908628</v>
      </c>
      <c r="G55" s="7">
        <v>5.7963240000000003E-3</v>
      </c>
      <c r="H55" s="53"/>
    </row>
    <row r="56" spans="1:8" ht="17.100000000000001" customHeight="1" x14ac:dyDescent="0.2">
      <c r="A56" s="3">
        <v>50</v>
      </c>
      <c r="B56" s="4" t="s">
        <v>125</v>
      </c>
      <c r="C56" s="4" t="s">
        <v>126</v>
      </c>
      <c r="D56" s="4" t="s">
        <v>116</v>
      </c>
      <c r="E56" s="5">
        <v>975</v>
      </c>
      <c r="F56" s="6">
        <v>18.440175</v>
      </c>
      <c r="G56" s="7">
        <v>5.6527219999999998E-3</v>
      </c>
      <c r="H56" s="53"/>
    </row>
    <row r="57" spans="1:8" ht="17.100000000000001" customHeight="1" x14ac:dyDescent="0.2">
      <c r="A57" s="3">
        <v>51</v>
      </c>
      <c r="B57" s="4" t="s">
        <v>331</v>
      </c>
      <c r="C57" s="4" t="s">
        <v>332</v>
      </c>
      <c r="D57" s="4" t="s">
        <v>96</v>
      </c>
      <c r="E57" s="5">
        <v>22625</v>
      </c>
      <c r="F57" s="6">
        <v>16.96875</v>
      </c>
      <c r="G57" s="7">
        <v>5.2016659999999998E-3</v>
      </c>
      <c r="H57" s="53"/>
    </row>
    <row r="58" spans="1:8" ht="29.1" customHeight="1" x14ac:dyDescent="0.2">
      <c r="A58" s="3">
        <v>52</v>
      </c>
      <c r="B58" s="4" t="s">
        <v>431</v>
      </c>
      <c r="C58" s="4" t="s">
        <v>432</v>
      </c>
      <c r="D58" s="4" t="s">
        <v>199</v>
      </c>
      <c r="E58" s="5">
        <v>1792</v>
      </c>
      <c r="F58" s="6">
        <v>10.678528</v>
      </c>
      <c r="G58" s="7">
        <v>3.2734370000000001E-3</v>
      </c>
      <c r="H58" s="53"/>
    </row>
    <row r="59" spans="1:8" ht="29.1" customHeight="1" x14ac:dyDescent="0.2">
      <c r="A59" s="3">
        <v>53</v>
      </c>
      <c r="B59" s="4" t="s">
        <v>424</v>
      </c>
      <c r="C59" s="4" t="s">
        <v>425</v>
      </c>
      <c r="D59" s="4" t="s">
        <v>227</v>
      </c>
      <c r="E59" s="5">
        <v>1809</v>
      </c>
      <c r="F59" s="6">
        <v>4.5243089999999997</v>
      </c>
      <c r="G59" s="7">
        <v>1.386899E-3</v>
      </c>
      <c r="H59" s="53"/>
    </row>
    <row r="60" spans="1:8" ht="14.1" customHeight="1" x14ac:dyDescent="0.2">
      <c r="A60" s="1"/>
      <c r="B60" s="1"/>
      <c r="C60" s="2" t="s">
        <v>132</v>
      </c>
      <c r="D60" s="1"/>
      <c r="E60" s="1" t="s">
        <v>133</v>
      </c>
      <c r="F60" s="9">
        <v>3130.2754869999999</v>
      </c>
      <c r="G60" s="10">
        <v>0.95956668099999998</v>
      </c>
      <c r="H60" s="53"/>
    </row>
    <row r="61" spans="1:8" ht="14.1" customHeight="1" x14ac:dyDescent="0.2">
      <c r="A61" s="1"/>
      <c r="B61" s="1"/>
      <c r="C61" s="11"/>
      <c r="D61" s="1"/>
      <c r="E61" s="1"/>
      <c r="F61" s="12"/>
      <c r="G61" s="12"/>
      <c r="H61" s="53"/>
    </row>
    <row r="62" spans="1:8" ht="14.1" customHeight="1" x14ac:dyDescent="0.2">
      <c r="A62" s="1"/>
      <c r="B62" s="1"/>
      <c r="C62" s="2" t="s">
        <v>134</v>
      </c>
      <c r="D62" s="1"/>
      <c r="E62" s="1"/>
      <c r="F62" s="1"/>
      <c r="G62" s="1"/>
      <c r="H62" s="53"/>
    </row>
    <row r="63" spans="1:8" ht="14.1" customHeight="1" x14ac:dyDescent="0.2">
      <c r="A63" s="1"/>
      <c r="B63" s="1"/>
      <c r="C63" s="2" t="s">
        <v>132</v>
      </c>
      <c r="D63" s="1"/>
      <c r="E63" s="1" t="s">
        <v>133</v>
      </c>
      <c r="F63" s="13">
        <v>0</v>
      </c>
      <c r="G63" s="14">
        <v>0</v>
      </c>
      <c r="H63" s="53"/>
    </row>
    <row r="64" spans="1:8" ht="14.1" customHeight="1" x14ac:dyDescent="0.2">
      <c r="A64" s="1"/>
      <c r="B64" s="1"/>
      <c r="C64" s="11"/>
      <c r="D64" s="1"/>
      <c r="E64" s="1"/>
      <c r="F64" s="12"/>
      <c r="G64" s="12"/>
      <c r="H64" s="53"/>
    </row>
    <row r="65" spans="1:8" ht="14.1" customHeight="1" x14ac:dyDescent="0.2">
      <c r="A65" s="1"/>
      <c r="B65" s="1"/>
      <c r="C65" s="2" t="s">
        <v>135</v>
      </c>
      <c r="D65" s="1"/>
      <c r="E65" s="1"/>
      <c r="F65" s="1"/>
      <c r="G65" s="1"/>
      <c r="H65" s="53"/>
    </row>
    <row r="66" spans="1:8" ht="14.1" customHeight="1" x14ac:dyDescent="0.2">
      <c r="A66" s="1"/>
      <c r="B66" s="1"/>
      <c r="C66" s="2" t="s">
        <v>132</v>
      </c>
      <c r="D66" s="1"/>
      <c r="E66" s="1" t="s">
        <v>133</v>
      </c>
      <c r="F66" s="13">
        <v>0</v>
      </c>
      <c r="G66" s="14">
        <v>0</v>
      </c>
      <c r="H66" s="53"/>
    </row>
    <row r="67" spans="1:8" ht="14.1" customHeight="1" x14ac:dyDescent="0.2">
      <c r="A67" s="1"/>
      <c r="B67" s="1"/>
      <c r="C67" s="11"/>
      <c r="D67" s="1"/>
      <c r="E67" s="1"/>
      <c r="F67" s="12"/>
      <c r="G67" s="12"/>
      <c r="H67" s="53"/>
    </row>
    <row r="68" spans="1:8" ht="14.1" customHeight="1" x14ac:dyDescent="0.2">
      <c r="A68" s="1"/>
      <c r="B68" s="1"/>
      <c r="C68" s="2" t="s">
        <v>136</v>
      </c>
      <c r="D68" s="1"/>
      <c r="E68" s="1"/>
      <c r="F68" s="1"/>
      <c r="G68" s="1"/>
      <c r="H68" s="53"/>
    </row>
    <row r="69" spans="1:8" ht="14.1" customHeight="1" x14ac:dyDescent="0.2">
      <c r="A69" s="1"/>
      <c r="B69" s="1"/>
      <c r="C69" s="2" t="s">
        <v>132</v>
      </c>
      <c r="D69" s="1"/>
      <c r="E69" s="1" t="s">
        <v>133</v>
      </c>
      <c r="F69" s="13">
        <v>0</v>
      </c>
      <c r="G69" s="14">
        <v>0</v>
      </c>
      <c r="H69" s="53"/>
    </row>
    <row r="70" spans="1:8" ht="14.1" customHeight="1" x14ac:dyDescent="0.2">
      <c r="A70" s="1"/>
      <c r="B70" s="1"/>
      <c r="C70" s="11"/>
      <c r="D70" s="1"/>
      <c r="E70" s="1"/>
      <c r="F70" s="12"/>
      <c r="G70" s="12"/>
      <c r="H70" s="53"/>
    </row>
    <row r="71" spans="1:8" ht="14.1" customHeight="1" x14ac:dyDescent="0.2">
      <c r="A71" s="1"/>
      <c r="B71" s="1"/>
      <c r="C71" s="2" t="s">
        <v>137</v>
      </c>
      <c r="D71" s="1"/>
      <c r="E71" s="1"/>
      <c r="F71" s="12"/>
      <c r="G71" s="12"/>
      <c r="H71" s="53"/>
    </row>
    <row r="72" spans="1:8" ht="14.1" customHeight="1" x14ac:dyDescent="0.2">
      <c r="A72" s="1"/>
      <c r="B72" s="1"/>
      <c r="C72" s="2" t="s">
        <v>132</v>
      </c>
      <c r="D72" s="1"/>
      <c r="E72" s="1" t="s">
        <v>133</v>
      </c>
      <c r="F72" s="13">
        <v>0</v>
      </c>
      <c r="G72" s="14">
        <v>0</v>
      </c>
      <c r="H72" s="53"/>
    </row>
    <row r="73" spans="1:8" ht="14.1" customHeight="1" x14ac:dyDescent="0.2">
      <c r="A73" s="1"/>
      <c r="B73" s="1"/>
      <c r="C73" s="11"/>
      <c r="D73" s="1"/>
      <c r="E73" s="1"/>
      <c r="F73" s="12"/>
      <c r="G73" s="12"/>
      <c r="H73" s="53"/>
    </row>
    <row r="74" spans="1:8" ht="14.1" customHeight="1" x14ac:dyDescent="0.2">
      <c r="A74" s="1"/>
      <c r="B74" s="1"/>
      <c r="C74" s="2" t="s">
        <v>138</v>
      </c>
      <c r="D74" s="1"/>
      <c r="E74" s="1"/>
      <c r="F74" s="12"/>
      <c r="G74" s="12"/>
      <c r="H74" s="53"/>
    </row>
    <row r="75" spans="1:8" ht="14.1" customHeight="1" x14ac:dyDescent="0.2">
      <c r="A75" s="1"/>
      <c r="B75" s="1"/>
      <c r="C75" s="2" t="s">
        <v>132</v>
      </c>
      <c r="D75" s="1"/>
      <c r="E75" s="1" t="s">
        <v>133</v>
      </c>
      <c r="F75" s="13">
        <v>0</v>
      </c>
      <c r="G75" s="14">
        <v>0</v>
      </c>
      <c r="H75" s="53"/>
    </row>
    <row r="76" spans="1:8" ht="14.1" customHeight="1" x14ac:dyDescent="0.2">
      <c r="A76" s="1"/>
      <c r="B76" s="1"/>
      <c r="C76" s="11"/>
      <c r="D76" s="1"/>
      <c r="E76" s="1"/>
      <c r="F76" s="12"/>
      <c r="G76" s="12"/>
      <c r="H76" s="53"/>
    </row>
    <row r="77" spans="1:8" ht="18" customHeight="1" x14ac:dyDescent="0.2">
      <c r="A77" s="1"/>
      <c r="B77" s="1"/>
      <c r="C77" s="2" t="s">
        <v>139</v>
      </c>
      <c r="D77" s="1"/>
      <c r="E77" s="1"/>
      <c r="F77" s="9">
        <v>3130.2754869999999</v>
      </c>
      <c r="G77" s="10">
        <v>0.95956668099999998</v>
      </c>
      <c r="H77" s="53"/>
    </row>
    <row r="78" spans="1:8" ht="14.1" customHeight="1" x14ac:dyDescent="0.2">
      <c r="A78" s="1"/>
      <c r="B78" s="1"/>
      <c r="C78" s="11"/>
      <c r="D78" s="1"/>
      <c r="E78" s="1"/>
      <c r="F78" s="12"/>
      <c r="G78" s="12"/>
      <c r="H78" s="53"/>
    </row>
    <row r="79" spans="1:8" ht="14.1" customHeight="1" x14ac:dyDescent="0.2">
      <c r="A79" s="1"/>
      <c r="B79" s="1"/>
      <c r="C79" s="2" t="s">
        <v>140</v>
      </c>
      <c r="D79" s="1"/>
      <c r="E79" s="1"/>
      <c r="F79" s="12"/>
      <c r="G79" s="12"/>
      <c r="H79" s="53"/>
    </row>
    <row r="80" spans="1:8" ht="24" customHeight="1" x14ac:dyDescent="0.2">
      <c r="A80" s="1"/>
      <c r="B80" s="1"/>
      <c r="C80" s="2" t="s">
        <v>10</v>
      </c>
      <c r="D80" s="1"/>
      <c r="E80" s="1"/>
      <c r="F80" s="12"/>
      <c r="G80" s="12"/>
      <c r="H80" s="53"/>
    </row>
    <row r="81" spans="1:8" ht="14.1" customHeight="1" x14ac:dyDescent="0.2">
      <c r="A81" s="1"/>
      <c r="B81" s="1"/>
      <c r="C81" s="2" t="s">
        <v>132</v>
      </c>
      <c r="D81" s="1"/>
      <c r="E81" s="1" t="s">
        <v>133</v>
      </c>
      <c r="F81" s="13">
        <v>0</v>
      </c>
      <c r="G81" s="14">
        <v>0</v>
      </c>
      <c r="H81" s="53"/>
    </row>
    <row r="82" spans="1:8" ht="14.1" customHeight="1" x14ac:dyDescent="0.2">
      <c r="A82" s="1"/>
      <c r="B82" s="1"/>
      <c r="C82" s="11"/>
      <c r="D82" s="1"/>
      <c r="E82" s="1"/>
      <c r="F82" s="12"/>
      <c r="G82" s="12"/>
      <c r="H82" s="53"/>
    </row>
    <row r="83" spans="1:8" ht="14.1" customHeight="1" x14ac:dyDescent="0.2">
      <c r="A83" s="1"/>
      <c r="B83" s="1"/>
      <c r="C83" s="2" t="s">
        <v>141</v>
      </c>
      <c r="D83" s="1"/>
      <c r="E83" s="1"/>
      <c r="F83" s="1"/>
      <c r="G83" s="1"/>
      <c r="H83" s="53"/>
    </row>
    <row r="84" spans="1:8" ht="14.1" customHeight="1" x14ac:dyDescent="0.2">
      <c r="A84" s="1"/>
      <c r="B84" s="1"/>
      <c r="C84" s="2" t="s">
        <v>132</v>
      </c>
      <c r="D84" s="1"/>
      <c r="E84" s="1" t="s">
        <v>133</v>
      </c>
      <c r="F84" s="13">
        <v>0</v>
      </c>
      <c r="G84" s="14">
        <v>0</v>
      </c>
      <c r="H84" s="53"/>
    </row>
    <row r="85" spans="1:8" ht="14.1" customHeight="1" x14ac:dyDescent="0.2">
      <c r="A85" s="1"/>
      <c r="B85" s="1"/>
      <c r="C85" s="11"/>
      <c r="D85" s="1"/>
      <c r="E85" s="1"/>
      <c r="F85" s="12"/>
      <c r="G85" s="12"/>
      <c r="H85" s="53"/>
    </row>
    <row r="86" spans="1:8" ht="14.1" customHeight="1" x14ac:dyDescent="0.2">
      <c r="A86" s="1"/>
      <c r="B86" s="1"/>
      <c r="C86" s="2" t="s">
        <v>142</v>
      </c>
      <c r="D86" s="1"/>
      <c r="E86" s="1"/>
      <c r="F86" s="1"/>
      <c r="G86" s="1"/>
      <c r="H86" s="53"/>
    </row>
    <row r="87" spans="1:8" ht="14.1" customHeight="1" x14ac:dyDescent="0.2">
      <c r="A87" s="1"/>
      <c r="B87" s="1"/>
      <c r="C87" s="2" t="s">
        <v>132</v>
      </c>
      <c r="D87" s="1"/>
      <c r="E87" s="1" t="s">
        <v>133</v>
      </c>
      <c r="F87" s="13">
        <v>0</v>
      </c>
      <c r="G87" s="14">
        <v>0</v>
      </c>
      <c r="H87" s="53"/>
    </row>
    <row r="88" spans="1:8" ht="14.1" customHeight="1" x14ac:dyDescent="0.2">
      <c r="A88" s="1"/>
      <c r="B88" s="1"/>
      <c r="C88" s="11"/>
      <c r="D88" s="1"/>
      <c r="E88" s="1"/>
      <c r="F88" s="12"/>
      <c r="G88" s="12"/>
      <c r="H88" s="53"/>
    </row>
    <row r="89" spans="1:8" ht="14.1" customHeight="1" x14ac:dyDescent="0.2">
      <c r="A89" s="1"/>
      <c r="B89" s="1"/>
      <c r="C89" s="2" t="s">
        <v>143</v>
      </c>
      <c r="D89" s="1"/>
      <c r="E89" s="1"/>
      <c r="F89" s="12"/>
      <c r="G89" s="12"/>
      <c r="H89" s="53"/>
    </row>
    <row r="90" spans="1:8" ht="14.1" customHeight="1" x14ac:dyDescent="0.2">
      <c r="A90" s="1"/>
      <c r="B90" s="1"/>
      <c r="C90" s="2" t="s">
        <v>132</v>
      </c>
      <c r="D90" s="1"/>
      <c r="E90" s="1" t="s">
        <v>133</v>
      </c>
      <c r="F90" s="13">
        <v>0</v>
      </c>
      <c r="G90" s="14">
        <v>0</v>
      </c>
      <c r="H90" s="53"/>
    </row>
    <row r="91" spans="1:8" ht="14.1" customHeight="1" x14ac:dyDescent="0.2">
      <c r="A91" s="1"/>
      <c r="B91" s="1"/>
      <c r="C91" s="11"/>
      <c r="D91" s="1"/>
      <c r="E91" s="1"/>
      <c r="F91" s="12"/>
      <c r="G91" s="12"/>
      <c r="H91" s="53"/>
    </row>
    <row r="92" spans="1:8" ht="14.1" customHeight="1" x14ac:dyDescent="0.2">
      <c r="A92" s="1"/>
      <c r="B92" s="1"/>
      <c r="C92" s="2" t="s">
        <v>144</v>
      </c>
      <c r="D92" s="1"/>
      <c r="E92" s="1"/>
      <c r="F92" s="9">
        <v>0</v>
      </c>
      <c r="G92" s="10">
        <v>0</v>
      </c>
      <c r="H92" s="53"/>
    </row>
    <row r="93" spans="1:8" ht="14.1" customHeight="1" x14ac:dyDescent="0.2">
      <c r="A93" s="1"/>
      <c r="B93" s="1"/>
      <c r="C93" s="11"/>
      <c r="D93" s="1"/>
      <c r="E93" s="1"/>
      <c r="F93" s="12"/>
      <c r="G93" s="12"/>
      <c r="H93" s="53"/>
    </row>
    <row r="94" spans="1:8" ht="14.1" customHeight="1" x14ac:dyDescent="0.2">
      <c r="A94" s="1"/>
      <c r="B94" s="1"/>
      <c r="C94" s="2" t="s">
        <v>145</v>
      </c>
      <c r="D94" s="1"/>
      <c r="E94" s="1"/>
      <c r="F94" s="12"/>
      <c r="G94" s="12"/>
      <c r="H94" s="53"/>
    </row>
    <row r="95" spans="1:8" ht="14.1" customHeight="1" x14ac:dyDescent="0.2">
      <c r="A95" s="1"/>
      <c r="B95" s="1"/>
      <c r="C95" s="2" t="s">
        <v>146</v>
      </c>
      <c r="D95" s="1"/>
      <c r="E95" s="1"/>
      <c r="F95" s="12"/>
      <c r="G95" s="12"/>
      <c r="H95" s="53"/>
    </row>
    <row r="96" spans="1:8" ht="14.1" customHeight="1" x14ac:dyDescent="0.2">
      <c r="A96" s="1"/>
      <c r="B96" s="1"/>
      <c r="C96" s="2" t="s">
        <v>132</v>
      </c>
      <c r="D96" s="1"/>
      <c r="E96" s="1" t="s">
        <v>133</v>
      </c>
      <c r="F96" s="13">
        <v>0</v>
      </c>
      <c r="G96" s="14">
        <v>0</v>
      </c>
      <c r="H96" s="53"/>
    </row>
    <row r="97" spans="1:8" ht="14.1" customHeight="1" x14ac:dyDescent="0.2">
      <c r="A97" s="1"/>
      <c r="B97" s="1"/>
      <c r="C97" s="11"/>
      <c r="D97" s="1"/>
      <c r="E97" s="1"/>
      <c r="F97" s="12"/>
      <c r="G97" s="12"/>
      <c r="H97" s="53"/>
    </row>
    <row r="98" spans="1:8" ht="14.1" customHeight="1" x14ac:dyDescent="0.2">
      <c r="A98" s="1"/>
      <c r="B98" s="1"/>
      <c r="C98" s="2" t="s">
        <v>147</v>
      </c>
      <c r="D98" s="1"/>
      <c r="E98" s="1"/>
      <c r="F98" s="12"/>
      <c r="G98" s="12"/>
      <c r="H98" s="53"/>
    </row>
    <row r="99" spans="1:8" ht="14.1" customHeight="1" x14ac:dyDescent="0.2">
      <c r="A99" s="1"/>
      <c r="B99" s="1"/>
      <c r="C99" s="2" t="s">
        <v>132</v>
      </c>
      <c r="D99" s="1"/>
      <c r="E99" s="1" t="s">
        <v>133</v>
      </c>
      <c r="F99" s="13">
        <v>0</v>
      </c>
      <c r="G99" s="14">
        <v>0</v>
      </c>
      <c r="H99" s="53"/>
    </row>
    <row r="100" spans="1:8" ht="14.1" customHeight="1" x14ac:dyDescent="0.2">
      <c r="A100" s="1"/>
      <c r="B100" s="1"/>
      <c r="C100" s="11"/>
      <c r="D100" s="1"/>
      <c r="E100" s="1"/>
      <c r="F100" s="12"/>
      <c r="G100" s="12"/>
      <c r="H100" s="53"/>
    </row>
    <row r="101" spans="1:8" ht="14.1" customHeight="1" x14ac:dyDescent="0.2">
      <c r="A101" s="1"/>
      <c r="B101" s="1"/>
      <c r="C101" s="2" t="s">
        <v>148</v>
      </c>
      <c r="D101" s="1"/>
      <c r="E101" s="1"/>
      <c r="F101" s="12"/>
      <c r="G101" s="12"/>
      <c r="H101" s="53"/>
    </row>
    <row r="102" spans="1:8" ht="14.1" customHeight="1" x14ac:dyDescent="0.2">
      <c r="A102" s="1"/>
      <c r="B102" s="1"/>
      <c r="C102" s="2" t="s">
        <v>132</v>
      </c>
      <c r="D102" s="1"/>
      <c r="E102" s="1" t="s">
        <v>133</v>
      </c>
      <c r="F102" s="13">
        <v>0</v>
      </c>
      <c r="G102" s="14">
        <v>0</v>
      </c>
      <c r="H102" s="53"/>
    </row>
    <row r="103" spans="1:8" ht="14.1" customHeight="1" x14ac:dyDescent="0.2">
      <c r="A103" s="1"/>
      <c r="B103" s="1"/>
      <c r="C103" s="11"/>
      <c r="D103" s="1"/>
      <c r="E103" s="1"/>
      <c r="F103" s="12"/>
      <c r="G103" s="12"/>
      <c r="H103" s="53"/>
    </row>
    <row r="104" spans="1:8" ht="14.1" customHeight="1" x14ac:dyDescent="0.2">
      <c r="A104" s="1"/>
      <c r="B104" s="1"/>
      <c r="C104" s="2" t="s">
        <v>149</v>
      </c>
      <c r="D104" s="1"/>
      <c r="E104" s="1"/>
      <c r="F104" s="12"/>
      <c r="G104" s="12"/>
      <c r="H104" s="53"/>
    </row>
    <row r="105" spans="1:8" ht="17.100000000000001" customHeight="1" x14ac:dyDescent="0.2">
      <c r="A105" s="3">
        <v>1</v>
      </c>
      <c r="B105" s="4"/>
      <c r="C105" s="4" t="s">
        <v>150</v>
      </c>
      <c r="D105" s="4"/>
      <c r="E105" s="8"/>
      <c r="F105" s="6">
        <v>140.0598952</v>
      </c>
      <c r="G105" s="7">
        <v>4.2934499000000001E-2</v>
      </c>
      <c r="H105" s="53">
        <v>6.46</v>
      </c>
    </row>
    <row r="106" spans="1:8" ht="14.1" customHeight="1" x14ac:dyDescent="0.2">
      <c r="A106" s="1"/>
      <c r="B106" s="1"/>
      <c r="C106" s="2" t="s">
        <v>132</v>
      </c>
      <c r="D106" s="1"/>
      <c r="E106" s="1" t="s">
        <v>133</v>
      </c>
      <c r="F106" s="9">
        <v>140.0598952</v>
      </c>
      <c r="G106" s="10">
        <v>4.2934499000000001E-2</v>
      </c>
      <c r="H106" s="53"/>
    </row>
    <row r="107" spans="1:8" ht="14.1" customHeight="1" x14ac:dyDescent="0.2">
      <c r="A107" s="1"/>
      <c r="B107" s="1"/>
      <c r="C107" s="11"/>
      <c r="D107" s="1"/>
      <c r="E107" s="1"/>
      <c r="F107" s="12"/>
      <c r="G107" s="12"/>
      <c r="H107" s="53"/>
    </row>
    <row r="108" spans="1:8" ht="14.1" customHeight="1" x14ac:dyDescent="0.2">
      <c r="A108" s="1"/>
      <c r="B108" s="1"/>
      <c r="C108" s="2" t="s">
        <v>151</v>
      </c>
      <c r="D108" s="1"/>
      <c r="E108" s="1"/>
      <c r="F108" s="9">
        <v>140.0598952</v>
      </c>
      <c r="G108" s="10">
        <v>4.2934499000000001E-2</v>
      </c>
      <c r="H108" s="53"/>
    </row>
    <row r="109" spans="1:8" ht="14.1" customHeight="1" x14ac:dyDescent="0.2">
      <c r="A109" s="1"/>
      <c r="B109" s="1"/>
      <c r="C109" s="12"/>
      <c r="D109" s="1"/>
      <c r="E109" s="1"/>
      <c r="F109" s="1"/>
      <c r="G109" s="1"/>
      <c r="H109" s="53"/>
    </row>
    <row r="110" spans="1:8" ht="14.1" customHeight="1" x14ac:dyDescent="0.2">
      <c r="A110" s="1"/>
      <c r="B110" s="1"/>
      <c r="C110" s="2" t="s">
        <v>152</v>
      </c>
      <c r="D110" s="1"/>
      <c r="E110" s="1"/>
      <c r="F110" s="1"/>
      <c r="G110" s="1"/>
      <c r="H110" s="53"/>
    </row>
    <row r="111" spans="1:8" ht="14.1" customHeight="1" x14ac:dyDescent="0.2">
      <c r="A111" s="1"/>
      <c r="B111" s="1"/>
      <c r="C111" s="2" t="s">
        <v>153</v>
      </c>
      <c r="D111" s="1"/>
      <c r="E111" s="1"/>
      <c r="F111" s="1"/>
      <c r="G111" s="1"/>
      <c r="H111" s="53"/>
    </row>
    <row r="112" spans="1:8" ht="14.1" customHeight="1" x14ac:dyDescent="0.2">
      <c r="A112" s="1"/>
      <c r="B112" s="1"/>
      <c r="C112" s="2" t="s">
        <v>132</v>
      </c>
      <c r="D112" s="1"/>
      <c r="E112" s="1" t="s">
        <v>133</v>
      </c>
      <c r="F112" s="13">
        <v>0</v>
      </c>
      <c r="G112" s="14">
        <v>0</v>
      </c>
      <c r="H112" s="53"/>
    </row>
    <row r="113" spans="1:8" ht="14.1" customHeight="1" x14ac:dyDescent="0.2">
      <c r="A113" s="1"/>
      <c r="B113" s="1"/>
      <c r="C113" s="11"/>
      <c r="D113" s="1"/>
      <c r="E113" s="1"/>
      <c r="F113" s="12"/>
      <c r="G113" s="12"/>
      <c r="H113" s="53"/>
    </row>
    <row r="114" spans="1:8" ht="14.1" customHeight="1" x14ac:dyDescent="0.2">
      <c r="A114" s="1"/>
      <c r="B114" s="1"/>
      <c r="C114" s="2" t="s">
        <v>154</v>
      </c>
      <c r="D114" s="1"/>
      <c r="E114" s="1"/>
      <c r="F114" s="1"/>
      <c r="G114" s="1"/>
      <c r="H114" s="53"/>
    </row>
    <row r="115" spans="1:8" ht="14.1" customHeight="1" x14ac:dyDescent="0.2">
      <c r="A115" s="1"/>
      <c r="B115" s="1"/>
      <c r="C115" s="2" t="s">
        <v>155</v>
      </c>
      <c r="D115" s="1"/>
      <c r="E115" s="1"/>
      <c r="F115" s="1"/>
      <c r="G115" s="1"/>
      <c r="H115" s="53"/>
    </row>
    <row r="116" spans="1:8" ht="14.1" customHeight="1" x14ac:dyDescent="0.2">
      <c r="A116" s="1"/>
      <c r="B116" s="1"/>
      <c r="C116" s="2" t="s">
        <v>132</v>
      </c>
      <c r="D116" s="1"/>
      <c r="E116" s="1" t="s">
        <v>133</v>
      </c>
      <c r="F116" s="13">
        <v>0</v>
      </c>
      <c r="G116" s="14">
        <v>0</v>
      </c>
      <c r="H116" s="53"/>
    </row>
    <row r="117" spans="1:8" ht="14.1" customHeight="1" x14ac:dyDescent="0.2">
      <c r="A117" s="1"/>
      <c r="B117" s="1"/>
      <c r="C117" s="11"/>
      <c r="D117" s="1"/>
      <c r="E117" s="1"/>
      <c r="F117" s="12"/>
      <c r="G117" s="12"/>
      <c r="H117" s="53"/>
    </row>
    <row r="118" spans="1:8" ht="14.1" customHeight="1" x14ac:dyDescent="0.2">
      <c r="A118" s="1"/>
      <c r="B118" s="1"/>
      <c r="C118" s="11"/>
      <c r="D118" s="1"/>
      <c r="E118" s="1"/>
      <c r="F118" s="12"/>
      <c r="G118" s="12"/>
      <c r="H118" s="53"/>
    </row>
    <row r="119" spans="1:8" ht="24" customHeight="1" x14ac:dyDescent="0.2">
      <c r="A119" s="1"/>
      <c r="B119" s="1"/>
      <c r="C119" s="2" t="s">
        <v>156</v>
      </c>
      <c r="D119" s="1"/>
      <c r="E119" s="1"/>
      <c r="F119" s="12"/>
      <c r="G119" s="12"/>
      <c r="H119" s="53"/>
    </row>
    <row r="120" spans="1:8" ht="14.1" customHeight="1" x14ac:dyDescent="0.2">
      <c r="A120" s="1"/>
      <c r="B120" s="1"/>
      <c r="C120" s="2" t="s">
        <v>132</v>
      </c>
      <c r="D120" s="1"/>
      <c r="E120" s="1" t="s">
        <v>133</v>
      </c>
      <c r="F120" s="13">
        <v>0</v>
      </c>
      <c r="G120" s="14">
        <v>0</v>
      </c>
      <c r="H120" s="53"/>
    </row>
    <row r="121" spans="1:8" ht="14.1" customHeight="1" x14ac:dyDescent="0.2">
      <c r="A121" s="1"/>
      <c r="B121" s="1"/>
      <c r="C121" s="11"/>
      <c r="D121" s="1"/>
      <c r="E121" s="1"/>
      <c r="F121" s="12"/>
      <c r="G121" s="12"/>
      <c r="H121" s="53"/>
    </row>
    <row r="122" spans="1:8" ht="14.1" customHeight="1" x14ac:dyDescent="0.2">
      <c r="A122" s="1"/>
      <c r="B122" s="4"/>
      <c r="C122" s="4"/>
      <c r="D122" s="2"/>
      <c r="E122" s="1"/>
      <c r="F122" s="4"/>
      <c r="G122" s="8"/>
      <c r="H122" s="53"/>
    </row>
    <row r="123" spans="1:8" ht="18" customHeight="1" x14ac:dyDescent="0.2">
      <c r="A123" s="8"/>
      <c r="B123" s="4"/>
      <c r="C123" s="4" t="s">
        <v>157</v>
      </c>
      <c r="D123" s="4"/>
      <c r="E123" s="8"/>
      <c r="F123" s="6">
        <v>-8.1592866900000001</v>
      </c>
      <c r="G123" s="7">
        <v>-2.5011790000000001E-3</v>
      </c>
      <c r="H123" s="53"/>
    </row>
    <row r="124" spans="1:8" ht="14.1" customHeight="1" x14ac:dyDescent="0.2">
      <c r="A124" s="11"/>
      <c r="B124" s="11"/>
      <c r="C124" s="2" t="s">
        <v>158</v>
      </c>
      <c r="D124" s="15"/>
      <c r="E124" s="15"/>
      <c r="F124" s="9">
        <v>3262.1760955099999</v>
      </c>
      <c r="G124" s="10">
        <v>1.0000000010000001</v>
      </c>
      <c r="H124" s="53"/>
    </row>
    <row r="125" spans="1:8" ht="14.1" customHeight="1" x14ac:dyDescent="0.2">
      <c r="A125" s="16"/>
      <c r="B125" s="16"/>
      <c r="C125" s="16"/>
      <c r="D125" s="17"/>
      <c r="E125" s="17"/>
      <c r="F125" s="17"/>
      <c r="G125" s="17"/>
    </row>
    <row r="126" spans="1:8" ht="14.1" customHeight="1" x14ac:dyDescent="0.2">
      <c r="A126" s="18"/>
      <c r="B126" s="292" t="s">
        <v>133</v>
      </c>
      <c r="C126" s="292"/>
      <c r="D126" s="292"/>
      <c r="E126" s="292"/>
      <c r="F126" s="292"/>
      <c r="G126" s="20"/>
    </row>
    <row r="127" spans="1:8" ht="14.1" customHeight="1" x14ac:dyDescent="0.2">
      <c r="A127" s="18"/>
      <c r="B127" s="292" t="s">
        <v>133</v>
      </c>
      <c r="C127" s="292"/>
      <c r="D127" s="292"/>
      <c r="E127" s="292"/>
      <c r="F127" s="292"/>
      <c r="G127" s="20"/>
    </row>
    <row r="128" spans="1:8" ht="14.1" customHeight="1" x14ac:dyDescent="0.2">
      <c r="A128" s="18"/>
      <c r="B128" s="18"/>
      <c r="C128" s="18"/>
      <c r="D128" s="20"/>
      <c r="E128" s="20"/>
      <c r="F128" s="20"/>
      <c r="G128" s="20"/>
    </row>
    <row r="129" spans="1:7" ht="14.1" customHeight="1" x14ac:dyDescent="0.2">
      <c r="A129" s="18"/>
      <c r="B129" s="293" t="s">
        <v>160</v>
      </c>
      <c r="C129" s="294"/>
      <c r="D129" s="12" t="s">
        <v>133</v>
      </c>
      <c r="E129" s="21"/>
      <c r="F129" s="20"/>
      <c r="G129" s="20"/>
    </row>
    <row r="130" spans="1:7" ht="29.1" customHeight="1" x14ac:dyDescent="0.2">
      <c r="A130" s="18"/>
      <c r="B130" s="290" t="s">
        <v>161</v>
      </c>
      <c r="C130" s="291"/>
      <c r="D130" s="2" t="s">
        <v>162</v>
      </c>
      <c r="E130" s="21"/>
      <c r="F130" s="20"/>
      <c r="G130" s="20"/>
    </row>
    <row r="131" spans="1:7" ht="17.100000000000001" customHeight="1" x14ac:dyDescent="0.2">
      <c r="A131" s="18"/>
      <c r="B131" s="290" t="s">
        <v>163</v>
      </c>
      <c r="C131" s="291"/>
      <c r="D131" s="2" t="s">
        <v>162</v>
      </c>
      <c r="E131" s="21"/>
      <c r="F131" s="20"/>
      <c r="G131" s="20"/>
    </row>
    <row r="132" spans="1:7" ht="17.100000000000001" customHeight="1" x14ac:dyDescent="0.2">
      <c r="A132" s="18"/>
      <c r="B132" s="290" t="s">
        <v>164</v>
      </c>
      <c r="C132" s="291"/>
      <c r="D132" s="12" t="s">
        <v>133</v>
      </c>
      <c r="E132" s="21"/>
      <c r="F132" s="20"/>
      <c r="G132" s="20"/>
    </row>
    <row r="133" spans="1:7" ht="24" customHeight="1" x14ac:dyDescent="0.2">
      <c r="A133" s="22"/>
      <c r="B133" s="23" t="s">
        <v>133</v>
      </c>
      <c r="C133" s="23" t="s">
        <v>165</v>
      </c>
      <c r="D133" s="23" t="s">
        <v>166</v>
      </c>
      <c r="E133" s="22"/>
      <c r="F133" s="22"/>
      <c r="G133" s="22"/>
    </row>
    <row r="134" spans="1:7" ht="18" customHeight="1" x14ac:dyDescent="0.2">
      <c r="A134" s="22"/>
      <c r="B134" s="23" t="s">
        <v>167</v>
      </c>
      <c r="C134" s="23" t="s">
        <v>168</v>
      </c>
      <c r="D134" s="23" t="s">
        <v>169</v>
      </c>
      <c r="E134" s="22"/>
      <c r="F134" s="22"/>
      <c r="G134" s="22"/>
    </row>
    <row r="135" spans="1:7" ht="17.100000000000001" customHeight="1" x14ac:dyDescent="0.2">
      <c r="A135" s="22"/>
      <c r="B135" s="4" t="s">
        <v>170</v>
      </c>
      <c r="C135" s="24">
        <v>16.785699999999999</v>
      </c>
      <c r="D135" s="24">
        <v>16.173300000000001</v>
      </c>
      <c r="E135" s="22"/>
      <c r="F135" s="19"/>
      <c r="G135" s="25"/>
    </row>
    <row r="136" spans="1:7" ht="17.100000000000001" customHeight="1" x14ac:dyDescent="0.2">
      <c r="A136" s="22"/>
      <c r="B136" s="4" t="s">
        <v>1042</v>
      </c>
      <c r="C136" s="24">
        <v>16.785599999999999</v>
      </c>
      <c r="D136" s="24">
        <v>16.173300000000001</v>
      </c>
      <c r="E136" s="22"/>
      <c r="F136" s="19"/>
      <c r="G136" s="25"/>
    </row>
    <row r="137" spans="1:7" ht="17.100000000000001" customHeight="1" x14ac:dyDescent="0.2">
      <c r="A137" s="22"/>
      <c r="B137" s="4" t="s">
        <v>171</v>
      </c>
      <c r="C137" s="24">
        <v>16.121099999999998</v>
      </c>
      <c r="D137" s="24">
        <v>15.5306</v>
      </c>
      <c r="E137" s="22"/>
      <c r="F137" s="19"/>
      <c r="G137" s="25"/>
    </row>
    <row r="138" spans="1:7" ht="17.100000000000001" customHeight="1" x14ac:dyDescent="0.2">
      <c r="A138" s="22"/>
      <c r="B138" s="4" t="s">
        <v>1043</v>
      </c>
      <c r="C138" s="24">
        <v>16.120999999999999</v>
      </c>
      <c r="D138" s="24">
        <v>15.5305</v>
      </c>
      <c r="E138" s="22"/>
      <c r="F138" s="19"/>
      <c r="G138" s="25"/>
    </row>
    <row r="139" spans="1:7" ht="14.1" customHeight="1" x14ac:dyDescent="0.2">
      <c r="A139" s="22"/>
      <c r="B139" s="22"/>
      <c r="C139" s="22"/>
      <c r="D139" s="22"/>
      <c r="E139" s="22"/>
      <c r="F139" s="22"/>
      <c r="G139" s="22"/>
    </row>
    <row r="140" spans="1:7" ht="17.100000000000001" customHeight="1" x14ac:dyDescent="0.2">
      <c r="A140" s="22"/>
      <c r="B140" s="290" t="s">
        <v>1044</v>
      </c>
      <c r="C140" s="291"/>
      <c r="D140" s="2" t="s">
        <v>162</v>
      </c>
      <c r="E140" s="22"/>
      <c r="F140" s="22"/>
      <c r="G140" s="22"/>
    </row>
    <row r="141" spans="1:7" ht="18" customHeight="1" x14ac:dyDescent="0.2">
      <c r="A141" s="22"/>
      <c r="B141" s="26"/>
      <c r="C141" s="26"/>
      <c r="D141" s="27"/>
      <c r="E141" s="22"/>
      <c r="F141" s="22"/>
      <c r="G141" s="22"/>
    </row>
    <row r="142" spans="1:7" ht="29.1" customHeight="1" x14ac:dyDescent="0.2">
      <c r="A142" s="22"/>
      <c r="B142" s="290" t="s">
        <v>172</v>
      </c>
      <c r="C142" s="291"/>
      <c r="D142" s="2" t="s">
        <v>162</v>
      </c>
      <c r="E142" s="22"/>
      <c r="F142" s="22"/>
      <c r="G142" s="22"/>
    </row>
    <row r="143" spans="1:7" ht="29.1" customHeight="1" x14ac:dyDescent="0.2">
      <c r="A143" s="22"/>
      <c r="B143" s="290" t="s">
        <v>173</v>
      </c>
      <c r="C143" s="291"/>
      <c r="D143" s="2" t="s">
        <v>162</v>
      </c>
      <c r="E143" s="22"/>
      <c r="F143" s="22"/>
      <c r="G143" s="22"/>
    </row>
    <row r="144" spans="1:7" ht="17.100000000000001" customHeight="1" x14ac:dyDescent="0.2">
      <c r="A144" s="22"/>
      <c r="B144" s="290" t="s">
        <v>174</v>
      </c>
      <c r="C144" s="291"/>
      <c r="D144" s="28">
        <v>0.10045858237521663</v>
      </c>
      <c r="E144" s="22"/>
      <c r="F144" s="19"/>
      <c r="G144" s="25"/>
    </row>
    <row r="145" spans="1:14" ht="17.100000000000001" customHeight="1" x14ac:dyDescent="0.2">
      <c r="A145" s="22"/>
      <c r="B145" s="290" t="s">
        <v>175</v>
      </c>
      <c r="C145" s="291"/>
      <c r="D145" s="2" t="s">
        <v>162</v>
      </c>
      <c r="E145" s="22"/>
      <c r="F145" s="22"/>
      <c r="G145" s="22"/>
    </row>
    <row r="158" spans="1:14" x14ac:dyDescent="0.2">
      <c r="J158" s="189"/>
      <c r="K158" s="189"/>
      <c r="L158" s="189"/>
      <c r="M158" s="189"/>
      <c r="N158" s="189"/>
    </row>
  </sheetData>
  <mergeCells count="15">
    <mergeCell ref="B144:C144"/>
    <mergeCell ref="B145:C145"/>
    <mergeCell ref="B130:C130"/>
    <mergeCell ref="B131:C131"/>
    <mergeCell ref="B132:C132"/>
    <mergeCell ref="B140:C140"/>
    <mergeCell ref="B142:C142"/>
    <mergeCell ref="B143:C143"/>
    <mergeCell ref="A1:H1"/>
    <mergeCell ref="A2:H2"/>
    <mergeCell ref="A3:H3"/>
    <mergeCell ref="J2:N2"/>
    <mergeCell ref="B129:C129"/>
    <mergeCell ref="B126:F126"/>
    <mergeCell ref="B127:F127"/>
  </mergeCells>
  <hyperlinks>
    <hyperlink ref="I1" location="Index!B21" display="Index" xr:uid="{F0621605-C7F2-422A-AA1A-ECBD832FE84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6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494</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v>
      </c>
      <c r="C7" s="4" t="s">
        <v>32</v>
      </c>
      <c r="D7" s="4" t="s">
        <v>33</v>
      </c>
      <c r="E7" s="5">
        <v>362000</v>
      </c>
      <c r="F7" s="6">
        <v>7000.3559999999998</v>
      </c>
      <c r="G7" s="7">
        <v>3.4633302999999997E-2</v>
      </c>
      <c r="H7" s="53"/>
    </row>
    <row r="8" spans="1:14" ht="17.100000000000001" customHeight="1" x14ac:dyDescent="0.2">
      <c r="A8" s="3">
        <v>2</v>
      </c>
      <c r="B8" s="4" t="s">
        <v>438</v>
      </c>
      <c r="C8" s="4" t="s">
        <v>439</v>
      </c>
      <c r="D8" s="4" t="s">
        <v>900</v>
      </c>
      <c r="E8" s="5">
        <v>985189</v>
      </c>
      <c r="F8" s="6">
        <v>6938.1935325000004</v>
      </c>
      <c r="G8" s="7">
        <v>3.4325762000000003E-2</v>
      </c>
      <c r="H8" s="53"/>
    </row>
    <row r="9" spans="1:14" ht="17.100000000000001" customHeight="1" x14ac:dyDescent="0.2">
      <c r="A9" s="3">
        <v>3</v>
      </c>
      <c r="B9" s="4" t="s">
        <v>420</v>
      </c>
      <c r="C9" s="4" t="s">
        <v>421</v>
      </c>
      <c r="D9" s="4" t="s">
        <v>224</v>
      </c>
      <c r="E9" s="5">
        <v>824354</v>
      </c>
      <c r="F9" s="6">
        <v>6509.0991839999997</v>
      </c>
      <c r="G9" s="7">
        <v>3.2202876999999998E-2</v>
      </c>
      <c r="H9" s="53"/>
    </row>
    <row r="10" spans="1:14" ht="17.100000000000001" customHeight="1" x14ac:dyDescent="0.2">
      <c r="A10" s="3">
        <v>4</v>
      </c>
      <c r="B10" s="4" t="s">
        <v>365</v>
      </c>
      <c r="C10" s="4" t="s">
        <v>366</v>
      </c>
      <c r="D10" s="4" t="s">
        <v>119</v>
      </c>
      <c r="E10" s="5">
        <v>1087000</v>
      </c>
      <c r="F10" s="6">
        <v>5815.9934999999996</v>
      </c>
      <c r="G10" s="7">
        <v>2.8773831E-2</v>
      </c>
      <c r="H10" s="53"/>
    </row>
    <row r="11" spans="1:14" ht="53.1" customHeight="1" x14ac:dyDescent="0.2">
      <c r="A11" s="3">
        <v>5</v>
      </c>
      <c r="B11" s="4" t="s">
        <v>46</v>
      </c>
      <c r="C11" s="4" t="s">
        <v>47</v>
      </c>
      <c r="D11" s="4" t="s">
        <v>48</v>
      </c>
      <c r="E11" s="5">
        <v>3440000</v>
      </c>
      <c r="F11" s="6">
        <v>4932.96</v>
      </c>
      <c r="G11" s="7">
        <v>2.4405144E-2</v>
      </c>
      <c r="H11" s="53"/>
    </row>
    <row r="12" spans="1:14" ht="17.100000000000001" customHeight="1" x14ac:dyDescent="0.2">
      <c r="A12" s="3">
        <v>6</v>
      </c>
      <c r="B12" s="4" t="s">
        <v>29</v>
      </c>
      <c r="C12" s="4" t="s">
        <v>30</v>
      </c>
      <c r="D12" s="4" t="s">
        <v>19</v>
      </c>
      <c r="E12" s="5">
        <v>803001</v>
      </c>
      <c r="F12" s="6">
        <v>4928.0171369999998</v>
      </c>
      <c r="G12" s="7">
        <v>2.438069E-2</v>
      </c>
      <c r="H12" s="53"/>
      <c r="J12" s="188" t="s">
        <v>1084</v>
      </c>
    </row>
    <row r="13" spans="1:14" ht="17.100000000000001" customHeight="1" x14ac:dyDescent="0.2">
      <c r="A13" s="3">
        <v>7</v>
      </c>
      <c r="B13" s="4" t="s">
        <v>495</v>
      </c>
      <c r="C13" s="4" t="s">
        <v>496</v>
      </c>
      <c r="D13" s="4" t="s">
        <v>187</v>
      </c>
      <c r="E13" s="5">
        <v>475000</v>
      </c>
      <c r="F13" s="6">
        <v>4808.8999999999996</v>
      </c>
      <c r="G13" s="7">
        <v>2.3791374000000001E-2</v>
      </c>
      <c r="H13" s="53"/>
    </row>
    <row r="14" spans="1:14" ht="17.100000000000001" customHeight="1" x14ac:dyDescent="0.2">
      <c r="A14" s="3">
        <v>8</v>
      </c>
      <c r="B14" s="4" t="s">
        <v>83</v>
      </c>
      <c r="C14" s="4" t="s">
        <v>84</v>
      </c>
      <c r="D14" s="4" t="s">
        <v>33</v>
      </c>
      <c r="E14" s="5">
        <v>327000</v>
      </c>
      <c r="F14" s="6">
        <v>4789.5690000000004</v>
      </c>
      <c r="G14" s="7">
        <v>2.3695737000000001E-2</v>
      </c>
      <c r="H14" s="53"/>
    </row>
    <row r="15" spans="1:14" ht="17.100000000000001" customHeight="1" x14ac:dyDescent="0.2">
      <c r="A15" s="3">
        <v>9</v>
      </c>
      <c r="B15" s="4" t="s">
        <v>497</v>
      </c>
      <c r="C15" s="4" t="s">
        <v>498</v>
      </c>
      <c r="D15" s="4" t="s">
        <v>33</v>
      </c>
      <c r="E15" s="5">
        <v>511000</v>
      </c>
      <c r="F15" s="6">
        <v>4290.3559999999998</v>
      </c>
      <c r="G15" s="7">
        <v>2.1225949000000001E-2</v>
      </c>
      <c r="H15" s="53"/>
    </row>
    <row r="16" spans="1:14" ht="17.100000000000001" customHeight="1" x14ac:dyDescent="0.2">
      <c r="A16" s="3">
        <v>10</v>
      </c>
      <c r="B16" s="4" t="s">
        <v>17</v>
      </c>
      <c r="C16" s="4" t="s">
        <v>18</v>
      </c>
      <c r="D16" s="4" t="s">
        <v>19</v>
      </c>
      <c r="E16" s="5">
        <v>464000</v>
      </c>
      <c r="F16" s="6">
        <v>4133.5439999999999</v>
      </c>
      <c r="G16" s="7">
        <v>2.0450143E-2</v>
      </c>
      <c r="H16" s="53"/>
    </row>
    <row r="17" spans="1:10" ht="17.100000000000001" customHeight="1" x14ac:dyDescent="0.2">
      <c r="A17" s="3">
        <v>11</v>
      </c>
      <c r="B17" s="4" t="s">
        <v>499</v>
      </c>
      <c r="C17" s="4" t="s">
        <v>500</v>
      </c>
      <c r="D17" s="4" t="s">
        <v>320</v>
      </c>
      <c r="E17" s="5">
        <v>90000</v>
      </c>
      <c r="F17" s="6">
        <v>4127.3100000000004</v>
      </c>
      <c r="G17" s="7">
        <v>2.0419301000000001E-2</v>
      </c>
      <c r="H17" s="53"/>
    </row>
    <row r="18" spans="1:10" ht="17.100000000000001" customHeight="1" x14ac:dyDescent="0.2">
      <c r="A18" s="3">
        <v>12</v>
      </c>
      <c r="B18" s="4" t="s">
        <v>336</v>
      </c>
      <c r="C18" s="4" t="s">
        <v>337</v>
      </c>
      <c r="D18" s="4" t="s">
        <v>19</v>
      </c>
      <c r="E18" s="5">
        <v>1164369</v>
      </c>
      <c r="F18" s="6">
        <v>3880.8418769999998</v>
      </c>
      <c r="G18" s="7">
        <v>1.9199933999999998E-2</v>
      </c>
      <c r="H18" s="53"/>
    </row>
    <row r="19" spans="1:10" ht="17.100000000000001" customHeight="1" x14ac:dyDescent="0.2">
      <c r="A19" s="3">
        <v>13</v>
      </c>
      <c r="B19" s="4" t="s">
        <v>405</v>
      </c>
      <c r="C19" s="4" t="s">
        <v>406</v>
      </c>
      <c r="D19" s="4" t="s">
        <v>320</v>
      </c>
      <c r="E19" s="5">
        <v>249000</v>
      </c>
      <c r="F19" s="6">
        <v>3869.9580000000001</v>
      </c>
      <c r="G19" s="7">
        <v>1.9146086999999999E-2</v>
      </c>
      <c r="H19" s="53"/>
    </row>
    <row r="20" spans="1:10" ht="29.1" customHeight="1" x14ac:dyDescent="0.2">
      <c r="A20" s="3">
        <v>14</v>
      </c>
      <c r="B20" s="4" t="s">
        <v>501</v>
      </c>
      <c r="C20" s="4" t="s">
        <v>502</v>
      </c>
      <c r="D20" s="4" t="s">
        <v>227</v>
      </c>
      <c r="E20" s="5">
        <v>504084</v>
      </c>
      <c r="F20" s="6">
        <v>3582.020904</v>
      </c>
      <c r="G20" s="7">
        <v>1.7721557999999998E-2</v>
      </c>
      <c r="H20" s="53"/>
    </row>
    <row r="21" spans="1:10" ht="17.100000000000001" customHeight="1" x14ac:dyDescent="0.2">
      <c r="A21" s="3">
        <v>15</v>
      </c>
      <c r="B21" s="4" t="s">
        <v>503</v>
      </c>
      <c r="C21" s="4" t="s">
        <v>504</v>
      </c>
      <c r="D21" s="4" t="s">
        <v>320</v>
      </c>
      <c r="E21" s="5">
        <v>415235</v>
      </c>
      <c r="F21" s="6">
        <v>3574.7581150000001</v>
      </c>
      <c r="G21" s="7">
        <v>1.7685625999999999E-2</v>
      </c>
      <c r="H21" s="53"/>
    </row>
    <row r="22" spans="1:10" ht="17.100000000000001" customHeight="1" x14ac:dyDescent="0.2">
      <c r="A22" s="3">
        <v>16</v>
      </c>
      <c r="B22" s="4" t="s">
        <v>505</v>
      </c>
      <c r="C22" s="4" t="s">
        <v>506</v>
      </c>
      <c r="D22" s="4" t="s">
        <v>320</v>
      </c>
      <c r="E22" s="5">
        <v>160000</v>
      </c>
      <c r="F22" s="6">
        <v>3554.64</v>
      </c>
      <c r="G22" s="7">
        <v>1.7586095E-2</v>
      </c>
      <c r="H22" s="53"/>
      <c r="J22" s="188" t="s">
        <v>1085</v>
      </c>
    </row>
    <row r="23" spans="1:10" ht="17.100000000000001" customHeight="1" x14ac:dyDescent="0.2">
      <c r="A23" s="3">
        <v>17</v>
      </c>
      <c r="B23" s="4" t="s">
        <v>381</v>
      </c>
      <c r="C23" s="4" t="s">
        <v>382</v>
      </c>
      <c r="D23" s="4" t="s">
        <v>116</v>
      </c>
      <c r="E23" s="5">
        <v>201924</v>
      </c>
      <c r="F23" s="6">
        <v>3397.7751480000002</v>
      </c>
      <c r="G23" s="7">
        <v>1.6810027000000002E-2</v>
      </c>
      <c r="H23" s="53"/>
    </row>
    <row r="24" spans="1:10" ht="29.1" customHeight="1" x14ac:dyDescent="0.2">
      <c r="A24" s="3">
        <v>18</v>
      </c>
      <c r="B24" s="4" t="s">
        <v>507</v>
      </c>
      <c r="C24" s="4" t="s">
        <v>508</v>
      </c>
      <c r="D24" s="4" t="s">
        <v>199</v>
      </c>
      <c r="E24" s="5">
        <v>265529</v>
      </c>
      <c r="F24" s="6">
        <v>3320.8384384999999</v>
      </c>
      <c r="G24" s="7">
        <v>1.6429393E-2</v>
      </c>
      <c r="H24" s="53"/>
    </row>
    <row r="25" spans="1:10" ht="17.100000000000001" customHeight="1" x14ac:dyDescent="0.2">
      <c r="A25" s="3">
        <v>19</v>
      </c>
      <c r="B25" s="4" t="s">
        <v>266</v>
      </c>
      <c r="C25" s="4" t="s">
        <v>267</v>
      </c>
      <c r="D25" s="4" t="s">
        <v>19</v>
      </c>
      <c r="E25" s="5">
        <v>200014</v>
      </c>
      <c r="F25" s="6">
        <v>3256.5279409999998</v>
      </c>
      <c r="G25" s="7">
        <v>1.6111225999999999E-2</v>
      </c>
      <c r="H25" s="53"/>
    </row>
    <row r="26" spans="1:10" ht="17.100000000000001" customHeight="1" x14ac:dyDescent="0.2">
      <c r="A26" s="3">
        <v>20</v>
      </c>
      <c r="B26" s="4" t="s">
        <v>94</v>
      </c>
      <c r="C26" s="4" t="s">
        <v>95</v>
      </c>
      <c r="D26" s="4" t="s">
        <v>96</v>
      </c>
      <c r="E26" s="5">
        <v>698780</v>
      </c>
      <c r="F26" s="6">
        <v>3249.6763900000001</v>
      </c>
      <c r="G26" s="7">
        <v>1.6077329000000001E-2</v>
      </c>
      <c r="H26" s="53"/>
    </row>
    <row r="27" spans="1:10" ht="17.100000000000001" customHeight="1" x14ac:dyDescent="0.2">
      <c r="A27" s="3">
        <v>21</v>
      </c>
      <c r="B27" s="4" t="s">
        <v>114</v>
      </c>
      <c r="C27" s="4" t="s">
        <v>115</v>
      </c>
      <c r="D27" s="4" t="s">
        <v>116</v>
      </c>
      <c r="E27" s="5">
        <v>950000</v>
      </c>
      <c r="F27" s="6">
        <v>3204.8249999999998</v>
      </c>
      <c r="G27" s="7">
        <v>1.5855432999999999E-2</v>
      </c>
      <c r="H27" s="53"/>
    </row>
    <row r="28" spans="1:10" ht="17.100000000000001" customHeight="1" x14ac:dyDescent="0.2">
      <c r="A28" s="3">
        <v>22</v>
      </c>
      <c r="B28" s="4" t="s">
        <v>412</v>
      </c>
      <c r="C28" s="4" t="s">
        <v>413</v>
      </c>
      <c r="D28" s="4" t="s">
        <v>33</v>
      </c>
      <c r="E28" s="5">
        <v>365000</v>
      </c>
      <c r="F28" s="6">
        <v>3194.48</v>
      </c>
      <c r="G28" s="7">
        <v>1.5804252000000001E-2</v>
      </c>
      <c r="H28" s="53"/>
    </row>
    <row r="29" spans="1:10" ht="53.1" customHeight="1" x14ac:dyDescent="0.2">
      <c r="A29" s="3">
        <v>23</v>
      </c>
      <c r="B29" s="4" t="s">
        <v>90</v>
      </c>
      <c r="C29" s="4" t="s">
        <v>91</v>
      </c>
      <c r="D29" s="4" t="s">
        <v>48</v>
      </c>
      <c r="E29" s="5">
        <v>208000</v>
      </c>
      <c r="F29" s="6">
        <v>3054.0639999999999</v>
      </c>
      <c r="G29" s="7">
        <v>1.5109562999999999E-2</v>
      </c>
      <c r="H29" s="53"/>
    </row>
    <row r="30" spans="1:10" ht="29.1" customHeight="1" x14ac:dyDescent="0.2">
      <c r="A30" s="3">
        <v>24</v>
      </c>
      <c r="B30" s="4" t="s">
        <v>418</v>
      </c>
      <c r="C30" s="4" t="s">
        <v>419</v>
      </c>
      <c r="D30" s="4" t="s">
        <v>227</v>
      </c>
      <c r="E30" s="5">
        <v>157039</v>
      </c>
      <c r="F30" s="6">
        <v>3053.6233550000002</v>
      </c>
      <c r="G30" s="7">
        <v>1.5107383E-2</v>
      </c>
      <c r="H30" s="53"/>
    </row>
    <row r="31" spans="1:10" ht="17.100000000000001" customHeight="1" x14ac:dyDescent="0.2">
      <c r="A31" s="3">
        <v>25</v>
      </c>
      <c r="B31" s="4" t="s">
        <v>458</v>
      </c>
      <c r="C31" s="4" t="s">
        <v>459</v>
      </c>
      <c r="D31" s="4" t="s">
        <v>901</v>
      </c>
      <c r="E31" s="5">
        <v>372000</v>
      </c>
      <c r="F31" s="6">
        <v>3017.1060000000002</v>
      </c>
      <c r="G31" s="7">
        <v>1.4926719E-2</v>
      </c>
      <c r="H31" s="53"/>
    </row>
    <row r="32" spans="1:10" ht="17.100000000000001" customHeight="1" x14ac:dyDescent="0.2">
      <c r="A32" s="3">
        <v>26</v>
      </c>
      <c r="B32" s="4" t="s">
        <v>259</v>
      </c>
      <c r="C32" s="4" t="s">
        <v>260</v>
      </c>
      <c r="D32" s="4" t="s">
        <v>116</v>
      </c>
      <c r="E32" s="5">
        <v>314377</v>
      </c>
      <c r="F32" s="6">
        <v>2777.5207949999999</v>
      </c>
      <c r="G32" s="7">
        <v>1.3741404E-2</v>
      </c>
      <c r="H32" s="53"/>
    </row>
    <row r="33" spans="1:8" ht="17.100000000000001" customHeight="1" x14ac:dyDescent="0.2">
      <c r="A33" s="3">
        <v>27</v>
      </c>
      <c r="B33" s="4" t="s">
        <v>75</v>
      </c>
      <c r="C33" s="4" t="s">
        <v>76</v>
      </c>
      <c r="D33" s="4" t="s">
        <v>45</v>
      </c>
      <c r="E33" s="5">
        <v>1058667</v>
      </c>
      <c r="F33" s="6">
        <v>2755.1808675000002</v>
      </c>
      <c r="G33" s="7">
        <v>1.363088E-2</v>
      </c>
      <c r="H33" s="53"/>
    </row>
    <row r="34" spans="1:8" ht="17.100000000000001" customHeight="1" x14ac:dyDescent="0.2">
      <c r="A34" s="3">
        <v>28</v>
      </c>
      <c r="B34" s="4" t="s">
        <v>287</v>
      </c>
      <c r="C34" s="4" t="s">
        <v>288</v>
      </c>
      <c r="D34" s="4" t="s">
        <v>116</v>
      </c>
      <c r="E34" s="5">
        <v>70000</v>
      </c>
      <c r="F34" s="6">
        <v>2733.22</v>
      </c>
      <c r="G34" s="7">
        <v>1.3522232E-2</v>
      </c>
      <c r="H34" s="53"/>
    </row>
    <row r="35" spans="1:8" ht="29.1" customHeight="1" x14ac:dyDescent="0.2">
      <c r="A35" s="3">
        <v>29</v>
      </c>
      <c r="B35" s="4" t="s">
        <v>509</v>
      </c>
      <c r="C35" s="4" t="s">
        <v>510</v>
      </c>
      <c r="D35" s="4" t="s">
        <v>227</v>
      </c>
      <c r="E35" s="5">
        <v>550000</v>
      </c>
      <c r="F35" s="6">
        <v>2721.95</v>
      </c>
      <c r="G35" s="7">
        <v>1.3466475E-2</v>
      </c>
      <c r="H35" s="53"/>
    </row>
    <row r="36" spans="1:8" ht="29.1" customHeight="1" x14ac:dyDescent="0.2">
      <c r="A36" s="3">
        <v>30</v>
      </c>
      <c r="B36" s="4" t="s">
        <v>197</v>
      </c>
      <c r="C36" s="4" t="s">
        <v>198</v>
      </c>
      <c r="D36" s="4" t="s">
        <v>199</v>
      </c>
      <c r="E36" s="5">
        <v>65000</v>
      </c>
      <c r="F36" s="6">
        <v>2645.0124999999998</v>
      </c>
      <c r="G36" s="7">
        <v>1.3085836999999999E-2</v>
      </c>
      <c r="H36" s="53"/>
    </row>
    <row r="37" spans="1:8" ht="17.100000000000001" customHeight="1" x14ac:dyDescent="0.2">
      <c r="A37" s="3">
        <v>31</v>
      </c>
      <c r="B37" s="4" t="s">
        <v>511</v>
      </c>
      <c r="C37" s="4" t="s">
        <v>512</v>
      </c>
      <c r="D37" s="4" t="s">
        <v>900</v>
      </c>
      <c r="E37" s="5">
        <v>882816</v>
      </c>
      <c r="F37" s="6">
        <v>2637.4128000000001</v>
      </c>
      <c r="G37" s="7">
        <v>1.3048239E-2</v>
      </c>
      <c r="H37" s="53"/>
    </row>
    <row r="38" spans="1:8" ht="17.100000000000001" customHeight="1" x14ac:dyDescent="0.2">
      <c r="A38" s="3">
        <v>32</v>
      </c>
      <c r="B38" s="4" t="s">
        <v>195</v>
      </c>
      <c r="C38" s="4" t="s">
        <v>196</v>
      </c>
      <c r="D38" s="4" t="s">
        <v>87</v>
      </c>
      <c r="E38" s="5">
        <v>92836</v>
      </c>
      <c r="F38" s="6">
        <v>2576.7095979999999</v>
      </c>
      <c r="G38" s="7">
        <v>1.2747918E-2</v>
      </c>
      <c r="H38" s="53"/>
    </row>
    <row r="39" spans="1:8" ht="29.1" customHeight="1" x14ac:dyDescent="0.2">
      <c r="A39" s="3">
        <v>33</v>
      </c>
      <c r="B39" s="4" t="s">
        <v>483</v>
      </c>
      <c r="C39" s="4" t="s">
        <v>484</v>
      </c>
      <c r="D39" s="4" t="s">
        <v>25</v>
      </c>
      <c r="E39" s="5">
        <v>252888</v>
      </c>
      <c r="F39" s="6">
        <v>2479.061064</v>
      </c>
      <c r="G39" s="7">
        <v>1.2264815E-2</v>
      </c>
      <c r="H39" s="53"/>
    </row>
    <row r="40" spans="1:8" ht="17.100000000000001" customHeight="1" x14ac:dyDescent="0.2">
      <c r="A40" s="3">
        <v>34</v>
      </c>
      <c r="B40" s="4" t="s">
        <v>452</v>
      </c>
      <c r="C40" s="4" t="s">
        <v>453</v>
      </c>
      <c r="D40" s="4" t="s">
        <v>19</v>
      </c>
      <c r="E40" s="5">
        <v>1016082</v>
      </c>
      <c r="F40" s="6">
        <v>2416.2429959999999</v>
      </c>
      <c r="G40" s="7">
        <v>1.1954031E-2</v>
      </c>
      <c r="H40" s="53"/>
    </row>
    <row r="41" spans="1:8" ht="17.100000000000001" customHeight="1" x14ac:dyDescent="0.2">
      <c r="A41" s="3">
        <v>35</v>
      </c>
      <c r="B41" s="4" t="s">
        <v>181</v>
      </c>
      <c r="C41" s="4" t="s">
        <v>182</v>
      </c>
      <c r="D41" s="4" t="s">
        <v>19</v>
      </c>
      <c r="E41" s="5">
        <v>258000</v>
      </c>
      <c r="F41" s="6">
        <v>2409.0749999999998</v>
      </c>
      <c r="G41" s="7">
        <v>1.1918569E-2</v>
      </c>
      <c r="H41" s="53"/>
    </row>
    <row r="42" spans="1:8" ht="17.100000000000001" customHeight="1" x14ac:dyDescent="0.2">
      <c r="A42" s="3">
        <v>36</v>
      </c>
      <c r="B42" s="4" t="s">
        <v>513</v>
      </c>
      <c r="C42" s="48" t="s">
        <v>981</v>
      </c>
      <c r="D42" s="4" t="s">
        <v>72</v>
      </c>
      <c r="E42" s="5">
        <v>1138715</v>
      </c>
      <c r="F42" s="6">
        <v>2341.7673974999998</v>
      </c>
      <c r="G42" s="7">
        <v>1.1585574E-2</v>
      </c>
      <c r="H42" s="53"/>
    </row>
    <row r="43" spans="1:8" ht="17.100000000000001" customHeight="1" x14ac:dyDescent="0.2">
      <c r="A43" s="3">
        <v>37</v>
      </c>
      <c r="B43" s="4" t="s">
        <v>514</v>
      </c>
      <c r="C43" s="4" t="s">
        <v>515</v>
      </c>
      <c r="D43" s="4" t="s">
        <v>116</v>
      </c>
      <c r="E43" s="5">
        <v>884000</v>
      </c>
      <c r="F43" s="6">
        <v>2330.2240000000002</v>
      </c>
      <c r="G43" s="7">
        <v>1.1528464E-2</v>
      </c>
      <c r="H43" s="53"/>
    </row>
    <row r="44" spans="1:8" ht="17.100000000000001" customHeight="1" x14ac:dyDescent="0.2">
      <c r="A44" s="3">
        <v>38</v>
      </c>
      <c r="B44" s="4" t="s">
        <v>516</v>
      </c>
      <c r="C44" s="4" t="s">
        <v>517</v>
      </c>
      <c r="D44" s="4" t="s">
        <v>116</v>
      </c>
      <c r="E44" s="5">
        <v>140076</v>
      </c>
      <c r="F44" s="6">
        <v>2194.7808060000002</v>
      </c>
      <c r="G44" s="7">
        <v>1.0858378E-2</v>
      </c>
      <c r="H44" s="53"/>
    </row>
    <row r="45" spans="1:8" ht="17.100000000000001" customHeight="1" x14ac:dyDescent="0.2">
      <c r="A45" s="3">
        <v>39</v>
      </c>
      <c r="B45" s="4" t="s">
        <v>518</v>
      </c>
      <c r="C45" s="4" t="s">
        <v>519</v>
      </c>
      <c r="D45" s="4" t="s">
        <v>72</v>
      </c>
      <c r="E45" s="5">
        <v>156400</v>
      </c>
      <c r="F45" s="6">
        <v>2167.7040000000002</v>
      </c>
      <c r="G45" s="7">
        <v>1.0724419000000001E-2</v>
      </c>
      <c r="H45" s="53"/>
    </row>
    <row r="46" spans="1:8" ht="29.1" customHeight="1" x14ac:dyDescent="0.2">
      <c r="A46" s="3">
        <v>40</v>
      </c>
      <c r="B46" s="4" t="s">
        <v>68</v>
      </c>
      <c r="C46" s="4" t="s">
        <v>69</v>
      </c>
      <c r="D46" s="4" t="s">
        <v>25</v>
      </c>
      <c r="E46" s="5">
        <v>74011</v>
      </c>
      <c r="F46" s="6">
        <v>2161.5652660000001</v>
      </c>
      <c r="G46" s="7">
        <v>1.0694047999999999E-2</v>
      </c>
      <c r="H46" s="53"/>
    </row>
    <row r="47" spans="1:8" ht="17.100000000000001" customHeight="1" x14ac:dyDescent="0.2">
      <c r="A47" s="3">
        <v>41</v>
      </c>
      <c r="B47" s="4" t="s">
        <v>383</v>
      </c>
      <c r="C47" s="4" t="s">
        <v>384</v>
      </c>
      <c r="D47" s="4" t="s">
        <v>901</v>
      </c>
      <c r="E47" s="5">
        <v>199000</v>
      </c>
      <c r="F47" s="6">
        <v>2154.6725000000001</v>
      </c>
      <c r="G47" s="7">
        <v>1.0659946999999999E-2</v>
      </c>
      <c r="H47" s="53"/>
    </row>
    <row r="48" spans="1:8" ht="17.100000000000001" customHeight="1" x14ac:dyDescent="0.2">
      <c r="A48" s="3">
        <v>42</v>
      </c>
      <c r="B48" s="4" t="s">
        <v>520</v>
      </c>
      <c r="C48" s="4" t="s">
        <v>521</v>
      </c>
      <c r="D48" s="4" t="s">
        <v>900</v>
      </c>
      <c r="E48" s="5">
        <v>206000</v>
      </c>
      <c r="F48" s="6">
        <v>2143.5329999999999</v>
      </c>
      <c r="G48" s="7">
        <v>1.0604835999999999E-2</v>
      </c>
      <c r="H48" s="53"/>
    </row>
    <row r="49" spans="1:8" ht="17.100000000000001" customHeight="1" x14ac:dyDescent="0.2">
      <c r="A49" s="3">
        <v>43</v>
      </c>
      <c r="B49" s="4" t="s">
        <v>522</v>
      </c>
      <c r="C49" s="4" t="s">
        <v>523</v>
      </c>
      <c r="D49" s="4" t="s">
        <v>320</v>
      </c>
      <c r="E49" s="5">
        <v>209888</v>
      </c>
      <c r="F49" s="6">
        <v>2080.9345760000001</v>
      </c>
      <c r="G49" s="7">
        <v>1.0295139E-2</v>
      </c>
      <c r="H49" s="53"/>
    </row>
    <row r="50" spans="1:8" ht="29.1" customHeight="1" x14ac:dyDescent="0.2">
      <c r="A50" s="3">
        <v>44</v>
      </c>
      <c r="B50" s="4" t="s">
        <v>293</v>
      </c>
      <c r="C50" s="4" t="s">
        <v>294</v>
      </c>
      <c r="D50" s="4" t="s">
        <v>119</v>
      </c>
      <c r="E50" s="5">
        <v>78090</v>
      </c>
      <c r="F50" s="6">
        <v>2059.7018400000002</v>
      </c>
      <c r="G50" s="7">
        <v>1.0190093000000001E-2</v>
      </c>
      <c r="H50" s="53"/>
    </row>
    <row r="51" spans="1:8" ht="17.100000000000001" customHeight="1" x14ac:dyDescent="0.2">
      <c r="A51" s="3">
        <v>45</v>
      </c>
      <c r="B51" s="4" t="s">
        <v>222</v>
      </c>
      <c r="C51" s="4" t="s">
        <v>223</v>
      </c>
      <c r="D51" s="4" t="s">
        <v>224</v>
      </c>
      <c r="E51" s="5">
        <v>400000</v>
      </c>
      <c r="F51" s="6">
        <v>2044.2</v>
      </c>
      <c r="G51" s="7">
        <v>1.01134E-2</v>
      </c>
      <c r="H51" s="53"/>
    </row>
    <row r="52" spans="1:8" ht="17.100000000000001" customHeight="1" x14ac:dyDescent="0.2">
      <c r="A52" s="3">
        <v>46</v>
      </c>
      <c r="B52" s="4" t="s">
        <v>338</v>
      </c>
      <c r="C52" s="4" t="s">
        <v>339</v>
      </c>
      <c r="D52" s="4" t="s">
        <v>33</v>
      </c>
      <c r="E52" s="5">
        <v>205000</v>
      </c>
      <c r="F52" s="6">
        <v>1930.9974999999999</v>
      </c>
      <c r="G52" s="7">
        <v>9.5533460000000008E-3</v>
      </c>
      <c r="H52" s="53"/>
    </row>
    <row r="53" spans="1:8" ht="17.100000000000001" customHeight="1" x14ac:dyDescent="0.2">
      <c r="A53" s="3">
        <v>47</v>
      </c>
      <c r="B53" s="4" t="s">
        <v>253</v>
      </c>
      <c r="C53" s="4" t="s">
        <v>254</v>
      </c>
      <c r="D53" s="4" t="s">
        <v>119</v>
      </c>
      <c r="E53" s="5">
        <v>346749</v>
      </c>
      <c r="F53" s="6">
        <v>1909.0266194999999</v>
      </c>
      <c r="G53" s="7">
        <v>9.4446479999999999E-3</v>
      </c>
      <c r="H53" s="53"/>
    </row>
    <row r="54" spans="1:8" ht="17.100000000000001" customHeight="1" x14ac:dyDescent="0.2">
      <c r="A54" s="3">
        <v>48</v>
      </c>
      <c r="B54" s="4" t="s">
        <v>301</v>
      </c>
      <c r="C54" s="4" t="s">
        <v>302</v>
      </c>
      <c r="D54" s="4" t="s">
        <v>234</v>
      </c>
      <c r="E54" s="5">
        <v>374000</v>
      </c>
      <c r="F54" s="6">
        <v>1868.5039999999999</v>
      </c>
      <c r="G54" s="7">
        <v>9.2441680000000005E-3</v>
      </c>
      <c r="H54" s="53"/>
    </row>
    <row r="55" spans="1:8" ht="17.100000000000001" customHeight="1" x14ac:dyDescent="0.2">
      <c r="A55" s="3">
        <v>49</v>
      </c>
      <c r="B55" s="4" t="s">
        <v>112</v>
      </c>
      <c r="C55" s="4" t="s">
        <v>113</v>
      </c>
      <c r="D55" s="4" t="s">
        <v>87</v>
      </c>
      <c r="E55" s="5">
        <v>440335</v>
      </c>
      <c r="F55" s="6">
        <v>1847.2053249999999</v>
      </c>
      <c r="G55" s="7">
        <v>9.1387949999999999E-3</v>
      </c>
      <c r="H55" s="53"/>
    </row>
    <row r="56" spans="1:8" ht="17.100000000000001" customHeight="1" x14ac:dyDescent="0.2">
      <c r="A56" s="3">
        <v>50</v>
      </c>
      <c r="B56" s="4" t="s">
        <v>342</v>
      </c>
      <c r="C56" s="4" t="s">
        <v>343</v>
      </c>
      <c r="D56" s="4" t="s">
        <v>119</v>
      </c>
      <c r="E56" s="5">
        <v>28000</v>
      </c>
      <c r="F56" s="6">
        <v>1841.056</v>
      </c>
      <c r="G56" s="7">
        <v>9.108372E-3</v>
      </c>
      <c r="H56" s="53"/>
    </row>
    <row r="57" spans="1:8" ht="17.100000000000001" customHeight="1" x14ac:dyDescent="0.2">
      <c r="A57" s="3">
        <v>51</v>
      </c>
      <c r="B57" s="4" t="s">
        <v>524</v>
      </c>
      <c r="C57" s="4" t="s">
        <v>525</v>
      </c>
      <c r="D57" s="4" t="s">
        <v>320</v>
      </c>
      <c r="E57" s="5">
        <v>160942</v>
      </c>
      <c r="F57" s="6">
        <v>1794.986126</v>
      </c>
      <c r="G57" s="7">
        <v>8.8804480000000009E-3</v>
      </c>
      <c r="H57" s="53"/>
    </row>
    <row r="58" spans="1:8" ht="29.1" customHeight="1" x14ac:dyDescent="0.2">
      <c r="A58" s="3">
        <v>52</v>
      </c>
      <c r="B58" s="4" t="s">
        <v>526</v>
      </c>
      <c r="C58" s="4" t="s">
        <v>527</v>
      </c>
      <c r="D58" s="4" t="s">
        <v>430</v>
      </c>
      <c r="E58" s="5">
        <v>450000</v>
      </c>
      <c r="F58" s="6">
        <v>1785.375</v>
      </c>
      <c r="G58" s="7">
        <v>8.8328980000000005E-3</v>
      </c>
      <c r="H58" s="53"/>
    </row>
    <row r="59" spans="1:8" ht="17.100000000000001" customHeight="1" x14ac:dyDescent="0.2">
      <c r="A59" s="3">
        <v>53</v>
      </c>
      <c r="B59" s="4" t="s">
        <v>41</v>
      </c>
      <c r="C59" s="4" t="s">
        <v>42</v>
      </c>
      <c r="D59" s="4" t="s">
        <v>13</v>
      </c>
      <c r="E59" s="5">
        <v>607033</v>
      </c>
      <c r="F59" s="6">
        <v>1750.3796554999999</v>
      </c>
      <c r="G59" s="7">
        <v>8.6597640000000004E-3</v>
      </c>
      <c r="H59" s="53"/>
    </row>
    <row r="60" spans="1:8" ht="17.100000000000001" customHeight="1" x14ac:dyDescent="0.2">
      <c r="A60" s="3">
        <v>54</v>
      </c>
      <c r="B60" s="4" t="s">
        <v>528</v>
      </c>
      <c r="C60" s="4" t="s">
        <v>529</v>
      </c>
      <c r="D60" s="4" t="s">
        <v>116</v>
      </c>
      <c r="E60" s="5">
        <v>33002</v>
      </c>
      <c r="F60" s="6">
        <v>1718.513146</v>
      </c>
      <c r="G60" s="7">
        <v>8.5021079999999995E-3</v>
      </c>
      <c r="H60" s="53"/>
    </row>
    <row r="61" spans="1:8" ht="17.100000000000001" customHeight="1" x14ac:dyDescent="0.2">
      <c r="A61" s="3">
        <v>55</v>
      </c>
      <c r="B61" s="4" t="s">
        <v>530</v>
      </c>
      <c r="C61" s="4" t="s">
        <v>531</v>
      </c>
      <c r="D61" s="4" t="s">
        <v>87</v>
      </c>
      <c r="E61" s="5">
        <v>553006</v>
      </c>
      <c r="F61" s="6">
        <v>1654.870455</v>
      </c>
      <c r="G61" s="7">
        <v>8.1872449999999992E-3</v>
      </c>
      <c r="H61" s="53"/>
    </row>
    <row r="62" spans="1:8" ht="17.100000000000001" customHeight="1" x14ac:dyDescent="0.2">
      <c r="A62" s="3">
        <v>56</v>
      </c>
      <c r="B62" s="4" t="s">
        <v>77</v>
      </c>
      <c r="C62" s="4" t="s">
        <v>78</v>
      </c>
      <c r="D62" s="4" t="s">
        <v>13</v>
      </c>
      <c r="E62" s="5">
        <v>634000</v>
      </c>
      <c r="F62" s="6">
        <v>1615.749</v>
      </c>
      <c r="G62" s="7">
        <v>7.9936969999999993E-3</v>
      </c>
      <c r="H62" s="53"/>
    </row>
    <row r="63" spans="1:8" ht="17.100000000000001" customHeight="1" x14ac:dyDescent="0.2">
      <c r="A63" s="3">
        <v>57</v>
      </c>
      <c r="B63" s="4" t="s">
        <v>363</v>
      </c>
      <c r="C63" s="4" t="s">
        <v>364</v>
      </c>
      <c r="D63" s="4" t="s">
        <v>116</v>
      </c>
      <c r="E63" s="5">
        <v>312601</v>
      </c>
      <c r="F63" s="6">
        <v>1608.3321450000001</v>
      </c>
      <c r="G63" s="7">
        <v>7.9570030000000007E-3</v>
      </c>
      <c r="H63" s="53"/>
    </row>
    <row r="64" spans="1:8" ht="17.100000000000001" customHeight="1" x14ac:dyDescent="0.2">
      <c r="A64" s="3">
        <v>58</v>
      </c>
      <c r="B64" s="4" t="s">
        <v>125</v>
      </c>
      <c r="C64" s="4" t="s">
        <v>126</v>
      </c>
      <c r="D64" s="4" t="s">
        <v>116</v>
      </c>
      <c r="E64" s="5">
        <v>84991</v>
      </c>
      <c r="F64" s="6">
        <v>1607.4347829999999</v>
      </c>
      <c r="G64" s="7">
        <v>7.9525629999999993E-3</v>
      </c>
      <c r="H64" s="53"/>
    </row>
    <row r="65" spans="1:8" ht="17.100000000000001" customHeight="1" x14ac:dyDescent="0.2">
      <c r="A65" s="3">
        <v>59</v>
      </c>
      <c r="B65" s="4" t="s">
        <v>532</v>
      </c>
      <c r="C65" s="4" t="s">
        <v>533</v>
      </c>
      <c r="D65" s="4" t="s">
        <v>237</v>
      </c>
      <c r="E65" s="5">
        <v>94501</v>
      </c>
      <c r="F65" s="6">
        <v>1589.9320745</v>
      </c>
      <c r="G65" s="7">
        <v>7.8659709999999994E-3</v>
      </c>
      <c r="H65" s="53"/>
    </row>
    <row r="66" spans="1:8" ht="29.1" customHeight="1" x14ac:dyDescent="0.2">
      <c r="A66" s="3">
        <v>60</v>
      </c>
      <c r="B66" s="4" t="s">
        <v>376</v>
      </c>
      <c r="C66" s="4" t="s">
        <v>377</v>
      </c>
      <c r="D66" s="4" t="s">
        <v>227</v>
      </c>
      <c r="E66" s="5">
        <v>40215</v>
      </c>
      <c r="F66" s="6">
        <v>1589.69895</v>
      </c>
      <c r="G66" s="7">
        <v>7.8648180000000008E-3</v>
      </c>
      <c r="H66" s="53"/>
    </row>
    <row r="67" spans="1:8" ht="17.100000000000001" customHeight="1" x14ac:dyDescent="0.2">
      <c r="A67" s="3">
        <v>61</v>
      </c>
      <c r="B67" s="4" t="s">
        <v>346</v>
      </c>
      <c r="C67" s="4" t="s">
        <v>347</v>
      </c>
      <c r="D67" s="4" t="s">
        <v>40</v>
      </c>
      <c r="E67" s="5">
        <v>86808</v>
      </c>
      <c r="F67" s="6">
        <v>1557.031692</v>
      </c>
      <c r="G67" s="7">
        <v>7.7032009999999998E-3</v>
      </c>
      <c r="H67" s="53"/>
    </row>
    <row r="68" spans="1:8" ht="17.100000000000001" customHeight="1" x14ac:dyDescent="0.2">
      <c r="A68" s="3">
        <v>62</v>
      </c>
      <c r="B68" s="4" t="s">
        <v>534</v>
      </c>
      <c r="C68" s="4" t="s">
        <v>535</v>
      </c>
      <c r="D68" s="4" t="s">
        <v>190</v>
      </c>
      <c r="E68" s="5">
        <v>120000</v>
      </c>
      <c r="F68" s="6">
        <v>1436.58</v>
      </c>
      <c r="G68" s="7">
        <v>7.1072829999999998E-3</v>
      </c>
      <c r="H68" s="53"/>
    </row>
    <row r="69" spans="1:8" ht="17.100000000000001" customHeight="1" x14ac:dyDescent="0.2">
      <c r="A69" s="3">
        <v>63</v>
      </c>
      <c r="B69" s="4" t="s">
        <v>426</v>
      </c>
      <c r="C69" s="4" t="s">
        <v>427</v>
      </c>
      <c r="D69" s="4" t="s">
        <v>33</v>
      </c>
      <c r="E69" s="5">
        <v>174450</v>
      </c>
      <c r="F69" s="6">
        <v>1432.9322999999999</v>
      </c>
      <c r="G69" s="7">
        <v>7.0892359999999996E-3</v>
      </c>
      <c r="H69" s="53"/>
    </row>
    <row r="70" spans="1:8" ht="17.100000000000001" customHeight="1" x14ac:dyDescent="0.2">
      <c r="A70" s="3">
        <v>64</v>
      </c>
      <c r="B70" s="4" t="s">
        <v>536</v>
      </c>
      <c r="C70" s="4" t="s">
        <v>537</v>
      </c>
      <c r="D70" s="4" t="s">
        <v>116</v>
      </c>
      <c r="E70" s="5">
        <v>192900</v>
      </c>
      <c r="F70" s="6">
        <v>1288.8613499999999</v>
      </c>
      <c r="G70" s="7">
        <v>6.3764650000000004E-3</v>
      </c>
      <c r="H70" s="53"/>
    </row>
    <row r="71" spans="1:8" ht="17.100000000000001" customHeight="1" x14ac:dyDescent="0.2">
      <c r="A71" s="3">
        <v>65</v>
      </c>
      <c r="B71" s="4" t="s">
        <v>538</v>
      </c>
      <c r="C71" s="4" t="s">
        <v>539</v>
      </c>
      <c r="D71" s="4" t="s">
        <v>212</v>
      </c>
      <c r="E71" s="5">
        <v>200000</v>
      </c>
      <c r="F71" s="6">
        <v>1033.5</v>
      </c>
      <c r="G71" s="7">
        <v>5.1130999999999998E-3</v>
      </c>
      <c r="H71" s="53"/>
    </row>
    <row r="72" spans="1:8" ht="17.100000000000001" customHeight="1" x14ac:dyDescent="0.2">
      <c r="A72" s="3">
        <v>66</v>
      </c>
      <c r="B72" s="4" t="s">
        <v>246</v>
      </c>
      <c r="C72" s="4" t="s">
        <v>247</v>
      </c>
      <c r="D72" s="4" t="s">
        <v>248</v>
      </c>
      <c r="E72" s="5">
        <v>144524</v>
      </c>
      <c r="F72" s="6">
        <v>979.15009999999995</v>
      </c>
      <c r="G72" s="7">
        <v>4.8442110000000002E-3</v>
      </c>
      <c r="H72" s="53"/>
    </row>
    <row r="73" spans="1:8" ht="29.1" customHeight="1" x14ac:dyDescent="0.2">
      <c r="A73" s="3">
        <v>67</v>
      </c>
      <c r="B73" s="4" t="s">
        <v>285</v>
      </c>
      <c r="C73" s="4" t="s">
        <v>286</v>
      </c>
      <c r="D73" s="4" t="s">
        <v>199</v>
      </c>
      <c r="E73" s="5">
        <v>133565</v>
      </c>
      <c r="F73" s="6">
        <v>907.50739250000004</v>
      </c>
      <c r="G73" s="7">
        <v>4.4897690000000002E-3</v>
      </c>
      <c r="H73" s="53"/>
    </row>
    <row r="74" spans="1:8" ht="17.100000000000001" customHeight="1" x14ac:dyDescent="0.2">
      <c r="A74" s="3">
        <v>68</v>
      </c>
      <c r="B74" s="4" t="s">
        <v>205</v>
      </c>
      <c r="C74" s="4" t="s">
        <v>206</v>
      </c>
      <c r="D74" s="4" t="s">
        <v>900</v>
      </c>
      <c r="E74" s="5">
        <v>22000</v>
      </c>
      <c r="F74" s="6">
        <v>851.59799999999996</v>
      </c>
      <c r="G74" s="7">
        <v>4.2131640000000001E-3</v>
      </c>
      <c r="H74" s="53"/>
    </row>
    <row r="75" spans="1:8" ht="17.100000000000001" customHeight="1" x14ac:dyDescent="0.2">
      <c r="A75" s="3">
        <v>69</v>
      </c>
      <c r="B75" s="4" t="s">
        <v>540</v>
      </c>
      <c r="C75" s="4" t="s">
        <v>541</v>
      </c>
      <c r="D75" s="4" t="s">
        <v>190</v>
      </c>
      <c r="E75" s="5">
        <v>43906</v>
      </c>
      <c r="F75" s="6">
        <v>587.50618599999996</v>
      </c>
      <c r="G75" s="7">
        <v>2.9066059999999999E-3</v>
      </c>
      <c r="H75" s="53"/>
    </row>
    <row r="76" spans="1:8" ht="17.100000000000001" customHeight="1" x14ac:dyDescent="0.2">
      <c r="A76" s="3">
        <v>70</v>
      </c>
      <c r="B76" s="4" t="s">
        <v>127</v>
      </c>
      <c r="C76" s="4" t="s">
        <v>128</v>
      </c>
      <c r="D76" s="4" t="s">
        <v>119</v>
      </c>
      <c r="E76" s="5">
        <v>208000</v>
      </c>
      <c r="F76" s="6">
        <v>470.72480000000002</v>
      </c>
      <c r="G76" s="7">
        <v>2.3288459999999999E-3</v>
      </c>
      <c r="H76" s="53"/>
    </row>
    <row r="77" spans="1:8" ht="17.100000000000001" customHeight="1" x14ac:dyDescent="0.2">
      <c r="A77" s="3">
        <v>71</v>
      </c>
      <c r="B77" s="4" t="s">
        <v>374</v>
      </c>
      <c r="C77" s="4" t="s">
        <v>375</v>
      </c>
      <c r="D77" s="4" t="s">
        <v>119</v>
      </c>
      <c r="E77" s="5">
        <v>67628</v>
      </c>
      <c r="F77" s="6">
        <v>84.771698000000001</v>
      </c>
      <c r="G77" s="7">
        <v>4.1939599999999999E-4</v>
      </c>
      <c r="H77" s="53"/>
    </row>
    <row r="78" spans="1:8" ht="14.1" customHeight="1" x14ac:dyDescent="0.2">
      <c r="A78" s="1"/>
      <c r="B78" s="1"/>
      <c r="C78" s="2" t="s">
        <v>132</v>
      </c>
      <c r="D78" s="1"/>
      <c r="E78" s="1" t="s">
        <v>133</v>
      </c>
      <c r="F78" s="9">
        <v>190058.126833519</v>
      </c>
      <c r="G78" s="10">
        <v>0.94028655500000002</v>
      </c>
      <c r="H78" s="53"/>
    </row>
    <row r="79" spans="1:8" ht="14.1" customHeight="1" x14ac:dyDescent="0.2">
      <c r="A79" s="1"/>
      <c r="B79" s="1"/>
      <c r="C79" s="11"/>
      <c r="D79" s="1"/>
      <c r="E79" s="1"/>
      <c r="F79" s="12"/>
      <c r="G79" s="12"/>
      <c r="H79" s="53"/>
    </row>
    <row r="80" spans="1:8" ht="14.1" customHeight="1" x14ac:dyDescent="0.2">
      <c r="A80" s="1"/>
      <c r="B80" s="1"/>
      <c r="C80" s="2" t="s">
        <v>134</v>
      </c>
      <c r="D80" s="1"/>
      <c r="E80" s="1"/>
      <c r="F80" s="1"/>
      <c r="G80" s="1"/>
      <c r="H80" s="53"/>
    </row>
    <row r="81" spans="1:8" ht="14.1" customHeight="1" x14ac:dyDescent="0.2">
      <c r="A81" s="1"/>
      <c r="B81" s="1"/>
      <c r="C81" s="2" t="s">
        <v>132</v>
      </c>
      <c r="D81" s="1"/>
      <c r="E81" s="1" t="s">
        <v>133</v>
      </c>
      <c r="F81" s="13">
        <v>0</v>
      </c>
      <c r="G81" s="14">
        <v>0</v>
      </c>
      <c r="H81" s="53"/>
    </row>
    <row r="82" spans="1:8" ht="14.1" customHeight="1" x14ac:dyDescent="0.2">
      <c r="A82" s="1"/>
      <c r="B82" s="1"/>
      <c r="C82" s="11"/>
      <c r="D82" s="1"/>
      <c r="E82" s="1"/>
      <c r="F82" s="12"/>
      <c r="G82" s="12"/>
      <c r="H82" s="53"/>
    </row>
    <row r="83" spans="1:8" ht="14.1" customHeight="1" x14ac:dyDescent="0.2">
      <c r="A83" s="1"/>
      <c r="B83" s="1"/>
      <c r="C83" s="2" t="s">
        <v>135</v>
      </c>
      <c r="D83" s="1"/>
      <c r="E83" s="1"/>
      <c r="F83" s="1"/>
      <c r="G83" s="1"/>
      <c r="H83" s="53"/>
    </row>
    <row r="84" spans="1:8" ht="17.100000000000001" customHeight="1" x14ac:dyDescent="0.2">
      <c r="A84" s="3">
        <v>1</v>
      </c>
      <c r="B84" s="4" t="s">
        <v>129</v>
      </c>
      <c r="C84" s="48" t="s">
        <v>955</v>
      </c>
      <c r="D84" s="4" t="s">
        <v>130</v>
      </c>
      <c r="E84" s="5">
        <v>375961</v>
      </c>
      <c r="F84" s="6">
        <v>7.5190000000000003E-6</v>
      </c>
      <c r="G84" s="8" t="s">
        <v>131</v>
      </c>
      <c r="H84" s="53"/>
    </row>
    <row r="85" spans="1:8" ht="14.1" customHeight="1" x14ac:dyDescent="0.2">
      <c r="A85" s="1"/>
      <c r="B85" s="1"/>
      <c r="C85" s="2" t="s">
        <v>132</v>
      </c>
      <c r="D85" s="1"/>
      <c r="E85" s="1" t="s">
        <v>133</v>
      </c>
      <c r="F85" s="13">
        <v>7.5190000000000003E-6</v>
      </c>
      <c r="G85" s="14">
        <v>0</v>
      </c>
      <c r="H85" s="53"/>
    </row>
    <row r="86" spans="1:8" ht="14.1" customHeight="1" x14ac:dyDescent="0.2">
      <c r="A86" s="1"/>
      <c r="B86" s="1"/>
      <c r="C86" s="11"/>
      <c r="D86" s="1"/>
      <c r="E86" s="1"/>
      <c r="F86" s="12"/>
      <c r="G86" s="12"/>
      <c r="H86" s="53"/>
    </row>
    <row r="87" spans="1:8" ht="14.1" customHeight="1" x14ac:dyDescent="0.2">
      <c r="A87" s="1"/>
      <c r="B87" s="1"/>
      <c r="C87" s="2" t="s">
        <v>136</v>
      </c>
      <c r="D87" s="1"/>
      <c r="E87" s="1"/>
      <c r="F87" s="1"/>
      <c r="G87" s="1"/>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4.1" customHeight="1" x14ac:dyDescent="0.2">
      <c r="A90" s="1"/>
      <c r="B90" s="1"/>
      <c r="C90" s="2" t="s">
        <v>137</v>
      </c>
      <c r="D90" s="1"/>
      <c r="E90" s="1"/>
      <c r="F90" s="12"/>
      <c r="G90" s="12"/>
      <c r="H90" s="53"/>
    </row>
    <row r="91" spans="1:8" ht="14.1" customHeight="1" x14ac:dyDescent="0.2">
      <c r="A91" s="1"/>
      <c r="B91" s="1"/>
      <c r="C91" s="2" t="s">
        <v>132</v>
      </c>
      <c r="D91" s="1"/>
      <c r="E91" s="1" t="s">
        <v>133</v>
      </c>
      <c r="F91" s="13">
        <v>0</v>
      </c>
      <c r="G91" s="14">
        <v>0</v>
      </c>
      <c r="H91" s="53"/>
    </row>
    <row r="92" spans="1:8" ht="14.1" customHeight="1" x14ac:dyDescent="0.2">
      <c r="A92" s="1"/>
      <c r="B92" s="1"/>
      <c r="C92" s="11"/>
      <c r="D92" s="1"/>
      <c r="E92" s="1"/>
      <c r="F92" s="12"/>
      <c r="G92" s="12"/>
      <c r="H92" s="53"/>
    </row>
    <row r="93" spans="1:8" ht="14.1" customHeight="1" x14ac:dyDescent="0.2">
      <c r="A93" s="1"/>
      <c r="B93" s="1"/>
      <c r="C93" s="2" t="s">
        <v>138</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8" customHeight="1" x14ac:dyDescent="0.2">
      <c r="A96" s="1"/>
      <c r="B96" s="1"/>
      <c r="C96" s="2" t="s">
        <v>139</v>
      </c>
      <c r="D96" s="1"/>
      <c r="E96" s="1"/>
      <c r="F96" s="9">
        <v>190058.126833519</v>
      </c>
      <c r="G96" s="10">
        <v>0.94028655500000002</v>
      </c>
      <c r="H96" s="53"/>
    </row>
    <row r="97" spans="1:8" ht="14.1" customHeight="1" x14ac:dyDescent="0.2">
      <c r="A97" s="1"/>
      <c r="B97" s="1"/>
      <c r="C97" s="11"/>
      <c r="D97" s="1"/>
      <c r="E97" s="1"/>
      <c r="F97" s="12"/>
      <c r="G97" s="12"/>
      <c r="H97" s="53"/>
    </row>
    <row r="98" spans="1:8" ht="14.1" customHeight="1" x14ac:dyDescent="0.2">
      <c r="A98" s="1"/>
      <c r="B98" s="1"/>
      <c r="C98" s="2" t="s">
        <v>140</v>
      </c>
      <c r="D98" s="1"/>
      <c r="E98" s="1"/>
      <c r="F98" s="12"/>
      <c r="G98" s="12"/>
      <c r="H98" s="53"/>
    </row>
    <row r="99" spans="1:8" ht="24" customHeight="1" x14ac:dyDescent="0.2">
      <c r="A99" s="1"/>
      <c r="B99" s="1"/>
      <c r="C99" s="2" t="s">
        <v>10</v>
      </c>
      <c r="D99" s="1"/>
      <c r="E99" s="1"/>
      <c r="F99" s="12"/>
      <c r="G99" s="12"/>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141</v>
      </c>
      <c r="D102" s="1"/>
      <c r="E102" s="1"/>
      <c r="F102" s="1"/>
      <c r="G102" s="1"/>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142</v>
      </c>
      <c r="D105" s="1"/>
      <c r="E105" s="1"/>
      <c r="F105" s="1"/>
      <c r="G105" s="1"/>
      <c r="H105" s="53"/>
    </row>
    <row r="106" spans="1:8" ht="14.1" customHeight="1" x14ac:dyDescent="0.2">
      <c r="A106" s="1"/>
      <c r="B106" s="1"/>
      <c r="C106" s="2" t="s">
        <v>132</v>
      </c>
      <c r="D106" s="1"/>
      <c r="E106" s="1" t="s">
        <v>133</v>
      </c>
      <c r="F106" s="13">
        <v>0</v>
      </c>
      <c r="G106" s="14">
        <v>0</v>
      </c>
      <c r="H106" s="53"/>
    </row>
    <row r="107" spans="1:8" ht="14.1" customHeight="1" x14ac:dyDescent="0.2">
      <c r="A107" s="1"/>
      <c r="B107" s="1"/>
      <c r="C107" s="11"/>
      <c r="D107" s="1"/>
      <c r="E107" s="1"/>
      <c r="F107" s="12"/>
      <c r="G107" s="12"/>
      <c r="H107" s="53"/>
    </row>
    <row r="108" spans="1:8" ht="14.1" customHeight="1" x14ac:dyDescent="0.2">
      <c r="A108" s="1"/>
      <c r="B108" s="1"/>
      <c r="C108" s="2" t="s">
        <v>143</v>
      </c>
      <c r="D108" s="1"/>
      <c r="E108" s="1"/>
      <c r="F108" s="12"/>
      <c r="G108" s="12"/>
      <c r="H108" s="53"/>
    </row>
    <row r="109" spans="1:8" ht="14.1" customHeight="1" x14ac:dyDescent="0.2">
      <c r="A109" s="1"/>
      <c r="B109" s="1"/>
      <c r="C109" s="2" t="s">
        <v>132</v>
      </c>
      <c r="D109" s="1"/>
      <c r="E109" s="1" t="s">
        <v>133</v>
      </c>
      <c r="F109" s="13">
        <v>0</v>
      </c>
      <c r="G109" s="14">
        <v>0</v>
      </c>
      <c r="H109" s="53"/>
    </row>
    <row r="110" spans="1:8" ht="14.1" customHeight="1" x14ac:dyDescent="0.2">
      <c r="A110" s="1"/>
      <c r="B110" s="1"/>
      <c r="C110" s="11"/>
      <c r="D110" s="1"/>
      <c r="E110" s="1"/>
      <c r="F110" s="12"/>
      <c r="G110" s="12"/>
      <c r="H110" s="53"/>
    </row>
    <row r="111" spans="1:8" ht="14.1" customHeight="1" x14ac:dyDescent="0.2">
      <c r="A111" s="1"/>
      <c r="B111" s="1"/>
      <c r="C111" s="2" t="s">
        <v>144</v>
      </c>
      <c r="D111" s="1"/>
      <c r="E111" s="1"/>
      <c r="F111" s="9">
        <v>0</v>
      </c>
      <c r="G111" s="10">
        <v>0</v>
      </c>
      <c r="H111" s="53"/>
    </row>
    <row r="112" spans="1:8" ht="14.1" customHeight="1" x14ac:dyDescent="0.2">
      <c r="A112" s="1"/>
      <c r="B112" s="1"/>
      <c r="C112" s="11"/>
      <c r="D112" s="1"/>
      <c r="E112" s="1"/>
      <c r="F112" s="12"/>
      <c r="G112" s="12"/>
      <c r="H112" s="53"/>
    </row>
    <row r="113" spans="1:8" ht="14.1" customHeight="1" x14ac:dyDescent="0.2">
      <c r="A113" s="1"/>
      <c r="B113" s="1"/>
      <c r="C113" s="2" t="s">
        <v>145</v>
      </c>
      <c r="D113" s="1"/>
      <c r="E113" s="1"/>
      <c r="F113" s="12"/>
      <c r="G113" s="12"/>
      <c r="H113" s="53"/>
    </row>
    <row r="114" spans="1:8" ht="14.1" customHeight="1" x14ac:dyDescent="0.2">
      <c r="A114" s="1"/>
      <c r="B114" s="1"/>
      <c r="C114" s="2" t="s">
        <v>146</v>
      </c>
      <c r="D114" s="1"/>
      <c r="E114" s="1"/>
      <c r="F114" s="12"/>
      <c r="G114" s="12"/>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1"/>
      <c r="C117" s="2" t="s">
        <v>147</v>
      </c>
      <c r="D117" s="1"/>
      <c r="E117" s="1"/>
      <c r="F117" s="12"/>
      <c r="G117" s="12"/>
      <c r="H117" s="53"/>
    </row>
    <row r="118" spans="1:8" ht="14.1" customHeight="1" x14ac:dyDescent="0.2">
      <c r="A118" s="1"/>
      <c r="B118" s="1"/>
      <c r="C118" s="2" t="s">
        <v>132</v>
      </c>
      <c r="D118" s="1"/>
      <c r="E118" s="1" t="s">
        <v>133</v>
      </c>
      <c r="F118" s="13">
        <v>0</v>
      </c>
      <c r="G118" s="14">
        <v>0</v>
      </c>
      <c r="H118" s="53"/>
    </row>
    <row r="119" spans="1:8" ht="14.1" customHeight="1" x14ac:dyDescent="0.2">
      <c r="A119" s="1"/>
      <c r="B119" s="1"/>
      <c r="C119" s="11"/>
      <c r="D119" s="1"/>
      <c r="E119" s="1"/>
      <c r="F119" s="12"/>
      <c r="G119" s="12"/>
      <c r="H119" s="53"/>
    </row>
    <row r="120" spans="1:8" ht="14.1" customHeight="1" x14ac:dyDescent="0.2">
      <c r="A120" s="1"/>
      <c r="B120" s="1"/>
      <c r="C120" s="2" t="s">
        <v>148</v>
      </c>
      <c r="D120" s="1"/>
      <c r="E120" s="1"/>
      <c r="F120" s="12"/>
      <c r="G120" s="12"/>
      <c r="H120" s="53"/>
    </row>
    <row r="121" spans="1:8" ht="14.1" customHeight="1" x14ac:dyDescent="0.2">
      <c r="A121" s="1"/>
      <c r="B121" s="1"/>
      <c r="C121" s="2" t="s">
        <v>132</v>
      </c>
      <c r="D121" s="1"/>
      <c r="E121" s="1" t="s">
        <v>133</v>
      </c>
      <c r="F121" s="13">
        <v>0</v>
      </c>
      <c r="G121" s="14">
        <v>0</v>
      </c>
      <c r="H121" s="53"/>
    </row>
    <row r="122" spans="1:8" ht="14.1" customHeight="1" x14ac:dyDescent="0.2">
      <c r="A122" s="1"/>
      <c r="B122" s="1"/>
      <c r="C122" s="11"/>
      <c r="D122" s="1"/>
      <c r="E122" s="1"/>
      <c r="F122" s="12"/>
      <c r="G122" s="12"/>
      <c r="H122" s="53"/>
    </row>
    <row r="123" spans="1:8" ht="14.1" customHeight="1" x14ac:dyDescent="0.2">
      <c r="A123" s="1"/>
      <c r="B123" s="1"/>
      <c r="C123" s="2" t="s">
        <v>149</v>
      </c>
      <c r="D123" s="1"/>
      <c r="E123" s="1"/>
      <c r="F123" s="12"/>
      <c r="G123" s="12"/>
      <c r="H123" s="53"/>
    </row>
    <row r="124" spans="1:8" ht="17.100000000000001" customHeight="1" x14ac:dyDescent="0.2">
      <c r="A124" s="3">
        <v>1</v>
      </c>
      <c r="B124" s="4"/>
      <c r="C124" s="4" t="s">
        <v>150</v>
      </c>
      <c r="D124" s="4"/>
      <c r="E124" s="8"/>
      <c r="F124" s="6">
        <v>12152.313344100001</v>
      </c>
      <c r="G124" s="7">
        <v>6.0121906000000003E-2</v>
      </c>
      <c r="H124" s="53">
        <v>6.46</v>
      </c>
    </row>
    <row r="125" spans="1:8" ht="14.1" customHeight="1" x14ac:dyDescent="0.2">
      <c r="A125" s="1"/>
      <c r="B125" s="1"/>
      <c r="C125" s="2" t="s">
        <v>132</v>
      </c>
      <c r="D125" s="1"/>
      <c r="E125" s="1" t="s">
        <v>133</v>
      </c>
      <c r="F125" s="9">
        <v>12152.313344100001</v>
      </c>
      <c r="G125" s="10">
        <v>6.0121906000000003E-2</v>
      </c>
      <c r="H125" s="53"/>
    </row>
    <row r="126" spans="1:8" ht="14.1" customHeight="1" x14ac:dyDescent="0.2">
      <c r="A126" s="1"/>
      <c r="B126" s="1"/>
      <c r="C126" s="11"/>
      <c r="D126" s="1"/>
      <c r="E126" s="1"/>
      <c r="F126" s="12"/>
      <c r="G126" s="12"/>
      <c r="H126" s="53"/>
    </row>
    <row r="127" spans="1:8" ht="14.1" customHeight="1" x14ac:dyDescent="0.2">
      <c r="A127" s="1"/>
      <c r="B127" s="1"/>
      <c r="C127" s="2" t="s">
        <v>151</v>
      </c>
      <c r="D127" s="1"/>
      <c r="E127" s="1"/>
      <c r="F127" s="9">
        <v>12152.313344100001</v>
      </c>
      <c r="G127" s="10">
        <v>6.0121906000000003E-2</v>
      </c>
      <c r="H127" s="53"/>
    </row>
    <row r="128" spans="1:8" ht="14.1" customHeight="1" x14ac:dyDescent="0.2">
      <c r="A128" s="1"/>
      <c r="B128" s="1"/>
      <c r="C128" s="12"/>
      <c r="D128" s="1"/>
      <c r="E128" s="1"/>
      <c r="F128" s="1"/>
      <c r="G128" s="1"/>
      <c r="H128" s="53"/>
    </row>
    <row r="129" spans="1:8" ht="14.1" customHeight="1" x14ac:dyDescent="0.2">
      <c r="A129" s="1"/>
      <c r="B129" s="1"/>
      <c r="C129" s="2" t="s">
        <v>152</v>
      </c>
      <c r="D129" s="1"/>
      <c r="E129" s="1"/>
      <c r="F129" s="1"/>
      <c r="G129" s="1"/>
      <c r="H129" s="53"/>
    </row>
    <row r="130" spans="1:8" ht="14.1" customHeight="1" x14ac:dyDescent="0.2">
      <c r="A130" s="1"/>
      <c r="B130" s="1"/>
      <c r="C130" s="2" t="s">
        <v>153</v>
      </c>
      <c r="D130" s="1"/>
      <c r="E130" s="1"/>
      <c r="F130" s="1"/>
      <c r="G130" s="1"/>
      <c r="H130" s="53"/>
    </row>
    <row r="131" spans="1:8" ht="14.1" customHeight="1" x14ac:dyDescent="0.2">
      <c r="A131" s="1"/>
      <c r="B131" s="1"/>
      <c r="C131" s="2" t="s">
        <v>132</v>
      </c>
      <c r="D131" s="1"/>
      <c r="E131" s="1" t="s">
        <v>133</v>
      </c>
      <c r="F131" s="13">
        <v>0</v>
      </c>
      <c r="G131" s="14">
        <v>0</v>
      </c>
      <c r="H131" s="53"/>
    </row>
    <row r="132" spans="1:8" ht="14.1" customHeight="1" x14ac:dyDescent="0.2">
      <c r="A132" s="1"/>
      <c r="B132" s="1"/>
      <c r="C132" s="11"/>
      <c r="D132" s="1"/>
      <c r="E132" s="1"/>
      <c r="F132" s="12"/>
      <c r="G132" s="12"/>
      <c r="H132" s="53"/>
    </row>
    <row r="133" spans="1:8" ht="14.1" customHeight="1" x14ac:dyDescent="0.2">
      <c r="A133" s="1"/>
      <c r="B133" s="1"/>
      <c r="C133" s="2" t="s">
        <v>154</v>
      </c>
      <c r="D133" s="1"/>
      <c r="E133" s="1"/>
      <c r="F133" s="1"/>
      <c r="G133" s="1"/>
      <c r="H133" s="53"/>
    </row>
    <row r="134" spans="1:8" ht="14.1" customHeight="1" x14ac:dyDescent="0.2">
      <c r="A134" s="1"/>
      <c r="B134" s="1"/>
      <c r="C134" s="2" t="s">
        <v>155</v>
      </c>
      <c r="D134" s="1"/>
      <c r="E134" s="1"/>
      <c r="F134" s="1"/>
      <c r="G134" s="1"/>
      <c r="H134" s="53"/>
    </row>
    <row r="135" spans="1:8" ht="14.1" customHeight="1" x14ac:dyDescent="0.2">
      <c r="A135" s="1"/>
      <c r="B135" s="1"/>
      <c r="C135" s="2" t="s">
        <v>132</v>
      </c>
      <c r="D135" s="1"/>
      <c r="E135" s="1" t="s">
        <v>133</v>
      </c>
      <c r="F135" s="13">
        <v>0</v>
      </c>
      <c r="G135" s="14">
        <v>0</v>
      </c>
      <c r="H135" s="53"/>
    </row>
    <row r="136" spans="1:8" ht="14.1" customHeight="1" x14ac:dyDescent="0.2">
      <c r="A136" s="1"/>
      <c r="B136" s="1"/>
      <c r="C136" s="11"/>
      <c r="D136" s="1"/>
      <c r="E136" s="1"/>
      <c r="F136" s="12"/>
      <c r="G136" s="12"/>
      <c r="H136" s="53"/>
    </row>
    <row r="137" spans="1:8" ht="14.1" customHeight="1" x14ac:dyDescent="0.2">
      <c r="A137" s="1"/>
      <c r="B137" s="1"/>
      <c r="C137" s="11"/>
      <c r="D137" s="1"/>
      <c r="E137" s="1"/>
      <c r="F137" s="12"/>
      <c r="G137" s="12"/>
      <c r="H137" s="53"/>
    </row>
    <row r="138" spans="1:8" ht="24" customHeight="1" x14ac:dyDescent="0.2">
      <c r="A138" s="1"/>
      <c r="B138" s="1"/>
      <c r="C138" s="2" t="s">
        <v>156</v>
      </c>
      <c r="D138" s="1"/>
      <c r="E138" s="1"/>
      <c r="F138" s="12"/>
      <c r="G138" s="12"/>
      <c r="H138" s="53"/>
    </row>
    <row r="139" spans="1:8" ht="14.1" customHeight="1" x14ac:dyDescent="0.2">
      <c r="A139" s="1"/>
      <c r="B139" s="1"/>
      <c r="C139" s="2" t="s">
        <v>132</v>
      </c>
      <c r="D139" s="1"/>
      <c r="E139" s="1" t="s">
        <v>133</v>
      </c>
      <c r="F139" s="13">
        <v>0</v>
      </c>
      <c r="G139" s="14">
        <v>0</v>
      </c>
      <c r="H139" s="53"/>
    </row>
    <row r="140" spans="1:8" ht="14.1" customHeight="1" x14ac:dyDescent="0.2">
      <c r="A140" s="1"/>
      <c r="B140" s="1"/>
      <c r="C140" s="11"/>
      <c r="D140" s="1"/>
      <c r="E140" s="1"/>
      <c r="F140" s="12"/>
      <c r="G140" s="12"/>
      <c r="H140" s="53"/>
    </row>
    <row r="141" spans="1:8" ht="14.1" customHeight="1" x14ac:dyDescent="0.2">
      <c r="A141" s="1"/>
      <c r="B141" s="4"/>
      <c r="C141" s="4"/>
      <c r="D141" s="2"/>
      <c r="E141" s="1"/>
      <c r="F141" s="4"/>
      <c r="G141" s="8"/>
      <c r="H141" s="53"/>
    </row>
    <row r="142" spans="1:8" ht="18" customHeight="1" x14ac:dyDescent="0.2">
      <c r="A142" s="8"/>
      <c r="B142" s="4"/>
      <c r="C142" s="4" t="s">
        <v>157</v>
      </c>
      <c r="D142" s="4"/>
      <c r="E142" s="8"/>
      <c r="F142" s="6">
        <v>-82.56192111</v>
      </c>
      <c r="G142" s="7">
        <v>-4.0846399999999998E-4</v>
      </c>
      <c r="H142" s="53"/>
    </row>
    <row r="143" spans="1:8" ht="14.1" customHeight="1" x14ac:dyDescent="0.2">
      <c r="A143" s="11"/>
      <c r="B143" s="11"/>
      <c r="C143" s="2" t="s">
        <v>158</v>
      </c>
      <c r="D143" s="15"/>
      <c r="E143" s="15"/>
      <c r="F143" s="9">
        <v>202127.87825650899</v>
      </c>
      <c r="G143" s="14">
        <v>0.99999999699999997</v>
      </c>
      <c r="H143" s="53"/>
    </row>
    <row r="144" spans="1:8" ht="14.1" customHeight="1" x14ac:dyDescent="0.2">
      <c r="A144" s="16"/>
      <c r="B144" s="16"/>
      <c r="C144" s="16"/>
      <c r="D144" s="17"/>
      <c r="E144" s="17"/>
      <c r="F144" s="17"/>
      <c r="G144" s="17"/>
    </row>
    <row r="145" spans="1:14" ht="17.100000000000001" customHeight="1" x14ac:dyDescent="0.2">
      <c r="A145" s="18"/>
      <c r="B145" s="292" t="s">
        <v>159</v>
      </c>
      <c r="C145" s="292"/>
      <c r="D145" s="292"/>
      <c r="E145" s="292"/>
      <c r="F145" s="292"/>
      <c r="G145" s="20"/>
    </row>
    <row r="146" spans="1:14" ht="14.1" customHeight="1" x14ac:dyDescent="0.2">
      <c r="A146" s="18"/>
      <c r="B146" s="18"/>
      <c r="C146" s="18"/>
      <c r="D146" s="20"/>
      <c r="E146" s="20"/>
      <c r="F146" s="20"/>
      <c r="G146" s="20"/>
    </row>
    <row r="147" spans="1:14" ht="14.1" customHeight="1" x14ac:dyDescent="0.2">
      <c r="A147" s="18"/>
      <c r="B147" s="293" t="s">
        <v>160</v>
      </c>
      <c r="C147" s="294"/>
      <c r="D147" s="12" t="s">
        <v>133</v>
      </c>
      <c r="E147" s="21"/>
      <c r="F147" s="20"/>
      <c r="G147" s="20"/>
    </row>
    <row r="148" spans="1:14" ht="29.1" customHeight="1" x14ac:dyDescent="0.2">
      <c r="A148" s="18"/>
      <c r="B148" s="290" t="s">
        <v>161</v>
      </c>
      <c r="C148" s="291"/>
      <c r="D148" s="2" t="s">
        <v>162</v>
      </c>
      <c r="E148" s="21"/>
      <c r="F148" s="20"/>
      <c r="G148" s="20"/>
    </row>
    <row r="149" spans="1:14" ht="17.100000000000001" customHeight="1" x14ac:dyDescent="0.2">
      <c r="A149" s="58"/>
      <c r="B149" s="295" t="s">
        <v>956</v>
      </c>
      <c r="C149" s="296"/>
      <c r="D149" s="59" t="s">
        <v>957</v>
      </c>
      <c r="E149" s="60"/>
      <c r="F149" s="61"/>
      <c r="G149" s="61"/>
    </row>
    <row r="150" spans="1:14" ht="17.100000000000001" customHeight="1" x14ac:dyDescent="0.2">
      <c r="A150" s="18"/>
      <c r="B150" s="290" t="s">
        <v>164</v>
      </c>
      <c r="C150" s="291"/>
      <c r="D150" s="12" t="s">
        <v>133</v>
      </c>
      <c r="E150" s="21"/>
      <c r="F150" s="20"/>
      <c r="G150" s="20"/>
    </row>
    <row r="151" spans="1:14" ht="24" customHeight="1" x14ac:dyDescent="0.2">
      <c r="A151" s="22"/>
      <c r="B151" s="23" t="s">
        <v>133</v>
      </c>
      <c r="C151" s="23" t="s">
        <v>165</v>
      </c>
      <c r="D151" s="23" t="s">
        <v>166</v>
      </c>
      <c r="E151" s="22"/>
      <c r="F151" s="22"/>
      <c r="G151" s="22"/>
    </row>
    <row r="152" spans="1:14" ht="18" customHeight="1" x14ac:dyDescent="0.2">
      <c r="A152" s="22"/>
      <c r="B152" s="23" t="s">
        <v>167</v>
      </c>
      <c r="C152" s="23" t="s">
        <v>168</v>
      </c>
      <c r="D152" s="23" t="s">
        <v>169</v>
      </c>
      <c r="E152" s="22"/>
      <c r="F152" s="22"/>
      <c r="G152" s="22"/>
    </row>
    <row r="153" spans="1:14" ht="17.100000000000001" customHeight="1" x14ac:dyDescent="0.2">
      <c r="A153" s="22"/>
      <c r="B153" s="4" t="s">
        <v>170</v>
      </c>
      <c r="C153" s="24">
        <v>163.89259999999999</v>
      </c>
      <c r="D153" s="24">
        <v>160.89009999999999</v>
      </c>
      <c r="E153" s="22"/>
      <c r="F153" s="19"/>
      <c r="G153" s="25"/>
    </row>
    <row r="154" spans="1:14" ht="17.100000000000001" customHeight="1" x14ac:dyDescent="0.2">
      <c r="A154" s="22"/>
      <c r="B154" s="4" t="s">
        <v>1042</v>
      </c>
      <c r="C154" s="24">
        <v>26.7334</v>
      </c>
      <c r="D154" s="24">
        <v>26.2437</v>
      </c>
      <c r="E154" s="22"/>
      <c r="F154" s="19"/>
      <c r="G154" s="25"/>
    </row>
    <row r="155" spans="1:14" ht="17.100000000000001" customHeight="1" x14ac:dyDescent="0.2">
      <c r="A155" s="22"/>
      <c r="B155" s="4" t="s">
        <v>171</v>
      </c>
      <c r="C155" s="24">
        <v>152.3937</v>
      </c>
      <c r="D155" s="24">
        <v>149.46119999999999</v>
      </c>
      <c r="E155" s="22"/>
      <c r="F155" s="19"/>
      <c r="G155" s="25"/>
    </row>
    <row r="156" spans="1:14" ht="17.100000000000001" customHeight="1" x14ac:dyDescent="0.2">
      <c r="A156" s="22"/>
      <c r="B156" s="4" t="s">
        <v>1043</v>
      </c>
      <c r="C156" s="24">
        <v>24.192</v>
      </c>
      <c r="D156" s="24">
        <v>23.726500000000001</v>
      </c>
      <c r="E156" s="22"/>
      <c r="F156" s="19"/>
      <c r="G156" s="25"/>
    </row>
    <row r="157" spans="1:14" ht="14.1" customHeight="1" x14ac:dyDescent="0.2">
      <c r="A157" s="22"/>
      <c r="B157" s="22"/>
      <c r="C157" s="22"/>
      <c r="D157" s="22"/>
      <c r="E157" s="22"/>
      <c r="F157" s="22"/>
      <c r="G157" s="22"/>
      <c r="J157" s="189"/>
      <c r="K157" s="189"/>
      <c r="L157" s="189"/>
      <c r="M157" s="189"/>
      <c r="N157" s="189"/>
    </row>
    <row r="158" spans="1:14" ht="17.100000000000001" customHeight="1" x14ac:dyDescent="0.2">
      <c r="A158" s="22"/>
      <c r="B158" s="290" t="s">
        <v>1044</v>
      </c>
      <c r="C158" s="291"/>
      <c r="D158" s="2" t="s">
        <v>162</v>
      </c>
      <c r="E158" s="22"/>
      <c r="F158" s="22"/>
      <c r="G158" s="22"/>
    </row>
    <row r="159" spans="1:14" ht="18" customHeight="1" x14ac:dyDescent="0.2">
      <c r="A159" s="22"/>
      <c r="B159" s="26"/>
      <c r="C159" s="26"/>
      <c r="D159" s="27"/>
      <c r="E159" s="22"/>
      <c r="F159" s="22"/>
      <c r="G159" s="22"/>
    </row>
    <row r="160" spans="1:14" ht="29.1" customHeight="1" x14ac:dyDescent="0.2">
      <c r="A160" s="22"/>
      <c r="B160" s="290" t="s">
        <v>172</v>
      </c>
      <c r="C160" s="291"/>
      <c r="D160" s="2" t="s">
        <v>162</v>
      </c>
      <c r="E160" s="22"/>
      <c r="F160" s="22"/>
      <c r="G160" s="22"/>
    </row>
    <row r="161" spans="1:7" ht="29.1" customHeight="1" x14ac:dyDescent="0.2">
      <c r="A161" s="22"/>
      <c r="B161" s="290" t="s">
        <v>173</v>
      </c>
      <c r="C161" s="291"/>
      <c r="D161" s="2" t="s">
        <v>162</v>
      </c>
      <c r="E161" s="22"/>
      <c r="F161" s="22"/>
      <c r="G161" s="22"/>
    </row>
    <row r="162" spans="1:7" ht="17.100000000000001" customHeight="1" x14ac:dyDescent="0.2">
      <c r="A162" s="22"/>
      <c r="B162" s="290" t="s">
        <v>174</v>
      </c>
      <c r="C162" s="291"/>
      <c r="D162" s="28">
        <v>0.45855742321783788</v>
      </c>
      <c r="E162" s="22"/>
      <c r="F162" s="19"/>
      <c r="G162" s="25"/>
    </row>
    <row r="163" spans="1:7" ht="17.100000000000001" customHeight="1" x14ac:dyDescent="0.2">
      <c r="A163" s="22"/>
      <c r="B163" s="290" t="s">
        <v>175</v>
      </c>
      <c r="C163" s="291"/>
      <c r="D163" s="2" t="s">
        <v>162</v>
      </c>
      <c r="E163" s="22"/>
      <c r="F163" s="22"/>
      <c r="G163" s="22"/>
    </row>
  </sheetData>
  <mergeCells count="14">
    <mergeCell ref="B163:C163"/>
    <mergeCell ref="B148:C148"/>
    <mergeCell ref="B149:C149"/>
    <mergeCell ref="B150:C150"/>
    <mergeCell ref="B158:C158"/>
    <mergeCell ref="B160:C160"/>
    <mergeCell ref="B161:C161"/>
    <mergeCell ref="A1:H1"/>
    <mergeCell ref="A2:H2"/>
    <mergeCell ref="A3:H3"/>
    <mergeCell ref="J2:N2"/>
    <mergeCell ref="B162:C162"/>
    <mergeCell ref="B145:F145"/>
    <mergeCell ref="B147:C147"/>
  </mergeCells>
  <hyperlinks>
    <hyperlink ref="I1" location="Index!B22" display="Index" xr:uid="{BCF37444-1C1F-4339-9318-5A1F0C3E5DC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8C8DE-2FF3-4A43-A4E6-F58E7BA256D0}">
  <sheetPr>
    <outlinePr summaryBelow="0" summaryRight="0"/>
  </sheetPr>
  <dimension ref="A1:P217"/>
  <sheetViews>
    <sheetView showGridLines="0" workbookViewId="0">
      <selection sqref="A1:I1"/>
    </sheetView>
  </sheetViews>
  <sheetFormatPr defaultRowHeight="12.75" x14ac:dyDescent="0.2"/>
  <cols>
    <col min="1" max="1" width="6.85546875" customWidth="1"/>
    <col min="2" max="2" width="20.5703125" customWidth="1"/>
    <col min="3" max="3" width="36.28515625" customWidth="1"/>
    <col min="4" max="4" width="17.85546875" customWidth="1"/>
    <col min="5" max="6" width="19.140625" customWidth="1"/>
    <col min="7" max="7" width="16.42578125" customWidth="1"/>
    <col min="8" max="8" width="8.42578125" bestFit="1" customWidth="1"/>
    <col min="9" max="9" width="10.85546875" customWidth="1"/>
    <col min="10" max="10" width="11.5703125" bestFit="1" customWidth="1"/>
    <col min="11" max="11" width="16.7109375" bestFit="1" customWidth="1"/>
    <col min="16" max="16" width="9.140625" style="46"/>
  </cols>
  <sheetData>
    <row r="1" spans="1:15" ht="18" customHeight="1" x14ac:dyDescent="0.2">
      <c r="A1" s="285" t="s">
        <v>0</v>
      </c>
      <c r="B1" s="285"/>
      <c r="C1" s="285"/>
      <c r="D1" s="285"/>
      <c r="E1" s="285"/>
      <c r="F1" s="285"/>
      <c r="G1" s="285"/>
      <c r="H1" s="285"/>
      <c r="I1" s="285"/>
      <c r="J1" s="186" t="s">
        <v>1072</v>
      </c>
      <c r="K1" s="80"/>
      <c r="L1" s="80"/>
      <c r="M1" s="80"/>
      <c r="N1" s="80"/>
      <c r="O1" s="80"/>
    </row>
    <row r="2" spans="1:15" ht="17.100000000000001" customHeight="1" x14ac:dyDescent="0.2">
      <c r="A2" s="285" t="s">
        <v>1063</v>
      </c>
      <c r="B2" s="300"/>
      <c r="C2" s="300"/>
      <c r="D2" s="300"/>
      <c r="E2" s="300"/>
      <c r="F2" s="300"/>
      <c r="G2" s="300"/>
      <c r="H2" s="300"/>
      <c r="I2" s="300"/>
      <c r="K2" s="289" t="s">
        <v>1073</v>
      </c>
      <c r="L2" s="289"/>
      <c r="M2" s="289"/>
      <c r="N2" s="289"/>
      <c r="O2" s="289"/>
    </row>
    <row r="3" spans="1:15" ht="21" customHeight="1" x14ac:dyDescent="0.2">
      <c r="A3" s="285" t="s">
        <v>1052</v>
      </c>
      <c r="B3" s="285"/>
      <c r="C3" s="285"/>
      <c r="D3" s="285"/>
      <c r="E3" s="285"/>
      <c r="F3" s="285"/>
      <c r="G3" s="285"/>
      <c r="H3" s="285"/>
      <c r="I3" s="285"/>
      <c r="K3" s="80"/>
      <c r="L3" s="80"/>
      <c r="M3" s="80"/>
      <c r="N3" s="80"/>
      <c r="O3" s="80"/>
    </row>
    <row r="4" spans="1:15" s="178" customFormat="1" ht="33.75" customHeight="1" x14ac:dyDescent="0.2">
      <c r="A4" s="177" t="s">
        <v>2</v>
      </c>
      <c r="B4" s="177" t="s">
        <v>3</v>
      </c>
      <c r="C4" s="177" t="s">
        <v>4</v>
      </c>
      <c r="D4" s="177" t="s">
        <v>5</v>
      </c>
      <c r="E4" s="177" t="s">
        <v>6</v>
      </c>
      <c r="F4" s="177" t="s">
        <v>7</v>
      </c>
      <c r="G4" s="177" t="s">
        <v>8</v>
      </c>
      <c r="H4" s="83" t="s">
        <v>1159</v>
      </c>
      <c r="I4" s="141" t="s">
        <v>1014</v>
      </c>
      <c r="K4" s="190"/>
      <c r="L4" s="190"/>
      <c r="M4" s="190"/>
      <c r="N4" s="190"/>
      <c r="O4" s="190"/>
    </row>
    <row r="5" spans="1:15" ht="14.1" customHeight="1" x14ac:dyDescent="0.2">
      <c r="A5" s="1"/>
      <c r="B5" s="1"/>
      <c r="C5" s="2" t="s">
        <v>9</v>
      </c>
      <c r="D5" s="1"/>
      <c r="E5" s="1"/>
      <c r="F5" s="1"/>
      <c r="G5" s="1"/>
      <c r="H5" s="53"/>
      <c r="I5" s="53"/>
      <c r="K5" s="80"/>
      <c r="L5" s="80"/>
      <c r="M5" s="80"/>
      <c r="N5" s="80"/>
      <c r="O5" s="80"/>
    </row>
    <row r="6" spans="1:15" ht="24" customHeight="1" x14ac:dyDescent="0.2">
      <c r="A6" s="1"/>
      <c r="B6" s="1"/>
      <c r="C6" s="2" t="s">
        <v>10</v>
      </c>
      <c r="D6" s="1"/>
      <c r="E6" s="1"/>
      <c r="F6" s="1"/>
      <c r="G6" s="1"/>
      <c r="H6" s="53"/>
      <c r="I6" s="53"/>
      <c r="K6" s="80"/>
      <c r="L6" s="80"/>
      <c r="M6" s="80"/>
      <c r="N6" s="80"/>
      <c r="O6" s="80"/>
    </row>
    <row r="7" spans="1:15" ht="17.100000000000001" customHeight="1" x14ac:dyDescent="0.2">
      <c r="A7" s="3">
        <v>1</v>
      </c>
      <c r="B7" s="4" t="s">
        <v>17</v>
      </c>
      <c r="C7" s="4" t="s">
        <v>18</v>
      </c>
      <c r="D7" s="4" t="s">
        <v>19</v>
      </c>
      <c r="E7" s="5">
        <v>2250000</v>
      </c>
      <c r="F7" s="6">
        <v>20044.125</v>
      </c>
      <c r="G7" s="7">
        <v>6.4321049000000005E-2</v>
      </c>
      <c r="H7" s="53"/>
      <c r="I7" s="53"/>
      <c r="K7" s="80"/>
      <c r="L7" s="80"/>
      <c r="M7" s="80"/>
      <c r="N7" s="80"/>
      <c r="O7" s="80"/>
    </row>
    <row r="8" spans="1:15" ht="17.100000000000001" customHeight="1" x14ac:dyDescent="0.2">
      <c r="A8" s="3">
        <v>2</v>
      </c>
      <c r="B8" s="4" t="s">
        <v>266</v>
      </c>
      <c r="C8" s="4" t="s">
        <v>267</v>
      </c>
      <c r="D8" s="4" t="s">
        <v>19</v>
      </c>
      <c r="E8" s="5">
        <v>1175000</v>
      </c>
      <c r="F8" s="6">
        <v>19130.762500000001</v>
      </c>
      <c r="G8" s="7">
        <v>6.1390093E-2</v>
      </c>
      <c r="H8" s="53"/>
      <c r="I8" s="53"/>
      <c r="K8" s="80"/>
      <c r="L8" s="80"/>
      <c r="M8" s="80"/>
      <c r="N8" s="80"/>
      <c r="O8" s="80"/>
    </row>
    <row r="9" spans="1:15" ht="17.100000000000001" customHeight="1" x14ac:dyDescent="0.2">
      <c r="A9" s="3">
        <v>3</v>
      </c>
      <c r="B9" s="4" t="s">
        <v>20</v>
      </c>
      <c r="C9" s="4" t="s">
        <v>21</v>
      </c>
      <c r="D9" s="4" t="s">
        <v>22</v>
      </c>
      <c r="E9" s="5">
        <v>640000</v>
      </c>
      <c r="F9" s="6">
        <v>16302.08</v>
      </c>
      <c r="G9" s="7">
        <v>5.2312929000000001E-2</v>
      </c>
      <c r="H9" s="53"/>
      <c r="I9" s="53"/>
      <c r="K9" s="80"/>
      <c r="L9" s="80"/>
      <c r="M9" s="80"/>
      <c r="N9" s="80"/>
      <c r="O9" s="80"/>
    </row>
    <row r="10" spans="1:15" ht="17.100000000000001" customHeight="1" x14ac:dyDescent="0.2">
      <c r="A10" s="3">
        <v>4</v>
      </c>
      <c r="B10" s="4" t="s">
        <v>291</v>
      </c>
      <c r="C10" s="4" t="s">
        <v>292</v>
      </c>
      <c r="D10" s="4" t="s">
        <v>900</v>
      </c>
      <c r="E10" s="5">
        <v>1050000</v>
      </c>
      <c r="F10" s="6">
        <v>15836.1</v>
      </c>
      <c r="G10" s="7">
        <v>5.0817611999999998E-2</v>
      </c>
      <c r="H10" s="53"/>
      <c r="I10" s="53"/>
      <c r="K10" s="80"/>
      <c r="L10" s="80"/>
      <c r="M10" s="80"/>
      <c r="N10" s="80"/>
      <c r="O10" s="80"/>
    </row>
    <row r="11" spans="1:15" ht="17.100000000000001" customHeight="1" x14ac:dyDescent="0.2">
      <c r="A11" s="3">
        <v>5</v>
      </c>
      <c r="B11" s="4" t="s">
        <v>29</v>
      </c>
      <c r="C11" s="4" t="s">
        <v>30</v>
      </c>
      <c r="D11" s="4" t="s">
        <v>19</v>
      </c>
      <c r="E11" s="5">
        <v>1800000</v>
      </c>
      <c r="F11" s="6">
        <v>11046.6</v>
      </c>
      <c r="G11" s="7">
        <v>3.5448237E-2</v>
      </c>
      <c r="H11" s="53"/>
      <c r="I11" s="53"/>
      <c r="K11" s="80"/>
      <c r="L11" s="80"/>
      <c r="M11" s="80"/>
      <c r="N11" s="80"/>
      <c r="O11" s="80"/>
    </row>
    <row r="12" spans="1:15" ht="29.1" customHeight="1" x14ac:dyDescent="0.2">
      <c r="A12" s="3">
        <v>6</v>
      </c>
      <c r="B12" s="4" t="s">
        <v>293</v>
      </c>
      <c r="C12" s="4" t="s">
        <v>294</v>
      </c>
      <c r="D12" s="4" t="s">
        <v>119</v>
      </c>
      <c r="E12" s="5">
        <v>412159</v>
      </c>
      <c r="F12" s="6">
        <v>10871.105783999999</v>
      </c>
      <c r="G12" s="7">
        <v>3.4885080999999998E-2</v>
      </c>
      <c r="H12" s="53"/>
      <c r="I12" s="53"/>
      <c r="K12" s="188" t="s">
        <v>1086</v>
      </c>
      <c r="L12" s="80"/>
      <c r="M12" s="80"/>
      <c r="N12" s="80"/>
      <c r="O12" s="80"/>
    </row>
    <row r="13" spans="1:15" ht="17.100000000000001" customHeight="1" x14ac:dyDescent="0.2">
      <c r="A13" s="3">
        <v>7</v>
      </c>
      <c r="B13" s="4" t="s">
        <v>14</v>
      </c>
      <c r="C13" s="4" t="s">
        <v>15</v>
      </c>
      <c r="D13" s="4" t="s">
        <v>16</v>
      </c>
      <c r="E13" s="5">
        <v>1250000</v>
      </c>
      <c r="F13" s="6">
        <v>10076.25</v>
      </c>
      <c r="G13" s="7">
        <v>3.2334411E-2</v>
      </c>
      <c r="H13" s="53"/>
      <c r="I13" s="53"/>
      <c r="K13" s="80"/>
      <c r="L13" s="80"/>
      <c r="M13" s="80"/>
      <c r="N13" s="80"/>
      <c r="O13" s="80"/>
    </row>
    <row r="14" spans="1:15" ht="29.1" customHeight="1" x14ac:dyDescent="0.2">
      <c r="A14" s="3">
        <v>8</v>
      </c>
      <c r="B14" s="4" t="s">
        <v>299</v>
      </c>
      <c r="C14" s="4" t="s">
        <v>300</v>
      </c>
      <c r="D14" s="4" t="s">
        <v>227</v>
      </c>
      <c r="E14" s="5">
        <v>928356</v>
      </c>
      <c r="F14" s="6">
        <v>9296.5569840000007</v>
      </c>
      <c r="G14" s="7">
        <v>2.9832397E-2</v>
      </c>
      <c r="H14" s="53"/>
      <c r="I14" s="53"/>
      <c r="K14" s="80"/>
      <c r="L14" s="80"/>
      <c r="M14" s="80"/>
      <c r="N14" s="80"/>
      <c r="O14" s="80"/>
    </row>
    <row r="15" spans="1:15" ht="17.100000000000001" customHeight="1" x14ac:dyDescent="0.2">
      <c r="A15" s="3">
        <v>9</v>
      </c>
      <c r="B15" s="4" t="s">
        <v>11</v>
      </c>
      <c r="C15" s="4" t="s">
        <v>12</v>
      </c>
      <c r="D15" s="4" t="s">
        <v>13</v>
      </c>
      <c r="E15" s="5">
        <v>425000</v>
      </c>
      <c r="F15" s="6">
        <v>8864.65</v>
      </c>
      <c r="G15" s="7">
        <v>2.8446419000000001E-2</v>
      </c>
      <c r="H15" s="53"/>
      <c r="I15" s="53"/>
      <c r="K15" s="80"/>
      <c r="L15" s="80"/>
      <c r="M15" s="80"/>
      <c r="N15" s="80"/>
      <c r="O15" s="80"/>
    </row>
    <row r="16" spans="1:15" ht="17.100000000000001" customHeight="1" x14ac:dyDescent="0.2">
      <c r="A16" s="3">
        <v>10</v>
      </c>
      <c r="B16" s="4" t="s">
        <v>181</v>
      </c>
      <c r="C16" s="4" t="s">
        <v>182</v>
      </c>
      <c r="D16" s="4" t="s">
        <v>19</v>
      </c>
      <c r="E16" s="5">
        <v>840000</v>
      </c>
      <c r="F16" s="6">
        <v>7843.5</v>
      </c>
      <c r="G16" s="7">
        <v>2.5169576999999999E-2</v>
      </c>
      <c r="H16" s="53"/>
      <c r="I16" s="53"/>
      <c r="K16" s="80"/>
      <c r="L16" s="80"/>
      <c r="M16" s="80"/>
      <c r="N16" s="80"/>
      <c r="O16" s="80"/>
    </row>
    <row r="17" spans="1:15" ht="17.100000000000001" customHeight="1" x14ac:dyDescent="0.2">
      <c r="A17" s="3">
        <v>11</v>
      </c>
      <c r="B17" s="4" t="s">
        <v>185</v>
      </c>
      <c r="C17" s="4" t="s">
        <v>186</v>
      </c>
      <c r="D17" s="4" t="s">
        <v>187</v>
      </c>
      <c r="E17" s="5">
        <v>575000</v>
      </c>
      <c r="F17" s="6">
        <v>7604.6625000000004</v>
      </c>
      <c r="G17" s="7">
        <v>2.4403154E-2</v>
      </c>
      <c r="H17" s="53"/>
      <c r="I17" s="53"/>
      <c r="K17" s="80"/>
      <c r="L17" s="80"/>
      <c r="M17" s="80"/>
      <c r="N17" s="80"/>
      <c r="O17" s="80"/>
    </row>
    <row r="18" spans="1:15" ht="17.100000000000001" customHeight="1" x14ac:dyDescent="0.2">
      <c r="A18" s="3">
        <v>12</v>
      </c>
      <c r="B18" s="4" t="s">
        <v>295</v>
      </c>
      <c r="C18" s="4" t="s">
        <v>296</v>
      </c>
      <c r="D18" s="4" t="s">
        <v>248</v>
      </c>
      <c r="E18" s="5">
        <v>543096</v>
      </c>
      <c r="F18" s="6">
        <v>6687.1410480000004</v>
      </c>
      <c r="G18" s="7">
        <v>2.1458853E-2</v>
      </c>
      <c r="H18" s="53"/>
      <c r="I18" s="53"/>
      <c r="K18" s="80"/>
      <c r="L18" s="80"/>
      <c r="M18" s="80"/>
      <c r="N18" s="80"/>
      <c r="O18" s="80"/>
    </row>
    <row r="19" spans="1:15" ht="17.100000000000001" customHeight="1" x14ac:dyDescent="0.2">
      <c r="A19" s="3">
        <v>13</v>
      </c>
      <c r="B19" s="4" t="s">
        <v>583</v>
      </c>
      <c r="C19" s="4" t="s">
        <v>584</v>
      </c>
      <c r="D19" s="4" t="s">
        <v>187</v>
      </c>
      <c r="E19" s="5">
        <v>641000</v>
      </c>
      <c r="F19" s="6">
        <v>5625.0955000000004</v>
      </c>
      <c r="G19" s="7">
        <v>1.8050778E-2</v>
      </c>
      <c r="H19" s="53"/>
      <c r="I19" s="53"/>
      <c r="K19" s="80"/>
      <c r="L19" s="80"/>
      <c r="M19" s="80"/>
      <c r="N19" s="80"/>
      <c r="O19" s="80"/>
    </row>
    <row r="20" spans="1:15" ht="29.1" customHeight="1" x14ac:dyDescent="0.2">
      <c r="A20" s="3">
        <v>14</v>
      </c>
      <c r="B20" s="4" t="s">
        <v>481</v>
      </c>
      <c r="C20" s="4" t="s">
        <v>482</v>
      </c>
      <c r="D20" s="4" t="s">
        <v>227</v>
      </c>
      <c r="E20" s="5">
        <v>471000</v>
      </c>
      <c r="F20" s="6">
        <v>5067.7245000000003</v>
      </c>
      <c r="G20" s="7">
        <v>1.6262189E-2</v>
      </c>
      <c r="H20" s="53"/>
      <c r="I20" s="53"/>
      <c r="K20" s="80"/>
      <c r="L20" s="80"/>
      <c r="M20" s="80"/>
      <c r="N20" s="80"/>
      <c r="O20" s="80"/>
    </row>
    <row r="21" spans="1:15" ht="17.100000000000001" customHeight="1" x14ac:dyDescent="0.2">
      <c r="A21" s="3">
        <v>15</v>
      </c>
      <c r="B21" s="4" t="s">
        <v>420</v>
      </c>
      <c r="C21" s="4" t="s">
        <v>421</v>
      </c>
      <c r="D21" s="4" t="s">
        <v>224</v>
      </c>
      <c r="E21" s="5">
        <v>515000</v>
      </c>
      <c r="F21" s="6">
        <v>4066.44</v>
      </c>
      <c r="G21" s="7">
        <v>1.3049095E-2</v>
      </c>
      <c r="H21" s="53"/>
      <c r="I21" s="53"/>
      <c r="K21" s="80"/>
      <c r="L21" s="80"/>
      <c r="M21" s="80"/>
      <c r="N21" s="80"/>
      <c r="O21" s="80"/>
    </row>
    <row r="22" spans="1:15" ht="17.100000000000001" customHeight="1" x14ac:dyDescent="0.2">
      <c r="A22" s="3">
        <v>16</v>
      </c>
      <c r="B22" s="4" t="s">
        <v>261</v>
      </c>
      <c r="C22" s="4" t="s">
        <v>262</v>
      </c>
      <c r="D22" s="4" t="s">
        <v>119</v>
      </c>
      <c r="E22" s="5">
        <v>262500</v>
      </c>
      <c r="F22" s="6">
        <v>4063.1062499999998</v>
      </c>
      <c r="G22" s="7">
        <v>1.3038397E-2</v>
      </c>
      <c r="H22" s="53"/>
      <c r="I22" s="53"/>
      <c r="K22" s="80"/>
      <c r="L22" s="80"/>
      <c r="M22" s="80"/>
      <c r="N22" s="80"/>
      <c r="O22" s="80"/>
    </row>
    <row r="23" spans="1:15" ht="17.100000000000001" customHeight="1" x14ac:dyDescent="0.2">
      <c r="A23" s="3">
        <v>17</v>
      </c>
      <c r="B23" s="4" t="s">
        <v>389</v>
      </c>
      <c r="C23" s="4" t="s">
        <v>390</v>
      </c>
      <c r="D23" s="4" t="s">
        <v>119</v>
      </c>
      <c r="E23" s="5">
        <v>500363</v>
      </c>
      <c r="F23" s="6">
        <v>3660.9058894999998</v>
      </c>
      <c r="G23" s="7">
        <v>1.1747746999999999E-2</v>
      </c>
      <c r="H23" s="53"/>
      <c r="I23" s="53"/>
      <c r="K23" s="80"/>
      <c r="L23" s="80"/>
      <c r="M23" s="80"/>
      <c r="N23" s="80"/>
      <c r="O23" s="80"/>
    </row>
    <row r="24" spans="1:15" ht="17.100000000000001" customHeight="1" x14ac:dyDescent="0.2">
      <c r="A24" s="3">
        <v>18</v>
      </c>
      <c r="B24" s="4" t="s">
        <v>327</v>
      </c>
      <c r="C24" s="4" t="s">
        <v>328</v>
      </c>
      <c r="D24" s="4" t="s">
        <v>19</v>
      </c>
      <c r="E24" s="5">
        <v>290005</v>
      </c>
      <c r="F24" s="6">
        <v>3538.351005</v>
      </c>
      <c r="G24" s="7">
        <v>1.1354471999999999E-2</v>
      </c>
      <c r="H24" s="53"/>
      <c r="I24" s="53"/>
      <c r="K24" s="80"/>
      <c r="L24" s="80"/>
      <c r="M24" s="80"/>
      <c r="N24" s="80"/>
      <c r="O24" s="80"/>
    </row>
    <row r="25" spans="1:15" ht="17.100000000000001" customHeight="1" x14ac:dyDescent="0.2">
      <c r="A25" s="3">
        <v>19</v>
      </c>
      <c r="B25" s="4" t="s">
        <v>70</v>
      </c>
      <c r="C25" s="4" t="s">
        <v>71</v>
      </c>
      <c r="D25" s="4" t="s">
        <v>72</v>
      </c>
      <c r="E25" s="5">
        <v>42000</v>
      </c>
      <c r="F25" s="6">
        <v>3525.732</v>
      </c>
      <c r="G25" s="7">
        <v>1.1313978000000001E-2</v>
      </c>
      <c r="H25" s="53"/>
      <c r="I25" s="53"/>
      <c r="K25" s="80"/>
      <c r="L25" s="80"/>
      <c r="M25" s="80"/>
      <c r="N25" s="80"/>
      <c r="O25" s="80"/>
    </row>
    <row r="26" spans="1:15" ht="17.100000000000001" customHeight="1" x14ac:dyDescent="0.2">
      <c r="A26" s="3">
        <v>20</v>
      </c>
      <c r="B26" s="4" t="s">
        <v>85</v>
      </c>
      <c r="C26" s="4" t="s">
        <v>86</v>
      </c>
      <c r="D26" s="4" t="s">
        <v>87</v>
      </c>
      <c r="E26" s="5">
        <v>125000</v>
      </c>
      <c r="F26" s="6">
        <v>3433.3125</v>
      </c>
      <c r="G26" s="7">
        <v>1.1017406E-2</v>
      </c>
      <c r="H26" s="53"/>
      <c r="I26" s="53"/>
      <c r="K26" s="80"/>
      <c r="L26" s="80"/>
      <c r="M26" s="80"/>
      <c r="N26" s="80"/>
      <c r="O26" s="80"/>
    </row>
    <row r="27" spans="1:15" ht="17.100000000000001" customHeight="1" x14ac:dyDescent="0.2">
      <c r="A27" s="3">
        <v>21</v>
      </c>
      <c r="B27" s="4" t="s">
        <v>697</v>
      </c>
      <c r="C27" s="4" t="s">
        <v>698</v>
      </c>
      <c r="D27" s="4" t="s">
        <v>72</v>
      </c>
      <c r="E27" s="5">
        <v>100802</v>
      </c>
      <c r="F27" s="6">
        <v>3253.636555</v>
      </c>
      <c r="G27" s="7">
        <v>1.0440830999999999E-2</v>
      </c>
      <c r="H27" s="53"/>
      <c r="I27" s="53"/>
      <c r="K27" s="80"/>
      <c r="L27" s="80"/>
      <c r="M27" s="80"/>
      <c r="N27" s="80"/>
      <c r="O27" s="80"/>
    </row>
    <row r="28" spans="1:15" ht="17.100000000000001" customHeight="1" x14ac:dyDescent="0.2">
      <c r="A28" s="3">
        <v>22</v>
      </c>
      <c r="B28" s="4" t="s">
        <v>183</v>
      </c>
      <c r="C28" s="4" t="s">
        <v>184</v>
      </c>
      <c r="D28" s="4" t="s">
        <v>119</v>
      </c>
      <c r="E28" s="5">
        <v>221175</v>
      </c>
      <c r="F28" s="6">
        <v>3045.3585750000002</v>
      </c>
      <c r="G28" s="7">
        <v>9.7724720000000008E-3</v>
      </c>
      <c r="H28" s="53"/>
      <c r="I28" s="53"/>
      <c r="K28" s="80"/>
      <c r="L28" s="80"/>
      <c r="M28" s="80"/>
      <c r="N28" s="80"/>
      <c r="O28" s="80"/>
    </row>
    <row r="29" spans="1:15" ht="17.100000000000001" customHeight="1" x14ac:dyDescent="0.2">
      <c r="A29" s="3">
        <v>23</v>
      </c>
      <c r="B29" s="4" t="s">
        <v>242</v>
      </c>
      <c r="C29" s="4" t="s">
        <v>243</v>
      </c>
      <c r="D29" s="4" t="s">
        <v>33</v>
      </c>
      <c r="E29" s="5">
        <v>155000</v>
      </c>
      <c r="F29" s="6">
        <v>3044.0450000000001</v>
      </c>
      <c r="G29" s="7">
        <v>9.7682570000000007E-3</v>
      </c>
      <c r="H29" s="53"/>
      <c r="I29" s="53"/>
    </row>
    <row r="30" spans="1:15" ht="17.100000000000001" customHeight="1" x14ac:dyDescent="0.2">
      <c r="A30" s="3">
        <v>24</v>
      </c>
      <c r="B30" s="4" t="s">
        <v>220</v>
      </c>
      <c r="C30" s="4" t="s">
        <v>221</v>
      </c>
      <c r="D30" s="4" t="s">
        <v>187</v>
      </c>
      <c r="E30" s="5">
        <v>176400</v>
      </c>
      <c r="F30" s="6">
        <v>2998.4472000000001</v>
      </c>
      <c r="G30" s="7">
        <v>9.6219349999999999E-3</v>
      </c>
      <c r="H30" s="53"/>
      <c r="I30" s="53"/>
    </row>
    <row r="31" spans="1:15" ht="29.1" customHeight="1" x14ac:dyDescent="0.2">
      <c r="A31" s="3">
        <v>25</v>
      </c>
      <c r="B31" s="4" t="s">
        <v>215</v>
      </c>
      <c r="C31" s="4" t="s">
        <v>216</v>
      </c>
      <c r="D31" s="4" t="s">
        <v>204</v>
      </c>
      <c r="E31" s="5">
        <v>85000</v>
      </c>
      <c r="F31" s="6">
        <v>2906.915</v>
      </c>
      <c r="G31" s="7">
        <v>9.3282109999999994E-3</v>
      </c>
      <c r="H31" s="53"/>
      <c r="I31" s="53"/>
    </row>
    <row r="32" spans="1:15" ht="53.1" customHeight="1" x14ac:dyDescent="0.2">
      <c r="A32" s="3">
        <v>26</v>
      </c>
      <c r="B32" s="4" t="s">
        <v>46</v>
      </c>
      <c r="C32" s="4" t="s">
        <v>47</v>
      </c>
      <c r="D32" s="4" t="s">
        <v>48</v>
      </c>
      <c r="E32" s="5">
        <v>2000000</v>
      </c>
      <c r="F32" s="6">
        <v>2868</v>
      </c>
      <c r="G32" s="7">
        <v>9.2033340000000005E-3</v>
      </c>
      <c r="H32" s="53"/>
      <c r="I32" s="53"/>
    </row>
    <row r="33" spans="1:9" ht="17.100000000000001" customHeight="1" x14ac:dyDescent="0.2">
      <c r="A33" s="3">
        <v>27</v>
      </c>
      <c r="B33" s="4" t="s">
        <v>679</v>
      </c>
      <c r="C33" s="4" t="s">
        <v>680</v>
      </c>
      <c r="D33" s="4" t="s">
        <v>278</v>
      </c>
      <c r="E33" s="5">
        <v>320000</v>
      </c>
      <c r="F33" s="6">
        <v>2796.96</v>
      </c>
      <c r="G33" s="7">
        <v>8.9753679999999992E-3</v>
      </c>
      <c r="H33" s="53"/>
      <c r="I33" s="53"/>
    </row>
    <row r="34" spans="1:9" ht="29.1" customHeight="1" x14ac:dyDescent="0.2">
      <c r="A34" s="3">
        <v>28</v>
      </c>
      <c r="B34" s="4" t="s">
        <v>81</v>
      </c>
      <c r="C34" s="4" t="s">
        <v>82</v>
      </c>
      <c r="D34" s="4" t="s">
        <v>25</v>
      </c>
      <c r="E34" s="5">
        <v>500000</v>
      </c>
      <c r="F34" s="6">
        <v>2620.5</v>
      </c>
      <c r="G34" s="7">
        <v>8.4091129999999993E-3</v>
      </c>
      <c r="H34" s="53"/>
      <c r="I34" s="53"/>
    </row>
    <row r="35" spans="1:9" ht="29.1" customHeight="1" x14ac:dyDescent="0.2">
      <c r="A35" s="3">
        <v>29</v>
      </c>
      <c r="B35" s="4" t="s">
        <v>191</v>
      </c>
      <c r="C35" s="4" t="s">
        <v>192</v>
      </c>
      <c r="D35" s="4" t="s">
        <v>116</v>
      </c>
      <c r="E35" s="5">
        <v>775000</v>
      </c>
      <c r="F35" s="6">
        <v>2607.4875000000002</v>
      </c>
      <c r="G35" s="7">
        <v>8.3673559999999994E-3</v>
      </c>
      <c r="H35" s="53"/>
      <c r="I35" s="53"/>
    </row>
    <row r="36" spans="1:9" ht="29.1" customHeight="1" x14ac:dyDescent="0.2">
      <c r="A36" s="3">
        <v>30</v>
      </c>
      <c r="B36" s="4" t="s">
        <v>673</v>
      </c>
      <c r="C36" s="4" t="s">
        <v>674</v>
      </c>
      <c r="D36" s="4" t="s">
        <v>278</v>
      </c>
      <c r="E36" s="5">
        <v>17000</v>
      </c>
      <c r="F36" s="6">
        <v>2471.1115</v>
      </c>
      <c r="G36" s="7">
        <v>7.9297289999999999E-3</v>
      </c>
      <c r="H36" s="53"/>
      <c r="I36" s="53"/>
    </row>
    <row r="37" spans="1:9" ht="17.100000000000001" customHeight="1" x14ac:dyDescent="0.2">
      <c r="A37" s="3">
        <v>31</v>
      </c>
      <c r="B37" s="4" t="s">
        <v>297</v>
      </c>
      <c r="C37" s="4" t="s">
        <v>298</v>
      </c>
      <c r="D37" s="4" t="s">
        <v>900</v>
      </c>
      <c r="E37" s="5">
        <v>75601</v>
      </c>
      <c r="F37" s="6">
        <v>2462.0977670000002</v>
      </c>
      <c r="G37" s="7">
        <v>7.9008040000000009E-3</v>
      </c>
      <c r="H37" s="53"/>
      <c r="I37" s="53"/>
    </row>
    <row r="38" spans="1:9" ht="29.1" customHeight="1" x14ac:dyDescent="0.2">
      <c r="A38" s="3">
        <v>32</v>
      </c>
      <c r="B38" s="4" t="s">
        <v>257</v>
      </c>
      <c r="C38" s="4" t="s">
        <v>258</v>
      </c>
      <c r="D38" s="4" t="s">
        <v>227</v>
      </c>
      <c r="E38" s="5">
        <v>151887</v>
      </c>
      <c r="F38" s="6">
        <v>2394.5744985000001</v>
      </c>
      <c r="G38" s="7">
        <v>7.6841239999999996E-3</v>
      </c>
      <c r="H38" s="53"/>
      <c r="I38" s="53"/>
    </row>
    <row r="39" spans="1:9" ht="17.100000000000001" customHeight="1" x14ac:dyDescent="0.2">
      <c r="A39" s="3">
        <v>33</v>
      </c>
      <c r="B39" s="4" t="s">
        <v>306</v>
      </c>
      <c r="C39" s="4" t="s">
        <v>307</v>
      </c>
      <c r="D39" s="4" t="s">
        <v>72</v>
      </c>
      <c r="E39" s="5">
        <v>170000</v>
      </c>
      <c r="F39" s="6">
        <v>2123.64</v>
      </c>
      <c r="G39" s="7">
        <v>6.8147030000000001E-3</v>
      </c>
      <c r="H39" s="53"/>
      <c r="I39" s="53"/>
    </row>
    <row r="40" spans="1:9" ht="29.1" customHeight="1" x14ac:dyDescent="0.2">
      <c r="A40" s="3">
        <v>34</v>
      </c>
      <c r="B40" s="4" t="s">
        <v>117</v>
      </c>
      <c r="C40" s="4" t="s">
        <v>118</v>
      </c>
      <c r="D40" s="4" t="s">
        <v>119</v>
      </c>
      <c r="E40" s="5">
        <v>250000</v>
      </c>
      <c r="F40" s="6">
        <v>1807.25</v>
      </c>
      <c r="G40" s="7">
        <v>5.7994159999999999E-3</v>
      </c>
      <c r="H40" s="53"/>
      <c r="I40" s="53"/>
    </row>
    <row r="41" spans="1:9" ht="17.100000000000001" customHeight="1" x14ac:dyDescent="0.2">
      <c r="A41" s="3">
        <v>35</v>
      </c>
      <c r="B41" s="4" t="s">
        <v>316</v>
      </c>
      <c r="C41" s="4" t="s">
        <v>317</v>
      </c>
      <c r="D41" s="4" t="s">
        <v>900</v>
      </c>
      <c r="E41" s="5">
        <v>455339</v>
      </c>
      <c r="F41" s="6">
        <v>1788.3439225</v>
      </c>
      <c r="G41" s="7">
        <v>5.7387469999999998E-3</v>
      </c>
      <c r="H41" s="53"/>
      <c r="I41" s="53"/>
    </row>
    <row r="42" spans="1:9" ht="17.100000000000001" customHeight="1" x14ac:dyDescent="0.2">
      <c r="A42" s="3">
        <v>36</v>
      </c>
      <c r="B42" s="4" t="s">
        <v>336</v>
      </c>
      <c r="C42" s="4" t="s">
        <v>337</v>
      </c>
      <c r="D42" s="4" t="s">
        <v>19</v>
      </c>
      <c r="E42" s="5">
        <v>530000</v>
      </c>
      <c r="F42" s="6">
        <v>1766.49</v>
      </c>
      <c r="G42" s="7">
        <v>5.6686180000000003E-3</v>
      </c>
      <c r="H42" s="53"/>
      <c r="I42" s="53"/>
    </row>
    <row r="43" spans="1:9" ht="17.100000000000001" customHeight="1" x14ac:dyDescent="0.2">
      <c r="A43" s="3">
        <v>37</v>
      </c>
      <c r="B43" s="4" t="s">
        <v>103</v>
      </c>
      <c r="C43" s="4" t="s">
        <v>104</v>
      </c>
      <c r="D43" s="4" t="s">
        <v>105</v>
      </c>
      <c r="E43" s="5">
        <v>370000</v>
      </c>
      <c r="F43" s="6">
        <v>1751.395</v>
      </c>
      <c r="G43" s="7">
        <v>5.6201790000000003E-3</v>
      </c>
      <c r="H43" s="53"/>
      <c r="I43" s="53"/>
    </row>
    <row r="44" spans="1:9" ht="29.1" customHeight="1" x14ac:dyDescent="0.2">
      <c r="A44" s="3">
        <v>38</v>
      </c>
      <c r="B44" s="4" t="s">
        <v>485</v>
      </c>
      <c r="C44" s="4" t="s">
        <v>486</v>
      </c>
      <c r="D44" s="4" t="s">
        <v>430</v>
      </c>
      <c r="E44" s="5">
        <v>220000</v>
      </c>
      <c r="F44" s="6">
        <v>1687.29</v>
      </c>
      <c r="G44" s="7">
        <v>5.4144670000000001E-3</v>
      </c>
      <c r="H44" s="53"/>
      <c r="I44" s="53"/>
    </row>
    <row r="45" spans="1:9" ht="29.1" customHeight="1" x14ac:dyDescent="0.2">
      <c r="A45" s="3">
        <v>39</v>
      </c>
      <c r="B45" s="4" t="s">
        <v>249</v>
      </c>
      <c r="C45" s="4" t="s">
        <v>250</v>
      </c>
      <c r="D45" s="4" t="s">
        <v>227</v>
      </c>
      <c r="E45" s="5">
        <v>400000</v>
      </c>
      <c r="F45" s="6">
        <v>1679.8</v>
      </c>
      <c r="G45" s="7">
        <v>5.3904319999999997E-3</v>
      </c>
      <c r="H45" s="53"/>
      <c r="I45" s="53"/>
    </row>
    <row r="46" spans="1:9" ht="29.1" customHeight="1" x14ac:dyDescent="0.2">
      <c r="A46" s="3">
        <v>40</v>
      </c>
      <c r="B46" s="4" t="s">
        <v>202</v>
      </c>
      <c r="C46" s="4" t="s">
        <v>203</v>
      </c>
      <c r="D46" s="4" t="s">
        <v>204</v>
      </c>
      <c r="E46" s="5">
        <v>175000</v>
      </c>
      <c r="F46" s="6">
        <v>1552.5125</v>
      </c>
      <c r="G46" s="7">
        <v>4.9819699999999996E-3</v>
      </c>
      <c r="H46" s="53"/>
      <c r="I46" s="53"/>
    </row>
    <row r="47" spans="1:9" ht="17.100000000000001" customHeight="1" x14ac:dyDescent="0.2">
      <c r="A47" s="3">
        <v>41</v>
      </c>
      <c r="B47" s="4" t="s">
        <v>263</v>
      </c>
      <c r="C47" s="4" t="s">
        <v>264</v>
      </c>
      <c r="D47" s="4" t="s">
        <v>265</v>
      </c>
      <c r="E47" s="5">
        <v>166000</v>
      </c>
      <c r="F47" s="6">
        <v>1510.1849999999999</v>
      </c>
      <c r="G47" s="7">
        <v>4.8461420000000003E-3</v>
      </c>
      <c r="H47" s="53"/>
      <c r="I47" s="53"/>
    </row>
    <row r="48" spans="1:9" ht="17.100000000000001" customHeight="1" x14ac:dyDescent="0.2">
      <c r="A48" s="3">
        <v>42</v>
      </c>
      <c r="B48" s="4" t="s">
        <v>26</v>
      </c>
      <c r="C48" s="4" t="s">
        <v>27</v>
      </c>
      <c r="D48" s="4" t="s">
        <v>28</v>
      </c>
      <c r="E48" s="5">
        <v>900000</v>
      </c>
      <c r="F48" s="6">
        <v>1498.05</v>
      </c>
      <c r="G48" s="7">
        <v>4.8072009999999997E-3</v>
      </c>
      <c r="H48" s="53"/>
      <c r="I48" s="53"/>
    </row>
    <row r="49" spans="1:9" ht="29.1" customHeight="1" x14ac:dyDescent="0.2">
      <c r="A49" s="3">
        <v>43</v>
      </c>
      <c r="B49" s="4" t="s">
        <v>23</v>
      </c>
      <c r="C49" s="4" t="s">
        <v>24</v>
      </c>
      <c r="D49" s="4" t="s">
        <v>25</v>
      </c>
      <c r="E49" s="5">
        <v>21379</v>
      </c>
      <c r="F49" s="6">
        <v>1487.7752995000001</v>
      </c>
      <c r="G49" s="7">
        <v>4.77423E-3</v>
      </c>
      <c r="H49" s="53"/>
      <c r="I49" s="53"/>
    </row>
    <row r="50" spans="1:9" ht="53.1" customHeight="1" x14ac:dyDescent="0.2">
      <c r="A50" s="3">
        <v>44</v>
      </c>
      <c r="B50" s="4" t="s">
        <v>90</v>
      </c>
      <c r="C50" s="4" t="s">
        <v>91</v>
      </c>
      <c r="D50" s="4" t="s">
        <v>48</v>
      </c>
      <c r="E50" s="5">
        <v>80000</v>
      </c>
      <c r="F50" s="6">
        <v>1174.6400000000001</v>
      </c>
      <c r="G50" s="7">
        <v>3.7693879999999998E-3</v>
      </c>
      <c r="H50" s="53"/>
      <c r="I50" s="53"/>
    </row>
    <row r="51" spans="1:9" ht="17.100000000000001" customHeight="1" x14ac:dyDescent="0.2">
      <c r="A51" s="3">
        <v>45</v>
      </c>
      <c r="B51" s="4" t="s">
        <v>253</v>
      </c>
      <c r="C51" s="4" t="s">
        <v>254</v>
      </c>
      <c r="D51" s="4" t="s">
        <v>119</v>
      </c>
      <c r="E51" s="5">
        <v>207500</v>
      </c>
      <c r="F51" s="6">
        <v>1142.3912499999999</v>
      </c>
      <c r="G51" s="7">
        <v>3.665902E-3</v>
      </c>
      <c r="H51" s="53"/>
      <c r="I51" s="53"/>
    </row>
    <row r="52" spans="1:9" ht="17.100000000000001" customHeight="1" x14ac:dyDescent="0.2">
      <c r="A52" s="3">
        <v>46</v>
      </c>
      <c r="B52" s="4" t="s">
        <v>329</v>
      </c>
      <c r="C52" s="4" t="s">
        <v>330</v>
      </c>
      <c r="D52" s="4" t="s">
        <v>19</v>
      </c>
      <c r="E52" s="5">
        <v>60010</v>
      </c>
      <c r="F52" s="6">
        <v>1096.532725</v>
      </c>
      <c r="G52" s="7">
        <v>3.5187439999999999E-3</v>
      </c>
      <c r="H52" s="53"/>
      <c r="I52" s="53"/>
    </row>
    <row r="53" spans="1:9" ht="17.100000000000001" customHeight="1" x14ac:dyDescent="0.2">
      <c r="A53" s="3">
        <v>47</v>
      </c>
      <c r="B53" s="4" t="s">
        <v>232</v>
      </c>
      <c r="C53" s="4" t="s">
        <v>233</v>
      </c>
      <c r="D53" s="4" t="s">
        <v>234</v>
      </c>
      <c r="E53" s="5">
        <v>452752</v>
      </c>
      <c r="F53" s="6">
        <v>1086.8311759999999</v>
      </c>
      <c r="G53" s="7">
        <v>3.4876120000000002E-3</v>
      </c>
      <c r="H53" s="53"/>
      <c r="I53" s="53"/>
    </row>
    <row r="54" spans="1:9" ht="17.100000000000001" customHeight="1" x14ac:dyDescent="0.2">
      <c r="A54" s="3">
        <v>48</v>
      </c>
      <c r="B54" s="4" t="s">
        <v>268</v>
      </c>
      <c r="C54" s="4" t="s">
        <v>269</v>
      </c>
      <c r="D54" s="4" t="s">
        <v>87</v>
      </c>
      <c r="E54" s="5">
        <v>160000</v>
      </c>
      <c r="F54" s="6">
        <v>833.92</v>
      </c>
      <c r="G54" s="7">
        <v>2.6760260000000002E-3</v>
      </c>
      <c r="H54" s="53"/>
      <c r="I54" s="53"/>
    </row>
    <row r="55" spans="1:9" ht="29.1" customHeight="1" x14ac:dyDescent="0.2">
      <c r="A55" s="3">
        <v>49</v>
      </c>
      <c r="B55" s="4" t="s">
        <v>58</v>
      </c>
      <c r="C55" s="4" t="s">
        <v>59</v>
      </c>
      <c r="D55" s="4" t="s">
        <v>60</v>
      </c>
      <c r="E55" s="5">
        <v>97208</v>
      </c>
      <c r="F55" s="6">
        <v>795.25864799999999</v>
      </c>
      <c r="G55" s="7">
        <v>2.551963E-3</v>
      </c>
      <c r="H55" s="53"/>
      <c r="I55" s="53"/>
    </row>
    <row r="56" spans="1:9" ht="17.100000000000001" customHeight="1" x14ac:dyDescent="0.2">
      <c r="A56" s="3">
        <v>50</v>
      </c>
      <c r="B56" s="4" t="s">
        <v>127</v>
      </c>
      <c r="C56" s="4" t="s">
        <v>128</v>
      </c>
      <c r="D56" s="4" t="s">
        <v>119</v>
      </c>
      <c r="E56" s="5">
        <v>80000</v>
      </c>
      <c r="F56" s="6">
        <v>181.048</v>
      </c>
      <c r="G56" s="7">
        <v>5.8097800000000001E-4</v>
      </c>
      <c r="H56" s="53"/>
      <c r="I56" s="53"/>
    </row>
    <row r="57" spans="1:9" ht="17.100000000000001" customHeight="1" x14ac:dyDescent="0.2">
      <c r="A57" s="3">
        <v>51</v>
      </c>
      <c r="B57" s="4" t="s">
        <v>213</v>
      </c>
      <c r="C57" s="4" t="s">
        <v>214</v>
      </c>
      <c r="D57" s="4" t="s">
        <v>116</v>
      </c>
      <c r="E57" s="5">
        <v>110000</v>
      </c>
      <c r="F57" s="6">
        <v>139.20500000000001</v>
      </c>
      <c r="G57" s="7">
        <v>4.4670499999999999E-4</v>
      </c>
      <c r="H57" s="53"/>
      <c r="I57" s="53"/>
    </row>
    <row r="58" spans="1:9" ht="14.1" customHeight="1" x14ac:dyDescent="0.2">
      <c r="A58" s="1"/>
      <c r="B58" s="1"/>
      <c r="C58" s="2" t="s">
        <v>132</v>
      </c>
      <c r="D58" s="1"/>
      <c r="E58" s="1" t="s">
        <v>133</v>
      </c>
      <c r="F58" s="9">
        <v>235155.89357699998</v>
      </c>
      <c r="G58" s="10">
        <v>0.75460883099999998</v>
      </c>
      <c r="H58" s="53"/>
      <c r="I58" s="53"/>
    </row>
    <row r="59" spans="1:9" ht="14.1" customHeight="1" x14ac:dyDescent="0.2">
      <c r="A59" s="1"/>
      <c r="B59" s="1"/>
      <c r="C59" s="11"/>
      <c r="D59" s="1"/>
      <c r="E59" s="1"/>
      <c r="F59" s="12"/>
      <c r="G59" s="12"/>
      <c r="H59" s="53"/>
      <c r="I59" s="53"/>
    </row>
    <row r="60" spans="1:9" ht="14.1" customHeight="1" x14ac:dyDescent="0.2">
      <c r="A60" s="1"/>
      <c r="B60" s="1"/>
      <c r="C60" s="2" t="s">
        <v>134</v>
      </c>
      <c r="D60" s="1"/>
      <c r="E60" s="1"/>
      <c r="F60" s="1"/>
      <c r="G60" s="1"/>
      <c r="H60" s="53"/>
      <c r="I60" s="53"/>
    </row>
    <row r="61" spans="1:9" ht="14.1" customHeight="1" x14ac:dyDescent="0.2">
      <c r="A61" s="1"/>
      <c r="B61" s="1"/>
      <c r="C61" s="2" t="s">
        <v>132</v>
      </c>
      <c r="D61" s="1"/>
      <c r="E61" s="1" t="s">
        <v>133</v>
      </c>
      <c r="F61" s="13">
        <v>0</v>
      </c>
      <c r="G61" s="14">
        <v>0</v>
      </c>
      <c r="H61" s="53"/>
      <c r="I61" s="53"/>
    </row>
    <row r="62" spans="1:9" ht="14.1" customHeight="1" x14ac:dyDescent="0.2">
      <c r="A62" s="1"/>
      <c r="B62" s="1"/>
      <c r="C62" s="11"/>
      <c r="D62" s="1"/>
      <c r="E62" s="1"/>
      <c r="F62" s="12"/>
      <c r="G62" s="12"/>
      <c r="H62" s="53"/>
      <c r="I62" s="53"/>
    </row>
    <row r="63" spans="1:9" ht="14.1" customHeight="1" x14ac:dyDescent="0.2">
      <c r="A63" s="1"/>
      <c r="B63" s="1"/>
      <c r="C63" s="2" t="s">
        <v>135</v>
      </c>
      <c r="D63" s="1"/>
      <c r="E63" s="1"/>
      <c r="F63" s="1"/>
      <c r="G63" s="1"/>
      <c r="H63" s="53"/>
      <c r="I63" s="53"/>
    </row>
    <row r="64" spans="1:9" ht="29.1" customHeight="1" x14ac:dyDescent="0.2">
      <c r="A64" s="3">
        <v>1</v>
      </c>
      <c r="B64" s="4" t="s">
        <v>621</v>
      </c>
      <c r="C64" s="43" t="s">
        <v>966</v>
      </c>
      <c r="D64" s="4" t="s">
        <v>622</v>
      </c>
      <c r="E64" s="5">
        <v>30579</v>
      </c>
      <c r="F64" s="6">
        <v>1.6176291</v>
      </c>
      <c r="G64" s="8" t="s">
        <v>131</v>
      </c>
      <c r="H64" s="53"/>
      <c r="I64" s="53"/>
    </row>
    <row r="65" spans="1:9" ht="14.1" customHeight="1" x14ac:dyDescent="0.2">
      <c r="A65" s="1"/>
      <c r="B65" s="1"/>
      <c r="C65" s="2" t="s">
        <v>132</v>
      </c>
      <c r="D65" s="1"/>
      <c r="E65" s="1" t="s">
        <v>133</v>
      </c>
      <c r="F65" s="13">
        <v>1.6176291</v>
      </c>
      <c r="G65" s="14">
        <v>0</v>
      </c>
      <c r="H65" s="53"/>
      <c r="I65" s="53"/>
    </row>
    <row r="66" spans="1:9" ht="14.1" customHeight="1" x14ac:dyDescent="0.2">
      <c r="A66" s="1"/>
      <c r="B66" s="1"/>
      <c r="C66" s="11"/>
      <c r="D66" s="1"/>
      <c r="E66" s="1"/>
      <c r="F66" s="12"/>
      <c r="G66" s="12"/>
      <c r="H66" s="53"/>
      <c r="I66" s="53"/>
    </row>
    <row r="67" spans="1:9" ht="14.1" customHeight="1" x14ac:dyDescent="0.2">
      <c r="A67" s="1"/>
      <c r="B67" s="1"/>
      <c r="C67" s="2" t="s">
        <v>136</v>
      </c>
      <c r="D67" s="1"/>
      <c r="E67" s="1"/>
      <c r="F67" s="1"/>
      <c r="G67" s="1"/>
      <c r="H67" s="53"/>
      <c r="I67" s="53"/>
    </row>
    <row r="68" spans="1:9" ht="17.100000000000001" customHeight="1" x14ac:dyDescent="0.2">
      <c r="A68" s="3">
        <v>1</v>
      </c>
      <c r="B68" s="4" t="s">
        <v>289</v>
      </c>
      <c r="C68" s="4" t="s">
        <v>959</v>
      </c>
      <c r="D68" s="4" t="s">
        <v>265</v>
      </c>
      <c r="E68" s="5">
        <v>5533</v>
      </c>
      <c r="F68" s="6">
        <v>25.996800499999999</v>
      </c>
      <c r="G68" s="7">
        <v>8.3423000000000004E-5</v>
      </c>
      <c r="H68" s="53"/>
      <c r="I68" s="53"/>
    </row>
    <row r="69" spans="1:9" ht="14.1" customHeight="1" x14ac:dyDescent="0.2">
      <c r="A69" s="1"/>
      <c r="B69" s="1"/>
      <c r="C69" s="2" t="s">
        <v>132</v>
      </c>
      <c r="D69" s="1"/>
      <c r="E69" s="1" t="s">
        <v>133</v>
      </c>
      <c r="F69" s="9">
        <v>25.996800499999999</v>
      </c>
      <c r="G69" s="10">
        <v>8.3423000000000004E-5</v>
      </c>
      <c r="H69" s="53"/>
      <c r="I69" s="53"/>
    </row>
    <row r="70" spans="1:9" ht="14.1" customHeight="1" x14ac:dyDescent="0.2">
      <c r="A70" s="1"/>
      <c r="B70" s="1"/>
      <c r="C70" s="11"/>
      <c r="D70" s="1"/>
      <c r="E70" s="1"/>
      <c r="F70" s="12"/>
      <c r="G70" s="12"/>
      <c r="H70" s="53"/>
      <c r="I70" s="53"/>
    </row>
    <row r="71" spans="1:9" ht="14.1" customHeight="1" x14ac:dyDescent="0.2">
      <c r="A71" s="1"/>
      <c r="B71" s="1"/>
      <c r="C71" s="2" t="s">
        <v>137</v>
      </c>
      <c r="D71" s="1"/>
      <c r="E71" s="1"/>
      <c r="F71" s="12"/>
      <c r="G71" s="12"/>
      <c r="H71" s="53"/>
      <c r="I71" s="53"/>
    </row>
    <row r="72" spans="1:9" ht="14.1" customHeight="1" x14ac:dyDescent="0.2">
      <c r="A72" s="1"/>
      <c r="B72" s="1"/>
      <c r="C72" s="2" t="s">
        <v>132</v>
      </c>
      <c r="D72" s="1"/>
      <c r="E72" s="1" t="s">
        <v>133</v>
      </c>
      <c r="F72" s="13">
        <v>0</v>
      </c>
      <c r="G72" s="14">
        <v>0</v>
      </c>
      <c r="H72" s="53"/>
      <c r="I72" s="53"/>
    </row>
    <row r="73" spans="1:9" ht="14.1" customHeight="1" x14ac:dyDescent="0.2">
      <c r="A73" s="1"/>
      <c r="B73" s="1"/>
      <c r="C73" s="11"/>
      <c r="D73" s="1"/>
      <c r="E73" s="1"/>
      <c r="F73" s="12"/>
      <c r="G73" s="12"/>
      <c r="H73" s="53"/>
      <c r="I73" s="53"/>
    </row>
    <row r="74" spans="1:9" ht="14.1" customHeight="1" x14ac:dyDescent="0.2">
      <c r="A74" s="1"/>
      <c r="B74" s="1"/>
      <c r="C74" s="2" t="s">
        <v>138</v>
      </c>
      <c r="D74" s="1"/>
      <c r="E74" s="1"/>
      <c r="F74" s="12"/>
      <c r="G74" s="12"/>
      <c r="H74" s="53"/>
      <c r="I74" s="53"/>
    </row>
    <row r="75" spans="1:9" ht="14.1" customHeight="1" x14ac:dyDescent="0.2">
      <c r="A75" s="1"/>
      <c r="B75" s="1"/>
      <c r="C75" s="2" t="s">
        <v>132</v>
      </c>
      <c r="D75" s="1"/>
      <c r="E75" s="1" t="s">
        <v>133</v>
      </c>
      <c r="F75" s="13">
        <v>0</v>
      </c>
      <c r="G75" s="14">
        <v>0</v>
      </c>
      <c r="H75" s="53"/>
      <c r="I75" s="53"/>
    </row>
    <row r="76" spans="1:9" ht="14.1" customHeight="1" x14ac:dyDescent="0.2">
      <c r="A76" s="1"/>
      <c r="B76" s="1"/>
      <c r="C76" s="11"/>
      <c r="D76" s="1"/>
      <c r="E76" s="1"/>
      <c r="F76" s="12"/>
      <c r="G76" s="12"/>
      <c r="H76" s="53"/>
      <c r="I76" s="53"/>
    </row>
    <row r="77" spans="1:9" ht="18" customHeight="1" x14ac:dyDescent="0.2">
      <c r="A77" s="1"/>
      <c r="B77" s="1"/>
      <c r="C77" s="2" t="s">
        <v>139</v>
      </c>
      <c r="D77" s="1"/>
      <c r="E77" s="1"/>
      <c r="F77" s="9">
        <v>235183.50800659999</v>
      </c>
      <c r="G77" s="10">
        <v>0.75469744500000002</v>
      </c>
      <c r="H77" s="53"/>
      <c r="I77" s="53"/>
    </row>
    <row r="78" spans="1:9" ht="14.1" customHeight="1" x14ac:dyDescent="0.2">
      <c r="A78" s="1"/>
      <c r="B78" s="1"/>
      <c r="C78" s="11"/>
      <c r="D78" s="1"/>
      <c r="E78" s="1"/>
      <c r="F78" s="12"/>
      <c r="G78" s="12"/>
      <c r="H78" s="53"/>
      <c r="I78" s="53"/>
    </row>
    <row r="79" spans="1:9" ht="14.1" customHeight="1" x14ac:dyDescent="0.2">
      <c r="A79" s="1"/>
      <c r="B79" s="1"/>
      <c r="C79" s="2" t="s">
        <v>140</v>
      </c>
      <c r="D79" s="1"/>
      <c r="E79" s="1"/>
      <c r="F79" s="12"/>
      <c r="G79" s="12"/>
      <c r="H79" s="53"/>
      <c r="I79" s="53"/>
    </row>
    <row r="80" spans="1:9" ht="24" customHeight="1" x14ac:dyDescent="0.2">
      <c r="A80" s="1"/>
      <c r="B80" s="1"/>
      <c r="C80" s="2" t="s">
        <v>10</v>
      </c>
      <c r="D80" s="1"/>
      <c r="E80" s="1"/>
      <c r="F80" s="12"/>
      <c r="G80" s="12"/>
      <c r="H80" s="53"/>
      <c r="I80" s="53"/>
    </row>
    <row r="81" spans="1:10" ht="29.1" customHeight="1" x14ac:dyDescent="0.2">
      <c r="A81" s="3">
        <v>1</v>
      </c>
      <c r="B81" s="4" t="s">
        <v>793</v>
      </c>
      <c r="C81" s="4" t="s">
        <v>794</v>
      </c>
      <c r="D81" s="4" t="s">
        <v>795</v>
      </c>
      <c r="E81" s="5">
        <v>250</v>
      </c>
      <c r="F81" s="6">
        <v>2497.4825000000001</v>
      </c>
      <c r="G81" s="7">
        <v>8.0143530000000001E-3</v>
      </c>
      <c r="H81" s="53">
        <v>7.5221999999999998</v>
      </c>
      <c r="I81" s="53"/>
    </row>
    <row r="82" spans="1:10" ht="29.1" customHeight="1" x14ac:dyDescent="0.2">
      <c r="A82" s="3">
        <v>2</v>
      </c>
      <c r="B82" s="4" t="s">
        <v>796</v>
      </c>
      <c r="C82" s="4" t="s">
        <v>797</v>
      </c>
      <c r="D82" s="4" t="s">
        <v>576</v>
      </c>
      <c r="E82" s="5">
        <v>250</v>
      </c>
      <c r="F82" s="6">
        <v>2495.0250000000001</v>
      </c>
      <c r="G82" s="7">
        <v>8.0064669999999998E-3</v>
      </c>
      <c r="H82" s="53">
        <v>7.15</v>
      </c>
      <c r="I82" s="53"/>
    </row>
    <row r="83" spans="1:10" ht="17.100000000000001" customHeight="1" x14ac:dyDescent="0.2">
      <c r="A83" s="3">
        <v>3</v>
      </c>
      <c r="B83" s="4" t="s">
        <v>798</v>
      </c>
      <c r="C83" s="4" t="s">
        <v>799</v>
      </c>
      <c r="D83" s="4" t="s">
        <v>576</v>
      </c>
      <c r="E83" s="5">
        <v>250</v>
      </c>
      <c r="F83" s="6">
        <v>2440.0324999999998</v>
      </c>
      <c r="G83" s="7">
        <v>7.8299979999999995E-3</v>
      </c>
      <c r="H83" s="53">
        <v>7.49</v>
      </c>
      <c r="I83" s="53"/>
    </row>
    <row r="84" spans="1:10" ht="28.5" customHeight="1" x14ac:dyDescent="0.2">
      <c r="A84" s="3">
        <v>4</v>
      </c>
      <c r="B84" s="4" t="s">
        <v>800</v>
      </c>
      <c r="C84" s="43" t="s">
        <v>1013</v>
      </c>
      <c r="D84" s="4" t="s">
        <v>801</v>
      </c>
      <c r="E84" s="5">
        <v>150</v>
      </c>
      <c r="F84" s="6">
        <v>1504.1189999999999</v>
      </c>
      <c r="G84" s="7">
        <v>4.8266769999999997E-3</v>
      </c>
      <c r="H84" s="53">
        <v>8.4825999999999997</v>
      </c>
      <c r="I84" s="53">
        <v>8.2484974536000006</v>
      </c>
    </row>
    <row r="85" spans="1:10" ht="29.1" customHeight="1" x14ac:dyDescent="0.2">
      <c r="A85" s="3">
        <v>5</v>
      </c>
      <c r="B85" s="4" t="s">
        <v>802</v>
      </c>
      <c r="C85" s="4" t="s">
        <v>803</v>
      </c>
      <c r="D85" s="4" t="s">
        <v>576</v>
      </c>
      <c r="E85" s="5">
        <v>150</v>
      </c>
      <c r="F85" s="6">
        <v>1488.615</v>
      </c>
      <c r="G85" s="7">
        <v>4.7769249999999996E-3</v>
      </c>
      <c r="H85" s="53">
        <v>7.4749999999999996</v>
      </c>
      <c r="I85" s="53"/>
    </row>
    <row r="86" spans="1:10" ht="29.1" customHeight="1" x14ac:dyDescent="0.2">
      <c r="A86" s="3">
        <v>6</v>
      </c>
      <c r="B86" s="4" t="s">
        <v>804</v>
      </c>
      <c r="C86" s="4" t="s">
        <v>805</v>
      </c>
      <c r="D86" s="4" t="s">
        <v>576</v>
      </c>
      <c r="E86" s="5">
        <v>150</v>
      </c>
      <c r="F86" s="6">
        <v>1487.193</v>
      </c>
      <c r="G86" s="7">
        <v>4.7723619999999996E-3</v>
      </c>
      <c r="H86" s="53">
        <v>7.79</v>
      </c>
      <c r="I86" s="53"/>
    </row>
    <row r="87" spans="1:10" ht="29.1" customHeight="1" x14ac:dyDescent="0.2">
      <c r="A87" s="3">
        <v>7</v>
      </c>
      <c r="B87" s="4" t="s">
        <v>806</v>
      </c>
      <c r="C87" s="4" t="s">
        <v>807</v>
      </c>
      <c r="D87" s="4" t="s">
        <v>576</v>
      </c>
      <c r="E87" s="5">
        <v>100</v>
      </c>
      <c r="F87" s="6">
        <v>1007.433</v>
      </c>
      <c r="G87" s="7">
        <v>3.2328249999999999E-3</v>
      </c>
      <c r="H87" s="53">
        <v>7.4749999999999996</v>
      </c>
      <c r="I87" s="53"/>
    </row>
    <row r="88" spans="1:10" ht="29.1" customHeight="1" x14ac:dyDescent="0.2">
      <c r="A88" s="3">
        <v>8</v>
      </c>
      <c r="B88" s="4" t="s">
        <v>808</v>
      </c>
      <c r="C88" s="4" t="s">
        <v>809</v>
      </c>
      <c r="D88" s="4" t="s">
        <v>576</v>
      </c>
      <c r="E88" s="5">
        <v>100</v>
      </c>
      <c r="F88" s="6">
        <v>1001.596</v>
      </c>
      <c r="G88" s="7">
        <v>3.2140939999999998E-3</v>
      </c>
      <c r="H88" s="53">
        <v>7.5925000000000002</v>
      </c>
      <c r="I88" s="53"/>
      <c r="J88" s="191"/>
    </row>
    <row r="89" spans="1:10" ht="29.1" customHeight="1" x14ac:dyDescent="0.2">
      <c r="A89" s="3">
        <v>9</v>
      </c>
      <c r="B89" s="4" t="s">
        <v>810</v>
      </c>
      <c r="C89" s="4" t="s">
        <v>811</v>
      </c>
      <c r="D89" s="4" t="s">
        <v>576</v>
      </c>
      <c r="E89" s="5">
        <v>100</v>
      </c>
      <c r="F89" s="6">
        <v>1000.867</v>
      </c>
      <c r="G89" s="7">
        <v>3.2117550000000002E-3</v>
      </c>
      <c r="H89" s="53">
        <v>7.57</v>
      </c>
      <c r="I89" s="53"/>
    </row>
    <row r="90" spans="1:10" ht="29.1" customHeight="1" x14ac:dyDescent="0.2">
      <c r="A90" s="3">
        <v>10</v>
      </c>
      <c r="B90" s="4" t="s">
        <v>812</v>
      </c>
      <c r="C90" s="4" t="s">
        <v>813</v>
      </c>
      <c r="D90" s="4" t="s">
        <v>576</v>
      </c>
      <c r="E90" s="5">
        <v>100</v>
      </c>
      <c r="F90" s="6">
        <v>1000.037</v>
      </c>
      <c r="G90" s="7">
        <v>3.2090909999999999E-3</v>
      </c>
      <c r="H90" s="53">
        <v>6.84</v>
      </c>
      <c r="I90" s="53"/>
    </row>
    <row r="91" spans="1:10" ht="29.1" customHeight="1" x14ac:dyDescent="0.2">
      <c r="A91" s="3">
        <v>11</v>
      </c>
      <c r="B91" s="4" t="s">
        <v>814</v>
      </c>
      <c r="C91" s="4" t="s">
        <v>815</v>
      </c>
      <c r="D91" s="4" t="s">
        <v>598</v>
      </c>
      <c r="E91" s="5">
        <v>100</v>
      </c>
      <c r="F91" s="6">
        <v>996.3</v>
      </c>
      <c r="G91" s="7">
        <v>3.1970990000000001E-3</v>
      </c>
      <c r="H91" s="53">
        <v>6.82</v>
      </c>
      <c r="I91" s="53"/>
      <c r="J91" s="191"/>
    </row>
    <row r="92" spans="1:10" ht="29.1" customHeight="1" x14ac:dyDescent="0.2">
      <c r="A92" s="3">
        <v>12</v>
      </c>
      <c r="B92" s="4" t="s">
        <v>816</v>
      </c>
      <c r="C92" s="4" t="s">
        <v>817</v>
      </c>
      <c r="D92" s="4" t="s">
        <v>576</v>
      </c>
      <c r="E92" s="5">
        <v>100</v>
      </c>
      <c r="F92" s="6">
        <v>956.28099999999995</v>
      </c>
      <c r="G92" s="7">
        <v>3.0686799999999998E-3</v>
      </c>
      <c r="H92" s="53">
        <v>7.57</v>
      </c>
      <c r="I92" s="53"/>
    </row>
    <row r="93" spans="1:10" ht="17.100000000000001" customHeight="1" x14ac:dyDescent="0.2">
      <c r="A93" s="3">
        <v>13</v>
      </c>
      <c r="B93" s="4" t="s">
        <v>818</v>
      </c>
      <c r="C93" s="4" t="s">
        <v>819</v>
      </c>
      <c r="D93" s="4" t="s">
        <v>795</v>
      </c>
      <c r="E93" s="5">
        <v>50</v>
      </c>
      <c r="F93" s="6">
        <v>499.39850000000001</v>
      </c>
      <c r="G93" s="7">
        <v>1.602556E-3</v>
      </c>
      <c r="H93" s="53">
        <v>7.63</v>
      </c>
      <c r="I93" s="53"/>
    </row>
    <row r="94" spans="1:10" ht="29.1" customHeight="1" x14ac:dyDescent="0.2">
      <c r="A94" s="3">
        <v>14</v>
      </c>
      <c r="B94" s="4" t="s">
        <v>596</v>
      </c>
      <c r="C94" s="4" t="s">
        <v>597</v>
      </c>
      <c r="D94" s="4" t="s">
        <v>598</v>
      </c>
      <c r="E94" s="5">
        <v>50</v>
      </c>
      <c r="F94" s="6">
        <v>493.07900000000001</v>
      </c>
      <c r="G94" s="7">
        <v>1.582277E-3</v>
      </c>
      <c r="H94" s="53">
        <v>7.55</v>
      </c>
      <c r="I94" s="53"/>
    </row>
    <row r="95" spans="1:10" ht="29.1" customHeight="1" x14ac:dyDescent="0.2">
      <c r="A95" s="3">
        <v>15</v>
      </c>
      <c r="B95" s="4" t="s">
        <v>820</v>
      </c>
      <c r="C95" s="4" t="s">
        <v>821</v>
      </c>
      <c r="D95" s="4" t="s">
        <v>576</v>
      </c>
      <c r="E95" s="5">
        <v>40</v>
      </c>
      <c r="F95" s="6">
        <v>400.45280000000002</v>
      </c>
      <c r="G95" s="7">
        <v>1.2850419999999999E-3</v>
      </c>
      <c r="H95" s="53">
        <v>6.6</v>
      </c>
      <c r="I95" s="53"/>
    </row>
    <row r="96" spans="1:10" ht="29.1" customHeight="1" x14ac:dyDescent="0.2">
      <c r="A96" s="3">
        <v>16</v>
      </c>
      <c r="B96" s="4" t="s">
        <v>822</v>
      </c>
      <c r="C96" s="4" t="s">
        <v>823</v>
      </c>
      <c r="D96" s="4" t="s">
        <v>576</v>
      </c>
      <c r="E96" s="5">
        <v>20</v>
      </c>
      <c r="F96" s="6">
        <v>199.50659999999999</v>
      </c>
      <c r="G96" s="7">
        <v>6.4021100000000001E-4</v>
      </c>
      <c r="H96" s="53">
        <v>7.085</v>
      </c>
      <c r="I96" s="53"/>
    </row>
    <row r="97" spans="1:9" ht="29.1" customHeight="1" x14ac:dyDescent="0.2">
      <c r="A97" s="3">
        <v>17</v>
      </c>
      <c r="B97" s="4" t="s">
        <v>824</v>
      </c>
      <c r="C97" s="4" t="s">
        <v>825</v>
      </c>
      <c r="D97" s="4" t="s">
        <v>576</v>
      </c>
      <c r="E97" s="5">
        <v>20</v>
      </c>
      <c r="F97" s="6">
        <v>193.38220000000001</v>
      </c>
      <c r="G97" s="7">
        <v>6.20558E-4</v>
      </c>
      <c r="H97" s="53">
        <v>7.57</v>
      </c>
      <c r="I97" s="53"/>
    </row>
    <row r="98" spans="1:9" ht="14.1" customHeight="1" x14ac:dyDescent="0.2">
      <c r="A98" s="1"/>
      <c r="B98" s="1"/>
      <c r="C98" s="2" t="s">
        <v>132</v>
      </c>
      <c r="D98" s="1"/>
      <c r="E98" s="1" t="s">
        <v>133</v>
      </c>
      <c r="F98" s="9">
        <v>19660.8001</v>
      </c>
      <c r="G98" s="10">
        <v>6.3090969999999996E-2</v>
      </c>
      <c r="H98" s="53"/>
      <c r="I98" s="53"/>
    </row>
    <row r="99" spans="1:9" ht="14.1" customHeight="1" x14ac:dyDescent="0.2">
      <c r="A99" s="1"/>
      <c r="B99" s="1"/>
      <c r="C99" s="11"/>
      <c r="D99" s="1"/>
      <c r="E99" s="1"/>
      <c r="F99" s="12"/>
      <c r="G99" s="12"/>
      <c r="H99" s="53"/>
      <c r="I99" s="53"/>
    </row>
    <row r="100" spans="1:9" ht="14.1" customHeight="1" x14ac:dyDescent="0.2">
      <c r="A100" s="1"/>
      <c r="B100" s="1"/>
      <c r="C100" s="2" t="s">
        <v>141</v>
      </c>
      <c r="D100" s="1"/>
      <c r="E100" s="1"/>
      <c r="F100" s="1"/>
      <c r="G100" s="1"/>
      <c r="H100" s="53"/>
      <c r="I100" s="53"/>
    </row>
    <row r="101" spans="1:9" ht="17.100000000000001" customHeight="1" x14ac:dyDescent="0.2">
      <c r="A101" s="3">
        <v>1</v>
      </c>
      <c r="B101" s="4" t="s">
        <v>826</v>
      </c>
      <c r="C101" s="4" t="s">
        <v>827</v>
      </c>
      <c r="D101" s="4" t="s">
        <v>576</v>
      </c>
      <c r="E101" s="5">
        <v>50</v>
      </c>
      <c r="F101" s="6">
        <v>505.38099999999997</v>
      </c>
      <c r="G101" s="7">
        <v>1.621754E-3</v>
      </c>
      <c r="H101" s="53">
        <v>8.49</v>
      </c>
      <c r="I101" s="53"/>
    </row>
    <row r="102" spans="1:9" ht="14.1" customHeight="1" x14ac:dyDescent="0.2">
      <c r="A102" s="1"/>
      <c r="B102" s="1"/>
      <c r="C102" s="2" t="s">
        <v>132</v>
      </c>
      <c r="D102" s="1"/>
      <c r="E102" s="1" t="s">
        <v>133</v>
      </c>
      <c r="F102" s="9">
        <v>505.38099999999997</v>
      </c>
      <c r="G102" s="10">
        <v>1.621754E-3</v>
      </c>
      <c r="H102" s="53"/>
      <c r="I102" s="53"/>
    </row>
    <row r="103" spans="1:9" ht="14.1" customHeight="1" x14ac:dyDescent="0.2">
      <c r="A103" s="1"/>
      <c r="B103" s="1"/>
      <c r="C103" s="11"/>
      <c r="D103" s="1"/>
      <c r="E103" s="1"/>
      <c r="F103" s="12"/>
      <c r="G103" s="12"/>
      <c r="H103" s="53"/>
      <c r="I103" s="53"/>
    </row>
    <row r="104" spans="1:9" ht="14.1" customHeight="1" x14ac:dyDescent="0.2">
      <c r="A104" s="1"/>
      <c r="B104" s="1"/>
      <c r="C104" s="2" t="s">
        <v>142</v>
      </c>
      <c r="D104" s="1"/>
      <c r="E104" s="1"/>
      <c r="F104" s="1"/>
      <c r="G104" s="1"/>
      <c r="H104" s="53"/>
      <c r="I104" s="53"/>
    </row>
    <row r="105" spans="1:9" ht="29.1" customHeight="1" x14ac:dyDescent="0.2">
      <c r="A105" s="3">
        <v>1</v>
      </c>
      <c r="B105" s="4" t="s">
        <v>828</v>
      </c>
      <c r="C105" s="4" t="s">
        <v>829</v>
      </c>
      <c r="D105" s="4" t="s">
        <v>552</v>
      </c>
      <c r="E105" s="5">
        <v>7500000</v>
      </c>
      <c r="F105" s="6">
        <v>7470.4575000000004</v>
      </c>
      <c r="G105" s="7">
        <v>2.3972494E-2</v>
      </c>
      <c r="H105" s="53">
        <v>7.0937289321000074</v>
      </c>
      <c r="I105" s="53"/>
    </row>
    <row r="106" spans="1:9" ht="29.1" customHeight="1" x14ac:dyDescent="0.2">
      <c r="A106" s="3">
        <v>2</v>
      </c>
      <c r="B106" s="4" t="s">
        <v>830</v>
      </c>
      <c r="C106" s="4" t="s">
        <v>831</v>
      </c>
      <c r="D106" s="4" t="s">
        <v>552</v>
      </c>
      <c r="E106" s="5">
        <v>2500000</v>
      </c>
      <c r="F106" s="6">
        <v>2488.2474999999999</v>
      </c>
      <c r="G106" s="7">
        <v>7.984718E-3</v>
      </c>
      <c r="H106" s="53">
        <v>7.4611086590249842</v>
      </c>
      <c r="I106" s="53"/>
    </row>
    <row r="107" spans="1:9" ht="29.1" customHeight="1" x14ac:dyDescent="0.2">
      <c r="A107" s="3">
        <v>3</v>
      </c>
      <c r="B107" s="4" t="s">
        <v>832</v>
      </c>
      <c r="C107" s="4" t="s">
        <v>833</v>
      </c>
      <c r="D107" s="4" t="s">
        <v>552</v>
      </c>
      <c r="E107" s="5">
        <v>2000000</v>
      </c>
      <c r="F107" s="6">
        <v>1903.518</v>
      </c>
      <c r="G107" s="7">
        <v>6.1083370000000001E-3</v>
      </c>
      <c r="H107" s="53">
        <v>7.3155108624000098</v>
      </c>
      <c r="I107" s="53"/>
    </row>
    <row r="108" spans="1:9" ht="33.6" customHeight="1" x14ac:dyDescent="0.2">
      <c r="A108" s="3">
        <v>4</v>
      </c>
      <c r="B108" s="4" t="s">
        <v>834</v>
      </c>
      <c r="C108" s="43" t="s">
        <v>902</v>
      </c>
      <c r="D108" s="4" t="s">
        <v>552</v>
      </c>
      <c r="E108" s="5">
        <v>1500000</v>
      </c>
      <c r="F108" s="6">
        <v>1477.8510000000001</v>
      </c>
      <c r="G108" s="7">
        <v>4.7423830000000002E-3</v>
      </c>
      <c r="H108" s="53">
        <v>6.9947875029789373</v>
      </c>
      <c r="I108" s="53"/>
    </row>
    <row r="109" spans="1:9" ht="29.1" customHeight="1" x14ac:dyDescent="0.2">
      <c r="A109" s="3">
        <v>5</v>
      </c>
      <c r="B109" s="4" t="s">
        <v>835</v>
      </c>
      <c r="C109" s="4" t="s">
        <v>836</v>
      </c>
      <c r="D109" s="4" t="s">
        <v>552</v>
      </c>
      <c r="E109" s="5">
        <v>1500000</v>
      </c>
      <c r="F109" s="6">
        <v>1418.982</v>
      </c>
      <c r="G109" s="7">
        <v>4.5534740000000001E-3</v>
      </c>
      <c r="H109" s="53">
        <v>7.5036148760249777</v>
      </c>
      <c r="I109" s="53"/>
    </row>
    <row r="110" spans="1:9" ht="29.1" customHeight="1" x14ac:dyDescent="0.2">
      <c r="A110" s="3">
        <v>6</v>
      </c>
      <c r="B110" s="4" t="s">
        <v>837</v>
      </c>
      <c r="C110" s="4" t="s">
        <v>838</v>
      </c>
      <c r="D110" s="4" t="s">
        <v>552</v>
      </c>
      <c r="E110" s="5">
        <v>1000000</v>
      </c>
      <c r="F110" s="6">
        <v>1005.734</v>
      </c>
      <c r="G110" s="7">
        <v>3.227373E-3</v>
      </c>
      <c r="H110" s="53">
        <v>7.3571593689000014</v>
      </c>
      <c r="I110" s="53"/>
    </row>
    <row r="111" spans="1:9" ht="29.1" customHeight="1" x14ac:dyDescent="0.2">
      <c r="A111" s="3">
        <v>7</v>
      </c>
      <c r="B111" s="4" t="s">
        <v>839</v>
      </c>
      <c r="C111" s="4" t="s">
        <v>840</v>
      </c>
      <c r="D111" s="4" t="s">
        <v>552</v>
      </c>
      <c r="E111" s="5">
        <v>1000000</v>
      </c>
      <c r="F111" s="6">
        <v>1002.001</v>
      </c>
      <c r="G111" s="7">
        <v>3.2153939999999999E-3</v>
      </c>
      <c r="H111" s="53">
        <v>6.6662999999999997</v>
      </c>
      <c r="I111" s="53"/>
    </row>
    <row r="112" spans="1:9" ht="29.1" customHeight="1" x14ac:dyDescent="0.2">
      <c r="A112" s="3">
        <v>8</v>
      </c>
      <c r="B112" s="4" t="s">
        <v>605</v>
      </c>
      <c r="C112" s="4" t="s">
        <v>606</v>
      </c>
      <c r="D112" s="4" t="s">
        <v>552</v>
      </c>
      <c r="E112" s="5">
        <v>1000000</v>
      </c>
      <c r="F112" s="6">
        <v>959.80100000000004</v>
      </c>
      <c r="G112" s="7">
        <v>3.079975E-3</v>
      </c>
      <c r="H112" s="53">
        <v>7.1528276462250018</v>
      </c>
      <c r="I112" s="53"/>
    </row>
    <row r="113" spans="1:9" ht="29.1" customHeight="1" x14ac:dyDescent="0.2">
      <c r="A113" s="3">
        <v>9</v>
      </c>
      <c r="B113" s="4" t="s">
        <v>611</v>
      </c>
      <c r="C113" s="4" t="s">
        <v>612</v>
      </c>
      <c r="D113" s="4" t="s">
        <v>552</v>
      </c>
      <c r="E113" s="5">
        <v>950000</v>
      </c>
      <c r="F113" s="6">
        <v>936.67719999999997</v>
      </c>
      <c r="G113" s="7">
        <v>3.0057719999999999E-3</v>
      </c>
      <c r="H113" s="53">
        <v>7.1205335090249733</v>
      </c>
      <c r="I113" s="53"/>
    </row>
    <row r="114" spans="1:9" ht="29.1" customHeight="1" x14ac:dyDescent="0.2">
      <c r="A114" s="3">
        <v>10</v>
      </c>
      <c r="B114" s="4" t="s">
        <v>841</v>
      </c>
      <c r="C114" s="4" t="s">
        <v>842</v>
      </c>
      <c r="D114" s="4" t="s">
        <v>552</v>
      </c>
      <c r="E114" s="5">
        <v>400000</v>
      </c>
      <c r="F114" s="6">
        <v>408.2312</v>
      </c>
      <c r="G114" s="7">
        <v>1.3100029999999999E-3</v>
      </c>
      <c r="H114" s="53">
        <v>7.4446684030124999</v>
      </c>
      <c r="I114" s="53"/>
    </row>
    <row r="115" spans="1:9" ht="29.1" customHeight="1" x14ac:dyDescent="0.2">
      <c r="A115" s="3">
        <v>11</v>
      </c>
      <c r="B115" s="4" t="s">
        <v>843</v>
      </c>
      <c r="C115" s="4" t="s">
        <v>844</v>
      </c>
      <c r="D115" s="4" t="s">
        <v>552</v>
      </c>
      <c r="E115" s="5">
        <v>400000</v>
      </c>
      <c r="F115" s="6">
        <v>406.3408</v>
      </c>
      <c r="G115" s="7">
        <v>1.303937E-3</v>
      </c>
      <c r="H115" s="53">
        <v>7.4091871762000077</v>
      </c>
      <c r="I115" s="53"/>
    </row>
    <row r="116" spans="1:9" ht="29.1" customHeight="1" x14ac:dyDescent="0.2">
      <c r="A116" s="3">
        <v>12</v>
      </c>
      <c r="B116" s="4" t="s">
        <v>845</v>
      </c>
      <c r="C116" s="4" t="s">
        <v>846</v>
      </c>
      <c r="D116" s="4" t="s">
        <v>552</v>
      </c>
      <c r="E116" s="5">
        <v>400000</v>
      </c>
      <c r="F116" s="6">
        <v>405.97480000000002</v>
      </c>
      <c r="G116" s="7">
        <v>1.3027620000000001E-3</v>
      </c>
      <c r="H116" s="53">
        <v>7.4098607200125093</v>
      </c>
      <c r="I116" s="53"/>
    </row>
    <row r="117" spans="1:9" ht="14.1" customHeight="1" x14ac:dyDescent="0.2">
      <c r="A117" s="1"/>
      <c r="B117" s="1"/>
      <c r="C117" s="2" t="s">
        <v>132</v>
      </c>
      <c r="D117" s="1"/>
      <c r="E117" s="1" t="s">
        <v>133</v>
      </c>
      <c r="F117" s="9">
        <v>19883.815999999999</v>
      </c>
      <c r="G117" s="10">
        <v>6.3806621999999993E-2</v>
      </c>
      <c r="H117" s="53"/>
      <c r="I117" s="53"/>
    </row>
    <row r="118" spans="1:9" ht="14.1" customHeight="1" x14ac:dyDescent="0.2">
      <c r="A118" s="1"/>
      <c r="B118" s="1"/>
      <c r="C118" s="11"/>
      <c r="D118" s="1"/>
      <c r="E118" s="1"/>
      <c r="F118" s="12"/>
      <c r="G118" s="12"/>
      <c r="H118" s="53"/>
      <c r="I118" s="53"/>
    </row>
    <row r="119" spans="1:9" ht="14.1" customHeight="1" x14ac:dyDescent="0.2">
      <c r="A119" s="1"/>
      <c r="B119" s="1"/>
      <c r="C119" s="2" t="s">
        <v>143</v>
      </c>
      <c r="D119" s="1"/>
      <c r="E119" s="1"/>
      <c r="F119" s="12"/>
      <c r="G119" s="12"/>
      <c r="H119" s="53"/>
      <c r="I119" s="53"/>
    </row>
    <row r="120" spans="1:9" ht="14.1" customHeight="1" x14ac:dyDescent="0.2">
      <c r="A120" s="1"/>
      <c r="B120" s="1"/>
      <c r="C120" s="2" t="s">
        <v>132</v>
      </c>
      <c r="D120" s="1"/>
      <c r="E120" s="1" t="s">
        <v>133</v>
      </c>
      <c r="F120" s="13">
        <v>0</v>
      </c>
      <c r="G120" s="14">
        <v>0</v>
      </c>
      <c r="H120" s="53"/>
      <c r="I120" s="53"/>
    </row>
    <row r="121" spans="1:9" ht="14.1" customHeight="1" x14ac:dyDescent="0.2">
      <c r="A121" s="1"/>
      <c r="B121" s="1"/>
      <c r="C121" s="11"/>
      <c r="D121" s="1"/>
      <c r="E121" s="1"/>
      <c r="F121" s="12"/>
      <c r="G121" s="12"/>
      <c r="H121" s="53"/>
      <c r="I121" s="53"/>
    </row>
    <row r="122" spans="1:9" ht="14.1" customHeight="1" x14ac:dyDescent="0.2">
      <c r="A122" s="1"/>
      <c r="B122" s="1"/>
      <c r="C122" s="2" t="s">
        <v>144</v>
      </c>
      <c r="D122" s="1"/>
      <c r="E122" s="1"/>
      <c r="F122" s="9">
        <v>40049.997100000001</v>
      </c>
      <c r="G122" s="10">
        <v>0.12851934600000001</v>
      </c>
      <c r="H122" s="53"/>
      <c r="I122" s="53"/>
    </row>
    <row r="123" spans="1:9" ht="14.1" customHeight="1" x14ac:dyDescent="0.2">
      <c r="A123" s="1"/>
      <c r="B123" s="1"/>
      <c r="C123" s="11"/>
      <c r="D123" s="1"/>
      <c r="E123" s="1"/>
      <c r="F123" s="12"/>
      <c r="G123" s="12"/>
      <c r="H123" s="53"/>
      <c r="I123" s="53"/>
    </row>
    <row r="124" spans="1:9" ht="14.1" customHeight="1" x14ac:dyDescent="0.2">
      <c r="A124" s="1"/>
      <c r="B124" s="1"/>
      <c r="C124" s="2" t="s">
        <v>145</v>
      </c>
      <c r="D124" s="1"/>
      <c r="E124" s="1"/>
      <c r="F124" s="12"/>
      <c r="G124" s="12"/>
      <c r="H124" s="53"/>
      <c r="I124" s="53"/>
    </row>
    <row r="125" spans="1:9" ht="14.1" customHeight="1" x14ac:dyDescent="0.2">
      <c r="A125" s="1"/>
      <c r="B125" s="1"/>
      <c r="C125" s="2" t="s">
        <v>146</v>
      </c>
      <c r="D125" s="1"/>
      <c r="E125" s="1"/>
      <c r="F125" s="12"/>
      <c r="G125" s="12"/>
      <c r="H125" s="53"/>
      <c r="I125" s="53"/>
    </row>
    <row r="126" spans="1:9" ht="17.100000000000001" customHeight="1" x14ac:dyDescent="0.2">
      <c r="A126" s="3">
        <v>1</v>
      </c>
      <c r="B126" s="4" t="s">
        <v>847</v>
      </c>
      <c r="C126" s="4" t="s">
        <v>848</v>
      </c>
      <c r="D126" s="4" t="s">
        <v>849</v>
      </c>
      <c r="E126" s="5">
        <v>500</v>
      </c>
      <c r="F126" s="6">
        <v>2493.2224999999999</v>
      </c>
      <c r="G126" s="7">
        <v>8.0006829999999998E-3</v>
      </c>
      <c r="H126" s="53">
        <v>6.6150000000000002</v>
      </c>
      <c r="I126" s="53"/>
    </row>
    <row r="127" spans="1:9" ht="17.100000000000001" customHeight="1" x14ac:dyDescent="0.2">
      <c r="A127" s="3">
        <v>2</v>
      </c>
      <c r="B127" s="4" t="s">
        <v>850</v>
      </c>
      <c r="C127" s="4" t="s">
        <v>851</v>
      </c>
      <c r="D127" s="4" t="s">
        <v>849</v>
      </c>
      <c r="E127" s="5">
        <v>500</v>
      </c>
      <c r="F127" s="6">
        <v>2480.5774999999999</v>
      </c>
      <c r="G127" s="7">
        <v>7.9601050000000003E-3</v>
      </c>
      <c r="H127" s="53">
        <v>6.4949000000000003</v>
      </c>
      <c r="I127" s="53"/>
    </row>
    <row r="128" spans="1:9" ht="17.100000000000001" customHeight="1" x14ac:dyDescent="0.2">
      <c r="A128" s="3">
        <v>3</v>
      </c>
      <c r="B128" s="4" t="s">
        <v>852</v>
      </c>
      <c r="C128" s="4" t="s">
        <v>853</v>
      </c>
      <c r="D128" s="4" t="s">
        <v>849</v>
      </c>
      <c r="E128" s="5">
        <v>500</v>
      </c>
      <c r="F128" s="6">
        <v>2441.0374999999999</v>
      </c>
      <c r="G128" s="7">
        <v>7.8332230000000003E-3</v>
      </c>
      <c r="H128" s="53">
        <v>7.1101000000000001</v>
      </c>
      <c r="I128" s="53"/>
    </row>
    <row r="129" spans="1:9" ht="17.100000000000001" customHeight="1" x14ac:dyDescent="0.2">
      <c r="A129" s="3">
        <v>4</v>
      </c>
      <c r="B129" s="4" t="s">
        <v>854</v>
      </c>
      <c r="C129" s="4" t="s">
        <v>855</v>
      </c>
      <c r="D129" s="4" t="s">
        <v>849</v>
      </c>
      <c r="E129" s="5">
        <v>500</v>
      </c>
      <c r="F129" s="6">
        <v>2389.4025000000001</v>
      </c>
      <c r="G129" s="7">
        <v>7.6675270000000004E-3</v>
      </c>
      <c r="H129" s="53">
        <v>7.4100999999999999</v>
      </c>
      <c r="I129" s="53"/>
    </row>
    <row r="130" spans="1:9" ht="17.100000000000001" customHeight="1" x14ac:dyDescent="0.2">
      <c r="A130" s="3">
        <v>5</v>
      </c>
      <c r="B130" s="4" t="s">
        <v>856</v>
      </c>
      <c r="C130" s="4" t="s">
        <v>857</v>
      </c>
      <c r="D130" s="4" t="s">
        <v>858</v>
      </c>
      <c r="E130" s="5">
        <v>500</v>
      </c>
      <c r="F130" s="6">
        <v>2388.7950000000001</v>
      </c>
      <c r="G130" s="7">
        <v>7.6655780000000001E-3</v>
      </c>
      <c r="H130" s="53">
        <v>7.42</v>
      </c>
      <c r="I130" s="53"/>
    </row>
    <row r="131" spans="1:9" ht="29.1" customHeight="1" x14ac:dyDescent="0.2">
      <c r="A131" s="3">
        <v>6</v>
      </c>
      <c r="B131" s="4" t="s">
        <v>859</v>
      </c>
      <c r="C131" s="4" t="s">
        <v>860</v>
      </c>
      <c r="D131" s="4" t="s">
        <v>858</v>
      </c>
      <c r="E131" s="5">
        <v>500</v>
      </c>
      <c r="F131" s="6">
        <v>2381.7125000000001</v>
      </c>
      <c r="G131" s="7">
        <v>7.6428499999999996E-3</v>
      </c>
      <c r="H131" s="53">
        <v>7.46</v>
      </c>
      <c r="I131" s="53"/>
    </row>
    <row r="132" spans="1:9" ht="17.100000000000001" customHeight="1" x14ac:dyDescent="0.2">
      <c r="A132" s="3">
        <v>7</v>
      </c>
      <c r="B132" s="4" t="s">
        <v>861</v>
      </c>
      <c r="C132" s="4" t="s">
        <v>862</v>
      </c>
      <c r="D132" s="4" t="s">
        <v>849</v>
      </c>
      <c r="E132" s="5">
        <v>500</v>
      </c>
      <c r="F132" s="6">
        <v>2378.3525</v>
      </c>
      <c r="G132" s="7">
        <v>7.6320679999999997E-3</v>
      </c>
      <c r="H132" s="53">
        <v>7.3498999999999999</v>
      </c>
      <c r="I132" s="53"/>
    </row>
    <row r="133" spans="1:9" ht="14.1" customHeight="1" x14ac:dyDescent="0.2">
      <c r="A133" s="1"/>
      <c r="B133" s="1"/>
      <c r="C133" s="2" t="s">
        <v>132</v>
      </c>
      <c r="D133" s="1"/>
      <c r="E133" s="1" t="s">
        <v>133</v>
      </c>
      <c r="F133" s="9">
        <v>16953.099999999999</v>
      </c>
      <c r="G133" s="10">
        <v>5.4402034000000002E-2</v>
      </c>
      <c r="H133" s="53"/>
      <c r="I133" s="53"/>
    </row>
    <row r="134" spans="1:9" ht="14.1" customHeight="1" x14ac:dyDescent="0.2">
      <c r="A134" s="1"/>
      <c r="B134" s="1"/>
      <c r="C134" s="11"/>
      <c r="D134" s="1"/>
      <c r="E134" s="1"/>
      <c r="F134" s="12"/>
      <c r="G134" s="12"/>
      <c r="H134" s="53"/>
      <c r="I134" s="53"/>
    </row>
    <row r="135" spans="1:9" ht="14.1" customHeight="1" x14ac:dyDescent="0.2">
      <c r="A135" s="1"/>
      <c r="B135" s="1"/>
      <c r="C135" s="2" t="s">
        <v>147</v>
      </c>
      <c r="D135" s="1"/>
      <c r="E135" s="1"/>
      <c r="F135" s="12"/>
      <c r="G135" s="12"/>
      <c r="H135" s="53"/>
      <c r="I135" s="53"/>
    </row>
    <row r="136" spans="1:9" ht="29.1" customHeight="1" x14ac:dyDescent="0.2">
      <c r="A136" s="3">
        <v>1</v>
      </c>
      <c r="B136" s="4" t="s">
        <v>863</v>
      </c>
      <c r="C136" s="4" t="s">
        <v>864</v>
      </c>
      <c r="D136" s="4" t="s">
        <v>858</v>
      </c>
      <c r="E136" s="5">
        <v>500</v>
      </c>
      <c r="F136" s="6">
        <v>2432.4324999999999</v>
      </c>
      <c r="G136" s="7">
        <v>7.8056089999999998E-3</v>
      </c>
      <c r="H136" s="53">
        <v>7.4550999999999998</v>
      </c>
      <c r="I136" s="53"/>
    </row>
    <row r="137" spans="1:9" ht="29.1" customHeight="1" x14ac:dyDescent="0.2">
      <c r="A137" s="3">
        <v>2</v>
      </c>
      <c r="B137" s="4" t="s">
        <v>865</v>
      </c>
      <c r="C137" s="4" t="s">
        <v>866</v>
      </c>
      <c r="D137" s="4" t="s">
        <v>858</v>
      </c>
      <c r="E137" s="5">
        <v>500</v>
      </c>
      <c r="F137" s="6">
        <v>2354.6374999999998</v>
      </c>
      <c r="G137" s="7">
        <v>7.5559670000000002E-3</v>
      </c>
      <c r="H137" s="53">
        <v>7.77</v>
      </c>
      <c r="I137" s="53"/>
    </row>
    <row r="138" spans="1:9" ht="14.1" customHeight="1" x14ac:dyDescent="0.2">
      <c r="A138" s="1"/>
      <c r="B138" s="1"/>
      <c r="C138" s="2" t="s">
        <v>132</v>
      </c>
      <c r="D138" s="1"/>
      <c r="E138" s="1" t="s">
        <v>133</v>
      </c>
      <c r="F138" s="9">
        <v>4787.07</v>
      </c>
      <c r="G138" s="10">
        <v>1.5361576E-2</v>
      </c>
      <c r="H138" s="53"/>
      <c r="I138" s="53"/>
    </row>
    <row r="139" spans="1:9" ht="14.1" customHeight="1" x14ac:dyDescent="0.2">
      <c r="A139" s="1"/>
      <c r="B139" s="1"/>
      <c r="C139" s="11"/>
      <c r="D139" s="1"/>
      <c r="E139" s="1"/>
      <c r="F139" s="12"/>
      <c r="G139" s="12"/>
      <c r="H139" s="53"/>
      <c r="I139" s="53"/>
    </row>
    <row r="140" spans="1:9" ht="14.1" customHeight="1" x14ac:dyDescent="0.2">
      <c r="A140" s="1"/>
      <c r="B140" s="1"/>
      <c r="C140" s="2" t="s">
        <v>148</v>
      </c>
      <c r="D140" s="1"/>
      <c r="E140" s="1"/>
      <c r="F140" s="12"/>
      <c r="G140" s="12"/>
      <c r="H140" s="53"/>
      <c r="I140" s="53"/>
    </row>
    <row r="141" spans="1:9" ht="17.100000000000001" customHeight="1" x14ac:dyDescent="0.2">
      <c r="A141" s="3">
        <v>1</v>
      </c>
      <c r="B141" s="4" t="s">
        <v>867</v>
      </c>
      <c r="C141" s="4" t="s">
        <v>868</v>
      </c>
      <c r="D141" s="4" t="s">
        <v>552</v>
      </c>
      <c r="E141" s="5">
        <v>2500000</v>
      </c>
      <c r="F141" s="6">
        <v>2498.3575000000001</v>
      </c>
      <c r="G141" s="7">
        <v>8.0171610000000001E-3</v>
      </c>
      <c r="H141" s="53">
        <v>6</v>
      </c>
      <c r="I141" s="53"/>
    </row>
    <row r="142" spans="1:9" ht="14.1" customHeight="1" x14ac:dyDescent="0.2">
      <c r="A142" s="1"/>
      <c r="B142" s="1"/>
      <c r="C142" s="2" t="s">
        <v>132</v>
      </c>
      <c r="D142" s="1"/>
      <c r="E142" s="1" t="s">
        <v>133</v>
      </c>
      <c r="F142" s="9">
        <v>2498.3575000000001</v>
      </c>
      <c r="G142" s="10">
        <v>8.0171610000000001E-3</v>
      </c>
      <c r="H142" s="53"/>
      <c r="I142" s="53"/>
    </row>
    <row r="143" spans="1:9" ht="14.1" customHeight="1" x14ac:dyDescent="0.2">
      <c r="A143" s="1"/>
      <c r="B143" s="1"/>
      <c r="C143" s="11"/>
      <c r="D143" s="1"/>
      <c r="E143" s="1"/>
      <c r="F143" s="12"/>
      <c r="G143" s="12"/>
      <c r="H143" s="53"/>
      <c r="I143" s="53"/>
    </row>
    <row r="144" spans="1:9" ht="14.1" customHeight="1" x14ac:dyDescent="0.2">
      <c r="A144" s="1"/>
      <c r="B144" s="1"/>
      <c r="C144" s="2" t="s">
        <v>149</v>
      </c>
      <c r="D144" s="1"/>
      <c r="E144" s="1"/>
      <c r="F144" s="12"/>
      <c r="G144" s="12"/>
      <c r="H144" s="53"/>
      <c r="I144" s="53"/>
    </row>
    <row r="145" spans="1:9" ht="17.100000000000001" customHeight="1" x14ac:dyDescent="0.2">
      <c r="A145" s="3">
        <v>1</v>
      </c>
      <c r="B145" s="4"/>
      <c r="C145" s="4" t="s">
        <v>150</v>
      </c>
      <c r="D145" s="4"/>
      <c r="E145" s="8"/>
      <c r="F145" s="6">
        <v>7091.6159788000004</v>
      </c>
      <c r="G145" s="7">
        <v>2.2756802E-2</v>
      </c>
      <c r="H145" s="53">
        <v>6.43</v>
      </c>
      <c r="I145" s="53"/>
    </row>
    <row r="146" spans="1:9" ht="14.1" customHeight="1" x14ac:dyDescent="0.2">
      <c r="A146" s="1"/>
      <c r="B146" s="1"/>
      <c r="C146" s="2" t="s">
        <v>132</v>
      </c>
      <c r="D146" s="1"/>
      <c r="E146" s="1" t="s">
        <v>133</v>
      </c>
      <c r="F146" s="9">
        <v>7091.6159788000004</v>
      </c>
      <c r="G146" s="10">
        <v>2.2756802E-2</v>
      </c>
      <c r="H146" s="53"/>
      <c r="I146" s="53"/>
    </row>
    <row r="147" spans="1:9" ht="14.1" customHeight="1" x14ac:dyDescent="0.2">
      <c r="A147" s="1"/>
      <c r="B147" s="1"/>
      <c r="C147" s="11"/>
      <c r="D147" s="1"/>
      <c r="E147" s="1"/>
      <c r="F147" s="12"/>
      <c r="G147" s="12"/>
      <c r="H147" s="53"/>
      <c r="I147" s="53"/>
    </row>
    <row r="148" spans="1:9" ht="14.1" customHeight="1" x14ac:dyDescent="0.2">
      <c r="A148" s="1"/>
      <c r="B148" s="1"/>
      <c r="C148" s="2" t="s">
        <v>151</v>
      </c>
      <c r="D148" s="1"/>
      <c r="E148" s="1"/>
      <c r="F148" s="9">
        <v>31330.143478800001</v>
      </c>
      <c r="G148" s="10">
        <v>0.10053757300000001</v>
      </c>
      <c r="H148" s="53"/>
      <c r="I148" s="53"/>
    </row>
    <row r="149" spans="1:9" ht="14.1" customHeight="1" x14ac:dyDescent="0.2">
      <c r="A149" s="1"/>
      <c r="B149" s="1"/>
      <c r="C149" s="12"/>
      <c r="D149" s="1"/>
      <c r="E149" s="1"/>
      <c r="F149" s="1"/>
      <c r="G149" s="1"/>
      <c r="H149" s="53"/>
      <c r="I149" s="53"/>
    </row>
    <row r="150" spans="1:9" ht="14.1" customHeight="1" x14ac:dyDescent="0.2">
      <c r="A150" s="1"/>
      <c r="B150" s="1"/>
      <c r="C150" s="2" t="s">
        <v>152</v>
      </c>
      <c r="D150" s="1"/>
      <c r="E150" s="1"/>
      <c r="F150" s="1"/>
      <c r="G150" s="1"/>
      <c r="H150" s="53"/>
      <c r="I150" s="53"/>
    </row>
    <row r="151" spans="1:9" ht="14.1" customHeight="1" x14ac:dyDescent="0.2">
      <c r="A151" s="1"/>
      <c r="B151" s="1"/>
      <c r="C151" s="2" t="s">
        <v>153</v>
      </c>
      <c r="D151" s="1"/>
      <c r="E151" s="1"/>
      <c r="F151" s="1"/>
      <c r="G151" s="1"/>
      <c r="H151" s="53"/>
      <c r="I151" s="53"/>
    </row>
    <row r="152" spans="1:9" ht="14.1" customHeight="1" x14ac:dyDescent="0.2">
      <c r="A152" s="1"/>
      <c r="B152" s="1"/>
      <c r="C152" s="2" t="s">
        <v>132</v>
      </c>
      <c r="D152" s="1"/>
      <c r="E152" s="1" t="s">
        <v>133</v>
      </c>
      <c r="F152" s="13">
        <v>0</v>
      </c>
      <c r="G152" s="14">
        <v>0</v>
      </c>
      <c r="H152" s="53"/>
      <c r="I152" s="53"/>
    </row>
    <row r="153" spans="1:9" ht="14.1" customHeight="1" x14ac:dyDescent="0.2">
      <c r="A153" s="1"/>
      <c r="B153" s="1"/>
      <c r="C153" s="11"/>
      <c r="D153" s="1"/>
      <c r="E153" s="1"/>
      <c r="F153" s="12"/>
      <c r="G153" s="12"/>
      <c r="H153" s="53"/>
      <c r="I153" s="53"/>
    </row>
    <row r="154" spans="1:9" ht="14.1" customHeight="1" x14ac:dyDescent="0.2">
      <c r="A154" s="1"/>
      <c r="B154" s="1"/>
      <c r="C154" s="2" t="s">
        <v>154</v>
      </c>
      <c r="D154" s="1"/>
      <c r="E154" s="1"/>
      <c r="F154" s="1"/>
      <c r="G154" s="1"/>
      <c r="H154" s="53"/>
      <c r="I154" s="53"/>
    </row>
    <row r="155" spans="1:9" ht="14.1" customHeight="1" x14ac:dyDescent="0.2">
      <c r="A155" s="1"/>
      <c r="B155" s="1"/>
      <c r="C155" s="2" t="s">
        <v>155</v>
      </c>
      <c r="D155" s="1"/>
      <c r="E155" s="1"/>
      <c r="F155" s="1"/>
      <c r="G155" s="1"/>
      <c r="H155" s="53"/>
      <c r="I155" s="53"/>
    </row>
    <row r="156" spans="1:9" ht="14.1" customHeight="1" x14ac:dyDescent="0.2">
      <c r="A156" s="1"/>
      <c r="B156" s="1"/>
      <c r="C156" s="2" t="s">
        <v>132</v>
      </c>
      <c r="D156" s="1"/>
      <c r="E156" s="1" t="s">
        <v>133</v>
      </c>
      <c r="F156" s="13">
        <v>0</v>
      </c>
      <c r="G156" s="14">
        <v>0</v>
      </c>
      <c r="H156" s="53"/>
      <c r="I156" s="53"/>
    </row>
    <row r="157" spans="1:9" ht="14.1" customHeight="1" x14ac:dyDescent="0.2">
      <c r="A157" s="1"/>
      <c r="B157" s="1"/>
      <c r="C157" s="11"/>
      <c r="D157" s="1"/>
      <c r="E157" s="1"/>
      <c r="F157" s="12"/>
      <c r="G157" s="12"/>
      <c r="H157" s="53"/>
      <c r="I157" s="53"/>
    </row>
    <row r="158" spans="1:9" ht="24" customHeight="1" x14ac:dyDescent="0.2">
      <c r="A158" s="1"/>
      <c r="B158" s="1"/>
      <c r="C158" s="2" t="s">
        <v>156</v>
      </c>
      <c r="D158" s="1"/>
      <c r="E158" s="1"/>
      <c r="F158" s="12"/>
      <c r="G158" s="12"/>
      <c r="H158" s="53"/>
      <c r="I158" s="53"/>
    </row>
    <row r="159" spans="1:9" ht="14.1" customHeight="1" x14ac:dyDescent="0.2">
      <c r="A159" s="1"/>
      <c r="B159" s="1"/>
      <c r="C159" s="2" t="s">
        <v>132</v>
      </c>
      <c r="D159" s="1"/>
      <c r="E159" s="1" t="s">
        <v>133</v>
      </c>
      <c r="F159" s="13">
        <v>0</v>
      </c>
      <c r="G159" s="14">
        <v>0</v>
      </c>
      <c r="H159" s="53"/>
      <c r="I159" s="53"/>
    </row>
    <row r="160" spans="1:9" ht="14.1" customHeight="1" x14ac:dyDescent="0.2">
      <c r="A160" s="1"/>
      <c r="B160" s="1"/>
      <c r="C160" s="11"/>
      <c r="D160" s="1"/>
      <c r="E160" s="1"/>
      <c r="F160" s="12"/>
      <c r="G160" s="12"/>
      <c r="H160" s="53"/>
      <c r="I160" s="53"/>
    </row>
    <row r="161" spans="1:16" ht="14.1" customHeight="1" x14ac:dyDescent="0.2">
      <c r="A161" s="1"/>
      <c r="B161" s="4"/>
      <c r="C161" s="4"/>
      <c r="D161" s="2"/>
      <c r="E161" s="1"/>
      <c r="F161" s="4"/>
      <c r="G161" s="8"/>
      <c r="H161" s="53"/>
      <c r="I161" s="53"/>
    </row>
    <row r="162" spans="1:16" ht="18" customHeight="1" x14ac:dyDescent="0.2">
      <c r="A162" s="8"/>
      <c r="B162" s="4"/>
      <c r="C162" s="4" t="s">
        <v>869</v>
      </c>
      <c r="D162" s="4"/>
      <c r="E162" s="8"/>
      <c r="F162" s="6">
        <v>5062.5673369100004</v>
      </c>
      <c r="G162" s="7">
        <v>1.6245639999999999E-2</v>
      </c>
      <c r="H162" s="53"/>
      <c r="I162" s="53"/>
    </row>
    <row r="163" spans="1:16" ht="14.1" customHeight="1" x14ac:dyDescent="0.2">
      <c r="A163" s="11"/>
      <c r="B163" s="11"/>
      <c r="C163" s="2" t="s">
        <v>158</v>
      </c>
      <c r="D163" s="12"/>
      <c r="E163" s="12"/>
      <c r="F163" s="9">
        <v>311626.21592231002</v>
      </c>
      <c r="G163" s="10">
        <v>1.0000000040000001</v>
      </c>
      <c r="H163" s="53"/>
      <c r="I163" s="53"/>
    </row>
    <row r="164" spans="1:16" ht="14.1" customHeight="1" x14ac:dyDescent="0.2">
      <c r="A164" s="16"/>
      <c r="B164" s="16"/>
      <c r="C164" s="16"/>
      <c r="D164" s="17"/>
      <c r="E164" s="17"/>
      <c r="F164" s="17"/>
      <c r="G164" s="17"/>
    </row>
    <row r="165" spans="1:16" ht="17.100000000000001" customHeight="1" x14ac:dyDescent="0.2">
      <c r="A165" s="18"/>
      <c r="B165" s="292" t="s">
        <v>870</v>
      </c>
      <c r="C165" s="292"/>
      <c r="D165" s="292"/>
      <c r="E165" s="292"/>
      <c r="F165" s="292"/>
      <c r="G165" s="20"/>
    </row>
    <row r="166" spans="1:16" ht="17.100000000000001" customHeight="1" x14ac:dyDescent="0.2">
      <c r="A166" s="18"/>
      <c r="B166" s="292" t="s">
        <v>871</v>
      </c>
      <c r="C166" s="292"/>
      <c r="D166" s="292"/>
      <c r="E166" s="292"/>
      <c r="F166" s="292"/>
      <c r="G166" s="20"/>
    </row>
    <row r="167" spans="1:16" ht="17.100000000000001" customHeight="1" x14ac:dyDescent="0.2">
      <c r="A167" s="18"/>
      <c r="B167" s="292" t="s">
        <v>159</v>
      </c>
      <c r="C167" s="292"/>
      <c r="D167" s="292"/>
      <c r="E167" s="292"/>
      <c r="F167" s="292"/>
      <c r="G167" s="20"/>
    </row>
    <row r="168" spans="1:16" s="47" customFormat="1" ht="69.75" customHeight="1" x14ac:dyDescent="0.25">
      <c r="A168" s="44"/>
      <c r="B168" s="306" t="s">
        <v>903</v>
      </c>
      <c r="C168" s="306"/>
      <c r="D168" s="306"/>
      <c r="E168" s="306"/>
      <c r="F168" s="306"/>
      <c r="G168" s="45"/>
      <c r="H168"/>
      <c r="I168"/>
      <c r="J168"/>
      <c r="K168"/>
      <c r="L168"/>
      <c r="M168"/>
      <c r="N168"/>
      <c r="O168"/>
      <c r="P168" s="46"/>
    </row>
    <row r="169" spans="1:16" ht="14.1" customHeight="1" x14ac:dyDescent="0.2">
      <c r="A169" s="18"/>
      <c r="B169" s="18"/>
      <c r="C169" s="18"/>
      <c r="D169" s="20"/>
      <c r="E169" s="20"/>
      <c r="F169" s="20"/>
      <c r="G169" s="20"/>
    </row>
    <row r="170" spans="1:16" ht="14.1" customHeight="1" x14ac:dyDescent="0.2">
      <c r="A170" s="18"/>
      <c r="B170" s="293" t="s">
        <v>160</v>
      </c>
      <c r="C170" s="307"/>
      <c r="D170" s="294"/>
      <c r="E170" s="21"/>
      <c r="F170" s="20"/>
      <c r="G170" s="20"/>
    </row>
    <row r="171" spans="1:16" ht="29.1" customHeight="1" x14ac:dyDescent="0.2">
      <c r="A171" s="18"/>
      <c r="B171" s="290" t="s">
        <v>161</v>
      </c>
      <c r="C171" s="291"/>
      <c r="D171" s="65" t="s">
        <v>1038</v>
      </c>
      <c r="E171" s="21"/>
      <c r="F171" s="20"/>
      <c r="G171" s="20"/>
    </row>
    <row r="172" spans="1:16" ht="17.100000000000001" customHeight="1" x14ac:dyDescent="0.2">
      <c r="A172" s="64"/>
      <c r="B172" s="304" t="s">
        <v>956</v>
      </c>
      <c r="C172" s="305"/>
      <c r="D172" s="65" t="s">
        <v>978</v>
      </c>
      <c r="E172" s="66"/>
      <c r="F172" s="67"/>
      <c r="G172" s="67"/>
    </row>
    <row r="173" spans="1:16" ht="17.100000000000001" customHeight="1" x14ac:dyDescent="0.2">
      <c r="A173" s="18"/>
      <c r="B173" s="290" t="s">
        <v>164</v>
      </c>
      <c r="C173" s="291"/>
      <c r="D173" s="12" t="s">
        <v>133</v>
      </c>
      <c r="E173" s="21"/>
      <c r="F173" s="20"/>
      <c r="G173" s="20"/>
    </row>
    <row r="174" spans="1:16" ht="24" customHeight="1" x14ac:dyDescent="0.2">
      <c r="A174" s="22"/>
      <c r="B174" s="23" t="s">
        <v>133</v>
      </c>
      <c r="C174" s="23" t="s">
        <v>165</v>
      </c>
      <c r="D174" s="23" t="s">
        <v>166</v>
      </c>
      <c r="E174" s="22"/>
      <c r="F174" s="22"/>
      <c r="G174" s="22"/>
    </row>
    <row r="175" spans="1:16" ht="18" customHeight="1" x14ac:dyDescent="0.2">
      <c r="A175" s="22"/>
      <c r="B175" s="35" t="s">
        <v>167</v>
      </c>
      <c r="C175" s="23" t="s">
        <v>168</v>
      </c>
      <c r="D175" s="23" t="s">
        <v>169</v>
      </c>
      <c r="E175" s="22"/>
      <c r="F175" s="22"/>
      <c r="G175" s="22"/>
    </row>
    <row r="176" spans="1:16" ht="17.100000000000001" customHeight="1" x14ac:dyDescent="0.2">
      <c r="A176" s="22"/>
      <c r="B176" s="4" t="s">
        <v>170</v>
      </c>
      <c r="C176" s="36">
        <v>131.29499999999999</v>
      </c>
      <c r="D176" s="36">
        <v>128.6909</v>
      </c>
      <c r="E176" s="22"/>
      <c r="F176" s="19"/>
      <c r="G176" s="25"/>
    </row>
    <row r="177" spans="1:16" ht="29.1" customHeight="1" x14ac:dyDescent="0.2">
      <c r="A177" s="22"/>
      <c r="B177" s="4" t="s">
        <v>1047</v>
      </c>
      <c r="C177" s="36">
        <v>40.016199999999998</v>
      </c>
      <c r="D177" s="36">
        <v>38.875599999999999</v>
      </c>
      <c r="E177" s="22"/>
      <c r="F177" s="19"/>
      <c r="G177" s="25"/>
    </row>
    <row r="178" spans="1:16" ht="17.100000000000001" customHeight="1" x14ac:dyDescent="0.2">
      <c r="A178" s="22"/>
      <c r="B178" s="4" t="s">
        <v>171</v>
      </c>
      <c r="C178" s="36">
        <v>118.09610000000001</v>
      </c>
      <c r="D178" s="36">
        <v>115.6211</v>
      </c>
      <c r="E178" s="22"/>
      <c r="F178" s="19"/>
      <c r="G178" s="25"/>
      <c r="P178" s="80"/>
    </row>
    <row r="179" spans="1:16" ht="29.1" customHeight="1" x14ac:dyDescent="0.2">
      <c r="A179" s="22"/>
      <c r="B179" s="4" t="s">
        <v>1049</v>
      </c>
      <c r="C179" s="36">
        <v>27.336300000000001</v>
      </c>
      <c r="D179" s="36">
        <v>26.515699999999999</v>
      </c>
      <c r="E179" s="22"/>
      <c r="F179" s="19"/>
      <c r="G179" s="25"/>
    </row>
    <row r="180" spans="1:16" ht="14.1" customHeight="1" x14ac:dyDescent="0.2">
      <c r="A180" s="22"/>
      <c r="B180" s="22"/>
      <c r="C180" s="22"/>
      <c r="D180" s="22"/>
      <c r="E180" s="22"/>
      <c r="F180" s="22"/>
      <c r="G180" s="22"/>
    </row>
    <row r="181" spans="1:16" ht="17.100000000000001" customHeight="1" x14ac:dyDescent="0.2">
      <c r="A181" s="22"/>
      <c r="B181" s="290" t="s">
        <v>1044</v>
      </c>
      <c r="C181" s="291"/>
      <c r="D181" s="2" t="s">
        <v>133</v>
      </c>
      <c r="E181" s="22"/>
      <c r="F181" s="22"/>
      <c r="G181" s="22"/>
    </row>
    <row r="182" spans="1:16" ht="18" customHeight="1" x14ac:dyDescent="0.2">
      <c r="A182" s="22"/>
      <c r="B182" s="37" t="s">
        <v>167</v>
      </c>
      <c r="C182" s="38" t="s">
        <v>872</v>
      </c>
      <c r="D182" s="38" t="s">
        <v>873</v>
      </c>
      <c r="E182" s="22"/>
      <c r="F182" s="22"/>
      <c r="G182" s="22"/>
    </row>
    <row r="183" spans="1:16" ht="29.1" customHeight="1" x14ac:dyDescent="0.2">
      <c r="A183" s="22"/>
      <c r="B183" s="4" t="s">
        <v>1047</v>
      </c>
      <c r="C183" s="39">
        <v>0.35</v>
      </c>
      <c r="D183" s="39">
        <v>0.35</v>
      </c>
      <c r="E183" s="22"/>
      <c r="F183" s="19"/>
      <c r="G183" s="25"/>
    </row>
    <row r="184" spans="1:16" ht="29.1" customHeight="1" x14ac:dyDescent="0.2">
      <c r="A184" s="22"/>
      <c r="B184" s="4" t="s">
        <v>1049</v>
      </c>
      <c r="C184" s="39">
        <v>0.25</v>
      </c>
      <c r="D184" s="39">
        <v>0.25</v>
      </c>
      <c r="E184" s="22"/>
      <c r="F184" s="19"/>
      <c r="G184" s="25"/>
    </row>
    <row r="185" spans="1:16" ht="14.1" customHeight="1" x14ac:dyDescent="0.2">
      <c r="A185" s="22"/>
      <c r="B185" s="40"/>
      <c r="C185" s="40"/>
      <c r="D185" s="41"/>
      <c r="E185" s="22"/>
      <c r="F185" s="19"/>
      <c r="G185" s="25"/>
    </row>
    <row r="186" spans="1:16" ht="14.1" customHeight="1" x14ac:dyDescent="0.2">
      <c r="A186" s="22"/>
      <c r="B186" s="19"/>
      <c r="C186" s="19"/>
      <c r="D186" s="22"/>
      <c r="E186" s="22"/>
      <c r="F186" s="22"/>
      <c r="G186" s="22"/>
    </row>
    <row r="187" spans="1:16" ht="29.1" customHeight="1" x14ac:dyDescent="0.2">
      <c r="A187" s="22"/>
      <c r="B187" s="290" t="s">
        <v>172</v>
      </c>
      <c r="C187" s="291"/>
      <c r="D187" s="2" t="s">
        <v>162</v>
      </c>
      <c r="E187" s="42"/>
      <c r="F187" s="22"/>
      <c r="G187" s="22"/>
    </row>
    <row r="188" spans="1:16" ht="29.1" customHeight="1" x14ac:dyDescent="0.2">
      <c r="A188" s="22"/>
      <c r="B188" s="290" t="s">
        <v>173</v>
      </c>
      <c r="C188" s="291"/>
      <c r="D188" s="2" t="s">
        <v>162</v>
      </c>
      <c r="E188" s="42"/>
      <c r="F188" s="22"/>
      <c r="G188" s="22"/>
    </row>
    <row r="189" spans="1:16" ht="17.100000000000001" customHeight="1" x14ac:dyDescent="0.2">
      <c r="A189" s="22"/>
      <c r="B189" s="304" t="s">
        <v>174</v>
      </c>
      <c r="C189" s="305"/>
      <c r="D189" s="28">
        <v>0.73669156762891808</v>
      </c>
      <c r="E189" s="22"/>
      <c r="F189" s="19"/>
      <c r="G189" s="25"/>
    </row>
    <row r="190" spans="1:16" ht="17.100000000000001" customHeight="1" x14ac:dyDescent="0.2">
      <c r="A190" s="22"/>
      <c r="B190" s="304" t="s">
        <v>175</v>
      </c>
      <c r="C190" s="305"/>
      <c r="D190" s="2" t="s">
        <v>162</v>
      </c>
      <c r="E190" s="42"/>
      <c r="F190" s="22"/>
      <c r="G190" s="22"/>
    </row>
    <row r="191" spans="1:16" ht="11.1" customHeight="1" x14ac:dyDescent="0.2">
      <c r="A191" s="26"/>
      <c r="B191" s="26"/>
      <c r="C191" s="26"/>
      <c r="D191" s="26"/>
      <c r="E191" s="26"/>
      <c r="F191" s="26"/>
      <c r="G191" s="26"/>
    </row>
    <row r="192" spans="1:16" s="46" customFormat="1" x14ac:dyDescent="0.2">
      <c r="B192" s="142" t="s">
        <v>1041</v>
      </c>
      <c r="J192"/>
      <c r="K192"/>
      <c r="L192"/>
      <c r="M192"/>
      <c r="N192"/>
      <c r="O192"/>
    </row>
    <row r="193" spans="2:15" s="46" customFormat="1" ht="38.25" x14ac:dyDescent="0.2">
      <c r="B193" s="143" t="s">
        <v>1015</v>
      </c>
      <c r="C193" s="143" t="s">
        <v>1016</v>
      </c>
      <c r="D193" s="143" t="s">
        <v>1017</v>
      </c>
      <c r="E193" s="143" t="s">
        <v>1018</v>
      </c>
      <c r="F193" s="143" t="s">
        <v>1019</v>
      </c>
      <c r="J193"/>
      <c r="K193"/>
      <c r="L193"/>
      <c r="M193"/>
      <c r="N193"/>
      <c r="O193"/>
    </row>
    <row r="194" spans="2:15" s="46" customFormat="1" ht="25.5" x14ac:dyDescent="0.2">
      <c r="B194" s="144" t="s">
        <v>1020</v>
      </c>
      <c r="C194" s="145" t="s">
        <v>1021</v>
      </c>
      <c r="D194" s="146">
        <v>0</v>
      </c>
      <c r="E194" s="147">
        <v>0</v>
      </c>
      <c r="F194" s="148">
        <v>1000</v>
      </c>
      <c r="J194"/>
      <c r="K194"/>
      <c r="L194"/>
      <c r="M194"/>
      <c r="N194"/>
      <c r="O194"/>
    </row>
    <row r="195" spans="2:15" s="46" customFormat="1" x14ac:dyDescent="0.2">
      <c r="B195" s="142"/>
      <c r="J195"/>
      <c r="K195"/>
      <c r="L195"/>
      <c r="M195"/>
      <c r="N195"/>
      <c r="O195"/>
    </row>
    <row r="196" spans="2:15" s="46" customFormat="1" ht="29.25" customHeight="1" x14ac:dyDescent="0.2">
      <c r="B196" s="149" t="s">
        <v>1022</v>
      </c>
      <c r="C196" s="149" t="s">
        <v>1023</v>
      </c>
      <c r="D196" s="301" t="s">
        <v>1024</v>
      </c>
      <c r="E196" s="302"/>
      <c r="F196" s="303" t="s">
        <v>1025</v>
      </c>
      <c r="G196" s="303"/>
      <c r="H196" s="150"/>
      <c r="I196" s="151"/>
      <c r="J196"/>
      <c r="K196"/>
      <c r="L196"/>
      <c r="M196"/>
      <c r="N196"/>
      <c r="O196"/>
    </row>
    <row r="197" spans="2:15" s="46" customFormat="1" ht="25.5" x14ac:dyDescent="0.2">
      <c r="B197" s="152" t="s">
        <v>1026</v>
      </c>
      <c r="C197" s="153" t="s">
        <v>1027</v>
      </c>
      <c r="D197" s="318">
        <v>0</v>
      </c>
      <c r="E197" s="319"/>
      <c r="F197" s="318">
        <v>0</v>
      </c>
      <c r="G197" s="319"/>
      <c r="H197" s="154"/>
      <c r="I197" s="151"/>
      <c r="J197"/>
      <c r="K197"/>
      <c r="L197"/>
      <c r="M197"/>
      <c r="N197"/>
      <c r="O197"/>
    </row>
    <row r="198" spans="2:15" s="46" customFormat="1" x14ac:dyDescent="0.2">
      <c r="B198" s="312" t="s">
        <v>1028</v>
      </c>
      <c r="C198" s="313"/>
      <c r="D198" s="313"/>
      <c r="E198" s="313"/>
      <c r="F198" s="313"/>
      <c r="G198" s="314"/>
      <c r="H198" s="154"/>
      <c r="I198" s="151"/>
      <c r="J198"/>
      <c r="K198"/>
      <c r="L198"/>
      <c r="M198"/>
      <c r="N198"/>
      <c r="O198"/>
    </row>
    <row r="199" spans="2:15" s="46" customFormat="1" x14ac:dyDescent="0.2">
      <c r="B199" s="303" t="s">
        <v>1022</v>
      </c>
      <c r="C199" s="303" t="s">
        <v>1023</v>
      </c>
      <c r="D199" s="312" t="s">
        <v>1029</v>
      </c>
      <c r="E199" s="313"/>
      <c r="F199" s="314"/>
      <c r="G199" s="152"/>
      <c r="H199" s="154"/>
      <c r="I199" s="151"/>
      <c r="J199"/>
      <c r="K199"/>
      <c r="L199"/>
      <c r="M199"/>
      <c r="N199"/>
      <c r="O199"/>
    </row>
    <row r="200" spans="2:15" s="46" customFormat="1" ht="38.25" x14ac:dyDescent="0.2">
      <c r="B200" s="303"/>
      <c r="C200" s="303"/>
      <c r="D200" s="155" t="s">
        <v>1030</v>
      </c>
      <c r="E200" s="155" t="s">
        <v>1031</v>
      </c>
      <c r="F200" s="155" t="s">
        <v>1032</v>
      </c>
      <c r="G200" s="155" t="s">
        <v>1034</v>
      </c>
      <c r="H200" s="154"/>
      <c r="I200" s="151"/>
      <c r="J200"/>
      <c r="K200"/>
      <c r="L200"/>
      <c r="M200"/>
      <c r="N200"/>
      <c r="O200"/>
    </row>
    <row r="201" spans="2:15" s="46" customFormat="1" ht="25.5" x14ac:dyDescent="0.2">
      <c r="B201" s="156" t="s">
        <v>1026</v>
      </c>
      <c r="C201" s="153" t="s">
        <v>1027</v>
      </c>
      <c r="D201" s="157">
        <v>700</v>
      </c>
      <c r="E201" s="157">
        <v>24.098357999999998</v>
      </c>
      <c r="F201" s="158">
        <v>724.09835799999996</v>
      </c>
      <c r="G201" s="159">
        <v>2.27517173283996E-3</v>
      </c>
      <c r="H201" s="154"/>
      <c r="I201" s="151"/>
      <c r="J201"/>
      <c r="K201"/>
      <c r="L201"/>
      <c r="M201"/>
      <c r="N201"/>
      <c r="O201"/>
    </row>
    <row r="202" spans="2:15" s="46" customFormat="1" ht="27.75" customHeight="1" x14ac:dyDescent="0.2">
      <c r="B202" s="315" t="s">
        <v>1033</v>
      </c>
      <c r="C202" s="316"/>
      <c r="D202" s="316"/>
      <c r="E202" s="316"/>
      <c r="F202" s="316"/>
      <c r="G202" s="317"/>
      <c r="H202" s="154"/>
      <c r="I202" s="151"/>
      <c r="J202"/>
      <c r="K202"/>
      <c r="L202"/>
      <c r="M202"/>
      <c r="N202"/>
      <c r="O202"/>
    </row>
    <row r="204" spans="2:15" x14ac:dyDescent="0.2">
      <c r="B204" s="309" t="s">
        <v>1064</v>
      </c>
      <c r="C204" s="310"/>
      <c r="D204" s="311"/>
    </row>
    <row r="205" spans="2:15" ht="63.75" x14ac:dyDescent="0.2">
      <c r="B205" s="308" t="s">
        <v>1065</v>
      </c>
      <c r="C205" s="308"/>
      <c r="D205" s="180" t="s">
        <v>1063</v>
      </c>
      <c r="J205" s="80"/>
    </row>
    <row r="206" spans="2:15" x14ac:dyDescent="0.2">
      <c r="B206" s="308" t="s">
        <v>1066</v>
      </c>
      <c r="C206" s="308"/>
      <c r="D206" s="180"/>
      <c r="J206" s="80"/>
    </row>
    <row r="207" spans="2:15" x14ac:dyDescent="0.2">
      <c r="B207" s="297"/>
      <c r="C207" s="299"/>
      <c r="D207" s="182"/>
      <c r="J207" s="80"/>
    </row>
    <row r="208" spans="2:15" x14ac:dyDescent="0.2">
      <c r="B208" s="308" t="s">
        <v>1070</v>
      </c>
      <c r="C208" s="308"/>
      <c r="D208" s="183">
        <v>7.1423248811566529</v>
      </c>
      <c r="J208" s="80"/>
    </row>
    <row r="209" spans="2:10" x14ac:dyDescent="0.2">
      <c r="B209" s="297"/>
      <c r="C209" s="299"/>
      <c r="D209" s="182"/>
      <c r="J209" s="80"/>
    </row>
    <row r="210" spans="2:10" x14ac:dyDescent="0.2">
      <c r="B210" s="308" t="s">
        <v>1068</v>
      </c>
      <c r="C210" s="308"/>
      <c r="D210" s="183">
        <v>1.4545312618638626</v>
      </c>
      <c r="J210" s="80"/>
    </row>
    <row r="211" spans="2:10" x14ac:dyDescent="0.2">
      <c r="B211" s="308" t="s">
        <v>1069</v>
      </c>
      <c r="C211" s="308"/>
      <c r="D211" s="183">
        <v>1.8664037035984888</v>
      </c>
      <c r="J211" s="80"/>
    </row>
    <row r="212" spans="2:10" x14ac:dyDescent="0.2">
      <c r="B212" s="297"/>
      <c r="C212" s="299"/>
      <c r="D212" s="182"/>
      <c r="J212" s="80"/>
    </row>
    <row r="213" spans="2:10" x14ac:dyDescent="0.2">
      <c r="B213" s="308" t="s">
        <v>1067</v>
      </c>
      <c r="C213" s="308"/>
      <c r="D213" s="184">
        <v>44926</v>
      </c>
      <c r="J213" s="80"/>
    </row>
    <row r="214" spans="2:10" ht="12.75" customHeight="1" x14ac:dyDescent="0.2">
      <c r="B214" s="297" t="s">
        <v>1071</v>
      </c>
      <c r="C214" s="298"/>
      <c r="D214" s="299"/>
      <c r="J214" s="80"/>
    </row>
    <row r="215" spans="2:10" ht="15" x14ac:dyDescent="0.2">
      <c r="J215" s="192"/>
    </row>
    <row r="216" spans="2:10" ht="15" x14ac:dyDescent="0.25">
      <c r="J216" s="193"/>
    </row>
    <row r="217" spans="2:10" x14ac:dyDescent="0.2">
      <c r="J217" s="80"/>
    </row>
  </sheetData>
  <mergeCells count="37">
    <mergeCell ref="K2:O2"/>
    <mergeCell ref="B204:D204"/>
    <mergeCell ref="B205:C205"/>
    <mergeCell ref="B206:C206"/>
    <mergeCell ref="B207:C207"/>
    <mergeCell ref="B198:G198"/>
    <mergeCell ref="B199:B200"/>
    <mergeCell ref="C199:C200"/>
    <mergeCell ref="D199:F199"/>
    <mergeCell ref="B202:G202"/>
    <mergeCell ref="B171:C171"/>
    <mergeCell ref="D197:E197"/>
    <mergeCell ref="F197:G197"/>
    <mergeCell ref="B172:C172"/>
    <mergeCell ref="B173:C173"/>
    <mergeCell ref="B213:C213"/>
    <mergeCell ref="B208:C208"/>
    <mergeCell ref="B209:C209"/>
    <mergeCell ref="B210:C210"/>
    <mergeCell ref="B211:C211"/>
    <mergeCell ref="B212:C212"/>
    <mergeCell ref="B214:D214"/>
    <mergeCell ref="A1:I1"/>
    <mergeCell ref="A2:I2"/>
    <mergeCell ref="A3:I3"/>
    <mergeCell ref="D196:E196"/>
    <mergeCell ref="F196:G196"/>
    <mergeCell ref="B188:C188"/>
    <mergeCell ref="B190:C190"/>
    <mergeCell ref="B189:C189"/>
    <mergeCell ref="B181:C181"/>
    <mergeCell ref="B187:C187"/>
    <mergeCell ref="B165:F165"/>
    <mergeCell ref="B166:F166"/>
    <mergeCell ref="B167:F167"/>
    <mergeCell ref="B168:F168"/>
    <mergeCell ref="B170:D170"/>
  </mergeCells>
  <hyperlinks>
    <hyperlink ref="J1" location="Index!B23" display="Index" xr:uid="{08181B20-C3BC-477A-88CD-DE3AED3B98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150"/>
  <sheetViews>
    <sheetView showGridLines="0" workbookViewId="0">
      <selection sqref="A1:H1"/>
    </sheetView>
  </sheetViews>
  <sheetFormatPr defaultRowHeight="12.75" x14ac:dyDescent="0.2"/>
  <cols>
    <col min="1" max="1" width="6.85546875" customWidth="1"/>
    <col min="2" max="2" width="20.5703125" customWidth="1"/>
    <col min="3" max="3" width="35.57031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1062</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266</v>
      </c>
      <c r="C7" s="4" t="s">
        <v>267</v>
      </c>
      <c r="D7" s="4" t="s">
        <v>19</v>
      </c>
      <c r="E7" s="5">
        <v>31900</v>
      </c>
      <c r="F7" s="6">
        <v>519.37985000000003</v>
      </c>
      <c r="G7" s="7">
        <v>9.3189451000000006E-2</v>
      </c>
      <c r="H7" s="53"/>
    </row>
    <row r="8" spans="1:14" ht="17.100000000000001" customHeight="1" x14ac:dyDescent="0.2">
      <c r="A8" s="3">
        <v>2</v>
      </c>
      <c r="B8" s="4" t="s">
        <v>232</v>
      </c>
      <c r="C8" s="4" t="s">
        <v>233</v>
      </c>
      <c r="D8" s="4" t="s">
        <v>234</v>
      </c>
      <c r="E8" s="5">
        <v>180000</v>
      </c>
      <c r="F8" s="6">
        <v>432.09</v>
      </c>
      <c r="G8" s="7">
        <v>7.7527517000000004E-2</v>
      </c>
      <c r="H8" s="53"/>
    </row>
    <row r="9" spans="1:14" ht="17.100000000000001" customHeight="1" x14ac:dyDescent="0.2">
      <c r="A9" s="3">
        <v>3</v>
      </c>
      <c r="B9" s="4" t="s">
        <v>342</v>
      </c>
      <c r="C9" s="4" t="s">
        <v>343</v>
      </c>
      <c r="D9" s="4" t="s">
        <v>119</v>
      </c>
      <c r="E9" s="5">
        <v>6250</v>
      </c>
      <c r="F9" s="6">
        <v>410.95</v>
      </c>
      <c r="G9" s="7">
        <v>7.3734484000000003E-2</v>
      </c>
      <c r="H9" s="53"/>
    </row>
    <row r="10" spans="1:14" ht="29.1" customHeight="1" x14ac:dyDescent="0.2">
      <c r="A10" s="3">
        <v>4</v>
      </c>
      <c r="B10" s="4" t="s">
        <v>58</v>
      </c>
      <c r="C10" s="4" t="s">
        <v>59</v>
      </c>
      <c r="D10" s="4" t="s">
        <v>60</v>
      </c>
      <c r="E10" s="5">
        <v>50000</v>
      </c>
      <c r="F10" s="6">
        <v>409.05</v>
      </c>
      <c r="G10" s="7">
        <v>7.3393577000000002E-2</v>
      </c>
      <c r="H10" s="53"/>
    </row>
    <row r="11" spans="1:14" ht="17.100000000000001" customHeight="1" x14ac:dyDescent="0.2">
      <c r="A11" s="3">
        <v>5</v>
      </c>
      <c r="B11" s="4" t="s">
        <v>329</v>
      </c>
      <c r="C11" s="4" t="s">
        <v>330</v>
      </c>
      <c r="D11" s="4" t="s">
        <v>19</v>
      </c>
      <c r="E11" s="5">
        <v>21200</v>
      </c>
      <c r="F11" s="6">
        <v>387.37700000000001</v>
      </c>
      <c r="G11" s="7">
        <v>6.9504911000000003E-2</v>
      </c>
      <c r="H11" s="53"/>
    </row>
    <row r="12" spans="1:14" ht="17.100000000000001" customHeight="1" x14ac:dyDescent="0.2">
      <c r="A12" s="3">
        <v>6</v>
      </c>
      <c r="B12" s="4" t="s">
        <v>17</v>
      </c>
      <c r="C12" s="4" t="s">
        <v>18</v>
      </c>
      <c r="D12" s="4" t="s">
        <v>19</v>
      </c>
      <c r="E12" s="5">
        <v>35700</v>
      </c>
      <c r="F12" s="6">
        <v>318.03345000000002</v>
      </c>
      <c r="G12" s="7">
        <v>5.7062980999999999E-2</v>
      </c>
      <c r="H12" s="53"/>
      <c r="J12" s="188"/>
    </row>
    <row r="13" spans="1:14" ht="17.100000000000001" customHeight="1" x14ac:dyDescent="0.2">
      <c r="A13" s="3">
        <v>7</v>
      </c>
      <c r="B13" s="4" t="s">
        <v>70</v>
      </c>
      <c r="C13" s="4" t="s">
        <v>71</v>
      </c>
      <c r="D13" s="4" t="s">
        <v>72</v>
      </c>
      <c r="E13" s="5">
        <v>3600</v>
      </c>
      <c r="F13" s="6">
        <v>302.2056</v>
      </c>
      <c r="G13" s="7">
        <v>5.4223078000000001E-2</v>
      </c>
      <c r="H13" s="53"/>
    </row>
    <row r="14" spans="1:14" ht="17.100000000000001" customHeight="1" x14ac:dyDescent="0.2">
      <c r="A14" s="3">
        <v>8</v>
      </c>
      <c r="B14" s="4" t="s">
        <v>542</v>
      </c>
      <c r="C14" s="4" t="s">
        <v>543</v>
      </c>
      <c r="D14" s="4" t="s">
        <v>116</v>
      </c>
      <c r="E14" s="5">
        <v>7000</v>
      </c>
      <c r="F14" s="6">
        <v>216.15299999999999</v>
      </c>
      <c r="G14" s="7">
        <v>3.8783136000000003E-2</v>
      </c>
      <c r="H14" s="53"/>
      <c r="J14" s="188" t="s">
        <v>1087</v>
      </c>
    </row>
    <row r="15" spans="1:14" ht="29.1" customHeight="1" x14ac:dyDescent="0.2">
      <c r="A15" s="3">
        <v>9</v>
      </c>
      <c r="B15" s="4" t="s">
        <v>81</v>
      </c>
      <c r="C15" s="4" t="s">
        <v>82</v>
      </c>
      <c r="D15" s="4" t="s">
        <v>25</v>
      </c>
      <c r="E15" s="5">
        <v>28800</v>
      </c>
      <c r="F15" s="6">
        <v>150.9408</v>
      </c>
      <c r="G15" s="7">
        <v>2.7082472E-2</v>
      </c>
      <c r="H15" s="53"/>
    </row>
    <row r="16" spans="1:14" ht="17.100000000000001" customHeight="1" x14ac:dyDescent="0.2">
      <c r="A16" s="3">
        <v>10</v>
      </c>
      <c r="B16" s="4" t="s">
        <v>20</v>
      </c>
      <c r="C16" s="4" t="s">
        <v>21</v>
      </c>
      <c r="D16" s="4" t="s">
        <v>22</v>
      </c>
      <c r="E16" s="5">
        <v>4750</v>
      </c>
      <c r="F16" s="6">
        <v>120.992</v>
      </c>
      <c r="G16" s="7">
        <v>2.1708925E-2</v>
      </c>
      <c r="H16" s="53"/>
    </row>
    <row r="17" spans="1:8" ht="17.100000000000001" customHeight="1" x14ac:dyDescent="0.2">
      <c r="A17" s="3">
        <v>11</v>
      </c>
      <c r="B17" s="4" t="s">
        <v>61</v>
      </c>
      <c r="C17" s="4" t="s">
        <v>62</v>
      </c>
      <c r="D17" s="4" t="s">
        <v>45</v>
      </c>
      <c r="E17" s="5">
        <v>3575</v>
      </c>
      <c r="F17" s="6">
        <v>101.0438</v>
      </c>
      <c r="G17" s="7">
        <v>1.812973E-2</v>
      </c>
      <c r="H17" s="53"/>
    </row>
    <row r="18" spans="1:8" ht="17.100000000000001" customHeight="1" x14ac:dyDescent="0.2">
      <c r="A18" s="3">
        <v>12</v>
      </c>
      <c r="B18" s="4" t="s">
        <v>544</v>
      </c>
      <c r="C18" s="4" t="s">
        <v>545</v>
      </c>
      <c r="D18" s="4" t="s">
        <v>96</v>
      </c>
      <c r="E18" s="5">
        <v>26400</v>
      </c>
      <c r="F18" s="6">
        <v>99</v>
      </c>
      <c r="G18" s="7">
        <v>1.7763022E-2</v>
      </c>
      <c r="H18" s="53"/>
    </row>
    <row r="19" spans="1:8" ht="17.100000000000001" customHeight="1" x14ac:dyDescent="0.2">
      <c r="A19" s="3">
        <v>13</v>
      </c>
      <c r="B19" s="4" t="s">
        <v>217</v>
      </c>
      <c r="C19" s="4" t="s">
        <v>218</v>
      </c>
      <c r="D19" s="4" t="s">
        <v>219</v>
      </c>
      <c r="E19" s="5">
        <v>10000</v>
      </c>
      <c r="F19" s="6">
        <v>58.06</v>
      </c>
      <c r="G19" s="7">
        <v>1.0417384E-2</v>
      </c>
      <c r="H19" s="53"/>
    </row>
    <row r="20" spans="1:8" ht="17.100000000000001" customHeight="1" x14ac:dyDescent="0.2">
      <c r="A20" s="3">
        <v>14</v>
      </c>
      <c r="B20" s="4" t="s">
        <v>316</v>
      </c>
      <c r="C20" s="4" t="s">
        <v>317</v>
      </c>
      <c r="D20" s="4" t="s">
        <v>900</v>
      </c>
      <c r="E20" s="5">
        <v>13500</v>
      </c>
      <c r="F20" s="6">
        <v>53.021250000000002</v>
      </c>
      <c r="G20" s="7">
        <v>9.5133089999999993E-3</v>
      </c>
      <c r="H20" s="53"/>
    </row>
    <row r="21" spans="1:8" ht="17.100000000000001" customHeight="1" x14ac:dyDescent="0.2">
      <c r="A21" s="3">
        <v>15</v>
      </c>
      <c r="B21" s="4" t="s">
        <v>11</v>
      </c>
      <c r="C21" s="4" t="s">
        <v>12</v>
      </c>
      <c r="D21" s="4" t="s">
        <v>13</v>
      </c>
      <c r="E21" s="5">
        <v>2400</v>
      </c>
      <c r="F21" s="6">
        <v>50.059199999999997</v>
      </c>
      <c r="G21" s="7">
        <v>8.9818450000000005E-3</v>
      </c>
      <c r="H21" s="53"/>
    </row>
    <row r="22" spans="1:8" ht="29.1" customHeight="1" x14ac:dyDescent="0.2">
      <c r="A22" s="3">
        <v>16</v>
      </c>
      <c r="B22" s="4" t="s">
        <v>546</v>
      </c>
      <c r="C22" s="4" t="s">
        <v>547</v>
      </c>
      <c r="D22" s="4" t="s">
        <v>227</v>
      </c>
      <c r="E22" s="5">
        <v>11000</v>
      </c>
      <c r="F22" s="6">
        <v>48.213000000000001</v>
      </c>
      <c r="G22" s="7">
        <v>8.6505920000000004E-3</v>
      </c>
      <c r="H22" s="53"/>
    </row>
    <row r="23" spans="1:8" ht="29.1" customHeight="1" x14ac:dyDescent="0.2">
      <c r="A23" s="3">
        <v>17</v>
      </c>
      <c r="B23" s="4" t="s">
        <v>249</v>
      </c>
      <c r="C23" s="4" t="s">
        <v>250</v>
      </c>
      <c r="D23" s="4" t="s">
        <v>227</v>
      </c>
      <c r="E23" s="5">
        <v>10800</v>
      </c>
      <c r="F23" s="6">
        <v>45.354599999999998</v>
      </c>
      <c r="G23" s="7">
        <v>8.1377250000000002E-3</v>
      </c>
      <c r="H23" s="53"/>
    </row>
    <row r="24" spans="1:8" ht="29.1" customHeight="1" x14ac:dyDescent="0.2">
      <c r="A24" s="3">
        <v>18</v>
      </c>
      <c r="B24" s="4" t="s">
        <v>293</v>
      </c>
      <c r="C24" s="4" t="s">
        <v>294</v>
      </c>
      <c r="D24" s="4" t="s">
        <v>119</v>
      </c>
      <c r="E24" s="5">
        <v>1500</v>
      </c>
      <c r="F24" s="6">
        <v>39.564</v>
      </c>
      <c r="G24" s="7">
        <v>7.09875E-3</v>
      </c>
      <c r="H24" s="53"/>
    </row>
    <row r="25" spans="1:8" ht="17.100000000000001" customHeight="1" x14ac:dyDescent="0.2">
      <c r="A25" s="3">
        <v>19</v>
      </c>
      <c r="B25" s="4" t="s">
        <v>548</v>
      </c>
      <c r="C25" s="4" t="s">
        <v>549</v>
      </c>
      <c r="D25" s="4" t="s">
        <v>119</v>
      </c>
      <c r="E25" s="5">
        <v>8924</v>
      </c>
      <c r="F25" s="6">
        <v>7.7861900000000004</v>
      </c>
      <c r="G25" s="7">
        <v>1.397033E-3</v>
      </c>
      <c r="H25" s="53"/>
    </row>
    <row r="26" spans="1:8" ht="14.1" customHeight="1" x14ac:dyDescent="0.2">
      <c r="A26" s="1"/>
      <c r="B26" s="1"/>
      <c r="C26" s="2" t="s">
        <v>132</v>
      </c>
      <c r="D26" s="1"/>
      <c r="E26" s="1" t="s">
        <v>133</v>
      </c>
      <c r="F26" s="9">
        <v>3769.2737400000001</v>
      </c>
      <c r="G26" s="10">
        <v>0.676299922</v>
      </c>
      <c r="H26" s="53"/>
    </row>
    <row r="27" spans="1:8" ht="14.1" customHeight="1" x14ac:dyDescent="0.2">
      <c r="A27" s="1"/>
      <c r="B27" s="1"/>
      <c r="C27" s="11"/>
      <c r="D27" s="1"/>
      <c r="E27" s="1"/>
      <c r="F27" s="12"/>
      <c r="G27" s="12"/>
      <c r="H27" s="53"/>
    </row>
    <row r="28" spans="1:8" ht="14.1" customHeight="1" x14ac:dyDescent="0.2">
      <c r="A28" s="1"/>
      <c r="B28" s="1"/>
      <c r="C28" s="2" t="s">
        <v>134</v>
      </c>
      <c r="D28" s="1"/>
      <c r="E28" s="1"/>
      <c r="F28" s="1"/>
      <c r="G28" s="1"/>
      <c r="H28" s="53"/>
    </row>
    <row r="29" spans="1:8" ht="14.1" customHeight="1" x14ac:dyDescent="0.2">
      <c r="A29" s="1"/>
      <c r="B29" s="1"/>
      <c r="C29" s="2" t="s">
        <v>132</v>
      </c>
      <c r="D29" s="1"/>
      <c r="E29" s="1" t="s">
        <v>133</v>
      </c>
      <c r="F29" s="13">
        <v>0</v>
      </c>
      <c r="G29" s="14">
        <v>0</v>
      </c>
      <c r="H29" s="53"/>
    </row>
    <row r="30" spans="1:8" ht="14.1" customHeight="1" x14ac:dyDescent="0.2">
      <c r="A30" s="1"/>
      <c r="B30" s="1"/>
      <c r="C30" s="11"/>
      <c r="D30" s="1"/>
      <c r="E30" s="1"/>
      <c r="F30" s="12"/>
      <c r="G30" s="12"/>
      <c r="H30" s="53"/>
    </row>
    <row r="31" spans="1:8" ht="14.1" customHeight="1" x14ac:dyDescent="0.2">
      <c r="A31" s="1"/>
      <c r="B31" s="1"/>
      <c r="C31" s="2" t="s">
        <v>135</v>
      </c>
      <c r="D31" s="1"/>
      <c r="E31" s="1"/>
      <c r="F31" s="1"/>
      <c r="G31" s="1"/>
      <c r="H31" s="53"/>
    </row>
    <row r="32" spans="1:8" ht="14.1" customHeight="1" x14ac:dyDescent="0.2">
      <c r="A32" s="1"/>
      <c r="B32" s="1"/>
      <c r="C32" s="2" t="s">
        <v>132</v>
      </c>
      <c r="D32" s="1"/>
      <c r="E32" s="1" t="s">
        <v>133</v>
      </c>
      <c r="F32" s="13">
        <v>0</v>
      </c>
      <c r="G32" s="14">
        <v>0</v>
      </c>
      <c r="H32" s="53"/>
    </row>
    <row r="33" spans="1:8" ht="14.1" customHeight="1" x14ac:dyDescent="0.2">
      <c r="A33" s="1"/>
      <c r="B33" s="1"/>
      <c r="C33" s="11"/>
      <c r="D33" s="1"/>
      <c r="E33" s="1"/>
      <c r="F33" s="12"/>
      <c r="G33" s="12"/>
      <c r="H33" s="53"/>
    </row>
    <row r="34" spans="1:8" ht="14.1" customHeight="1" x14ac:dyDescent="0.2">
      <c r="A34" s="1"/>
      <c r="B34" s="1"/>
      <c r="C34" s="2" t="s">
        <v>136</v>
      </c>
      <c r="D34" s="1"/>
      <c r="E34" s="1"/>
      <c r="F34" s="1"/>
      <c r="G34" s="1"/>
      <c r="H34" s="53"/>
    </row>
    <row r="35" spans="1:8" ht="14.1" customHeight="1" x14ac:dyDescent="0.2">
      <c r="A35" s="1"/>
      <c r="B35" s="1"/>
      <c r="C35" s="2" t="s">
        <v>132</v>
      </c>
      <c r="D35" s="1"/>
      <c r="E35" s="1" t="s">
        <v>133</v>
      </c>
      <c r="F35" s="13">
        <v>0</v>
      </c>
      <c r="G35" s="14">
        <v>0</v>
      </c>
      <c r="H35" s="53"/>
    </row>
    <row r="36" spans="1:8" ht="14.1" customHeight="1" x14ac:dyDescent="0.2">
      <c r="A36" s="1"/>
      <c r="B36" s="1"/>
      <c r="C36" s="11"/>
      <c r="D36" s="1"/>
      <c r="E36" s="1"/>
      <c r="F36" s="12"/>
      <c r="G36" s="12"/>
      <c r="H36" s="53"/>
    </row>
    <row r="37" spans="1:8" ht="14.1" customHeight="1" x14ac:dyDescent="0.2">
      <c r="A37" s="1"/>
      <c r="B37" s="1"/>
      <c r="C37" s="2" t="s">
        <v>137</v>
      </c>
      <c r="D37" s="1"/>
      <c r="E37" s="1"/>
      <c r="F37" s="12"/>
      <c r="G37" s="12"/>
      <c r="H37" s="53"/>
    </row>
    <row r="38" spans="1:8" ht="14.1" customHeight="1" x14ac:dyDescent="0.2">
      <c r="A38" s="1"/>
      <c r="B38" s="1"/>
      <c r="C38" s="2" t="s">
        <v>132</v>
      </c>
      <c r="D38" s="1"/>
      <c r="E38" s="1" t="s">
        <v>133</v>
      </c>
      <c r="F38" s="13">
        <v>0</v>
      </c>
      <c r="G38" s="14">
        <v>0</v>
      </c>
      <c r="H38" s="53"/>
    </row>
    <row r="39" spans="1:8" ht="14.1" customHeight="1" x14ac:dyDescent="0.2">
      <c r="A39" s="1"/>
      <c r="B39" s="1"/>
      <c r="C39" s="11"/>
      <c r="D39" s="1"/>
      <c r="E39" s="1"/>
      <c r="F39" s="12"/>
      <c r="G39" s="12"/>
      <c r="H39" s="53"/>
    </row>
    <row r="40" spans="1:8" ht="14.1" customHeight="1" x14ac:dyDescent="0.2">
      <c r="A40" s="1"/>
      <c r="B40" s="1"/>
      <c r="C40" s="2" t="s">
        <v>138</v>
      </c>
      <c r="D40" s="1"/>
      <c r="E40" s="1"/>
      <c r="F40" s="12"/>
      <c r="G40" s="12"/>
      <c r="H40" s="53"/>
    </row>
    <row r="41" spans="1:8" ht="15.95" customHeight="1" x14ac:dyDescent="0.2">
      <c r="A41" s="3">
        <v>1</v>
      </c>
      <c r="B41" s="4"/>
      <c r="C41" s="4" t="s">
        <v>904</v>
      </c>
      <c r="D41" s="4" t="s">
        <v>550</v>
      </c>
      <c r="E41" s="5">
        <v>-8924</v>
      </c>
      <c r="F41" s="6">
        <v>-7.8352719999999998</v>
      </c>
      <c r="G41" s="7">
        <v>-1.4058399999999998E-3</v>
      </c>
      <c r="H41" s="53"/>
    </row>
    <row r="42" spans="1:8" ht="25.5" x14ac:dyDescent="0.2">
      <c r="A42" s="3">
        <v>2</v>
      </c>
      <c r="B42" s="4"/>
      <c r="C42" s="4" t="s">
        <v>905</v>
      </c>
      <c r="D42" s="4" t="s">
        <v>550</v>
      </c>
      <c r="E42" s="5">
        <v>-1500</v>
      </c>
      <c r="F42" s="6">
        <v>-39.84675</v>
      </c>
      <c r="G42" s="7">
        <v>-7.1494899999999997E-3</v>
      </c>
      <c r="H42" s="53"/>
    </row>
    <row r="43" spans="1:8" ht="15.95" customHeight="1" x14ac:dyDescent="0.2">
      <c r="A43" s="3">
        <v>3</v>
      </c>
      <c r="B43" s="4"/>
      <c r="C43" s="4" t="s">
        <v>906</v>
      </c>
      <c r="D43" s="4" t="s">
        <v>550</v>
      </c>
      <c r="E43" s="5">
        <v>-10800</v>
      </c>
      <c r="F43" s="6">
        <v>-45.543599999999998</v>
      </c>
      <c r="G43" s="7">
        <v>-8.1716400000000008E-3</v>
      </c>
      <c r="H43" s="53"/>
    </row>
    <row r="44" spans="1:8" ht="15.95" customHeight="1" x14ac:dyDescent="0.2">
      <c r="A44" s="3">
        <v>4</v>
      </c>
      <c r="B44" s="4"/>
      <c r="C44" s="4" t="s">
        <v>907</v>
      </c>
      <c r="D44" s="4" t="s">
        <v>550</v>
      </c>
      <c r="E44" s="5">
        <v>-11000</v>
      </c>
      <c r="F44" s="6">
        <v>-48.4495</v>
      </c>
      <c r="G44" s="7">
        <v>-8.6930300000000009E-3</v>
      </c>
      <c r="H44" s="53"/>
    </row>
    <row r="45" spans="1:8" ht="15.95" customHeight="1" x14ac:dyDescent="0.2">
      <c r="A45" s="3">
        <v>5</v>
      </c>
      <c r="B45" s="4"/>
      <c r="C45" s="4" t="s">
        <v>908</v>
      </c>
      <c r="D45" s="4" t="s">
        <v>550</v>
      </c>
      <c r="E45" s="5">
        <v>-2400</v>
      </c>
      <c r="F45" s="6">
        <v>-50.417999999999999</v>
      </c>
      <c r="G45" s="7">
        <v>-9.0462200000000006E-3</v>
      </c>
      <c r="H45" s="53"/>
    </row>
    <row r="46" spans="1:8" ht="15.95" customHeight="1" x14ac:dyDescent="0.2">
      <c r="A46" s="3">
        <v>6</v>
      </c>
      <c r="B46" s="4"/>
      <c r="C46" s="4" t="s">
        <v>909</v>
      </c>
      <c r="D46" s="4" t="s">
        <v>550</v>
      </c>
      <c r="E46" s="5">
        <v>-13500</v>
      </c>
      <c r="F46" s="6">
        <v>-53.149500000000003</v>
      </c>
      <c r="G46" s="7">
        <v>-9.5363200000000009E-3</v>
      </c>
      <c r="H46" s="53"/>
    </row>
    <row r="47" spans="1:8" ht="15.95" customHeight="1" x14ac:dyDescent="0.2">
      <c r="A47" s="3">
        <v>7</v>
      </c>
      <c r="B47" s="4"/>
      <c r="C47" s="4" t="s">
        <v>910</v>
      </c>
      <c r="D47" s="4" t="s">
        <v>550</v>
      </c>
      <c r="E47" s="5">
        <v>-10000</v>
      </c>
      <c r="F47" s="6">
        <v>-58.465000000000003</v>
      </c>
      <c r="G47" s="7">
        <v>-1.0490049999999999E-2</v>
      </c>
      <c r="H47" s="53"/>
    </row>
    <row r="48" spans="1:8" ht="15.95" customHeight="1" x14ac:dyDescent="0.2">
      <c r="A48" s="3">
        <v>8</v>
      </c>
      <c r="B48" s="4"/>
      <c r="C48" s="4" t="s">
        <v>911</v>
      </c>
      <c r="D48" s="4" t="s">
        <v>550</v>
      </c>
      <c r="E48" s="5">
        <v>-26400</v>
      </c>
      <c r="F48" s="6">
        <v>-99.593999999999994</v>
      </c>
      <c r="G48" s="7">
        <v>-1.7869599999999999E-2</v>
      </c>
      <c r="H48" s="53"/>
    </row>
    <row r="49" spans="1:8" ht="15.95" customHeight="1" x14ac:dyDescent="0.2">
      <c r="A49" s="3">
        <v>9</v>
      </c>
      <c r="B49" s="4"/>
      <c r="C49" s="4" t="s">
        <v>912</v>
      </c>
      <c r="D49" s="4" t="s">
        <v>550</v>
      </c>
      <c r="E49" s="5">
        <v>-3575</v>
      </c>
      <c r="F49" s="6">
        <v>-101.71232500000001</v>
      </c>
      <c r="G49" s="7">
        <v>-1.8249669999999999E-2</v>
      </c>
      <c r="H49" s="53"/>
    </row>
    <row r="50" spans="1:8" ht="15.95" customHeight="1" x14ac:dyDescent="0.2">
      <c r="A50" s="3">
        <v>10</v>
      </c>
      <c r="B50" s="4"/>
      <c r="C50" s="4" t="s">
        <v>913</v>
      </c>
      <c r="D50" s="4" t="s">
        <v>550</v>
      </c>
      <c r="E50" s="5">
        <v>-4750</v>
      </c>
      <c r="F50" s="6">
        <v>-121.84225000000001</v>
      </c>
      <c r="G50" s="7">
        <v>-2.1861489999999997E-2</v>
      </c>
      <c r="H50" s="53"/>
    </row>
    <row r="51" spans="1:8" ht="15.95" customHeight="1" x14ac:dyDescent="0.2">
      <c r="A51" s="3">
        <v>11</v>
      </c>
      <c r="B51" s="4"/>
      <c r="C51" s="4" t="s">
        <v>914</v>
      </c>
      <c r="D51" s="4" t="s">
        <v>550</v>
      </c>
      <c r="E51" s="5">
        <v>-28800</v>
      </c>
      <c r="F51" s="6">
        <v>-152.00640000000001</v>
      </c>
      <c r="G51" s="7">
        <v>-2.727367E-2</v>
      </c>
      <c r="H51" s="53"/>
    </row>
    <row r="52" spans="1:8" ht="15.95" customHeight="1" x14ac:dyDescent="0.2">
      <c r="A52" s="3">
        <v>12</v>
      </c>
      <c r="B52" s="4"/>
      <c r="C52" s="4" t="s">
        <v>915</v>
      </c>
      <c r="D52" s="4" t="s">
        <v>550</v>
      </c>
      <c r="E52" s="5">
        <v>-7000</v>
      </c>
      <c r="F52" s="6">
        <v>-217.14699999999999</v>
      </c>
      <c r="G52" s="7">
        <v>-3.896148E-2</v>
      </c>
      <c r="H52" s="53"/>
    </row>
    <row r="53" spans="1:8" ht="15.95" customHeight="1" x14ac:dyDescent="0.2">
      <c r="A53" s="3">
        <v>13</v>
      </c>
      <c r="B53" s="4"/>
      <c r="C53" s="4" t="s">
        <v>916</v>
      </c>
      <c r="D53" s="4" t="s">
        <v>550</v>
      </c>
      <c r="E53" s="5">
        <v>-3600</v>
      </c>
      <c r="F53" s="6">
        <v>-303.41879999999998</v>
      </c>
      <c r="G53" s="7">
        <v>-5.4440759999999998E-2</v>
      </c>
      <c r="H53" s="53"/>
    </row>
    <row r="54" spans="1:8" ht="15.95" customHeight="1" x14ac:dyDescent="0.2">
      <c r="A54" s="3">
        <v>14</v>
      </c>
      <c r="B54" s="4"/>
      <c r="C54" s="4" t="s">
        <v>917</v>
      </c>
      <c r="D54" s="4" t="s">
        <v>550</v>
      </c>
      <c r="E54" s="5">
        <v>-35700</v>
      </c>
      <c r="F54" s="6">
        <v>-320.2647</v>
      </c>
      <c r="G54" s="7">
        <v>-5.7463319999999998E-2</v>
      </c>
      <c r="H54" s="53"/>
    </row>
    <row r="55" spans="1:8" ht="15.95" customHeight="1" x14ac:dyDescent="0.2">
      <c r="A55" s="3">
        <v>15</v>
      </c>
      <c r="B55" s="4"/>
      <c r="C55" s="4" t="s">
        <v>918</v>
      </c>
      <c r="D55" s="4" t="s">
        <v>550</v>
      </c>
      <c r="E55" s="5">
        <v>-21200</v>
      </c>
      <c r="F55" s="6">
        <v>-390.11180000000002</v>
      </c>
      <c r="G55" s="7">
        <v>-6.9995599999999991E-2</v>
      </c>
      <c r="H55" s="53"/>
    </row>
    <row r="56" spans="1:8" ht="15.95" customHeight="1" x14ac:dyDescent="0.2">
      <c r="A56" s="3">
        <v>16</v>
      </c>
      <c r="B56" s="4"/>
      <c r="C56" s="4" t="s">
        <v>919</v>
      </c>
      <c r="D56" s="4" t="s">
        <v>550</v>
      </c>
      <c r="E56" s="5">
        <v>-50000</v>
      </c>
      <c r="F56" s="6">
        <v>-411.82499999999999</v>
      </c>
      <c r="G56" s="7">
        <v>-7.3891479999999995E-2</v>
      </c>
      <c r="H56" s="53"/>
    </row>
    <row r="57" spans="1:8" ht="15.95" customHeight="1" x14ac:dyDescent="0.2">
      <c r="A57" s="3">
        <v>17</v>
      </c>
      <c r="B57" s="4"/>
      <c r="C57" s="4" t="s">
        <v>920</v>
      </c>
      <c r="D57" s="4" t="s">
        <v>550</v>
      </c>
      <c r="E57" s="5">
        <v>-6250</v>
      </c>
      <c r="F57" s="6">
        <v>-413.86874999999998</v>
      </c>
      <c r="G57" s="7">
        <v>-7.4258190000000002E-2</v>
      </c>
      <c r="H57" s="53"/>
    </row>
    <row r="58" spans="1:8" ht="25.5" x14ac:dyDescent="0.2">
      <c r="A58" s="3">
        <v>18</v>
      </c>
      <c r="B58" s="4"/>
      <c r="C58" s="4" t="s">
        <v>921</v>
      </c>
      <c r="D58" s="4" t="s">
        <v>550</v>
      </c>
      <c r="E58" s="5">
        <v>-180000</v>
      </c>
      <c r="F58" s="6">
        <v>-433.98</v>
      </c>
      <c r="G58" s="7">
        <v>-7.7866629999999992E-2</v>
      </c>
      <c r="H58" s="53"/>
    </row>
    <row r="59" spans="1:8" ht="19.5" customHeight="1" x14ac:dyDescent="0.2">
      <c r="A59" s="3">
        <v>19</v>
      </c>
      <c r="B59" s="4"/>
      <c r="C59" s="4" t="s">
        <v>922</v>
      </c>
      <c r="D59" s="4" t="s">
        <v>550</v>
      </c>
      <c r="E59" s="5">
        <v>-31900</v>
      </c>
      <c r="F59" s="6">
        <v>-520.75154999999995</v>
      </c>
      <c r="G59" s="7">
        <v>-9.3435580000000004E-2</v>
      </c>
      <c r="H59" s="53"/>
    </row>
    <row r="60" spans="1:8" ht="14.1" customHeight="1" x14ac:dyDescent="0.2">
      <c r="A60" s="1"/>
      <c r="B60" s="1"/>
      <c r="C60" s="2" t="s">
        <v>132</v>
      </c>
      <c r="D60" s="1"/>
      <c r="E60" s="1" t="s">
        <v>133</v>
      </c>
      <c r="F60" s="9">
        <v>-3790.2301969999999</v>
      </c>
      <c r="G60" s="10">
        <v>-0.68006002300000001</v>
      </c>
      <c r="H60" s="53"/>
    </row>
    <row r="61" spans="1:8" ht="14.1" customHeight="1" x14ac:dyDescent="0.2">
      <c r="A61" s="1"/>
      <c r="B61" s="1"/>
      <c r="C61" s="11"/>
      <c r="D61" s="1"/>
      <c r="E61" s="1"/>
      <c r="F61" s="12"/>
      <c r="G61" s="12"/>
      <c r="H61" s="53"/>
    </row>
    <row r="62" spans="1:8" ht="18" customHeight="1" x14ac:dyDescent="0.2">
      <c r="A62" s="1"/>
      <c r="B62" s="1"/>
      <c r="C62" s="2" t="s">
        <v>139</v>
      </c>
      <c r="D62" s="1"/>
      <c r="E62" s="1"/>
      <c r="F62" s="9">
        <v>3769.2737400000001</v>
      </c>
      <c r="G62" s="10">
        <v>0.676299922</v>
      </c>
      <c r="H62" s="53"/>
    </row>
    <row r="63" spans="1:8" ht="14.1" customHeight="1" x14ac:dyDescent="0.2">
      <c r="A63" s="1"/>
      <c r="B63" s="1"/>
      <c r="C63" s="11"/>
      <c r="D63" s="1"/>
      <c r="E63" s="1"/>
      <c r="F63" s="12"/>
      <c r="G63" s="12"/>
      <c r="H63" s="53"/>
    </row>
    <row r="64" spans="1:8" ht="14.1" customHeight="1" x14ac:dyDescent="0.2">
      <c r="A64" s="1"/>
      <c r="B64" s="1"/>
      <c r="C64" s="2" t="s">
        <v>140</v>
      </c>
      <c r="D64" s="1"/>
      <c r="E64" s="1"/>
      <c r="F64" s="12"/>
      <c r="G64" s="12"/>
      <c r="H64" s="53"/>
    </row>
    <row r="65" spans="1:8" ht="24" customHeight="1" x14ac:dyDescent="0.2">
      <c r="A65" s="1"/>
      <c r="B65" s="1"/>
      <c r="C65" s="2" t="s">
        <v>10</v>
      </c>
      <c r="D65" s="1"/>
      <c r="E65" s="1"/>
      <c r="F65" s="12"/>
      <c r="G65" s="12"/>
      <c r="H65" s="53"/>
    </row>
    <row r="66" spans="1:8" ht="14.1" customHeight="1" x14ac:dyDescent="0.2">
      <c r="A66" s="1"/>
      <c r="B66" s="1"/>
      <c r="C66" s="2" t="s">
        <v>132</v>
      </c>
      <c r="D66" s="1"/>
      <c r="E66" s="1" t="s">
        <v>133</v>
      </c>
      <c r="F66" s="13">
        <v>0</v>
      </c>
      <c r="G66" s="14">
        <v>0</v>
      </c>
      <c r="H66" s="53"/>
    </row>
    <row r="67" spans="1:8" ht="14.1" customHeight="1" x14ac:dyDescent="0.2">
      <c r="A67" s="1"/>
      <c r="B67" s="1"/>
      <c r="C67" s="11"/>
      <c r="D67" s="1"/>
      <c r="E67" s="1"/>
      <c r="F67" s="12"/>
      <c r="G67" s="12"/>
      <c r="H67" s="53"/>
    </row>
    <row r="68" spans="1:8" ht="14.1" customHeight="1" x14ac:dyDescent="0.2">
      <c r="A68" s="1"/>
      <c r="B68" s="1"/>
      <c r="C68" s="2" t="s">
        <v>141</v>
      </c>
      <c r="D68" s="1"/>
      <c r="E68" s="1"/>
      <c r="F68" s="1"/>
      <c r="G68" s="1"/>
      <c r="H68" s="53"/>
    </row>
    <row r="69" spans="1:8" ht="14.1" customHeight="1" x14ac:dyDescent="0.2">
      <c r="A69" s="1"/>
      <c r="B69" s="1"/>
      <c r="C69" s="2" t="s">
        <v>132</v>
      </c>
      <c r="D69" s="1"/>
      <c r="E69" s="1" t="s">
        <v>133</v>
      </c>
      <c r="F69" s="13">
        <v>0</v>
      </c>
      <c r="G69" s="14">
        <v>0</v>
      </c>
      <c r="H69" s="53"/>
    </row>
    <row r="70" spans="1:8" ht="14.1" customHeight="1" x14ac:dyDescent="0.2">
      <c r="A70" s="1"/>
      <c r="B70" s="1"/>
      <c r="C70" s="11"/>
      <c r="D70" s="1"/>
      <c r="E70" s="1"/>
      <c r="F70" s="12"/>
      <c r="G70" s="12"/>
      <c r="H70" s="53"/>
    </row>
    <row r="71" spans="1:8" ht="14.1" customHeight="1" x14ac:dyDescent="0.2">
      <c r="A71" s="1"/>
      <c r="B71" s="1"/>
      <c r="C71" s="2" t="s">
        <v>142</v>
      </c>
      <c r="D71" s="1"/>
      <c r="E71" s="1"/>
      <c r="F71" s="1"/>
      <c r="G71" s="1"/>
      <c r="H71" s="53"/>
    </row>
    <row r="72" spans="1:8" ht="14.1" customHeight="1" x14ac:dyDescent="0.2">
      <c r="A72" s="1"/>
      <c r="B72" s="1"/>
      <c r="C72" s="2" t="s">
        <v>132</v>
      </c>
      <c r="D72" s="1"/>
      <c r="E72" s="1" t="s">
        <v>133</v>
      </c>
      <c r="F72" s="13">
        <v>0</v>
      </c>
      <c r="G72" s="14">
        <v>0</v>
      </c>
      <c r="H72" s="53"/>
    </row>
    <row r="73" spans="1:8" ht="14.1" customHeight="1" x14ac:dyDescent="0.2">
      <c r="A73" s="1"/>
      <c r="B73" s="1"/>
      <c r="C73" s="11"/>
      <c r="D73" s="1"/>
      <c r="E73" s="1"/>
      <c r="F73" s="12"/>
      <c r="G73" s="12"/>
      <c r="H73" s="53"/>
    </row>
    <row r="74" spans="1:8" ht="14.1" customHeight="1" x14ac:dyDescent="0.2">
      <c r="A74" s="1"/>
      <c r="B74" s="1"/>
      <c r="C74" s="2" t="s">
        <v>143</v>
      </c>
      <c r="D74" s="1"/>
      <c r="E74" s="1"/>
      <c r="F74" s="12"/>
      <c r="G74" s="12"/>
      <c r="H74" s="53"/>
    </row>
    <row r="75" spans="1:8" ht="14.1" customHeight="1" x14ac:dyDescent="0.2">
      <c r="A75" s="1"/>
      <c r="B75" s="1"/>
      <c r="C75" s="2" t="s">
        <v>132</v>
      </c>
      <c r="D75" s="1"/>
      <c r="E75" s="1" t="s">
        <v>133</v>
      </c>
      <c r="F75" s="13">
        <v>0</v>
      </c>
      <c r="G75" s="14">
        <v>0</v>
      </c>
      <c r="H75" s="53"/>
    </row>
    <row r="76" spans="1:8" ht="14.1" customHeight="1" x14ac:dyDescent="0.2">
      <c r="A76" s="1"/>
      <c r="B76" s="1"/>
      <c r="C76" s="11"/>
      <c r="D76" s="1"/>
      <c r="E76" s="1"/>
      <c r="F76" s="12"/>
      <c r="G76" s="12"/>
      <c r="H76" s="53"/>
    </row>
    <row r="77" spans="1:8" ht="14.1" customHeight="1" x14ac:dyDescent="0.2">
      <c r="A77" s="1"/>
      <c r="B77" s="1"/>
      <c r="C77" s="2" t="s">
        <v>144</v>
      </c>
      <c r="D77" s="1"/>
      <c r="E77" s="1"/>
      <c r="F77" s="9">
        <v>0</v>
      </c>
      <c r="G77" s="10">
        <v>0</v>
      </c>
      <c r="H77" s="53"/>
    </row>
    <row r="78" spans="1:8" ht="14.1" customHeight="1" x14ac:dyDescent="0.2">
      <c r="A78" s="1"/>
      <c r="B78" s="1"/>
      <c r="C78" s="11"/>
      <c r="D78" s="1"/>
      <c r="E78" s="1"/>
      <c r="F78" s="12"/>
      <c r="G78" s="12"/>
      <c r="H78" s="53"/>
    </row>
    <row r="79" spans="1:8" ht="14.1" customHeight="1" x14ac:dyDescent="0.2">
      <c r="A79" s="1"/>
      <c r="B79" s="1"/>
      <c r="C79" s="2" t="s">
        <v>145</v>
      </c>
      <c r="D79" s="1"/>
      <c r="E79" s="1"/>
      <c r="F79" s="12"/>
      <c r="G79" s="12"/>
      <c r="H79" s="53"/>
    </row>
    <row r="80" spans="1:8" ht="14.1" customHeight="1" x14ac:dyDescent="0.2">
      <c r="A80" s="1"/>
      <c r="B80" s="1"/>
      <c r="C80" s="2" t="s">
        <v>146</v>
      </c>
      <c r="D80" s="1"/>
      <c r="E80" s="1"/>
      <c r="F80" s="12"/>
      <c r="G80" s="12"/>
      <c r="H80" s="53"/>
    </row>
    <row r="81" spans="1:8" ht="14.1" customHeight="1" x14ac:dyDescent="0.2">
      <c r="A81" s="1"/>
      <c r="B81" s="1"/>
      <c r="C81" s="2" t="s">
        <v>132</v>
      </c>
      <c r="D81" s="1"/>
      <c r="E81" s="1" t="s">
        <v>133</v>
      </c>
      <c r="F81" s="13">
        <v>0</v>
      </c>
      <c r="G81" s="14">
        <v>0</v>
      </c>
      <c r="H81" s="53"/>
    </row>
    <row r="82" spans="1:8" ht="14.1" customHeight="1" x14ac:dyDescent="0.2">
      <c r="A82" s="1"/>
      <c r="B82" s="1"/>
      <c r="C82" s="11"/>
      <c r="D82" s="1"/>
      <c r="E82" s="1"/>
      <c r="F82" s="12"/>
      <c r="G82" s="12"/>
      <c r="H82" s="53"/>
    </row>
    <row r="83" spans="1:8" ht="14.1" customHeight="1" x14ac:dyDescent="0.2">
      <c r="A83" s="1"/>
      <c r="B83" s="1"/>
      <c r="C83" s="2" t="s">
        <v>147</v>
      </c>
      <c r="D83" s="1"/>
      <c r="E83" s="1"/>
      <c r="F83" s="12"/>
      <c r="G83" s="12"/>
      <c r="H83" s="53"/>
    </row>
    <row r="84" spans="1:8" ht="14.1" customHeight="1" x14ac:dyDescent="0.2">
      <c r="A84" s="1"/>
      <c r="B84" s="1"/>
      <c r="C84" s="2" t="s">
        <v>132</v>
      </c>
      <c r="D84" s="1"/>
      <c r="E84" s="1" t="s">
        <v>133</v>
      </c>
      <c r="F84" s="13">
        <v>0</v>
      </c>
      <c r="G84" s="14">
        <v>0</v>
      </c>
      <c r="H84" s="53"/>
    </row>
    <row r="85" spans="1:8" ht="14.1" customHeight="1" x14ac:dyDescent="0.2">
      <c r="A85" s="1"/>
      <c r="B85" s="1"/>
      <c r="C85" s="11"/>
      <c r="D85" s="1"/>
      <c r="E85" s="1"/>
      <c r="F85" s="12"/>
      <c r="G85" s="12"/>
      <c r="H85" s="53"/>
    </row>
    <row r="86" spans="1:8" ht="14.1" customHeight="1" x14ac:dyDescent="0.2">
      <c r="A86" s="1"/>
      <c r="B86" s="1"/>
      <c r="C86" s="2" t="s">
        <v>148</v>
      </c>
      <c r="D86" s="1"/>
      <c r="E86" s="1"/>
      <c r="F86" s="12"/>
      <c r="G86" s="12"/>
      <c r="H86" s="53"/>
    </row>
    <row r="87" spans="1:8" ht="17.100000000000001" customHeight="1" x14ac:dyDescent="0.2">
      <c r="A87" s="3">
        <v>1</v>
      </c>
      <c r="B87" s="4" t="s">
        <v>551</v>
      </c>
      <c r="C87" s="4" t="s">
        <v>982</v>
      </c>
      <c r="D87" s="4" t="s">
        <v>552</v>
      </c>
      <c r="E87" s="5">
        <v>500000</v>
      </c>
      <c r="F87" s="6">
        <v>499.09550000000002</v>
      </c>
      <c r="G87" s="7">
        <v>8.9549943000000007E-2</v>
      </c>
      <c r="H87" s="53">
        <v>6.0149999999999997</v>
      </c>
    </row>
    <row r="88" spans="1:8" ht="17.100000000000001" customHeight="1" x14ac:dyDescent="0.2">
      <c r="A88" s="3">
        <v>2</v>
      </c>
      <c r="B88" s="4" t="s">
        <v>553</v>
      </c>
      <c r="C88" s="4" t="s">
        <v>983</v>
      </c>
      <c r="D88" s="4" t="s">
        <v>552</v>
      </c>
      <c r="E88" s="5">
        <v>500000</v>
      </c>
      <c r="F88" s="6">
        <v>486.54700000000003</v>
      </c>
      <c r="G88" s="7">
        <v>8.7298434999999994E-2</v>
      </c>
      <c r="H88" s="53">
        <v>6.6837</v>
      </c>
    </row>
    <row r="89" spans="1:8" ht="14.1" customHeight="1" x14ac:dyDescent="0.2">
      <c r="A89" s="1"/>
      <c r="B89" s="1"/>
      <c r="C89" s="2" t="s">
        <v>132</v>
      </c>
      <c r="D89" s="1"/>
      <c r="E89" s="1" t="s">
        <v>133</v>
      </c>
      <c r="F89" s="9">
        <v>985.64250000000004</v>
      </c>
      <c r="G89" s="10">
        <v>0.176848378</v>
      </c>
      <c r="H89" s="53"/>
    </row>
    <row r="90" spans="1:8" ht="14.1" customHeight="1" x14ac:dyDescent="0.2">
      <c r="A90" s="1"/>
      <c r="B90" s="1"/>
      <c r="C90" s="11"/>
      <c r="D90" s="1"/>
      <c r="E90" s="1"/>
      <c r="F90" s="12"/>
      <c r="G90" s="12"/>
      <c r="H90" s="53"/>
    </row>
    <row r="91" spans="1:8" ht="14.1" customHeight="1" x14ac:dyDescent="0.2">
      <c r="A91" s="1"/>
      <c r="B91" s="1"/>
      <c r="C91" s="2" t="s">
        <v>149</v>
      </c>
      <c r="D91" s="1"/>
      <c r="E91" s="1"/>
      <c r="F91" s="12"/>
      <c r="G91" s="12"/>
      <c r="H91" s="53"/>
    </row>
    <row r="92" spans="1:8" ht="17.100000000000001" customHeight="1" x14ac:dyDescent="0.2">
      <c r="A92" s="3">
        <v>1</v>
      </c>
      <c r="B92" s="4"/>
      <c r="C92" s="4" t="s">
        <v>150</v>
      </c>
      <c r="D92" s="4"/>
      <c r="E92" s="8"/>
      <c r="F92" s="6">
        <v>218.80886090000001</v>
      </c>
      <c r="G92" s="7">
        <v>3.9259663E-2</v>
      </c>
      <c r="H92" s="53">
        <v>6.46</v>
      </c>
    </row>
    <row r="93" spans="1:8" ht="14.1" customHeight="1" x14ac:dyDescent="0.2">
      <c r="A93" s="1"/>
      <c r="B93" s="1"/>
      <c r="C93" s="2" t="s">
        <v>132</v>
      </c>
      <c r="D93" s="1"/>
      <c r="E93" s="1" t="s">
        <v>133</v>
      </c>
      <c r="F93" s="9">
        <v>218.80886090000001</v>
      </c>
      <c r="G93" s="10">
        <v>3.9259663E-2</v>
      </c>
      <c r="H93" s="53"/>
    </row>
    <row r="94" spans="1:8" ht="14.1" customHeight="1" x14ac:dyDescent="0.2">
      <c r="A94" s="1"/>
      <c r="B94" s="1"/>
      <c r="C94" s="11"/>
      <c r="D94" s="1"/>
      <c r="E94" s="1"/>
      <c r="F94" s="12"/>
      <c r="G94" s="12"/>
      <c r="H94" s="53"/>
    </row>
    <row r="95" spans="1:8" ht="14.1" customHeight="1" x14ac:dyDescent="0.2">
      <c r="A95" s="1"/>
      <c r="B95" s="1"/>
      <c r="C95" s="2" t="s">
        <v>151</v>
      </c>
      <c r="D95" s="1"/>
      <c r="E95" s="1"/>
      <c r="F95" s="9">
        <v>1204.4513609000001</v>
      </c>
      <c r="G95" s="10">
        <v>0.216108041</v>
      </c>
      <c r="H95" s="53"/>
    </row>
    <row r="96" spans="1:8" ht="14.1" customHeight="1" x14ac:dyDescent="0.2">
      <c r="A96" s="1"/>
      <c r="B96" s="1"/>
      <c r="C96" s="12"/>
      <c r="D96" s="1"/>
      <c r="E96" s="1"/>
      <c r="F96" s="1"/>
      <c r="G96" s="1"/>
      <c r="H96" s="53"/>
    </row>
    <row r="97" spans="1:8" ht="14.1" customHeight="1" x14ac:dyDescent="0.2">
      <c r="A97" s="1"/>
      <c r="B97" s="1"/>
      <c r="C97" s="2" t="s">
        <v>152</v>
      </c>
      <c r="D97" s="1"/>
      <c r="E97" s="1"/>
      <c r="F97" s="1"/>
      <c r="G97" s="1"/>
      <c r="H97" s="53"/>
    </row>
    <row r="98" spans="1:8" ht="14.1" customHeight="1" x14ac:dyDescent="0.2">
      <c r="A98" s="1"/>
      <c r="B98" s="1"/>
      <c r="C98" s="2" t="s">
        <v>153</v>
      </c>
      <c r="D98" s="1"/>
      <c r="E98" s="1"/>
      <c r="F98" s="1"/>
      <c r="G98" s="1"/>
      <c r="H98" s="53"/>
    </row>
    <row r="99" spans="1:8" ht="12" customHeight="1" x14ac:dyDescent="0.2">
      <c r="A99" s="3">
        <v>1</v>
      </c>
      <c r="B99" s="4" t="s">
        <v>554</v>
      </c>
      <c r="C99" s="43" t="s">
        <v>951</v>
      </c>
      <c r="D99" s="4"/>
      <c r="E99" s="5">
        <v>31859.646000000001</v>
      </c>
      <c r="F99" s="6">
        <v>622.74135271499995</v>
      </c>
      <c r="G99" s="7">
        <v>0.111735034</v>
      </c>
      <c r="H99" s="53"/>
    </row>
    <row r="100" spans="1:8" ht="14.1" customHeight="1" x14ac:dyDescent="0.2">
      <c r="A100" s="1"/>
      <c r="B100" s="1"/>
      <c r="C100" s="2" t="s">
        <v>132</v>
      </c>
      <c r="D100" s="1"/>
      <c r="E100" s="1" t="s">
        <v>133</v>
      </c>
      <c r="F100" s="9">
        <v>622.74135271499995</v>
      </c>
      <c r="G100" s="10">
        <v>0.111735034</v>
      </c>
      <c r="H100" s="53"/>
    </row>
    <row r="101" spans="1:8" ht="14.1" customHeight="1" x14ac:dyDescent="0.2">
      <c r="A101" s="1"/>
      <c r="B101" s="1"/>
      <c r="C101" s="11"/>
      <c r="D101" s="1"/>
      <c r="E101" s="1"/>
      <c r="F101" s="12"/>
      <c r="G101" s="12"/>
      <c r="H101" s="53"/>
    </row>
    <row r="102" spans="1:8" ht="14.1" customHeight="1" x14ac:dyDescent="0.2">
      <c r="A102" s="1"/>
      <c r="B102" s="1"/>
      <c r="C102" s="2" t="s">
        <v>154</v>
      </c>
      <c r="D102" s="1"/>
      <c r="E102" s="1"/>
      <c r="F102" s="1"/>
      <c r="G102" s="1"/>
      <c r="H102" s="53"/>
    </row>
    <row r="103" spans="1:8" ht="14.1" customHeight="1" x14ac:dyDescent="0.2">
      <c r="A103" s="1"/>
      <c r="B103" s="1"/>
      <c r="C103" s="2" t="s">
        <v>155</v>
      </c>
      <c r="D103" s="1"/>
      <c r="E103" s="1"/>
      <c r="F103" s="1"/>
      <c r="G103" s="1"/>
      <c r="H103" s="53"/>
    </row>
    <row r="104" spans="1:8" ht="14.1" customHeight="1" x14ac:dyDescent="0.2">
      <c r="A104" s="1"/>
      <c r="B104" s="1"/>
      <c r="C104" s="2" t="s">
        <v>132</v>
      </c>
      <c r="D104" s="1"/>
      <c r="E104" s="1" t="s">
        <v>133</v>
      </c>
      <c r="F104" s="13">
        <v>0</v>
      </c>
      <c r="G104" s="14">
        <v>0</v>
      </c>
      <c r="H104" s="53"/>
    </row>
    <row r="105" spans="1:8" ht="14.1" customHeight="1" x14ac:dyDescent="0.2">
      <c r="A105" s="1"/>
      <c r="B105" s="1"/>
      <c r="C105" s="11"/>
      <c r="D105" s="1"/>
      <c r="E105" s="1"/>
      <c r="F105" s="12"/>
      <c r="G105" s="12"/>
      <c r="H105" s="53"/>
    </row>
    <row r="106" spans="1:8" ht="14.1" customHeight="1" x14ac:dyDescent="0.2">
      <c r="A106" s="1"/>
      <c r="B106" s="1"/>
      <c r="C106" s="11"/>
      <c r="D106" s="1"/>
      <c r="E106" s="1"/>
      <c r="F106" s="12"/>
      <c r="G106" s="12"/>
      <c r="H106" s="53"/>
    </row>
    <row r="107" spans="1:8" ht="24" customHeight="1" x14ac:dyDescent="0.2">
      <c r="A107" s="1"/>
      <c r="B107" s="1"/>
      <c r="C107" s="2" t="s">
        <v>156</v>
      </c>
      <c r="D107" s="1"/>
      <c r="E107" s="1"/>
      <c r="F107" s="12"/>
      <c r="G107" s="12"/>
      <c r="H107" s="53"/>
    </row>
    <row r="108" spans="1:8" ht="14.1" customHeight="1" x14ac:dyDescent="0.2">
      <c r="A108" s="1"/>
      <c r="B108" s="1"/>
      <c r="C108" s="2" t="s">
        <v>132</v>
      </c>
      <c r="D108" s="1"/>
      <c r="E108" s="1" t="s">
        <v>133</v>
      </c>
      <c r="F108" s="13">
        <v>0</v>
      </c>
      <c r="G108" s="14">
        <v>0</v>
      </c>
      <c r="H108" s="53"/>
    </row>
    <row r="109" spans="1:8" ht="14.1" customHeight="1" x14ac:dyDescent="0.2">
      <c r="A109" s="1"/>
      <c r="B109" s="1"/>
      <c r="C109" s="11"/>
      <c r="D109" s="1"/>
      <c r="E109" s="1"/>
      <c r="F109" s="12"/>
      <c r="G109" s="12"/>
      <c r="H109" s="53"/>
    </row>
    <row r="110" spans="1:8" ht="18" customHeight="1" x14ac:dyDescent="0.2">
      <c r="A110" s="8"/>
      <c r="B110" s="4"/>
      <c r="C110" s="4" t="s">
        <v>555</v>
      </c>
      <c r="D110" s="4"/>
      <c r="E110" s="8"/>
      <c r="F110" s="6">
        <v>53.240115699999997</v>
      </c>
      <c r="G110" s="7">
        <v>9.5525792378783302E-3</v>
      </c>
      <c r="H110" s="53"/>
    </row>
    <row r="111" spans="1:8" ht="18" customHeight="1" x14ac:dyDescent="0.2">
      <c r="A111" s="8"/>
      <c r="B111" s="4"/>
      <c r="C111" s="4" t="s">
        <v>869</v>
      </c>
      <c r="D111" s="4"/>
      <c r="E111" s="8"/>
      <c r="F111" s="6">
        <v>-76.330586325000695</v>
      </c>
      <c r="G111" s="7">
        <v>-1.3695574559829164E-2</v>
      </c>
      <c r="H111" s="53"/>
    </row>
    <row r="112" spans="1:8" ht="14.1" customHeight="1" x14ac:dyDescent="0.2">
      <c r="A112" s="11"/>
      <c r="B112" s="11"/>
      <c r="C112" s="2" t="s">
        <v>158</v>
      </c>
      <c r="D112" s="15"/>
      <c r="E112" s="15"/>
      <c r="F112" s="9">
        <v>5573.3759829899991</v>
      </c>
      <c r="G112" s="14">
        <v>1.0000000016780493</v>
      </c>
      <c r="H112" s="53"/>
    </row>
    <row r="113" spans="1:15" ht="14.1" customHeight="1" x14ac:dyDescent="0.2">
      <c r="A113" s="16"/>
      <c r="B113" s="16"/>
      <c r="C113" s="16"/>
      <c r="D113" s="17"/>
      <c r="E113" s="17"/>
      <c r="F113" s="17"/>
      <c r="G113" s="68"/>
    </row>
    <row r="114" spans="1:15" ht="17.100000000000001" customHeight="1" x14ac:dyDescent="0.2">
      <c r="A114" s="64"/>
      <c r="B114" s="306" t="s">
        <v>871</v>
      </c>
      <c r="C114" s="306"/>
      <c r="D114" s="306"/>
      <c r="E114" s="306"/>
      <c r="F114" s="306"/>
      <c r="G114" s="67"/>
    </row>
    <row r="115" spans="1:15" ht="14.1" customHeight="1" x14ac:dyDescent="0.2">
      <c r="A115" s="18"/>
      <c r="B115" s="306" t="s">
        <v>952</v>
      </c>
      <c r="C115" s="306"/>
      <c r="D115" s="306"/>
      <c r="E115" s="306"/>
      <c r="F115" s="306"/>
      <c r="G115" s="20"/>
    </row>
    <row r="116" spans="1:15" s="80" customFormat="1" x14ac:dyDescent="0.2">
      <c r="A116" s="81"/>
      <c r="B116" s="320" t="s">
        <v>984</v>
      </c>
      <c r="C116" s="320"/>
      <c r="D116" s="320"/>
      <c r="E116" s="320"/>
      <c r="F116" s="320"/>
      <c r="G116" s="82"/>
      <c r="H116"/>
      <c r="I116"/>
      <c r="O116"/>
    </row>
    <row r="117" spans="1:15" ht="14.1" customHeight="1" x14ac:dyDescent="0.2">
      <c r="A117" s="18"/>
      <c r="B117" s="18"/>
      <c r="C117" s="18"/>
      <c r="D117" s="20"/>
      <c r="E117" s="20"/>
      <c r="F117" s="20"/>
      <c r="G117" s="20"/>
      <c r="J117" s="194"/>
      <c r="K117" s="194"/>
      <c r="L117" s="194"/>
      <c r="M117" s="194"/>
      <c r="N117" s="194"/>
    </row>
    <row r="118" spans="1:15" ht="14.1" customHeight="1" x14ac:dyDescent="0.2">
      <c r="A118" s="18"/>
      <c r="B118" s="293" t="s">
        <v>160</v>
      </c>
      <c r="C118" s="294"/>
      <c r="D118" s="12" t="s">
        <v>133</v>
      </c>
      <c r="E118" s="21"/>
      <c r="F118" s="20"/>
      <c r="G118" s="20"/>
    </row>
    <row r="119" spans="1:15" ht="29.1" customHeight="1" x14ac:dyDescent="0.2">
      <c r="A119" s="18"/>
      <c r="B119" s="290" t="s">
        <v>161</v>
      </c>
      <c r="C119" s="291"/>
      <c r="D119" s="65" t="s">
        <v>1038</v>
      </c>
      <c r="E119" s="21"/>
      <c r="F119" s="20"/>
      <c r="G119" s="20"/>
    </row>
    <row r="120" spans="1:15" ht="17.100000000000001" customHeight="1" x14ac:dyDescent="0.2">
      <c r="A120" s="18"/>
      <c r="B120" s="290" t="s">
        <v>163</v>
      </c>
      <c r="C120" s="291"/>
      <c r="D120" s="2" t="s">
        <v>162</v>
      </c>
      <c r="E120" s="21"/>
      <c r="F120" s="20"/>
      <c r="G120" s="20"/>
    </row>
    <row r="121" spans="1:15" ht="17.100000000000001" customHeight="1" x14ac:dyDescent="0.2">
      <c r="A121" s="18"/>
      <c r="B121" s="290" t="s">
        <v>164</v>
      </c>
      <c r="C121" s="291"/>
      <c r="D121" s="12" t="s">
        <v>133</v>
      </c>
      <c r="E121" s="21"/>
      <c r="F121" s="20"/>
      <c r="G121" s="20"/>
    </row>
    <row r="122" spans="1:15" ht="24" customHeight="1" x14ac:dyDescent="0.2">
      <c r="A122" s="22"/>
      <c r="B122" s="23" t="s">
        <v>133</v>
      </c>
      <c r="C122" s="23" t="s">
        <v>165</v>
      </c>
      <c r="D122" s="23" t="s">
        <v>166</v>
      </c>
      <c r="E122" s="22"/>
      <c r="F122" s="22"/>
      <c r="G122" s="22"/>
      <c r="I122" s="80"/>
    </row>
    <row r="123" spans="1:15" ht="17.100000000000001" customHeight="1" x14ac:dyDescent="0.2">
      <c r="A123" s="22"/>
      <c r="B123" s="23" t="s">
        <v>167</v>
      </c>
      <c r="C123" s="23" t="s">
        <v>168</v>
      </c>
      <c r="D123" s="23" t="s">
        <v>169</v>
      </c>
      <c r="E123" s="22"/>
      <c r="F123" s="22"/>
      <c r="G123" s="22"/>
      <c r="I123" s="194"/>
    </row>
    <row r="124" spans="1:15" ht="17.100000000000001" customHeight="1" x14ac:dyDescent="0.2">
      <c r="A124" s="22"/>
      <c r="B124" s="4" t="s">
        <v>170</v>
      </c>
      <c r="C124" s="24">
        <v>12.579599999999999</v>
      </c>
      <c r="D124" s="24">
        <v>12.6768</v>
      </c>
      <c r="E124" s="22"/>
      <c r="F124" s="19"/>
      <c r="G124" s="25"/>
      <c r="I124" s="80"/>
    </row>
    <row r="125" spans="1:15" ht="27" customHeight="1" x14ac:dyDescent="0.2">
      <c r="A125" s="22"/>
      <c r="B125" s="4" t="s">
        <v>1047</v>
      </c>
      <c r="C125" s="24">
        <v>10.8782</v>
      </c>
      <c r="D125" s="24">
        <v>10.962199999999999</v>
      </c>
      <c r="E125" s="22"/>
      <c r="F125" s="19"/>
      <c r="G125" s="25"/>
    </row>
    <row r="126" spans="1:15" ht="17.100000000000001" customHeight="1" x14ac:dyDescent="0.2">
      <c r="A126" s="22"/>
      <c r="B126" s="4" t="s">
        <v>171</v>
      </c>
      <c r="C126" s="24">
        <v>12.130599999999999</v>
      </c>
      <c r="D126" s="24">
        <v>12.221500000000001</v>
      </c>
      <c r="E126" s="22"/>
      <c r="F126" s="19"/>
      <c r="G126" s="25"/>
    </row>
    <row r="127" spans="1:15" ht="27.75" customHeight="1" x14ac:dyDescent="0.2">
      <c r="A127" s="22"/>
      <c r="B127" s="4" t="s">
        <v>1049</v>
      </c>
      <c r="C127" s="24">
        <v>10.6655</v>
      </c>
      <c r="D127" s="24">
        <v>10.7455</v>
      </c>
      <c r="E127" s="22"/>
      <c r="F127" s="19"/>
      <c r="G127" s="25"/>
    </row>
    <row r="128" spans="1:15" ht="14.1" customHeight="1" x14ac:dyDescent="0.2">
      <c r="A128" s="22"/>
      <c r="B128" s="22"/>
      <c r="C128" s="22"/>
      <c r="D128" s="22"/>
      <c r="E128" s="22"/>
      <c r="F128" s="22"/>
      <c r="G128" s="22"/>
    </row>
    <row r="129" spans="1:15" ht="17.100000000000001" customHeight="1" x14ac:dyDescent="0.2">
      <c r="A129" s="22"/>
      <c r="B129" s="290" t="s">
        <v>1044</v>
      </c>
      <c r="C129" s="291"/>
      <c r="D129" s="2" t="s">
        <v>162</v>
      </c>
      <c r="E129" s="22"/>
      <c r="F129" s="22"/>
      <c r="G129" s="22"/>
    </row>
    <row r="130" spans="1:15" ht="18" customHeight="1" x14ac:dyDescent="0.2">
      <c r="A130" s="22"/>
      <c r="B130" s="26"/>
      <c r="C130" s="26"/>
      <c r="D130" s="27"/>
      <c r="E130" s="22"/>
      <c r="F130" s="22"/>
      <c r="G130" s="22"/>
    </row>
    <row r="131" spans="1:15" ht="29.1" customHeight="1" x14ac:dyDescent="0.2">
      <c r="A131" s="22"/>
      <c r="B131" s="304" t="s">
        <v>172</v>
      </c>
      <c r="C131" s="305"/>
      <c r="D131" s="65" t="s">
        <v>979</v>
      </c>
      <c r="E131" s="22"/>
      <c r="F131" s="22"/>
      <c r="G131" s="22"/>
    </row>
    <row r="132" spans="1:15" ht="29.1" customHeight="1" x14ac:dyDescent="0.2">
      <c r="A132" s="22"/>
      <c r="B132" s="304" t="s">
        <v>173</v>
      </c>
      <c r="C132" s="305"/>
      <c r="D132" s="2" t="s">
        <v>162</v>
      </c>
      <c r="E132" s="22"/>
      <c r="F132" s="22"/>
      <c r="G132" s="22"/>
    </row>
    <row r="133" spans="1:15" ht="17.100000000000001" customHeight="1" x14ac:dyDescent="0.2">
      <c r="A133" s="22"/>
      <c r="B133" s="304" t="s">
        <v>174</v>
      </c>
      <c r="C133" s="305"/>
      <c r="D133" s="28">
        <v>10.534112630961463</v>
      </c>
      <c r="E133" s="22"/>
      <c r="F133" s="19"/>
      <c r="G133" s="25"/>
    </row>
    <row r="134" spans="1:15" ht="17.100000000000001" customHeight="1" x14ac:dyDescent="0.2">
      <c r="A134" s="22"/>
      <c r="B134" s="304" t="s">
        <v>175</v>
      </c>
      <c r="C134" s="305"/>
      <c r="D134" s="2" t="s">
        <v>162</v>
      </c>
      <c r="E134" s="22"/>
      <c r="F134" s="22"/>
      <c r="G134" s="22"/>
    </row>
    <row r="136" spans="1:15" x14ac:dyDescent="0.2">
      <c r="B136" s="160" t="s">
        <v>1041</v>
      </c>
      <c r="C136" s="160"/>
      <c r="D136" s="160"/>
      <c r="E136" s="161"/>
      <c r="F136" s="162"/>
    </row>
    <row r="137" spans="1:15" ht="38.25" x14ac:dyDescent="0.2">
      <c r="B137" s="143" t="s">
        <v>1015</v>
      </c>
      <c r="C137" s="143" t="s">
        <v>1016</v>
      </c>
      <c r="D137" s="143" t="s">
        <v>1017</v>
      </c>
      <c r="E137" s="143" t="s">
        <v>1018</v>
      </c>
      <c r="F137" s="143" t="s">
        <v>1019</v>
      </c>
    </row>
    <row r="138" spans="1:15" s="46" customFormat="1" ht="25.5" x14ac:dyDescent="0.2">
      <c r="B138" s="144" t="s">
        <v>1020</v>
      </c>
      <c r="C138" s="145" t="s">
        <v>1021</v>
      </c>
      <c r="D138" s="146">
        <v>0</v>
      </c>
      <c r="E138" s="147">
        <v>0</v>
      </c>
      <c r="F138" s="148">
        <v>50</v>
      </c>
      <c r="I138"/>
      <c r="J138"/>
      <c r="K138"/>
      <c r="L138"/>
      <c r="M138"/>
      <c r="N138"/>
      <c r="O138"/>
    </row>
    <row r="140" spans="1:15" x14ac:dyDescent="0.2">
      <c r="B140" s="309" t="s">
        <v>1064</v>
      </c>
      <c r="C140" s="310"/>
      <c r="D140" s="311"/>
      <c r="J140" s="46"/>
      <c r="K140" s="46"/>
      <c r="L140" s="46"/>
      <c r="M140" s="46"/>
      <c r="N140" s="46"/>
    </row>
    <row r="141" spans="1:15" ht="51" x14ac:dyDescent="0.2">
      <c r="B141" s="308" t="s">
        <v>1065</v>
      </c>
      <c r="C141" s="308"/>
      <c r="D141" s="180" t="s">
        <v>1062</v>
      </c>
    </row>
    <row r="142" spans="1:15" x14ac:dyDescent="0.2">
      <c r="B142" s="308" t="s">
        <v>1066</v>
      </c>
      <c r="C142" s="308"/>
      <c r="D142" s="181"/>
    </row>
    <row r="143" spans="1:15" x14ac:dyDescent="0.2">
      <c r="B143" s="297"/>
      <c r="C143" s="299"/>
      <c r="D143" s="182"/>
    </row>
    <row r="144" spans="1:15" x14ac:dyDescent="0.2">
      <c r="B144" s="308" t="s">
        <v>1070</v>
      </c>
      <c r="C144" s="308"/>
      <c r="D144" s="183">
        <v>6.3858631851365635</v>
      </c>
    </row>
    <row r="145" spans="2:9" x14ac:dyDescent="0.2">
      <c r="B145" s="297"/>
      <c r="C145" s="299"/>
      <c r="D145" s="182"/>
    </row>
    <row r="146" spans="2:9" x14ac:dyDescent="0.2">
      <c r="B146" s="308" t="s">
        <v>1068</v>
      </c>
      <c r="C146" s="308"/>
      <c r="D146" s="183">
        <v>0.12132001074176368</v>
      </c>
    </row>
    <row r="147" spans="2:9" x14ac:dyDescent="0.2">
      <c r="B147" s="308" t="s">
        <v>1069</v>
      </c>
      <c r="C147" s="308"/>
      <c r="D147" s="183">
        <v>0.12156883339122371</v>
      </c>
    </row>
    <row r="148" spans="2:9" x14ac:dyDescent="0.2">
      <c r="B148" s="297"/>
      <c r="C148" s="299"/>
      <c r="D148" s="182"/>
      <c r="I148" s="46"/>
    </row>
    <row r="149" spans="2:9" x14ac:dyDescent="0.2">
      <c r="B149" s="308" t="s">
        <v>1067</v>
      </c>
      <c r="C149" s="308"/>
      <c r="D149" s="184">
        <v>44926</v>
      </c>
    </row>
    <row r="150" spans="2:9" ht="12.75" customHeight="1" x14ac:dyDescent="0.2">
      <c r="B150" s="297" t="s">
        <v>1071</v>
      </c>
      <c r="C150" s="298"/>
      <c r="D150" s="299"/>
    </row>
  </sheetData>
  <mergeCells count="27">
    <mergeCell ref="B133:C133"/>
    <mergeCell ref="B132:C132"/>
    <mergeCell ref="J2:N2"/>
    <mergeCell ref="A1:H1"/>
    <mergeCell ref="A2:H2"/>
    <mergeCell ref="A3:H3"/>
    <mergeCell ref="B119:C119"/>
    <mergeCell ref="B120:C120"/>
    <mergeCell ref="B121:C121"/>
    <mergeCell ref="B129:C129"/>
    <mergeCell ref="B131:C131"/>
    <mergeCell ref="B150:D150"/>
    <mergeCell ref="B115:F115"/>
    <mergeCell ref="B118:C118"/>
    <mergeCell ref="B114:F114"/>
    <mergeCell ref="B116:F116"/>
    <mergeCell ref="B140:D140"/>
    <mergeCell ref="B141:C141"/>
    <mergeCell ref="B142:C142"/>
    <mergeCell ref="B143:C143"/>
    <mergeCell ref="B144:C144"/>
    <mergeCell ref="B145:C145"/>
    <mergeCell ref="B146:C146"/>
    <mergeCell ref="B147:C147"/>
    <mergeCell ref="B148:C148"/>
    <mergeCell ref="B149:C149"/>
    <mergeCell ref="B134:C134"/>
  </mergeCells>
  <hyperlinks>
    <hyperlink ref="I1" location="Index!B24" display="Index" xr:uid="{72B9D4C0-E614-4AE8-BF10-3312041CC88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CE91C-D503-4CC5-B5A0-F93C575AB742}">
  <sheetPr>
    <outlinePr summaryBelow="0" summaryRight="0"/>
  </sheetPr>
  <dimension ref="A1:O215"/>
  <sheetViews>
    <sheetView showGridLines="0" workbookViewId="0">
      <selection sqref="A1:H1"/>
    </sheetView>
  </sheetViews>
  <sheetFormatPr defaultRowHeight="12.75" x14ac:dyDescent="0.2"/>
  <cols>
    <col min="1" max="1" width="6.85546875" customWidth="1"/>
    <col min="2" max="2" width="20.5703125" customWidth="1"/>
    <col min="3" max="3" width="36.42578125" customWidth="1"/>
    <col min="4" max="4" width="17.85546875" customWidth="1"/>
    <col min="5" max="6" width="19.140625" customWidth="1"/>
    <col min="7" max="7" width="16.42578125" customWidth="1"/>
    <col min="231" max="231" width="6.85546875" customWidth="1"/>
    <col min="232" max="232" width="20.5703125" customWidth="1"/>
    <col min="233" max="233" width="34.28515625" customWidth="1"/>
    <col min="234" max="234" width="17.85546875" customWidth="1"/>
    <col min="235" max="236" width="19.140625" customWidth="1"/>
    <col min="237" max="237" width="16.42578125" customWidth="1"/>
    <col min="487" max="487" width="6.85546875" customWidth="1"/>
    <col min="488" max="488" width="20.5703125" customWidth="1"/>
    <col min="489" max="489" width="34.28515625" customWidth="1"/>
    <col min="490" max="490" width="17.85546875" customWidth="1"/>
    <col min="491" max="492" width="19.140625" customWidth="1"/>
    <col min="493" max="493" width="16.42578125" customWidth="1"/>
    <col min="743" max="743" width="6.85546875" customWidth="1"/>
    <col min="744" max="744" width="20.5703125" customWidth="1"/>
    <col min="745" max="745" width="34.28515625" customWidth="1"/>
    <col min="746" max="746" width="17.85546875" customWidth="1"/>
    <col min="747" max="748" width="19.140625" customWidth="1"/>
    <col min="749" max="749" width="16.42578125" customWidth="1"/>
    <col min="999" max="999" width="6.85546875" customWidth="1"/>
    <col min="1000" max="1000" width="20.5703125" customWidth="1"/>
    <col min="1001" max="1001" width="34.28515625" customWidth="1"/>
    <col min="1002" max="1002" width="17.85546875" customWidth="1"/>
    <col min="1003" max="1004" width="19.140625" customWidth="1"/>
    <col min="1005" max="1005" width="16.42578125" customWidth="1"/>
    <col min="1255" max="1255" width="6.85546875" customWidth="1"/>
    <col min="1256" max="1256" width="20.5703125" customWidth="1"/>
    <col min="1257" max="1257" width="34.28515625" customWidth="1"/>
    <col min="1258" max="1258" width="17.85546875" customWidth="1"/>
    <col min="1259" max="1260" width="19.140625" customWidth="1"/>
    <col min="1261" max="1261" width="16.42578125" customWidth="1"/>
    <col min="1511" max="1511" width="6.85546875" customWidth="1"/>
    <col min="1512" max="1512" width="20.5703125" customWidth="1"/>
    <col min="1513" max="1513" width="34.28515625" customWidth="1"/>
    <col min="1514" max="1514" width="17.85546875" customWidth="1"/>
    <col min="1515" max="1516" width="19.140625" customWidth="1"/>
    <col min="1517" max="1517" width="16.42578125" customWidth="1"/>
    <col min="1767" max="1767" width="6.85546875" customWidth="1"/>
    <col min="1768" max="1768" width="20.5703125" customWidth="1"/>
    <col min="1769" max="1769" width="34.28515625" customWidth="1"/>
    <col min="1770" max="1770" width="17.85546875" customWidth="1"/>
    <col min="1771" max="1772" width="19.140625" customWidth="1"/>
    <col min="1773" max="1773" width="16.42578125" customWidth="1"/>
    <col min="2023" max="2023" width="6.85546875" customWidth="1"/>
    <col min="2024" max="2024" width="20.5703125" customWidth="1"/>
    <col min="2025" max="2025" width="34.28515625" customWidth="1"/>
    <col min="2026" max="2026" width="17.85546875" customWidth="1"/>
    <col min="2027" max="2028" width="19.140625" customWidth="1"/>
    <col min="2029" max="2029" width="16.42578125" customWidth="1"/>
    <col min="2279" max="2279" width="6.85546875" customWidth="1"/>
    <col min="2280" max="2280" width="20.5703125" customWidth="1"/>
    <col min="2281" max="2281" width="34.28515625" customWidth="1"/>
    <col min="2282" max="2282" width="17.85546875" customWidth="1"/>
    <col min="2283" max="2284" width="19.140625" customWidth="1"/>
    <col min="2285" max="2285" width="16.42578125" customWidth="1"/>
    <col min="2535" max="2535" width="6.85546875" customWidth="1"/>
    <col min="2536" max="2536" width="20.5703125" customWidth="1"/>
    <col min="2537" max="2537" width="34.28515625" customWidth="1"/>
    <col min="2538" max="2538" width="17.85546875" customWidth="1"/>
    <col min="2539" max="2540" width="19.140625" customWidth="1"/>
    <col min="2541" max="2541" width="16.42578125" customWidth="1"/>
    <col min="2791" max="2791" width="6.85546875" customWidth="1"/>
    <col min="2792" max="2792" width="20.5703125" customWidth="1"/>
    <col min="2793" max="2793" width="34.28515625" customWidth="1"/>
    <col min="2794" max="2794" width="17.85546875" customWidth="1"/>
    <col min="2795" max="2796" width="19.140625" customWidth="1"/>
    <col min="2797" max="2797" width="16.42578125" customWidth="1"/>
    <col min="3047" max="3047" width="6.85546875" customWidth="1"/>
    <col min="3048" max="3048" width="20.5703125" customWidth="1"/>
    <col min="3049" max="3049" width="34.28515625" customWidth="1"/>
    <col min="3050" max="3050" width="17.85546875" customWidth="1"/>
    <col min="3051" max="3052" width="19.140625" customWidth="1"/>
    <col min="3053" max="3053" width="16.42578125" customWidth="1"/>
    <col min="3303" max="3303" width="6.85546875" customWidth="1"/>
    <col min="3304" max="3304" width="20.5703125" customWidth="1"/>
    <col min="3305" max="3305" width="34.28515625" customWidth="1"/>
    <col min="3306" max="3306" width="17.85546875" customWidth="1"/>
    <col min="3307" max="3308" width="19.140625" customWidth="1"/>
    <col min="3309" max="3309" width="16.42578125" customWidth="1"/>
    <col min="3559" max="3559" width="6.85546875" customWidth="1"/>
    <col min="3560" max="3560" width="20.5703125" customWidth="1"/>
    <col min="3561" max="3561" width="34.28515625" customWidth="1"/>
    <col min="3562" max="3562" width="17.85546875" customWidth="1"/>
    <col min="3563" max="3564" width="19.140625" customWidth="1"/>
    <col min="3565" max="3565" width="16.42578125" customWidth="1"/>
    <col min="3815" max="3815" width="6.85546875" customWidth="1"/>
    <col min="3816" max="3816" width="20.5703125" customWidth="1"/>
    <col min="3817" max="3817" width="34.28515625" customWidth="1"/>
    <col min="3818" max="3818" width="17.85546875" customWidth="1"/>
    <col min="3819" max="3820" width="19.140625" customWidth="1"/>
    <col min="3821" max="3821" width="16.42578125" customWidth="1"/>
    <col min="4071" max="4071" width="6.85546875" customWidth="1"/>
    <col min="4072" max="4072" width="20.5703125" customWidth="1"/>
    <col min="4073" max="4073" width="34.28515625" customWidth="1"/>
    <col min="4074" max="4074" width="17.85546875" customWidth="1"/>
    <col min="4075" max="4076" width="19.140625" customWidth="1"/>
    <col min="4077" max="4077" width="16.42578125" customWidth="1"/>
    <col min="4327" max="4327" width="6.85546875" customWidth="1"/>
    <col min="4328" max="4328" width="20.5703125" customWidth="1"/>
    <col min="4329" max="4329" width="34.28515625" customWidth="1"/>
    <col min="4330" max="4330" width="17.85546875" customWidth="1"/>
    <col min="4331" max="4332" width="19.140625" customWidth="1"/>
    <col min="4333" max="4333" width="16.42578125" customWidth="1"/>
    <col min="4583" max="4583" width="6.85546875" customWidth="1"/>
    <col min="4584" max="4584" width="20.5703125" customWidth="1"/>
    <col min="4585" max="4585" width="34.28515625" customWidth="1"/>
    <col min="4586" max="4586" width="17.85546875" customWidth="1"/>
    <col min="4587" max="4588" width="19.140625" customWidth="1"/>
    <col min="4589" max="4589" width="16.42578125" customWidth="1"/>
    <col min="4839" max="4839" width="6.85546875" customWidth="1"/>
    <col min="4840" max="4840" width="20.5703125" customWidth="1"/>
    <col min="4841" max="4841" width="34.28515625" customWidth="1"/>
    <col min="4842" max="4842" width="17.85546875" customWidth="1"/>
    <col min="4843" max="4844" width="19.140625" customWidth="1"/>
    <col min="4845" max="4845" width="16.42578125" customWidth="1"/>
    <col min="5095" max="5095" width="6.85546875" customWidth="1"/>
    <col min="5096" max="5096" width="20.5703125" customWidth="1"/>
    <col min="5097" max="5097" width="34.28515625" customWidth="1"/>
    <col min="5098" max="5098" width="17.85546875" customWidth="1"/>
    <col min="5099" max="5100" width="19.140625" customWidth="1"/>
    <col min="5101" max="5101" width="16.42578125" customWidth="1"/>
    <col min="5351" max="5351" width="6.85546875" customWidth="1"/>
    <col min="5352" max="5352" width="20.5703125" customWidth="1"/>
    <col min="5353" max="5353" width="34.28515625" customWidth="1"/>
    <col min="5354" max="5354" width="17.85546875" customWidth="1"/>
    <col min="5355" max="5356" width="19.140625" customWidth="1"/>
    <col min="5357" max="5357" width="16.42578125" customWidth="1"/>
    <col min="5607" max="5607" width="6.85546875" customWidth="1"/>
    <col min="5608" max="5608" width="20.5703125" customWidth="1"/>
    <col min="5609" max="5609" width="34.28515625" customWidth="1"/>
    <col min="5610" max="5610" width="17.85546875" customWidth="1"/>
    <col min="5611" max="5612" width="19.140625" customWidth="1"/>
    <col min="5613" max="5613" width="16.42578125" customWidth="1"/>
    <col min="5863" max="5863" width="6.85546875" customWidth="1"/>
    <col min="5864" max="5864" width="20.5703125" customWidth="1"/>
    <col min="5865" max="5865" width="34.28515625" customWidth="1"/>
    <col min="5866" max="5866" width="17.85546875" customWidth="1"/>
    <col min="5867" max="5868" width="19.140625" customWidth="1"/>
    <col min="5869" max="5869" width="16.42578125" customWidth="1"/>
    <col min="6119" max="6119" width="6.85546875" customWidth="1"/>
    <col min="6120" max="6120" width="20.5703125" customWidth="1"/>
    <col min="6121" max="6121" width="34.28515625" customWidth="1"/>
    <col min="6122" max="6122" width="17.85546875" customWidth="1"/>
    <col min="6123" max="6124" width="19.140625" customWidth="1"/>
    <col min="6125" max="6125" width="16.42578125" customWidth="1"/>
    <col min="6375" max="6375" width="6.85546875" customWidth="1"/>
    <col min="6376" max="6376" width="20.5703125" customWidth="1"/>
    <col min="6377" max="6377" width="34.28515625" customWidth="1"/>
    <col min="6378" max="6378" width="17.85546875" customWidth="1"/>
    <col min="6379" max="6380" width="19.140625" customWidth="1"/>
    <col min="6381" max="6381" width="16.42578125" customWidth="1"/>
    <col min="6631" max="6631" width="6.85546875" customWidth="1"/>
    <col min="6632" max="6632" width="20.5703125" customWidth="1"/>
    <col min="6633" max="6633" width="34.28515625" customWidth="1"/>
    <col min="6634" max="6634" width="17.85546875" customWidth="1"/>
    <col min="6635" max="6636" width="19.140625" customWidth="1"/>
    <col min="6637" max="6637" width="16.42578125" customWidth="1"/>
    <col min="6887" max="6887" width="6.85546875" customWidth="1"/>
    <col min="6888" max="6888" width="20.5703125" customWidth="1"/>
    <col min="6889" max="6889" width="34.28515625" customWidth="1"/>
    <col min="6890" max="6890" width="17.85546875" customWidth="1"/>
    <col min="6891" max="6892" width="19.140625" customWidth="1"/>
    <col min="6893" max="6893" width="16.42578125" customWidth="1"/>
    <col min="7143" max="7143" width="6.85546875" customWidth="1"/>
    <col min="7144" max="7144" width="20.5703125" customWidth="1"/>
    <col min="7145" max="7145" width="34.28515625" customWidth="1"/>
    <col min="7146" max="7146" width="17.85546875" customWidth="1"/>
    <col min="7147" max="7148" width="19.140625" customWidth="1"/>
    <col min="7149" max="7149" width="16.42578125" customWidth="1"/>
    <col min="7399" max="7399" width="6.85546875" customWidth="1"/>
    <col min="7400" max="7400" width="20.5703125" customWidth="1"/>
    <col min="7401" max="7401" width="34.28515625" customWidth="1"/>
    <col min="7402" max="7402" width="17.85546875" customWidth="1"/>
    <col min="7403" max="7404" width="19.140625" customWidth="1"/>
    <col min="7405" max="7405" width="16.42578125" customWidth="1"/>
    <col min="7655" max="7655" width="6.85546875" customWidth="1"/>
    <col min="7656" max="7656" width="20.5703125" customWidth="1"/>
    <col min="7657" max="7657" width="34.28515625" customWidth="1"/>
    <col min="7658" max="7658" width="17.85546875" customWidth="1"/>
    <col min="7659" max="7660" width="19.140625" customWidth="1"/>
    <col min="7661" max="7661" width="16.42578125" customWidth="1"/>
    <col min="7911" max="7911" width="6.85546875" customWidth="1"/>
    <col min="7912" max="7912" width="20.5703125" customWidth="1"/>
    <col min="7913" max="7913" width="34.28515625" customWidth="1"/>
    <col min="7914" max="7914" width="17.85546875" customWidth="1"/>
    <col min="7915" max="7916" width="19.140625" customWidth="1"/>
    <col min="7917" max="7917" width="16.42578125" customWidth="1"/>
    <col min="8167" max="8167" width="6.85546875" customWidth="1"/>
    <col min="8168" max="8168" width="20.5703125" customWidth="1"/>
    <col min="8169" max="8169" width="34.28515625" customWidth="1"/>
    <col min="8170" max="8170" width="17.85546875" customWidth="1"/>
    <col min="8171" max="8172" width="19.140625" customWidth="1"/>
    <col min="8173" max="8173" width="16.42578125" customWidth="1"/>
    <col min="8423" max="8423" width="6.85546875" customWidth="1"/>
    <col min="8424" max="8424" width="20.5703125" customWidth="1"/>
    <col min="8425" max="8425" width="34.28515625" customWidth="1"/>
    <col min="8426" max="8426" width="17.85546875" customWidth="1"/>
    <col min="8427" max="8428" width="19.140625" customWidth="1"/>
    <col min="8429" max="8429" width="16.42578125" customWidth="1"/>
    <col min="8679" max="8679" width="6.85546875" customWidth="1"/>
    <col min="8680" max="8680" width="20.5703125" customWidth="1"/>
    <col min="8681" max="8681" width="34.28515625" customWidth="1"/>
    <col min="8682" max="8682" width="17.85546875" customWidth="1"/>
    <col min="8683" max="8684" width="19.140625" customWidth="1"/>
    <col min="8685" max="8685" width="16.42578125" customWidth="1"/>
    <col min="8935" max="8935" width="6.85546875" customWidth="1"/>
    <col min="8936" max="8936" width="20.5703125" customWidth="1"/>
    <col min="8937" max="8937" width="34.28515625" customWidth="1"/>
    <col min="8938" max="8938" width="17.85546875" customWidth="1"/>
    <col min="8939" max="8940" width="19.140625" customWidth="1"/>
    <col min="8941" max="8941" width="16.42578125" customWidth="1"/>
    <col min="9191" max="9191" width="6.85546875" customWidth="1"/>
    <col min="9192" max="9192" width="20.5703125" customWidth="1"/>
    <col min="9193" max="9193" width="34.28515625" customWidth="1"/>
    <col min="9194" max="9194" width="17.85546875" customWidth="1"/>
    <col min="9195" max="9196" width="19.140625" customWidth="1"/>
    <col min="9197" max="9197" width="16.42578125" customWidth="1"/>
    <col min="9447" max="9447" width="6.85546875" customWidth="1"/>
    <col min="9448" max="9448" width="20.5703125" customWidth="1"/>
    <col min="9449" max="9449" width="34.28515625" customWidth="1"/>
    <col min="9450" max="9450" width="17.85546875" customWidth="1"/>
    <col min="9451" max="9452" width="19.140625" customWidth="1"/>
    <col min="9453" max="9453" width="16.42578125" customWidth="1"/>
    <col min="9703" max="9703" width="6.85546875" customWidth="1"/>
    <col min="9704" max="9704" width="20.5703125" customWidth="1"/>
    <col min="9705" max="9705" width="34.28515625" customWidth="1"/>
    <col min="9706" max="9706" width="17.85546875" customWidth="1"/>
    <col min="9707" max="9708" width="19.140625" customWidth="1"/>
    <col min="9709" max="9709" width="16.42578125" customWidth="1"/>
    <col min="9959" max="9959" width="6.85546875" customWidth="1"/>
    <col min="9960" max="9960" width="20.5703125" customWidth="1"/>
    <col min="9961" max="9961" width="34.28515625" customWidth="1"/>
    <col min="9962" max="9962" width="17.85546875" customWidth="1"/>
    <col min="9963" max="9964" width="19.140625" customWidth="1"/>
    <col min="9965" max="9965" width="16.42578125" customWidth="1"/>
    <col min="10215" max="10215" width="6.85546875" customWidth="1"/>
    <col min="10216" max="10216" width="20.5703125" customWidth="1"/>
    <col min="10217" max="10217" width="34.28515625" customWidth="1"/>
    <col min="10218" max="10218" width="17.85546875" customWidth="1"/>
    <col min="10219" max="10220" width="19.140625" customWidth="1"/>
    <col min="10221" max="10221" width="16.42578125" customWidth="1"/>
    <col min="10471" max="10471" width="6.85546875" customWidth="1"/>
    <col min="10472" max="10472" width="20.5703125" customWidth="1"/>
    <col min="10473" max="10473" width="34.28515625" customWidth="1"/>
    <col min="10474" max="10474" width="17.85546875" customWidth="1"/>
    <col min="10475" max="10476" width="19.140625" customWidth="1"/>
    <col min="10477" max="10477" width="16.42578125" customWidth="1"/>
    <col min="10727" max="10727" width="6.85546875" customWidth="1"/>
    <col min="10728" max="10728" width="20.5703125" customWidth="1"/>
    <col min="10729" max="10729" width="34.28515625" customWidth="1"/>
    <col min="10730" max="10730" width="17.85546875" customWidth="1"/>
    <col min="10731" max="10732" width="19.140625" customWidth="1"/>
    <col min="10733" max="10733" width="16.42578125" customWidth="1"/>
    <col min="10983" max="10983" width="6.85546875" customWidth="1"/>
    <col min="10984" max="10984" width="20.5703125" customWidth="1"/>
    <col min="10985" max="10985" width="34.28515625" customWidth="1"/>
    <col min="10986" max="10986" width="17.85546875" customWidth="1"/>
    <col min="10987" max="10988" width="19.140625" customWidth="1"/>
    <col min="10989" max="10989" width="16.42578125" customWidth="1"/>
    <col min="11239" max="11239" width="6.85546875" customWidth="1"/>
    <col min="11240" max="11240" width="20.5703125" customWidth="1"/>
    <col min="11241" max="11241" width="34.28515625" customWidth="1"/>
    <col min="11242" max="11242" width="17.85546875" customWidth="1"/>
    <col min="11243" max="11244" width="19.140625" customWidth="1"/>
    <col min="11245" max="11245" width="16.42578125" customWidth="1"/>
    <col min="11495" max="11495" width="6.85546875" customWidth="1"/>
    <col min="11496" max="11496" width="20.5703125" customWidth="1"/>
    <col min="11497" max="11497" width="34.28515625" customWidth="1"/>
    <col min="11498" max="11498" width="17.85546875" customWidth="1"/>
    <col min="11499" max="11500" width="19.140625" customWidth="1"/>
    <col min="11501" max="11501" width="16.42578125" customWidth="1"/>
    <col min="11751" max="11751" width="6.85546875" customWidth="1"/>
    <col min="11752" max="11752" width="20.5703125" customWidth="1"/>
    <col min="11753" max="11753" width="34.28515625" customWidth="1"/>
    <col min="11754" max="11754" width="17.85546875" customWidth="1"/>
    <col min="11755" max="11756" width="19.140625" customWidth="1"/>
    <col min="11757" max="11757" width="16.42578125" customWidth="1"/>
    <col min="12007" max="12007" width="6.85546875" customWidth="1"/>
    <col min="12008" max="12008" width="20.5703125" customWidth="1"/>
    <col min="12009" max="12009" width="34.28515625" customWidth="1"/>
    <col min="12010" max="12010" width="17.85546875" customWidth="1"/>
    <col min="12011" max="12012" width="19.140625" customWidth="1"/>
    <col min="12013" max="12013" width="16.42578125" customWidth="1"/>
    <col min="12263" max="12263" width="6.85546875" customWidth="1"/>
    <col min="12264" max="12264" width="20.5703125" customWidth="1"/>
    <col min="12265" max="12265" width="34.28515625" customWidth="1"/>
    <col min="12266" max="12266" width="17.85546875" customWidth="1"/>
    <col min="12267" max="12268" width="19.140625" customWidth="1"/>
    <col min="12269" max="12269" width="16.42578125" customWidth="1"/>
    <col min="12519" max="12519" width="6.85546875" customWidth="1"/>
    <col min="12520" max="12520" width="20.5703125" customWidth="1"/>
    <col min="12521" max="12521" width="34.28515625" customWidth="1"/>
    <col min="12522" max="12522" width="17.85546875" customWidth="1"/>
    <col min="12523" max="12524" width="19.140625" customWidth="1"/>
    <col min="12525" max="12525" width="16.42578125" customWidth="1"/>
    <col min="12775" max="12775" width="6.85546875" customWidth="1"/>
    <col min="12776" max="12776" width="20.5703125" customWidth="1"/>
    <col min="12777" max="12777" width="34.28515625" customWidth="1"/>
    <col min="12778" max="12778" width="17.85546875" customWidth="1"/>
    <col min="12779" max="12780" width="19.140625" customWidth="1"/>
    <col min="12781" max="12781" width="16.42578125" customWidth="1"/>
    <col min="13031" max="13031" width="6.85546875" customWidth="1"/>
    <col min="13032" max="13032" width="20.5703125" customWidth="1"/>
    <col min="13033" max="13033" width="34.28515625" customWidth="1"/>
    <col min="13034" max="13034" width="17.85546875" customWidth="1"/>
    <col min="13035" max="13036" width="19.140625" customWidth="1"/>
    <col min="13037" max="13037" width="16.42578125" customWidth="1"/>
    <col min="13287" max="13287" width="6.85546875" customWidth="1"/>
    <col min="13288" max="13288" width="20.5703125" customWidth="1"/>
    <col min="13289" max="13289" width="34.28515625" customWidth="1"/>
    <col min="13290" max="13290" width="17.85546875" customWidth="1"/>
    <col min="13291" max="13292" width="19.140625" customWidth="1"/>
    <col min="13293" max="13293" width="16.42578125" customWidth="1"/>
    <col min="13543" max="13543" width="6.85546875" customWidth="1"/>
    <col min="13544" max="13544" width="20.5703125" customWidth="1"/>
    <col min="13545" max="13545" width="34.28515625" customWidth="1"/>
    <col min="13546" max="13546" width="17.85546875" customWidth="1"/>
    <col min="13547" max="13548" width="19.140625" customWidth="1"/>
    <col min="13549" max="13549" width="16.42578125" customWidth="1"/>
    <col min="13799" max="13799" width="6.85546875" customWidth="1"/>
    <col min="13800" max="13800" width="20.5703125" customWidth="1"/>
    <col min="13801" max="13801" width="34.28515625" customWidth="1"/>
    <col min="13802" max="13802" width="17.85546875" customWidth="1"/>
    <col min="13803" max="13804" width="19.140625" customWidth="1"/>
    <col min="13805" max="13805" width="16.42578125" customWidth="1"/>
    <col min="14055" max="14055" width="6.85546875" customWidth="1"/>
    <col min="14056" max="14056" width="20.5703125" customWidth="1"/>
    <col min="14057" max="14057" width="34.28515625" customWidth="1"/>
    <col min="14058" max="14058" width="17.85546875" customWidth="1"/>
    <col min="14059" max="14060" width="19.140625" customWidth="1"/>
    <col min="14061" max="14061" width="16.42578125" customWidth="1"/>
    <col min="14311" max="14311" width="6.85546875" customWidth="1"/>
    <col min="14312" max="14312" width="20.5703125" customWidth="1"/>
    <col min="14313" max="14313" width="34.28515625" customWidth="1"/>
    <col min="14314" max="14314" width="17.85546875" customWidth="1"/>
    <col min="14315" max="14316" width="19.140625" customWidth="1"/>
    <col min="14317" max="14317" width="16.42578125" customWidth="1"/>
    <col min="14567" max="14567" width="6.85546875" customWidth="1"/>
    <col min="14568" max="14568" width="20.5703125" customWidth="1"/>
    <col min="14569" max="14569" width="34.28515625" customWidth="1"/>
    <col min="14570" max="14570" width="17.85546875" customWidth="1"/>
    <col min="14571" max="14572" width="19.140625" customWidth="1"/>
    <col min="14573" max="14573" width="16.42578125" customWidth="1"/>
    <col min="14823" max="14823" width="6.85546875" customWidth="1"/>
    <col min="14824" max="14824" width="20.5703125" customWidth="1"/>
    <col min="14825" max="14825" width="34.28515625" customWidth="1"/>
    <col min="14826" max="14826" width="17.85546875" customWidth="1"/>
    <col min="14827" max="14828" width="19.140625" customWidth="1"/>
    <col min="14829" max="14829" width="16.42578125" customWidth="1"/>
    <col min="15079" max="15079" width="6.85546875" customWidth="1"/>
    <col min="15080" max="15080" width="20.5703125" customWidth="1"/>
    <col min="15081" max="15081" width="34.28515625" customWidth="1"/>
    <col min="15082" max="15082" width="17.85546875" customWidth="1"/>
    <col min="15083" max="15084" width="19.140625" customWidth="1"/>
    <col min="15085" max="15085" width="16.42578125" customWidth="1"/>
    <col min="15335" max="15335" width="6.85546875" customWidth="1"/>
    <col min="15336" max="15336" width="20.5703125" customWidth="1"/>
    <col min="15337" max="15337" width="34.28515625" customWidth="1"/>
    <col min="15338" max="15338" width="17.85546875" customWidth="1"/>
    <col min="15339" max="15340" width="19.140625" customWidth="1"/>
    <col min="15341" max="15341" width="16.42578125" customWidth="1"/>
    <col min="15591" max="15591" width="6.85546875" customWidth="1"/>
    <col min="15592" max="15592" width="20.5703125" customWidth="1"/>
    <col min="15593" max="15593" width="34.28515625" customWidth="1"/>
    <col min="15594" max="15594" width="17.85546875" customWidth="1"/>
    <col min="15595" max="15596" width="19.140625" customWidth="1"/>
    <col min="15597" max="15597" width="16.42578125" customWidth="1"/>
    <col min="15847" max="15847" width="6.85546875" customWidth="1"/>
    <col min="15848" max="15848" width="20.5703125" customWidth="1"/>
    <col min="15849" max="15849" width="34.28515625" customWidth="1"/>
    <col min="15850" max="15850" width="17.85546875" customWidth="1"/>
    <col min="15851" max="15852" width="19.140625" customWidth="1"/>
    <col min="15853" max="15853" width="16.42578125" customWidth="1"/>
    <col min="16103" max="16103" width="6.85546875" customWidth="1"/>
    <col min="16104" max="16104" width="20.5703125" customWidth="1"/>
    <col min="16105" max="16105" width="34.28515625" customWidth="1"/>
    <col min="16106" max="16106" width="17.85546875" customWidth="1"/>
    <col min="16107" max="16108" width="19.140625" customWidth="1"/>
    <col min="16109" max="16109" width="16.42578125" customWidth="1"/>
  </cols>
  <sheetData>
    <row r="1" spans="1:14" ht="18" customHeight="1" x14ac:dyDescent="0.2">
      <c r="A1" s="285" t="s">
        <v>0</v>
      </c>
      <c r="B1" s="285"/>
      <c r="C1" s="285"/>
      <c r="D1" s="285"/>
      <c r="E1" s="285"/>
      <c r="F1" s="285"/>
      <c r="G1" s="285"/>
      <c r="H1" s="285"/>
      <c r="I1" s="186" t="s">
        <v>1072</v>
      </c>
      <c r="J1" s="80"/>
      <c r="K1" s="80"/>
      <c r="L1" s="80"/>
      <c r="M1" s="80"/>
      <c r="N1" s="80"/>
    </row>
    <row r="2" spans="1:14" ht="17.100000000000001" customHeight="1" x14ac:dyDescent="0.2">
      <c r="A2" s="321" t="s">
        <v>1061</v>
      </c>
      <c r="B2" s="322"/>
      <c r="C2" s="322"/>
      <c r="D2" s="322"/>
      <c r="E2" s="322"/>
      <c r="F2" s="322"/>
      <c r="G2" s="322"/>
      <c r="H2" s="323"/>
      <c r="J2" s="289" t="s">
        <v>1073</v>
      </c>
      <c r="K2" s="289"/>
      <c r="L2" s="289"/>
      <c r="M2" s="289"/>
      <c r="N2" s="289"/>
    </row>
    <row r="3" spans="1:14" ht="21" customHeight="1" x14ac:dyDescent="0.2">
      <c r="A3" s="285" t="s">
        <v>1052</v>
      </c>
      <c r="B3" s="285"/>
      <c r="C3" s="285"/>
      <c r="D3" s="285"/>
      <c r="E3" s="285"/>
      <c r="F3" s="285"/>
      <c r="G3" s="285"/>
      <c r="H3" s="285"/>
      <c r="J3" s="80"/>
      <c r="K3" s="80"/>
      <c r="L3" s="80"/>
      <c r="M3" s="80"/>
      <c r="N3" s="80"/>
    </row>
    <row r="4" spans="1:14" s="178" customFormat="1" ht="30" x14ac:dyDescent="0.2">
      <c r="A4" s="177" t="s">
        <v>2</v>
      </c>
      <c r="B4" s="177" t="s">
        <v>3</v>
      </c>
      <c r="C4" s="177" t="s">
        <v>4</v>
      </c>
      <c r="D4" s="177" t="s">
        <v>5</v>
      </c>
      <c r="E4" s="177" t="s">
        <v>6</v>
      </c>
      <c r="F4" s="177" t="s">
        <v>7</v>
      </c>
      <c r="G4" s="177" t="s">
        <v>8</v>
      </c>
      <c r="H4" s="83" t="s">
        <v>1159</v>
      </c>
      <c r="J4" s="190"/>
      <c r="K4" s="190"/>
      <c r="L4" s="190"/>
      <c r="M4" s="190"/>
      <c r="N4" s="190"/>
    </row>
    <row r="5" spans="1:14" ht="14.1" customHeight="1" x14ac:dyDescent="0.2">
      <c r="A5" s="1"/>
      <c r="B5" s="1"/>
      <c r="C5" s="2" t="s">
        <v>9</v>
      </c>
      <c r="D5" s="1"/>
      <c r="E5" s="1"/>
      <c r="F5" s="1"/>
      <c r="G5" s="1"/>
      <c r="H5" s="53"/>
      <c r="J5" s="80"/>
      <c r="K5" s="80"/>
      <c r="L5" s="80"/>
      <c r="M5" s="80"/>
      <c r="N5" s="80"/>
    </row>
    <row r="6" spans="1:14" ht="24" customHeight="1" x14ac:dyDescent="0.2">
      <c r="A6" s="1"/>
      <c r="B6" s="1"/>
      <c r="C6" s="2" t="s">
        <v>10</v>
      </c>
      <c r="D6" s="1"/>
      <c r="E6" s="1"/>
      <c r="F6" s="1"/>
      <c r="G6" s="1"/>
      <c r="H6" s="53"/>
      <c r="J6" s="80"/>
      <c r="K6" s="80"/>
      <c r="L6" s="80"/>
      <c r="M6" s="80"/>
      <c r="N6" s="80"/>
    </row>
    <row r="7" spans="1:14" ht="17.100000000000001" customHeight="1" x14ac:dyDescent="0.2">
      <c r="A7" s="3">
        <v>1</v>
      </c>
      <c r="B7" s="4" t="s">
        <v>266</v>
      </c>
      <c r="C7" s="4" t="s">
        <v>267</v>
      </c>
      <c r="D7" s="4" t="s">
        <v>19</v>
      </c>
      <c r="E7" s="5">
        <v>817200</v>
      </c>
      <c r="F7" s="6">
        <v>13305.2418</v>
      </c>
      <c r="G7" s="7">
        <v>8.3510205000000004E-2</v>
      </c>
      <c r="H7" s="53"/>
      <c r="J7" s="80"/>
      <c r="K7" s="80"/>
      <c r="L7" s="80"/>
      <c r="M7" s="80"/>
      <c r="N7" s="80"/>
    </row>
    <row r="8" spans="1:14" ht="17.100000000000001" customHeight="1" x14ac:dyDescent="0.2">
      <c r="A8" s="3">
        <v>2</v>
      </c>
      <c r="B8" s="4" t="s">
        <v>17</v>
      </c>
      <c r="C8" s="4" t="s">
        <v>18</v>
      </c>
      <c r="D8" s="4" t="s">
        <v>19</v>
      </c>
      <c r="E8" s="5">
        <v>1069000</v>
      </c>
      <c r="F8" s="6">
        <v>9523.1864999999998</v>
      </c>
      <c r="G8" s="7">
        <v>5.9772176000000003E-2</v>
      </c>
      <c r="H8" s="53"/>
      <c r="J8" s="80"/>
      <c r="K8" s="80"/>
      <c r="L8" s="80"/>
      <c r="M8" s="80"/>
      <c r="N8" s="80"/>
    </row>
    <row r="9" spans="1:14" ht="17.100000000000001" customHeight="1" x14ac:dyDescent="0.2">
      <c r="A9" s="3">
        <v>3</v>
      </c>
      <c r="B9" s="4" t="s">
        <v>20</v>
      </c>
      <c r="C9" s="4" t="s">
        <v>21</v>
      </c>
      <c r="D9" s="4" t="s">
        <v>22</v>
      </c>
      <c r="E9" s="5">
        <v>337500</v>
      </c>
      <c r="F9" s="6">
        <v>8596.7999999999993</v>
      </c>
      <c r="G9" s="7">
        <v>5.3957722E-2</v>
      </c>
      <c r="H9" s="53"/>
      <c r="J9" s="80"/>
      <c r="K9" s="80"/>
      <c r="L9" s="80"/>
      <c r="M9" s="80"/>
      <c r="N9" s="80"/>
    </row>
    <row r="10" spans="1:14" ht="17.100000000000001" customHeight="1" x14ac:dyDescent="0.2">
      <c r="A10" s="3">
        <v>4</v>
      </c>
      <c r="B10" s="4" t="s">
        <v>291</v>
      </c>
      <c r="C10" s="4" t="s">
        <v>292</v>
      </c>
      <c r="D10" s="4" t="s">
        <v>900</v>
      </c>
      <c r="E10" s="5">
        <v>543600</v>
      </c>
      <c r="F10" s="6">
        <v>8198.5751999999993</v>
      </c>
      <c r="G10" s="7">
        <v>5.1458268000000001E-2</v>
      </c>
      <c r="H10" s="53"/>
      <c r="J10" s="80"/>
      <c r="K10" s="80"/>
      <c r="L10" s="80"/>
      <c r="M10" s="80"/>
      <c r="N10" s="80"/>
    </row>
    <row r="11" spans="1:14" ht="29.1" customHeight="1" x14ac:dyDescent="0.2">
      <c r="A11" s="3">
        <v>5</v>
      </c>
      <c r="B11" s="4" t="s">
        <v>293</v>
      </c>
      <c r="C11" s="4" t="s">
        <v>294</v>
      </c>
      <c r="D11" s="4" t="s">
        <v>119</v>
      </c>
      <c r="E11" s="5">
        <v>215100</v>
      </c>
      <c r="F11" s="6">
        <v>5673.4776000000002</v>
      </c>
      <c r="G11" s="7">
        <v>3.5609519999999999E-2</v>
      </c>
      <c r="H11" s="53"/>
      <c r="J11" s="191"/>
      <c r="K11" s="191"/>
      <c r="L11" s="191"/>
      <c r="M11" s="191"/>
      <c r="N11" s="191"/>
    </row>
    <row r="12" spans="1:14" ht="17.100000000000001" customHeight="1" x14ac:dyDescent="0.2">
      <c r="A12" s="3">
        <v>6</v>
      </c>
      <c r="B12" s="4" t="s">
        <v>29</v>
      </c>
      <c r="C12" s="4" t="s">
        <v>30</v>
      </c>
      <c r="D12" s="4" t="s">
        <v>19</v>
      </c>
      <c r="E12" s="5">
        <v>740000</v>
      </c>
      <c r="F12" s="6">
        <v>4541.38</v>
      </c>
      <c r="G12" s="7">
        <v>2.8503922000000001E-2</v>
      </c>
      <c r="H12" s="53"/>
      <c r="J12" s="188" t="s">
        <v>1088</v>
      </c>
      <c r="K12" s="80"/>
      <c r="L12" s="80"/>
      <c r="M12" s="80"/>
      <c r="N12" s="80"/>
    </row>
    <row r="13" spans="1:14" ht="29.1" customHeight="1" x14ac:dyDescent="0.2">
      <c r="A13" s="3">
        <v>7</v>
      </c>
      <c r="B13" s="43" t="s">
        <v>949</v>
      </c>
      <c r="C13" s="43" t="s">
        <v>950</v>
      </c>
      <c r="D13" s="43" t="s">
        <v>96</v>
      </c>
      <c r="E13" s="52">
        <v>1200000</v>
      </c>
      <c r="F13" s="53">
        <v>4032.6</v>
      </c>
      <c r="G13" s="54">
        <v>2.5310570000000001E-2</v>
      </c>
      <c r="H13" s="53"/>
      <c r="J13" s="80"/>
      <c r="K13" s="80"/>
      <c r="L13" s="80"/>
      <c r="M13" s="80"/>
      <c r="N13" s="80"/>
    </row>
    <row r="14" spans="1:14" ht="17.100000000000001" customHeight="1" x14ac:dyDescent="0.2">
      <c r="A14" s="3">
        <v>8</v>
      </c>
      <c r="B14" s="4" t="s">
        <v>181</v>
      </c>
      <c r="C14" s="4" t="s">
        <v>182</v>
      </c>
      <c r="D14" s="4" t="s">
        <v>19</v>
      </c>
      <c r="E14" s="5">
        <v>340000</v>
      </c>
      <c r="F14" s="6">
        <v>3174.75</v>
      </c>
      <c r="G14" s="7">
        <v>1.9926283999999999E-2</v>
      </c>
      <c r="H14" s="53"/>
      <c r="J14" s="80"/>
      <c r="K14" s="80"/>
      <c r="L14" s="80"/>
      <c r="M14" s="80"/>
      <c r="N14" s="80"/>
    </row>
    <row r="15" spans="1:14" ht="17.100000000000001" customHeight="1" x14ac:dyDescent="0.2">
      <c r="A15" s="3">
        <v>9</v>
      </c>
      <c r="B15" s="4" t="s">
        <v>179</v>
      </c>
      <c r="C15" s="4" t="s">
        <v>180</v>
      </c>
      <c r="D15" s="4" t="s">
        <v>19</v>
      </c>
      <c r="E15" s="5">
        <v>1600000</v>
      </c>
      <c r="F15" s="6">
        <v>2971.2</v>
      </c>
      <c r="G15" s="7">
        <v>1.8648703999999999E-2</v>
      </c>
      <c r="H15" s="53"/>
      <c r="J15" s="80"/>
      <c r="K15" s="80"/>
      <c r="L15" s="80"/>
      <c r="M15" s="80"/>
      <c r="N15" s="80"/>
    </row>
    <row r="16" spans="1:14" ht="17.100000000000001" customHeight="1" x14ac:dyDescent="0.2">
      <c r="A16" s="3">
        <v>10</v>
      </c>
      <c r="B16" s="4" t="s">
        <v>103</v>
      </c>
      <c r="C16" s="4" t="s">
        <v>104</v>
      </c>
      <c r="D16" s="4" t="s">
        <v>105</v>
      </c>
      <c r="E16" s="5">
        <v>593850</v>
      </c>
      <c r="F16" s="6">
        <v>2810.9889750000002</v>
      </c>
      <c r="G16" s="7">
        <v>1.7643142000000001E-2</v>
      </c>
      <c r="H16" s="53"/>
      <c r="J16" s="191"/>
      <c r="K16" s="191"/>
      <c r="L16" s="191"/>
      <c r="M16" s="191"/>
      <c r="N16" s="191"/>
    </row>
    <row r="17" spans="1:14" ht="17.100000000000001" customHeight="1" x14ac:dyDescent="0.2">
      <c r="A17" s="3">
        <v>11</v>
      </c>
      <c r="B17" s="4" t="s">
        <v>14</v>
      </c>
      <c r="C17" s="4" t="s">
        <v>15</v>
      </c>
      <c r="D17" s="4" t="s">
        <v>16</v>
      </c>
      <c r="E17" s="5">
        <v>331255</v>
      </c>
      <c r="F17" s="6">
        <v>2670.2465550000002</v>
      </c>
      <c r="G17" s="7">
        <v>1.6759772999999999E-2</v>
      </c>
      <c r="H17" s="53"/>
      <c r="J17" s="80"/>
      <c r="K17" s="80"/>
      <c r="L17" s="80"/>
      <c r="M17" s="80"/>
      <c r="N17" s="80"/>
    </row>
    <row r="18" spans="1:14" ht="17.100000000000001" customHeight="1" x14ac:dyDescent="0.2">
      <c r="A18" s="3">
        <v>12</v>
      </c>
      <c r="B18" s="4" t="s">
        <v>295</v>
      </c>
      <c r="C18" s="4" t="s">
        <v>296</v>
      </c>
      <c r="D18" s="4" t="s">
        <v>248</v>
      </c>
      <c r="E18" s="5">
        <v>212870</v>
      </c>
      <c r="F18" s="6">
        <v>2621.0683100000001</v>
      </c>
      <c r="G18" s="7">
        <v>1.6451107E-2</v>
      </c>
      <c r="H18" s="53"/>
      <c r="J18" s="80"/>
      <c r="K18" s="80"/>
      <c r="L18" s="80"/>
      <c r="M18" s="80"/>
      <c r="N18" s="80"/>
    </row>
    <row r="19" spans="1:14" ht="17.100000000000001" customHeight="1" x14ac:dyDescent="0.2">
      <c r="A19" s="3">
        <v>13</v>
      </c>
      <c r="B19" s="4" t="s">
        <v>85</v>
      </c>
      <c r="C19" s="4" t="s">
        <v>86</v>
      </c>
      <c r="D19" s="4" t="s">
        <v>87</v>
      </c>
      <c r="E19" s="5">
        <v>95000</v>
      </c>
      <c r="F19" s="6">
        <v>2609.3175000000001</v>
      </c>
      <c r="G19" s="7">
        <v>1.6377353000000001E-2</v>
      </c>
      <c r="H19" s="53"/>
      <c r="J19" s="80"/>
      <c r="K19" s="80"/>
      <c r="L19" s="80"/>
      <c r="M19" s="80"/>
      <c r="N19" s="80"/>
    </row>
    <row r="20" spans="1:14" ht="17.100000000000001" customHeight="1" x14ac:dyDescent="0.2">
      <c r="A20" s="3">
        <v>14</v>
      </c>
      <c r="B20" s="4" t="s">
        <v>185</v>
      </c>
      <c r="C20" s="4" t="s">
        <v>186</v>
      </c>
      <c r="D20" s="4" t="s">
        <v>187</v>
      </c>
      <c r="E20" s="5">
        <v>185000</v>
      </c>
      <c r="F20" s="6">
        <v>2446.7175000000002</v>
      </c>
      <c r="G20" s="7">
        <v>1.5356796000000001E-2</v>
      </c>
      <c r="H20" s="53"/>
      <c r="J20" s="80"/>
      <c r="K20" s="80"/>
      <c r="L20" s="80"/>
      <c r="M20" s="80"/>
      <c r="N20" s="80"/>
    </row>
    <row r="21" spans="1:14" ht="17.100000000000001" customHeight="1" x14ac:dyDescent="0.2">
      <c r="A21" s="3">
        <v>15</v>
      </c>
      <c r="B21" s="4" t="s">
        <v>195</v>
      </c>
      <c r="C21" s="4" t="s">
        <v>196</v>
      </c>
      <c r="D21" s="4" t="s">
        <v>87</v>
      </c>
      <c r="E21" s="5">
        <v>87500</v>
      </c>
      <c r="F21" s="6">
        <v>2428.6062499999998</v>
      </c>
      <c r="G21" s="7">
        <v>1.5243121E-2</v>
      </c>
      <c r="H21" s="53"/>
      <c r="J21" s="80"/>
      <c r="K21" s="80"/>
      <c r="L21" s="80"/>
      <c r="M21" s="80"/>
      <c r="N21" s="80"/>
    </row>
    <row r="22" spans="1:14" ht="17.100000000000001" customHeight="1" x14ac:dyDescent="0.2">
      <c r="A22" s="3">
        <v>16</v>
      </c>
      <c r="B22" s="4" t="s">
        <v>11</v>
      </c>
      <c r="C22" s="4" t="s">
        <v>12</v>
      </c>
      <c r="D22" s="4" t="s">
        <v>13</v>
      </c>
      <c r="E22" s="5">
        <v>106900</v>
      </c>
      <c r="F22" s="6">
        <v>2229.7202000000002</v>
      </c>
      <c r="G22" s="7">
        <v>1.3994815000000001E-2</v>
      </c>
      <c r="H22" s="53"/>
    </row>
    <row r="23" spans="1:14" ht="17.100000000000001" customHeight="1" x14ac:dyDescent="0.2">
      <c r="A23" s="3">
        <v>17</v>
      </c>
      <c r="B23" s="4" t="s">
        <v>297</v>
      </c>
      <c r="C23" s="4" t="s">
        <v>298</v>
      </c>
      <c r="D23" s="4" t="s">
        <v>900</v>
      </c>
      <c r="E23" s="5">
        <v>68060</v>
      </c>
      <c r="F23" s="6">
        <v>2216.5100200000002</v>
      </c>
      <c r="G23" s="7">
        <v>1.3911901000000001E-2</v>
      </c>
      <c r="H23" s="53"/>
    </row>
    <row r="24" spans="1:14" ht="17.100000000000001" customHeight="1" x14ac:dyDescent="0.2">
      <c r="A24" s="3">
        <v>18</v>
      </c>
      <c r="B24" s="4" t="s">
        <v>261</v>
      </c>
      <c r="C24" s="4" t="s">
        <v>262</v>
      </c>
      <c r="D24" s="4" t="s">
        <v>119</v>
      </c>
      <c r="E24" s="5">
        <v>130000</v>
      </c>
      <c r="F24" s="6">
        <v>2012.2049999999999</v>
      </c>
      <c r="G24" s="7">
        <v>1.2629583E-2</v>
      </c>
      <c r="H24" s="53"/>
      <c r="J24" s="80"/>
      <c r="K24" s="80"/>
      <c r="L24" s="80"/>
      <c r="M24" s="80"/>
      <c r="N24" s="80"/>
    </row>
    <row r="25" spans="1:14" ht="29.1" customHeight="1" x14ac:dyDescent="0.2">
      <c r="A25" s="3">
        <v>19</v>
      </c>
      <c r="B25" s="4" t="s">
        <v>81</v>
      </c>
      <c r="C25" s="4" t="s">
        <v>82</v>
      </c>
      <c r="D25" s="4" t="s">
        <v>25</v>
      </c>
      <c r="E25" s="5">
        <v>376500</v>
      </c>
      <c r="F25" s="6">
        <v>1973.2365</v>
      </c>
      <c r="G25" s="7">
        <v>1.2384997E-2</v>
      </c>
      <c r="H25" s="53"/>
      <c r="J25" s="80"/>
      <c r="K25" s="80"/>
      <c r="L25" s="80"/>
      <c r="M25" s="80"/>
      <c r="N25" s="80"/>
    </row>
    <row r="26" spans="1:14" ht="24.75" customHeight="1" x14ac:dyDescent="0.2">
      <c r="A26" s="3">
        <v>20</v>
      </c>
      <c r="B26" s="43" t="s">
        <v>947</v>
      </c>
      <c r="C26" s="43" t="s">
        <v>948</v>
      </c>
      <c r="D26" s="43" t="s">
        <v>28</v>
      </c>
      <c r="E26" s="52">
        <v>1440000</v>
      </c>
      <c r="F26" s="53">
        <v>1834.1280000000002</v>
      </c>
      <c r="G26" s="54">
        <v>1.151188E-2</v>
      </c>
      <c r="H26" s="53"/>
      <c r="J26" s="80"/>
      <c r="K26" s="80"/>
      <c r="L26" s="80"/>
      <c r="M26" s="80"/>
      <c r="N26" s="80"/>
    </row>
    <row r="27" spans="1:14" ht="17.100000000000001" customHeight="1" x14ac:dyDescent="0.2">
      <c r="A27" s="3">
        <v>21</v>
      </c>
      <c r="B27" s="4" t="s">
        <v>583</v>
      </c>
      <c r="C27" s="4" t="s">
        <v>584</v>
      </c>
      <c r="D27" s="4" t="s">
        <v>187</v>
      </c>
      <c r="E27" s="5">
        <v>215000</v>
      </c>
      <c r="F27" s="6">
        <v>1886.7325000000001</v>
      </c>
      <c r="G27" s="7">
        <v>1.1842056E-2</v>
      </c>
      <c r="H27" s="53"/>
      <c r="J27" s="80"/>
      <c r="K27" s="80"/>
      <c r="L27" s="80"/>
      <c r="M27" s="80"/>
      <c r="N27" s="80"/>
    </row>
    <row r="28" spans="1:14" ht="29.1" customHeight="1" x14ac:dyDescent="0.2">
      <c r="A28" s="3">
        <v>22</v>
      </c>
      <c r="B28" s="4" t="s">
        <v>481</v>
      </c>
      <c r="C28" s="4" t="s">
        <v>482</v>
      </c>
      <c r="D28" s="4" t="s">
        <v>227</v>
      </c>
      <c r="E28" s="5">
        <v>150000</v>
      </c>
      <c r="F28" s="6">
        <v>1613.925</v>
      </c>
      <c r="G28" s="7">
        <v>1.0129783E-2</v>
      </c>
      <c r="H28" s="53"/>
      <c r="J28" s="80"/>
      <c r="K28" s="80"/>
      <c r="L28" s="80"/>
      <c r="M28" s="80"/>
      <c r="N28" s="80"/>
    </row>
    <row r="29" spans="1:14" ht="17.100000000000001" customHeight="1" x14ac:dyDescent="0.2">
      <c r="A29" s="3">
        <v>23</v>
      </c>
      <c r="B29" s="4" t="s">
        <v>36</v>
      </c>
      <c r="C29" s="4" t="s">
        <v>37</v>
      </c>
      <c r="D29" s="4" t="s">
        <v>33</v>
      </c>
      <c r="E29" s="5">
        <v>90000</v>
      </c>
      <c r="F29" s="6">
        <v>1605.2850000000001</v>
      </c>
      <c r="G29" s="7">
        <v>1.0075554E-2</v>
      </c>
      <c r="H29" s="53"/>
      <c r="J29" s="80"/>
      <c r="K29" s="80"/>
      <c r="L29" s="80"/>
      <c r="M29" s="80"/>
      <c r="N29" s="80"/>
    </row>
    <row r="30" spans="1:14" ht="29.1" customHeight="1" x14ac:dyDescent="0.2">
      <c r="A30" s="3">
        <v>24</v>
      </c>
      <c r="B30" s="4" t="s">
        <v>299</v>
      </c>
      <c r="C30" s="4" t="s">
        <v>300</v>
      </c>
      <c r="D30" s="4" t="s">
        <v>227</v>
      </c>
      <c r="E30" s="5">
        <v>158600</v>
      </c>
      <c r="F30" s="6">
        <v>1588.2203999999999</v>
      </c>
      <c r="G30" s="7">
        <v>9.9684479999999995E-3</v>
      </c>
      <c r="H30" s="53"/>
      <c r="J30" s="80"/>
      <c r="K30" s="80"/>
      <c r="L30" s="80"/>
      <c r="M30" s="80"/>
      <c r="N30" s="80"/>
    </row>
    <row r="31" spans="1:14" ht="17.100000000000001" customHeight="1" x14ac:dyDescent="0.2">
      <c r="A31" s="3">
        <v>25</v>
      </c>
      <c r="B31" s="4" t="s">
        <v>303</v>
      </c>
      <c r="C31" s="4" t="s">
        <v>304</v>
      </c>
      <c r="D31" s="4" t="s">
        <v>305</v>
      </c>
      <c r="E31" s="5">
        <v>60600</v>
      </c>
      <c r="F31" s="6">
        <v>1551.9963</v>
      </c>
      <c r="G31" s="7">
        <v>9.7410880000000002E-3</v>
      </c>
      <c r="H31" s="53"/>
      <c r="J31" s="80"/>
      <c r="K31" s="80"/>
      <c r="L31" s="80"/>
      <c r="M31" s="80"/>
      <c r="N31" s="80"/>
    </row>
    <row r="32" spans="1:14" ht="17.100000000000001" customHeight="1" x14ac:dyDescent="0.2">
      <c r="A32" s="3">
        <v>26</v>
      </c>
      <c r="B32" s="4" t="s">
        <v>183</v>
      </c>
      <c r="C32" s="4" t="s">
        <v>184</v>
      </c>
      <c r="D32" s="4" t="s">
        <v>119</v>
      </c>
      <c r="E32" s="5">
        <v>111150</v>
      </c>
      <c r="F32" s="6">
        <v>1530.42435</v>
      </c>
      <c r="G32" s="7">
        <v>9.6056920000000007E-3</v>
      </c>
      <c r="H32" s="53"/>
      <c r="J32" s="80"/>
      <c r="K32" s="80"/>
      <c r="L32" s="80"/>
      <c r="M32" s="80"/>
      <c r="N32" s="80"/>
    </row>
    <row r="33" spans="1:14" ht="17.100000000000001" customHeight="1" x14ac:dyDescent="0.2">
      <c r="A33" s="3">
        <v>27</v>
      </c>
      <c r="B33" s="4" t="s">
        <v>70</v>
      </c>
      <c r="C33" s="4" t="s">
        <v>71</v>
      </c>
      <c r="D33" s="4" t="s">
        <v>72</v>
      </c>
      <c r="E33" s="5">
        <v>18200</v>
      </c>
      <c r="F33" s="6">
        <v>1527.8172</v>
      </c>
      <c r="G33" s="7">
        <v>9.5893279999999994E-3</v>
      </c>
      <c r="H33" s="53"/>
      <c r="J33" s="80"/>
      <c r="K33" s="80"/>
      <c r="L33" s="80"/>
      <c r="M33" s="80"/>
      <c r="N33" s="80"/>
    </row>
    <row r="34" spans="1:14" ht="17.100000000000001" customHeight="1" x14ac:dyDescent="0.2">
      <c r="A34" s="3">
        <v>28</v>
      </c>
      <c r="B34" s="4" t="s">
        <v>697</v>
      </c>
      <c r="C34" s="4" t="s">
        <v>698</v>
      </c>
      <c r="D34" s="4" t="s">
        <v>72</v>
      </c>
      <c r="E34" s="5">
        <v>46000</v>
      </c>
      <c r="F34" s="6">
        <v>1484.7650000000001</v>
      </c>
      <c r="G34" s="7">
        <v>9.3191109999999997E-3</v>
      </c>
      <c r="H34" s="53"/>
      <c r="J34" s="80"/>
      <c r="K34" s="80"/>
      <c r="L34" s="80"/>
      <c r="M34" s="80"/>
      <c r="N34" s="80"/>
    </row>
    <row r="35" spans="1:14" ht="29.1" customHeight="1" x14ac:dyDescent="0.2">
      <c r="A35" s="3">
        <v>29</v>
      </c>
      <c r="B35" s="4" t="s">
        <v>58</v>
      </c>
      <c r="C35" s="4" t="s">
        <v>59</v>
      </c>
      <c r="D35" s="4" t="s">
        <v>60</v>
      </c>
      <c r="E35" s="5">
        <v>181250</v>
      </c>
      <c r="F35" s="6">
        <v>1482.8062500000001</v>
      </c>
      <c r="G35" s="7">
        <v>9.3068170000000002E-3</v>
      </c>
      <c r="H35" s="53"/>
    </row>
    <row r="36" spans="1:14" ht="29.1" customHeight="1" x14ac:dyDescent="0.2">
      <c r="A36" s="3">
        <v>30</v>
      </c>
      <c r="B36" s="4" t="s">
        <v>23</v>
      </c>
      <c r="C36" s="4" t="s">
        <v>24</v>
      </c>
      <c r="D36" s="4" t="s">
        <v>25</v>
      </c>
      <c r="E36" s="5">
        <v>18100</v>
      </c>
      <c r="F36" s="6">
        <v>1259.5880500000001</v>
      </c>
      <c r="G36" s="7">
        <v>7.9057910000000006E-3</v>
      </c>
      <c r="H36" s="53"/>
    </row>
    <row r="37" spans="1:14" ht="17.100000000000001" customHeight="1" x14ac:dyDescent="0.2">
      <c r="A37" s="3">
        <v>31</v>
      </c>
      <c r="B37" s="4" t="s">
        <v>213</v>
      </c>
      <c r="C37" s="4" t="s">
        <v>214</v>
      </c>
      <c r="D37" s="4" t="s">
        <v>116</v>
      </c>
      <c r="E37" s="5">
        <v>950000</v>
      </c>
      <c r="F37" s="6">
        <v>1202.2249999999999</v>
      </c>
      <c r="G37" s="7">
        <v>7.5457520000000002E-3</v>
      </c>
      <c r="H37" s="53"/>
    </row>
    <row r="38" spans="1:14" ht="17.100000000000001" customHeight="1" x14ac:dyDescent="0.2">
      <c r="A38" s="3">
        <v>32</v>
      </c>
      <c r="B38" s="4" t="s">
        <v>220</v>
      </c>
      <c r="C38" s="4" t="s">
        <v>221</v>
      </c>
      <c r="D38" s="4" t="s">
        <v>187</v>
      </c>
      <c r="E38" s="5">
        <v>70000</v>
      </c>
      <c r="F38" s="6">
        <v>1189.8599999999999</v>
      </c>
      <c r="G38" s="7">
        <v>7.468143E-3</v>
      </c>
      <c r="H38" s="53"/>
    </row>
    <row r="39" spans="1:14" ht="17.100000000000001" customHeight="1" x14ac:dyDescent="0.2">
      <c r="A39" s="3">
        <v>33</v>
      </c>
      <c r="B39" s="4" t="s">
        <v>679</v>
      </c>
      <c r="C39" s="4" t="s">
        <v>680</v>
      </c>
      <c r="D39" s="4" t="s">
        <v>278</v>
      </c>
      <c r="E39" s="5">
        <v>135000</v>
      </c>
      <c r="F39" s="6">
        <v>1179.9675</v>
      </c>
      <c r="G39" s="7">
        <v>7.4060530000000001E-3</v>
      </c>
      <c r="H39" s="53"/>
    </row>
    <row r="40" spans="1:14" ht="17.100000000000001" customHeight="1" x14ac:dyDescent="0.2">
      <c r="A40" s="3">
        <v>34</v>
      </c>
      <c r="B40" s="4" t="s">
        <v>310</v>
      </c>
      <c r="C40" s="4" t="s">
        <v>311</v>
      </c>
      <c r="D40" s="4" t="s">
        <v>305</v>
      </c>
      <c r="E40" s="5">
        <v>345400</v>
      </c>
      <c r="F40" s="6">
        <v>1145.1737000000001</v>
      </c>
      <c r="G40" s="7">
        <v>7.1876700000000002E-3</v>
      </c>
      <c r="H40" s="53"/>
    </row>
    <row r="41" spans="1:14" ht="29.1" customHeight="1" x14ac:dyDescent="0.2">
      <c r="A41" s="3">
        <v>35</v>
      </c>
      <c r="B41" s="4" t="s">
        <v>215</v>
      </c>
      <c r="C41" s="4" t="s">
        <v>216</v>
      </c>
      <c r="D41" s="4" t="s">
        <v>204</v>
      </c>
      <c r="E41" s="5">
        <v>33000</v>
      </c>
      <c r="F41" s="6">
        <v>1128.567</v>
      </c>
      <c r="G41" s="7">
        <v>7.0834380000000001E-3</v>
      </c>
      <c r="H41" s="53"/>
    </row>
    <row r="42" spans="1:14" ht="29.1" customHeight="1" x14ac:dyDescent="0.2">
      <c r="A42" s="3">
        <v>36</v>
      </c>
      <c r="B42" s="4" t="s">
        <v>202</v>
      </c>
      <c r="C42" s="4" t="s">
        <v>203</v>
      </c>
      <c r="D42" s="4" t="s">
        <v>204</v>
      </c>
      <c r="E42" s="5">
        <v>120000</v>
      </c>
      <c r="F42" s="6">
        <v>1064.58</v>
      </c>
      <c r="G42" s="7">
        <v>6.6818249999999997E-3</v>
      </c>
      <c r="H42" s="53"/>
    </row>
    <row r="43" spans="1:14" ht="29.1" customHeight="1" x14ac:dyDescent="0.2">
      <c r="A43" s="3">
        <v>37</v>
      </c>
      <c r="B43" s="4" t="s">
        <v>314</v>
      </c>
      <c r="C43" s="4" t="s">
        <v>315</v>
      </c>
      <c r="D43" s="4" t="s">
        <v>199</v>
      </c>
      <c r="E43" s="5">
        <v>230000</v>
      </c>
      <c r="F43" s="6">
        <v>1057.1949999999999</v>
      </c>
      <c r="G43" s="7">
        <v>6.6354730000000002E-3</v>
      </c>
      <c r="H43" s="53"/>
    </row>
    <row r="44" spans="1:14" ht="17.100000000000001" customHeight="1" x14ac:dyDescent="0.2">
      <c r="A44" s="3">
        <v>38</v>
      </c>
      <c r="B44" s="4" t="s">
        <v>323</v>
      </c>
      <c r="C44" s="4" t="s">
        <v>324</v>
      </c>
      <c r="D44" s="4" t="s">
        <v>900</v>
      </c>
      <c r="E44" s="5">
        <v>102050</v>
      </c>
      <c r="F44" s="6">
        <v>1037.2362000000001</v>
      </c>
      <c r="G44" s="7">
        <v>6.5102019999999997E-3</v>
      </c>
      <c r="H44" s="53"/>
    </row>
    <row r="45" spans="1:14" ht="17.100000000000001" customHeight="1" x14ac:dyDescent="0.2">
      <c r="A45" s="3">
        <v>39</v>
      </c>
      <c r="B45" s="4" t="s">
        <v>542</v>
      </c>
      <c r="C45" s="4" t="s">
        <v>543</v>
      </c>
      <c r="D45" s="4" t="s">
        <v>116</v>
      </c>
      <c r="E45" s="5">
        <v>30600</v>
      </c>
      <c r="F45" s="6">
        <v>944.89739999999995</v>
      </c>
      <c r="G45" s="7">
        <v>5.9306380000000002E-3</v>
      </c>
      <c r="H45" s="53"/>
    </row>
    <row r="46" spans="1:14" ht="17.100000000000001" customHeight="1" x14ac:dyDescent="0.2">
      <c r="A46" s="3">
        <v>40</v>
      </c>
      <c r="B46" s="4" t="s">
        <v>217</v>
      </c>
      <c r="C46" s="4" t="s">
        <v>218</v>
      </c>
      <c r="D46" s="4" t="s">
        <v>219</v>
      </c>
      <c r="E46" s="5">
        <v>160000</v>
      </c>
      <c r="F46" s="6">
        <v>928.96</v>
      </c>
      <c r="G46" s="7">
        <v>5.8306069999999998E-3</v>
      </c>
      <c r="H46" s="53"/>
    </row>
    <row r="47" spans="1:14" ht="29.1" customHeight="1" x14ac:dyDescent="0.2">
      <c r="A47" s="3">
        <v>41</v>
      </c>
      <c r="B47" s="4" t="s">
        <v>191</v>
      </c>
      <c r="C47" s="4" t="s">
        <v>192</v>
      </c>
      <c r="D47" s="4" t="s">
        <v>116</v>
      </c>
      <c r="E47" s="5">
        <v>250000</v>
      </c>
      <c r="F47" s="6">
        <v>841.125</v>
      </c>
      <c r="G47" s="7">
        <v>5.2793120000000004E-3</v>
      </c>
      <c r="H47" s="53"/>
    </row>
    <row r="48" spans="1:14" ht="17.100000000000001" customHeight="1" x14ac:dyDescent="0.2">
      <c r="A48" s="3">
        <v>42</v>
      </c>
      <c r="B48" s="4" t="s">
        <v>259</v>
      </c>
      <c r="C48" s="4" t="s">
        <v>260</v>
      </c>
      <c r="D48" s="4" t="s">
        <v>116</v>
      </c>
      <c r="E48" s="5">
        <v>95000</v>
      </c>
      <c r="F48" s="6">
        <v>839.32500000000005</v>
      </c>
      <c r="G48" s="7">
        <v>5.2680139999999997E-3</v>
      </c>
      <c r="H48" s="53"/>
    </row>
    <row r="49" spans="1:8" ht="17.100000000000001" customHeight="1" x14ac:dyDescent="0.2">
      <c r="A49" s="3">
        <v>43</v>
      </c>
      <c r="B49" s="4" t="s">
        <v>342</v>
      </c>
      <c r="C49" s="4" t="s">
        <v>343</v>
      </c>
      <c r="D49" s="4" t="s">
        <v>119</v>
      </c>
      <c r="E49" s="5">
        <v>12250</v>
      </c>
      <c r="F49" s="6">
        <v>805.46199999999999</v>
      </c>
      <c r="G49" s="7">
        <v>5.0554730000000004E-3</v>
      </c>
      <c r="H49" s="53"/>
    </row>
    <row r="50" spans="1:8" ht="17.100000000000001" customHeight="1" x14ac:dyDescent="0.2">
      <c r="A50" s="3">
        <v>44</v>
      </c>
      <c r="B50" s="4" t="s">
        <v>329</v>
      </c>
      <c r="C50" s="4" t="s">
        <v>330</v>
      </c>
      <c r="D50" s="4" t="s">
        <v>19</v>
      </c>
      <c r="E50" s="5">
        <v>43400</v>
      </c>
      <c r="F50" s="6">
        <v>793.02650000000006</v>
      </c>
      <c r="G50" s="7">
        <v>4.9774219999999996E-3</v>
      </c>
      <c r="H50" s="53"/>
    </row>
    <row r="51" spans="1:8" ht="17.100000000000001" customHeight="1" x14ac:dyDescent="0.2">
      <c r="A51" s="3">
        <v>45</v>
      </c>
      <c r="B51" s="4" t="s">
        <v>306</v>
      </c>
      <c r="C51" s="4" t="s">
        <v>307</v>
      </c>
      <c r="D51" s="4" t="s">
        <v>72</v>
      </c>
      <c r="E51" s="5">
        <v>61700</v>
      </c>
      <c r="F51" s="6">
        <v>770.75639999999999</v>
      </c>
      <c r="G51" s="7">
        <v>4.8376440000000003E-3</v>
      </c>
      <c r="H51" s="53"/>
    </row>
    <row r="52" spans="1:8" ht="17.100000000000001" customHeight="1" x14ac:dyDescent="0.2">
      <c r="A52" s="3">
        <v>46</v>
      </c>
      <c r="B52" s="4" t="s">
        <v>253</v>
      </c>
      <c r="C52" s="4" t="s">
        <v>254</v>
      </c>
      <c r="D52" s="4" t="s">
        <v>119</v>
      </c>
      <c r="E52" s="5">
        <v>137000</v>
      </c>
      <c r="F52" s="6">
        <v>754.25350000000003</v>
      </c>
      <c r="G52" s="7">
        <v>4.7340639999999996E-3</v>
      </c>
      <c r="H52" s="53"/>
    </row>
    <row r="53" spans="1:8" ht="17.100000000000001" customHeight="1" x14ac:dyDescent="0.2">
      <c r="A53" s="3">
        <v>47</v>
      </c>
      <c r="B53" s="4" t="s">
        <v>331</v>
      </c>
      <c r="C53" s="4" t="s">
        <v>332</v>
      </c>
      <c r="D53" s="4" t="s">
        <v>96</v>
      </c>
      <c r="E53" s="5">
        <v>989100</v>
      </c>
      <c r="F53" s="6">
        <v>741.82500000000005</v>
      </c>
      <c r="G53" s="7">
        <v>4.6560569999999999E-3</v>
      </c>
      <c r="H53" s="53"/>
    </row>
    <row r="54" spans="1:8" ht="29.1" customHeight="1" x14ac:dyDescent="0.2">
      <c r="A54" s="3">
        <v>48</v>
      </c>
      <c r="B54" s="4" t="s">
        <v>249</v>
      </c>
      <c r="C54" s="4" t="s">
        <v>250</v>
      </c>
      <c r="D54" s="4" t="s">
        <v>227</v>
      </c>
      <c r="E54" s="5">
        <v>175000</v>
      </c>
      <c r="F54" s="6">
        <v>734.91250000000002</v>
      </c>
      <c r="G54" s="7">
        <v>4.6126700000000001E-3</v>
      </c>
      <c r="H54" s="53"/>
    </row>
    <row r="55" spans="1:8" ht="17.100000000000001" customHeight="1" x14ac:dyDescent="0.2">
      <c r="A55" s="3">
        <v>49</v>
      </c>
      <c r="B55" s="4" t="s">
        <v>592</v>
      </c>
      <c r="C55" s="4" t="s">
        <v>593</v>
      </c>
      <c r="D55" s="4" t="s">
        <v>248</v>
      </c>
      <c r="E55" s="5">
        <v>128700</v>
      </c>
      <c r="F55" s="6">
        <v>728.76374999999996</v>
      </c>
      <c r="G55" s="7">
        <v>4.5740779999999997E-3</v>
      </c>
      <c r="H55" s="53"/>
    </row>
    <row r="56" spans="1:8" ht="29.1" customHeight="1" x14ac:dyDescent="0.2">
      <c r="A56" s="3">
        <v>50</v>
      </c>
      <c r="B56" s="4" t="s">
        <v>257</v>
      </c>
      <c r="C56" s="4" t="s">
        <v>258</v>
      </c>
      <c r="D56" s="4" t="s">
        <v>227</v>
      </c>
      <c r="E56" s="5">
        <v>42500</v>
      </c>
      <c r="F56" s="6">
        <v>670.03375000000005</v>
      </c>
      <c r="G56" s="7">
        <v>4.2054600000000003E-3</v>
      </c>
      <c r="H56" s="53"/>
    </row>
    <row r="57" spans="1:8" ht="29.1" customHeight="1" x14ac:dyDescent="0.2">
      <c r="A57" s="3">
        <v>51</v>
      </c>
      <c r="B57" s="4" t="s">
        <v>485</v>
      </c>
      <c r="C57" s="4" t="s">
        <v>486</v>
      </c>
      <c r="D57" s="4" t="s">
        <v>430</v>
      </c>
      <c r="E57" s="5">
        <v>86000</v>
      </c>
      <c r="F57" s="6">
        <v>659.577</v>
      </c>
      <c r="G57" s="7">
        <v>4.1398279999999999E-3</v>
      </c>
      <c r="H57" s="53"/>
    </row>
    <row r="58" spans="1:8" ht="17.100000000000001" customHeight="1" x14ac:dyDescent="0.2">
      <c r="A58" s="3">
        <v>52</v>
      </c>
      <c r="B58" s="4" t="s">
        <v>263</v>
      </c>
      <c r="C58" s="4" t="s">
        <v>264</v>
      </c>
      <c r="D58" s="4" t="s">
        <v>265</v>
      </c>
      <c r="E58" s="5">
        <v>63000</v>
      </c>
      <c r="F58" s="6">
        <v>573.14250000000004</v>
      </c>
      <c r="G58" s="7">
        <v>3.5973229999999999E-3</v>
      </c>
      <c r="H58" s="53"/>
    </row>
    <row r="59" spans="1:8" ht="17.100000000000001" customHeight="1" x14ac:dyDescent="0.2">
      <c r="A59" s="3">
        <v>53</v>
      </c>
      <c r="B59" s="4" t="s">
        <v>232</v>
      </c>
      <c r="C59" s="4" t="s">
        <v>233</v>
      </c>
      <c r="D59" s="4" t="s">
        <v>234</v>
      </c>
      <c r="E59" s="5">
        <v>144000</v>
      </c>
      <c r="F59" s="6">
        <v>345.67200000000003</v>
      </c>
      <c r="G59" s="7">
        <v>2.169607E-3</v>
      </c>
      <c r="H59" s="53"/>
    </row>
    <row r="60" spans="1:8" ht="53.1" customHeight="1" x14ac:dyDescent="0.2">
      <c r="A60" s="3">
        <v>54</v>
      </c>
      <c r="B60" s="4" t="s">
        <v>90</v>
      </c>
      <c r="C60" s="4" t="s">
        <v>91</v>
      </c>
      <c r="D60" s="4" t="s">
        <v>48</v>
      </c>
      <c r="E60" s="5">
        <v>20670</v>
      </c>
      <c r="F60" s="6">
        <v>303.49761000000001</v>
      </c>
      <c r="G60" s="7">
        <v>1.904899E-3</v>
      </c>
      <c r="H60" s="53"/>
    </row>
    <row r="61" spans="1:8" ht="17.100000000000001" customHeight="1" x14ac:dyDescent="0.2">
      <c r="A61" s="3">
        <v>55</v>
      </c>
      <c r="B61" s="4" t="s">
        <v>874</v>
      </c>
      <c r="C61" s="4" t="s">
        <v>875</v>
      </c>
      <c r="D61" s="4" t="s">
        <v>87</v>
      </c>
      <c r="E61" s="5">
        <v>122400</v>
      </c>
      <c r="F61" s="6">
        <v>220.626</v>
      </c>
      <c r="G61" s="7">
        <v>1.3847569999999999E-3</v>
      </c>
      <c r="H61" s="53"/>
    </row>
    <row r="62" spans="1:8" ht="17.100000000000001" customHeight="1" x14ac:dyDescent="0.2">
      <c r="A62" s="3">
        <v>56</v>
      </c>
      <c r="B62" s="4" t="s">
        <v>544</v>
      </c>
      <c r="C62" s="4" t="s">
        <v>545</v>
      </c>
      <c r="D62" s="4" t="s">
        <v>96</v>
      </c>
      <c r="E62" s="5">
        <v>37950</v>
      </c>
      <c r="F62" s="6">
        <v>142.3125</v>
      </c>
      <c r="G62" s="7">
        <v>8.9322299999999996E-4</v>
      </c>
      <c r="H62" s="53"/>
    </row>
    <row r="63" spans="1:8" ht="17.100000000000001" customHeight="1" x14ac:dyDescent="0.2">
      <c r="A63" s="3">
        <v>57</v>
      </c>
      <c r="B63" s="4" t="s">
        <v>66</v>
      </c>
      <c r="C63" s="4" t="s">
        <v>67</v>
      </c>
      <c r="D63" s="4" t="s">
        <v>28</v>
      </c>
      <c r="E63" s="5">
        <v>47250</v>
      </c>
      <c r="F63" s="6">
        <v>98.138249999999999</v>
      </c>
      <c r="G63" s="7">
        <v>6.1596399999999999E-4</v>
      </c>
      <c r="H63" s="53"/>
    </row>
    <row r="64" spans="1:8" ht="17.100000000000001" customHeight="1" x14ac:dyDescent="0.2">
      <c r="A64" s="3">
        <v>58</v>
      </c>
      <c r="B64" s="4" t="s">
        <v>127</v>
      </c>
      <c r="C64" s="4" t="s">
        <v>128</v>
      </c>
      <c r="D64" s="4" t="s">
        <v>119</v>
      </c>
      <c r="E64" s="5">
        <v>20670</v>
      </c>
      <c r="F64" s="6">
        <v>46.778277000000003</v>
      </c>
      <c r="G64" s="7">
        <v>2.9360299999999997E-4</v>
      </c>
      <c r="H64" s="53"/>
    </row>
    <row r="65" spans="1:8" ht="14.1" customHeight="1" x14ac:dyDescent="0.2">
      <c r="A65" s="1"/>
      <c r="B65" s="1"/>
      <c r="C65" s="2" t="s">
        <v>132</v>
      </c>
      <c r="D65" s="1"/>
      <c r="E65" s="1" t="s">
        <v>133</v>
      </c>
      <c r="F65" s="9">
        <v>122349.40529700005</v>
      </c>
      <c r="G65" s="10">
        <v>0.76792470600000007</v>
      </c>
      <c r="H65" s="53"/>
    </row>
    <row r="66" spans="1:8" ht="14.1" customHeight="1" x14ac:dyDescent="0.2">
      <c r="A66" s="1"/>
      <c r="B66" s="1"/>
      <c r="C66" s="11"/>
      <c r="D66" s="1"/>
      <c r="E66" s="1"/>
      <c r="F66" s="12"/>
      <c r="G66" s="12"/>
      <c r="H66" s="53"/>
    </row>
    <row r="67" spans="1:8" ht="14.1" customHeight="1" x14ac:dyDescent="0.2">
      <c r="A67" s="1"/>
      <c r="B67" s="1"/>
      <c r="C67" s="2" t="s">
        <v>134</v>
      </c>
      <c r="D67" s="1"/>
      <c r="E67" s="1"/>
      <c r="F67" s="1"/>
      <c r="G67" s="1"/>
      <c r="H67" s="53"/>
    </row>
    <row r="68" spans="1:8" ht="14.1" customHeight="1" x14ac:dyDescent="0.2">
      <c r="A68" s="1"/>
      <c r="B68" s="1"/>
      <c r="C68" s="2" t="s">
        <v>132</v>
      </c>
      <c r="D68" s="1"/>
      <c r="E68" s="1" t="s">
        <v>133</v>
      </c>
      <c r="F68" s="13">
        <v>0</v>
      </c>
      <c r="G68" s="14">
        <v>0</v>
      </c>
      <c r="H68" s="53"/>
    </row>
    <row r="69" spans="1:8" ht="14.1" customHeight="1" x14ac:dyDescent="0.2">
      <c r="A69" s="1"/>
      <c r="B69" s="1"/>
      <c r="C69" s="11"/>
      <c r="D69" s="1"/>
      <c r="E69" s="1"/>
      <c r="F69" s="12"/>
      <c r="G69" s="12"/>
      <c r="H69" s="53"/>
    </row>
    <row r="70" spans="1:8" ht="14.1" customHeight="1" x14ac:dyDescent="0.2">
      <c r="A70" s="1"/>
      <c r="B70" s="1"/>
      <c r="C70" s="2" t="s">
        <v>135</v>
      </c>
      <c r="D70" s="1"/>
      <c r="E70" s="1"/>
      <c r="F70" s="1"/>
      <c r="G70" s="1"/>
      <c r="H70" s="53"/>
    </row>
    <row r="71" spans="1:8" ht="14.1" customHeight="1" x14ac:dyDescent="0.2">
      <c r="A71" s="1"/>
      <c r="B71" s="1"/>
      <c r="C71" s="2" t="s">
        <v>132</v>
      </c>
      <c r="D71" s="1"/>
      <c r="E71" s="1" t="s">
        <v>133</v>
      </c>
      <c r="F71" s="13">
        <v>0</v>
      </c>
      <c r="G71" s="14">
        <v>0</v>
      </c>
      <c r="H71" s="53"/>
    </row>
    <row r="72" spans="1:8" ht="14.1" customHeight="1" x14ac:dyDescent="0.2">
      <c r="A72" s="1"/>
      <c r="B72" s="1"/>
      <c r="C72" s="11"/>
      <c r="D72" s="1"/>
      <c r="E72" s="1"/>
      <c r="F72" s="12"/>
      <c r="G72" s="12"/>
      <c r="H72" s="53"/>
    </row>
    <row r="73" spans="1:8" ht="14.1" customHeight="1" x14ac:dyDescent="0.2">
      <c r="A73" s="1"/>
      <c r="B73" s="1"/>
      <c r="C73" s="2" t="s">
        <v>136</v>
      </c>
      <c r="D73" s="1"/>
      <c r="E73" s="1"/>
      <c r="F73" s="1"/>
      <c r="G73" s="1"/>
      <c r="H73" s="53"/>
    </row>
    <row r="74" spans="1:8" ht="17.100000000000001" customHeight="1" x14ac:dyDescent="0.2">
      <c r="A74" s="3">
        <v>1</v>
      </c>
      <c r="B74" s="4" t="s">
        <v>289</v>
      </c>
      <c r="C74" s="4" t="s">
        <v>959</v>
      </c>
      <c r="D74" s="4" t="s">
        <v>265</v>
      </c>
      <c r="E74" s="5">
        <v>2100</v>
      </c>
      <c r="F74" s="6">
        <v>9.8668499999999995</v>
      </c>
      <c r="G74" s="7">
        <v>6.1928999999999996E-5</v>
      </c>
      <c r="H74" s="53"/>
    </row>
    <row r="75" spans="1:8" ht="14.1" customHeight="1" x14ac:dyDescent="0.2">
      <c r="A75" s="1"/>
      <c r="B75" s="1"/>
      <c r="C75" s="2" t="s">
        <v>132</v>
      </c>
      <c r="D75" s="1"/>
      <c r="E75" s="1" t="s">
        <v>133</v>
      </c>
      <c r="F75" s="9">
        <v>9.8668499999999995</v>
      </c>
      <c r="G75" s="10">
        <v>6.1928999999999996E-5</v>
      </c>
      <c r="H75" s="53"/>
    </row>
    <row r="76" spans="1:8" ht="14.1" customHeight="1" x14ac:dyDescent="0.2">
      <c r="A76" s="1"/>
      <c r="B76" s="1"/>
      <c r="C76" s="11"/>
      <c r="D76" s="1"/>
      <c r="E76" s="1"/>
      <c r="F76" s="12"/>
      <c r="G76" s="12"/>
      <c r="H76" s="53"/>
    </row>
    <row r="77" spans="1:8" ht="14.1" customHeight="1" x14ac:dyDescent="0.2">
      <c r="A77" s="1"/>
      <c r="B77" s="1"/>
      <c r="C77" s="2" t="s">
        <v>137</v>
      </c>
      <c r="D77" s="1"/>
      <c r="E77" s="1"/>
      <c r="F77" s="12"/>
      <c r="G77" s="12"/>
      <c r="H77" s="53"/>
    </row>
    <row r="78" spans="1:8" ht="14.1" customHeight="1" x14ac:dyDescent="0.2">
      <c r="A78" s="1"/>
      <c r="B78" s="1"/>
      <c r="C78" s="2" t="s">
        <v>132</v>
      </c>
      <c r="D78" s="1"/>
      <c r="E78" s="1" t="s">
        <v>133</v>
      </c>
      <c r="F78" s="13">
        <v>0</v>
      </c>
      <c r="G78" s="14">
        <v>0</v>
      </c>
      <c r="H78" s="53"/>
    </row>
    <row r="79" spans="1:8" ht="14.1" customHeight="1" x14ac:dyDescent="0.2">
      <c r="A79" s="1"/>
      <c r="B79" s="1"/>
      <c r="C79" s="11"/>
      <c r="D79" s="1"/>
      <c r="E79" s="1"/>
      <c r="F79" s="12"/>
      <c r="G79" s="12"/>
      <c r="H79" s="53"/>
    </row>
    <row r="80" spans="1:8" ht="14.1" customHeight="1" x14ac:dyDescent="0.2">
      <c r="A80" s="1"/>
      <c r="B80" s="1"/>
      <c r="C80" s="2" t="s">
        <v>138</v>
      </c>
      <c r="D80" s="1"/>
      <c r="E80" s="1"/>
      <c r="F80" s="12"/>
      <c r="G80" s="12"/>
      <c r="H80" s="53"/>
    </row>
    <row r="81" spans="1:8" ht="17.100000000000001" customHeight="1" x14ac:dyDescent="0.2">
      <c r="A81" s="3">
        <v>1</v>
      </c>
      <c r="B81" s="4"/>
      <c r="C81" s="4" t="s">
        <v>923</v>
      </c>
      <c r="D81" s="4" t="s">
        <v>550</v>
      </c>
      <c r="E81" s="5">
        <v>-47250</v>
      </c>
      <c r="F81" s="6">
        <v>-98.799750000000003</v>
      </c>
      <c r="G81" s="7">
        <v>-6.2011599999999998E-4</v>
      </c>
      <c r="H81" s="53"/>
    </row>
    <row r="82" spans="1:8" ht="17.100000000000001" customHeight="1" x14ac:dyDescent="0.2">
      <c r="A82" s="3">
        <v>2</v>
      </c>
      <c r="B82" s="4"/>
      <c r="C82" s="4" t="s">
        <v>914</v>
      </c>
      <c r="D82" s="4" t="s">
        <v>550</v>
      </c>
      <c r="E82" s="5">
        <v>-19800</v>
      </c>
      <c r="F82" s="6">
        <v>-104.5044</v>
      </c>
      <c r="G82" s="7">
        <v>-6.5592099999999996E-4</v>
      </c>
      <c r="H82" s="53"/>
    </row>
    <row r="83" spans="1:8" ht="25.5" x14ac:dyDescent="0.2">
      <c r="A83" s="3">
        <v>3</v>
      </c>
      <c r="B83" s="4"/>
      <c r="C83" s="4" t="s">
        <v>924</v>
      </c>
      <c r="D83" s="4" t="s">
        <v>550</v>
      </c>
      <c r="E83" s="5">
        <v>-10500</v>
      </c>
      <c r="F83" s="6">
        <v>-105.5985</v>
      </c>
      <c r="G83" s="7">
        <v>-6.6278799999999998E-4</v>
      </c>
      <c r="H83" s="53"/>
    </row>
    <row r="84" spans="1:8" ht="17.100000000000001" customHeight="1" x14ac:dyDescent="0.2">
      <c r="A84" s="3">
        <v>4</v>
      </c>
      <c r="B84" s="4"/>
      <c r="C84" s="4" t="s">
        <v>911</v>
      </c>
      <c r="D84" s="4" t="s">
        <v>550</v>
      </c>
      <c r="E84" s="5">
        <v>-37950</v>
      </c>
      <c r="F84" s="6">
        <v>-143.16637499999999</v>
      </c>
      <c r="G84" s="7">
        <v>-8.9858199999999998E-4</v>
      </c>
      <c r="H84" s="53"/>
    </row>
    <row r="85" spans="1:8" ht="17.100000000000001" customHeight="1" x14ac:dyDescent="0.2">
      <c r="A85" s="3">
        <v>5</v>
      </c>
      <c r="B85" s="4"/>
      <c r="C85" s="4" t="s">
        <v>918</v>
      </c>
      <c r="D85" s="4" t="s">
        <v>550</v>
      </c>
      <c r="E85" s="5">
        <v>-8400</v>
      </c>
      <c r="F85" s="6">
        <v>-154.57259999999999</v>
      </c>
      <c r="G85" s="7">
        <v>-9.7017299999999996E-4</v>
      </c>
      <c r="H85" s="53"/>
    </row>
    <row r="86" spans="1:8" ht="17.100000000000001" customHeight="1" x14ac:dyDescent="0.2">
      <c r="A86" s="3">
        <v>6</v>
      </c>
      <c r="B86" s="4"/>
      <c r="C86" s="4" t="s">
        <v>916</v>
      </c>
      <c r="D86" s="4" t="s">
        <v>550</v>
      </c>
      <c r="E86" s="5">
        <v>-2200</v>
      </c>
      <c r="F86" s="6">
        <v>-185.42259999999999</v>
      </c>
      <c r="G86" s="7">
        <v>-1.1638029999999999E-3</v>
      </c>
      <c r="H86" s="53"/>
    </row>
    <row r="87" spans="1:8" ht="17.100000000000001" customHeight="1" x14ac:dyDescent="0.2">
      <c r="A87" s="3">
        <v>7</v>
      </c>
      <c r="B87" s="4"/>
      <c r="C87" s="4" t="s">
        <v>925</v>
      </c>
      <c r="D87" s="4" t="s">
        <v>550</v>
      </c>
      <c r="E87" s="5">
        <v>-122400</v>
      </c>
      <c r="F87" s="6">
        <v>-221.54400000000001</v>
      </c>
      <c r="G87" s="7">
        <v>-1.390519E-3</v>
      </c>
      <c r="H87" s="53"/>
    </row>
    <row r="88" spans="1:8" ht="25.5" x14ac:dyDescent="0.2">
      <c r="A88" s="3">
        <v>8</v>
      </c>
      <c r="B88" s="4"/>
      <c r="C88" s="4" t="s">
        <v>921</v>
      </c>
      <c r="D88" s="4" t="s">
        <v>550</v>
      </c>
      <c r="E88" s="5">
        <v>-144000</v>
      </c>
      <c r="F88" s="6">
        <v>-347.18400000000003</v>
      </c>
      <c r="G88" s="7">
        <v>-2.1790970000000001E-3</v>
      </c>
      <c r="H88" s="53"/>
    </row>
    <row r="89" spans="1:8" ht="17.100000000000001" customHeight="1" x14ac:dyDescent="0.2">
      <c r="A89" s="3">
        <v>9</v>
      </c>
      <c r="B89" s="4"/>
      <c r="C89" s="4" t="s">
        <v>926</v>
      </c>
      <c r="D89" s="4" t="s">
        <v>550</v>
      </c>
      <c r="E89" s="5">
        <v>-56050</v>
      </c>
      <c r="F89" s="6">
        <v>-454.78969999999998</v>
      </c>
      <c r="G89" s="7">
        <v>-2.8544830000000001E-3</v>
      </c>
      <c r="H89" s="53"/>
    </row>
    <row r="90" spans="1:8" ht="17.100000000000001" customHeight="1" x14ac:dyDescent="0.2">
      <c r="A90" s="3">
        <v>10</v>
      </c>
      <c r="B90" s="4"/>
      <c r="C90" s="4" t="s">
        <v>927</v>
      </c>
      <c r="D90" s="4" t="s">
        <v>550</v>
      </c>
      <c r="E90" s="5">
        <v>-7100</v>
      </c>
      <c r="F90" s="6">
        <v>-497.58575000000002</v>
      </c>
      <c r="G90" s="7">
        <v>-3.1230920000000001E-3</v>
      </c>
      <c r="H90" s="53"/>
    </row>
    <row r="91" spans="1:8" ht="17.100000000000001" customHeight="1" x14ac:dyDescent="0.2">
      <c r="A91" s="3">
        <v>11</v>
      </c>
      <c r="B91" s="4"/>
      <c r="C91" s="4" t="s">
        <v>928</v>
      </c>
      <c r="D91" s="4" t="s">
        <v>550</v>
      </c>
      <c r="E91" s="5">
        <v>-68750</v>
      </c>
      <c r="F91" s="6">
        <v>-607.02812500000005</v>
      </c>
      <c r="G91" s="7">
        <v>-3.810005E-3</v>
      </c>
      <c r="H91" s="53"/>
    </row>
    <row r="92" spans="1:8" ht="25.5" x14ac:dyDescent="0.2">
      <c r="A92" s="3">
        <v>12</v>
      </c>
      <c r="B92" s="4"/>
      <c r="C92" s="4" t="s">
        <v>929</v>
      </c>
      <c r="D92" s="4" t="s">
        <v>550</v>
      </c>
      <c r="E92" s="5">
        <v>-128700</v>
      </c>
      <c r="F92" s="6">
        <v>-733.78305</v>
      </c>
      <c r="G92" s="7">
        <v>-4.6055810000000001E-3</v>
      </c>
      <c r="H92" s="53"/>
    </row>
    <row r="93" spans="1:8" ht="17.100000000000001" customHeight="1" x14ac:dyDescent="0.2">
      <c r="A93" s="3">
        <v>13</v>
      </c>
      <c r="B93" s="4"/>
      <c r="C93" s="4" t="s">
        <v>920</v>
      </c>
      <c r="D93" s="4" t="s">
        <v>550</v>
      </c>
      <c r="E93" s="5">
        <v>-12250</v>
      </c>
      <c r="F93" s="6">
        <v>-811.18275000000006</v>
      </c>
      <c r="G93" s="7">
        <v>-5.0913800000000004E-3</v>
      </c>
      <c r="H93" s="53"/>
    </row>
    <row r="94" spans="1:8" ht="17.100000000000001" customHeight="1" x14ac:dyDescent="0.2">
      <c r="A94" s="3">
        <v>14</v>
      </c>
      <c r="B94" s="4"/>
      <c r="C94" s="4" t="s">
        <v>915</v>
      </c>
      <c r="D94" s="4" t="s">
        <v>550</v>
      </c>
      <c r="E94" s="5">
        <v>-30600</v>
      </c>
      <c r="F94" s="6">
        <v>-949.24260000000004</v>
      </c>
      <c r="G94" s="7">
        <v>-5.9579109999999998E-3</v>
      </c>
      <c r="H94" s="53"/>
    </row>
    <row r="95" spans="1:8" ht="17.100000000000001" customHeight="1" x14ac:dyDescent="0.2">
      <c r="A95" s="3">
        <v>15</v>
      </c>
      <c r="B95" s="4"/>
      <c r="C95" s="4" t="s">
        <v>913</v>
      </c>
      <c r="D95" s="4" t="s">
        <v>550</v>
      </c>
      <c r="E95" s="5">
        <v>-37500</v>
      </c>
      <c r="F95" s="6">
        <v>-961.91250000000002</v>
      </c>
      <c r="G95" s="7">
        <v>-6.037433E-3</v>
      </c>
      <c r="H95" s="53"/>
    </row>
    <row r="96" spans="1:8" ht="17.100000000000001" customHeight="1" x14ac:dyDescent="0.2">
      <c r="A96" s="3">
        <v>16</v>
      </c>
      <c r="B96" s="4"/>
      <c r="C96" s="4" t="s">
        <v>930</v>
      </c>
      <c r="D96" s="4" t="s">
        <v>550</v>
      </c>
      <c r="E96" s="5">
        <v>-102000</v>
      </c>
      <c r="F96" s="6">
        <v>-1041.624</v>
      </c>
      <c r="G96" s="7">
        <v>-6.537742E-3</v>
      </c>
      <c r="H96" s="53"/>
    </row>
    <row r="97" spans="1:8" ht="17.100000000000001" customHeight="1" x14ac:dyDescent="0.2">
      <c r="A97" s="3">
        <v>17</v>
      </c>
      <c r="B97" s="4"/>
      <c r="C97" s="4" t="s">
        <v>919</v>
      </c>
      <c r="D97" s="4" t="s">
        <v>550</v>
      </c>
      <c r="E97" s="5">
        <v>-150000</v>
      </c>
      <c r="F97" s="6">
        <v>-1235.4749999999999</v>
      </c>
      <c r="G97" s="7">
        <v>-7.7544449999999996E-3</v>
      </c>
      <c r="H97" s="53"/>
    </row>
    <row r="98" spans="1:8" ht="17.100000000000001" customHeight="1" x14ac:dyDescent="0.2">
      <c r="A98" s="3">
        <v>18</v>
      </c>
      <c r="B98" s="4"/>
      <c r="C98" s="4" t="s">
        <v>917</v>
      </c>
      <c r="D98" s="4" t="s">
        <v>550</v>
      </c>
      <c r="E98" s="5">
        <v>-154000</v>
      </c>
      <c r="F98" s="6">
        <v>-1381.5340000000001</v>
      </c>
      <c r="G98" s="7">
        <v>-8.6711830000000007E-3</v>
      </c>
      <c r="H98" s="53"/>
    </row>
    <row r="99" spans="1:8" ht="25.5" x14ac:dyDescent="0.2">
      <c r="A99" s="3">
        <v>19</v>
      </c>
      <c r="B99" s="4"/>
      <c r="C99" s="4" t="s">
        <v>905</v>
      </c>
      <c r="D99" s="4" t="s">
        <v>550</v>
      </c>
      <c r="E99" s="5">
        <v>-65100</v>
      </c>
      <c r="F99" s="6">
        <v>-1729.3489500000001</v>
      </c>
      <c r="G99" s="7">
        <v>-1.0854239999999999E-2</v>
      </c>
      <c r="H99" s="53"/>
    </row>
    <row r="100" spans="1:8" ht="17.100000000000001" customHeight="1" x14ac:dyDescent="0.2">
      <c r="A100" s="3">
        <v>20</v>
      </c>
      <c r="B100" s="4"/>
      <c r="C100" s="4" t="s">
        <v>931</v>
      </c>
      <c r="D100" s="4" t="s">
        <v>550</v>
      </c>
      <c r="E100" s="5">
        <v>-393400</v>
      </c>
      <c r="F100" s="6">
        <v>-1870.2236</v>
      </c>
      <c r="G100" s="7">
        <v>-1.1738438E-2</v>
      </c>
      <c r="H100" s="53"/>
    </row>
    <row r="101" spans="1:8" ht="17.100000000000001" customHeight="1" x14ac:dyDescent="0.2">
      <c r="A101" s="3">
        <v>21</v>
      </c>
      <c r="B101" s="4"/>
      <c r="C101" s="4" t="s">
        <v>932</v>
      </c>
      <c r="D101" s="4" t="s">
        <v>550</v>
      </c>
      <c r="E101" s="5">
        <v>-213600</v>
      </c>
      <c r="F101" s="6">
        <v>-3240.6324</v>
      </c>
      <c r="G101" s="7">
        <v>-2.0339794000000001E-2</v>
      </c>
      <c r="H101" s="53"/>
    </row>
    <row r="102" spans="1:8" ht="17.100000000000001" customHeight="1" x14ac:dyDescent="0.2">
      <c r="A102" s="3">
        <v>22</v>
      </c>
      <c r="B102" s="4"/>
      <c r="C102" s="4" t="s">
        <v>922</v>
      </c>
      <c r="D102" s="4" t="s">
        <v>550</v>
      </c>
      <c r="E102" s="5">
        <v>-267300</v>
      </c>
      <c r="F102" s="6">
        <v>-4363.5388499999999</v>
      </c>
      <c r="G102" s="7">
        <v>-2.7387703999999999E-2</v>
      </c>
      <c r="H102" s="53"/>
    </row>
    <row r="103" spans="1:8" ht="17.100000000000001" customHeight="1" x14ac:dyDescent="0.2">
      <c r="A103" s="3">
        <v>23</v>
      </c>
      <c r="B103" s="4"/>
      <c r="C103" s="4" t="s">
        <v>933</v>
      </c>
      <c r="D103" s="4" t="s">
        <v>876</v>
      </c>
      <c r="E103" s="5">
        <v>-52500</v>
      </c>
      <c r="F103" s="6">
        <v>-9558.5962500000005</v>
      </c>
      <c r="G103" s="7">
        <v>-5.9994424999999997E-2</v>
      </c>
      <c r="H103" s="53"/>
    </row>
    <row r="104" spans="1:8" ht="14.1" customHeight="1" x14ac:dyDescent="0.2">
      <c r="A104" s="1"/>
      <c r="B104" s="1"/>
      <c r="C104" s="2" t="s">
        <v>132</v>
      </c>
      <c r="D104" s="1"/>
      <c r="E104" s="1" t="s">
        <v>133</v>
      </c>
      <c r="F104" s="9">
        <v>-30797.28975</v>
      </c>
      <c r="G104" s="10">
        <v>-0.19329885499999999</v>
      </c>
      <c r="H104" s="53"/>
    </row>
    <row r="105" spans="1:8" ht="14.1" customHeight="1" x14ac:dyDescent="0.2">
      <c r="A105" s="1"/>
      <c r="B105" s="1"/>
      <c r="C105" s="11"/>
      <c r="D105" s="1"/>
      <c r="E105" s="1"/>
      <c r="F105" s="12"/>
      <c r="G105" s="12"/>
      <c r="H105" s="53"/>
    </row>
    <row r="106" spans="1:8" ht="18" customHeight="1" x14ac:dyDescent="0.2">
      <c r="A106" s="1"/>
      <c r="B106" s="1"/>
      <c r="C106" s="2" t="s">
        <v>139</v>
      </c>
      <c r="D106" s="1"/>
      <c r="E106" s="1"/>
      <c r="F106" s="9">
        <v>122359.27214700005</v>
      </c>
      <c r="G106" s="10">
        <v>0.76798663500000008</v>
      </c>
      <c r="H106" s="53"/>
    </row>
    <row r="107" spans="1:8" ht="14.1" customHeight="1" x14ac:dyDescent="0.2">
      <c r="A107" s="1"/>
      <c r="B107" s="1"/>
      <c r="C107" s="11"/>
      <c r="D107" s="1"/>
      <c r="E107" s="1"/>
      <c r="F107" s="12"/>
      <c r="G107" s="12"/>
      <c r="H107" s="53"/>
    </row>
    <row r="108" spans="1:8" ht="14.1" customHeight="1" x14ac:dyDescent="0.2">
      <c r="A108" s="1"/>
      <c r="B108" s="1"/>
      <c r="C108" s="2" t="s">
        <v>140</v>
      </c>
      <c r="D108" s="1"/>
      <c r="E108" s="1"/>
      <c r="F108" s="12"/>
      <c r="G108" s="12"/>
      <c r="H108" s="53"/>
    </row>
    <row r="109" spans="1:8" ht="24" customHeight="1" x14ac:dyDescent="0.2">
      <c r="A109" s="1"/>
      <c r="B109" s="1"/>
      <c r="C109" s="2" t="s">
        <v>10</v>
      </c>
      <c r="D109" s="1"/>
      <c r="E109" s="1"/>
      <c r="F109" s="12"/>
      <c r="G109" s="12"/>
      <c r="H109" s="53"/>
    </row>
    <row r="110" spans="1:8" ht="29.1" customHeight="1" x14ac:dyDescent="0.2">
      <c r="A110" s="3">
        <v>1</v>
      </c>
      <c r="B110" s="4" t="s">
        <v>877</v>
      </c>
      <c r="C110" s="4" t="s">
        <v>878</v>
      </c>
      <c r="D110" s="4" t="s">
        <v>576</v>
      </c>
      <c r="E110" s="5">
        <v>250</v>
      </c>
      <c r="F110" s="6">
        <v>2448.7575000000002</v>
      </c>
      <c r="G110" s="7">
        <v>1.5369600000000001E-2</v>
      </c>
      <c r="H110" s="53">
        <v>7.41</v>
      </c>
    </row>
    <row r="111" spans="1:8" ht="29.1" customHeight="1" x14ac:dyDescent="0.2">
      <c r="A111" s="3">
        <v>2</v>
      </c>
      <c r="B111" s="4" t="s">
        <v>879</v>
      </c>
      <c r="C111" s="4" t="s">
        <v>880</v>
      </c>
      <c r="D111" s="4" t="s">
        <v>576</v>
      </c>
      <c r="E111" s="5">
        <v>100</v>
      </c>
      <c r="F111" s="6">
        <v>999.69500000000005</v>
      </c>
      <c r="G111" s="7">
        <v>6.2745750000000001E-3</v>
      </c>
      <c r="H111" s="53">
        <v>6.83</v>
      </c>
    </row>
    <row r="112" spans="1:8" ht="17.100000000000001" customHeight="1" x14ac:dyDescent="0.2">
      <c r="A112" s="3">
        <v>3</v>
      </c>
      <c r="B112" s="4" t="s">
        <v>881</v>
      </c>
      <c r="C112" s="4" t="s">
        <v>882</v>
      </c>
      <c r="D112" s="4" t="s">
        <v>576</v>
      </c>
      <c r="E112" s="5">
        <v>100</v>
      </c>
      <c r="F112" s="6">
        <v>998.15300000000002</v>
      </c>
      <c r="G112" s="7">
        <v>6.2648959999999998E-3</v>
      </c>
      <c r="H112" s="53">
        <v>7.2350000000000003</v>
      </c>
    </row>
    <row r="113" spans="1:8" ht="29.1" customHeight="1" x14ac:dyDescent="0.2">
      <c r="A113" s="3">
        <v>4</v>
      </c>
      <c r="B113" s="4" t="s">
        <v>883</v>
      </c>
      <c r="C113" s="4" t="s">
        <v>884</v>
      </c>
      <c r="D113" s="4" t="s">
        <v>795</v>
      </c>
      <c r="E113" s="5">
        <v>100</v>
      </c>
      <c r="F113" s="6">
        <v>997.88599999999997</v>
      </c>
      <c r="G113" s="7">
        <v>6.2632210000000002E-3</v>
      </c>
      <c r="H113" s="53">
        <v>7.14</v>
      </c>
    </row>
    <row r="114" spans="1:8" ht="29.1" customHeight="1" x14ac:dyDescent="0.2">
      <c r="A114" s="3">
        <v>5</v>
      </c>
      <c r="B114" s="4" t="s">
        <v>885</v>
      </c>
      <c r="C114" s="4" t="s">
        <v>886</v>
      </c>
      <c r="D114" s="4" t="s">
        <v>576</v>
      </c>
      <c r="E114" s="5">
        <v>100</v>
      </c>
      <c r="F114" s="6">
        <v>996.95399999999995</v>
      </c>
      <c r="G114" s="7">
        <v>6.2573710000000003E-3</v>
      </c>
      <c r="H114" s="53">
        <v>7.81</v>
      </c>
    </row>
    <row r="115" spans="1:8" ht="17.100000000000001" customHeight="1" x14ac:dyDescent="0.2">
      <c r="A115" s="3">
        <v>6</v>
      </c>
      <c r="B115" s="4" t="s">
        <v>887</v>
      </c>
      <c r="C115" s="4" t="s">
        <v>888</v>
      </c>
      <c r="D115" s="4" t="s">
        <v>576</v>
      </c>
      <c r="E115" s="5">
        <v>100</v>
      </c>
      <c r="F115" s="6">
        <v>986.83600000000001</v>
      </c>
      <c r="G115" s="7">
        <v>6.1938649999999998E-3</v>
      </c>
      <c r="H115" s="53">
        <v>7.4466999999999999</v>
      </c>
    </row>
    <row r="116" spans="1:8" ht="29.1" customHeight="1" x14ac:dyDescent="0.2">
      <c r="A116" s="3">
        <v>7</v>
      </c>
      <c r="B116" s="4" t="s">
        <v>596</v>
      </c>
      <c r="C116" s="4" t="s">
        <v>597</v>
      </c>
      <c r="D116" s="4" t="s">
        <v>598</v>
      </c>
      <c r="E116" s="5">
        <v>100</v>
      </c>
      <c r="F116" s="6">
        <v>986.15800000000002</v>
      </c>
      <c r="G116" s="7">
        <v>6.1896099999999999E-3</v>
      </c>
      <c r="H116" s="53">
        <v>7.55</v>
      </c>
    </row>
    <row r="117" spans="1:8" ht="29.1" customHeight="1" x14ac:dyDescent="0.2">
      <c r="A117" s="3">
        <v>8</v>
      </c>
      <c r="B117" s="4" t="s">
        <v>889</v>
      </c>
      <c r="C117" s="4" t="s">
        <v>890</v>
      </c>
      <c r="D117" s="4" t="s">
        <v>576</v>
      </c>
      <c r="E117" s="5">
        <v>50</v>
      </c>
      <c r="F117" s="6">
        <v>500.06299999999999</v>
      </c>
      <c r="G117" s="7">
        <v>3.1386399999999998E-3</v>
      </c>
      <c r="H117" s="53">
        <v>7.15</v>
      </c>
    </row>
    <row r="118" spans="1:8" ht="29.1" customHeight="1" x14ac:dyDescent="0.2">
      <c r="A118" s="3">
        <v>9</v>
      </c>
      <c r="B118" s="4" t="s">
        <v>891</v>
      </c>
      <c r="C118" s="4" t="s">
        <v>892</v>
      </c>
      <c r="D118" s="4" t="s">
        <v>576</v>
      </c>
      <c r="E118" s="5">
        <v>50</v>
      </c>
      <c r="F118" s="6">
        <v>499.17750000000001</v>
      </c>
      <c r="G118" s="7">
        <v>3.1330820000000001E-3</v>
      </c>
      <c r="H118" s="53">
        <v>7.085</v>
      </c>
    </row>
    <row r="119" spans="1:8" ht="29.1" customHeight="1" x14ac:dyDescent="0.2">
      <c r="A119" s="3">
        <v>10</v>
      </c>
      <c r="B119" s="4" t="s">
        <v>893</v>
      </c>
      <c r="C119" s="4" t="s">
        <v>894</v>
      </c>
      <c r="D119" s="4" t="s">
        <v>795</v>
      </c>
      <c r="E119" s="5">
        <v>50</v>
      </c>
      <c r="F119" s="6">
        <v>496.56099999999998</v>
      </c>
      <c r="G119" s="7">
        <v>3.1166599999999998E-3</v>
      </c>
      <c r="H119" s="53">
        <v>7.44</v>
      </c>
    </row>
    <row r="120" spans="1:8" ht="29.1" customHeight="1" x14ac:dyDescent="0.2">
      <c r="A120" s="3">
        <v>11</v>
      </c>
      <c r="B120" s="4" t="s">
        <v>824</v>
      </c>
      <c r="C120" s="4" t="s">
        <v>825</v>
      </c>
      <c r="D120" s="4" t="s">
        <v>576</v>
      </c>
      <c r="E120" s="5">
        <v>30</v>
      </c>
      <c r="F120" s="6">
        <v>290.07330000000002</v>
      </c>
      <c r="G120" s="7">
        <v>1.8206419999999999E-3</v>
      </c>
      <c r="H120" s="53">
        <v>7.57</v>
      </c>
    </row>
    <row r="121" spans="1:8" ht="29.1" customHeight="1" x14ac:dyDescent="0.2">
      <c r="A121" s="3">
        <v>12</v>
      </c>
      <c r="B121" s="4" t="s">
        <v>601</v>
      </c>
      <c r="C121" s="4" t="s">
        <v>602</v>
      </c>
      <c r="D121" s="4" t="s">
        <v>576</v>
      </c>
      <c r="E121" s="5">
        <v>10</v>
      </c>
      <c r="F121" s="6">
        <v>100.9045</v>
      </c>
      <c r="G121" s="7">
        <v>6.3332600000000003E-4</v>
      </c>
      <c r="H121" s="53">
        <v>7.42</v>
      </c>
    </row>
    <row r="122" spans="1:8" ht="17.100000000000001" customHeight="1" x14ac:dyDescent="0.2">
      <c r="A122" s="3">
        <v>13</v>
      </c>
      <c r="B122" s="4" t="s">
        <v>603</v>
      </c>
      <c r="C122" s="4" t="s">
        <v>604</v>
      </c>
      <c r="D122" s="4" t="s">
        <v>576</v>
      </c>
      <c r="E122" s="5">
        <v>10</v>
      </c>
      <c r="F122" s="6">
        <v>100.3156</v>
      </c>
      <c r="G122" s="7">
        <v>6.2962999999999995E-4</v>
      </c>
      <c r="H122" s="53">
        <v>7.0750000000000002</v>
      </c>
    </row>
    <row r="123" spans="1:8" ht="14.1" customHeight="1" x14ac:dyDescent="0.2">
      <c r="A123" s="1"/>
      <c r="B123" s="1"/>
      <c r="C123" s="2" t="s">
        <v>132</v>
      </c>
      <c r="D123" s="1"/>
      <c r="E123" s="1" t="s">
        <v>133</v>
      </c>
      <c r="F123" s="9">
        <v>10401.5344</v>
      </c>
      <c r="G123" s="10">
        <v>6.5285118000000003E-2</v>
      </c>
      <c r="H123" s="53"/>
    </row>
    <row r="124" spans="1:8" ht="14.1" customHeight="1" x14ac:dyDescent="0.2">
      <c r="A124" s="1"/>
      <c r="B124" s="1"/>
      <c r="C124" s="11"/>
      <c r="D124" s="1"/>
      <c r="E124" s="1"/>
      <c r="F124" s="12"/>
      <c r="G124" s="12"/>
      <c r="H124" s="53"/>
    </row>
    <row r="125" spans="1:8" ht="14.1" customHeight="1" x14ac:dyDescent="0.2">
      <c r="A125" s="1"/>
      <c r="B125" s="1"/>
      <c r="C125" s="2" t="s">
        <v>141</v>
      </c>
      <c r="D125" s="1"/>
      <c r="E125" s="1"/>
      <c r="F125" s="1"/>
      <c r="G125" s="1"/>
      <c r="H125" s="53"/>
    </row>
    <row r="126" spans="1:8" ht="14.1" customHeight="1" x14ac:dyDescent="0.2">
      <c r="A126" s="1"/>
      <c r="B126" s="1"/>
      <c r="C126" s="2" t="s">
        <v>132</v>
      </c>
      <c r="D126" s="1"/>
      <c r="E126" s="1" t="s">
        <v>133</v>
      </c>
      <c r="F126" s="13">
        <v>0</v>
      </c>
      <c r="G126" s="14">
        <v>0</v>
      </c>
      <c r="H126" s="53"/>
    </row>
    <row r="127" spans="1:8" ht="14.1" customHeight="1" x14ac:dyDescent="0.2">
      <c r="A127" s="1"/>
      <c r="B127" s="1"/>
      <c r="C127" s="11"/>
      <c r="D127" s="1"/>
      <c r="E127" s="1"/>
      <c r="F127" s="12"/>
      <c r="G127" s="12"/>
      <c r="H127" s="53"/>
    </row>
    <row r="128" spans="1:8" ht="14.1" customHeight="1" x14ac:dyDescent="0.2">
      <c r="A128" s="1"/>
      <c r="B128" s="1"/>
      <c r="C128" s="2" t="s">
        <v>142</v>
      </c>
      <c r="D128" s="1"/>
      <c r="E128" s="1"/>
      <c r="F128" s="1"/>
      <c r="G128" s="1"/>
      <c r="H128" s="53"/>
    </row>
    <row r="129" spans="1:8" ht="29.1" customHeight="1" x14ac:dyDescent="0.2">
      <c r="A129" s="3">
        <v>1</v>
      </c>
      <c r="B129" s="4" t="s">
        <v>605</v>
      </c>
      <c r="C129" s="4" t="s">
        <v>606</v>
      </c>
      <c r="D129" s="4" t="s">
        <v>552</v>
      </c>
      <c r="E129" s="5">
        <v>2500000</v>
      </c>
      <c r="F129" s="6">
        <v>2399.5025000000001</v>
      </c>
      <c r="G129" s="7">
        <v>1.5060451000000001E-2</v>
      </c>
      <c r="H129" s="53">
        <v>7.1528276462250018</v>
      </c>
    </row>
    <row r="130" spans="1:8" ht="29.1" customHeight="1" x14ac:dyDescent="0.2">
      <c r="A130" s="3">
        <v>2</v>
      </c>
      <c r="B130" s="4" t="s">
        <v>828</v>
      </c>
      <c r="C130" s="4" t="s">
        <v>829</v>
      </c>
      <c r="D130" s="4" t="s">
        <v>552</v>
      </c>
      <c r="E130" s="5">
        <v>2000000</v>
      </c>
      <c r="F130" s="6">
        <v>1992.1220000000001</v>
      </c>
      <c r="G130" s="7">
        <v>1.2503531999999999E-2</v>
      </c>
      <c r="H130" s="53">
        <v>7.0937289321000074</v>
      </c>
    </row>
    <row r="131" spans="1:8" ht="29.1" customHeight="1" x14ac:dyDescent="0.2">
      <c r="A131" s="3">
        <v>3</v>
      </c>
      <c r="B131" s="4" t="s">
        <v>837</v>
      </c>
      <c r="C131" s="4" t="s">
        <v>838</v>
      </c>
      <c r="D131" s="4" t="s">
        <v>552</v>
      </c>
      <c r="E131" s="5">
        <v>1500000</v>
      </c>
      <c r="F131" s="6">
        <v>1508.6010000000001</v>
      </c>
      <c r="G131" s="7">
        <v>9.4687179999999992E-3</v>
      </c>
      <c r="H131" s="53">
        <v>7.3571593689000014</v>
      </c>
    </row>
    <row r="132" spans="1:8" ht="29.1" customHeight="1" x14ac:dyDescent="0.2">
      <c r="A132" s="3">
        <v>4</v>
      </c>
      <c r="B132" s="4" t="s">
        <v>832</v>
      </c>
      <c r="C132" s="4" t="s">
        <v>833</v>
      </c>
      <c r="D132" s="4" t="s">
        <v>552</v>
      </c>
      <c r="E132" s="5">
        <v>1000000</v>
      </c>
      <c r="F132" s="6">
        <v>951.75900000000001</v>
      </c>
      <c r="G132" s="7">
        <v>5.9737050000000002E-3</v>
      </c>
      <c r="H132" s="53">
        <v>7.3155108624000098</v>
      </c>
    </row>
    <row r="133" spans="1:8" ht="29.1" customHeight="1" x14ac:dyDescent="0.2">
      <c r="A133" s="3">
        <v>5</v>
      </c>
      <c r="B133" s="4" t="s">
        <v>895</v>
      </c>
      <c r="C133" s="4" t="s">
        <v>896</v>
      </c>
      <c r="D133" s="4" t="s">
        <v>552</v>
      </c>
      <c r="E133" s="5">
        <v>500000</v>
      </c>
      <c r="F133" s="6">
        <v>495.62950000000001</v>
      </c>
      <c r="G133" s="7">
        <v>3.110813E-3</v>
      </c>
      <c r="H133" s="53">
        <v>6.6889499999999993</v>
      </c>
    </row>
    <row r="134" spans="1:8" ht="33.75" customHeight="1" x14ac:dyDescent="0.2">
      <c r="A134" s="3">
        <v>6</v>
      </c>
      <c r="B134" s="4" t="s">
        <v>834</v>
      </c>
      <c r="C134" s="48" t="s">
        <v>902</v>
      </c>
      <c r="D134" s="4" t="s">
        <v>552</v>
      </c>
      <c r="E134" s="5">
        <v>500000</v>
      </c>
      <c r="F134" s="6">
        <v>492.61700000000002</v>
      </c>
      <c r="G134" s="7">
        <v>3.0919049999999998E-3</v>
      </c>
      <c r="H134" s="53">
        <v>6.9947875029789373</v>
      </c>
    </row>
    <row r="135" spans="1:8" ht="29.1" customHeight="1" x14ac:dyDescent="0.2">
      <c r="A135" s="3">
        <v>7</v>
      </c>
      <c r="B135" s="4" t="s">
        <v>841</v>
      </c>
      <c r="C135" s="4" t="s">
        <v>842</v>
      </c>
      <c r="D135" s="4" t="s">
        <v>552</v>
      </c>
      <c r="E135" s="5">
        <v>100000</v>
      </c>
      <c r="F135" s="6">
        <v>102.0578</v>
      </c>
      <c r="G135" s="7">
        <v>6.4056499999999995E-4</v>
      </c>
      <c r="H135" s="53">
        <v>7.4446684030124999</v>
      </c>
    </row>
    <row r="136" spans="1:8" ht="29.1" customHeight="1" x14ac:dyDescent="0.2">
      <c r="A136" s="3">
        <v>8</v>
      </c>
      <c r="B136" s="4" t="s">
        <v>843</v>
      </c>
      <c r="C136" s="4" t="s">
        <v>844</v>
      </c>
      <c r="D136" s="4" t="s">
        <v>552</v>
      </c>
      <c r="E136" s="5">
        <v>100000</v>
      </c>
      <c r="F136" s="6">
        <v>101.5852</v>
      </c>
      <c r="G136" s="7">
        <v>6.3759799999999996E-4</v>
      </c>
      <c r="H136" s="53">
        <v>7.4091871762000077</v>
      </c>
    </row>
    <row r="137" spans="1:8" ht="29.1" customHeight="1" x14ac:dyDescent="0.2">
      <c r="A137" s="3">
        <v>9</v>
      </c>
      <c r="B137" s="4" t="s">
        <v>845</v>
      </c>
      <c r="C137" s="4" t="s">
        <v>846</v>
      </c>
      <c r="D137" s="4" t="s">
        <v>552</v>
      </c>
      <c r="E137" s="5">
        <v>100000</v>
      </c>
      <c r="F137" s="6">
        <v>101.4937</v>
      </c>
      <c r="G137" s="7">
        <v>6.3702400000000003E-4</v>
      </c>
      <c r="H137" s="53">
        <v>7.4098607200125093</v>
      </c>
    </row>
    <row r="138" spans="1:8" ht="14.1" customHeight="1" x14ac:dyDescent="0.2">
      <c r="A138" s="1"/>
      <c r="B138" s="1"/>
      <c r="C138" s="2" t="s">
        <v>132</v>
      </c>
      <c r="D138" s="1"/>
      <c r="E138" s="1" t="s">
        <v>133</v>
      </c>
      <c r="F138" s="9">
        <v>8145.3676999999998</v>
      </c>
      <c r="G138" s="10">
        <v>5.1124310999999999E-2</v>
      </c>
      <c r="H138" s="53"/>
    </row>
    <row r="139" spans="1:8" ht="14.1" customHeight="1" x14ac:dyDescent="0.2">
      <c r="A139" s="1"/>
      <c r="B139" s="1"/>
      <c r="C139" s="11"/>
      <c r="D139" s="1"/>
      <c r="E139" s="1"/>
      <c r="F139" s="12"/>
      <c r="G139" s="12"/>
      <c r="H139" s="53"/>
    </row>
    <row r="140" spans="1:8" ht="14.1" customHeight="1" x14ac:dyDescent="0.2">
      <c r="A140" s="1"/>
      <c r="B140" s="1"/>
      <c r="C140" s="2" t="s">
        <v>143</v>
      </c>
      <c r="D140" s="1"/>
      <c r="E140" s="1"/>
      <c r="F140" s="12"/>
      <c r="G140" s="12"/>
      <c r="H140" s="53"/>
    </row>
    <row r="141" spans="1:8" ht="14.1" customHeight="1" x14ac:dyDescent="0.2">
      <c r="A141" s="1"/>
      <c r="B141" s="1"/>
      <c r="C141" s="2" t="s">
        <v>132</v>
      </c>
      <c r="D141" s="1"/>
      <c r="E141" s="1" t="s">
        <v>133</v>
      </c>
      <c r="F141" s="13">
        <v>0</v>
      </c>
      <c r="G141" s="14">
        <v>0</v>
      </c>
      <c r="H141" s="53"/>
    </row>
    <row r="142" spans="1:8" ht="14.1" customHeight="1" x14ac:dyDescent="0.2">
      <c r="A142" s="1"/>
      <c r="B142" s="1"/>
      <c r="C142" s="11"/>
      <c r="D142" s="1"/>
      <c r="E142" s="1"/>
      <c r="F142" s="12"/>
      <c r="G142" s="12"/>
      <c r="H142" s="53"/>
    </row>
    <row r="143" spans="1:8" ht="14.1" customHeight="1" x14ac:dyDescent="0.2">
      <c r="A143" s="1"/>
      <c r="B143" s="1"/>
      <c r="C143" s="2" t="s">
        <v>144</v>
      </c>
      <c r="D143" s="1"/>
      <c r="E143" s="1"/>
      <c r="F143" s="9">
        <v>18546.902099999999</v>
      </c>
      <c r="G143" s="10">
        <v>0.11640942899999999</v>
      </c>
      <c r="H143" s="53"/>
    </row>
    <row r="144" spans="1:8" ht="14.1" customHeight="1" x14ac:dyDescent="0.2">
      <c r="A144" s="1"/>
      <c r="B144" s="1"/>
      <c r="C144" s="11"/>
      <c r="D144" s="1"/>
      <c r="E144" s="1"/>
      <c r="F144" s="12"/>
      <c r="G144" s="12"/>
      <c r="H144" s="53"/>
    </row>
    <row r="145" spans="1:8" ht="14.1" customHeight="1" x14ac:dyDescent="0.2">
      <c r="A145" s="1"/>
      <c r="B145" s="1"/>
      <c r="C145" s="2" t="s">
        <v>145</v>
      </c>
      <c r="D145" s="1"/>
      <c r="E145" s="1"/>
      <c r="F145" s="12"/>
      <c r="G145" s="12"/>
      <c r="H145" s="53"/>
    </row>
    <row r="146" spans="1:8" ht="14.1" customHeight="1" x14ac:dyDescent="0.2">
      <c r="A146" s="1"/>
      <c r="B146" s="1"/>
      <c r="C146" s="2" t="s">
        <v>146</v>
      </c>
      <c r="D146" s="1"/>
      <c r="E146" s="1"/>
      <c r="F146" s="12"/>
      <c r="G146" s="12"/>
      <c r="H146" s="53"/>
    </row>
    <row r="147" spans="1:8" ht="17.100000000000001" customHeight="1" x14ac:dyDescent="0.2">
      <c r="A147" s="3">
        <v>1</v>
      </c>
      <c r="B147" s="4" t="s">
        <v>897</v>
      </c>
      <c r="C147" s="4" t="s">
        <v>898</v>
      </c>
      <c r="D147" s="4" t="s">
        <v>849</v>
      </c>
      <c r="E147" s="5">
        <v>500</v>
      </c>
      <c r="F147" s="6">
        <v>2451.8674999999998</v>
      </c>
      <c r="G147" s="7">
        <v>1.5389119999999999E-2</v>
      </c>
      <c r="H147" s="53">
        <v>7.0250000000000004</v>
      </c>
    </row>
    <row r="148" spans="1:8" ht="14.1" customHeight="1" x14ac:dyDescent="0.2">
      <c r="A148" s="1"/>
      <c r="B148" s="1"/>
      <c r="C148" s="2" t="s">
        <v>132</v>
      </c>
      <c r="D148" s="1"/>
      <c r="E148" s="1" t="s">
        <v>133</v>
      </c>
      <c r="F148" s="9">
        <v>2451.8674999999998</v>
      </c>
      <c r="G148" s="10">
        <v>1.5389119999999999E-2</v>
      </c>
      <c r="H148" s="53"/>
    </row>
    <row r="149" spans="1:8" ht="14.1" customHeight="1" x14ac:dyDescent="0.2">
      <c r="A149" s="1"/>
      <c r="B149" s="1"/>
      <c r="C149" s="11"/>
      <c r="D149" s="1"/>
      <c r="E149" s="1"/>
      <c r="F149" s="12"/>
      <c r="G149" s="12"/>
      <c r="H149" s="53"/>
    </row>
    <row r="150" spans="1:8" ht="14.1" customHeight="1" x14ac:dyDescent="0.2">
      <c r="A150" s="1"/>
      <c r="B150" s="1"/>
      <c r="C150" s="2" t="s">
        <v>147</v>
      </c>
      <c r="D150" s="1"/>
      <c r="E150" s="1"/>
      <c r="F150" s="12"/>
      <c r="G150" s="12"/>
      <c r="H150" s="53"/>
    </row>
    <row r="151" spans="1:8" ht="14.1" customHeight="1" x14ac:dyDescent="0.2">
      <c r="A151" s="1"/>
      <c r="B151" s="1"/>
      <c r="C151" s="2" t="s">
        <v>132</v>
      </c>
      <c r="D151" s="1"/>
      <c r="E151" s="1" t="s">
        <v>133</v>
      </c>
      <c r="F151" s="13">
        <v>0</v>
      </c>
      <c r="G151" s="14">
        <v>0</v>
      </c>
      <c r="H151" s="53"/>
    </row>
    <row r="152" spans="1:8" ht="14.1" customHeight="1" x14ac:dyDescent="0.2">
      <c r="A152" s="1"/>
      <c r="B152" s="1"/>
      <c r="C152" s="11"/>
      <c r="D152" s="1"/>
      <c r="E152" s="1"/>
      <c r="F152" s="12"/>
      <c r="G152" s="12"/>
      <c r="H152" s="53"/>
    </row>
    <row r="153" spans="1:8" ht="14.1" customHeight="1" x14ac:dyDescent="0.2">
      <c r="A153" s="1"/>
      <c r="B153" s="1"/>
      <c r="C153" s="2" t="s">
        <v>148</v>
      </c>
      <c r="D153" s="1"/>
      <c r="E153" s="1"/>
      <c r="F153" s="12"/>
      <c r="G153" s="12"/>
      <c r="H153" s="53"/>
    </row>
    <row r="154" spans="1:8" ht="17.100000000000001" customHeight="1" x14ac:dyDescent="0.2">
      <c r="A154" s="3">
        <v>1</v>
      </c>
      <c r="B154" s="4" t="s">
        <v>867</v>
      </c>
      <c r="C154" s="4" t="s">
        <v>985</v>
      </c>
      <c r="D154" s="4" t="s">
        <v>552</v>
      </c>
      <c r="E154" s="5">
        <v>5000000</v>
      </c>
      <c r="F154" s="6">
        <v>4996.7150000000001</v>
      </c>
      <c r="G154" s="7">
        <v>3.1361827000000002E-2</v>
      </c>
      <c r="H154" s="53">
        <v>6</v>
      </c>
    </row>
    <row r="155" spans="1:8" ht="14.1" customHeight="1" x14ac:dyDescent="0.2">
      <c r="A155" s="1"/>
      <c r="B155" s="1"/>
      <c r="C155" s="2" t="s">
        <v>132</v>
      </c>
      <c r="D155" s="1"/>
      <c r="E155" s="1" t="s">
        <v>133</v>
      </c>
      <c r="F155" s="9">
        <v>4996.7150000000001</v>
      </c>
      <c r="G155" s="10">
        <v>3.1361827000000002E-2</v>
      </c>
      <c r="H155" s="53"/>
    </row>
    <row r="156" spans="1:8" ht="14.1" customHeight="1" x14ac:dyDescent="0.2">
      <c r="A156" s="1"/>
      <c r="B156" s="1"/>
      <c r="C156" s="11"/>
      <c r="D156" s="1"/>
      <c r="E156" s="1"/>
      <c r="F156" s="12"/>
      <c r="G156" s="12"/>
      <c r="H156" s="53"/>
    </row>
    <row r="157" spans="1:8" ht="14.1" customHeight="1" x14ac:dyDescent="0.2">
      <c r="A157" s="1"/>
      <c r="B157" s="1"/>
      <c r="C157" s="2" t="s">
        <v>149</v>
      </c>
      <c r="D157" s="1"/>
      <c r="E157" s="1"/>
      <c r="F157" s="12"/>
      <c r="G157" s="12"/>
      <c r="H157" s="53"/>
    </row>
    <row r="158" spans="1:8" ht="17.100000000000001" customHeight="1" x14ac:dyDescent="0.2">
      <c r="A158" s="3">
        <v>1</v>
      </c>
      <c r="B158" s="4"/>
      <c r="C158" s="4" t="s">
        <v>150</v>
      </c>
      <c r="D158" s="4"/>
      <c r="E158" s="8"/>
      <c r="F158" s="6">
        <v>1315.3946140999999</v>
      </c>
      <c r="G158" s="7">
        <v>8.2560600000000008E-3</v>
      </c>
      <c r="H158" s="53">
        <v>6.46</v>
      </c>
    </row>
    <row r="159" spans="1:8" ht="14.1" customHeight="1" x14ac:dyDescent="0.2">
      <c r="A159" s="1"/>
      <c r="B159" s="1"/>
      <c r="C159" s="2" t="s">
        <v>132</v>
      </c>
      <c r="D159" s="1"/>
      <c r="E159" s="1" t="s">
        <v>133</v>
      </c>
      <c r="F159" s="9">
        <v>1315.3946140999999</v>
      </c>
      <c r="G159" s="10">
        <v>8.2560600000000008E-3</v>
      </c>
      <c r="H159" s="53"/>
    </row>
    <row r="160" spans="1:8" ht="14.1" customHeight="1" x14ac:dyDescent="0.2">
      <c r="A160" s="1"/>
      <c r="B160" s="1"/>
      <c r="C160" s="11"/>
      <c r="D160" s="1"/>
      <c r="E160" s="1"/>
      <c r="F160" s="12"/>
      <c r="G160" s="12"/>
      <c r="H160" s="53"/>
    </row>
    <row r="161" spans="1:8" ht="14.1" customHeight="1" x14ac:dyDescent="0.2">
      <c r="A161" s="1"/>
      <c r="B161" s="1"/>
      <c r="C161" s="2" t="s">
        <v>151</v>
      </c>
      <c r="D161" s="1"/>
      <c r="E161" s="1"/>
      <c r="F161" s="9">
        <v>8763.9771141000001</v>
      </c>
      <c r="G161" s="10">
        <v>5.5007006999999997E-2</v>
      </c>
      <c r="H161" s="53"/>
    </row>
    <row r="162" spans="1:8" ht="14.1" customHeight="1" x14ac:dyDescent="0.2">
      <c r="A162" s="1"/>
      <c r="B162" s="1"/>
      <c r="C162" s="12"/>
      <c r="D162" s="1"/>
      <c r="E162" s="1"/>
      <c r="F162" s="1"/>
      <c r="G162" s="1"/>
      <c r="H162" s="53"/>
    </row>
    <row r="163" spans="1:8" ht="14.1" customHeight="1" x14ac:dyDescent="0.2">
      <c r="A163" s="1"/>
      <c r="B163" s="1"/>
      <c r="C163" s="2" t="s">
        <v>152</v>
      </c>
      <c r="D163" s="1"/>
      <c r="E163" s="1"/>
      <c r="F163" s="1"/>
      <c r="G163" s="1"/>
      <c r="H163" s="53"/>
    </row>
    <row r="164" spans="1:8" ht="14.1" customHeight="1" x14ac:dyDescent="0.2">
      <c r="A164" s="1"/>
      <c r="B164" s="1"/>
      <c r="C164" s="2" t="s">
        <v>153</v>
      </c>
      <c r="D164" s="1"/>
      <c r="E164" s="1"/>
      <c r="F164" s="1"/>
      <c r="G164" s="1"/>
      <c r="H164" s="53"/>
    </row>
    <row r="165" spans="1:8" ht="14.1" customHeight="1" x14ac:dyDescent="0.2">
      <c r="A165" s="1"/>
      <c r="B165" s="1"/>
      <c r="C165" s="2" t="s">
        <v>132</v>
      </c>
      <c r="D165" s="1"/>
      <c r="E165" s="1" t="s">
        <v>133</v>
      </c>
      <c r="F165" s="13">
        <v>0</v>
      </c>
      <c r="G165" s="14">
        <v>0</v>
      </c>
      <c r="H165" s="53"/>
    </row>
    <row r="166" spans="1:8" ht="14.1" customHeight="1" x14ac:dyDescent="0.2">
      <c r="A166" s="1"/>
      <c r="B166" s="1"/>
      <c r="C166" s="11"/>
      <c r="D166" s="1"/>
      <c r="E166" s="1"/>
      <c r="F166" s="12"/>
      <c r="G166" s="12"/>
      <c r="H166" s="53"/>
    </row>
    <row r="167" spans="1:8" ht="14.1" customHeight="1" x14ac:dyDescent="0.2">
      <c r="A167" s="1"/>
      <c r="B167" s="1"/>
      <c r="C167" s="2" t="s">
        <v>154</v>
      </c>
      <c r="D167" s="1"/>
      <c r="E167" s="1"/>
      <c r="F167" s="1"/>
      <c r="G167" s="1"/>
      <c r="H167" s="53"/>
    </row>
    <row r="168" spans="1:8" ht="14.1" customHeight="1" x14ac:dyDescent="0.2">
      <c r="A168" s="1"/>
      <c r="B168" s="1"/>
      <c r="C168" s="2" t="s">
        <v>155</v>
      </c>
      <c r="D168" s="1"/>
      <c r="E168" s="1"/>
      <c r="F168" s="1"/>
      <c r="G168" s="1"/>
      <c r="H168" s="53"/>
    </row>
    <row r="169" spans="1:8" ht="14.1" customHeight="1" x14ac:dyDescent="0.2">
      <c r="A169" s="1"/>
      <c r="B169" s="1"/>
      <c r="C169" s="2" t="s">
        <v>132</v>
      </c>
      <c r="D169" s="1"/>
      <c r="E169" s="1" t="s">
        <v>133</v>
      </c>
      <c r="F169" s="13">
        <v>0</v>
      </c>
      <c r="G169" s="14">
        <v>0</v>
      </c>
      <c r="H169" s="53"/>
    </row>
    <row r="170" spans="1:8" ht="14.1" customHeight="1" x14ac:dyDescent="0.2">
      <c r="A170" s="1"/>
      <c r="B170" s="1"/>
      <c r="C170" s="11"/>
      <c r="D170" s="1"/>
      <c r="E170" s="1"/>
      <c r="F170" s="12"/>
      <c r="G170" s="12"/>
      <c r="H170" s="53"/>
    </row>
    <row r="171" spans="1:8" ht="24" customHeight="1" x14ac:dyDescent="0.2">
      <c r="A171" s="1"/>
      <c r="B171" s="1"/>
      <c r="C171" s="2" t="s">
        <v>156</v>
      </c>
      <c r="D171" s="1"/>
      <c r="E171" s="1"/>
      <c r="F171" s="12"/>
      <c r="G171" s="12"/>
      <c r="H171" s="53"/>
    </row>
    <row r="172" spans="1:8" ht="14.1" customHeight="1" x14ac:dyDescent="0.2">
      <c r="A172" s="1"/>
      <c r="B172" s="1"/>
      <c r="C172" s="2" t="s">
        <v>132</v>
      </c>
      <c r="D172" s="1"/>
      <c r="E172" s="1" t="s">
        <v>133</v>
      </c>
      <c r="F172" s="13">
        <v>0</v>
      </c>
      <c r="G172" s="14">
        <v>0</v>
      </c>
      <c r="H172" s="53"/>
    </row>
    <row r="173" spans="1:8" ht="14.1" customHeight="1" x14ac:dyDescent="0.2">
      <c r="A173" s="1"/>
      <c r="B173" s="1"/>
      <c r="C173" s="11"/>
      <c r="D173" s="1"/>
      <c r="E173" s="1"/>
      <c r="F173" s="12"/>
      <c r="G173" s="12"/>
      <c r="H173" s="53"/>
    </row>
    <row r="174" spans="1:8" ht="18" customHeight="1" x14ac:dyDescent="0.2">
      <c r="A174" s="8"/>
      <c r="B174" s="4"/>
      <c r="C174" s="4" t="s">
        <v>555</v>
      </c>
      <c r="D174" s="4"/>
      <c r="E174" s="8"/>
      <c r="F174" s="6">
        <v>7632.4707424999997</v>
      </c>
      <c r="G174" s="7">
        <v>4.7905119519921185E-2</v>
      </c>
      <c r="H174" s="53"/>
    </row>
    <row r="175" spans="1:8" ht="18" customHeight="1" x14ac:dyDescent="0.2">
      <c r="A175" s="8"/>
      <c r="B175" s="4"/>
      <c r="C175" s="4" t="s">
        <v>869</v>
      </c>
      <c r="D175" s="4"/>
      <c r="E175" s="8"/>
      <c r="F175" s="6">
        <v>2022.1185293100007</v>
      </c>
      <c r="G175" s="7">
        <v>1.2691804934231995E-2</v>
      </c>
      <c r="H175" s="53"/>
    </row>
    <row r="176" spans="1:8" ht="14.1" customHeight="1" x14ac:dyDescent="0.2">
      <c r="A176" s="11"/>
      <c r="B176" s="11"/>
      <c r="C176" s="2" t="s">
        <v>158</v>
      </c>
      <c r="D176" s="12"/>
      <c r="E176" s="12"/>
      <c r="F176" s="9">
        <v>159324.74063291005</v>
      </c>
      <c r="G176" s="14">
        <v>0.99999999545415319</v>
      </c>
      <c r="H176" s="53"/>
    </row>
    <row r="177" spans="1:15" ht="14.1" customHeight="1" x14ac:dyDescent="0.2">
      <c r="A177" s="16"/>
      <c r="B177" s="16"/>
      <c r="C177" s="16"/>
      <c r="D177" s="17"/>
      <c r="E177" s="17"/>
      <c r="F177" s="17"/>
      <c r="G177" s="17"/>
    </row>
    <row r="178" spans="1:15" ht="17.100000000000001" customHeight="1" x14ac:dyDescent="0.2">
      <c r="A178" s="18"/>
      <c r="B178" s="292" t="s">
        <v>870</v>
      </c>
      <c r="C178" s="292"/>
      <c r="D178" s="292"/>
      <c r="E178" s="292"/>
      <c r="F178" s="292"/>
      <c r="G178" s="20"/>
    </row>
    <row r="179" spans="1:15" ht="17.100000000000001" customHeight="1" x14ac:dyDescent="0.2">
      <c r="A179" s="18"/>
      <c r="B179" s="292" t="s">
        <v>871</v>
      </c>
      <c r="C179" s="292"/>
      <c r="D179" s="292"/>
      <c r="E179" s="292"/>
      <c r="F179" s="292"/>
      <c r="G179" s="20"/>
    </row>
    <row r="180" spans="1:15" ht="17.100000000000001" customHeight="1" x14ac:dyDescent="0.2">
      <c r="A180" s="58"/>
      <c r="B180" s="325" t="s">
        <v>984</v>
      </c>
      <c r="C180" s="325"/>
      <c r="D180" s="325"/>
      <c r="E180" s="325"/>
      <c r="F180" s="325"/>
      <c r="G180" s="61"/>
    </row>
    <row r="181" spans="1:15" s="47" customFormat="1" ht="69.75" customHeight="1" x14ac:dyDescent="0.25">
      <c r="A181" s="49"/>
      <c r="B181" s="324" t="s">
        <v>903</v>
      </c>
      <c r="C181" s="324"/>
      <c r="D181" s="324"/>
      <c r="E181" s="324"/>
      <c r="F181" s="324"/>
      <c r="G181" s="50"/>
      <c r="I181"/>
      <c r="J181"/>
      <c r="K181"/>
      <c r="L181"/>
      <c r="M181"/>
      <c r="N181"/>
      <c r="O181"/>
    </row>
    <row r="182" spans="1:15" ht="14.1" customHeight="1" x14ac:dyDescent="0.2">
      <c r="A182" s="18"/>
      <c r="B182" s="18"/>
      <c r="C182" s="18"/>
      <c r="D182" s="20"/>
      <c r="E182" s="20"/>
      <c r="F182" s="20"/>
      <c r="G182" s="20"/>
    </row>
    <row r="183" spans="1:15" ht="14.1" customHeight="1" x14ac:dyDescent="0.2">
      <c r="A183" s="18"/>
      <c r="B183" s="293" t="s">
        <v>160</v>
      </c>
      <c r="C183" s="307"/>
      <c r="D183" s="294"/>
      <c r="E183" s="21"/>
      <c r="F183" s="20"/>
      <c r="G183" s="20"/>
    </row>
    <row r="184" spans="1:15" ht="29.1" customHeight="1" x14ac:dyDescent="0.2">
      <c r="A184" s="18"/>
      <c r="B184" s="290" t="s">
        <v>161</v>
      </c>
      <c r="C184" s="291"/>
      <c r="D184" s="2" t="s">
        <v>162</v>
      </c>
      <c r="E184" s="21"/>
      <c r="F184" s="20"/>
      <c r="G184" s="20"/>
    </row>
    <row r="185" spans="1:15" ht="17.100000000000001" customHeight="1" x14ac:dyDescent="0.2">
      <c r="A185" s="18"/>
      <c r="B185" s="290" t="s">
        <v>163</v>
      </c>
      <c r="C185" s="291"/>
      <c r="D185" s="2" t="s">
        <v>162</v>
      </c>
      <c r="E185" s="21"/>
      <c r="F185" s="20"/>
      <c r="G185" s="20"/>
    </row>
    <row r="186" spans="1:15" ht="17.100000000000001" customHeight="1" x14ac:dyDescent="0.2">
      <c r="A186" s="18"/>
      <c r="B186" s="290" t="s">
        <v>164</v>
      </c>
      <c r="C186" s="291"/>
      <c r="D186" s="12" t="s">
        <v>133</v>
      </c>
      <c r="E186" s="21"/>
      <c r="F186" s="20"/>
      <c r="G186" s="20"/>
    </row>
    <row r="187" spans="1:15" ht="24" customHeight="1" x14ac:dyDescent="0.2">
      <c r="A187" s="22"/>
      <c r="B187" s="23" t="s">
        <v>133</v>
      </c>
      <c r="C187" s="23" t="s">
        <v>165</v>
      </c>
      <c r="D187" s="23" t="s">
        <v>166</v>
      </c>
      <c r="E187" s="22"/>
      <c r="F187" s="22"/>
      <c r="G187" s="22"/>
    </row>
    <row r="188" spans="1:15" ht="18" customHeight="1" x14ac:dyDescent="0.2">
      <c r="A188" s="22"/>
      <c r="B188" s="35" t="s">
        <v>167</v>
      </c>
      <c r="C188" s="23" t="s">
        <v>168</v>
      </c>
      <c r="D188" s="23" t="s">
        <v>169</v>
      </c>
      <c r="E188" s="22"/>
      <c r="F188" s="22"/>
      <c r="G188" s="22"/>
    </row>
    <row r="189" spans="1:15" ht="17.100000000000001" customHeight="1" x14ac:dyDescent="0.2">
      <c r="A189" s="22"/>
      <c r="B189" s="4" t="s">
        <v>170</v>
      </c>
      <c r="C189" s="36">
        <v>30.3904</v>
      </c>
      <c r="D189" s="36">
        <v>30.120999999999999</v>
      </c>
      <c r="E189" s="22"/>
      <c r="F189" s="19"/>
      <c r="G189" s="25"/>
    </row>
    <row r="190" spans="1:15" ht="29.1" customHeight="1" x14ac:dyDescent="0.2">
      <c r="A190" s="22"/>
      <c r="B190" s="4" t="s">
        <v>1047</v>
      </c>
      <c r="C190" s="36">
        <v>17.251899999999999</v>
      </c>
      <c r="D190" s="36">
        <v>16.801300000000001</v>
      </c>
      <c r="E190" s="22"/>
      <c r="F190" s="19"/>
      <c r="G190" s="25"/>
    </row>
    <row r="191" spans="1:15" ht="17.100000000000001" customHeight="1" x14ac:dyDescent="0.2">
      <c r="A191" s="22"/>
      <c r="B191" s="4" t="s">
        <v>171</v>
      </c>
      <c r="C191" s="36">
        <v>26.917899999999999</v>
      </c>
      <c r="D191" s="36">
        <v>26.645700000000001</v>
      </c>
      <c r="E191" s="22"/>
      <c r="F191" s="19"/>
      <c r="G191" s="25"/>
    </row>
    <row r="192" spans="1:15" ht="29.1" customHeight="1" x14ac:dyDescent="0.2">
      <c r="A192" s="22"/>
      <c r="B192" s="4" t="s">
        <v>1049</v>
      </c>
      <c r="C192" s="36">
        <v>14.661199999999999</v>
      </c>
      <c r="D192" s="36">
        <v>14.265000000000001</v>
      </c>
      <c r="E192" s="22"/>
      <c r="F192" s="19"/>
      <c r="G192" s="25"/>
    </row>
    <row r="193" spans="1:9" ht="14.1" customHeight="1" x14ac:dyDescent="0.2">
      <c r="A193" s="22"/>
      <c r="B193" s="22"/>
      <c r="C193" s="22"/>
      <c r="D193" s="22"/>
      <c r="E193" s="22"/>
      <c r="F193" s="22"/>
      <c r="G193" s="22"/>
    </row>
    <row r="194" spans="1:9" ht="17.100000000000001" customHeight="1" x14ac:dyDescent="0.2">
      <c r="A194" s="22"/>
      <c r="B194" s="290" t="s">
        <v>1044</v>
      </c>
      <c r="C194" s="291"/>
      <c r="D194" s="2" t="s">
        <v>133</v>
      </c>
      <c r="E194" s="22"/>
      <c r="F194" s="22"/>
      <c r="G194" s="22"/>
    </row>
    <row r="195" spans="1:9" ht="18" customHeight="1" x14ac:dyDescent="0.2">
      <c r="A195" s="22"/>
      <c r="B195" s="37" t="s">
        <v>167</v>
      </c>
      <c r="C195" s="38" t="s">
        <v>872</v>
      </c>
      <c r="D195" s="38" t="s">
        <v>873</v>
      </c>
      <c r="E195" s="22"/>
      <c r="F195" s="22"/>
      <c r="G195" s="22"/>
    </row>
    <row r="196" spans="1:9" ht="29.1" customHeight="1" x14ac:dyDescent="0.2">
      <c r="A196" s="22"/>
      <c r="B196" s="4" t="s">
        <v>1047</v>
      </c>
      <c r="C196" s="39">
        <v>0.3</v>
      </c>
      <c r="D196" s="8" t="s">
        <v>899</v>
      </c>
      <c r="E196" s="22"/>
      <c r="F196" s="19"/>
      <c r="G196" s="25"/>
    </row>
    <row r="197" spans="1:9" ht="29.1" customHeight="1" x14ac:dyDescent="0.2">
      <c r="A197" s="22"/>
      <c r="B197" s="4" t="s">
        <v>1049</v>
      </c>
      <c r="C197" s="39">
        <v>0.25</v>
      </c>
      <c r="D197" s="39">
        <v>0.25</v>
      </c>
      <c r="E197" s="22"/>
      <c r="F197" s="19"/>
      <c r="G197" s="25"/>
    </row>
    <row r="198" spans="1:9" ht="14.1" customHeight="1" x14ac:dyDescent="0.2">
      <c r="A198" s="22"/>
      <c r="B198" s="40"/>
      <c r="C198" s="40"/>
      <c r="D198" s="41"/>
      <c r="E198" s="22"/>
      <c r="F198" s="19"/>
      <c r="G198" s="25"/>
    </row>
    <row r="199" spans="1:9" ht="14.1" customHeight="1" x14ac:dyDescent="0.2">
      <c r="A199" s="22"/>
      <c r="B199" s="19"/>
      <c r="C199" s="19"/>
      <c r="D199" s="22"/>
      <c r="E199" s="22"/>
      <c r="F199" s="22"/>
      <c r="G199" s="22"/>
    </row>
    <row r="200" spans="1:9" ht="29.1" customHeight="1" x14ac:dyDescent="0.2">
      <c r="A200" s="22"/>
      <c r="B200" s="290" t="s">
        <v>172</v>
      </c>
      <c r="C200" s="291"/>
      <c r="D200" s="65" t="s">
        <v>979</v>
      </c>
      <c r="E200" s="42"/>
      <c r="F200" s="22"/>
      <c r="G200" s="22"/>
    </row>
    <row r="201" spans="1:9" ht="29.1" customHeight="1" x14ac:dyDescent="0.2">
      <c r="A201" s="22"/>
      <c r="B201" s="290" t="s">
        <v>173</v>
      </c>
      <c r="C201" s="291"/>
      <c r="D201" s="2" t="s">
        <v>162</v>
      </c>
      <c r="E201" s="42"/>
      <c r="F201" s="22"/>
      <c r="G201" s="22"/>
    </row>
    <row r="202" spans="1:9" ht="17.100000000000001" customHeight="1" x14ac:dyDescent="0.2">
      <c r="A202" s="22"/>
      <c r="B202" s="304" t="s">
        <v>174</v>
      </c>
      <c r="C202" s="305"/>
      <c r="D202" s="28">
        <v>2.9225780699297959</v>
      </c>
      <c r="E202" s="22"/>
      <c r="F202" s="19"/>
      <c r="G202" s="25"/>
    </row>
    <row r="203" spans="1:9" ht="17.100000000000001" customHeight="1" x14ac:dyDescent="0.2">
      <c r="A203" s="22"/>
      <c r="B203" s="304" t="s">
        <v>175</v>
      </c>
      <c r="C203" s="305"/>
      <c r="D203" s="2" t="s">
        <v>162</v>
      </c>
      <c r="E203" s="42"/>
      <c r="F203" s="22"/>
      <c r="G203" s="22"/>
    </row>
    <row r="204" spans="1:9" ht="11.1" customHeight="1" x14ac:dyDescent="0.2">
      <c r="A204" s="26"/>
      <c r="B204" s="26"/>
      <c r="C204" s="26"/>
      <c r="D204" s="26"/>
      <c r="E204" s="26"/>
      <c r="F204" s="26"/>
      <c r="G204" s="26"/>
    </row>
    <row r="205" spans="1:9" x14ac:dyDescent="0.2">
      <c r="B205" s="309" t="s">
        <v>1064</v>
      </c>
      <c r="C205" s="310"/>
      <c r="D205" s="311"/>
    </row>
    <row r="206" spans="1:9" ht="63.75" x14ac:dyDescent="0.2">
      <c r="B206" s="308" t="s">
        <v>1065</v>
      </c>
      <c r="C206" s="308"/>
      <c r="D206" s="180" t="s">
        <v>1061</v>
      </c>
      <c r="I206" s="80"/>
    </row>
    <row r="207" spans="1:9" x14ac:dyDescent="0.2">
      <c r="B207" s="308" t="s">
        <v>1066</v>
      </c>
      <c r="C207" s="308"/>
      <c r="D207" s="181"/>
    </row>
    <row r="208" spans="1:9" x14ac:dyDescent="0.2">
      <c r="B208" s="297"/>
      <c r="C208" s="299"/>
      <c r="D208" s="182"/>
    </row>
    <row r="209" spans="2:4" x14ac:dyDescent="0.2">
      <c r="B209" s="308" t="s">
        <v>1070</v>
      </c>
      <c r="C209" s="308"/>
      <c r="D209" s="183">
        <v>6.843009310027127</v>
      </c>
    </row>
    <row r="210" spans="2:4" x14ac:dyDescent="0.2">
      <c r="B210" s="297"/>
      <c r="C210" s="299"/>
      <c r="D210" s="182"/>
    </row>
    <row r="211" spans="2:4" x14ac:dyDescent="0.2">
      <c r="B211" s="308" t="s">
        <v>1068</v>
      </c>
      <c r="C211" s="308"/>
      <c r="D211" s="183">
        <v>0.74254383084382558</v>
      </c>
    </row>
    <row r="212" spans="2:4" x14ac:dyDescent="0.2">
      <c r="B212" s="308" t="s">
        <v>1069</v>
      </c>
      <c r="C212" s="308"/>
      <c r="D212" s="183">
        <v>0.87458648838955388</v>
      </c>
    </row>
    <row r="213" spans="2:4" x14ac:dyDescent="0.2">
      <c r="B213" s="297"/>
      <c r="C213" s="299"/>
      <c r="D213" s="182"/>
    </row>
    <row r="214" spans="2:4" x14ac:dyDescent="0.2">
      <c r="B214" s="308" t="s">
        <v>1067</v>
      </c>
      <c r="C214" s="308"/>
      <c r="D214" s="184">
        <v>44926</v>
      </c>
    </row>
    <row r="215" spans="2:4" ht="12.75" customHeight="1" x14ac:dyDescent="0.2">
      <c r="B215" s="297" t="s">
        <v>1071</v>
      </c>
      <c r="C215" s="298"/>
      <c r="D215" s="299"/>
    </row>
  </sheetData>
  <mergeCells count="28">
    <mergeCell ref="J2:N2"/>
    <mergeCell ref="B214:C214"/>
    <mergeCell ref="B209:C209"/>
    <mergeCell ref="B210:C210"/>
    <mergeCell ref="B211:C211"/>
    <mergeCell ref="B212:C212"/>
    <mergeCell ref="B213:C213"/>
    <mergeCell ref="B180:F180"/>
    <mergeCell ref="B205:D205"/>
    <mergeCell ref="B206:C206"/>
    <mergeCell ref="B207:C207"/>
    <mergeCell ref="B208:C208"/>
    <mergeCell ref="A1:H1"/>
    <mergeCell ref="A2:H2"/>
    <mergeCell ref="A3:H3"/>
    <mergeCell ref="B215:D215"/>
    <mergeCell ref="B201:C201"/>
    <mergeCell ref="B203:C203"/>
    <mergeCell ref="B202:C202"/>
    <mergeCell ref="B200:C200"/>
    <mergeCell ref="B178:F178"/>
    <mergeCell ref="B179:F179"/>
    <mergeCell ref="B181:F181"/>
    <mergeCell ref="B183:D183"/>
    <mergeCell ref="B184:C184"/>
    <mergeCell ref="B185:C185"/>
    <mergeCell ref="B186:C186"/>
    <mergeCell ref="B194:C194"/>
  </mergeCells>
  <hyperlinks>
    <hyperlink ref="I1" location="Index!B25" display="Index" xr:uid="{6D082B28-0E11-48B7-ADDF-06AA70E24B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5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321" t="s">
        <v>1060</v>
      </c>
      <c r="B2" s="322"/>
      <c r="C2" s="322"/>
      <c r="D2" s="322"/>
      <c r="E2" s="322"/>
      <c r="F2" s="322"/>
      <c r="G2" s="322"/>
      <c r="H2" s="323"/>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291</v>
      </c>
      <c r="C7" s="4" t="s">
        <v>292</v>
      </c>
      <c r="D7" s="4" t="s">
        <v>900</v>
      </c>
      <c r="E7" s="5">
        <v>142161</v>
      </c>
      <c r="F7" s="6">
        <v>2144.0722019999998</v>
      </c>
      <c r="G7" s="7">
        <v>5.8256778000000002E-2</v>
      </c>
      <c r="H7" s="53"/>
    </row>
    <row r="8" spans="1:14" ht="17.100000000000001" customHeight="1" x14ac:dyDescent="0.2">
      <c r="A8" s="3">
        <v>2</v>
      </c>
      <c r="B8" s="4" t="s">
        <v>266</v>
      </c>
      <c r="C8" s="4" t="s">
        <v>267</v>
      </c>
      <c r="D8" s="4" t="s">
        <v>19</v>
      </c>
      <c r="E8" s="5">
        <v>124000</v>
      </c>
      <c r="F8" s="6">
        <v>2018.9059999999999</v>
      </c>
      <c r="G8" s="7">
        <v>5.4855875999999998E-2</v>
      </c>
      <c r="H8" s="53"/>
    </row>
    <row r="9" spans="1:14" ht="17.100000000000001" customHeight="1" x14ac:dyDescent="0.2">
      <c r="A9" s="3">
        <v>3</v>
      </c>
      <c r="B9" s="4" t="s">
        <v>17</v>
      </c>
      <c r="C9" s="4" t="s">
        <v>18</v>
      </c>
      <c r="D9" s="4" t="s">
        <v>19</v>
      </c>
      <c r="E9" s="5">
        <v>188000</v>
      </c>
      <c r="F9" s="6">
        <v>1674.798</v>
      </c>
      <c r="G9" s="7">
        <v>4.5506087000000001E-2</v>
      </c>
      <c r="H9" s="53"/>
    </row>
    <row r="10" spans="1:14" ht="17.100000000000001" customHeight="1" x14ac:dyDescent="0.2">
      <c r="A10" s="3">
        <v>4</v>
      </c>
      <c r="B10" s="4" t="s">
        <v>26</v>
      </c>
      <c r="C10" s="4" t="s">
        <v>27</v>
      </c>
      <c r="D10" s="4" t="s">
        <v>28</v>
      </c>
      <c r="E10" s="5">
        <v>972000</v>
      </c>
      <c r="F10" s="6">
        <v>1617.894</v>
      </c>
      <c r="G10" s="7">
        <v>4.3959943000000001E-2</v>
      </c>
      <c r="H10" s="53"/>
    </row>
    <row r="11" spans="1:14" ht="17.100000000000001" customHeight="1" x14ac:dyDescent="0.2">
      <c r="A11" s="3">
        <v>5</v>
      </c>
      <c r="B11" s="4" t="s">
        <v>303</v>
      </c>
      <c r="C11" s="4" t="s">
        <v>304</v>
      </c>
      <c r="D11" s="4" t="s">
        <v>305</v>
      </c>
      <c r="E11" s="5">
        <v>58279</v>
      </c>
      <c r="F11" s="6">
        <v>1492.5543295</v>
      </c>
      <c r="G11" s="7">
        <v>4.0554328000000001E-2</v>
      </c>
      <c r="H11" s="53"/>
    </row>
    <row r="12" spans="1:14" ht="17.100000000000001" customHeight="1" x14ac:dyDescent="0.2">
      <c r="A12" s="3">
        <v>6</v>
      </c>
      <c r="B12" s="4" t="s">
        <v>310</v>
      </c>
      <c r="C12" s="4" t="s">
        <v>311</v>
      </c>
      <c r="D12" s="4" t="s">
        <v>305</v>
      </c>
      <c r="E12" s="5">
        <v>397734</v>
      </c>
      <c r="F12" s="6">
        <v>1318.687077</v>
      </c>
      <c r="G12" s="7">
        <v>3.5830164999999997E-2</v>
      </c>
      <c r="H12" s="53"/>
    </row>
    <row r="13" spans="1:14" ht="17.100000000000001" customHeight="1" x14ac:dyDescent="0.2">
      <c r="A13" s="3">
        <v>7</v>
      </c>
      <c r="B13" s="4" t="s">
        <v>297</v>
      </c>
      <c r="C13" s="4" t="s">
        <v>298</v>
      </c>
      <c r="D13" s="4" t="s">
        <v>900</v>
      </c>
      <c r="E13" s="5">
        <v>38621</v>
      </c>
      <c r="F13" s="6">
        <v>1257.7701070000001</v>
      </c>
      <c r="G13" s="7">
        <v>3.4174983999999999E-2</v>
      </c>
      <c r="H13" s="53"/>
    </row>
    <row r="14" spans="1:14" ht="17.100000000000001" customHeight="1" x14ac:dyDescent="0.2">
      <c r="A14" s="3">
        <v>8</v>
      </c>
      <c r="B14" s="4" t="s">
        <v>20</v>
      </c>
      <c r="C14" s="4" t="s">
        <v>21</v>
      </c>
      <c r="D14" s="4" t="s">
        <v>22</v>
      </c>
      <c r="E14" s="5">
        <v>47000</v>
      </c>
      <c r="F14" s="6">
        <v>1197.184</v>
      </c>
      <c r="G14" s="7">
        <v>3.2528794E-2</v>
      </c>
      <c r="H14" s="53"/>
      <c r="J14" s="195" t="s">
        <v>1089</v>
      </c>
    </row>
    <row r="15" spans="1:14" ht="17.100000000000001" customHeight="1" x14ac:dyDescent="0.2">
      <c r="A15" s="3">
        <v>9</v>
      </c>
      <c r="B15" s="4" t="s">
        <v>29</v>
      </c>
      <c r="C15" s="4" t="s">
        <v>30</v>
      </c>
      <c r="D15" s="4" t="s">
        <v>19</v>
      </c>
      <c r="E15" s="5">
        <v>186000</v>
      </c>
      <c r="F15" s="6">
        <v>1141.482</v>
      </c>
      <c r="G15" s="7">
        <v>3.1015310000000001E-2</v>
      </c>
      <c r="H15" s="53"/>
    </row>
    <row r="16" spans="1:14" ht="17.100000000000001" customHeight="1" x14ac:dyDescent="0.2">
      <c r="A16" s="3">
        <v>10</v>
      </c>
      <c r="B16" s="4" t="s">
        <v>308</v>
      </c>
      <c r="C16" s="4" t="s">
        <v>309</v>
      </c>
      <c r="D16" s="4" t="s">
        <v>900</v>
      </c>
      <c r="E16" s="5">
        <v>107029</v>
      </c>
      <c r="F16" s="6">
        <v>1112.3523970000001</v>
      </c>
      <c r="G16" s="7">
        <v>3.0223827000000002E-2</v>
      </c>
      <c r="H16" s="53"/>
    </row>
    <row r="17" spans="1:10" ht="29.1" customHeight="1" x14ac:dyDescent="0.2">
      <c r="A17" s="3">
        <v>11</v>
      </c>
      <c r="B17" s="4" t="s">
        <v>23</v>
      </c>
      <c r="C17" s="4" t="s">
        <v>24</v>
      </c>
      <c r="D17" s="4" t="s">
        <v>25</v>
      </c>
      <c r="E17" s="5">
        <v>14000</v>
      </c>
      <c r="F17" s="6">
        <v>974.26700000000005</v>
      </c>
      <c r="G17" s="7">
        <v>2.6471896000000002E-2</v>
      </c>
      <c r="H17" s="53"/>
    </row>
    <row r="18" spans="1:10" ht="29.1" customHeight="1" x14ac:dyDescent="0.2">
      <c r="A18" s="3">
        <v>12</v>
      </c>
      <c r="B18" s="4" t="s">
        <v>63</v>
      </c>
      <c r="C18" s="4" t="s">
        <v>64</v>
      </c>
      <c r="D18" s="4" t="s">
        <v>65</v>
      </c>
      <c r="E18" s="5">
        <v>830000</v>
      </c>
      <c r="F18" s="6">
        <v>829.17</v>
      </c>
      <c r="G18" s="7">
        <v>2.2529451999999998E-2</v>
      </c>
      <c r="H18" s="53"/>
    </row>
    <row r="19" spans="1:10" ht="17.100000000000001" customHeight="1" x14ac:dyDescent="0.2">
      <c r="A19" s="3">
        <v>13</v>
      </c>
      <c r="B19" s="4" t="s">
        <v>11</v>
      </c>
      <c r="C19" s="4" t="s">
        <v>12</v>
      </c>
      <c r="D19" s="4" t="s">
        <v>13</v>
      </c>
      <c r="E19" s="5">
        <v>38076</v>
      </c>
      <c r="F19" s="6">
        <v>794.18920800000001</v>
      </c>
      <c r="G19" s="7">
        <v>2.1578986000000001E-2</v>
      </c>
      <c r="H19" s="53"/>
    </row>
    <row r="20" spans="1:10" ht="17.100000000000001" customHeight="1" x14ac:dyDescent="0.2">
      <c r="A20" s="3">
        <v>14</v>
      </c>
      <c r="B20" s="4" t="s">
        <v>336</v>
      </c>
      <c r="C20" s="4" t="s">
        <v>337</v>
      </c>
      <c r="D20" s="4" t="s">
        <v>19</v>
      </c>
      <c r="E20" s="5">
        <v>235822</v>
      </c>
      <c r="F20" s="6">
        <v>785.99472600000001</v>
      </c>
      <c r="G20" s="7">
        <v>2.1356333000000002E-2</v>
      </c>
      <c r="H20" s="53"/>
    </row>
    <row r="21" spans="1:10" ht="53.1" customHeight="1" x14ac:dyDescent="0.2">
      <c r="A21" s="3">
        <v>15</v>
      </c>
      <c r="B21" s="4" t="s">
        <v>46</v>
      </c>
      <c r="C21" s="4" t="s">
        <v>47</v>
      </c>
      <c r="D21" s="4" t="s">
        <v>48</v>
      </c>
      <c r="E21" s="5">
        <v>515000</v>
      </c>
      <c r="F21" s="6">
        <v>738.51</v>
      </c>
      <c r="G21" s="7">
        <v>2.0066120999999999E-2</v>
      </c>
      <c r="H21" s="53"/>
    </row>
    <row r="22" spans="1:10" ht="17.100000000000001" customHeight="1" x14ac:dyDescent="0.2">
      <c r="A22" s="3">
        <v>16</v>
      </c>
      <c r="B22" s="4" t="s">
        <v>52</v>
      </c>
      <c r="C22" s="4" t="s">
        <v>53</v>
      </c>
      <c r="D22" s="4" t="s">
        <v>28</v>
      </c>
      <c r="E22" s="5">
        <v>328000</v>
      </c>
      <c r="F22" s="6">
        <v>700.93600000000004</v>
      </c>
      <c r="G22" s="7">
        <v>1.9045195000000001E-2</v>
      </c>
      <c r="H22" s="53"/>
      <c r="J22" s="188" t="s">
        <v>1090</v>
      </c>
    </row>
    <row r="23" spans="1:10" ht="17.100000000000001" customHeight="1" x14ac:dyDescent="0.2">
      <c r="A23" s="3">
        <v>17</v>
      </c>
      <c r="B23" s="4" t="s">
        <v>327</v>
      </c>
      <c r="C23" s="4" t="s">
        <v>328</v>
      </c>
      <c r="D23" s="4" t="s">
        <v>19</v>
      </c>
      <c r="E23" s="5">
        <v>56000</v>
      </c>
      <c r="F23" s="6">
        <v>683.25599999999997</v>
      </c>
      <c r="G23" s="7">
        <v>1.8564810000000001E-2</v>
      </c>
      <c r="H23" s="53"/>
    </row>
    <row r="24" spans="1:10" ht="17.100000000000001" customHeight="1" x14ac:dyDescent="0.2">
      <c r="A24" s="3">
        <v>18</v>
      </c>
      <c r="B24" s="4" t="s">
        <v>295</v>
      </c>
      <c r="C24" s="4" t="s">
        <v>296</v>
      </c>
      <c r="D24" s="4" t="s">
        <v>248</v>
      </c>
      <c r="E24" s="5">
        <v>51000</v>
      </c>
      <c r="F24" s="6">
        <v>627.96299999999997</v>
      </c>
      <c r="G24" s="7">
        <v>1.7062438999999999E-2</v>
      </c>
      <c r="H24" s="53"/>
    </row>
    <row r="25" spans="1:10" ht="17.100000000000001" customHeight="1" x14ac:dyDescent="0.2">
      <c r="A25" s="3">
        <v>19</v>
      </c>
      <c r="B25" s="4" t="s">
        <v>14</v>
      </c>
      <c r="C25" s="4" t="s">
        <v>15</v>
      </c>
      <c r="D25" s="4" t="s">
        <v>16</v>
      </c>
      <c r="E25" s="5">
        <v>74309</v>
      </c>
      <c r="F25" s="6">
        <v>599.00484900000004</v>
      </c>
      <c r="G25" s="7">
        <v>1.6275614000000001E-2</v>
      </c>
      <c r="H25" s="53"/>
    </row>
    <row r="26" spans="1:10" ht="17.100000000000001" customHeight="1" x14ac:dyDescent="0.2">
      <c r="A26" s="3">
        <v>20</v>
      </c>
      <c r="B26" s="4" t="s">
        <v>325</v>
      </c>
      <c r="C26" s="4" t="s">
        <v>326</v>
      </c>
      <c r="D26" s="4" t="s">
        <v>219</v>
      </c>
      <c r="E26" s="5">
        <v>526970</v>
      </c>
      <c r="F26" s="6">
        <v>593.63170500000001</v>
      </c>
      <c r="G26" s="7">
        <v>1.6129620000000001E-2</v>
      </c>
      <c r="H26" s="53"/>
    </row>
    <row r="27" spans="1:10" ht="17.100000000000001" customHeight="1" x14ac:dyDescent="0.2">
      <c r="A27" s="3">
        <v>21</v>
      </c>
      <c r="B27" s="4" t="s">
        <v>516</v>
      </c>
      <c r="C27" s="4" t="s">
        <v>517</v>
      </c>
      <c r="D27" s="4" t="s">
        <v>116</v>
      </c>
      <c r="E27" s="5">
        <v>36483</v>
      </c>
      <c r="F27" s="6">
        <v>571.63388550000002</v>
      </c>
      <c r="G27" s="7">
        <v>1.5531916E-2</v>
      </c>
      <c r="H27" s="53"/>
    </row>
    <row r="28" spans="1:10" ht="17.100000000000001" customHeight="1" x14ac:dyDescent="0.2">
      <c r="A28" s="3">
        <v>22</v>
      </c>
      <c r="B28" s="4" t="s">
        <v>70</v>
      </c>
      <c r="C28" s="4" t="s">
        <v>71</v>
      </c>
      <c r="D28" s="4" t="s">
        <v>72</v>
      </c>
      <c r="E28" s="5">
        <v>6650</v>
      </c>
      <c r="F28" s="6">
        <v>558.24090000000001</v>
      </c>
      <c r="G28" s="7">
        <v>1.5168014E-2</v>
      </c>
      <c r="H28" s="53"/>
    </row>
    <row r="29" spans="1:10" ht="17.100000000000001" customHeight="1" x14ac:dyDescent="0.2">
      <c r="A29" s="3">
        <v>23</v>
      </c>
      <c r="B29" s="4" t="s">
        <v>405</v>
      </c>
      <c r="C29" s="4" t="s">
        <v>406</v>
      </c>
      <c r="D29" s="4" t="s">
        <v>320</v>
      </c>
      <c r="E29" s="5">
        <v>33957</v>
      </c>
      <c r="F29" s="6">
        <v>527.75969399999997</v>
      </c>
      <c r="G29" s="7">
        <v>1.4339806E-2</v>
      </c>
      <c r="H29" s="53"/>
    </row>
    <row r="30" spans="1:10" ht="17.100000000000001" customHeight="1" x14ac:dyDescent="0.2">
      <c r="A30" s="3">
        <v>24</v>
      </c>
      <c r="B30" s="4" t="s">
        <v>557</v>
      </c>
      <c r="C30" s="4" t="s">
        <v>558</v>
      </c>
      <c r="D30" s="4" t="s">
        <v>33</v>
      </c>
      <c r="E30" s="5">
        <v>20500</v>
      </c>
      <c r="F30" s="6">
        <v>525.81475</v>
      </c>
      <c r="G30" s="7">
        <v>1.428696E-2</v>
      </c>
      <c r="H30" s="53"/>
    </row>
    <row r="31" spans="1:10" ht="29.1" customHeight="1" x14ac:dyDescent="0.2">
      <c r="A31" s="3">
        <v>25</v>
      </c>
      <c r="B31" s="4" t="s">
        <v>197</v>
      </c>
      <c r="C31" s="4" t="s">
        <v>198</v>
      </c>
      <c r="D31" s="4" t="s">
        <v>199</v>
      </c>
      <c r="E31" s="5">
        <v>12675</v>
      </c>
      <c r="F31" s="6">
        <v>515.77743750000002</v>
      </c>
      <c r="G31" s="7">
        <v>1.4014235E-2</v>
      </c>
      <c r="H31" s="53"/>
    </row>
    <row r="32" spans="1:10" ht="29.1" customHeight="1" x14ac:dyDescent="0.2">
      <c r="A32" s="3">
        <v>26</v>
      </c>
      <c r="B32" s="4" t="s">
        <v>299</v>
      </c>
      <c r="C32" s="4" t="s">
        <v>300</v>
      </c>
      <c r="D32" s="4" t="s">
        <v>227</v>
      </c>
      <c r="E32" s="5">
        <v>51000</v>
      </c>
      <c r="F32" s="6">
        <v>510.714</v>
      </c>
      <c r="G32" s="7">
        <v>1.3876655999999999E-2</v>
      </c>
      <c r="H32" s="53"/>
    </row>
    <row r="33" spans="1:8" ht="17.100000000000001" customHeight="1" x14ac:dyDescent="0.2">
      <c r="A33" s="3">
        <v>27</v>
      </c>
      <c r="B33" s="4" t="s">
        <v>323</v>
      </c>
      <c r="C33" s="4" t="s">
        <v>324</v>
      </c>
      <c r="D33" s="4" t="s">
        <v>900</v>
      </c>
      <c r="E33" s="5">
        <v>47842</v>
      </c>
      <c r="F33" s="6">
        <v>486.26608800000002</v>
      </c>
      <c r="G33" s="7">
        <v>1.3212379E-2</v>
      </c>
      <c r="H33" s="53"/>
    </row>
    <row r="34" spans="1:8" ht="17.100000000000001" customHeight="1" x14ac:dyDescent="0.2">
      <c r="A34" s="3">
        <v>28</v>
      </c>
      <c r="B34" s="4" t="s">
        <v>261</v>
      </c>
      <c r="C34" s="4" t="s">
        <v>262</v>
      </c>
      <c r="D34" s="4" t="s">
        <v>119</v>
      </c>
      <c r="E34" s="5">
        <v>30000</v>
      </c>
      <c r="F34" s="6">
        <v>464.35500000000002</v>
      </c>
      <c r="G34" s="7">
        <v>1.2617031000000001E-2</v>
      </c>
      <c r="H34" s="53"/>
    </row>
    <row r="35" spans="1:8" ht="17.100000000000001" customHeight="1" x14ac:dyDescent="0.2">
      <c r="A35" s="3">
        <v>29</v>
      </c>
      <c r="B35" s="4" t="s">
        <v>38</v>
      </c>
      <c r="C35" s="4" t="s">
        <v>39</v>
      </c>
      <c r="D35" s="4" t="s">
        <v>40</v>
      </c>
      <c r="E35" s="5">
        <v>62282</v>
      </c>
      <c r="F35" s="6">
        <v>460.13941599999998</v>
      </c>
      <c r="G35" s="7">
        <v>1.2502489E-2</v>
      </c>
      <c r="H35" s="53"/>
    </row>
    <row r="36" spans="1:8" ht="17.100000000000001" customHeight="1" x14ac:dyDescent="0.2">
      <c r="A36" s="3">
        <v>30</v>
      </c>
      <c r="B36" s="4" t="s">
        <v>99</v>
      </c>
      <c r="C36" s="4" t="s">
        <v>100</v>
      </c>
      <c r="D36" s="4" t="s">
        <v>33</v>
      </c>
      <c r="E36" s="5">
        <v>33000</v>
      </c>
      <c r="F36" s="6">
        <v>455.53199999999998</v>
      </c>
      <c r="G36" s="7">
        <v>1.2377301E-2</v>
      </c>
      <c r="H36" s="53"/>
    </row>
    <row r="37" spans="1:8" ht="17.100000000000001" customHeight="1" x14ac:dyDescent="0.2">
      <c r="A37" s="3">
        <v>31</v>
      </c>
      <c r="B37" s="4" t="s">
        <v>559</v>
      </c>
      <c r="C37" s="4" t="s">
        <v>560</v>
      </c>
      <c r="D37" s="4" t="s">
        <v>72</v>
      </c>
      <c r="E37" s="5">
        <v>12160</v>
      </c>
      <c r="F37" s="6">
        <v>439.71168</v>
      </c>
      <c r="G37" s="7">
        <v>1.1947446E-2</v>
      </c>
      <c r="H37" s="53"/>
    </row>
    <row r="38" spans="1:8" ht="29.1" customHeight="1" x14ac:dyDescent="0.2">
      <c r="A38" s="3">
        <v>32</v>
      </c>
      <c r="B38" s="4" t="s">
        <v>202</v>
      </c>
      <c r="C38" s="4" t="s">
        <v>203</v>
      </c>
      <c r="D38" s="4" t="s">
        <v>204</v>
      </c>
      <c r="E38" s="5">
        <v>48000</v>
      </c>
      <c r="F38" s="6">
        <v>425.83199999999999</v>
      </c>
      <c r="G38" s="7">
        <v>1.1570319000000001E-2</v>
      </c>
      <c r="H38" s="53"/>
    </row>
    <row r="39" spans="1:8" ht="17.100000000000001" customHeight="1" x14ac:dyDescent="0.2">
      <c r="A39" s="3">
        <v>33</v>
      </c>
      <c r="B39" s="4" t="s">
        <v>561</v>
      </c>
      <c r="C39" s="4" t="s">
        <v>562</v>
      </c>
      <c r="D39" s="4" t="s">
        <v>265</v>
      </c>
      <c r="E39" s="5">
        <v>9850</v>
      </c>
      <c r="F39" s="6">
        <v>424.28382499999998</v>
      </c>
      <c r="G39" s="7">
        <v>1.1528254E-2</v>
      </c>
      <c r="H39" s="53"/>
    </row>
    <row r="40" spans="1:8" ht="17.100000000000001" customHeight="1" x14ac:dyDescent="0.2">
      <c r="A40" s="3">
        <v>34</v>
      </c>
      <c r="B40" s="4" t="s">
        <v>108</v>
      </c>
      <c r="C40" s="4" t="s">
        <v>109</v>
      </c>
      <c r="D40" s="4" t="s">
        <v>40</v>
      </c>
      <c r="E40" s="5">
        <v>21000</v>
      </c>
      <c r="F40" s="6">
        <v>421.61700000000002</v>
      </c>
      <c r="G40" s="7">
        <v>1.1455793000000001E-2</v>
      </c>
      <c r="H40" s="53"/>
    </row>
    <row r="41" spans="1:8" ht="29.1" customHeight="1" x14ac:dyDescent="0.2">
      <c r="A41" s="3">
        <v>35</v>
      </c>
      <c r="B41" s="4" t="s">
        <v>200</v>
      </c>
      <c r="C41" s="4" t="s">
        <v>201</v>
      </c>
      <c r="D41" s="4" t="s">
        <v>199</v>
      </c>
      <c r="E41" s="5">
        <v>17781</v>
      </c>
      <c r="F41" s="6">
        <v>407.24713350000002</v>
      </c>
      <c r="G41" s="7">
        <v>1.1065347999999999E-2</v>
      </c>
      <c r="H41" s="53"/>
    </row>
    <row r="42" spans="1:8" ht="29.1" customHeight="1" x14ac:dyDescent="0.2">
      <c r="A42" s="3">
        <v>36</v>
      </c>
      <c r="B42" s="4" t="s">
        <v>191</v>
      </c>
      <c r="C42" s="4" t="s">
        <v>192</v>
      </c>
      <c r="D42" s="4" t="s">
        <v>116</v>
      </c>
      <c r="E42" s="5">
        <v>117119</v>
      </c>
      <c r="F42" s="6">
        <v>394.0468755</v>
      </c>
      <c r="G42" s="7">
        <v>1.0706683E-2</v>
      </c>
      <c r="H42" s="53"/>
    </row>
    <row r="43" spans="1:8" ht="29.1" customHeight="1" x14ac:dyDescent="0.2">
      <c r="A43" s="3">
        <v>37</v>
      </c>
      <c r="B43" s="4" t="s">
        <v>344</v>
      </c>
      <c r="C43" s="4" t="s">
        <v>345</v>
      </c>
      <c r="D43" s="4" t="s">
        <v>227</v>
      </c>
      <c r="E43" s="5">
        <v>10700</v>
      </c>
      <c r="F43" s="6">
        <v>365.2124</v>
      </c>
      <c r="G43" s="7">
        <v>9.9232190000000005E-3</v>
      </c>
      <c r="H43" s="53"/>
    </row>
    <row r="44" spans="1:8" ht="17.100000000000001" customHeight="1" x14ac:dyDescent="0.2">
      <c r="A44" s="3">
        <v>38</v>
      </c>
      <c r="B44" s="4" t="s">
        <v>563</v>
      </c>
      <c r="C44" s="4" t="s">
        <v>564</v>
      </c>
      <c r="D44" s="4" t="s">
        <v>105</v>
      </c>
      <c r="E44" s="5">
        <v>111500</v>
      </c>
      <c r="F44" s="6">
        <v>358.69549999999998</v>
      </c>
      <c r="G44" s="7">
        <v>9.7461479999999996E-3</v>
      </c>
      <c r="H44" s="53"/>
    </row>
    <row r="45" spans="1:8" ht="29.1" customHeight="1" x14ac:dyDescent="0.2">
      <c r="A45" s="3">
        <v>39</v>
      </c>
      <c r="B45" s="4" t="s">
        <v>565</v>
      </c>
      <c r="C45" s="4" t="s">
        <v>566</v>
      </c>
      <c r="D45" s="4" t="s">
        <v>567</v>
      </c>
      <c r="E45" s="5">
        <v>10800</v>
      </c>
      <c r="F45" s="6">
        <v>357.21539999999999</v>
      </c>
      <c r="G45" s="7">
        <v>9.7059320000000004E-3</v>
      </c>
      <c r="H45" s="53"/>
    </row>
    <row r="46" spans="1:8" ht="17.100000000000001" customHeight="1" x14ac:dyDescent="0.2">
      <c r="A46" s="3">
        <v>40</v>
      </c>
      <c r="B46" s="4" t="s">
        <v>205</v>
      </c>
      <c r="C46" s="4" t="s">
        <v>206</v>
      </c>
      <c r="D46" s="4" t="s">
        <v>900</v>
      </c>
      <c r="E46" s="5">
        <v>9100</v>
      </c>
      <c r="F46" s="6">
        <v>352.25189999999998</v>
      </c>
      <c r="G46" s="7">
        <v>9.5710680000000003E-3</v>
      </c>
      <c r="H46" s="53"/>
    </row>
    <row r="47" spans="1:8" ht="17.100000000000001" customHeight="1" x14ac:dyDescent="0.2">
      <c r="A47" s="3">
        <v>41</v>
      </c>
      <c r="B47" s="4" t="s">
        <v>568</v>
      </c>
      <c r="C47" s="4" t="s">
        <v>569</v>
      </c>
      <c r="D47" s="4" t="s">
        <v>116</v>
      </c>
      <c r="E47" s="5">
        <v>27000</v>
      </c>
      <c r="F47" s="6">
        <v>350.60849999999999</v>
      </c>
      <c r="G47" s="7">
        <v>9.5264149999999999E-3</v>
      </c>
      <c r="H47" s="53"/>
    </row>
    <row r="48" spans="1:8" ht="17.100000000000001" customHeight="1" x14ac:dyDescent="0.2">
      <c r="A48" s="3">
        <v>42</v>
      </c>
      <c r="B48" s="4" t="s">
        <v>458</v>
      </c>
      <c r="C48" s="4" t="s">
        <v>459</v>
      </c>
      <c r="D48" s="4" t="s">
        <v>901</v>
      </c>
      <c r="E48" s="5">
        <v>42500</v>
      </c>
      <c r="F48" s="6">
        <v>344.69625000000002</v>
      </c>
      <c r="G48" s="7">
        <v>9.3657730000000008E-3</v>
      </c>
      <c r="H48" s="53"/>
    </row>
    <row r="49" spans="1:8" ht="17.100000000000001" customHeight="1" x14ac:dyDescent="0.2">
      <c r="A49" s="3">
        <v>43</v>
      </c>
      <c r="B49" s="4" t="s">
        <v>244</v>
      </c>
      <c r="C49" s="4" t="s">
        <v>245</v>
      </c>
      <c r="D49" s="4" t="s">
        <v>116</v>
      </c>
      <c r="E49" s="5">
        <v>43000</v>
      </c>
      <c r="F49" s="6">
        <v>343.93549999999999</v>
      </c>
      <c r="G49" s="7">
        <v>9.3451019999999992E-3</v>
      </c>
      <c r="H49" s="53"/>
    </row>
    <row r="50" spans="1:8" ht="17.100000000000001" customHeight="1" x14ac:dyDescent="0.2">
      <c r="A50" s="3">
        <v>44</v>
      </c>
      <c r="B50" s="4" t="s">
        <v>120</v>
      </c>
      <c r="C50" s="4" t="s">
        <v>121</v>
      </c>
      <c r="D50" s="4" t="s">
        <v>122</v>
      </c>
      <c r="E50" s="5">
        <v>228490</v>
      </c>
      <c r="F50" s="6">
        <v>335.30907500000001</v>
      </c>
      <c r="G50" s="7">
        <v>9.1107129999999995E-3</v>
      </c>
      <c r="H50" s="53"/>
    </row>
    <row r="51" spans="1:8" ht="29.1" customHeight="1" x14ac:dyDescent="0.2">
      <c r="A51" s="3">
        <v>45</v>
      </c>
      <c r="B51" s="4" t="s">
        <v>466</v>
      </c>
      <c r="C51" s="4" t="s">
        <v>467</v>
      </c>
      <c r="D51" s="4" t="s">
        <v>227</v>
      </c>
      <c r="E51" s="5">
        <v>5548</v>
      </c>
      <c r="F51" s="6">
        <v>324.727214</v>
      </c>
      <c r="G51" s="7">
        <v>8.8231920000000005E-3</v>
      </c>
      <c r="H51" s="53"/>
    </row>
    <row r="52" spans="1:8" ht="17.100000000000001" customHeight="1" x14ac:dyDescent="0.2">
      <c r="A52" s="3">
        <v>46</v>
      </c>
      <c r="B52" s="4" t="s">
        <v>283</v>
      </c>
      <c r="C52" s="4" t="s">
        <v>284</v>
      </c>
      <c r="D52" s="4" t="s">
        <v>22</v>
      </c>
      <c r="E52" s="5">
        <v>136848</v>
      </c>
      <c r="F52" s="6">
        <v>321.79807199999999</v>
      </c>
      <c r="G52" s="7">
        <v>8.7436040000000003E-3</v>
      </c>
      <c r="H52" s="53"/>
    </row>
    <row r="53" spans="1:8" ht="17.100000000000001" customHeight="1" x14ac:dyDescent="0.2">
      <c r="A53" s="3">
        <v>47</v>
      </c>
      <c r="B53" s="4" t="s">
        <v>230</v>
      </c>
      <c r="C53" s="4" t="s">
        <v>231</v>
      </c>
      <c r="D53" s="4" t="s">
        <v>87</v>
      </c>
      <c r="E53" s="5">
        <v>4242</v>
      </c>
      <c r="F53" s="6">
        <v>212.26119600000001</v>
      </c>
      <c r="G53" s="7">
        <v>5.7673680000000001E-3</v>
      </c>
      <c r="H53" s="53"/>
    </row>
    <row r="54" spans="1:8" ht="17.100000000000001" customHeight="1" x14ac:dyDescent="0.2">
      <c r="A54" s="3">
        <v>48</v>
      </c>
      <c r="B54" s="4" t="s">
        <v>321</v>
      </c>
      <c r="C54" s="4" t="s">
        <v>322</v>
      </c>
      <c r="D54" s="4" t="s">
        <v>320</v>
      </c>
      <c r="E54" s="5">
        <v>30973</v>
      </c>
      <c r="F54" s="6">
        <v>154.04421550000001</v>
      </c>
      <c r="G54" s="7">
        <v>4.1855490000000002E-3</v>
      </c>
      <c r="H54" s="53"/>
    </row>
    <row r="55" spans="1:8" ht="17.100000000000001" customHeight="1" x14ac:dyDescent="0.2">
      <c r="A55" s="3">
        <v>49</v>
      </c>
      <c r="B55" s="4" t="s">
        <v>350</v>
      </c>
      <c r="C55" s="4" t="s">
        <v>351</v>
      </c>
      <c r="D55" s="4" t="s">
        <v>72</v>
      </c>
      <c r="E55" s="5">
        <v>35292</v>
      </c>
      <c r="F55" s="6">
        <v>136.915314</v>
      </c>
      <c r="G55" s="7">
        <v>3.720138E-3</v>
      </c>
      <c r="H55" s="53"/>
    </row>
    <row r="56" spans="1:8" ht="29.1" customHeight="1" x14ac:dyDescent="0.2">
      <c r="A56" s="3">
        <v>50</v>
      </c>
      <c r="B56" s="4" t="s">
        <v>428</v>
      </c>
      <c r="C56" s="4" t="s">
        <v>429</v>
      </c>
      <c r="D56" s="4" t="s">
        <v>430</v>
      </c>
      <c r="E56" s="5">
        <v>17324</v>
      </c>
      <c r="F56" s="6">
        <v>98.495602000000005</v>
      </c>
      <c r="G56" s="7">
        <v>2.6762330000000001E-3</v>
      </c>
      <c r="H56" s="53"/>
    </row>
    <row r="57" spans="1:8" ht="14.1" customHeight="1" x14ac:dyDescent="0.2">
      <c r="A57" s="1"/>
      <c r="B57" s="1"/>
      <c r="C57" s="2" t="s">
        <v>132</v>
      </c>
      <c r="D57" s="1"/>
      <c r="E57" s="1" t="s">
        <v>133</v>
      </c>
      <c r="F57" s="9">
        <v>33947.760424</v>
      </c>
      <c r="G57" s="10">
        <v>0.92239764199999996</v>
      </c>
      <c r="H57" s="53"/>
    </row>
    <row r="58" spans="1:8" ht="14.1" customHeight="1" x14ac:dyDescent="0.2">
      <c r="A58" s="1"/>
      <c r="B58" s="1"/>
      <c r="C58" s="11"/>
      <c r="D58" s="1"/>
      <c r="E58" s="1"/>
      <c r="F58" s="12"/>
      <c r="G58" s="12"/>
      <c r="H58" s="53"/>
    </row>
    <row r="59" spans="1:8" ht="14.1" customHeight="1" x14ac:dyDescent="0.2">
      <c r="A59" s="1"/>
      <c r="B59" s="1"/>
      <c r="C59" s="2" t="s">
        <v>134</v>
      </c>
      <c r="D59" s="1"/>
      <c r="E59" s="1"/>
      <c r="F59" s="1"/>
      <c r="G59" s="1"/>
      <c r="H59" s="53"/>
    </row>
    <row r="60" spans="1:8" ht="14.1" customHeight="1" x14ac:dyDescent="0.2">
      <c r="A60" s="1"/>
      <c r="B60" s="1"/>
      <c r="C60" s="2" t="s">
        <v>132</v>
      </c>
      <c r="D60" s="1"/>
      <c r="E60" s="1" t="s">
        <v>133</v>
      </c>
      <c r="F60" s="13">
        <v>0</v>
      </c>
      <c r="G60" s="14">
        <v>0</v>
      </c>
      <c r="H60" s="53"/>
    </row>
    <row r="61" spans="1:8" ht="14.1" customHeight="1" x14ac:dyDescent="0.2">
      <c r="A61" s="1"/>
      <c r="B61" s="1"/>
      <c r="C61" s="11"/>
      <c r="D61" s="1"/>
      <c r="E61" s="1"/>
      <c r="F61" s="12"/>
      <c r="G61" s="12"/>
      <c r="H61" s="53"/>
    </row>
    <row r="62" spans="1:8" ht="14.1" customHeight="1" x14ac:dyDescent="0.2">
      <c r="A62" s="1"/>
      <c r="B62" s="1"/>
      <c r="C62" s="2" t="s">
        <v>135</v>
      </c>
      <c r="D62" s="1"/>
      <c r="E62" s="1"/>
      <c r="F62" s="1"/>
      <c r="G62" s="1"/>
      <c r="H62" s="53"/>
    </row>
    <row r="63" spans="1:8" ht="17.100000000000001" customHeight="1" x14ac:dyDescent="0.2">
      <c r="A63" s="3">
        <v>51</v>
      </c>
      <c r="B63" s="4" t="s">
        <v>570</v>
      </c>
      <c r="C63" s="48" t="s">
        <v>961</v>
      </c>
      <c r="D63" s="4"/>
      <c r="E63" s="5">
        <v>50000</v>
      </c>
      <c r="F63" s="6">
        <v>5.2050000000000001</v>
      </c>
      <c r="G63" s="7">
        <v>1.41426E-4</v>
      </c>
      <c r="H63" s="53"/>
    </row>
    <row r="64" spans="1:8" ht="17.100000000000001" customHeight="1" x14ac:dyDescent="0.2">
      <c r="A64" s="3">
        <v>54</v>
      </c>
      <c r="B64" s="4" t="s">
        <v>573</v>
      </c>
      <c r="C64" s="48" t="s">
        <v>962</v>
      </c>
      <c r="D64" s="4"/>
      <c r="E64" s="5">
        <v>50000</v>
      </c>
      <c r="F64" s="6">
        <v>4.9999999999999998E-7</v>
      </c>
      <c r="G64" s="8" t="s">
        <v>131</v>
      </c>
      <c r="H64" s="53"/>
    </row>
    <row r="65" spans="1:8" ht="17.100000000000001" customHeight="1" x14ac:dyDescent="0.2">
      <c r="A65" s="3">
        <v>53</v>
      </c>
      <c r="B65" s="4" t="s">
        <v>572</v>
      </c>
      <c r="C65" s="48" t="s">
        <v>963</v>
      </c>
      <c r="D65" s="4"/>
      <c r="E65" s="5">
        <v>200000</v>
      </c>
      <c r="F65" s="6">
        <v>1.9999999999999999E-6</v>
      </c>
      <c r="G65" s="8" t="s">
        <v>131</v>
      </c>
      <c r="H65" s="53"/>
    </row>
    <row r="66" spans="1:8" ht="17.100000000000001" customHeight="1" x14ac:dyDescent="0.2">
      <c r="A66" s="3">
        <v>52</v>
      </c>
      <c r="B66" s="4" t="s">
        <v>571</v>
      </c>
      <c r="C66" s="48" t="s">
        <v>964</v>
      </c>
      <c r="D66" s="4"/>
      <c r="E66" s="5">
        <v>20</v>
      </c>
      <c r="F66" s="6">
        <v>0</v>
      </c>
      <c r="G66" s="8" t="s">
        <v>131</v>
      </c>
      <c r="H66" s="53"/>
    </row>
    <row r="67" spans="1:8" ht="14.1" customHeight="1" x14ac:dyDescent="0.2">
      <c r="A67" s="1"/>
      <c r="B67" s="1"/>
      <c r="C67" s="2" t="s">
        <v>132</v>
      </c>
      <c r="D67" s="1"/>
      <c r="E67" s="1" t="s">
        <v>133</v>
      </c>
      <c r="F67" s="13">
        <v>5.2050025</v>
      </c>
      <c r="G67" s="14">
        <v>1.41426E-4</v>
      </c>
      <c r="H67" s="53"/>
    </row>
    <row r="68" spans="1:8" ht="14.1" customHeight="1" x14ac:dyDescent="0.2">
      <c r="A68" s="1"/>
      <c r="B68" s="1"/>
      <c r="C68" s="11"/>
      <c r="D68" s="1"/>
      <c r="E68" s="1"/>
      <c r="F68" s="12"/>
      <c r="G68" s="12"/>
      <c r="H68" s="53"/>
    </row>
    <row r="69" spans="1:8" ht="14.1" customHeight="1" x14ac:dyDescent="0.2">
      <c r="A69" s="1"/>
      <c r="B69" s="1"/>
      <c r="C69" s="2" t="s">
        <v>136</v>
      </c>
      <c r="D69" s="1"/>
      <c r="E69" s="1"/>
      <c r="F69" s="1"/>
      <c r="G69" s="1"/>
      <c r="H69" s="53"/>
    </row>
    <row r="70" spans="1:8" ht="14.1" customHeight="1" x14ac:dyDescent="0.2">
      <c r="A70" s="1"/>
      <c r="B70" s="1"/>
      <c r="C70" s="2" t="s">
        <v>132</v>
      </c>
      <c r="D70" s="1"/>
      <c r="E70" s="1" t="s">
        <v>133</v>
      </c>
      <c r="F70" s="13">
        <v>0</v>
      </c>
      <c r="G70" s="14">
        <v>0</v>
      </c>
      <c r="H70" s="53"/>
    </row>
    <row r="71" spans="1:8" ht="14.1" customHeight="1" x14ac:dyDescent="0.2">
      <c r="A71" s="1"/>
      <c r="B71" s="1"/>
      <c r="C71" s="11"/>
      <c r="D71" s="1"/>
      <c r="E71" s="1"/>
      <c r="F71" s="12"/>
      <c r="G71" s="12"/>
      <c r="H71" s="53"/>
    </row>
    <row r="72" spans="1:8" ht="14.1" customHeight="1" x14ac:dyDescent="0.2">
      <c r="A72" s="1"/>
      <c r="B72" s="1"/>
      <c r="C72" s="2" t="s">
        <v>137</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4.1" customHeight="1" x14ac:dyDescent="0.2">
      <c r="A75" s="1"/>
      <c r="B75" s="1"/>
      <c r="C75" s="2" t="s">
        <v>138</v>
      </c>
      <c r="D75" s="1"/>
      <c r="E75" s="1"/>
      <c r="F75" s="12"/>
      <c r="G75" s="12"/>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8" customHeight="1" x14ac:dyDescent="0.2">
      <c r="A78" s="1"/>
      <c r="B78" s="1"/>
      <c r="C78" s="2" t="s">
        <v>139</v>
      </c>
      <c r="D78" s="1"/>
      <c r="E78" s="1"/>
      <c r="F78" s="9">
        <v>33952.965426499999</v>
      </c>
      <c r="G78" s="10">
        <v>0.92253906799999996</v>
      </c>
      <c r="H78" s="53"/>
    </row>
    <row r="79" spans="1:8" ht="14.1" customHeight="1" x14ac:dyDescent="0.2">
      <c r="A79" s="1"/>
      <c r="B79" s="1"/>
      <c r="C79" s="11"/>
      <c r="D79" s="1"/>
      <c r="E79" s="1"/>
      <c r="F79" s="12"/>
      <c r="G79" s="12"/>
      <c r="H79" s="53"/>
    </row>
    <row r="80" spans="1:8" ht="14.1" customHeight="1" x14ac:dyDescent="0.2">
      <c r="A80" s="1"/>
      <c r="B80" s="1"/>
      <c r="C80" s="2" t="s">
        <v>140</v>
      </c>
      <c r="D80" s="1"/>
      <c r="E80" s="1"/>
      <c r="F80" s="12"/>
      <c r="G80" s="12"/>
      <c r="H80" s="53"/>
    </row>
    <row r="81" spans="1:8" ht="24" customHeight="1" x14ac:dyDescent="0.2">
      <c r="A81" s="1"/>
      <c r="B81" s="1"/>
      <c r="C81" s="2" t="s">
        <v>10</v>
      </c>
      <c r="D81" s="1"/>
      <c r="E81" s="1"/>
      <c r="F81" s="12"/>
      <c r="G81" s="12"/>
      <c r="H81" s="53"/>
    </row>
    <row r="82" spans="1:8" ht="29.1" customHeight="1" x14ac:dyDescent="0.2">
      <c r="A82" s="3">
        <v>1</v>
      </c>
      <c r="B82" s="4" t="s">
        <v>574</v>
      </c>
      <c r="C82" s="4" t="s">
        <v>575</v>
      </c>
      <c r="D82" s="4" t="s">
        <v>576</v>
      </c>
      <c r="E82" s="5">
        <v>4200</v>
      </c>
      <c r="F82" s="6">
        <v>1.1842488</v>
      </c>
      <c r="G82" s="8" t="s">
        <v>131</v>
      </c>
      <c r="H82" s="53">
        <v>7.5949999999999998</v>
      </c>
    </row>
    <row r="83" spans="1:8" ht="14.1" customHeight="1" x14ac:dyDescent="0.2">
      <c r="A83" s="1"/>
      <c r="B83" s="1"/>
      <c r="C83" s="2" t="s">
        <v>132</v>
      </c>
      <c r="D83" s="1"/>
      <c r="E83" s="1" t="s">
        <v>133</v>
      </c>
      <c r="F83" s="9">
        <v>1.1842488</v>
      </c>
      <c r="G83" s="10">
        <v>3.2177E-5</v>
      </c>
      <c r="H83" s="53"/>
    </row>
    <row r="84" spans="1:8" ht="14.1" customHeight="1" x14ac:dyDescent="0.2">
      <c r="A84" s="1"/>
      <c r="B84" s="1"/>
      <c r="C84" s="11"/>
      <c r="D84" s="1"/>
      <c r="E84" s="1"/>
      <c r="F84" s="12"/>
      <c r="G84" s="12"/>
      <c r="H84" s="53"/>
    </row>
    <row r="85" spans="1:8" ht="14.1" customHeight="1" x14ac:dyDescent="0.2">
      <c r="A85" s="1"/>
      <c r="B85" s="1"/>
      <c r="C85" s="2" t="s">
        <v>141</v>
      </c>
      <c r="D85" s="1"/>
      <c r="E85" s="1"/>
      <c r="F85" s="1"/>
      <c r="G85" s="1"/>
      <c r="H85" s="53"/>
    </row>
    <row r="86" spans="1:8" ht="14.1" customHeight="1" x14ac:dyDescent="0.2">
      <c r="A86" s="1"/>
      <c r="B86" s="1"/>
      <c r="C86" s="2" t="s">
        <v>132</v>
      </c>
      <c r="D86" s="1"/>
      <c r="E86" s="1" t="s">
        <v>133</v>
      </c>
      <c r="F86" s="13">
        <v>0</v>
      </c>
      <c r="G86" s="14">
        <v>0</v>
      </c>
      <c r="H86" s="53"/>
    </row>
    <row r="87" spans="1:8" ht="14.1" customHeight="1" x14ac:dyDescent="0.2">
      <c r="A87" s="1"/>
      <c r="B87" s="1"/>
      <c r="C87" s="11"/>
      <c r="D87" s="1"/>
      <c r="E87" s="1"/>
      <c r="F87" s="12"/>
      <c r="G87" s="12"/>
      <c r="H87" s="53"/>
    </row>
    <row r="88" spans="1:8" ht="14.1" customHeight="1" x14ac:dyDescent="0.2">
      <c r="A88" s="1"/>
      <c r="B88" s="1"/>
      <c r="C88" s="2" t="s">
        <v>142</v>
      </c>
      <c r="D88" s="1"/>
      <c r="E88" s="1"/>
      <c r="F88" s="1"/>
      <c r="G88" s="1"/>
      <c r="H88" s="53"/>
    </row>
    <row r="89" spans="1:8" ht="14.1" customHeight="1" x14ac:dyDescent="0.2">
      <c r="A89" s="1"/>
      <c r="B89" s="1"/>
      <c r="C89" s="2" t="s">
        <v>132</v>
      </c>
      <c r="D89" s="1"/>
      <c r="E89" s="1" t="s">
        <v>133</v>
      </c>
      <c r="F89" s="13">
        <v>0</v>
      </c>
      <c r="G89" s="14">
        <v>0</v>
      </c>
      <c r="H89" s="53"/>
    </row>
    <row r="90" spans="1:8" ht="14.1" customHeight="1" x14ac:dyDescent="0.2">
      <c r="A90" s="1"/>
      <c r="B90" s="1"/>
      <c r="C90" s="11"/>
      <c r="D90" s="1"/>
      <c r="E90" s="1"/>
      <c r="F90" s="12"/>
      <c r="G90" s="12"/>
      <c r="H90" s="53"/>
    </row>
    <row r="91" spans="1:8" ht="14.1" customHeight="1" x14ac:dyDescent="0.2">
      <c r="A91" s="1"/>
      <c r="B91" s="1"/>
      <c r="C91" s="2" t="s">
        <v>143</v>
      </c>
      <c r="D91" s="1"/>
      <c r="E91" s="1"/>
      <c r="F91" s="12"/>
      <c r="G91" s="12"/>
      <c r="H91" s="53"/>
    </row>
    <row r="92" spans="1:8" ht="14.1" customHeight="1" x14ac:dyDescent="0.2">
      <c r="A92" s="1"/>
      <c r="B92" s="1"/>
      <c r="C92" s="2" t="s">
        <v>132</v>
      </c>
      <c r="D92" s="1"/>
      <c r="E92" s="1" t="s">
        <v>133</v>
      </c>
      <c r="F92" s="13">
        <v>0</v>
      </c>
      <c r="G92" s="14">
        <v>0</v>
      </c>
      <c r="H92" s="53"/>
    </row>
    <row r="93" spans="1:8" ht="14.1" customHeight="1" x14ac:dyDescent="0.2">
      <c r="A93" s="1"/>
      <c r="B93" s="1"/>
      <c r="C93" s="11"/>
      <c r="D93" s="1"/>
      <c r="E93" s="1"/>
      <c r="F93" s="12"/>
      <c r="G93" s="12"/>
      <c r="H93" s="53"/>
    </row>
    <row r="94" spans="1:8" ht="14.1" customHeight="1" x14ac:dyDescent="0.2">
      <c r="A94" s="1"/>
      <c r="B94" s="1"/>
      <c r="C94" s="2" t="s">
        <v>144</v>
      </c>
      <c r="D94" s="1"/>
      <c r="E94" s="1"/>
      <c r="F94" s="9">
        <v>1.1842488</v>
      </c>
      <c r="G94" s="10">
        <v>3.2177E-5</v>
      </c>
      <c r="H94" s="53"/>
    </row>
    <row r="95" spans="1:8" ht="14.1" customHeight="1" x14ac:dyDescent="0.2">
      <c r="A95" s="1"/>
      <c r="B95" s="1"/>
      <c r="C95" s="11"/>
      <c r="D95" s="1"/>
      <c r="E95" s="1"/>
      <c r="F95" s="12"/>
      <c r="G95" s="12"/>
      <c r="H95" s="53"/>
    </row>
    <row r="96" spans="1:8" ht="14.1" customHeight="1" x14ac:dyDescent="0.2">
      <c r="A96" s="1"/>
      <c r="B96" s="1"/>
      <c r="C96" s="2" t="s">
        <v>145</v>
      </c>
      <c r="D96" s="1"/>
      <c r="E96" s="1"/>
      <c r="F96" s="12"/>
      <c r="G96" s="12"/>
      <c r="H96" s="53"/>
    </row>
    <row r="97" spans="1:8" ht="14.1" customHeight="1" x14ac:dyDescent="0.2">
      <c r="A97" s="1"/>
      <c r="B97" s="1"/>
      <c r="C97" s="2" t="s">
        <v>146</v>
      </c>
      <c r="D97" s="1"/>
      <c r="E97" s="1"/>
      <c r="F97" s="12"/>
      <c r="G97" s="12"/>
      <c r="H97" s="53"/>
    </row>
    <row r="98" spans="1:8" ht="14.1" customHeight="1" x14ac:dyDescent="0.2">
      <c r="A98" s="1"/>
      <c r="B98" s="1"/>
      <c r="C98" s="2" t="s">
        <v>132</v>
      </c>
      <c r="D98" s="1"/>
      <c r="E98" s="1" t="s">
        <v>133</v>
      </c>
      <c r="F98" s="13">
        <v>0</v>
      </c>
      <c r="G98" s="14">
        <v>0</v>
      </c>
      <c r="H98" s="53"/>
    </row>
    <row r="99" spans="1:8" ht="14.1" customHeight="1" x14ac:dyDescent="0.2">
      <c r="A99" s="1"/>
      <c r="B99" s="1"/>
      <c r="C99" s="11"/>
      <c r="D99" s="1"/>
      <c r="E99" s="1"/>
      <c r="F99" s="12"/>
      <c r="G99" s="12"/>
      <c r="H99" s="53"/>
    </row>
    <row r="100" spans="1:8" ht="14.1" customHeight="1" x14ac:dyDescent="0.2">
      <c r="A100" s="1"/>
      <c r="B100" s="1"/>
      <c r="C100" s="2" t="s">
        <v>147</v>
      </c>
      <c r="D100" s="1"/>
      <c r="E100" s="1"/>
      <c r="F100" s="12"/>
      <c r="G100" s="12"/>
      <c r="H100" s="53"/>
    </row>
    <row r="101" spans="1:8" ht="14.1" customHeight="1" x14ac:dyDescent="0.2">
      <c r="A101" s="1"/>
      <c r="B101" s="1"/>
      <c r="C101" s="2" t="s">
        <v>132</v>
      </c>
      <c r="D101" s="1"/>
      <c r="E101" s="1" t="s">
        <v>133</v>
      </c>
      <c r="F101" s="13">
        <v>0</v>
      </c>
      <c r="G101" s="14">
        <v>0</v>
      </c>
      <c r="H101" s="53"/>
    </row>
    <row r="102" spans="1:8" ht="14.1" customHeight="1" x14ac:dyDescent="0.2">
      <c r="A102" s="1"/>
      <c r="B102" s="1"/>
      <c r="C102" s="11"/>
      <c r="D102" s="1"/>
      <c r="E102" s="1"/>
      <c r="F102" s="12"/>
      <c r="G102" s="12"/>
      <c r="H102" s="53"/>
    </row>
    <row r="103" spans="1:8" ht="14.1" customHeight="1" x14ac:dyDescent="0.2">
      <c r="A103" s="1"/>
      <c r="B103" s="1"/>
      <c r="C103" s="2" t="s">
        <v>148</v>
      </c>
      <c r="D103" s="1"/>
      <c r="E103" s="1"/>
      <c r="F103" s="12"/>
      <c r="G103" s="12"/>
      <c r="H103" s="53"/>
    </row>
    <row r="104" spans="1:8" ht="14.1" customHeight="1" x14ac:dyDescent="0.2">
      <c r="A104" s="1"/>
      <c r="B104" s="1"/>
      <c r="C104" s="2" t="s">
        <v>132</v>
      </c>
      <c r="D104" s="1"/>
      <c r="E104" s="1" t="s">
        <v>133</v>
      </c>
      <c r="F104" s="13">
        <v>0</v>
      </c>
      <c r="G104" s="14">
        <v>0</v>
      </c>
      <c r="H104" s="53"/>
    </row>
    <row r="105" spans="1:8" ht="14.1" customHeight="1" x14ac:dyDescent="0.2">
      <c r="A105" s="1"/>
      <c r="B105" s="1"/>
      <c r="C105" s="11"/>
      <c r="D105" s="1"/>
      <c r="E105" s="1"/>
      <c r="F105" s="12"/>
      <c r="G105" s="12"/>
      <c r="H105" s="53"/>
    </row>
    <row r="106" spans="1:8" ht="14.1" customHeight="1" x14ac:dyDescent="0.2">
      <c r="A106" s="1"/>
      <c r="B106" s="1"/>
      <c r="C106" s="2" t="s">
        <v>149</v>
      </c>
      <c r="D106" s="1"/>
      <c r="E106" s="1"/>
      <c r="F106" s="12"/>
      <c r="G106" s="12"/>
      <c r="H106" s="53"/>
    </row>
    <row r="107" spans="1:8" ht="17.100000000000001" customHeight="1" x14ac:dyDescent="0.2">
      <c r="A107" s="3">
        <v>1</v>
      </c>
      <c r="B107" s="4"/>
      <c r="C107" s="4" t="s">
        <v>150</v>
      </c>
      <c r="D107" s="4"/>
      <c r="E107" s="8"/>
      <c r="F107" s="6">
        <v>2933.2698393999999</v>
      </c>
      <c r="G107" s="7">
        <v>7.9700138000000004E-2</v>
      </c>
      <c r="H107" s="53">
        <v>6.46</v>
      </c>
    </row>
    <row r="108" spans="1:8" ht="14.1" customHeight="1" x14ac:dyDescent="0.2">
      <c r="A108" s="1"/>
      <c r="B108" s="1"/>
      <c r="C108" s="2" t="s">
        <v>132</v>
      </c>
      <c r="D108" s="1"/>
      <c r="E108" s="1" t="s">
        <v>133</v>
      </c>
      <c r="F108" s="9">
        <v>2933.2698393999999</v>
      </c>
      <c r="G108" s="10">
        <v>7.9700138000000004E-2</v>
      </c>
      <c r="H108" s="53"/>
    </row>
    <row r="109" spans="1:8" ht="14.1" customHeight="1" x14ac:dyDescent="0.2">
      <c r="A109" s="1"/>
      <c r="B109" s="1"/>
      <c r="C109" s="11"/>
      <c r="D109" s="1"/>
      <c r="E109" s="1"/>
      <c r="F109" s="12"/>
      <c r="G109" s="12"/>
      <c r="H109" s="53"/>
    </row>
    <row r="110" spans="1:8" ht="14.1" customHeight="1" x14ac:dyDescent="0.2">
      <c r="A110" s="1"/>
      <c r="B110" s="1"/>
      <c r="C110" s="2" t="s">
        <v>151</v>
      </c>
      <c r="D110" s="1"/>
      <c r="E110" s="1"/>
      <c r="F110" s="9">
        <v>2933.2698393999999</v>
      </c>
      <c r="G110" s="10">
        <v>7.9700138000000004E-2</v>
      </c>
      <c r="H110" s="53"/>
    </row>
    <row r="111" spans="1:8" ht="14.1" customHeight="1" x14ac:dyDescent="0.2">
      <c r="A111" s="1"/>
      <c r="B111" s="1"/>
      <c r="C111" s="12"/>
      <c r="D111" s="1"/>
      <c r="E111" s="1"/>
      <c r="F111" s="1"/>
      <c r="G111" s="1"/>
      <c r="H111" s="53"/>
    </row>
    <row r="112" spans="1:8" ht="14.1" customHeight="1" x14ac:dyDescent="0.2">
      <c r="A112" s="1"/>
      <c r="B112" s="1"/>
      <c r="C112" s="2" t="s">
        <v>152</v>
      </c>
      <c r="D112" s="1"/>
      <c r="E112" s="1"/>
      <c r="F112" s="1"/>
      <c r="G112" s="1"/>
      <c r="H112" s="53"/>
    </row>
    <row r="113" spans="1:14" ht="14.1" customHeight="1" x14ac:dyDescent="0.2">
      <c r="A113" s="1"/>
      <c r="B113" s="1"/>
      <c r="C113" s="2" t="s">
        <v>153</v>
      </c>
      <c r="D113" s="1"/>
      <c r="E113" s="1"/>
      <c r="F113" s="1"/>
      <c r="G113" s="1"/>
      <c r="H113" s="53"/>
    </row>
    <row r="114" spans="1:14" ht="14.1" customHeight="1" x14ac:dyDescent="0.2">
      <c r="A114" s="1"/>
      <c r="B114" s="1"/>
      <c r="C114" s="2" t="s">
        <v>132</v>
      </c>
      <c r="D114" s="1"/>
      <c r="E114" s="1" t="s">
        <v>133</v>
      </c>
      <c r="F114" s="13">
        <v>0</v>
      </c>
      <c r="G114" s="14">
        <v>0</v>
      </c>
      <c r="H114" s="53"/>
    </row>
    <row r="115" spans="1:14" ht="14.1" customHeight="1" x14ac:dyDescent="0.2">
      <c r="A115" s="1"/>
      <c r="B115" s="1"/>
      <c r="C115" s="11"/>
      <c r="D115" s="1"/>
      <c r="E115" s="1"/>
      <c r="F115" s="12"/>
      <c r="G115" s="12"/>
      <c r="H115" s="53"/>
    </row>
    <row r="116" spans="1:14" ht="14.1" customHeight="1" x14ac:dyDescent="0.2">
      <c r="A116" s="1"/>
      <c r="B116" s="1"/>
      <c r="C116" s="2" t="s">
        <v>154</v>
      </c>
      <c r="D116" s="1"/>
      <c r="E116" s="1"/>
      <c r="F116" s="1"/>
      <c r="G116" s="1"/>
      <c r="H116" s="53"/>
    </row>
    <row r="117" spans="1:14" ht="14.1" customHeight="1" x14ac:dyDescent="0.2">
      <c r="A117" s="1"/>
      <c r="B117" s="1"/>
      <c r="C117" s="2" t="s">
        <v>155</v>
      </c>
      <c r="D117" s="1"/>
      <c r="E117" s="1"/>
      <c r="F117" s="1"/>
      <c r="G117" s="1"/>
      <c r="H117" s="53"/>
    </row>
    <row r="118" spans="1:14" ht="14.1" customHeight="1" x14ac:dyDescent="0.2">
      <c r="A118" s="1"/>
      <c r="B118" s="1"/>
      <c r="C118" s="2" t="s">
        <v>132</v>
      </c>
      <c r="D118" s="1"/>
      <c r="E118" s="1" t="s">
        <v>133</v>
      </c>
      <c r="F118" s="13">
        <v>0</v>
      </c>
      <c r="G118" s="14">
        <v>0</v>
      </c>
      <c r="H118" s="53"/>
    </row>
    <row r="119" spans="1:14" ht="14.1" customHeight="1" x14ac:dyDescent="0.2">
      <c r="A119" s="1"/>
      <c r="B119" s="1"/>
      <c r="C119" s="11"/>
      <c r="D119" s="1"/>
      <c r="E119" s="1"/>
      <c r="F119" s="12"/>
      <c r="G119" s="12"/>
      <c r="H119" s="53"/>
    </row>
    <row r="120" spans="1:14" ht="14.1" customHeight="1" x14ac:dyDescent="0.2">
      <c r="A120" s="1"/>
      <c r="B120" s="1"/>
      <c r="C120" s="11"/>
      <c r="D120" s="1"/>
      <c r="E120" s="1"/>
      <c r="F120" s="12"/>
      <c r="G120" s="12"/>
      <c r="H120" s="53"/>
    </row>
    <row r="121" spans="1:14" ht="24" customHeight="1" x14ac:dyDescent="0.2">
      <c r="A121" s="1"/>
      <c r="B121" s="1"/>
      <c r="C121" s="2" t="s">
        <v>156</v>
      </c>
      <c r="D121" s="1"/>
      <c r="E121" s="1"/>
      <c r="F121" s="12"/>
      <c r="G121" s="12"/>
      <c r="H121" s="53"/>
      <c r="J121" s="80"/>
      <c r="K121" s="80"/>
      <c r="L121" s="80"/>
      <c r="M121" s="80"/>
      <c r="N121" s="80"/>
    </row>
    <row r="122" spans="1:14" ht="14.1" customHeight="1" x14ac:dyDescent="0.2">
      <c r="A122" s="1"/>
      <c r="B122" s="1"/>
      <c r="C122" s="2" t="s">
        <v>132</v>
      </c>
      <c r="D122" s="1"/>
      <c r="E122" s="1" t="s">
        <v>133</v>
      </c>
      <c r="F122" s="13">
        <v>0</v>
      </c>
      <c r="G122" s="14">
        <v>0</v>
      </c>
      <c r="H122" s="53"/>
    </row>
    <row r="123" spans="1:14" ht="14.1" customHeight="1" x14ac:dyDescent="0.2">
      <c r="A123" s="1"/>
      <c r="B123" s="1"/>
      <c r="C123" s="11"/>
      <c r="D123" s="1"/>
      <c r="E123" s="1"/>
      <c r="F123" s="12"/>
      <c r="G123" s="12"/>
      <c r="H123" s="53"/>
    </row>
    <row r="124" spans="1:14" ht="14.1" customHeight="1" x14ac:dyDescent="0.2">
      <c r="A124" s="1"/>
      <c r="B124" s="4"/>
      <c r="C124" s="4"/>
      <c r="D124" s="2"/>
      <c r="E124" s="1"/>
      <c r="F124" s="4"/>
      <c r="G124" s="8"/>
      <c r="H124" s="53"/>
    </row>
    <row r="125" spans="1:14" ht="18" customHeight="1" x14ac:dyDescent="0.2">
      <c r="A125" s="8"/>
      <c r="B125" s="4"/>
      <c r="C125" s="4" t="s">
        <v>869</v>
      </c>
      <c r="D125" s="4"/>
      <c r="E125" s="8"/>
      <c r="F125" s="6">
        <v>-83.595646279999997</v>
      </c>
      <c r="G125" s="7">
        <v>-2.2713849999999999E-3</v>
      </c>
      <c r="H125" s="53"/>
    </row>
    <row r="126" spans="1:14" ht="14.1" customHeight="1" x14ac:dyDescent="0.2">
      <c r="A126" s="11"/>
      <c r="B126" s="11"/>
      <c r="C126" s="2" t="s">
        <v>158</v>
      </c>
      <c r="D126" s="15"/>
      <c r="E126" s="15"/>
      <c r="F126" s="9">
        <v>36803.823868419997</v>
      </c>
      <c r="G126" s="10">
        <v>0.99999999799999995</v>
      </c>
      <c r="H126" s="53"/>
      <c r="I126" s="80"/>
    </row>
    <row r="127" spans="1:14" ht="14.1" customHeight="1" x14ac:dyDescent="0.2">
      <c r="A127" s="16"/>
      <c r="B127" s="16"/>
      <c r="C127" s="16"/>
      <c r="D127" s="17"/>
      <c r="E127" s="17"/>
      <c r="F127" s="17"/>
      <c r="G127" s="17"/>
    </row>
    <row r="128" spans="1:14" ht="17.100000000000001" customHeight="1" x14ac:dyDescent="0.2">
      <c r="A128" s="18"/>
      <c r="B128" s="292" t="s">
        <v>577</v>
      </c>
      <c r="C128" s="292"/>
      <c r="D128" s="292"/>
      <c r="E128" s="292"/>
      <c r="F128" s="292"/>
      <c r="G128" s="20"/>
    </row>
    <row r="129" spans="1:7" ht="17.100000000000001" customHeight="1" x14ac:dyDescent="0.2">
      <c r="A129" s="58"/>
      <c r="B129" s="324" t="s">
        <v>871</v>
      </c>
      <c r="C129" s="324"/>
      <c r="D129" s="324"/>
      <c r="E129" s="324"/>
      <c r="F129" s="324"/>
      <c r="G129" s="61"/>
    </row>
    <row r="130" spans="1:7" ht="17.100000000000001" customHeight="1" x14ac:dyDescent="0.2">
      <c r="A130" s="18"/>
      <c r="B130" s="292" t="s">
        <v>159</v>
      </c>
      <c r="C130" s="292"/>
      <c r="D130" s="292"/>
      <c r="E130" s="292"/>
      <c r="F130" s="292"/>
      <c r="G130" s="20"/>
    </row>
    <row r="131" spans="1:7" ht="14.1" customHeight="1" x14ac:dyDescent="0.2">
      <c r="A131" s="18"/>
      <c r="B131" s="18"/>
      <c r="C131" s="18"/>
      <c r="D131" s="20"/>
      <c r="E131" s="20"/>
      <c r="F131" s="20"/>
      <c r="G131" s="20"/>
    </row>
    <row r="132" spans="1:7" ht="14.1" customHeight="1" x14ac:dyDescent="0.2">
      <c r="A132" s="18"/>
      <c r="B132" s="293" t="s">
        <v>160</v>
      </c>
      <c r="C132" s="294"/>
      <c r="D132" s="12" t="s">
        <v>133</v>
      </c>
      <c r="E132" s="21"/>
      <c r="F132" s="20"/>
      <c r="G132" s="20"/>
    </row>
    <row r="133" spans="1:7" ht="29.1" customHeight="1" x14ac:dyDescent="0.2">
      <c r="A133" s="18"/>
      <c r="B133" s="290" t="s">
        <v>161</v>
      </c>
      <c r="C133" s="291"/>
      <c r="D133" s="59" t="s">
        <v>1038</v>
      </c>
      <c r="E133" s="21"/>
      <c r="F133" s="20"/>
      <c r="G133" s="20"/>
    </row>
    <row r="134" spans="1:7" ht="17.100000000000001" customHeight="1" x14ac:dyDescent="0.2">
      <c r="A134" s="58"/>
      <c r="B134" s="295" t="s">
        <v>956</v>
      </c>
      <c r="C134" s="296"/>
      <c r="D134" s="59" t="s">
        <v>965</v>
      </c>
      <c r="E134" s="60"/>
      <c r="F134" s="61"/>
      <c r="G134" s="61"/>
    </row>
    <row r="135" spans="1:7" ht="17.100000000000001" customHeight="1" x14ac:dyDescent="0.2">
      <c r="A135" s="18"/>
      <c r="B135" s="290" t="s">
        <v>164</v>
      </c>
      <c r="C135" s="291"/>
      <c r="D135" s="12" t="s">
        <v>133</v>
      </c>
      <c r="E135" s="21"/>
      <c r="F135" s="20"/>
      <c r="G135" s="20"/>
    </row>
    <row r="136" spans="1:7" ht="24" customHeight="1" x14ac:dyDescent="0.2">
      <c r="A136" s="22"/>
      <c r="B136" s="23" t="s">
        <v>133</v>
      </c>
      <c r="C136" s="23" t="s">
        <v>165</v>
      </c>
      <c r="D136" s="23" t="s">
        <v>166</v>
      </c>
      <c r="E136" s="22"/>
      <c r="F136" s="22"/>
      <c r="G136" s="22"/>
    </row>
    <row r="137" spans="1:7" ht="18" customHeight="1" x14ac:dyDescent="0.2">
      <c r="A137" s="22"/>
      <c r="B137" s="23" t="s">
        <v>167</v>
      </c>
      <c r="C137" s="23" t="s">
        <v>168</v>
      </c>
      <c r="D137" s="23" t="s">
        <v>169</v>
      </c>
      <c r="E137" s="22"/>
      <c r="F137" s="22"/>
      <c r="G137" s="22"/>
    </row>
    <row r="138" spans="1:7" ht="17.100000000000001" customHeight="1" x14ac:dyDescent="0.2">
      <c r="A138" s="22"/>
      <c r="B138" s="4" t="s">
        <v>170</v>
      </c>
      <c r="C138" s="24">
        <v>95.164299999999997</v>
      </c>
      <c r="D138" s="24">
        <v>92.303899999999999</v>
      </c>
      <c r="E138" s="22"/>
      <c r="F138" s="19"/>
      <c r="G138" s="25"/>
    </row>
    <row r="139" spans="1:7" ht="29.1" customHeight="1" x14ac:dyDescent="0.2">
      <c r="A139" s="22"/>
      <c r="B139" s="4" t="s">
        <v>1045</v>
      </c>
      <c r="C139" s="24">
        <v>50.810400000000001</v>
      </c>
      <c r="D139" s="24">
        <v>49.283099999999997</v>
      </c>
      <c r="E139" s="22"/>
      <c r="F139" s="19"/>
      <c r="G139" s="25"/>
    </row>
    <row r="140" spans="1:7" ht="17.100000000000001" customHeight="1" x14ac:dyDescent="0.2">
      <c r="A140" s="22"/>
      <c r="B140" s="4" t="s">
        <v>171</v>
      </c>
      <c r="C140" s="24">
        <v>90.159000000000006</v>
      </c>
      <c r="D140" s="24">
        <v>87.3339</v>
      </c>
      <c r="E140" s="22"/>
      <c r="F140" s="19"/>
      <c r="G140" s="25"/>
    </row>
    <row r="141" spans="1:7" ht="29.1" customHeight="1" x14ac:dyDescent="0.2">
      <c r="A141" s="22"/>
      <c r="B141" s="4" t="s">
        <v>1046</v>
      </c>
      <c r="C141" s="24">
        <v>31.3858</v>
      </c>
      <c r="D141" s="24">
        <v>30.4024</v>
      </c>
      <c r="E141" s="22"/>
      <c r="F141" s="19"/>
      <c r="G141" s="25"/>
    </row>
    <row r="142" spans="1:7" ht="14.1" customHeight="1" x14ac:dyDescent="0.2">
      <c r="A142" s="22"/>
      <c r="B142" s="22"/>
      <c r="C142" s="22"/>
      <c r="D142" s="22"/>
      <c r="E142" s="22"/>
      <c r="F142" s="22"/>
      <c r="G142" s="22"/>
    </row>
    <row r="143" spans="1:7" ht="17.100000000000001" customHeight="1" x14ac:dyDescent="0.2">
      <c r="A143" s="22"/>
      <c r="B143" s="290" t="s">
        <v>1044</v>
      </c>
      <c r="C143" s="291"/>
      <c r="D143" s="2" t="s">
        <v>162</v>
      </c>
      <c r="E143" s="22"/>
      <c r="F143" s="22"/>
      <c r="G143" s="22"/>
    </row>
    <row r="144" spans="1:7" ht="18" customHeight="1" x14ac:dyDescent="0.2">
      <c r="A144" s="22"/>
      <c r="B144" s="26"/>
      <c r="C144" s="26"/>
      <c r="D144" s="27"/>
      <c r="E144" s="22"/>
      <c r="F144" s="22"/>
      <c r="G144" s="22"/>
    </row>
    <row r="145" spans="1:7" ht="29.1" customHeight="1" x14ac:dyDescent="0.2">
      <c r="A145" s="22"/>
      <c r="B145" s="290" t="s">
        <v>172</v>
      </c>
      <c r="C145" s="291"/>
      <c r="D145" s="2" t="s">
        <v>162</v>
      </c>
      <c r="E145" s="22"/>
      <c r="F145" s="22"/>
      <c r="G145" s="22"/>
    </row>
    <row r="146" spans="1:7" ht="29.1" customHeight="1" x14ac:dyDescent="0.2">
      <c r="A146" s="22"/>
      <c r="B146" s="290" t="s">
        <v>173</v>
      </c>
      <c r="C146" s="291"/>
      <c r="D146" s="2" t="s">
        <v>162</v>
      </c>
      <c r="E146" s="22"/>
      <c r="F146" s="22"/>
      <c r="G146" s="22"/>
    </row>
    <row r="147" spans="1:7" ht="17.100000000000001" customHeight="1" x14ac:dyDescent="0.2">
      <c r="A147" s="22"/>
      <c r="B147" s="290" t="s">
        <v>174</v>
      </c>
      <c r="C147" s="291"/>
      <c r="D147" s="28">
        <v>0.31761925418322595</v>
      </c>
      <c r="E147" s="22"/>
      <c r="F147" s="19"/>
      <c r="G147" s="25"/>
    </row>
    <row r="148" spans="1:7" ht="17.100000000000001" customHeight="1" x14ac:dyDescent="0.2">
      <c r="A148" s="22"/>
      <c r="B148" s="290" t="s">
        <v>175</v>
      </c>
      <c r="C148" s="291"/>
      <c r="D148" s="2" t="s">
        <v>162</v>
      </c>
      <c r="E148" s="22"/>
      <c r="F148" s="22"/>
      <c r="G148" s="22"/>
    </row>
    <row r="150" spans="1:7" x14ac:dyDescent="0.2">
      <c r="B150" s="160" t="s">
        <v>1041</v>
      </c>
      <c r="C150" s="160"/>
      <c r="D150" s="160"/>
      <c r="E150" s="163"/>
      <c r="F150" s="164"/>
    </row>
    <row r="151" spans="1:7" ht="38.25" x14ac:dyDescent="0.2">
      <c r="B151" s="165" t="s">
        <v>1015</v>
      </c>
      <c r="C151" s="166" t="s">
        <v>1016</v>
      </c>
      <c r="D151" s="166" t="s">
        <v>1017</v>
      </c>
      <c r="E151" s="166" t="s">
        <v>1018</v>
      </c>
      <c r="F151" s="166" t="s">
        <v>1019</v>
      </c>
    </row>
    <row r="152" spans="1:7" ht="25.5" x14ac:dyDescent="0.2">
      <c r="B152" s="167" t="s">
        <v>1035</v>
      </c>
      <c r="C152" s="168" t="s">
        <v>1036</v>
      </c>
      <c r="D152" s="169">
        <v>0</v>
      </c>
      <c r="E152" s="170">
        <v>0</v>
      </c>
      <c r="F152" s="171">
        <v>241.97234</v>
      </c>
    </row>
    <row r="153" spans="1:7" ht="25.5" x14ac:dyDescent="0.2">
      <c r="B153" s="167" t="s">
        <v>1037</v>
      </c>
      <c r="C153" s="168" t="s">
        <v>1036</v>
      </c>
      <c r="D153" s="169">
        <v>0</v>
      </c>
      <c r="E153" s="170">
        <v>0</v>
      </c>
      <c r="F153" s="171">
        <v>23.186299999999999</v>
      </c>
    </row>
  </sheetData>
  <mergeCells count="16">
    <mergeCell ref="B147:C147"/>
    <mergeCell ref="B148:C148"/>
    <mergeCell ref="B133:C133"/>
    <mergeCell ref="B134:C134"/>
    <mergeCell ref="B135:C135"/>
    <mergeCell ref="B143:C143"/>
    <mergeCell ref="B145:C145"/>
    <mergeCell ref="B146:C146"/>
    <mergeCell ref="A1:H1"/>
    <mergeCell ref="A2:H2"/>
    <mergeCell ref="A3:H3"/>
    <mergeCell ref="J2:N2"/>
    <mergeCell ref="B132:C132"/>
    <mergeCell ref="B128:F128"/>
    <mergeCell ref="B130:F130"/>
    <mergeCell ref="B129:F129"/>
  </mergeCells>
  <hyperlinks>
    <hyperlink ref="I1" location="Index!B26" display="Index" xr:uid="{848BB99E-DE45-4EB2-A5F7-2AA43ABE900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O20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5703125" bestFit="1"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1059</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1159</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266</v>
      </c>
      <c r="C7" s="4" t="s">
        <v>267</v>
      </c>
      <c r="D7" s="4" t="s">
        <v>19</v>
      </c>
      <c r="E7" s="5">
        <v>208423</v>
      </c>
      <c r="F7" s="6">
        <v>3393.4390745000001</v>
      </c>
      <c r="G7" s="7">
        <v>8.0300335E-2</v>
      </c>
      <c r="H7" s="53"/>
    </row>
    <row r="8" spans="1:14" ht="17.100000000000001" customHeight="1" x14ac:dyDescent="0.2">
      <c r="A8" s="3">
        <v>2</v>
      </c>
      <c r="B8" s="4" t="s">
        <v>17</v>
      </c>
      <c r="C8" s="4" t="s">
        <v>18</v>
      </c>
      <c r="D8" s="4" t="s">
        <v>19</v>
      </c>
      <c r="E8" s="5">
        <v>313700</v>
      </c>
      <c r="F8" s="6">
        <v>2794.59645</v>
      </c>
      <c r="G8" s="7">
        <v>6.6129677999999997E-2</v>
      </c>
      <c r="H8" s="53"/>
    </row>
    <row r="9" spans="1:14" ht="17.100000000000001" customHeight="1" x14ac:dyDescent="0.2">
      <c r="A9" s="3">
        <v>3</v>
      </c>
      <c r="B9" s="4" t="s">
        <v>291</v>
      </c>
      <c r="C9" s="4" t="s">
        <v>292</v>
      </c>
      <c r="D9" s="4" t="s">
        <v>900</v>
      </c>
      <c r="E9" s="5">
        <v>116100</v>
      </c>
      <c r="F9" s="6">
        <v>1751.0201999999999</v>
      </c>
      <c r="G9" s="7">
        <v>4.1435106999999999E-2</v>
      </c>
      <c r="H9" s="53"/>
    </row>
    <row r="10" spans="1:14" ht="17.100000000000001" customHeight="1" x14ac:dyDescent="0.2">
      <c r="A10" s="3">
        <v>4</v>
      </c>
      <c r="B10" s="4" t="s">
        <v>323</v>
      </c>
      <c r="C10" s="4" t="s">
        <v>324</v>
      </c>
      <c r="D10" s="4" t="s">
        <v>900</v>
      </c>
      <c r="E10" s="5">
        <v>132600</v>
      </c>
      <c r="F10" s="6">
        <v>1347.7464</v>
      </c>
      <c r="G10" s="7">
        <v>3.1892273999999998E-2</v>
      </c>
      <c r="H10" s="53"/>
    </row>
    <row r="11" spans="1:14" ht="53.1" customHeight="1" x14ac:dyDescent="0.2">
      <c r="A11" s="3">
        <v>5</v>
      </c>
      <c r="B11" s="4" t="s">
        <v>46</v>
      </c>
      <c r="C11" s="4" t="s">
        <v>47</v>
      </c>
      <c r="D11" s="4" t="s">
        <v>48</v>
      </c>
      <c r="E11" s="5">
        <v>918500</v>
      </c>
      <c r="F11" s="6">
        <v>1317.1289999999999</v>
      </c>
      <c r="G11" s="7">
        <v>3.1167762000000002E-2</v>
      </c>
      <c r="H11" s="53"/>
      <c r="J11" s="188" t="s">
        <v>1091</v>
      </c>
      <c r="K11" s="196"/>
      <c r="L11" s="196"/>
      <c r="M11" s="196"/>
      <c r="N11" s="196"/>
    </row>
    <row r="12" spans="1:14" ht="17.100000000000001" customHeight="1" x14ac:dyDescent="0.2">
      <c r="A12" s="3">
        <v>6</v>
      </c>
      <c r="B12" s="4" t="s">
        <v>29</v>
      </c>
      <c r="C12" s="4" t="s">
        <v>30</v>
      </c>
      <c r="D12" s="4" t="s">
        <v>19</v>
      </c>
      <c r="E12" s="5">
        <v>204500</v>
      </c>
      <c r="F12" s="6">
        <v>1255.0165</v>
      </c>
      <c r="G12" s="7">
        <v>2.9697968000000002E-2</v>
      </c>
      <c r="H12" s="53"/>
    </row>
    <row r="13" spans="1:14" ht="29.1" customHeight="1" x14ac:dyDescent="0.2">
      <c r="A13" s="3">
        <v>7</v>
      </c>
      <c r="B13" s="4" t="s">
        <v>293</v>
      </c>
      <c r="C13" s="4" t="s">
        <v>294</v>
      </c>
      <c r="D13" s="4" t="s">
        <v>119</v>
      </c>
      <c r="E13" s="5">
        <v>47100</v>
      </c>
      <c r="F13" s="6">
        <v>1242.3096</v>
      </c>
      <c r="G13" s="7">
        <v>2.9397280000000001E-2</v>
      </c>
      <c r="H13" s="53"/>
    </row>
    <row r="14" spans="1:14" ht="17.100000000000001" customHeight="1" x14ac:dyDescent="0.2">
      <c r="A14" s="3">
        <v>8</v>
      </c>
      <c r="B14" s="4" t="s">
        <v>303</v>
      </c>
      <c r="C14" s="4" t="s">
        <v>304</v>
      </c>
      <c r="D14" s="4" t="s">
        <v>305</v>
      </c>
      <c r="E14" s="5">
        <v>48458</v>
      </c>
      <c r="F14" s="6">
        <v>1241.0336090000001</v>
      </c>
      <c r="G14" s="7">
        <v>2.9367085000000001E-2</v>
      </c>
      <c r="H14" s="53"/>
    </row>
    <row r="15" spans="1:14" ht="17.100000000000001" customHeight="1" x14ac:dyDescent="0.2">
      <c r="A15" s="3">
        <v>9</v>
      </c>
      <c r="B15" s="4" t="s">
        <v>181</v>
      </c>
      <c r="C15" s="4" t="s">
        <v>182</v>
      </c>
      <c r="D15" s="4" t="s">
        <v>19</v>
      </c>
      <c r="E15" s="5">
        <v>121365</v>
      </c>
      <c r="F15" s="6">
        <v>1133.2456875</v>
      </c>
      <c r="G15" s="7">
        <v>2.6816455999999999E-2</v>
      </c>
      <c r="H15" s="53"/>
    </row>
    <row r="16" spans="1:14" ht="17.100000000000001" customHeight="1" x14ac:dyDescent="0.2">
      <c r="A16" s="3">
        <v>10</v>
      </c>
      <c r="B16" s="4" t="s">
        <v>342</v>
      </c>
      <c r="C16" s="4" t="s">
        <v>343</v>
      </c>
      <c r="D16" s="4" t="s">
        <v>119</v>
      </c>
      <c r="E16" s="5">
        <v>13125</v>
      </c>
      <c r="F16" s="6">
        <v>862.995</v>
      </c>
      <c r="G16" s="7">
        <v>2.0421403000000001E-2</v>
      </c>
      <c r="H16" s="53"/>
    </row>
    <row r="17" spans="1:14" ht="17.100000000000001" customHeight="1" x14ac:dyDescent="0.2">
      <c r="A17" s="3">
        <v>11</v>
      </c>
      <c r="B17" s="4" t="s">
        <v>70</v>
      </c>
      <c r="C17" s="4" t="s">
        <v>71</v>
      </c>
      <c r="D17" s="4" t="s">
        <v>72</v>
      </c>
      <c r="E17" s="5">
        <v>10000</v>
      </c>
      <c r="F17" s="6">
        <v>839.46</v>
      </c>
      <c r="G17" s="7">
        <v>1.9864485000000001E-2</v>
      </c>
      <c r="H17" s="53"/>
    </row>
    <row r="18" spans="1:14" ht="17.100000000000001" customHeight="1" x14ac:dyDescent="0.2">
      <c r="A18" s="3">
        <v>12</v>
      </c>
      <c r="B18" s="4" t="s">
        <v>499</v>
      </c>
      <c r="C18" s="4" t="s">
        <v>500</v>
      </c>
      <c r="D18" s="4" t="s">
        <v>320</v>
      </c>
      <c r="E18" s="5">
        <v>15000</v>
      </c>
      <c r="F18" s="6">
        <v>687.88499999999999</v>
      </c>
      <c r="G18" s="7">
        <v>1.6277704E-2</v>
      </c>
      <c r="H18" s="53"/>
    </row>
    <row r="19" spans="1:14" ht="17.100000000000001" customHeight="1" x14ac:dyDescent="0.2">
      <c r="A19" s="3">
        <v>13</v>
      </c>
      <c r="B19" s="4" t="s">
        <v>336</v>
      </c>
      <c r="C19" s="4" t="s">
        <v>337</v>
      </c>
      <c r="D19" s="4" t="s">
        <v>19</v>
      </c>
      <c r="E19" s="5">
        <v>191000</v>
      </c>
      <c r="F19" s="6">
        <v>636.60299999999995</v>
      </c>
      <c r="G19" s="7">
        <v>1.5064197E-2</v>
      </c>
      <c r="H19" s="53"/>
    </row>
    <row r="20" spans="1:14" ht="17.100000000000001" customHeight="1" x14ac:dyDescent="0.2">
      <c r="A20" s="3">
        <v>14</v>
      </c>
      <c r="B20" s="4" t="s">
        <v>579</v>
      </c>
      <c r="C20" s="4" t="s">
        <v>580</v>
      </c>
      <c r="D20" s="4" t="s">
        <v>320</v>
      </c>
      <c r="E20" s="5">
        <v>182240</v>
      </c>
      <c r="F20" s="6">
        <v>627.81679999999994</v>
      </c>
      <c r="G20" s="7">
        <v>1.4856285E-2</v>
      </c>
      <c r="H20" s="53"/>
    </row>
    <row r="21" spans="1:14" ht="17.100000000000001" customHeight="1" x14ac:dyDescent="0.2">
      <c r="A21" s="3">
        <v>15</v>
      </c>
      <c r="B21" s="4" t="s">
        <v>327</v>
      </c>
      <c r="C21" s="4" t="s">
        <v>328</v>
      </c>
      <c r="D21" s="4" t="s">
        <v>19</v>
      </c>
      <c r="E21" s="5">
        <v>50000</v>
      </c>
      <c r="F21" s="6">
        <v>610.04999999999995</v>
      </c>
      <c r="G21" s="7">
        <v>1.4435862000000001E-2</v>
      </c>
      <c r="H21" s="53"/>
    </row>
    <row r="22" spans="1:14" ht="17.100000000000001" customHeight="1" x14ac:dyDescent="0.2">
      <c r="A22" s="3">
        <v>16</v>
      </c>
      <c r="B22" s="4" t="s">
        <v>108</v>
      </c>
      <c r="C22" s="4" t="s">
        <v>109</v>
      </c>
      <c r="D22" s="4" t="s">
        <v>40</v>
      </c>
      <c r="E22" s="5">
        <v>30000</v>
      </c>
      <c r="F22" s="6">
        <v>602.30999999999995</v>
      </c>
      <c r="G22" s="7">
        <v>1.4252707999999999E-2</v>
      </c>
      <c r="H22" s="53"/>
    </row>
    <row r="23" spans="1:14" ht="17.100000000000001" customHeight="1" x14ac:dyDescent="0.2">
      <c r="A23" s="3">
        <v>17</v>
      </c>
      <c r="B23" s="4" t="s">
        <v>75</v>
      </c>
      <c r="C23" s="4" t="s">
        <v>76</v>
      </c>
      <c r="D23" s="4" t="s">
        <v>45</v>
      </c>
      <c r="E23" s="5">
        <v>220555</v>
      </c>
      <c r="F23" s="6">
        <v>573.99438750000002</v>
      </c>
      <c r="G23" s="7">
        <v>1.3582664E-2</v>
      </c>
      <c r="H23" s="53"/>
    </row>
    <row r="24" spans="1:14" ht="17.100000000000001" customHeight="1" x14ac:dyDescent="0.2">
      <c r="A24" s="3">
        <v>18</v>
      </c>
      <c r="B24" s="4" t="s">
        <v>54</v>
      </c>
      <c r="C24" s="4" t="s">
        <v>55</v>
      </c>
      <c r="D24" s="4" t="s">
        <v>33</v>
      </c>
      <c r="E24" s="5">
        <v>22000</v>
      </c>
      <c r="F24" s="6">
        <v>565.202</v>
      </c>
      <c r="G24" s="7">
        <v>1.3374606000000001E-2</v>
      </c>
      <c r="H24" s="53"/>
    </row>
    <row r="25" spans="1:14" ht="17.100000000000001" customHeight="1" x14ac:dyDescent="0.2">
      <c r="A25" s="3">
        <v>19</v>
      </c>
      <c r="B25" s="4" t="s">
        <v>177</v>
      </c>
      <c r="C25" s="4" t="s">
        <v>178</v>
      </c>
      <c r="D25" s="4" t="s">
        <v>19</v>
      </c>
      <c r="E25" s="5">
        <v>400000</v>
      </c>
      <c r="F25" s="6">
        <v>556.20000000000005</v>
      </c>
      <c r="G25" s="7">
        <v>1.3161588E-2</v>
      </c>
      <c r="H25" s="53"/>
    </row>
    <row r="26" spans="1:14" ht="17.100000000000001" customHeight="1" x14ac:dyDescent="0.2">
      <c r="A26" s="3">
        <v>20</v>
      </c>
      <c r="B26" s="4" t="s">
        <v>513</v>
      </c>
      <c r="C26" s="48" t="s">
        <v>981</v>
      </c>
      <c r="D26" s="4" t="s">
        <v>72</v>
      </c>
      <c r="E26" s="5">
        <v>260000</v>
      </c>
      <c r="F26" s="6">
        <v>534.69000000000005</v>
      </c>
      <c r="G26" s="7">
        <v>1.2652587999999999E-2</v>
      </c>
      <c r="H26" s="53"/>
    </row>
    <row r="27" spans="1:14" ht="29.1" customHeight="1" x14ac:dyDescent="0.2">
      <c r="A27" s="3">
        <v>21</v>
      </c>
      <c r="B27" s="4" t="s">
        <v>117</v>
      </c>
      <c r="C27" s="4" t="s">
        <v>118</v>
      </c>
      <c r="D27" s="4" t="s">
        <v>119</v>
      </c>
      <c r="E27" s="5">
        <v>67000</v>
      </c>
      <c r="F27" s="6">
        <v>484.34300000000002</v>
      </c>
      <c r="G27" s="7">
        <v>1.1461206E-2</v>
      </c>
      <c r="H27" s="53"/>
    </row>
    <row r="28" spans="1:14" ht="17.100000000000001" customHeight="1" x14ac:dyDescent="0.2">
      <c r="A28" s="3">
        <v>22</v>
      </c>
      <c r="B28" s="4" t="s">
        <v>20</v>
      </c>
      <c r="C28" s="4" t="s">
        <v>21</v>
      </c>
      <c r="D28" s="4" t="s">
        <v>22</v>
      </c>
      <c r="E28" s="5">
        <v>19000</v>
      </c>
      <c r="F28" s="6">
        <v>483.96800000000002</v>
      </c>
      <c r="G28" s="7">
        <v>1.1452333E-2</v>
      </c>
      <c r="H28" s="53"/>
    </row>
    <row r="29" spans="1:14" ht="17.100000000000001" customHeight="1" x14ac:dyDescent="0.2">
      <c r="A29" s="3">
        <v>23</v>
      </c>
      <c r="B29" s="4" t="s">
        <v>297</v>
      </c>
      <c r="C29" s="4" t="s">
        <v>298</v>
      </c>
      <c r="D29" s="4" t="s">
        <v>900</v>
      </c>
      <c r="E29" s="5">
        <v>14050</v>
      </c>
      <c r="F29" s="6">
        <v>457.56635</v>
      </c>
      <c r="G29" s="7">
        <v>1.082758E-2</v>
      </c>
      <c r="H29" s="53"/>
    </row>
    <row r="30" spans="1:14" ht="17.100000000000001" customHeight="1" x14ac:dyDescent="0.2">
      <c r="A30" s="3">
        <v>24</v>
      </c>
      <c r="B30" s="4" t="s">
        <v>325</v>
      </c>
      <c r="C30" s="4" t="s">
        <v>326</v>
      </c>
      <c r="D30" s="4" t="s">
        <v>219</v>
      </c>
      <c r="E30" s="5">
        <v>401500</v>
      </c>
      <c r="F30" s="6">
        <v>452.28975000000003</v>
      </c>
      <c r="G30" s="7">
        <v>1.0702717E-2</v>
      </c>
      <c r="H30" s="53"/>
    </row>
    <row r="31" spans="1:14" ht="17.100000000000001" customHeight="1" x14ac:dyDescent="0.2">
      <c r="A31" s="3">
        <v>25</v>
      </c>
      <c r="B31" s="4" t="s">
        <v>97</v>
      </c>
      <c r="C31" s="4" t="s">
        <v>98</v>
      </c>
      <c r="D31" s="4" t="s">
        <v>96</v>
      </c>
      <c r="E31" s="5">
        <v>48000</v>
      </c>
      <c r="F31" s="6">
        <v>416.61599999999999</v>
      </c>
      <c r="G31" s="7">
        <v>9.8585549999999997E-3</v>
      </c>
      <c r="H31" s="53"/>
      <c r="J31" s="196"/>
      <c r="K31" s="196"/>
      <c r="L31" s="196"/>
      <c r="M31" s="196"/>
      <c r="N31" s="196"/>
    </row>
    <row r="32" spans="1:14" ht="53.1" customHeight="1" x14ac:dyDescent="0.2">
      <c r="A32" s="3">
        <v>26</v>
      </c>
      <c r="B32" s="4" t="s">
        <v>90</v>
      </c>
      <c r="C32" s="4" t="s">
        <v>91</v>
      </c>
      <c r="D32" s="4" t="s">
        <v>48</v>
      </c>
      <c r="E32" s="5">
        <v>26000</v>
      </c>
      <c r="F32" s="6">
        <v>381.75799999999998</v>
      </c>
      <c r="G32" s="7">
        <v>9.0336960000000008E-3</v>
      </c>
      <c r="H32" s="53"/>
    </row>
    <row r="33" spans="1:8" ht="17.100000000000001" customHeight="1" x14ac:dyDescent="0.2">
      <c r="A33" s="3">
        <v>27</v>
      </c>
      <c r="B33" s="4" t="s">
        <v>581</v>
      </c>
      <c r="C33" s="4" t="s">
        <v>582</v>
      </c>
      <c r="D33" s="4" t="s">
        <v>190</v>
      </c>
      <c r="E33" s="5">
        <v>430000</v>
      </c>
      <c r="F33" s="6">
        <v>370.44499999999999</v>
      </c>
      <c r="G33" s="7">
        <v>8.7659910000000008E-3</v>
      </c>
      <c r="H33" s="53"/>
    </row>
    <row r="34" spans="1:8" ht="17.100000000000001" customHeight="1" x14ac:dyDescent="0.2">
      <c r="A34" s="3">
        <v>28</v>
      </c>
      <c r="B34" s="4" t="s">
        <v>246</v>
      </c>
      <c r="C34" s="4" t="s">
        <v>247</v>
      </c>
      <c r="D34" s="4" t="s">
        <v>248</v>
      </c>
      <c r="E34" s="5">
        <v>53000</v>
      </c>
      <c r="F34" s="6">
        <v>359.07499999999999</v>
      </c>
      <c r="G34" s="7">
        <v>8.4969380000000008E-3</v>
      </c>
      <c r="H34" s="53"/>
    </row>
    <row r="35" spans="1:8" ht="17.100000000000001" customHeight="1" x14ac:dyDescent="0.2">
      <c r="A35" s="3">
        <v>29</v>
      </c>
      <c r="B35" s="4" t="s">
        <v>583</v>
      </c>
      <c r="C35" s="4" t="s">
        <v>584</v>
      </c>
      <c r="D35" s="4" t="s">
        <v>187</v>
      </c>
      <c r="E35" s="5">
        <v>40000</v>
      </c>
      <c r="F35" s="6">
        <v>351.02</v>
      </c>
      <c r="G35" s="7">
        <v>8.3063300000000007E-3</v>
      </c>
      <c r="H35" s="53"/>
    </row>
    <row r="36" spans="1:8" ht="29.1" customHeight="1" x14ac:dyDescent="0.2">
      <c r="A36" s="3">
        <v>30</v>
      </c>
      <c r="B36" s="4" t="s">
        <v>23</v>
      </c>
      <c r="C36" s="4" t="s">
        <v>24</v>
      </c>
      <c r="D36" s="4" t="s">
        <v>25</v>
      </c>
      <c r="E36" s="5">
        <v>5000</v>
      </c>
      <c r="F36" s="6">
        <v>347.95249999999999</v>
      </c>
      <c r="G36" s="7">
        <v>8.2337420000000005E-3</v>
      </c>
      <c r="H36" s="53"/>
    </row>
    <row r="37" spans="1:8" ht="17.100000000000001" customHeight="1" x14ac:dyDescent="0.2">
      <c r="A37" s="3">
        <v>31</v>
      </c>
      <c r="B37" s="4" t="s">
        <v>238</v>
      </c>
      <c r="C37" s="4" t="s">
        <v>239</v>
      </c>
      <c r="D37" s="4" t="s">
        <v>237</v>
      </c>
      <c r="E37" s="5">
        <v>120000</v>
      </c>
      <c r="F37" s="6">
        <v>343.32</v>
      </c>
      <c r="G37" s="7">
        <v>8.1241209999999998E-3</v>
      </c>
      <c r="H37" s="53"/>
    </row>
    <row r="38" spans="1:8" ht="29.1" customHeight="1" x14ac:dyDescent="0.2">
      <c r="A38" s="3">
        <v>32</v>
      </c>
      <c r="B38" s="4" t="s">
        <v>191</v>
      </c>
      <c r="C38" s="4" t="s">
        <v>192</v>
      </c>
      <c r="D38" s="4" t="s">
        <v>116</v>
      </c>
      <c r="E38" s="5">
        <v>93000</v>
      </c>
      <c r="F38" s="6">
        <v>312.89850000000001</v>
      </c>
      <c r="G38" s="7">
        <v>7.4042450000000003E-3</v>
      </c>
      <c r="H38" s="53"/>
    </row>
    <row r="39" spans="1:8" ht="29.1" customHeight="1" x14ac:dyDescent="0.2">
      <c r="A39" s="3">
        <v>33</v>
      </c>
      <c r="B39" s="4" t="s">
        <v>585</v>
      </c>
      <c r="C39" s="4" t="s">
        <v>586</v>
      </c>
      <c r="D39" s="4" t="s">
        <v>199</v>
      </c>
      <c r="E39" s="5">
        <v>20000</v>
      </c>
      <c r="F39" s="6">
        <v>298.01</v>
      </c>
      <c r="G39" s="7">
        <v>7.0519320000000003E-3</v>
      </c>
      <c r="H39" s="53"/>
    </row>
    <row r="40" spans="1:8" ht="17.100000000000001" customHeight="1" x14ac:dyDescent="0.2">
      <c r="A40" s="3">
        <v>34</v>
      </c>
      <c r="B40" s="4" t="s">
        <v>587</v>
      </c>
      <c r="C40" s="4" t="s">
        <v>588</v>
      </c>
      <c r="D40" s="4" t="s">
        <v>589</v>
      </c>
      <c r="E40" s="5">
        <v>96000</v>
      </c>
      <c r="F40" s="6">
        <v>296.06400000000002</v>
      </c>
      <c r="G40" s="7">
        <v>7.0058830000000001E-3</v>
      </c>
      <c r="H40" s="53"/>
    </row>
    <row r="41" spans="1:8" ht="17.100000000000001" customHeight="1" x14ac:dyDescent="0.2">
      <c r="A41" s="3">
        <v>35</v>
      </c>
      <c r="B41" s="4" t="s">
        <v>11</v>
      </c>
      <c r="C41" s="4" t="s">
        <v>12</v>
      </c>
      <c r="D41" s="4" t="s">
        <v>13</v>
      </c>
      <c r="E41" s="5">
        <v>13950</v>
      </c>
      <c r="F41" s="6">
        <v>290.96910000000003</v>
      </c>
      <c r="G41" s="7">
        <v>6.8853209999999998E-3</v>
      </c>
      <c r="H41" s="53"/>
    </row>
    <row r="42" spans="1:8" ht="17.100000000000001" customHeight="1" x14ac:dyDescent="0.2">
      <c r="A42" s="3">
        <v>36</v>
      </c>
      <c r="B42" s="4" t="s">
        <v>222</v>
      </c>
      <c r="C42" s="4" t="s">
        <v>223</v>
      </c>
      <c r="D42" s="4" t="s">
        <v>224</v>
      </c>
      <c r="E42" s="5">
        <v>55785</v>
      </c>
      <c r="F42" s="6">
        <v>285.08924250000001</v>
      </c>
      <c r="G42" s="7">
        <v>6.7461830000000002E-3</v>
      </c>
      <c r="H42" s="53"/>
    </row>
    <row r="43" spans="1:8" ht="17.100000000000001" customHeight="1" x14ac:dyDescent="0.2">
      <c r="A43" s="3">
        <v>37</v>
      </c>
      <c r="B43" s="4" t="s">
        <v>520</v>
      </c>
      <c r="C43" s="4" t="s">
        <v>521</v>
      </c>
      <c r="D43" s="4" t="s">
        <v>900</v>
      </c>
      <c r="E43" s="5">
        <v>24014</v>
      </c>
      <c r="F43" s="6">
        <v>249.87767700000001</v>
      </c>
      <c r="G43" s="7">
        <v>5.9129580000000003E-3</v>
      </c>
      <c r="H43" s="53"/>
    </row>
    <row r="44" spans="1:8" ht="17.100000000000001" customHeight="1" x14ac:dyDescent="0.2">
      <c r="A44" s="3">
        <v>38</v>
      </c>
      <c r="B44" s="4" t="s">
        <v>112</v>
      </c>
      <c r="C44" s="4" t="s">
        <v>113</v>
      </c>
      <c r="D44" s="4" t="s">
        <v>87</v>
      </c>
      <c r="E44" s="5">
        <v>58539</v>
      </c>
      <c r="F44" s="6">
        <v>245.57110499999999</v>
      </c>
      <c r="G44" s="7">
        <v>5.8110490000000004E-3</v>
      </c>
      <c r="H44" s="53"/>
    </row>
    <row r="45" spans="1:8" ht="17.100000000000001" customHeight="1" x14ac:dyDescent="0.2">
      <c r="A45" s="3">
        <v>39</v>
      </c>
      <c r="B45" s="4" t="s">
        <v>179</v>
      </c>
      <c r="C45" s="4" t="s">
        <v>180</v>
      </c>
      <c r="D45" s="4" t="s">
        <v>19</v>
      </c>
      <c r="E45" s="5">
        <v>128700</v>
      </c>
      <c r="F45" s="6">
        <v>238.99590000000001</v>
      </c>
      <c r="G45" s="7">
        <v>5.6554580000000004E-3</v>
      </c>
      <c r="H45" s="53"/>
    </row>
    <row r="46" spans="1:8" ht="29.1" customHeight="1" x14ac:dyDescent="0.2">
      <c r="A46" s="3">
        <v>40</v>
      </c>
      <c r="B46" s="4" t="s">
        <v>299</v>
      </c>
      <c r="C46" s="4" t="s">
        <v>300</v>
      </c>
      <c r="D46" s="4" t="s">
        <v>227</v>
      </c>
      <c r="E46" s="5">
        <v>23742</v>
      </c>
      <c r="F46" s="6">
        <v>237.752388</v>
      </c>
      <c r="G46" s="7">
        <v>5.6260320000000004E-3</v>
      </c>
      <c r="H46" s="53"/>
    </row>
    <row r="47" spans="1:8" ht="17.100000000000001" customHeight="1" x14ac:dyDescent="0.2">
      <c r="A47" s="3">
        <v>41</v>
      </c>
      <c r="B47" s="4" t="s">
        <v>530</v>
      </c>
      <c r="C47" s="4" t="s">
        <v>531</v>
      </c>
      <c r="D47" s="4" t="s">
        <v>87</v>
      </c>
      <c r="E47" s="5">
        <v>70000</v>
      </c>
      <c r="F47" s="6">
        <v>209.47499999999999</v>
      </c>
      <c r="G47" s="7">
        <v>4.9568930000000004E-3</v>
      </c>
      <c r="H47" s="53"/>
    </row>
    <row r="48" spans="1:8" ht="17.100000000000001" customHeight="1" x14ac:dyDescent="0.2">
      <c r="A48" s="3">
        <v>42</v>
      </c>
      <c r="B48" s="4" t="s">
        <v>518</v>
      </c>
      <c r="C48" s="4" t="s">
        <v>519</v>
      </c>
      <c r="D48" s="4" t="s">
        <v>72</v>
      </c>
      <c r="E48" s="5">
        <v>14930</v>
      </c>
      <c r="F48" s="6">
        <v>206.9298</v>
      </c>
      <c r="G48" s="7">
        <v>4.8966640000000002E-3</v>
      </c>
      <c r="H48" s="53"/>
    </row>
    <row r="49" spans="1:8" ht="17.100000000000001" customHeight="1" x14ac:dyDescent="0.2">
      <c r="A49" s="3">
        <v>43</v>
      </c>
      <c r="B49" s="4" t="s">
        <v>542</v>
      </c>
      <c r="C49" s="4" t="s">
        <v>543</v>
      </c>
      <c r="D49" s="4" t="s">
        <v>116</v>
      </c>
      <c r="E49" s="5">
        <v>6600</v>
      </c>
      <c r="F49" s="6">
        <v>203.8014</v>
      </c>
      <c r="G49" s="7">
        <v>4.8226359999999999E-3</v>
      </c>
      <c r="H49" s="53"/>
    </row>
    <row r="50" spans="1:8" ht="17.100000000000001" customHeight="1" x14ac:dyDescent="0.2">
      <c r="A50" s="3">
        <v>44</v>
      </c>
      <c r="B50" s="4" t="s">
        <v>261</v>
      </c>
      <c r="C50" s="4" t="s">
        <v>262</v>
      </c>
      <c r="D50" s="4" t="s">
        <v>119</v>
      </c>
      <c r="E50" s="5">
        <v>13000</v>
      </c>
      <c r="F50" s="6">
        <v>201.22049999999999</v>
      </c>
      <c r="G50" s="7">
        <v>4.7615629999999999E-3</v>
      </c>
      <c r="H50" s="53"/>
    </row>
    <row r="51" spans="1:8" ht="17.100000000000001" customHeight="1" x14ac:dyDescent="0.2">
      <c r="A51" s="3">
        <v>45</v>
      </c>
      <c r="B51" s="4" t="s">
        <v>259</v>
      </c>
      <c r="C51" s="4" t="s">
        <v>260</v>
      </c>
      <c r="D51" s="4" t="s">
        <v>116</v>
      </c>
      <c r="E51" s="5">
        <v>21793</v>
      </c>
      <c r="F51" s="6">
        <v>192.541155</v>
      </c>
      <c r="G51" s="7">
        <v>4.55618E-3</v>
      </c>
      <c r="H51" s="53"/>
    </row>
    <row r="52" spans="1:8" ht="29.1" customHeight="1" x14ac:dyDescent="0.2">
      <c r="A52" s="3">
        <v>46</v>
      </c>
      <c r="B52" s="4" t="s">
        <v>590</v>
      </c>
      <c r="C52" s="4" t="s">
        <v>591</v>
      </c>
      <c r="D52" s="4" t="s">
        <v>248</v>
      </c>
      <c r="E52" s="5">
        <v>15000</v>
      </c>
      <c r="F52" s="6">
        <v>185.52</v>
      </c>
      <c r="G52" s="7">
        <v>4.3900359999999999E-3</v>
      </c>
      <c r="H52" s="53"/>
    </row>
    <row r="53" spans="1:8" ht="17.100000000000001" customHeight="1" x14ac:dyDescent="0.2">
      <c r="A53" s="3">
        <v>47</v>
      </c>
      <c r="B53" s="4" t="s">
        <v>354</v>
      </c>
      <c r="C53" s="4" t="s">
        <v>355</v>
      </c>
      <c r="D53" s="4" t="s">
        <v>116</v>
      </c>
      <c r="E53" s="5">
        <v>7125</v>
      </c>
      <c r="F53" s="6">
        <v>185.07187500000001</v>
      </c>
      <c r="G53" s="7">
        <v>4.3794309999999996E-3</v>
      </c>
      <c r="H53" s="53"/>
    </row>
    <row r="54" spans="1:8" ht="29.1" customHeight="1" x14ac:dyDescent="0.2">
      <c r="A54" s="3">
        <v>48</v>
      </c>
      <c r="B54" s="4" t="s">
        <v>485</v>
      </c>
      <c r="C54" s="4" t="s">
        <v>486</v>
      </c>
      <c r="D54" s="4" t="s">
        <v>430</v>
      </c>
      <c r="E54" s="5">
        <v>21600</v>
      </c>
      <c r="F54" s="6">
        <v>165.66120000000001</v>
      </c>
      <c r="G54" s="7">
        <v>3.9201089999999997E-3</v>
      </c>
      <c r="H54" s="53"/>
    </row>
    <row r="55" spans="1:8" ht="17.100000000000001" customHeight="1" x14ac:dyDescent="0.2">
      <c r="A55" s="3">
        <v>49</v>
      </c>
      <c r="B55" s="4" t="s">
        <v>43</v>
      </c>
      <c r="C55" s="4" t="s">
        <v>44</v>
      </c>
      <c r="D55" s="4" t="s">
        <v>45</v>
      </c>
      <c r="E55" s="5">
        <v>5785</v>
      </c>
      <c r="F55" s="6">
        <v>155.21154999999999</v>
      </c>
      <c r="G55" s="7">
        <v>3.6728339999999998E-3</v>
      </c>
      <c r="H55" s="53"/>
    </row>
    <row r="56" spans="1:8" ht="17.100000000000001" customHeight="1" x14ac:dyDescent="0.2">
      <c r="A56" s="3">
        <v>50</v>
      </c>
      <c r="B56" s="4" t="s">
        <v>592</v>
      </c>
      <c r="C56" s="4" t="s">
        <v>593</v>
      </c>
      <c r="D56" s="4" t="s">
        <v>248</v>
      </c>
      <c r="E56" s="5">
        <v>26400</v>
      </c>
      <c r="F56" s="6">
        <v>149.49</v>
      </c>
      <c r="G56" s="7">
        <v>3.5374429999999999E-3</v>
      </c>
      <c r="H56" s="53"/>
    </row>
    <row r="57" spans="1:8" ht="17.100000000000001" customHeight="1" x14ac:dyDescent="0.2">
      <c r="A57" s="3">
        <v>51</v>
      </c>
      <c r="B57" s="4" t="s">
        <v>210</v>
      </c>
      <c r="C57" s="4" t="s">
        <v>211</v>
      </c>
      <c r="D57" s="4" t="s">
        <v>212</v>
      </c>
      <c r="E57" s="5">
        <v>325</v>
      </c>
      <c r="F57" s="6">
        <v>139.21927500000001</v>
      </c>
      <c r="G57" s="7">
        <v>3.294403E-3</v>
      </c>
      <c r="H57" s="53"/>
    </row>
    <row r="58" spans="1:8" ht="17.100000000000001" customHeight="1" x14ac:dyDescent="0.2">
      <c r="A58" s="3">
        <v>52</v>
      </c>
      <c r="B58" s="4" t="s">
        <v>594</v>
      </c>
      <c r="C58" s="4" t="s">
        <v>595</v>
      </c>
      <c r="D58" s="4" t="s">
        <v>265</v>
      </c>
      <c r="E58" s="5">
        <v>9000</v>
      </c>
      <c r="F58" s="6">
        <v>135.61199999999999</v>
      </c>
      <c r="G58" s="7">
        <v>3.2090420000000001E-3</v>
      </c>
      <c r="H58" s="53"/>
    </row>
    <row r="59" spans="1:8" ht="17.100000000000001" customHeight="1" x14ac:dyDescent="0.2">
      <c r="A59" s="3">
        <v>53</v>
      </c>
      <c r="B59" s="4" t="s">
        <v>540</v>
      </c>
      <c r="C59" s="4" t="s">
        <v>541</v>
      </c>
      <c r="D59" s="4" t="s">
        <v>190</v>
      </c>
      <c r="E59" s="5">
        <v>9417</v>
      </c>
      <c r="F59" s="6">
        <v>126.008877</v>
      </c>
      <c r="G59" s="7">
        <v>2.9818000000000002E-3</v>
      </c>
      <c r="H59" s="53"/>
    </row>
    <row r="60" spans="1:8" ht="17.100000000000001" customHeight="1" x14ac:dyDescent="0.2">
      <c r="A60" s="3">
        <v>54</v>
      </c>
      <c r="B60" s="4" t="s">
        <v>268</v>
      </c>
      <c r="C60" s="4" t="s">
        <v>269</v>
      </c>
      <c r="D60" s="4" t="s">
        <v>87</v>
      </c>
      <c r="E60" s="5">
        <v>21946</v>
      </c>
      <c r="F60" s="6">
        <v>114.382552</v>
      </c>
      <c r="G60" s="7">
        <v>2.7066809999999998E-3</v>
      </c>
      <c r="H60" s="53"/>
    </row>
    <row r="61" spans="1:8" ht="17.100000000000001" customHeight="1" x14ac:dyDescent="0.2">
      <c r="A61" s="3">
        <v>55</v>
      </c>
      <c r="B61" s="4" t="s">
        <v>306</v>
      </c>
      <c r="C61" s="4" t="s">
        <v>307</v>
      </c>
      <c r="D61" s="4" t="s">
        <v>72</v>
      </c>
      <c r="E61" s="5">
        <v>8400</v>
      </c>
      <c r="F61" s="6">
        <v>104.9328</v>
      </c>
      <c r="G61" s="7">
        <v>2.4830680000000002E-3</v>
      </c>
      <c r="H61" s="53"/>
    </row>
    <row r="62" spans="1:8" ht="17.100000000000001" customHeight="1" x14ac:dyDescent="0.2">
      <c r="A62" s="3">
        <v>56</v>
      </c>
      <c r="B62" s="4" t="s">
        <v>127</v>
      </c>
      <c r="C62" s="4" t="s">
        <v>128</v>
      </c>
      <c r="D62" s="4" t="s">
        <v>119</v>
      </c>
      <c r="E62" s="5">
        <v>26000</v>
      </c>
      <c r="F62" s="6">
        <v>58.840600000000002</v>
      </c>
      <c r="G62" s="7">
        <v>1.3923690000000001E-3</v>
      </c>
      <c r="H62" s="53"/>
    </row>
    <row r="63" spans="1:8" ht="29.1" customHeight="1" x14ac:dyDescent="0.2">
      <c r="A63" s="3">
        <v>57</v>
      </c>
      <c r="B63" s="4" t="s">
        <v>344</v>
      </c>
      <c r="C63" s="4" t="s">
        <v>345</v>
      </c>
      <c r="D63" s="4" t="s">
        <v>227</v>
      </c>
      <c r="E63" s="5">
        <v>1650</v>
      </c>
      <c r="F63" s="6">
        <v>56.317799999999998</v>
      </c>
      <c r="G63" s="7">
        <v>1.3326709999999999E-3</v>
      </c>
      <c r="H63" s="53"/>
    </row>
    <row r="64" spans="1:8" ht="29.1" customHeight="1" x14ac:dyDescent="0.2">
      <c r="A64" s="3">
        <v>58</v>
      </c>
      <c r="B64" s="4" t="s">
        <v>81</v>
      </c>
      <c r="C64" s="4" t="s">
        <v>82</v>
      </c>
      <c r="D64" s="4" t="s">
        <v>25</v>
      </c>
      <c r="E64" s="5">
        <v>9000</v>
      </c>
      <c r="F64" s="6">
        <v>47.168999999999997</v>
      </c>
      <c r="G64" s="7">
        <v>1.1161789999999999E-3</v>
      </c>
      <c r="H64" s="53"/>
    </row>
    <row r="65" spans="1:8" ht="17.100000000000001" customHeight="1" x14ac:dyDescent="0.2">
      <c r="A65" s="3">
        <v>59</v>
      </c>
      <c r="B65" s="4" t="s">
        <v>283</v>
      </c>
      <c r="C65" s="4" t="s">
        <v>284</v>
      </c>
      <c r="D65" s="4" t="s">
        <v>22</v>
      </c>
      <c r="E65" s="5">
        <v>10800</v>
      </c>
      <c r="F65" s="6">
        <v>25.3962</v>
      </c>
      <c r="G65" s="7">
        <v>6.0096100000000001E-4</v>
      </c>
      <c r="H65" s="53"/>
    </row>
    <row r="66" spans="1:8" ht="14.1" customHeight="1" x14ac:dyDescent="0.2">
      <c r="A66" s="1"/>
      <c r="B66" s="1"/>
      <c r="C66" s="2" t="s">
        <v>132</v>
      </c>
      <c r="D66" s="1"/>
      <c r="E66" s="1" t="s">
        <v>133</v>
      </c>
      <c r="F66" s="9">
        <v>32139.125805</v>
      </c>
      <c r="G66" s="10">
        <v>0.76052126799999997</v>
      </c>
      <c r="H66" s="53"/>
    </row>
    <row r="67" spans="1:8" ht="14.1" customHeight="1" x14ac:dyDescent="0.2">
      <c r="A67" s="1"/>
      <c r="B67" s="1"/>
      <c r="C67" s="11"/>
      <c r="D67" s="1"/>
      <c r="E67" s="1"/>
      <c r="F67" s="12"/>
      <c r="G67" s="12"/>
      <c r="H67" s="53"/>
    </row>
    <row r="68" spans="1:8" ht="14.1" customHeight="1" x14ac:dyDescent="0.2">
      <c r="A68" s="1"/>
      <c r="B68" s="1"/>
      <c r="C68" s="2" t="s">
        <v>134</v>
      </c>
      <c r="D68" s="1"/>
      <c r="E68" s="1"/>
      <c r="F68" s="1"/>
      <c r="G68" s="1"/>
      <c r="H68" s="53"/>
    </row>
    <row r="69" spans="1:8" ht="14.1" customHeight="1" x14ac:dyDescent="0.2">
      <c r="A69" s="1"/>
      <c r="B69" s="1"/>
      <c r="C69" s="2" t="s">
        <v>132</v>
      </c>
      <c r="D69" s="1"/>
      <c r="E69" s="1" t="s">
        <v>133</v>
      </c>
      <c r="F69" s="13">
        <v>0</v>
      </c>
      <c r="G69" s="14">
        <v>0</v>
      </c>
      <c r="H69" s="53"/>
    </row>
    <row r="70" spans="1:8" ht="14.1" customHeight="1" x14ac:dyDescent="0.2">
      <c r="A70" s="1"/>
      <c r="B70" s="1"/>
      <c r="C70" s="11"/>
      <c r="D70" s="1"/>
      <c r="E70" s="1"/>
      <c r="F70" s="12"/>
      <c r="G70" s="12"/>
      <c r="H70" s="53"/>
    </row>
    <row r="71" spans="1:8" ht="14.1" customHeight="1" x14ac:dyDescent="0.2">
      <c r="A71" s="1"/>
      <c r="B71" s="1"/>
      <c r="C71" s="2" t="s">
        <v>135</v>
      </c>
      <c r="D71" s="1"/>
      <c r="E71" s="1"/>
      <c r="F71" s="1"/>
      <c r="G71" s="1"/>
      <c r="H71" s="53"/>
    </row>
    <row r="72" spans="1:8" ht="14.1" customHeight="1" x14ac:dyDescent="0.2">
      <c r="A72" s="1"/>
      <c r="B72" s="1"/>
      <c r="C72" s="2" t="s">
        <v>132</v>
      </c>
      <c r="D72" s="1"/>
      <c r="E72" s="1" t="s">
        <v>133</v>
      </c>
      <c r="F72" s="13">
        <v>0</v>
      </c>
      <c r="G72" s="14">
        <v>0</v>
      </c>
      <c r="H72" s="53"/>
    </row>
    <row r="73" spans="1:8" ht="14.1" customHeight="1" x14ac:dyDescent="0.2">
      <c r="A73" s="1"/>
      <c r="B73" s="1"/>
      <c r="C73" s="11"/>
      <c r="D73" s="1"/>
      <c r="E73" s="1"/>
      <c r="F73" s="12"/>
      <c r="G73" s="12"/>
      <c r="H73" s="53"/>
    </row>
    <row r="74" spans="1:8" ht="14.1" customHeight="1" x14ac:dyDescent="0.2">
      <c r="A74" s="1"/>
      <c r="B74" s="1"/>
      <c r="C74" s="2" t="s">
        <v>136</v>
      </c>
      <c r="D74" s="1"/>
      <c r="E74" s="1"/>
      <c r="F74" s="1"/>
      <c r="G74" s="1"/>
      <c r="H74" s="53"/>
    </row>
    <row r="75" spans="1:8" ht="14.1" customHeight="1" x14ac:dyDescent="0.2">
      <c r="A75" s="1"/>
      <c r="B75" s="1"/>
      <c r="C75" s="2" t="s">
        <v>132</v>
      </c>
      <c r="D75" s="1"/>
      <c r="E75" s="1" t="s">
        <v>133</v>
      </c>
      <c r="F75" s="13">
        <v>0</v>
      </c>
      <c r="G75" s="14">
        <v>0</v>
      </c>
      <c r="H75" s="53"/>
    </row>
    <row r="76" spans="1:8" ht="14.1" customHeight="1" x14ac:dyDescent="0.2">
      <c r="A76" s="1"/>
      <c r="B76" s="1"/>
      <c r="C76" s="11"/>
      <c r="D76" s="1"/>
      <c r="E76" s="1"/>
      <c r="F76" s="12"/>
      <c r="G76" s="12"/>
      <c r="H76" s="53"/>
    </row>
    <row r="77" spans="1:8" ht="14.1" customHeight="1" x14ac:dyDescent="0.2">
      <c r="A77" s="1"/>
      <c r="B77" s="1"/>
      <c r="C77" s="2" t="s">
        <v>137</v>
      </c>
      <c r="D77" s="1"/>
      <c r="E77" s="1"/>
      <c r="F77" s="12"/>
      <c r="G77" s="12"/>
      <c r="H77" s="53"/>
    </row>
    <row r="78" spans="1:8" ht="14.1" customHeight="1" x14ac:dyDescent="0.2">
      <c r="A78" s="1"/>
      <c r="B78" s="1"/>
      <c r="C78" s="2" t="s">
        <v>132</v>
      </c>
      <c r="D78" s="1"/>
      <c r="E78" s="1" t="s">
        <v>133</v>
      </c>
      <c r="F78" s="13">
        <v>0</v>
      </c>
      <c r="G78" s="14">
        <v>0</v>
      </c>
      <c r="H78" s="53"/>
    </row>
    <row r="79" spans="1:8" ht="14.1" customHeight="1" x14ac:dyDescent="0.2">
      <c r="A79" s="1"/>
      <c r="B79" s="1"/>
      <c r="C79" s="11"/>
      <c r="D79" s="1"/>
      <c r="E79" s="1"/>
      <c r="F79" s="12"/>
      <c r="G79" s="12"/>
      <c r="H79" s="53"/>
    </row>
    <row r="80" spans="1:8" ht="14.1" customHeight="1" x14ac:dyDescent="0.2">
      <c r="A80" s="1"/>
      <c r="B80" s="1"/>
      <c r="C80" s="2" t="s">
        <v>138</v>
      </c>
      <c r="D80" s="1"/>
      <c r="E80" s="1"/>
      <c r="F80" s="12"/>
      <c r="G80" s="12"/>
      <c r="H80" s="53"/>
    </row>
    <row r="81" spans="1:8" ht="25.5" x14ac:dyDescent="0.2">
      <c r="A81" s="3">
        <v>1</v>
      </c>
      <c r="B81" s="4"/>
      <c r="C81" s="4" t="s">
        <v>934</v>
      </c>
      <c r="D81" s="4" t="s">
        <v>550</v>
      </c>
      <c r="E81" s="5">
        <v>-10800</v>
      </c>
      <c r="F81" s="6">
        <v>-25.493400000000001</v>
      </c>
      <c r="G81" s="7">
        <v>-6.0325999999999999E-4</v>
      </c>
      <c r="H81" s="53"/>
    </row>
    <row r="82" spans="1:8" ht="17.100000000000001" customHeight="1" x14ac:dyDescent="0.2">
      <c r="A82" s="3">
        <v>2</v>
      </c>
      <c r="B82" s="4"/>
      <c r="C82" s="4" t="s">
        <v>914</v>
      </c>
      <c r="D82" s="4" t="s">
        <v>550</v>
      </c>
      <c r="E82" s="5">
        <v>-9000</v>
      </c>
      <c r="F82" s="6">
        <v>-47.502000000000002</v>
      </c>
      <c r="G82" s="7">
        <v>-1.1240600000000001E-3</v>
      </c>
      <c r="H82" s="53"/>
    </row>
    <row r="83" spans="1:8" ht="17.100000000000001" customHeight="1" x14ac:dyDescent="0.2">
      <c r="A83" s="3">
        <v>3</v>
      </c>
      <c r="B83" s="4"/>
      <c r="C83" s="4" t="s">
        <v>935</v>
      </c>
      <c r="D83" s="4" t="s">
        <v>550</v>
      </c>
      <c r="E83" s="5">
        <v>-1650</v>
      </c>
      <c r="F83" s="6">
        <v>-56.551274999999997</v>
      </c>
      <c r="G83" s="7">
        <v>-1.3381999999999999E-3</v>
      </c>
      <c r="H83" s="53"/>
    </row>
    <row r="84" spans="1:8" ht="17.100000000000001" customHeight="1" x14ac:dyDescent="0.2">
      <c r="A84" s="3">
        <v>4</v>
      </c>
      <c r="B84" s="4"/>
      <c r="C84" s="4" t="s">
        <v>936</v>
      </c>
      <c r="D84" s="4" t="s">
        <v>550</v>
      </c>
      <c r="E84" s="5">
        <v>-8400</v>
      </c>
      <c r="F84" s="6">
        <v>-105.2814</v>
      </c>
      <c r="G84" s="7">
        <v>-2.49132E-3</v>
      </c>
      <c r="H84" s="53"/>
    </row>
    <row r="85" spans="1:8" ht="25.5" x14ac:dyDescent="0.2">
      <c r="A85" s="3">
        <v>5</v>
      </c>
      <c r="B85" s="4"/>
      <c r="C85" s="4" t="s">
        <v>929</v>
      </c>
      <c r="D85" s="4" t="s">
        <v>550</v>
      </c>
      <c r="E85" s="5">
        <v>-26400</v>
      </c>
      <c r="F85" s="6">
        <v>-150.5196</v>
      </c>
      <c r="G85" s="7">
        <v>-3.5618100000000003E-3</v>
      </c>
      <c r="H85" s="53"/>
    </row>
    <row r="86" spans="1:8" ht="25.5" x14ac:dyDescent="0.2">
      <c r="A86" s="3">
        <v>6</v>
      </c>
      <c r="B86" s="4"/>
      <c r="C86" s="4" t="s">
        <v>937</v>
      </c>
      <c r="D86" s="4" t="s">
        <v>550</v>
      </c>
      <c r="E86" s="5">
        <v>-21600</v>
      </c>
      <c r="F86" s="6">
        <v>-166.5684</v>
      </c>
      <c r="G86" s="7">
        <v>-3.9415800000000001E-3</v>
      </c>
      <c r="H86" s="53"/>
    </row>
    <row r="87" spans="1:8" ht="17.100000000000001" customHeight="1" x14ac:dyDescent="0.2">
      <c r="A87" s="3">
        <v>7</v>
      </c>
      <c r="B87" s="4"/>
      <c r="C87" s="4" t="s">
        <v>938</v>
      </c>
      <c r="D87" s="4" t="s">
        <v>550</v>
      </c>
      <c r="E87" s="5">
        <v>-7125</v>
      </c>
      <c r="F87" s="6">
        <v>-186.0088125</v>
      </c>
      <c r="G87" s="7">
        <v>-4.4016000000000003E-3</v>
      </c>
      <c r="H87" s="53"/>
    </row>
    <row r="88" spans="1:8" ht="17.100000000000001" customHeight="1" x14ac:dyDescent="0.2">
      <c r="A88" s="3">
        <v>8</v>
      </c>
      <c r="B88" s="4"/>
      <c r="C88" s="4" t="s">
        <v>915</v>
      </c>
      <c r="D88" s="4" t="s">
        <v>550</v>
      </c>
      <c r="E88" s="5">
        <v>-6600</v>
      </c>
      <c r="F88" s="6">
        <v>-204.73859999999999</v>
      </c>
      <c r="G88" s="7">
        <v>-4.8448099999999997E-3</v>
      </c>
      <c r="H88" s="53"/>
    </row>
    <row r="89" spans="1:8" ht="17.100000000000001" customHeight="1" x14ac:dyDescent="0.2">
      <c r="A89" s="3">
        <v>9</v>
      </c>
      <c r="B89" s="4"/>
      <c r="C89" s="4" t="s">
        <v>939</v>
      </c>
      <c r="D89" s="4" t="s">
        <v>550</v>
      </c>
      <c r="E89" s="5">
        <v>-37500</v>
      </c>
      <c r="F89" s="6">
        <v>-231.39375000000001</v>
      </c>
      <c r="G89" s="7">
        <v>-5.4755699999999999E-3</v>
      </c>
      <c r="H89" s="53"/>
    </row>
    <row r="90" spans="1:8" ht="17.100000000000001" customHeight="1" x14ac:dyDescent="0.2">
      <c r="A90" s="3">
        <v>10</v>
      </c>
      <c r="B90" s="4"/>
      <c r="C90" s="4" t="s">
        <v>940</v>
      </c>
      <c r="D90" s="4" t="s">
        <v>550</v>
      </c>
      <c r="E90" s="5">
        <v>-128700</v>
      </c>
      <c r="F90" s="6">
        <v>-240.21854999999999</v>
      </c>
      <c r="G90" s="7">
        <v>-5.6843900000000001E-3</v>
      </c>
      <c r="H90" s="53"/>
    </row>
    <row r="91" spans="1:8" ht="25.5" x14ac:dyDescent="0.2">
      <c r="A91" s="3">
        <v>11</v>
      </c>
      <c r="B91" s="4"/>
      <c r="C91" s="4" t="s">
        <v>941</v>
      </c>
      <c r="D91" s="4" t="s">
        <v>550</v>
      </c>
      <c r="E91" s="5">
        <v>-8050</v>
      </c>
      <c r="F91" s="6">
        <v>-263.247075</v>
      </c>
      <c r="G91" s="7">
        <v>-6.22932E-3</v>
      </c>
      <c r="H91" s="53"/>
    </row>
    <row r="92" spans="1:8" ht="17.100000000000001" customHeight="1" x14ac:dyDescent="0.2">
      <c r="A92" s="3">
        <v>12</v>
      </c>
      <c r="B92" s="4"/>
      <c r="C92" s="4" t="s">
        <v>942</v>
      </c>
      <c r="D92" s="4" t="s">
        <v>550</v>
      </c>
      <c r="E92" s="5">
        <v>-96000</v>
      </c>
      <c r="F92" s="6">
        <v>-297.55200000000002</v>
      </c>
      <c r="G92" s="7">
        <v>-7.0410899999999998E-3</v>
      </c>
      <c r="H92" s="53"/>
    </row>
    <row r="93" spans="1:8" ht="17.100000000000001" customHeight="1" x14ac:dyDescent="0.2">
      <c r="A93" s="3">
        <v>13</v>
      </c>
      <c r="B93" s="4"/>
      <c r="C93" s="4" t="s">
        <v>943</v>
      </c>
      <c r="D93" s="4" t="s">
        <v>550</v>
      </c>
      <c r="E93" s="5">
        <v>-220000</v>
      </c>
      <c r="F93" s="6">
        <v>-317.57</v>
      </c>
      <c r="G93" s="7">
        <v>-7.5147900000000004E-3</v>
      </c>
      <c r="H93" s="53"/>
    </row>
    <row r="94" spans="1:8" ht="17.100000000000001" customHeight="1" x14ac:dyDescent="0.2">
      <c r="A94" s="3">
        <v>14</v>
      </c>
      <c r="B94" s="4"/>
      <c r="C94" s="4" t="s">
        <v>944</v>
      </c>
      <c r="D94" s="4" t="s">
        <v>550</v>
      </c>
      <c r="E94" s="5">
        <v>-34800</v>
      </c>
      <c r="F94" s="6">
        <v>-326.9982</v>
      </c>
      <c r="G94" s="7">
        <v>-7.7378899999999999E-3</v>
      </c>
      <c r="H94" s="53"/>
    </row>
    <row r="95" spans="1:8" ht="17.100000000000001" customHeight="1" x14ac:dyDescent="0.2">
      <c r="A95" s="3">
        <v>15</v>
      </c>
      <c r="B95" s="4"/>
      <c r="C95" s="4" t="s">
        <v>928</v>
      </c>
      <c r="D95" s="4" t="s">
        <v>550</v>
      </c>
      <c r="E95" s="5">
        <v>-40000</v>
      </c>
      <c r="F95" s="6">
        <v>-353.18</v>
      </c>
      <c r="G95" s="7">
        <v>-8.3574400000000007E-3</v>
      </c>
      <c r="H95" s="53"/>
    </row>
    <row r="96" spans="1:8" ht="25.5" x14ac:dyDescent="0.2">
      <c r="A96" s="3">
        <v>16</v>
      </c>
      <c r="B96" s="4"/>
      <c r="C96" s="4" t="s">
        <v>905</v>
      </c>
      <c r="D96" s="4" t="s">
        <v>550</v>
      </c>
      <c r="E96" s="5">
        <v>-14100</v>
      </c>
      <c r="F96" s="6">
        <v>-374.55945000000003</v>
      </c>
      <c r="G96" s="7">
        <v>-8.863349999999999E-3</v>
      </c>
      <c r="H96" s="53"/>
    </row>
    <row r="97" spans="1:8" ht="17.100000000000001" customHeight="1" x14ac:dyDescent="0.2">
      <c r="A97" s="3">
        <v>17</v>
      </c>
      <c r="B97" s="4"/>
      <c r="C97" s="4" t="s">
        <v>945</v>
      </c>
      <c r="D97" s="4" t="s">
        <v>550</v>
      </c>
      <c r="E97" s="5">
        <v>-401500</v>
      </c>
      <c r="F97" s="6">
        <v>-455.50175000000002</v>
      </c>
      <c r="G97" s="7">
        <v>-1.077873E-2</v>
      </c>
      <c r="H97" s="53"/>
    </row>
    <row r="98" spans="1:8" ht="17.100000000000001" customHeight="1" x14ac:dyDescent="0.2">
      <c r="A98" s="3">
        <v>18</v>
      </c>
      <c r="B98" s="4"/>
      <c r="C98" s="4" t="s">
        <v>920</v>
      </c>
      <c r="D98" s="4" t="s">
        <v>550</v>
      </c>
      <c r="E98" s="5">
        <v>-13125</v>
      </c>
      <c r="F98" s="6">
        <v>-869.12437499999999</v>
      </c>
      <c r="G98" s="7">
        <v>-2.056645E-2</v>
      </c>
      <c r="H98" s="53"/>
    </row>
    <row r="99" spans="1:8" ht="17.100000000000001" customHeight="1" x14ac:dyDescent="0.2">
      <c r="A99" s="3">
        <v>19</v>
      </c>
      <c r="B99" s="4"/>
      <c r="C99" s="4" t="s">
        <v>932</v>
      </c>
      <c r="D99" s="4" t="s">
        <v>550</v>
      </c>
      <c r="E99" s="5">
        <v>-65200</v>
      </c>
      <c r="F99" s="6">
        <v>-989.18179999999995</v>
      </c>
      <c r="G99" s="7">
        <v>-2.340741E-2</v>
      </c>
      <c r="H99" s="53"/>
    </row>
    <row r="100" spans="1:8" ht="17.100000000000001" customHeight="1" x14ac:dyDescent="0.2">
      <c r="A100" s="3">
        <v>20</v>
      </c>
      <c r="B100" s="4"/>
      <c r="C100" s="4" t="s">
        <v>946</v>
      </c>
      <c r="D100" s="4" t="s">
        <v>550</v>
      </c>
      <c r="E100" s="5">
        <v>-42600</v>
      </c>
      <c r="F100" s="6">
        <v>-1097.8019999999999</v>
      </c>
      <c r="G100" s="7">
        <v>-2.5977739999999999E-2</v>
      </c>
      <c r="H100" s="53"/>
    </row>
    <row r="101" spans="1:8" ht="17.100000000000001" customHeight="1" x14ac:dyDescent="0.2">
      <c r="A101" s="3">
        <v>21</v>
      </c>
      <c r="B101" s="4"/>
      <c r="C101" s="4" t="s">
        <v>930</v>
      </c>
      <c r="D101" s="4" t="s">
        <v>550</v>
      </c>
      <c r="E101" s="5">
        <v>-132600</v>
      </c>
      <c r="F101" s="6">
        <v>-1354.1112000000001</v>
      </c>
      <c r="G101" s="7">
        <v>-3.2042890000000004E-2</v>
      </c>
      <c r="H101" s="53"/>
    </row>
    <row r="102" spans="1:8" ht="17.100000000000001" customHeight="1" x14ac:dyDescent="0.2">
      <c r="A102" s="3">
        <v>22</v>
      </c>
      <c r="B102" s="4"/>
      <c r="C102" s="4" t="s">
        <v>917</v>
      </c>
      <c r="D102" s="4" t="s">
        <v>550</v>
      </c>
      <c r="E102" s="5">
        <v>-196700</v>
      </c>
      <c r="F102" s="6">
        <v>-1764.5957000000001</v>
      </c>
      <c r="G102" s="7">
        <v>-4.1756349999999998E-2</v>
      </c>
      <c r="H102" s="53"/>
    </row>
    <row r="103" spans="1:8" ht="17.100000000000001" customHeight="1" x14ac:dyDescent="0.2">
      <c r="A103" s="3">
        <v>23</v>
      </c>
      <c r="B103" s="4"/>
      <c r="C103" s="4" t="s">
        <v>922</v>
      </c>
      <c r="D103" s="4" t="s">
        <v>550</v>
      </c>
      <c r="E103" s="5">
        <v>-156200</v>
      </c>
      <c r="F103" s="6">
        <v>-2549.8869</v>
      </c>
      <c r="G103" s="7">
        <v>-6.033902E-2</v>
      </c>
      <c r="H103" s="53"/>
    </row>
    <row r="104" spans="1:8" ht="14.1" customHeight="1" x14ac:dyDescent="0.2">
      <c r="A104" s="1"/>
      <c r="B104" s="1"/>
      <c r="C104" s="2" t="s">
        <v>132</v>
      </c>
      <c r="D104" s="1"/>
      <c r="E104" s="1" t="s">
        <v>133</v>
      </c>
      <c r="F104" s="9">
        <v>-12427.5862375</v>
      </c>
      <c r="G104" s="10">
        <v>-0.29407905299999998</v>
      </c>
      <c r="H104" s="53"/>
    </row>
    <row r="105" spans="1:8" ht="14.1" customHeight="1" x14ac:dyDescent="0.2">
      <c r="A105" s="1"/>
      <c r="B105" s="1"/>
      <c r="C105" s="11"/>
      <c r="D105" s="1"/>
      <c r="E105" s="1"/>
      <c r="F105" s="12"/>
      <c r="G105" s="12"/>
      <c r="H105" s="53"/>
    </row>
    <row r="106" spans="1:8" ht="18" customHeight="1" x14ac:dyDescent="0.2">
      <c r="A106" s="1"/>
      <c r="B106" s="1"/>
      <c r="C106" s="2" t="s">
        <v>139</v>
      </c>
      <c r="D106" s="1"/>
      <c r="E106" s="1"/>
      <c r="F106" s="9">
        <v>32139.125805</v>
      </c>
      <c r="G106" s="10">
        <v>0.76052126799999997</v>
      </c>
      <c r="H106" s="53"/>
    </row>
    <row r="107" spans="1:8" ht="14.1" customHeight="1" x14ac:dyDescent="0.2">
      <c r="A107" s="1"/>
      <c r="B107" s="1"/>
      <c r="C107" s="11"/>
      <c r="D107" s="1"/>
      <c r="E107" s="1"/>
      <c r="F107" s="12"/>
      <c r="G107" s="12"/>
      <c r="H107" s="53"/>
    </row>
    <row r="108" spans="1:8" ht="14.1" customHeight="1" x14ac:dyDescent="0.2">
      <c r="A108" s="1"/>
      <c r="B108" s="1"/>
      <c r="C108" s="2" t="s">
        <v>140</v>
      </c>
      <c r="D108" s="1"/>
      <c r="E108" s="1"/>
      <c r="F108" s="12"/>
      <c r="G108" s="12"/>
      <c r="H108" s="53"/>
    </row>
    <row r="109" spans="1:8" ht="24" customHeight="1" x14ac:dyDescent="0.2">
      <c r="A109" s="1"/>
      <c r="B109" s="1"/>
      <c r="C109" s="2" t="s">
        <v>10</v>
      </c>
      <c r="D109" s="1"/>
      <c r="E109" s="1"/>
      <c r="F109" s="12"/>
      <c r="G109" s="12"/>
      <c r="H109" s="53"/>
    </row>
    <row r="110" spans="1:8" ht="29.1" customHeight="1" x14ac:dyDescent="0.2">
      <c r="A110" s="3">
        <v>1</v>
      </c>
      <c r="B110" s="4" t="s">
        <v>596</v>
      </c>
      <c r="C110" s="4" t="s">
        <v>597</v>
      </c>
      <c r="D110" s="4" t="s">
        <v>598</v>
      </c>
      <c r="E110" s="5">
        <v>50</v>
      </c>
      <c r="F110" s="6">
        <v>493.07900000000001</v>
      </c>
      <c r="G110" s="7">
        <v>1.166793E-2</v>
      </c>
      <c r="H110" s="53">
        <v>7.55</v>
      </c>
    </row>
    <row r="111" spans="1:8" ht="17.100000000000001" customHeight="1" x14ac:dyDescent="0.2">
      <c r="A111" s="3">
        <v>2</v>
      </c>
      <c r="B111" s="4" t="s">
        <v>599</v>
      </c>
      <c r="C111" s="4" t="s">
        <v>600</v>
      </c>
      <c r="D111" s="4" t="s">
        <v>576</v>
      </c>
      <c r="E111" s="5">
        <v>20</v>
      </c>
      <c r="F111" s="6">
        <v>200.26400000000001</v>
      </c>
      <c r="G111" s="7">
        <v>4.7389290000000002E-3</v>
      </c>
      <c r="H111" s="53">
        <v>6.62</v>
      </c>
    </row>
    <row r="112" spans="1:8" ht="29.1" customHeight="1" x14ac:dyDescent="0.2">
      <c r="A112" s="3">
        <v>3</v>
      </c>
      <c r="B112" s="4" t="s">
        <v>601</v>
      </c>
      <c r="C112" s="4" t="s">
        <v>602</v>
      </c>
      <c r="D112" s="4" t="s">
        <v>576</v>
      </c>
      <c r="E112" s="5">
        <v>5</v>
      </c>
      <c r="F112" s="6">
        <v>50.452249999999999</v>
      </c>
      <c r="G112" s="7">
        <v>1.1938719999999999E-3</v>
      </c>
      <c r="H112" s="53">
        <v>7.42</v>
      </c>
    </row>
    <row r="113" spans="1:8" ht="17.100000000000001" customHeight="1" x14ac:dyDescent="0.2">
      <c r="A113" s="3">
        <v>4</v>
      </c>
      <c r="B113" s="4" t="s">
        <v>603</v>
      </c>
      <c r="C113" s="4" t="s">
        <v>604</v>
      </c>
      <c r="D113" s="4" t="s">
        <v>576</v>
      </c>
      <c r="E113" s="5">
        <v>5</v>
      </c>
      <c r="F113" s="6">
        <v>50.157800000000002</v>
      </c>
      <c r="G113" s="7">
        <v>1.186905E-3</v>
      </c>
      <c r="H113" s="53">
        <v>7.0750000000000002</v>
      </c>
    </row>
    <row r="114" spans="1:8" ht="29.1" customHeight="1" x14ac:dyDescent="0.2">
      <c r="A114" s="3">
        <v>5</v>
      </c>
      <c r="B114" s="4" t="s">
        <v>574</v>
      </c>
      <c r="C114" s="4" t="s">
        <v>575</v>
      </c>
      <c r="D114" s="4" t="s">
        <v>576</v>
      </c>
      <c r="E114" s="5">
        <v>1640</v>
      </c>
      <c r="F114" s="6">
        <v>0.46242095999999999</v>
      </c>
      <c r="G114" s="8" t="s">
        <v>131</v>
      </c>
      <c r="H114" s="53">
        <v>7.5949999999999998</v>
      </c>
    </row>
    <row r="115" spans="1:8" ht="14.1" customHeight="1" x14ac:dyDescent="0.2">
      <c r="A115" s="1"/>
      <c r="B115" s="1"/>
      <c r="C115" s="2" t="s">
        <v>132</v>
      </c>
      <c r="D115" s="1"/>
      <c r="E115" s="1" t="s">
        <v>133</v>
      </c>
      <c r="F115" s="9">
        <v>794.41547095999999</v>
      </c>
      <c r="G115" s="10">
        <v>1.8798578E-2</v>
      </c>
      <c r="H115" s="53"/>
    </row>
    <row r="116" spans="1:8" ht="14.1" customHeight="1" x14ac:dyDescent="0.2">
      <c r="A116" s="1"/>
      <c r="B116" s="1"/>
      <c r="C116" s="11"/>
      <c r="D116" s="1"/>
      <c r="E116" s="1"/>
      <c r="F116" s="12"/>
      <c r="G116" s="12"/>
      <c r="H116" s="53"/>
    </row>
    <row r="117" spans="1:8" ht="14.1" customHeight="1" x14ac:dyDescent="0.2">
      <c r="A117" s="1"/>
      <c r="B117" s="1"/>
      <c r="C117" s="2" t="s">
        <v>141</v>
      </c>
      <c r="D117" s="1"/>
      <c r="E117" s="1"/>
      <c r="F117" s="1"/>
      <c r="G117" s="1"/>
      <c r="H117" s="53"/>
    </row>
    <row r="118" spans="1:8" ht="14.1" customHeight="1" x14ac:dyDescent="0.2">
      <c r="A118" s="1"/>
      <c r="B118" s="1"/>
      <c r="C118" s="2" t="s">
        <v>132</v>
      </c>
      <c r="D118" s="1"/>
      <c r="E118" s="1" t="s">
        <v>133</v>
      </c>
      <c r="F118" s="13">
        <v>0</v>
      </c>
      <c r="G118" s="14">
        <v>0</v>
      </c>
      <c r="H118" s="53"/>
    </row>
    <row r="119" spans="1:8" ht="14.1" customHeight="1" x14ac:dyDescent="0.2">
      <c r="A119" s="1"/>
      <c r="B119" s="1"/>
      <c r="C119" s="11"/>
      <c r="D119" s="1"/>
      <c r="E119" s="1"/>
      <c r="F119" s="12"/>
      <c r="G119" s="12"/>
      <c r="H119" s="53"/>
    </row>
    <row r="120" spans="1:8" ht="14.1" customHeight="1" x14ac:dyDescent="0.2">
      <c r="A120" s="1"/>
      <c r="B120" s="1"/>
      <c r="C120" s="2" t="s">
        <v>142</v>
      </c>
      <c r="D120" s="1"/>
      <c r="E120" s="1"/>
      <c r="F120" s="1"/>
      <c r="G120" s="1"/>
      <c r="H120" s="53"/>
    </row>
    <row r="121" spans="1:8" ht="29.1" customHeight="1" x14ac:dyDescent="0.2">
      <c r="A121" s="3">
        <v>1</v>
      </c>
      <c r="B121" s="4" t="s">
        <v>605</v>
      </c>
      <c r="C121" s="4" t="s">
        <v>606</v>
      </c>
      <c r="D121" s="4" t="s">
        <v>552</v>
      </c>
      <c r="E121" s="5">
        <v>1500000</v>
      </c>
      <c r="F121" s="6">
        <v>1439.7014999999999</v>
      </c>
      <c r="G121" s="7">
        <v>3.4068244999999997E-2</v>
      </c>
      <c r="H121" s="53">
        <v>7.1528276462250018</v>
      </c>
    </row>
    <row r="122" spans="1:8" ht="29.1" customHeight="1" x14ac:dyDescent="0.2">
      <c r="A122" s="3">
        <v>2</v>
      </c>
      <c r="B122" s="4" t="s">
        <v>607</v>
      </c>
      <c r="C122" s="4" t="s">
        <v>608</v>
      </c>
      <c r="D122" s="4" t="s">
        <v>552</v>
      </c>
      <c r="E122" s="5">
        <v>500000</v>
      </c>
      <c r="F122" s="6">
        <v>475.45400000000001</v>
      </c>
      <c r="G122" s="7">
        <v>1.1250862E-2</v>
      </c>
      <c r="H122" s="53">
        <v>7.2003461376000111</v>
      </c>
    </row>
    <row r="123" spans="1:8" ht="29.1" customHeight="1" x14ac:dyDescent="0.2">
      <c r="A123" s="3">
        <v>3</v>
      </c>
      <c r="B123" s="4" t="s">
        <v>609</v>
      </c>
      <c r="C123" s="4" t="s">
        <v>610</v>
      </c>
      <c r="D123" s="4" t="s">
        <v>552</v>
      </c>
      <c r="E123" s="5">
        <v>100000</v>
      </c>
      <c r="F123" s="6">
        <v>101.7876</v>
      </c>
      <c r="G123" s="7">
        <v>2.4086419999999999E-3</v>
      </c>
      <c r="H123" s="53">
        <v>7.4446684030124999</v>
      </c>
    </row>
    <row r="124" spans="1:8" ht="29.1" customHeight="1" x14ac:dyDescent="0.2">
      <c r="A124" s="3">
        <v>4</v>
      </c>
      <c r="B124" s="4" t="s">
        <v>611</v>
      </c>
      <c r="C124" s="4" t="s">
        <v>612</v>
      </c>
      <c r="D124" s="4" t="s">
        <v>552</v>
      </c>
      <c r="E124" s="5">
        <v>50000</v>
      </c>
      <c r="F124" s="6">
        <v>49.2988</v>
      </c>
      <c r="G124" s="7">
        <v>1.1665779999999999E-3</v>
      </c>
      <c r="H124" s="53">
        <v>7.1205335090249733</v>
      </c>
    </row>
    <row r="125" spans="1:8" ht="14.1" customHeight="1" x14ac:dyDescent="0.2">
      <c r="A125" s="1"/>
      <c r="B125" s="1"/>
      <c r="C125" s="2" t="s">
        <v>132</v>
      </c>
      <c r="D125" s="1"/>
      <c r="E125" s="1" t="s">
        <v>133</v>
      </c>
      <c r="F125" s="9">
        <v>2066.2419</v>
      </c>
      <c r="G125" s="10">
        <v>4.8894327000000001E-2</v>
      </c>
      <c r="H125" s="53"/>
    </row>
    <row r="126" spans="1:8" ht="14.1" customHeight="1" x14ac:dyDescent="0.2">
      <c r="A126" s="1"/>
      <c r="B126" s="1"/>
      <c r="C126" s="11"/>
      <c r="D126" s="1"/>
      <c r="E126" s="1"/>
      <c r="F126" s="12"/>
      <c r="G126" s="12"/>
      <c r="H126" s="53"/>
    </row>
    <row r="127" spans="1:8" ht="14.1" customHeight="1" x14ac:dyDescent="0.2">
      <c r="A127" s="1"/>
      <c r="B127" s="1"/>
      <c r="C127" s="2" t="s">
        <v>143</v>
      </c>
      <c r="D127" s="1"/>
      <c r="E127" s="1"/>
      <c r="F127" s="12"/>
      <c r="G127" s="12"/>
      <c r="H127" s="53"/>
    </row>
    <row r="128" spans="1:8" ht="14.1" customHeight="1" x14ac:dyDescent="0.2">
      <c r="A128" s="1"/>
      <c r="B128" s="1"/>
      <c r="C128" s="2" t="s">
        <v>132</v>
      </c>
      <c r="D128" s="1"/>
      <c r="E128" s="1" t="s">
        <v>133</v>
      </c>
      <c r="F128" s="13">
        <v>0</v>
      </c>
      <c r="G128" s="14">
        <v>0</v>
      </c>
      <c r="H128" s="53"/>
    </row>
    <row r="129" spans="1:8" ht="14.1" customHeight="1" x14ac:dyDescent="0.2">
      <c r="A129" s="1"/>
      <c r="B129" s="1"/>
      <c r="C129" s="11"/>
      <c r="D129" s="1"/>
      <c r="E129" s="1"/>
      <c r="F129" s="12"/>
      <c r="G129" s="12"/>
      <c r="H129" s="53"/>
    </row>
    <row r="130" spans="1:8" ht="14.1" customHeight="1" x14ac:dyDescent="0.2">
      <c r="A130" s="1"/>
      <c r="B130" s="1"/>
      <c r="C130" s="2" t="s">
        <v>144</v>
      </c>
      <c r="D130" s="1"/>
      <c r="E130" s="1"/>
      <c r="F130" s="9">
        <v>2860.6573709600002</v>
      </c>
      <c r="G130" s="10">
        <v>6.7692904999999998E-2</v>
      </c>
      <c r="H130" s="53"/>
    </row>
    <row r="131" spans="1:8" ht="14.1" customHeight="1" x14ac:dyDescent="0.2">
      <c r="A131" s="1"/>
      <c r="B131" s="1"/>
      <c r="C131" s="11"/>
      <c r="D131" s="1"/>
      <c r="E131" s="1"/>
      <c r="F131" s="12"/>
      <c r="G131" s="12"/>
      <c r="H131" s="53"/>
    </row>
    <row r="132" spans="1:8" ht="14.1" customHeight="1" x14ac:dyDescent="0.2">
      <c r="A132" s="1"/>
      <c r="B132" s="1"/>
      <c r="C132" s="2" t="s">
        <v>145</v>
      </c>
      <c r="D132" s="1"/>
      <c r="E132" s="1"/>
      <c r="F132" s="12"/>
      <c r="G132" s="12"/>
      <c r="H132" s="53"/>
    </row>
    <row r="133" spans="1:8" ht="14.1" customHeight="1" x14ac:dyDescent="0.2">
      <c r="A133" s="1"/>
      <c r="B133" s="1"/>
      <c r="C133" s="2" t="s">
        <v>146</v>
      </c>
      <c r="D133" s="1"/>
      <c r="E133" s="1"/>
      <c r="F133" s="12"/>
      <c r="G133" s="12"/>
      <c r="H133" s="53"/>
    </row>
    <row r="134" spans="1:8" ht="14.1" customHeight="1" x14ac:dyDescent="0.2">
      <c r="A134" s="1"/>
      <c r="B134" s="1"/>
      <c r="C134" s="2" t="s">
        <v>132</v>
      </c>
      <c r="D134" s="1"/>
      <c r="E134" s="1" t="s">
        <v>133</v>
      </c>
      <c r="F134" s="13">
        <v>0</v>
      </c>
      <c r="G134" s="14">
        <v>0</v>
      </c>
      <c r="H134" s="53"/>
    </row>
    <row r="135" spans="1:8" ht="14.1" customHeight="1" x14ac:dyDescent="0.2">
      <c r="A135" s="1"/>
      <c r="B135" s="1"/>
      <c r="C135" s="11"/>
      <c r="D135" s="1"/>
      <c r="E135" s="1"/>
      <c r="F135" s="12"/>
      <c r="G135" s="12"/>
      <c r="H135" s="53"/>
    </row>
    <row r="136" spans="1:8" ht="14.1" customHeight="1" x14ac:dyDescent="0.2">
      <c r="A136" s="1"/>
      <c r="B136" s="1"/>
      <c r="C136" s="2" t="s">
        <v>147</v>
      </c>
      <c r="D136" s="1"/>
      <c r="E136" s="1"/>
      <c r="F136" s="12"/>
      <c r="G136" s="12"/>
      <c r="H136" s="53"/>
    </row>
    <row r="137" spans="1:8" ht="14.1" customHeight="1" x14ac:dyDescent="0.2">
      <c r="A137" s="1"/>
      <c r="B137" s="1"/>
      <c r="C137" s="2" t="s">
        <v>132</v>
      </c>
      <c r="D137" s="1"/>
      <c r="E137" s="1" t="s">
        <v>133</v>
      </c>
      <c r="F137" s="13">
        <v>0</v>
      </c>
      <c r="G137" s="14">
        <v>0</v>
      </c>
      <c r="H137" s="53"/>
    </row>
    <row r="138" spans="1:8" ht="14.1" customHeight="1" x14ac:dyDescent="0.2">
      <c r="A138" s="1"/>
      <c r="B138" s="1"/>
      <c r="C138" s="11"/>
      <c r="D138" s="1"/>
      <c r="E138" s="1"/>
      <c r="F138" s="12"/>
      <c r="G138" s="12"/>
      <c r="H138" s="53"/>
    </row>
    <row r="139" spans="1:8" ht="14.1" customHeight="1" x14ac:dyDescent="0.2">
      <c r="A139" s="1"/>
      <c r="B139" s="1"/>
      <c r="C139" s="2" t="s">
        <v>148</v>
      </c>
      <c r="D139" s="1"/>
      <c r="E139" s="1"/>
      <c r="F139" s="12"/>
      <c r="G139" s="12"/>
      <c r="H139" s="53"/>
    </row>
    <row r="140" spans="1:8" ht="17.100000000000001" customHeight="1" x14ac:dyDescent="0.2">
      <c r="A140" s="3">
        <v>1</v>
      </c>
      <c r="B140" s="4" t="s">
        <v>613</v>
      </c>
      <c r="C140" s="4" t="s">
        <v>986</v>
      </c>
      <c r="D140" s="4" t="s">
        <v>552</v>
      </c>
      <c r="E140" s="5">
        <v>2000000</v>
      </c>
      <c r="F140" s="6">
        <v>1994.1</v>
      </c>
      <c r="G140" s="7">
        <v>4.7187202999999997E-2</v>
      </c>
      <c r="H140" s="53">
        <v>6</v>
      </c>
    </row>
    <row r="141" spans="1:8" ht="17.100000000000001" customHeight="1" x14ac:dyDescent="0.2">
      <c r="A141" s="3">
        <v>2</v>
      </c>
      <c r="B141" s="4" t="s">
        <v>614</v>
      </c>
      <c r="C141" s="4" t="s">
        <v>987</v>
      </c>
      <c r="D141" s="4" t="s">
        <v>552</v>
      </c>
      <c r="E141" s="5">
        <v>1000000</v>
      </c>
      <c r="F141" s="6">
        <v>974.62199999999996</v>
      </c>
      <c r="G141" s="7">
        <v>2.3062879000000001E-2</v>
      </c>
      <c r="H141" s="53">
        <v>6.6</v>
      </c>
    </row>
    <row r="142" spans="1:8" ht="14.1" customHeight="1" x14ac:dyDescent="0.2">
      <c r="A142" s="1"/>
      <c r="B142" s="1"/>
      <c r="C142" s="2" t="s">
        <v>132</v>
      </c>
      <c r="D142" s="1"/>
      <c r="E142" s="1" t="s">
        <v>133</v>
      </c>
      <c r="F142" s="9">
        <v>2968.7220000000002</v>
      </c>
      <c r="G142" s="10">
        <v>7.0250082000000005E-2</v>
      </c>
      <c r="H142" s="53"/>
    </row>
    <row r="143" spans="1:8" ht="14.1" customHeight="1" x14ac:dyDescent="0.2">
      <c r="A143" s="1"/>
      <c r="B143" s="1"/>
      <c r="C143" s="11"/>
      <c r="D143" s="1"/>
      <c r="E143" s="1"/>
      <c r="F143" s="12"/>
      <c r="G143" s="12"/>
      <c r="H143" s="53"/>
    </row>
    <row r="144" spans="1:8" ht="14.1" customHeight="1" x14ac:dyDescent="0.2">
      <c r="A144" s="1"/>
      <c r="B144" s="1"/>
      <c r="C144" s="2" t="s">
        <v>149</v>
      </c>
      <c r="D144" s="1"/>
      <c r="E144" s="1"/>
      <c r="F144" s="12"/>
      <c r="G144" s="12"/>
      <c r="H144" s="53"/>
    </row>
    <row r="145" spans="1:8" ht="17.100000000000001" customHeight="1" x14ac:dyDescent="0.2">
      <c r="A145" s="3">
        <v>1</v>
      </c>
      <c r="B145" s="4"/>
      <c r="C145" s="4" t="s">
        <v>150</v>
      </c>
      <c r="D145" s="4"/>
      <c r="E145" s="8"/>
      <c r="F145" s="6">
        <v>2832.1140974</v>
      </c>
      <c r="G145" s="7">
        <v>6.7017472999999994E-2</v>
      </c>
      <c r="H145" s="53">
        <v>6.46</v>
      </c>
    </row>
    <row r="146" spans="1:8" ht="14.1" customHeight="1" x14ac:dyDescent="0.2">
      <c r="A146" s="1"/>
      <c r="B146" s="1"/>
      <c r="C146" s="2" t="s">
        <v>132</v>
      </c>
      <c r="D146" s="1"/>
      <c r="E146" s="1" t="s">
        <v>133</v>
      </c>
      <c r="F146" s="9">
        <v>2832.1140974</v>
      </c>
      <c r="G146" s="10">
        <v>6.7017472999999994E-2</v>
      </c>
      <c r="H146" s="53"/>
    </row>
    <row r="147" spans="1:8" ht="14.1" customHeight="1" x14ac:dyDescent="0.2">
      <c r="A147" s="1"/>
      <c r="B147" s="1"/>
      <c r="C147" s="11"/>
      <c r="D147" s="1"/>
      <c r="E147" s="1"/>
      <c r="F147" s="12"/>
      <c r="G147" s="12"/>
      <c r="H147" s="53"/>
    </row>
    <row r="148" spans="1:8" ht="14.1" customHeight="1" x14ac:dyDescent="0.2">
      <c r="A148" s="1"/>
      <c r="B148" s="1"/>
      <c r="C148" s="2" t="s">
        <v>151</v>
      </c>
      <c r="D148" s="1"/>
      <c r="E148" s="1"/>
      <c r="F148" s="9">
        <v>5800.8360973999997</v>
      </c>
      <c r="G148" s="10">
        <v>0.13726755500000001</v>
      </c>
      <c r="H148" s="53"/>
    </row>
    <row r="149" spans="1:8" ht="14.1" customHeight="1" x14ac:dyDescent="0.2">
      <c r="A149" s="1"/>
      <c r="B149" s="1"/>
      <c r="C149" s="12"/>
      <c r="D149" s="1"/>
      <c r="E149" s="1"/>
      <c r="F149" s="1"/>
      <c r="G149" s="1"/>
      <c r="H149" s="53"/>
    </row>
    <row r="150" spans="1:8" ht="14.1" customHeight="1" x14ac:dyDescent="0.2">
      <c r="A150" s="1"/>
      <c r="B150" s="1"/>
      <c r="C150" s="2" t="s">
        <v>152</v>
      </c>
      <c r="D150" s="1"/>
      <c r="E150" s="1"/>
      <c r="F150" s="1"/>
      <c r="G150" s="1"/>
      <c r="H150" s="53"/>
    </row>
    <row r="151" spans="1:8" ht="14.1" customHeight="1" x14ac:dyDescent="0.2">
      <c r="A151" s="1"/>
      <c r="B151" s="1"/>
      <c r="C151" s="2" t="s">
        <v>153</v>
      </c>
      <c r="D151" s="1"/>
      <c r="E151" s="1"/>
      <c r="F151" s="1"/>
      <c r="G151" s="1"/>
      <c r="H151" s="53"/>
    </row>
    <row r="152" spans="1:8" ht="14.1" customHeight="1" x14ac:dyDescent="0.2">
      <c r="A152" s="1"/>
      <c r="B152" s="1"/>
      <c r="C152" s="2" t="s">
        <v>132</v>
      </c>
      <c r="D152" s="1"/>
      <c r="E152" s="1" t="s">
        <v>133</v>
      </c>
      <c r="F152" s="13">
        <v>0</v>
      </c>
      <c r="G152" s="14">
        <v>0</v>
      </c>
      <c r="H152" s="53"/>
    </row>
    <row r="153" spans="1:8" ht="14.1" customHeight="1" x14ac:dyDescent="0.2">
      <c r="A153" s="1"/>
      <c r="B153" s="1"/>
      <c r="C153" s="11"/>
      <c r="D153" s="1"/>
      <c r="E153" s="1"/>
      <c r="F153" s="12"/>
      <c r="G153" s="12"/>
      <c r="H153" s="53"/>
    </row>
    <row r="154" spans="1:8" ht="14.1" customHeight="1" x14ac:dyDescent="0.2">
      <c r="A154" s="1"/>
      <c r="B154" s="1"/>
      <c r="C154" s="2" t="s">
        <v>154</v>
      </c>
      <c r="D154" s="1"/>
      <c r="E154" s="1"/>
      <c r="F154" s="1"/>
      <c r="G154" s="1"/>
      <c r="H154" s="53"/>
    </row>
    <row r="155" spans="1:8" ht="14.1" customHeight="1" x14ac:dyDescent="0.2">
      <c r="A155" s="1"/>
      <c r="B155" s="1"/>
      <c r="C155" s="2" t="s">
        <v>155</v>
      </c>
      <c r="D155" s="1"/>
      <c r="E155" s="1"/>
      <c r="F155" s="1"/>
      <c r="G155" s="1"/>
      <c r="H155" s="53"/>
    </row>
    <row r="156" spans="1:8" ht="14.1" customHeight="1" x14ac:dyDescent="0.2">
      <c r="A156" s="1"/>
      <c r="B156" s="1"/>
      <c r="C156" s="2" t="s">
        <v>132</v>
      </c>
      <c r="D156" s="1"/>
      <c r="E156" s="1" t="s">
        <v>133</v>
      </c>
      <c r="F156" s="13">
        <v>0</v>
      </c>
      <c r="G156" s="14">
        <v>0</v>
      </c>
      <c r="H156" s="53"/>
    </row>
    <row r="157" spans="1:8" ht="14.1" customHeight="1" x14ac:dyDescent="0.2">
      <c r="A157" s="1"/>
      <c r="B157" s="1"/>
      <c r="C157" s="11"/>
      <c r="D157" s="1"/>
      <c r="E157" s="1"/>
      <c r="F157" s="12"/>
      <c r="G157" s="12"/>
      <c r="H157" s="53"/>
    </row>
    <row r="158" spans="1:8" ht="14.1" customHeight="1" x14ac:dyDescent="0.2">
      <c r="A158" s="1"/>
      <c r="B158" s="1"/>
      <c r="C158" s="11"/>
      <c r="D158" s="1"/>
      <c r="E158" s="1"/>
      <c r="F158" s="12"/>
      <c r="G158" s="12"/>
      <c r="H158" s="53"/>
    </row>
    <row r="159" spans="1:8" ht="24" customHeight="1" x14ac:dyDescent="0.2">
      <c r="A159" s="1"/>
      <c r="B159" s="1"/>
      <c r="C159" s="2" t="s">
        <v>156</v>
      </c>
      <c r="D159" s="1"/>
      <c r="E159" s="1"/>
      <c r="F159" s="12"/>
      <c r="G159" s="12"/>
      <c r="H159" s="53"/>
    </row>
    <row r="160" spans="1:8" ht="14.1" customHeight="1" x14ac:dyDescent="0.2">
      <c r="A160" s="1"/>
      <c r="B160" s="1"/>
      <c r="C160" s="2" t="s">
        <v>132</v>
      </c>
      <c r="D160" s="1"/>
      <c r="E160" s="1" t="s">
        <v>133</v>
      </c>
      <c r="F160" s="13">
        <v>0</v>
      </c>
      <c r="G160" s="14">
        <v>0</v>
      </c>
      <c r="H160" s="53"/>
    </row>
    <row r="161" spans="1:15" ht="14.1" customHeight="1" x14ac:dyDescent="0.2">
      <c r="A161" s="1"/>
      <c r="B161" s="1"/>
      <c r="C161" s="11"/>
      <c r="D161" s="1"/>
      <c r="E161" s="1"/>
      <c r="F161" s="12"/>
      <c r="G161" s="12"/>
      <c r="H161" s="53"/>
    </row>
    <row r="162" spans="1:15" ht="18" customHeight="1" x14ac:dyDescent="0.2">
      <c r="A162" s="8"/>
      <c r="B162" s="4"/>
      <c r="C162" s="4" t="s">
        <v>555</v>
      </c>
      <c r="D162" s="4"/>
      <c r="E162" s="8"/>
      <c r="F162" s="6">
        <v>1550.5355267</v>
      </c>
      <c r="G162" s="7">
        <v>3.669095576917019E-2</v>
      </c>
      <c r="H162" s="53"/>
    </row>
    <row r="163" spans="1:15" ht="18" customHeight="1" x14ac:dyDescent="0.2">
      <c r="A163" s="8"/>
      <c r="B163" s="4"/>
      <c r="C163" s="43" t="s">
        <v>869</v>
      </c>
      <c r="D163" s="4"/>
      <c r="E163" s="8"/>
      <c r="F163" s="6">
        <v>-91.816110310000113</v>
      </c>
      <c r="G163" s="7">
        <v>-2.1726821374104962E-3</v>
      </c>
      <c r="H163" s="53"/>
    </row>
    <row r="164" spans="1:15" ht="14.1" customHeight="1" x14ac:dyDescent="0.2">
      <c r="A164" s="11"/>
      <c r="B164" s="11"/>
      <c r="C164" s="2" t="s">
        <v>158</v>
      </c>
      <c r="D164" s="15"/>
      <c r="E164" s="15"/>
      <c r="F164" s="9">
        <v>42259.338689750002</v>
      </c>
      <c r="G164" s="14">
        <v>1.0000000016317596</v>
      </c>
      <c r="H164" s="53"/>
    </row>
    <row r="165" spans="1:15" ht="14.1" customHeight="1" x14ac:dyDescent="0.2">
      <c r="A165" s="16"/>
      <c r="B165" s="16"/>
      <c r="C165" s="16"/>
      <c r="D165" s="17"/>
      <c r="E165" s="17"/>
      <c r="F165" s="17"/>
      <c r="G165" s="17"/>
    </row>
    <row r="166" spans="1:15" ht="17.100000000000001" customHeight="1" x14ac:dyDescent="0.2">
      <c r="A166" s="18"/>
      <c r="B166" s="292" t="s">
        <v>577</v>
      </c>
      <c r="C166" s="292"/>
      <c r="D166" s="292"/>
      <c r="E166" s="292"/>
      <c r="F166" s="292"/>
      <c r="G166" s="20"/>
    </row>
    <row r="167" spans="1:15" ht="17.100000000000001" customHeight="1" x14ac:dyDescent="0.2">
      <c r="A167" s="64"/>
      <c r="B167" s="306" t="s">
        <v>871</v>
      </c>
      <c r="C167" s="306"/>
      <c r="D167" s="306"/>
      <c r="E167" s="306"/>
      <c r="F167" s="306"/>
      <c r="G167" s="67"/>
    </row>
    <row r="168" spans="1:15" ht="17.100000000000001" customHeight="1" x14ac:dyDescent="0.2">
      <c r="A168" s="18"/>
      <c r="B168" s="292" t="s">
        <v>159</v>
      </c>
      <c r="C168" s="292"/>
      <c r="D168" s="292"/>
      <c r="E168" s="292"/>
      <c r="F168" s="292"/>
      <c r="G168" s="20"/>
    </row>
    <row r="169" spans="1:15" ht="17.100000000000001" customHeight="1" x14ac:dyDescent="0.2">
      <c r="A169" s="64"/>
      <c r="B169" s="306" t="s">
        <v>984</v>
      </c>
      <c r="C169" s="306"/>
      <c r="D169" s="306"/>
      <c r="E169" s="306"/>
      <c r="F169" s="306"/>
      <c r="G169" s="67"/>
    </row>
    <row r="170" spans="1:15" ht="14.1" customHeight="1" x14ac:dyDescent="0.2">
      <c r="A170" s="18"/>
      <c r="B170" s="18"/>
      <c r="C170" s="18"/>
      <c r="D170" s="20"/>
      <c r="E170" s="20"/>
      <c r="F170" s="20"/>
      <c r="G170" s="20"/>
    </row>
    <row r="171" spans="1:15" ht="14.1" customHeight="1" x14ac:dyDescent="0.2">
      <c r="A171" s="18"/>
      <c r="B171" s="293" t="s">
        <v>160</v>
      </c>
      <c r="C171" s="294"/>
      <c r="D171" s="12" t="s">
        <v>133</v>
      </c>
      <c r="E171" s="21"/>
      <c r="F171" s="20"/>
      <c r="G171" s="20"/>
    </row>
    <row r="172" spans="1:15" ht="29.1" customHeight="1" x14ac:dyDescent="0.2">
      <c r="A172" s="18"/>
      <c r="B172" s="290" t="s">
        <v>161</v>
      </c>
      <c r="C172" s="291"/>
      <c r="D172" s="2" t="s">
        <v>162</v>
      </c>
      <c r="E172" s="21"/>
      <c r="F172" s="20"/>
      <c r="G172" s="20"/>
    </row>
    <row r="173" spans="1:15" ht="17.100000000000001" customHeight="1" x14ac:dyDescent="0.2">
      <c r="A173" s="18"/>
      <c r="B173" s="290" t="s">
        <v>163</v>
      </c>
      <c r="C173" s="291"/>
      <c r="D173" s="2" t="s">
        <v>162</v>
      </c>
      <c r="E173" s="21"/>
      <c r="F173" s="20"/>
      <c r="G173" s="20"/>
    </row>
    <row r="174" spans="1:15" ht="17.100000000000001" customHeight="1" x14ac:dyDescent="0.2">
      <c r="A174" s="18"/>
      <c r="B174" s="290" t="s">
        <v>164</v>
      </c>
      <c r="C174" s="291"/>
      <c r="D174" s="12" t="s">
        <v>133</v>
      </c>
      <c r="E174" s="21"/>
      <c r="F174" s="20"/>
      <c r="G174" s="20"/>
      <c r="O174" s="80"/>
    </row>
    <row r="175" spans="1:15" ht="24" customHeight="1" x14ac:dyDescent="0.2">
      <c r="A175" s="22"/>
      <c r="B175" s="23" t="s">
        <v>133</v>
      </c>
      <c r="C175" s="23" t="s">
        <v>165</v>
      </c>
      <c r="D175" s="23" t="s">
        <v>166</v>
      </c>
      <c r="E175" s="22"/>
      <c r="F175" s="22"/>
      <c r="G175" s="22"/>
    </row>
    <row r="176" spans="1:15" ht="18" customHeight="1" x14ac:dyDescent="0.2">
      <c r="A176" s="22"/>
      <c r="B176" s="23" t="s">
        <v>167</v>
      </c>
      <c r="C176" s="23" t="s">
        <v>168</v>
      </c>
      <c r="D176" s="23" t="s">
        <v>169</v>
      </c>
      <c r="E176" s="22"/>
      <c r="F176" s="22"/>
      <c r="G176" s="22"/>
      <c r="I176" s="80"/>
    </row>
    <row r="177" spans="1:14" ht="17.100000000000001" customHeight="1" x14ac:dyDescent="0.2">
      <c r="A177" s="22"/>
      <c r="B177" s="4" t="s">
        <v>170</v>
      </c>
      <c r="C177" s="24">
        <v>58.645000000000003</v>
      </c>
      <c r="D177" s="24">
        <v>58.060299999999998</v>
      </c>
      <c r="E177" s="22"/>
      <c r="F177" s="19"/>
      <c r="G177" s="25"/>
    </row>
    <row r="178" spans="1:14" ht="29.1" customHeight="1" x14ac:dyDescent="0.2">
      <c r="A178" s="22"/>
      <c r="B178" s="4" t="s">
        <v>1045</v>
      </c>
      <c r="C178" s="24">
        <v>14.468299999999999</v>
      </c>
      <c r="D178" s="24">
        <v>14.324</v>
      </c>
      <c r="E178" s="22"/>
      <c r="F178" s="19"/>
      <c r="G178" s="25"/>
      <c r="I178" s="80"/>
      <c r="J178" s="80"/>
      <c r="K178" s="80"/>
      <c r="L178" s="80"/>
      <c r="M178" s="80"/>
      <c r="N178" s="80"/>
    </row>
    <row r="179" spans="1:14" ht="29.1" customHeight="1" x14ac:dyDescent="0.2">
      <c r="A179" s="22"/>
      <c r="B179" s="4" t="s">
        <v>1048</v>
      </c>
      <c r="C179" s="24">
        <v>21.4694</v>
      </c>
      <c r="D179" s="24">
        <v>20.88</v>
      </c>
      <c r="E179" s="22"/>
      <c r="F179" s="19"/>
      <c r="G179" s="25"/>
    </row>
    <row r="180" spans="1:14" ht="17.100000000000001" customHeight="1" x14ac:dyDescent="0.2">
      <c r="A180" s="22"/>
      <c r="B180" s="4" t="s">
        <v>171</v>
      </c>
      <c r="C180" s="24">
        <v>52.746200000000002</v>
      </c>
      <c r="D180" s="24">
        <v>52.141100000000002</v>
      </c>
      <c r="E180" s="22"/>
      <c r="F180" s="19"/>
      <c r="G180" s="25"/>
    </row>
    <row r="181" spans="1:14" ht="29.1" customHeight="1" x14ac:dyDescent="0.2">
      <c r="A181" s="22"/>
      <c r="B181" s="4" t="s">
        <v>1046</v>
      </c>
      <c r="C181" s="24">
        <v>14.082700000000001</v>
      </c>
      <c r="D181" s="24">
        <v>13.921099999999999</v>
      </c>
      <c r="E181" s="22"/>
      <c r="F181" s="19"/>
      <c r="G181" s="25"/>
    </row>
    <row r="182" spans="1:14" ht="29.1" customHeight="1" x14ac:dyDescent="0.2">
      <c r="A182" s="22"/>
      <c r="B182" s="4" t="s">
        <v>1050</v>
      </c>
      <c r="C182" s="24">
        <v>15.4373</v>
      </c>
      <c r="D182" s="24">
        <v>14.991</v>
      </c>
      <c r="E182" s="22"/>
      <c r="F182" s="19"/>
      <c r="G182" s="25"/>
    </row>
    <row r="183" spans="1:14" ht="14.1" customHeight="1" x14ac:dyDescent="0.2">
      <c r="A183" s="22"/>
      <c r="B183" s="22"/>
      <c r="C183" s="22"/>
      <c r="D183" s="22"/>
      <c r="E183" s="22"/>
      <c r="F183" s="22"/>
      <c r="G183" s="22"/>
    </row>
    <row r="184" spans="1:14" ht="17.100000000000001" customHeight="1" x14ac:dyDescent="0.2">
      <c r="A184" s="22"/>
      <c r="B184" s="290" t="s">
        <v>1044</v>
      </c>
      <c r="C184" s="291"/>
      <c r="D184" s="2" t="s">
        <v>133</v>
      </c>
      <c r="E184" s="22"/>
      <c r="F184" s="22"/>
      <c r="G184" s="22"/>
    </row>
    <row r="185" spans="1:14" ht="18" customHeight="1" x14ac:dyDescent="0.2">
      <c r="A185" s="74"/>
      <c r="B185" s="75" t="s">
        <v>167</v>
      </c>
      <c r="C185" s="76" t="s">
        <v>872</v>
      </c>
      <c r="D185" s="76" t="s">
        <v>873</v>
      </c>
      <c r="E185" s="74"/>
      <c r="F185" s="74"/>
      <c r="G185" s="74"/>
    </row>
    <row r="186" spans="1:14" ht="29.1" customHeight="1" x14ac:dyDescent="0.2">
      <c r="A186" s="74"/>
      <c r="B186" s="48" t="s">
        <v>1048</v>
      </c>
      <c r="C186" s="77">
        <v>0.375</v>
      </c>
      <c r="D186" s="78" t="s">
        <v>899</v>
      </c>
      <c r="E186" s="74"/>
      <c r="F186" s="69"/>
      <c r="G186" s="79"/>
    </row>
    <row r="187" spans="1:14" ht="29.1" customHeight="1" x14ac:dyDescent="0.2">
      <c r="A187" s="74"/>
      <c r="B187" s="48" t="s">
        <v>1050</v>
      </c>
      <c r="C187" s="77">
        <v>0.26900000000000002</v>
      </c>
      <c r="D187" s="77">
        <v>0.26900000000000002</v>
      </c>
      <c r="E187" s="74"/>
      <c r="F187" s="69"/>
      <c r="G187" s="79"/>
    </row>
    <row r="188" spans="1:14" ht="14.1" customHeight="1" x14ac:dyDescent="0.2">
      <c r="A188" s="22"/>
      <c r="B188" s="19"/>
      <c r="C188" s="19"/>
      <c r="D188" s="22"/>
      <c r="E188" s="22"/>
      <c r="F188" s="22"/>
      <c r="G188" s="22"/>
    </row>
    <row r="189" spans="1:14" ht="29.1" customHeight="1" x14ac:dyDescent="0.2">
      <c r="A189" s="22"/>
      <c r="B189" s="304" t="s">
        <v>172</v>
      </c>
      <c r="C189" s="305"/>
      <c r="D189" s="65" t="s">
        <v>979</v>
      </c>
      <c r="E189" s="22"/>
      <c r="F189" s="22"/>
      <c r="G189" s="22"/>
    </row>
    <row r="190" spans="1:14" ht="29.1" customHeight="1" x14ac:dyDescent="0.2">
      <c r="A190" s="22"/>
      <c r="B190" s="304" t="s">
        <v>173</v>
      </c>
      <c r="C190" s="305"/>
      <c r="D190" s="2" t="s">
        <v>162</v>
      </c>
      <c r="E190" s="22"/>
      <c r="F190" s="22"/>
      <c r="G190" s="22"/>
    </row>
    <row r="191" spans="1:14" ht="17.100000000000001" customHeight="1" x14ac:dyDescent="0.2">
      <c r="A191" s="22"/>
      <c r="B191" s="304" t="s">
        <v>174</v>
      </c>
      <c r="C191" s="305"/>
      <c r="D191" s="28">
        <v>4.2445244780022797</v>
      </c>
      <c r="E191" s="22"/>
      <c r="F191" s="19"/>
      <c r="G191" s="25"/>
    </row>
    <row r="192" spans="1:14" ht="17.100000000000001" customHeight="1" x14ac:dyDescent="0.2">
      <c r="A192" s="22"/>
      <c r="B192" s="304" t="s">
        <v>175</v>
      </c>
      <c r="C192" s="305"/>
      <c r="D192" s="2" t="s">
        <v>162</v>
      </c>
      <c r="E192" s="22"/>
      <c r="F192" s="22"/>
      <c r="G192" s="22"/>
    </row>
    <row r="194" spans="2:4" x14ac:dyDescent="0.2">
      <c r="B194" s="309" t="s">
        <v>1064</v>
      </c>
      <c r="C194" s="310"/>
      <c r="D194" s="311"/>
    </row>
    <row r="195" spans="2:4" ht="63.75" x14ac:dyDescent="0.2">
      <c r="B195" s="308" t="s">
        <v>1065</v>
      </c>
      <c r="C195" s="308"/>
      <c r="D195" s="180" t="s">
        <v>1059</v>
      </c>
    </row>
    <row r="196" spans="2:4" x14ac:dyDescent="0.2">
      <c r="B196" s="308" t="s">
        <v>1066</v>
      </c>
      <c r="C196" s="308"/>
      <c r="D196" s="181"/>
    </row>
    <row r="197" spans="2:4" x14ac:dyDescent="0.2">
      <c r="B197" s="297"/>
      <c r="C197" s="299"/>
      <c r="D197" s="182"/>
    </row>
    <row r="198" spans="2:4" x14ac:dyDescent="0.2">
      <c r="B198" s="308" t="s">
        <v>1070</v>
      </c>
      <c r="C198" s="308"/>
      <c r="D198" s="183">
        <v>6.5914182321891799</v>
      </c>
    </row>
    <row r="199" spans="2:4" x14ac:dyDescent="0.2">
      <c r="B199" s="297"/>
      <c r="C199" s="299"/>
      <c r="D199" s="182"/>
    </row>
    <row r="200" spans="2:4" x14ac:dyDescent="0.2">
      <c r="B200" s="308" t="s">
        <v>1068</v>
      </c>
      <c r="C200" s="308"/>
      <c r="D200" s="183">
        <v>0.58040139203410446</v>
      </c>
    </row>
    <row r="201" spans="2:4" x14ac:dyDescent="0.2">
      <c r="B201" s="308" t="s">
        <v>1069</v>
      </c>
      <c r="C201" s="308"/>
      <c r="D201" s="183">
        <v>0.61090157035517545</v>
      </c>
    </row>
    <row r="202" spans="2:4" x14ac:dyDescent="0.2">
      <c r="B202" s="297"/>
      <c r="C202" s="299"/>
      <c r="D202" s="182"/>
    </row>
    <row r="203" spans="2:4" x14ac:dyDescent="0.2">
      <c r="B203" s="308" t="s">
        <v>1067</v>
      </c>
      <c r="C203" s="308"/>
      <c r="D203" s="184">
        <v>44926</v>
      </c>
    </row>
    <row r="204" spans="2:4" ht="12.75" customHeight="1" x14ac:dyDescent="0.2">
      <c r="B204" s="297" t="s">
        <v>1071</v>
      </c>
      <c r="C204" s="298"/>
      <c r="D204" s="299"/>
    </row>
  </sheetData>
  <mergeCells count="28">
    <mergeCell ref="J2:N2"/>
    <mergeCell ref="A1:H1"/>
    <mergeCell ref="A2:H2"/>
    <mergeCell ref="A3:H3"/>
    <mergeCell ref="B171:C171"/>
    <mergeCell ref="B191:C191"/>
    <mergeCell ref="B172:C172"/>
    <mergeCell ref="B173:C173"/>
    <mergeCell ref="B174:C174"/>
    <mergeCell ref="B184:C184"/>
    <mergeCell ref="B189:C189"/>
    <mergeCell ref="B190:C190"/>
    <mergeCell ref="B204:D204"/>
    <mergeCell ref="B169:F169"/>
    <mergeCell ref="B166:F166"/>
    <mergeCell ref="B168:F168"/>
    <mergeCell ref="B167:F167"/>
    <mergeCell ref="B192:C192"/>
    <mergeCell ref="B194:D194"/>
    <mergeCell ref="B195:C195"/>
    <mergeCell ref="B196:C196"/>
    <mergeCell ref="B197:C197"/>
    <mergeCell ref="B198:C198"/>
    <mergeCell ref="B199:C199"/>
    <mergeCell ref="B200:C200"/>
    <mergeCell ref="B201:C201"/>
    <mergeCell ref="B202:C202"/>
    <mergeCell ref="B203:C203"/>
  </mergeCells>
  <hyperlinks>
    <hyperlink ref="I1" location="Index!B27" display="Index" xr:uid="{1A29440A-8768-4F31-846B-0B8932E6CC1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2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321" t="s">
        <v>1058</v>
      </c>
      <c r="B2" s="322"/>
      <c r="C2" s="322"/>
      <c r="D2" s="322"/>
      <c r="E2" s="322"/>
      <c r="F2" s="322"/>
      <c r="G2" s="322"/>
      <c r="H2" s="323"/>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713000</v>
      </c>
      <c r="F7" s="6">
        <v>6351.7605000000003</v>
      </c>
      <c r="G7" s="7">
        <v>8.0066164999999995E-2</v>
      </c>
      <c r="H7" s="53"/>
    </row>
    <row r="8" spans="1:14" ht="17.100000000000001" customHeight="1" x14ac:dyDescent="0.2">
      <c r="A8" s="3">
        <v>2</v>
      </c>
      <c r="B8" s="4" t="s">
        <v>20</v>
      </c>
      <c r="C8" s="4" t="s">
        <v>21</v>
      </c>
      <c r="D8" s="4" t="s">
        <v>22</v>
      </c>
      <c r="E8" s="5">
        <v>215000</v>
      </c>
      <c r="F8" s="6">
        <v>5476.48</v>
      </c>
      <c r="G8" s="7">
        <v>6.9032947999999997E-2</v>
      </c>
      <c r="H8" s="53"/>
    </row>
    <row r="9" spans="1:14" ht="29.1" customHeight="1" x14ac:dyDescent="0.2">
      <c r="A9" s="3">
        <v>3</v>
      </c>
      <c r="B9" s="4" t="s">
        <v>293</v>
      </c>
      <c r="C9" s="4" t="s">
        <v>294</v>
      </c>
      <c r="D9" s="4" t="s">
        <v>119</v>
      </c>
      <c r="E9" s="5">
        <v>206000</v>
      </c>
      <c r="F9" s="6">
        <v>5433.4560000000001</v>
      </c>
      <c r="G9" s="7">
        <v>6.8490615000000005E-2</v>
      </c>
      <c r="H9" s="53"/>
    </row>
    <row r="10" spans="1:14" ht="17.100000000000001" customHeight="1" x14ac:dyDescent="0.2">
      <c r="A10" s="3">
        <v>4</v>
      </c>
      <c r="B10" s="4" t="s">
        <v>291</v>
      </c>
      <c r="C10" s="4" t="s">
        <v>292</v>
      </c>
      <c r="D10" s="4" t="s">
        <v>900</v>
      </c>
      <c r="E10" s="5">
        <v>313000</v>
      </c>
      <c r="F10" s="6">
        <v>4720.6660000000002</v>
      </c>
      <c r="G10" s="7">
        <v>5.9505648000000001E-2</v>
      </c>
      <c r="H10" s="53"/>
    </row>
    <row r="11" spans="1:14" ht="17.100000000000001" customHeight="1" x14ac:dyDescent="0.2">
      <c r="A11" s="3">
        <v>5</v>
      </c>
      <c r="B11" s="4" t="s">
        <v>336</v>
      </c>
      <c r="C11" s="4" t="s">
        <v>337</v>
      </c>
      <c r="D11" s="4" t="s">
        <v>19</v>
      </c>
      <c r="E11" s="5">
        <v>1248000</v>
      </c>
      <c r="F11" s="6">
        <v>4159.5839999999998</v>
      </c>
      <c r="G11" s="7">
        <v>5.2433013000000001E-2</v>
      </c>
      <c r="H11" s="53"/>
    </row>
    <row r="12" spans="1:14" ht="17.100000000000001" customHeight="1" x14ac:dyDescent="0.2">
      <c r="A12" s="3">
        <v>6</v>
      </c>
      <c r="B12" s="4" t="s">
        <v>29</v>
      </c>
      <c r="C12" s="4" t="s">
        <v>30</v>
      </c>
      <c r="D12" s="4" t="s">
        <v>19</v>
      </c>
      <c r="E12" s="5">
        <v>565000</v>
      </c>
      <c r="F12" s="6">
        <v>3467.4050000000002</v>
      </c>
      <c r="G12" s="7">
        <v>4.3707853999999997E-2</v>
      </c>
      <c r="H12" s="53"/>
    </row>
    <row r="13" spans="1:14" ht="17.100000000000001" customHeight="1" x14ac:dyDescent="0.2">
      <c r="A13" s="3">
        <v>7</v>
      </c>
      <c r="B13" s="4" t="s">
        <v>11</v>
      </c>
      <c r="C13" s="4" t="s">
        <v>12</v>
      </c>
      <c r="D13" s="4" t="s">
        <v>13</v>
      </c>
      <c r="E13" s="5">
        <v>156000</v>
      </c>
      <c r="F13" s="6">
        <v>3253.848</v>
      </c>
      <c r="G13" s="7">
        <v>4.1015892999999998E-2</v>
      </c>
      <c r="H13" s="53"/>
    </row>
    <row r="14" spans="1:14" ht="17.100000000000001" customHeight="1" x14ac:dyDescent="0.2">
      <c r="A14" s="3">
        <v>8</v>
      </c>
      <c r="B14" s="4" t="s">
        <v>348</v>
      </c>
      <c r="C14" s="4" t="s">
        <v>349</v>
      </c>
      <c r="D14" s="4" t="s">
        <v>190</v>
      </c>
      <c r="E14" s="5">
        <v>64955</v>
      </c>
      <c r="F14" s="6">
        <v>2642.8565625000001</v>
      </c>
      <c r="G14" s="7">
        <v>3.3314132000000003E-2</v>
      </c>
      <c r="H14" s="53"/>
      <c r="J14" s="188" t="s">
        <v>1092</v>
      </c>
    </row>
    <row r="15" spans="1:14" ht="17.100000000000001" customHeight="1" x14ac:dyDescent="0.2">
      <c r="A15" s="3">
        <v>9</v>
      </c>
      <c r="B15" s="4" t="s">
        <v>333</v>
      </c>
      <c r="C15" s="48" t="s">
        <v>958</v>
      </c>
      <c r="D15" s="4" t="s">
        <v>16</v>
      </c>
      <c r="E15" s="5">
        <v>581000</v>
      </c>
      <c r="F15" s="6">
        <v>2519.2159999999999</v>
      </c>
      <c r="G15" s="7">
        <v>3.1755600000000002E-2</v>
      </c>
      <c r="H15" s="53"/>
    </row>
    <row r="16" spans="1:14" ht="53.1" customHeight="1" x14ac:dyDescent="0.2">
      <c r="A16" s="3">
        <v>10</v>
      </c>
      <c r="B16" s="4" t="s">
        <v>46</v>
      </c>
      <c r="C16" s="4" t="s">
        <v>47</v>
      </c>
      <c r="D16" s="4" t="s">
        <v>48</v>
      </c>
      <c r="E16" s="5">
        <v>1625000</v>
      </c>
      <c r="F16" s="6">
        <v>2330.25</v>
      </c>
      <c r="G16" s="7">
        <v>2.9373617000000001E-2</v>
      </c>
      <c r="H16" s="53"/>
    </row>
    <row r="17" spans="1:10" ht="17.100000000000001" customHeight="1" x14ac:dyDescent="0.2">
      <c r="A17" s="3">
        <v>11</v>
      </c>
      <c r="B17" s="4" t="s">
        <v>261</v>
      </c>
      <c r="C17" s="4" t="s">
        <v>262</v>
      </c>
      <c r="D17" s="4" t="s">
        <v>119</v>
      </c>
      <c r="E17" s="5">
        <v>149000</v>
      </c>
      <c r="F17" s="6">
        <v>2306.2964999999999</v>
      </c>
      <c r="G17" s="7">
        <v>2.9071675000000002E-2</v>
      </c>
      <c r="H17" s="53"/>
    </row>
    <row r="18" spans="1:10" ht="53.1" customHeight="1" x14ac:dyDescent="0.2">
      <c r="A18" s="3">
        <v>12</v>
      </c>
      <c r="B18" s="4" t="s">
        <v>90</v>
      </c>
      <c r="C18" s="4" t="s">
        <v>91</v>
      </c>
      <c r="D18" s="4" t="s">
        <v>48</v>
      </c>
      <c r="E18" s="5">
        <v>143000</v>
      </c>
      <c r="F18" s="6">
        <v>2099.6689999999999</v>
      </c>
      <c r="G18" s="7">
        <v>2.6467062999999999E-2</v>
      </c>
      <c r="H18" s="53"/>
    </row>
    <row r="19" spans="1:10" ht="17.100000000000001" customHeight="1" x14ac:dyDescent="0.2">
      <c r="A19" s="3">
        <v>13</v>
      </c>
      <c r="B19" s="4" t="s">
        <v>70</v>
      </c>
      <c r="C19" s="4" t="s">
        <v>71</v>
      </c>
      <c r="D19" s="4" t="s">
        <v>72</v>
      </c>
      <c r="E19" s="5">
        <v>25000</v>
      </c>
      <c r="F19" s="6">
        <v>2098.65</v>
      </c>
      <c r="G19" s="7">
        <v>2.6454218000000002E-2</v>
      </c>
      <c r="H19" s="53"/>
    </row>
    <row r="20" spans="1:10" ht="29.1" customHeight="1" x14ac:dyDescent="0.2">
      <c r="A20" s="3">
        <v>14</v>
      </c>
      <c r="B20" s="4" t="s">
        <v>63</v>
      </c>
      <c r="C20" s="4" t="s">
        <v>64</v>
      </c>
      <c r="D20" s="4" t="s">
        <v>65</v>
      </c>
      <c r="E20" s="5">
        <v>2100000</v>
      </c>
      <c r="F20" s="6">
        <v>2097.9</v>
      </c>
      <c r="G20" s="7">
        <v>2.6444763999999999E-2</v>
      </c>
      <c r="H20" s="53"/>
    </row>
    <row r="21" spans="1:10" ht="17.100000000000001" customHeight="1" x14ac:dyDescent="0.2">
      <c r="A21" s="3">
        <v>15</v>
      </c>
      <c r="B21" s="4" t="s">
        <v>499</v>
      </c>
      <c r="C21" s="4" t="s">
        <v>500</v>
      </c>
      <c r="D21" s="4" t="s">
        <v>320</v>
      </c>
      <c r="E21" s="5">
        <v>45000</v>
      </c>
      <c r="F21" s="6">
        <v>2063.6550000000002</v>
      </c>
      <c r="G21" s="7">
        <v>2.6013094E-2</v>
      </c>
      <c r="H21" s="53"/>
      <c r="J21" s="188" t="s">
        <v>1093</v>
      </c>
    </row>
    <row r="22" spans="1:10" ht="29.1" customHeight="1" x14ac:dyDescent="0.2">
      <c r="A22" s="3">
        <v>16</v>
      </c>
      <c r="B22" s="4" t="s">
        <v>117</v>
      </c>
      <c r="C22" s="4" t="s">
        <v>118</v>
      </c>
      <c r="D22" s="4" t="s">
        <v>119</v>
      </c>
      <c r="E22" s="5">
        <v>273000</v>
      </c>
      <c r="F22" s="6">
        <v>1973.5170000000001</v>
      </c>
      <c r="G22" s="7">
        <v>2.4876873000000001E-2</v>
      </c>
      <c r="H22" s="53"/>
    </row>
    <row r="23" spans="1:10" ht="29.1" customHeight="1" x14ac:dyDescent="0.2">
      <c r="A23" s="3">
        <v>17</v>
      </c>
      <c r="B23" s="4" t="s">
        <v>79</v>
      </c>
      <c r="C23" s="4" t="s">
        <v>80</v>
      </c>
      <c r="D23" s="4" t="s">
        <v>25</v>
      </c>
      <c r="E23" s="5">
        <v>8000</v>
      </c>
      <c r="F23" s="6">
        <v>1863.1559999999999</v>
      </c>
      <c r="G23" s="7">
        <v>2.3485734000000001E-2</v>
      </c>
      <c r="H23" s="53"/>
    </row>
    <row r="24" spans="1:10" ht="17.100000000000001" customHeight="1" x14ac:dyDescent="0.2">
      <c r="A24" s="3">
        <v>18</v>
      </c>
      <c r="B24" s="4" t="s">
        <v>75</v>
      </c>
      <c r="C24" s="4" t="s">
        <v>76</v>
      </c>
      <c r="D24" s="4" t="s">
        <v>45</v>
      </c>
      <c r="E24" s="5">
        <v>661667</v>
      </c>
      <c r="F24" s="6">
        <v>1721.9883675000001</v>
      </c>
      <c r="G24" s="7">
        <v>2.1706265999999998E-2</v>
      </c>
      <c r="H24" s="53"/>
    </row>
    <row r="25" spans="1:10" ht="17.100000000000001" customHeight="1" x14ac:dyDescent="0.2">
      <c r="A25" s="3">
        <v>19</v>
      </c>
      <c r="B25" s="4" t="s">
        <v>97</v>
      </c>
      <c r="C25" s="4" t="s">
        <v>98</v>
      </c>
      <c r="D25" s="4" t="s">
        <v>96</v>
      </c>
      <c r="E25" s="5">
        <v>193000</v>
      </c>
      <c r="F25" s="6">
        <v>1675.1434999999999</v>
      </c>
      <c r="G25" s="7">
        <v>2.1115769999999999E-2</v>
      </c>
      <c r="H25" s="53"/>
    </row>
    <row r="26" spans="1:10" ht="29.1" customHeight="1" x14ac:dyDescent="0.2">
      <c r="A26" s="3">
        <v>20</v>
      </c>
      <c r="B26" s="4" t="s">
        <v>197</v>
      </c>
      <c r="C26" s="4" t="s">
        <v>198</v>
      </c>
      <c r="D26" s="4" t="s">
        <v>199</v>
      </c>
      <c r="E26" s="5">
        <v>40584</v>
      </c>
      <c r="F26" s="6">
        <v>1651.46442</v>
      </c>
      <c r="G26" s="7">
        <v>2.0817287E-2</v>
      </c>
      <c r="H26" s="53"/>
    </row>
    <row r="27" spans="1:10" ht="17.100000000000001" customHeight="1" x14ac:dyDescent="0.2">
      <c r="A27" s="3">
        <v>21</v>
      </c>
      <c r="B27" s="4" t="s">
        <v>220</v>
      </c>
      <c r="C27" s="4" t="s">
        <v>221</v>
      </c>
      <c r="D27" s="4" t="s">
        <v>187</v>
      </c>
      <c r="E27" s="5">
        <v>96000</v>
      </c>
      <c r="F27" s="6">
        <v>1631.808</v>
      </c>
      <c r="G27" s="7">
        <v>2.0569510999999999E-2</v>
      </c>
      <c r="H27" s="53"/>
    </row>
    <row r="28" spans="1:10" ht="17.100000000000001" customHeight="1" x14ac:dyDescent="0.2">
      <c r="A28" s="3">
        <v>22</v>
      </c>
      <c r="B28" s="4" t="s">
        <v>238</v>
      </c>
      <c r="C28" s="4" t="s">
        <v>239</v>
      </c>
      <c r="D28" s="4" t="s">
        <v>237</v>
      </c>
      <c r="E28" s="5">
        <v>549355</v>
      </c>
      <c r="F28" s="6">
        <v>1571.704655</v>
      </c>
      <c r="G28" s="7">
        <v>1.9811887E-2</v>
      </c>
      <c r="H28" s="53"/>
    </row>
    <row r="29" spans="1:10" ht="17.100000000000001" customHeight="1" x14ac:dyDescent="0.2">
      <c r="A29" s="3">
        <v>23</v>
      </c>
      <c r="B29" s="4" t="s">
        <v>350</v>
      </c>
      <c r="C29" s="4" t="s">
        <v>351</v>
      </c>
      <c r="D29" s="4" t="s">
        <v>72</v>
      </c>
      <c r="E29" s="5">
        <v>362330</v>
      </c>
      <c r="F29" s="6">
        <v>1405.6592350000001</v>
      </c>
      <c r="G29" s="7">
        <v>1.7718826999999999E-2</v>
      </c>
      <c r="H29" s="53"/>
    </row>
    <row r="30" spans="1:10" ht="17.100000000000001" customHeight="1" x14ac:dyDescent="0.2">
      <c r="A30" s="3">
        <v>24</v>
      </c>
      <c r="B30" s="4" t="s">
        <v>287</v>
      </c>
      <c r="C30" s="4" t="s">
        <v>288</v>
      </c>
      <c r="D30" s="4" t="s">
        <v>116</v>
      </c>
      <c r="E30" s="5">
        <v>36000</v>
      </c>
      <c r="F30" s="6">
        <v>1405.6559999999999</v>
      </c>
      <c r="G30" s="7">
        <v>1.7718786E-2</v>
      </c>
      <c r="H30" s="53"/>
    </row>
    <row r="31" spans="1:10" ht="17.100000000000001" customHeight="1" x14ac:dyDescent="0.2">
      <c r="A31" s="3">
        <v>25</v>
      </c>
      <c r="B31" s="4" t="s">
        <v>66</v>
      </c>
      <c r="C31" s="4" t="s">
        <v>67</v>
      </c>
      <c r="D31" s="4" t="s">
        <v>28</v>
      </c>
      <c r="E31" s="5">
        <v>657694</v>
      </c>
      <c r="F31" s="6">
        <v>1366.030438</v>
      </c>
      <c r="G31" s="7">
        <v>1.7219292000000001E-2</v>
      </c>
      <c r="H31" s="53"/>
    </row>
    <row r="32" spans="1:10" ht="17.100000000000001" customHeight="1" x14ac:dyDescent="0.2">
      <c r="A32" s="3">
        <v>26</v>
      </c>
      <c r="B32" s="4" t="s">
        <v>112</v>
      </c>
      <c r="C32" s="4" t="s">
        <v>113</v>
      </c>
      <c r="D32" s="4" t="s">
        <v>87</v>
      </c>
      <c r="E32" s="5">
        <v>271788</v>
      </c>
      <c r="F32" s="6">
        <v>1140.15066</v>
      </c>
      <c r="G32" s="7">
        <v>1.4371998E-2</v>
      </c>
      <c r="H32" s="53"/>
    </row>
    <row r="33" spans="1:8" ht="17.100000000000001" customHeight="1" x14ac:dyDescent="0.2">
      <c r="A33" s="3">
        <v>27</v>
      </c>
      <c r="B33" s="4" t="s">
        <v>43</v>
      </c>
      <c r="C33" s="4" t="s">
        <v>44</v>
      </c>
      <c r="D33" s="4" t="s">
        <v>45</v>
      </c>
      <c r="E33" s="5">
        <v>41000</v>
      </c>
      <c r="F33" s="6">
        <v>1100.03</v>
      </c>
      <c r="G33" s="7">
        <v>1.3866263E-2</v>
      </c>
      <c r="H33" s="53"/>
    </row>
    <row r="34" spans="1:8" ht="17.100000000000001" customHeight="1" x14ac:dyDescent="0.2">
      <c r="A34" s="3">
        <v>28</v>
      </c>
      <c r="B34" s="4" t="s">
        <v>340</v>
      </c>
      <c r="C34" s="4" t="s">
        <v>341</v>
      </c>
      <c r="D34" s="4" t="s">
        <v>224</v>
      </c>
      <c r="E34" s="5">
        <v>335000</v>
      </c>
      <c r="F34" s="6">
        <v>1067.4775</v>
      </c>
      <c r="G34" s="7">
        <v>1.3455928000000001E-2</v>
      </c>
      <c r="H34" s="53"/>
    </row>
    <row r="35" spans="1:8" ht="17.100000000000001" customHeight="1" x14ac:dyDescent="0.2">
      <c r="A35" s="3">
        <v>29</v>
      </c>
      <c r="B35" s="4" t="s">
        <v>358</v>
      </c>
      <c r="C35" s="4" t="s">
        <v>359</v>
      </c>
      <c r="D35" s="4" t="s">
        <v>116</v>
      </c>
      <c r="E35" s="5">
        <v>86708</v>
      </c>
      <c r="F35" s="6">
        <v>789.08615399999996</v>
      </c>
      <c r="G35" s="7">
        <v>9.9467070000000008E-3</v>
      </c>
      <c r="H35" s="53"/>
    </row>
    <row r="36" spans="1:8" ht="17.100000000000001" customHeight="1" x14ac:dyDescent="0.2">
      <c r="A36" s="3">
        <v>30</v>
      </c>
      <c r="B36" s="4" t="s">
        <v>127</v>
      </c>
      <c r="C36" s="4" t="s">
        <v>128</v>
      </c>
      <c r="D36" s="4" t="s">
        <v>119</v>
      </c>
      <c r="E36" s="5">
        <v>143000</v>
      </c>
      <c r="F36" s="6">
        <v>323.62329999999997</v>
      </c>
      <c r="G36" s="7">
        <v>4.0793849999999996E-3</v>
      </c>
      <c r="H36" s="53"/>
    </row>
    <row r="37" spans="1:8" ht="14.1" customHeight="1" x14ac:dyDescent="0.2">
      <c r="A37" s="1"/>
      <c r="B37" s="1"/>
      <c r="C37" s="2" t="s">
        <v>132</v>
      </c>
      <c r="D37" s="1"/>
      <c r="E37" s="1" t="s">
        <v>133</v>
      </c>
      <c r="F37" s="9">
        <v>71708.187791999997</v>
      </c>
      <c r="G37" s="10">
        <v>0.90390681299999998</v>
      </c>
      <c r="H37" s="53"/>
    </row>
    <row r="38" spans="1:8" ht="14.1" customHeight="1" x14ac:dyDescent="0.2">
      <c r="A38" s="1"/>
      <c r="B38" s="1"/>
      <c r="C38" s="11"/>
      <c r="D38" s="1"/>
      <c r="E38" s="1"/>
      <c r="F38" s="12"/>
      <c r="G38" s="12"/>
      <c r="H38" s="53"/>
    </row>
    <row r="39" spans="1:8" ht="14.1" customHeight="1" x14ac:dyDescent="0.2">
      <c r="A39" s="1"/>
      <c r="B39" s="1"/>
      <c r="C39" s="2" t="s">
        <v>134</v>
      </c>
      <c r="D39" s="1"/>
      <c r="E39" s="1"/>
      <c r="F39" s="1"/>
      <c r="G39" s="1"/>
      <c r="H39" s="53"/>
    </row>
    <row r="40" spans="1:8" ht="14.1" customHeight="1" x14ac:dyDescent="0.2">
      <c r="A40" s="1"/>
      <c r="B40" s="1"/>
      <c r="C40" s="2" t="s">
        <v>132</v>
      </c>
      <c r="D40" s="1"/>
      <c r="E40" s="1" t="s">
        <v>133</v>
      </c>
      <c r="F40" s="13">
        <v>0</v>
      </c>
      <c r="G40" s="14">
        <v>0</v>
      </c>
      <c r="H40" s="53"/>
    </row>
    <row r="41" spans="1:8" ht="14.1" customHeight="1" x14ac:dyDescent="0.2">
      <c r="A41" s="1"/>
      <c r="B41" s="1"/>
      <c r="C41" s="11"/>
      <c r="D41" s="1"/>
      <c r="E41" s="1"/>
      <c r="F41" s="12"/>
      <c r="G41" s="12"/>
      <c r="H41" s="53"/>
    </row>
    <row r="42" spans="1:8" ht="14.1" customHeight="1" x14ac:dyDescent="0.2">
      <c r="A42" s="1"/>
      <c r="B42" s="1"/>
      <c r="C42" s="2" t="s">
        <v>135</v>
      </c>
      <c r="D42" s="1"/>
      <c r="E42" s="1"/>
      <c r="F42" s="1"/>
      <c r="G42" s="1"/>
      <c r="H42" s="53"/>
    </row>
    <row r="43" spans="1:8" ht="14.1" customHeight="1" x14ac:dyDescent="0.2">
      <c r="A43" s="1"/>
      <c r="B43" s="1"/>
      <c r="C43" s="2" t="s">
        <v>132</v>
      </c>
      <c r="D43" s="1"/>
      <c r="E43" s="1" t="s">
        <v>133</v>
      </c>
      <c r="F43" s="13">
        <v>0</v>
      </c>
      <c r="G43" s="14">
        <v>0</v>
      </c>
      <c r="H43" s="53"/>
    </row>
    <row r="44" spans="1:8" ht="14.1" customHeight="1" x14ac:dyDescent="0.2">
      <c r="A44" s="1"/>
      <c r="B44" s="1"/>
      <c r="C44" s="11"/>
      <c r="D44" s="1"/>
      <c r="E44" s="1"/>
      <c r="F44" s="12"/>
      <c r="G44" s="12"/>
      <c r="H44" s="53"/>
    </row>
    <row r="45" spans="1:8" ht="14.1" customHeight="1" x14ac:dyDescent="0.2">
      <c r="A45" s="1"/>
      <c r="B45" s="1"/>
      <c r="C45" s="2" t="s">
        <v>136</v>
      </c>
      <c r="D45" s="1"/>
      <c r="E45" s="1"/>
      <c r="F45" s="1"/>
      <c r="G45" s="1"/>
      <c r="H45" s="53"/>
    </row>
    <row r="46" spans="1:8" ht="14.1" customHeight="1" x14ac:dyDescent="0.2">
      <c r="A46" s="1"/>
      <c r="B46" s="1"/>
      <c r="C46" s="2" t="s">
        <v>132</v>
      </c>
      <c r="D46" s="1"/>
      <c r="E46" s="1" t="s">
        <v>133</v>
      </c>
      <c r="F46" s="9">
        <v>0</v>
      </c>
      <c r="G46" s="10">
        <v>0</v>
      </c>
      <c r="H46" s="53"/>
    </row>
    <row r="47" spans="1:8" ht="14.1" customHeight="1" x14ac:dyDescent="0.2">
      <c r="A47" s="1"/>
      <c r="B47" s="1"/>
      <c r="C47" s="11"/>
      <c r="D47" s="1"/>
      <c r="E47" s="1"/>
      <c r="F47" s="12"/>
      <c r="G47" s="12"/>
      <c r="H47" s="53"/>
    </row>
    <row r="48" spans="1:8" ht="14.1" customHeight="1" x14ac:dyDescent="0.2">
      <c r="A48" s="1"/>
      <c r="B48" s="1"/>
      <c r="C48" s="2" t="s">
        <v>137</v>
      </c>
      <c r="D48" s="1"/>
      <c r="E48" s="1"/>
      <c r="F48" s="12"/>
      <c r="G48" s="12"/>
      <c r="H48" s="53"/>
    </row>
    <row r="49" spans="1:8" ht="14.1" customHeight="1" x14ac:dyDescent="0.2">
      <c r="A49" s="1"/>
      <c r="B49" s="1"/>
      <c r="C49" s="2" t="s">
        <v>132</v>
      </c>
      <c r="D49" s="1"/>
      <c r="E49" s="1" t="s">
        <v>133</v>
      </c>
      <c r="F49" s="13">
        <v>0</v>
      </c>
      <c r="G49" s="14">
        <v>0</v>
      </c>
      <c r="H49" s="53"/>
    </row>
    <row r="50" spans="1:8" ht="14.1" customHeight="1" x14ac:dyDescent="0.2">
      <c r="A50" s="1"/>
      <c r="B50" s="1"/>
      <c r="C50" s="11"/>
      <c r="D50" s="1"/>
      <c r="E50" s="1"/>
      <c r="F50" s="12"/>
      <c r="G50" s="12"/>
      <c r="H50" s="53"/>
    </row>
    <row r="51" spans="1:8" ht="14.1" customHeight="1" x14ac:dyDescent="0.2">
      <c r="A51" s="1"/>
      <c r="B51" s="1"/>
      <c r="C51" s="2" t="s">
        <v>138</v>
      </c>
      <c r="D51" s="1"/>
      <c r="E51" s="1"/>
      <c r="F51" s="12"/>
      <c r="G51" s="12"/>
      <c r="H51" s="53"/>
    </row>
    <row r="52" spans="1:8" ht="14.1" customHeight="1" x14ac:dyDescent="0.2">
      <c r="A52" s="1"/>
      <c r="B52" s="1"/>
      <c r="C52" s="2" t="s">
        <v>132</v>
      </c>
      <c r="D52" s="1"/>
      <c r="E52" s="1" t="s">
        <v>133</v>
      </c>
      <c r="F52" s="13">
        <v>0</v>
      </c>
      <c r="G52" s="14">
        <v>0</v>
      </c>
      <c r="H52" s="53"/>
    </row>
    <row r="53" spans="1:8" ht="14.1" customHeight="1" x14ac:dyDescent="0.2">
      <c r="A53" s="1"/>
      <c r="B53" s="1"/>
      <c r="C53" s="11"/>
      <c r="D53" s="1"/>
      <c r="E53" s="1"/>
      <c r="F53" s="12"/>
      <c r="G53" s="12"/>
      <c r="H53" s="53"/>
    </row>
    <row r="54" spans="1:8" ht="18" customHeight="1" x14ac:dyDescent="0.2">
      <c r="A54" s="1"/>
      <c r="B54" s="1"/>
      <c r="C54" s="2" t="s">
        <v>139</v>
      </c>
      <c r="D54" s="1"/>
      <c r="E54" s="1"/>
      <c r="F54" s="9">
        <v>71708.187791999997</v>
      </c>
      <c r="G54" s="10">
        <v>0.90390681299999998</v>
      </c>
      <c r="H54" s="53"/>
    </row>
    <row r="55" spans="1:8" ht="14.1" customHeight="1" x14ac:dyDescent="0.2">
      <c r="A55" s="1"/>
      <c r="B55" s="1"/>
      <c r="C55" s="11"/>
      <c r="D55" s="1"/>
      <c r="E55" s="1"/>
      <c r="F55" s="12"/>
      <c r="G55" s="12"/>
      <c r="H55" s="53"/>
    </row>
    <row r="56" spans="1:8" ht="14.1" customHeight="1" x14ac:dyDescent="0.2">
      <c r="A56" s="1"/>
      <c r="B56" s="1"/>
      <c r="C56" s="2" t="s">
        <v>140</v>
      </c>
      <c r="D56" s="1"/>
      <c r="E56" s="1"/>
      <c r="F56" s="12"/>
      <c r="G56" s="12"/>
      <c r="H56" s="53"/>
    </row>
    <row r="57" spans="1:8" ht="24" customHeight="1" x14ac:dyDescent="0.2">
      <c r="A57" s="1"/>
      <c r="B57" s="1"/>
      <c r="C57" s="2" t="s">
        <v>10</v>
      </c>
      <c r="D57" s="1"/>
      <c r="E57" s="1"/>
      <c r="F57" s="12"/>
      <c r="G57" s="12"/>
      <c r="H57" s="53"/>
    </row>
    <row r="58" spans="1:8" ht="14.1" customHeight="1" x14ac:dyDescent="0.2">
      <c r="A58" s="1"/>
      <c r="B58" s="1"/>
      <c r="C58" s="2" t="s">
        <v>132</v>
      </c>
      <c r="D58" s="1"/>
      <c r="E58" s="1" t="s">
        <v>133</v>
      </c>
      <c r="F58" s="13">
        <v>0</v>
      </c>
      <c r="G58" s="14">
        <v>0</v>
      </c>
      <c r="H58" s="53"/>
    </row>
    <row r="59" spans="1:8" ht="14.1" customHeight="1" x14ac:dyDescent="0.2">
      <c r="A59" s="1"/>
      <c r="B59" s="1"/>
      <c r="C59" s="11"/>
      <c r="D59" s="1"/>
      <c r="E59" s="1"/>
      <c r="F59" s="12"/>
      <c r="G59" s="12"/>
      <c r="H59" s="53"/>
    </row>
    <row r="60" spans="1:8" ht="14.1" customHeight="1" x14ac:dyDescent="0.2">
      <c r="A60" s="1"/>
      <c r="B60" s="1"/>
      <c r="C60" s="2" t="s">
        <v>141</v>
      </c>
      <c r="D60" s="1"/>
      <c r="E60" s="1"/>
      <c r="F60" s="1"/>
      <c r="G60" s="1"/>
      <c r="H60" s="53"/>
    </row>
    <row r="61" spans="1:8" ht="14.1" customHeight="1" x14ac:dyDescent="0.2">
      <c r="A61" s="1"/>
      <c r="B61" s="1"/>
      <c r="C61" s="2" t="s">
        <v>132</v>
      </c>
      <c r="D61" s="1"/>
      <c r="E61" s="1" t="s">
        <v>133</v>
      </c>
      <c r="F61" s="13">
        <v>0</v>
      </c>
      <c r="G61" s="14">
        <v>0</v>
      </c>
      <c r="H61" s="53"/>
    </row>
    <row r="62" spans="1:8" ht="14.1" customHeight="1" x14ac:dyDescent="0.2">
      <c r="A62" s="1"/>
      <c r="B62" s="1"/>
      <c r="C62" s="11"/>
      <c r="D62" s="1"/>
      <c r="E62" s="1"/>
      <c r="F62" s="12"/>
      <c r="G62" s="12"/>
      <c r="H62" s="53"/>
    </row>
    <row r="63" spans="1:8" ht="14.1" customHeight="1" x14ac:dyDescent="0.2">
      <c r="A63" s="1"/>
      <c r="B63" s="1"/>
      <c r="C63" s="2" t="s">
        <v>142</v>
      </c>
      <c r="D63" s="1"/>
      <c r="E63" s="1"/>
      <c r="F63" s="1"/>
      <c r="G63" s="1"/>
      <c r="H63" s="53"/>
    </row>
    <row r="64" spans="1:8" ht="14.1" customHeight="1" x14ac:dyDescent="0.2">
      <c r="A64" s="1"/>
      <c r="B64" s="1"/>
      <c r="C64" s="2" t="s">
        <v>132</v>
      </c>
      <c r="D64" s="1"/>
      <c r="E64" s="1" t="s">
        <v>133</v>
      </c>
      <c r="F64" s="13">
        <v>0</v>
      </c>
      <c r="G64" s="14">
        <v>0</v>
      </c>
      <c r="H64" s="53"/>
    </row>
    <row r="65" spans="1:8" ht="14.1" customHeight="1" x14ac:dyDescent="0.2">
      <c r="A65" s="1"/>
      <c r="B65" s="1"/>
      <c r="C65" s="11"/>
      <c r="D65" s="1"/>
      <c r="E65" s="1"/>
      <c r="F65" s="12"/>
      <c r="G65" s="12"/>
      <c r="H65" s="53"/>
    </row>
    <row r="66" spans="1:8" ht="14.1" customHeight="1" x14ac:dyDescent="0.2">
      <c r="A66" s="1"/>
      <c r="B66" s="1"/>
      <c r="C66" s="2" t="s">
        <v>143</v>
      </c>
      <c r="D66" s="1"/>
      <c r="E66" s="1"/>
      <c r="F66" s="12"/>
      <c r="G66" s="12"/>
      <c r="H66" s="53"/>
    </row>
    <row r="67" spans="1:8" ht="14.1" customHeight="1" x14ac:dyDescent="0.2">
      <c r="A67" s="1"/>
      <c r="B67" s="1"/>
      <c r="C67" s="2" t="s">
        <v>132</v>
      </c>
      <c r="D67" s="1"/>
      <c r="E67" s="1" t="s">
        <v>133</v>
      </c>
      <c r="F67" s="13">
        <v>0</v>
      </c>
      <c r="G67" s="14">
        <v>0</v>
      </c>
      <c r="H67" s="53"/>
    </row>
    <row r="68" spans="1:8" ht="14.1" customHeight="1" x14ac:dyDescent="0.2">
      <c r="A68" s="1"/>
      <c r="B68" s="1"/>
      <c r="C68" s="11"/>
      <c r="D68" s="1"/>
      <c r="E68" s="1"/>
      <c r="F68" s="12"/>
      <c r="G68" s="12"/>
      <c r="H68" s="53"/>
    </row>
    <row r="69" spans="1:8" ht="14.1" customHeight="1" x14ac:dyDescent="0.2">
      <c r="A69" s="1"/>
      <c r="B69" s="1"/>
      <c r="C69" s="2" t="s">
        <v>144</v>
      </c>
      <c r="D69" s="1"/>
      <c r="E69" s="1"/>
      <c r="F69" s="9">
        <v>0</v>
      </c>
      <c r="G69" s="10">
        <v>0</v>
      </c>
      <c r="H69" s="53"/>
    </row>
    <row r="70" spans="1:8" ht="14.1" customHeight="1" x14ac:dyDescent="0.2">
      <c r="A70" s="1"/>
      <c r="B70" s="1"/>
      <c r="C70" s="11"/>
      <c r="D70" s="1"/>
      <c r="E70" s="1"/>
      <c r="F70" s="12"/>
      <c r="G70" s="12"/>
      <c r="H70" s="53"/>
    </row>
    <row r="71" spans="1:8" ht="14.1" customHeight="1" x14ac:dyDescent="0.2">
      <c r="A71" s="1"/>
      <c r="B71" s="1"/>
      <c r="C71" s="2" t="s">
        <v>145</v>
      </c>
      <c r="D71" s="1"/>
      <c r="E71" s="1"/>
      <c r="F71" s="12"/>
      <c r="G71" s="12"/>
      <c r="H71" s="53"/>
    </row>
    <row r="72" spans="1:8" ht="14.1" customHeight="1" x14ac:dyDescent="0.2">
      <c r="A72" s="1"/>
      <c r="B72" s="1"/>
      <c r="C72" s="2" t="s">
        <v>146</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4.1" customHeight="1" x14ac:dyDescent="0.2">
      <c r="A75" s="1"/>
      <c r="B75" s="1"/>
      <c r="C75" s="2" t="s">
        <v>147</v>
      </c>
      <c r="D75" s="1"/>
      <c r="E75" s="1"/>
      <c r="F75" s="12"/>
      <c r="G75" s="12"/>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4.1" customHeight="1" x14ac:dyDescent="0.2">
      <c r="A78" s="1"/>
      <c r="B78" s="1"/>
      <c r="C78" s="2" t="s">
        <v>148</v>
      </c>
      <c r="D78" s="1"/>
      <c r="E78" s="1"/>
      <c r="F78" s="12"/>
      <c r="G78" s="12"/>
      <c r="H78" s="53"/>
    </row>
    <row r="79" spans="1:8" ht="14.1" customHeight="1" x14ac:dyDescent="0.2">
      <c r="A79" s="1"/>
      <c r="B79" s="1"/>
      <c r="C79" s="2" t="s">
        <v>132</v>
      </c>
      <c r="D79" s="1"/>
      <c r="E79" s="1" t="s">
        <v>133</v>
      </c>
      <c r="F79" s="13">
        <v>0</v>
      </c>
      <c r="G79" s="14">
        <v>0</v>
      </c>
      <c r="H79" s="53"/>
    </row>
    <row r="80" spans="1:8" ht="14.1" customHeight="1" x14ac:dyDescent="0.2">
      <c r="A80" s="1"/>
      <c r="B80" s="1"/>
      <c r="C80" s="11"/>
      <c r="D80" s="1"/>
      <c r="E80" s="1"/>
      <c r="F80" s="12"/>
      <c r="G80" s="12"/>
      <c r="H80" s="53"/>
    </row>
    <row r="81" spans="1:8" ht="14.1" customHeight="1" x14ac:dyDescent="0.2">
      <c r="A81" s="1"/>
      <c r="B81" s="1"/>
      <c r="C81" s="2" t="s">
        <v>149</v>
      </c>
      <c r="D81" s="1"/>
      <c r="E81" s="1"/>
      <c r="F81" s="12"/>
      <c r="G81" s="12"/>
      <c r="H81" s="53"/>
    </row>
    <row r="82" spans="1:8" ht="17.100000000000001" customHeight="1" x14ac:dyDescent="0.2">
      <c r="A82" s="3">
        <v>1</v>
      </c>
      <c r="B82" s="4"/>
      <c r="C82" s="4" t="s">
        <v>150</v>
      </c>
      <c r="D82" s="4"/>
      <c r="E82" s="8"/>
      <c r="F82" s="6">
        <v>7774.7638598000003</v>
      </c>
      <c r="G82" s="7">
        <v>9.800362E-2</v>
      </c>
      <c r="H82" s="53">
        <v>6.46</v>
      </c>
    </row>
    <row r="83" spans="1:8" ht="14.1" customHeight="1" x14ac:dyDescent="0.2">
      <c r="A83" s="1"/>
      <c r="B83" s="1"/>
      <c r="C83" s="2" t="s">
        <v>132</v>
      </c>
      <c r="D83" s="1"/>
      <c r="E83" s="1" t="s">
        <v>133</v>
      </c>
      <c r="F83" s="9">
        <v>7774.7638598000003</v>
      </c>
      <c r="G83" s="10">
        <v>9.800362E-2</v>
      </c>
      <c r="H83" s="53"/>
    </row>
    <row r="84" spans="1:8" ht="14.1" customHeight="1" x14ac:dyDescent="0.2">
      <c r="A84" s="1"/>
      <c r="B84" s="1"/>
      <c r="C84" s="11"/>
      <c r="D84" s="1"/>
      <c r="E84" s="1"/>
      <c r="F84" s="12"/>
      <c r="G84" s="12"/>
      <c r="H84" s="53"/>
    </row>
    <row r="85" spans="1:8" ht="14.1" customHeight="1" x14ac:dyDescent="0.2">
      <c r="A85" s="1"/>
      <c r="B85" s="1"/>
      <c r="C85" s="2" t="s">
        <v>151</v>
      </c>
      <c r="D85" s="1"/>
      <c r="E85" s="1"/>
      <c r="F85" s="9">
        <v>7774.7638598000003</v>
      </c>
      <c r="G85" s="10">
        <v>9.800362E-2</v>
      </c>
      <c r="H85" s="53"/>
    </row>
    <row r="86" spans="1:8" ht="14.1" customHeight="1" x14ac:dyDescent="0.2">
      <c r="A86" s="1"/>
      <c r="B86" s="1"/>
      <c r="C86" s="12"/>
      <c r="D86" s="1"/>
      <c r="E86" s="1"/>
      <c r="F86" s="1"/>
      <c r="G86" s="1"/>
      <c r="H86" s="53"/>
    </row>
    <row r="87" spans="1:8" ht="14.1" customHeight="1" x14ac:dyDescent="0.2">
      <c r="A87" s="1"/>
      <c r="B87" s="1"/>
      <c r="C87" s="2" t="s">
        <v>152</v>
      </c>
      <c r="D87" s="1"/>
      <c r="E87" s="1"/>
      <c r="F87" s="1"/>
      <c r="G87" s="1"/>
      <c r="H87" s="53"/>
    </row>
    <row r="88" spans="1:8" ht="14.1" customHeight="1" x14ac:dyDescent="0.2">
      <c r="A88" s="1"/>
      <c r="B88" s="1"/>
      <c r="C88" s="2" t="s">
        <v>153</v>
      </c>
      <c r="D88" s="1"/>
      <c r="E88" s="1"/>
      <c r="F88" s="1"/>
      <c r="G88" s="1"/>
      <c r="H88" s="53"/>
    </row>
    <row r="89" spans="1:8" ht="14.1" customHeight="1" x14ac:dyDescent="0.2">
      <c r="A89" s="1"/>
      <c r="B89" s="1"/>
      <c r="C89" s="2" t="s">
        <v>132</v>
      </c>
      <c r="D89" s="1"/>
      <c r="E89" s="1" t="s">
        <v>133</v>
      </c>
      <c r="F89" s="13">
        <v>0</v>
      </c>
      <c r="G89" s="14">
        <v>0</v>
      </c>
      <c r="H89" s="53"/>
    </row>
    <row r="90" spans="1:8" ht="14.1" customHeight="1" x14ac:dyDescent="0.2">
      <c r="A90" s="1"/>
      <c r="B90" s="1"/>
      <c r="C90" s="11"/>
      <c r="D90" s="1"/>
      <c r="E90" s="1"/>
      <c r="F90" s="12"/>
      <c r="G90" s="12"/>
      <c r="H90" s="53"/>
    </row>
    <row r="91" spans="1:8" ht="14.1" customHeight="1" x14ac:dyDescent="0.2">
      <c r="A91" s="1"/>
      <c r="B91" s="1"/>
      <c r="C91" s="2" t="s">
        <v>154</v>
      </c>
      <c r="D91" s="1"/>
      <c r="E91" s="1"/>
      <c r="F91" s="1"/>
      <c r="G91" s="1"/>
      <c r="H91" s="53"/>
    </row>
    <row r="92" spans="1:8" ht="14.1" customHeight="1" x14ac:dyDescent="0.2">
      <c r="A92" s="1"/>
      <c r="B92" s="1"/>
      <c r="C92" s="2" t="s">
        <v>155</v>
      </c>
      <c r="D92" s="1"/>
      <c r="E92" s="1"/>
      <c r="F92" s="1"/>
      <c r="G92" s="1"/>
      <c r="H92" s="53"/>
    </row>
    <row r="93" spans="1:8" ht="14.1" customHeight="1" x14ac:dyDescent="0.2">
      <c r="A93" s="1"/>
      <c r="B93" s="1"/>
      <c r="C93" s="2" t="s">
        <v>132</v>
      </c>
      <c r="D93" s="1"/>
      <c r="E93" s="1" t="s">
        <v>133</v>
      </c>
      <c r="F93" s="13">
        <v>0</v>
      </c>
      <c r="G93" s="14">
        <v>0</v>
      </c>
      <c r="H93" s="53"/>
    </row>
    <row r="94" spans="1:8" ht="14.1" customHeight="1" x14ac:dyDescent="0.2">
      <c r="A94" s="1"/>
      <c r="B94" s="1"/>
      <c r="C94" s="11"/>
      <c r="D94" s="1"/>
      <c r="E94" s="1"/>
      <c r="F94" s="12"/>
      <c r="G94" s="12"/>
      <c r="H94" s="53"/>
    </row>
    <row r="95" spans="1:8" ht="14.1" customHeight="1" x14ac:dyDescent="0.2">
      <c r="A95" s="1"/>
      <c r="B95" s="1"/>
      <c r="C95" s="11"/>
      <c r="D95" s="1"/>
      <c r="E95" s="1"/>
      <c r="F95" s="12"/>
      <c r="G95" s="12"/>
      <c r="H95" s="53"/>
    </row>
    <row r="96" spans="1:8" ht="24" customHeight="1" x14ac:dyDescent="0.2">
      <c r="A96" s="1"/>
      <c r="B96" s="1"/>
      <c r="C96" s="2" t="s">
        <v>156</v>
      </c>
      <c r="D96" s="1"/>
      <c r="E96" s="1"/>
      <c r="F96" s="12"/>
      <c r="G96" s="12"/>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4"/>
      <c r="C99" s="4"/>
      <c r="D99" s="2"/>
      <c r="E99" s="1"/>
      <c r="F99" s="4"/>
      <c r="G99" s="8"/>
      <c r="H99" s="53"/>
    </row>
    <row r="100" spans="1:8" ht="18" customHeight="1" x14ac:dyDescent="0.2">
      <c r="A100" s="8"/>
      <c r="B100" s="4"/>
      <c r="C100" s="4" t="s">
        <v>157</v>
      </c>
      <c r="D100" s="4"/>
      <c r="E100" s="8"/>
      <c r="F100" s="6">
        <v>-151.55731921</v>
      </c>
      <c r="G100" s="7">
        <v>-1.910433E-3</v>
      </c>
      <c r="H100" s="53"/>
    </row>
    <row r="101" spans="1:8" ht="14.1" customHeight="1" x14ac:dyDescent="0.2">
      <c r="A101" s="11"/>
      <c r="B101" s="11"/>
      <c r="C101" s="2" t="s">
        <v>158</v>
      </c>
      <c r="D101" s="15"/>
      <c r="E101" s="15"/>
      <c r="F101" s="9">
        <v>79331.394332590004</v>
      </c>
      <c r="G101" s="10">
        <v>1</v>
      </c>
      <c r="H101" s="53"/>
    </row>
    <row r="102" spans="1:8" ht="14.1" customHeight="1" x14ac:dyDescent="0.2">
      <c r="A102" s="16"/>
      <c r="B102" s="16"/>
      <c r="C102" s="16"/>
      <c r="D102" s="17"/>
      <c r="E102" s="17"/>
      <c r="F102" s="17"/>
      <c r="G102" s="17"/>
    </row>
    <row r="103" spans="1:8" ht="14.1" customHeight="1" x14ac:dyDescent="0.2">
      <c r="A103" s="18"/>
      <c r="B103" s="292" t="s">
        <v>133</v>
      </c>
      <c r="C103" s="292"/>
      <c r="D103" s="292"/>
      <c r="E103" s="292"/>
      <c r="F103" s="292"/>
      <c r="G103" s="20"/>
    </row>
    <row r="104" spans="1:8" ht="14.1" customHeight="1" x14ac:dyDescent="0.2">
      <c r="A104" s="18"/>
      <c r="B104" s="292" t="s">
        <v>133</v>
      </c>
      <c r="C104" s="292"/>
      <c r="D104" s="292"/>
      <c r="E104" s="292"/>
      <c r="F104" s="292"/>
      <c r="G104" s="20"/>
    </row>
    <row r="105" spans="1:8" ht="14.1" customHeight="1" x14ac:dyDescent="0.2">
      <c r="A105" s="18"/>
      <c r="B105" s="18"/>
      <c r="C105" s="18"/>
      <c r="D105" s="20"/>
      <c r="E105" s="20"/>
      <c r="F105" s="20"/>
      <c r="G105" s="20"/>
    </row>
    <row r="106" spans="1:8" ht="14.1" customHeight="1" x14ac:dyDescent="0.2">
      <c r="A106" s="18"/>
      <c r="B106" s="293" t="s">
        <v>160</v>
      </c>
      <c r="C106" s="294"/>
      <c r="D106" s="12" t="s">
        <v>133</v>
      </c>
      <c r="E106" s="21"/>
      <c r="F106" s="20"/>
      <c r="G106" s="20"/>
    </row>
    <row r="107" spans="1:8" ht="29.1" customHeight="1" x14ac:dyDescent="0.2">
      <c r="A107" s="18"/>
      <c r="B107" s="290" t="s">
        <v>161</v>
      </c>
      <c r="C107" s="291"/>
      <c r="D107" s="2" t="s">
        <v>162</v>
      </c>
      <c r="E107" s="21"/>
      <c r="F107" s="20"/>
      <c r="G107" s="20"/>
    </row>
    <row r="108" spans="1:8" ht="17.100000000000001" customHeight="1" x14ac:dyDescent="0.2">
      <c r="A108" s="18"/>
      <c r="B108" s="290" t="s">
        <v>163</v>
      </c>
      <c r="C108" s="291"/>
      <c r="D108" s="2" t="s">
        <v>162</v>
      </c>
      <c r="E108" s="21"/>
      <c r="F108" s="20"/>
      <c r="G108" s="20"/>
    </row>
    <row r="109" spans="1:8" ht="17.100000000000001" customHeight="1" x14ac:dyDescent="0.2">
      <c r="A109" s="18"/>
      <c r="B109" s="290" t="s">
        <v>164</v>
      </c>
      <c r="C109" s="291"/>
      <c r="D109" s="12" t="s">
        <v>133</v>
      </c>
      <c r="E109" s="21"/>
      <c r="F109" s="20"/>
      <c r="G109" s="20"/>
    </row>
    <row r="110" spans="1:8" ht="24" customHeight="1" x14ac:dyDescent="0.2">
      <c r="A110" s="22"/>
      <c r="B110" s="23" t="s">
        <v>133</v>
      </c>
      <c r="C110" s="23" t="s">
        <v>165</v>
      </c>
      <c r="D110" s="23" t="s">
        <v>166</v>
      </c>
      <c r="E110" s="22"/>
      <c r="F110" s="22"/>
      <c r="G110" s="22"/>
    </row>
    <row r="111" spans="1:8" ht="18" customHeight="1" x14ac:dyDescent="0.2">
      <c r="A111" s="22"/>
      <c r="B111" s="23" t="s">
        <v>167</v>
      </c>
      <c r="C111" s="23" t="s">
        <v>168</v>
      </c>
      <c r="D111" s="23" t="s">
        <v>169</v>
      </c>
      <c r="E111" s="22"/>
      <c r="F111" s="22"/>
      <c r="G111" s="22"/>
    </row>
    <row r="112" spans="1:8" ht="17.100000000000001" customHeight="1" x14ac:dyDescent="0.2">
      <c r="A112" s="22"/>
      <c r="B112" s="4" t="s">
        <v>170</v>
      </c>
      <c r="C112" s="24">
        <v>122.8918</v>
      </c>
      <c r="D112" s="24">
        <v>118.6328</v>
      </c>
      <c r="E112" s="22"/>
      <c r="F112" s="19"/>
      <c r="G112" s="25"/>
    </row>
    <row r="113" spans="1:7" ht="29.1" customHeight="1" x14ac:dyDescent="0.2">
      <c r="A113" s="22"/>
      <c r="B113" s="4" t="s">
        <v>1045</v>
      </c>
      <c r="C113" s="24">
        <v>37.491799999999998</v>
      </c>
      <c r="D113" s="24">
        <v>36.192500000000003</v>
      </c>
      <c r="E113" s="22"/>
      <c r="F113" s="19"/>
      <c r="G113" s="25"/>
    </row>
    <row r="114" spans="1:7" ht="17.100000000000001" customHeight="1" x14ac:dyDescent="0.2">
      <c r="A114" s="22"/>
      <c r="B114" s="4" t="s">
        <v>171</v>
      </c>
      <c r="C114" s="24">
        <v>114.0454</v>
      </c>
      <c r="D114" s="24">
        <v>109.9761</v>
      </c>
      <c r="E114" s="22"/>
      <c r="F114" s="19"/>
      <c r="G114" s="25"/>
    </row>
    <row r="115" spans="1:7" ht="29.1" customHeight="1" x14ac:dyDescent="0.2">
      <c r="A115" s="22"/>
      <c r="B115" s="4" t="s">
        <v>1046</v>
      </c>
      <c r="C115" s="24">
        <v>35.4375</v>
      </c>
      <c r="D115" s="24">
        <v>34.173000000000002</v>
      </c>
      <c r="E115" s="22"/>
      <c r="F115" s="19"/>
      <c r="G115" s="25"/>
    </row>
    <row r="116" spans="1:7" ht="14.1" customHeight="1" x14ac:dyDescent="0.2">
      <c r="A116" s="22"/>
      <c r="B116" s="22"/>
      <c r="C116" s="22"/>
      <c r="D116" s="22"/>
      <c r="E116" s="22"/>
      <c r="F116" s="22"/>
      <c r="G116" s="22"/>
    </row>
    <row r="117" spans="1:7" ht="17.100000000000001" customHeight="1" x14ac:dyDescent="0.2">
      <c r="A117" s="22"/>
      <c r="B117" s="290" t="s">
        <v>1044</v>
      </c>
      <c r="C117" s="291"/>
      <c r="D117" s="2" t="s">
        <v>162</v>
      </c>
      <c r="E117" s="22"/>
      <c r="F117" s="22"/>
      <c r="G117" s="22"/>
    </row>
    <row r="118" spans="1:7" ht="18" customHeight="1" x14ac:dyDescent="0.2">
      <c r="A118" s="22"/>
      <c r="B118" s="26"/>
      <c r="C118" s="26"/>
      <c r="D118" s="27"/>
      <c r="E118" s="22"/>
      <c r="F118" s="22"/>
      <c r="G118" s="22"/>
    </row>
    <row r="119" spans="1:7" ht="29.1" customHeight="1" x14ac:dyDescent="0.2">
      <c r="A119" s="22"/>
      <c r="B119" s="290" t="s">
        <v>172</v>
      </c>
      <c r="C119" s="291"/>
      <c r="D119" s="2" t="s">
        <v>162</v>
      </c>
      <c r="E119" s="22"/>
      <c r="F119" s="22"/>
      <c r="G119" s="22"/>
    </row>
    <row r="120" spans="1:7" ht="29.1" customHeight="1" x14ac:dyDescent="0.2">
      <c r="A120" s="22"/>
      <c r="B120" s="290" t="s">
        <v>173</v>
      </c>
      <c r="C120" s="291"/>
      <c r="D120" s="2" t="s">
        <v>162</v>
      </c>
      <c r="E120" s="22"/>
      <c r="F120" s="22"/>
      <c r="G120" s="22"/>
    </row>
    <row r="121" spans="1:7" ht="17.100000000000001" customHeight="1" x14ac:dyDescent="0.2">
      <c r="A121" s="22"/>
      <c r="B121" s="290" t="s">
        <v>174</v>
      </c>
      <c r="C121" s="291"/>
      <c r="D121" s="28">
        <v>0.23936197640861193</v>
      </c>
      <c r="E121" s="22"/>
      <c r="F121" s="19"/>
      <c r="G121" s="25"/>
    </row>
    <row r="122" spans="1:7" ht="17.100000000000001" customHeight="1" x14ac:dyDescent="0.2">
      <c r="A122" s="22"/>
      <c r="B122" s="290" t="s">
        <v>175</v>
      </c>
      <c r="C122" s="291"/>
      <c r="D122" s="2" t="s">
        <v>162</v>
      </c>
      <c r="E122" s="22"/>
      <c r="F122" s="22"/>
      <c r="G122" s="22"/>
    </row>
  </sheetData>
  <mergeCells count="15">
    <mergeCell ref="B121:C121"/>
    <mergeCell ref="B122:C122"/>
    <mergeCell ref="B107:C107"/>
    <mergeCell ref="B108:C108"/>
    <mergeCell ref="B109:C109"/>
    <mergeCell ref="B117:C117"/>
    <mergeCell ref="B119:C119"/>
    <mergeCell ref="B120:C120"/>
    <mergeCell ref="A1:H1"/>
    <mergeCell ref="A2:H2"/>
    <mergeCell ref="A3:H3"/>
    <mergeCell ref="J2:N2"/>
    <mergeCell ref="B106:C106"/>
    <mergeCell ref="B103:F103"/>
    <mergeCell ref="B104:F104"/>
  </mergeCells>
  <hyperlinks>
    <hyperlink ref="I1" location="Index!B28" display="Index" xr:uid="{A5E5D7B9-78BA-4E3D-84BE-AA60BA2DFFE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64"/>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321" t="s">
        <v>1057</v>
      </c>
      <c r="B2" s="322"/>
      <c r="C2" s="322"/>
      <c r="D2" s="322"/>
      <c r="E2" s="322"/>
      <c r="F2" s="322"/>
      <c r="G2" s="322"/>
      <c r="H2" s="323"/>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20</v>
      </c>
      <c r="C7" s="4" t="s">
        <v>21</v>
      </c>
      <c r="D7" s="4" t="s">
        <v>22</v>
      </c>
      <c r="E7" s="5">
        <v>422955</v>
      </c>
      <c r="F7" s="6">
        <v>10773.509760000001</v>
      </c>
      <c r="G7" s="7">
        <v>5.8332578000000003E-2</v>
      </c>
      <c r="H7" s="53"/>
    </row>
    <row r="8" spans="1:14" ht="17.100000000000001" customHeight="1" x14ac:dyDescent="0.2">
      <c r="A8" s="3">
        <v>2</v>
      </c>
      <c r="B8" s="4" t="s">
        <v>29</v>
      </c>
      <c r="C8" s="4" t="s">
        <v>30</v>
      </c>
      <c r="D8" s="4" t="s">
        <v>19</v>
      </c>
      <c r="E8" s="5">
        <v>1580122</v>
      </c>
      <c r="F8" s="6">
        <v>9697.2087140000003</v>
      </c>
      <c r="G8" s="7">
        <v>5.2505005E-2</v>
      </c>
      <c r="H8" s="53"/>
    </row>
    <row r="9" spans="1:14" ht="17.100000000000001" customHeight="1" x14ac:dyDescent="0.2">
      <c r="A9" s="3">
        <v>3</v>
      </c>
      <c r="B9" s="4" t="s">
        <v>17</v>
      </c>
      <c r="C9" s="4" t="s">
        <v>18</v>
      </c>
      <c r="D9" s="4" t="s">
        <v>19</v>
      </c>
      <c r="E9" s="5">
        <v>979458</v>
      </c>
      <c r="F9" s="6">
        <v>8725.5015930000009</v>
      </c>
      <c r="G9" s="7">
        <v>4.7243750000000001E-2</v>
      </c>
      <c r="H9" s="53"/>
    </row>
    <row r="10" spans="1:14" ht="17.100000000000001" customHeight="1" x14ac:dyDescent="0.2">
      <c r="A10" s="3">
        <v>4</v>
      </c>
      <c r="B10" s="4" t="s">
        <v>266</v>
      </c>
      <c r="C10" s="4" t="s">
        <v>267</v>
      </c>
      <c r="D10" s="4" t="s">
        <v>19</v>
      </c>
      <c r="E10" s="5">
        <v>530246</v>
      </c>
      <c r="F10" s="6">
        <v>8633.2002489999995</v>
      </c>
      <c r="G10" s="7">
        <v>4.6743989E-2</v>
      </c>
      <c r="H10" s="53"/>
    </row>
    <row r="11" spans="1:14" ht="17.100000000000001" customHeight="1" x14ac:dyDescent="0.2">
      <c r="A11" s="3">
        <v>5</v>
      </c>
      <c r="B11" s="4" t="s">
        <v>181</v>
      </c>
      <c r="C11" s="4" t="s">
        <v>182</v>
      </c>
      <c r="D11" s="4" t="s">
        <v>19</v>
      </c>
      <c r="E11" s="5">
        <v>754268</v>
      </c>
      <c r="F11" s="6">
        <v>7042.9774500000003</v>
      </c>
      <c r="G11" s="7">
        <v>3.8133815000000001E-2</v>
      </c>
      <c r="H11" s="53"/>
    </row>
    <row r="12" spans="1:14" ht="17.100000000000001" customHeight="1" x14ac:dyDescent="0.2">
      <c r="A12" s="3">
        <v>6</v>
      </c>
      <c r="B12" s="4" t="s">
        <v>291</v>
      </c>
      <c r="C12" s="4" t="s">
        <v>292</v>
      </c>
      <c r="D12" s="4" t="s">
        <v>900</v>
      </c>
      <c r="E12" s="5">
        <v>462087</v>
      </c>
      <c r="F12" s="6">
        <v>6969.1961339999998</v>
      </c>
      <c r="G12" s="7">
        <v>3.7734330000000003E-2</v>
      </c>
      <c r="H12" s="53"/>
    </row>
    <row r="13" spans="1:14" ht="17.100000000000001" customHeight="1" x14ac:dyDescent="0.2">
      <c r="A13" s="3">
        <v>7</v>
      </c>
      <c r="B13" s="4" t="s">
        <v>303</v>
      </c>
      <c r="C13" s="4" t="s">
        <v>304</v>
      </c>
      <c r="D13" s="4" t="s">
        <v>305</v>
      </c>
      <c r="E13" s="5">
        <v>210253</v>
      </c>
      <c r="F13" s="6">
        <v>5384.6844565000001</v>
      </c>
      <c r="G13" s="7">
        <v>2.9155079E-2</v>
      </c>
      <c r="H13" s="53"/>
    </row>
    <row r="14" spans="1:14" ht="17.100000000000001" customHeight="1" x14ac:dyDescent="0.2">
      <c r="A14" s="3">
        <v>8</v>
      </c>
      <c r="B14" s="4" t="s">
        <v>499</v>
      </c>
      <c r="C14" s="4" t="s">
        <v>500</v>
      </c>
      <c r="D14" s="4" t="s">
        <v>320</v>
      </c>
      <c r="E14" s="5">
        <v>97443</v>
      </c>
      <c r="F14" s="6">
        <v>4468.6385369999998</v>
      </c>
      <c r="G14" s="7">
        <v>2.4195198000000001E-2</v>
      </c>
      <c r="H14" s="53"/>
      <c r="J14" s="188" t="s">
        <v>1094</v>
      </c>
    </row>
    <row r="15" spans="1:14" ht="29.1" customHeight="1" x14ac:dyDescent="0.2">
      <c r="A15" s="3">
        <v>9</v>
      </c>
      <c r="B15" s="4" t="s">
        <v>509</v>
      </c>
      <c r="C15" s="4" t="s">
        <v>510</v>
      </c>
      <c r="D15" s="4" t="s">
        <v>227</v>
      </c>
      <c r="E15" s="5">
        <v>878213</v>
      </c>
      <c r="F15" s="6">
        <v>4346.2761369999998</v>
      </c>
      <c r="G15" s="7">
        <v>2.3532674E-2</v>
      </c>
      <c r="H15" s="53"/>
    </row>
    <row r="16" spans="1:14" ht="29.1" customHeight="1" x14ac:dyDescent="0.2">
      <c r="A16" s="3">
        <v>10</v>
      </c>
      <c r="B16" s="4" t="s">
        <v>191</v>
      </c>
      <c r="C16" s="4" t="s">
        <v>192</v>
      </c>
      <c r="D16" s="4" t="s">
        <v>116</v>
      </c>
      <c r="E16" s="5">
        <v>1234611</v>
      </c>
      <c r="F16" s="6">
        <v>4153.8487095</v>
      </c>
      <c r="G16" s="7">
        <v>2.2490785999999999E-2</v>
      </c>
      <c r="H16" s="53"/>
    </row>
    <row r="17" spans="1:10" ht="17.100000000000001" customHeight="1" x14ac:dyDescent="0.2">
      <c r="A17" s="3">
        <v>11</v>
      </c>
      <c r="B17" s="4" t="s">
        <v>14</v>
      </c>
      <c r="C17" s="4" t="s">
        <v>15</v>
      </c>
      <c r="D17" s="4" t="s">
        <v>16</v>
      </c>
      <c r="E17" s="5">
        <v>503797</v>
      </c>
      <c r="F17" s="6">
        <v>4061.1076170000001</v>
      </c>
      <c r="G17" s="7">
        <v>2.1988645000000001E-2</v>
      </c>
      <c r="H17" s="53"/>
    </row>
    <row r="18" spans="1:10" ht="29.1" customHeight="1" x14ac:dyDescent="0.2">
      <c r="A18" s="3">
        <v>12</v>
      </c>
      <c r="B18" s="4" t="s">
        <v>200</v>
      </c>
      <c r="C18" s="4" t="s">
        <v>201</v>
      </c>
      <c r="D18" s="4" t="s">
        <v>199</v>
      </c>
      <c r="E18" s="5">
        <v>172468</v>
      </c>
      <c r="F18" s="6">
        <v>3950.1208379999998</v>
      </c>
      <c r="G18" s="7">
        <v>2.1387712999999999E-2</v>
      </c>
      <c r="H18" s="53"/>
    </row>
    <row r="19" spans="1:10" ht="17.100000000000001" customHeight="1" x14ac:dyDescent="0.2">
      <c r="A19" s="3">
        <v>13</v>
      </c>
      <c r="B19" s="4" t="s">
        <v>31</v>
      </c>
      <c r="C19" s="4" t="s">
        <v>32</v>
      </c>
      <c r="D19" s="4" t="s">
        <v>33</v>
      </c>
      <c r="E19" s="5">
        <v>199452</v>
      </c>
      <c r="F19" s="6">
        <v>3857.0027759999998</v>
      </c>
      <c r="G19" s="7">
        <v>2.0883530000000001E-2</v>
      </c>
      <c r="H19" s="53"/>
    </row>
    <row r="20" spans="1:10" ht="17.100000000000001" customHeight="1" x14ac:dyDescent="0.2">
      <c r="A20" s="3">
        <v>14</v>
      </c>
      <c r="B20" s="4" t="s">
        <v>616</v>
      </c>
      <c r="C20" s="4" t="s">
        <v>617</v>
      </c>
      <c r="D20" s="4" t="s">
        <v>618</v>
      </c>
      <c r="E20" s="5">
        <v>17262</v>
      </c>
      <c r="F20" s="6">
        <v>3787.8179220000002</v>
      </c>
      <c r="G20" s="7">
        <v>2.0508932000000001E-2</v>
      </c>
      <c r="H20" s="53"/>
    </row>
    <row r="21" spans="1:10" ht="29.1" customHeight="1" x14ac:dyDescent="0.2">
      <c r="A21" s="3">
        <v>15</v>
      </c>
      <c r="B21" s="4" t="s">
        <v>215</v>
      </c>
      <c r="C21" s="4" t="s">
        <v>216</v>
      </c>
      <c r="D21" s="4" t="s">
        <v>204</v>
      </c>
      <c r="E21" s="5">
        <v>108709</v>
      </c>
      <c r="F21" s="6">
        <v>3717.7390909999999</v>
      </c>
      <c r="G21" s="7">
        <v>2.0129494000000001E-2</v>
      </c>
      <c r="H21" s="53"/>
    </row>
    <row r="22" spans="1:10" ht="17.100000000000001" customHeight="1" x14ac:dyDescent="0.2">
      <c r="A22" s="3">
        <v>16</v>
      </c>
      <c r="B22" s="4" t="s">
        <v>336</v>
      </c>
      <c r="C22" s="4" t="s">
        <v>337</v>
      </c>
      <c r="D22" s="4" t="s">
        <v>19</v>
      </c>
      <c r="E22" s="5">
        <v>1113121</v>
      </c>
      <c r="F22" s="6">
        <v>3710.0322930000002</v>
      </c>
      <c r="G22" s="7">
        <v>2.0087766E-2</v>
      </c>
      <c r="H22" s="53"/>
      <c r="J22" s="188" t="s">
        <v>1095</v>
      </c>
    </row>
    <row r="23" spans="1:10" ht="53.1" customHeight="1" x14ac:dyDescent="0.2">
      <c r="A23" s="3">
        <v>17</v>
      </c>
      <c r="B23" s="4" t="s">
        <v>46</v>
      </c>
      <c r="C23" s="4" t="s">
        <v>47</v>
      </c>
      <c r="D23" s="4" t="s">
        <v>48</v>
      </c>
      <c r="E23" s="5">
        <v>2538355</v>
      </c>
      <c r="F23" s="6">
        <v>3640.0010699999998</v>
      </c>
      <c r="G23" s="7">
        <v>1.9708586E-2</v>
      </c>
      <c r="H23" s="53"/>
    </row>
    <row r="24" spans="1:10" ht="17.100000000000001" customHeight="1" x14ac:dyDescent="0.2">
      <c r="A24" s="3">
        <v>18</v>
      </c>
      <c r="B24" s="4" t="s">
        <v>94</v>
      </c>
      <c r="C24" s="4" t="s">
        <v>95</v>
      </c>
      <c r="D24" s="4" t="s">
        <v>96</v>
      </c>
      <c r="E24" s="5">
        <v>744527</v>
      </c>
      <c r="F24" s="6">
        <v>3462.4228134999998</v>
      </c>
      <c r="G24" s="7">
        <v>1.8747098E-2</v>
      </c>
      <c r="H24" s="53"/>
    </row>
    <row r="25" spans="1:10" ht="17.100000000000001" customHeight="1" x14ac:dyDescent="0.2">
      <c r="A25" s="3">
        <v>19</v>
      </c>
      <c r="B25" s="4" t="s">
        <v>70</v>
      </c>
      <c r="C25" s="4" t="s">
        <v>71</v>
      </c>
      <c r="D25" s="4" t="s">
        <v>72</v>
      </c>
      <c r="E25" s="5">
        <v>39000</v>
      </c>
      <c r="F25" s="6">
        <v>3273.8939999999998</v>
      </c>
      <c r="G25" s="7">
        <v>1.772632E-2</v>
      </c>
      <c r="H25" s="53"/>
    </row>
    <row r="26" spans="1:10" ht="17.100000000000001" customHeight="1" x14ac:dyDescent="0.2">
      <c r="A26" s="3">
        <v>20</v>
      </c>
      <c r="B26" s="4" t="s">
        <v>85</v>
      </c>
      <c r="C26" s="4" t="s">
        <v>86</v>
      </c>
      <c r="D26" s="4" t="s">
        <v>87</v>
      </c>
      <c r="E26" s="5">
        <v>119045</v>
      </c>
      <c r="F26" s="6">
        <v>3269.7494925000001</v>
      </c>
      <c r="G26" s="7">
        <v>1.7703878999999999E-2</v>
      </c>
      <c r="H26" s="53"/>
    </row>
    <row r="27" spans="1:10" ht="17.100000000000001" customHeight="1" x14ac:dyDescent="0.2">
      <c r="A27" s="3">
        <v>21</v>
      </c>
      <c r="B27" s="4" t="s">
        <v>619</v>
      </c>
      <c r="C27" s="4" t="s">
        <v>620</v>
      </c>
      <c r="D27" s="4" t="s">
        <v>119</v>
      </c>
      <c r="E27" s="5">
        <v>168198</v>
      </c>
      <c r="F27" s="6">
        <v>3104.6827830000002</v>
      </c>
      <c r="G27" s="7">
        <v>1.6810135E-2</v>
      </c>
      <c r="H27" s="53"/>
    </row>
    <row r="28" spans="1:10" ht="17.100000000000001" customHeight="1" x14ac:dyDescent="0.2">
      <c r="A28" s="3">
        <v>22</v>
      </c>
      <c r="B28" s="4" t="s">
        <v>83</v>
      </c>
      <c r="C28" s="4" t="s">
        <v>84</v>
      </c>
      <c r="D28" s="4" t="s">
        <v>33</v>
      </c>
      <c r="E28" s="5">
        <v>205288</v>
      </c>
      <c r="F28" s="6">
        <v>3006.8533360000001</v>
      </c>
      <c r="G28" s="7">
        <v>1.6280442999999999E-2</v>
      </c>
      <c r="H28" s="53"/>
    </row>
    <row r="29" spans="1:10" ht="17.100000000000001" customHeight="1" x14ac:dyDescent="0.2">
      <c r="A29" s="3">
        <v>23</v>
      </c>
      <c r="B29" s="4" t="s">
        <v>297</v>
      </c>
      <c r="C29" s="4" t="s">
        <v>298</v>
      </c>
      <c r="D29" s="4" t="s">
        <v>900</v>
      </c>
      <c r="E29" s="5">
        <v>92000</v>
      </c>
      <c r="F29" s="6">
        <v>2996.1640000000002</v>
      </c>
      <c r="G29" s="7">
        <v>1.6222566000000001E-2</v>
      </c>
      <c r="H29" s="53"/>
    </row>
    <row r="30" spans="1:10" ht="17.100000000000001" customHeight="1" x14ac:dyDescent="0.2">
      <c r="A30" s="3">
        <v>24</v>
      </c>
      <c r="B30" s="4" t="s">
        <v>220</v>
      </c>
      <c r="C30" s="4" t="s">
        <v>221</v>
      </c>
      <c r="D30" s="4" t="s">
        <v>187</v>
      </c>
      <c r="E30" s="5">
        <v>168859</v>
      </c>
      <c r="F30" s="6">
        <v>2870.2652819999998</v>
      </c>
      <c r="G30" s="7">
        <v>1.5540894E-2</v>
      </c>
      <c r="H30" s="53"/>
    </row>
    <row r="31" spans="1:10" ht="29.1" customHeight="1" x14ac:dyDescent="0.2">
      <c r="A31" s="3">
        <v>25</v>
      </c>
      <c r="B31" s="4" t="s">
        <v>117</v>
      </c>
      <c r="C31" s="4" t="s">
        <v>118</v>
      </c>
      <c r="D31" s="4" t="s">
        <v>119</v>
      </c>
      <c r="E31" s="5">
        <v>388492</v>
      </c>
      <c r="F31" s="6">
        <v>2808.408668</v>
      </c>
      <c r="G31" s="7">
        <v>1.5205975E-2</v>
      </c>
      <c r="H31" s="53"/>
    </row>
    <row r="32" spans="1:10" ht="17.100000000000001" customHeight="1" x14ac:dyDescent="0.2">
      <c r="A32" s="3">
        <v>26</v>
      </c>
      <c r="B32" s="4" t="s">
        <v>259</v>
      </c>
      <c r="C32" s="4" t="s">
        <v>260</v>
      </c>
      <c r="D32" s="4" t="s">
        <v>116</v>
      </c>
      <c r="E32" s="5">
        <v>314277</v>
      </c>
      <c r="F32" s="6">
        <v>2776.637295</v>
      </c>
      <c r="G32" s="7">
        <v>1.5033950000000001E-2</v>
      </c>
      <c r="H32" s="53"/>
    </row>
    <row r="33" spans="1:8" ht="17.100000000000001" customHeight="1" x14ac:dyDescent="0.2">
      <c r="A33" s="3">
        <v>27</v>
      </c>
      <c r="B33" s="4" t="s">
        <v>54</v>
      </c>
      <c r="C33" s="4" t="s">
        <v>55</v>
      </c>
      <c r="D33" s="4" t="s">
        <v>33</v>
      </c>
      <c r="E33" s="5">
        <v>107282</v>
      </c>
      <c r="F33" s="6">
        <v>2756.1818619999999</v>
      </c>
      <c r="G33" s="7">
        <v>1.4923196E-2</v>
      </c>
      <c r="H33" s="53"/>
    </row>
    <row r="34" spans="1:8" ht="17.100000000000001" customHeight="1" x14ac:dyDescent="0.2">
      <c r="A34" s="3">
        <v>28</v>
      </c>
      <c r="B34" s="4" t="s">
        <v>41</v>
      </c>
      <c r="C34" s="4" t="s">
        <v>42</v>
      </c>
      <c r="D34" s="4" t="s">
        <v>13</v>
      </c>
      <c r="E34" s="5">
        <v>871340</v>
      </c>
      <c r="F34" s="6">
        <v>2512.5088900000001</v>
      </c>
      <c r="G34" s="7">
        <v>1.3603842E-2</v>
      </c>
      <c r="H34" s="53"/>
    </row>
    <row r="35" spans="1:8" ht="17.100000000000001" customHeight="1" x14ac:dyDescent="0.2">
      <c r="A35" s="3">
        <v>29</v>
      </c>
      <c r="B35" s="4" t="s">
        <v>505</v>
      </c>
      <c r="C35" s="4" t="s">
        <v>506</v>
      </c>
      <c r="D35" s="4" t="s">
        <v>320</v>
      </c>
      <c r="E35" s="5">
        <v>108144</v>
      </c>
      <c r="F35" s="6">
        <v>2402.5811760000001</v>
      </c>
      <c r="G35" s="7">
        <v>1.3008644E-2</v>
      </c>
      <c r="H35" s="53"/>
    </row>
    <row r="36" spans="1:8" ht="29.1" customHeight="1" x14ac:dyDescent="0.2">
      <c r="A36" s="3">
        <v>30</v>
      </c>
      <c r="B36" s="4" t="s">
        <v>257</v>
      </c>
      <c r="C36" s="4" t="s">
        <v>258</v>
      </c>
      <c r="D36" s="4" t="s">
        <v>227</v>
      </c>
      <c r="E36" s="5">
        <v>148360</v>
      </c>
      <c r="F36" s="6">
        <v>2338.96958</v>
      </c>
      <c r="G36" s="7">
        <v>1.2664223E-2</v>
      </c>
      <c r="H36" s="53"/>
    </row>
    <row r="37" spans="1:8" ht="17.100000000000001" customHeight="1" x14ac:dyDescent="0.2">
      <c r="A37" s="3">
        <v>31</v>
      </c>
      <c r="B37" s="4" t="s">
        <v>112</v>
      </c>
      <c r="C37" s="4" t="s">
        <v>113</v>
      </c>
      <c r="D37" s="4" t="s">
        <v>87</v>
      </c>
      <c r="E37" s="5">
        <v>546254</v>
      </c>
      <c r="F37" s="6">
        <v>2291.5355300000001</v>
      </c>
      <c r="G37" s="7">
        <v>1.2407392999999999E-2</v>
      </c>
      <c r="H37" s="53"/>
    </row>
    <row r="38" spans="1:8" ht="29.1" customHeight="1" x14ac:dyDescent="0.2">
      <c r="A38" s="3">
        <v>32</v>
      </c>
      <c r="B38" s="4" t="s">
        <v>197</v>
      </c>
      <c r="C38" s="4" t="s">
        <v>198</v>
      </c>
      <c r="D38" s="4" t="s">
        <v>199</v>
      </c>
      <c r="E38" s="5">
        <v>55976</v>
      </c>
      <c r="F38" s="6">
        <v>2277.8033799999998</v>
      </c>
      <c r="G38" s="7">
        <v>1.2333042000000001E-2</v>
      </c>
      <c r="H38" s="53"/>
    </row>
    <row r="39" spans="1:8" ht="17.100000000000001" customHeight="1" x14ac:dyDescent="0.2">
      <c r="A39" s="3">
        <v>33</v>
      </c>
      <c r="B39" s="4" t="s">
        <v>114</v>
      </c>
      <c r="C39" s="4" t="s">
        <v>115</v>
      </c>
      <c r="D39" s="4" t="s">
        <v>116</v>
      </c>
      <c r="E39" s="5">
        <v>674234</v>
      </c>
      <c r="F39" s="6">
        <v>2274.5283989999998</v>
      </c>
      <c r="G39" s="7">
        <v>1.2315309E-2</v>
      </c>
      <c r="H39" s="53"/>
    </row>
    <row r="40" spans="1:8" ht="17.100000000000001" customHeight="1" x14ac:dyDescent="0.2">
      <c r="A40" s="3">
        <v>34</v>
      </c>
      <c r="B40" s="4" t="s">
        <v>238</v>
      </c>
      <c r="C40" s="4" t="s">
        <v>239</v>
      </c>
      <c r="D40" s="4" t="s">
        <v>237</v>
      </c>
      <c r="E40" s="5">
        <v>794554</v>
      </c>
      <c r="F40" s="6">
        <v>2273.2189939999998</v>
      </c>
      <c r="G40" s="7">
        <v>1.230822E-2</v>
      </c>
      <c r="H40" s="53"/>
    </row>
    <row r="41" spans="1:8" ht="17.100000000000001" customHeight="1" x14ac:dyDescent="0.2">
      <c r="A41" s="3">
        <v>35</v>
      </c>
      <c r="B41" s="4" t="s">
        <v>261</v>
      </c>
      <c r="C41" s="4" t="s">
        <v>262</v>
      </c>
      <c r="D41" s="4" t="s">
        <v>119</v>
      </c>
      <c r="E41" s="5">
        <v>143021</v>
      </c>
      <c r="F41" s="6">
        <v>2213.7505485000001</v>
      </c>
      <c r="G41" s="7">
        <v>1.1986231E-2</v>
      </c>
      <c r="H41" s="53"/>
    </row>
    <row r="42" spans="1:8" ht="17.100000000000001" customHeight="1" x14ac:dyDescent="0.2">
      <c r="A42" s="3">
        <v>36</v>
      </c>
      <c r="B42" s="4" t="s">
        <v>346</v>
      </c>
      <c r="C42" s="4" t="s">
        <v>347</v>
      </c>
      <c r="D42" s="4" t="s">
        <v>40</v>
      </c>
      <c r="E42" s="5">
        <v>122465</v>
      </c>
      <c r="F42" s="6">
        <v>2196.5934725000002</v>
      </c>
      <c r="G42" s="7">
        <v>1.1893335E-2</v>
      </c>
      <c r="H42" s="53"/>
    </row>
    <row r="43" spans="1:8" ht="29.1" customHeight="1" x14ac:dyDescent="0.2">
      <c r="A43" s="3">
        <v>37</v>
      </c>
      <c r="B43" s="4" t="s">
        <v>255</v>
      </c>
      <c r="C43" s="4" t="s">
        <v>256</v>
      </c>
      <c r="D43" s="4" t="s">
        <v>87</v>
      </c>
      <c r="E43" s="5">
        <v>23034</v>
      </c>
      <c r="F43" s="6">
        <v>2063.9961210000001</v>
      </c>
      <c r="G43" s="7">
        <v>1.1175394E-2</v>
      </c>
      <c r="H43" s="53"/>
    </row>
    <row r="44" spans="1:8" ht="29.1" customHeight="1" x14ac:dyDescent="0.2">
      <c r="A44" s="3">
        <v>38</v>
      </c>
      <c r="B44" s="4" t="s">
        <v>418</v>
      </c>
      <c r="C44" s="4" t="s">
        <v>419</v>
      </c>
      <c r="D44" s="4" t="s">
        <v>227</v>
      </c>
      <c r="E44" s="5">
        <v>104889</v>
      </c>
      <c r="F44" s="6">
        <v>2039.566605</v>
      </c>
      <c r="G44" s="7">
        <v>1.1043122000000001E-2</v>
      </c>
      <c r="H44" s="53"/>
    </row>
    <row r="45" spans="1:8" ht="17.100000000000001" customHeight="1" x14ac:dyDescent="0.2">
      <c r="A45" s="3">
        <v>39</v>
      </c>
      <c r="B45" s="4" t="s">
        <v>36</v>
      </c>
      <c r="C45" s="4" t="s">
        <v>37</v>
      </c>
      <c r="D45" s="4" t="s">
        <v>33</v>
      </c>
      <c r="E45" s="5">
        <v>114204</v>
      </c>
      <c r="F45" s="6">
        <v>2036.999646</v>
      </c>
      <c r="G45" s="7">
        <v>1.1029222999999999E-2</v>
      </c>
      <c r="H45" s="53"/>
    </row>
    <row r="46" spans="1:8" ht="17.100000000000001" customHeight="1" x14ac:dyDescent="0.2">
      <c r="A46" s="3">
        <v>40</v>
      </c>
      <c r="B46" s="4" t="s">
        <v>210</v>
      </c>
      <c r="C46" s="4" t="s">
        <v>211</v>
      </c>
      <c r="D46" s="4" t="s">
        <v>212</v>
      </c>
      <c r="E46" s="5">
        <v>4709</v>
      </c>
      <c r="F46" s="6">
        <v>2017.1802029999999</v>
      </c>
      <c r="G46" s="7">
        <v>1.0921912000000001E-2</v>
      </c>
      <c r="H46" s="53"/>
    </row>
    <row r="47" spans="1:8" ht="17.100000000000001" customHeight="1" x14ac:dyDescent="0.2">
      <c r="A47" s="3">
        <v>41</v>
      </c>
      <c r="B47" s="4" t="s">
        <v>274</v>
      </c>
      <c r="C47" s="4" t="s">
        <v>275</v>
      </c>
      <c r="D47" s="4" t="s">
        <v>116</v>
      </c>
      <c r="E47" s="5">
        <v>167824</v>
      </c>
      <c r="F47" s="6">
        <v>1947.0940479999999</v>
      </c>
      <c r="G47" s="7">
        <v>1.0542434E-2</v>
      </c>
      <c r="H47" s="53"/>
    </row>
    <row r="48" spans="1:8" ht="17.100000000000001" customHeight="1" x14ac:dyDescent="0.2">
      <c r="A48" s="3">
        <v>42</v>
      </c>
      <c r="B48" s="4" t="s">
        <v>440</v>
      </c>
      <c r="C48" s="4" t="s">
        <v>441</v>
      </c>
      <c r="D48" s="4" t="s">
        <v>116</v>
      </c>
      <c r="E48" s="5">
        <v>156000</v>
      </c>
      <c r="F48" s="6">
        <v>1871.298</v>
      </c>
      <c r="G48" s="7">
        <v>1.013204E-2</v>
      </c>
      <c r="H48" s="53"/>
    </row>
    <row r="49" spans="1:8" ht="17.100000000000001" customHeight="1" x14ac:dyDescent="0.2">
      <c r="A49" s="3">
        <v>43</v>
      </c>
      <c r="B49" s="4" t="s">
        <v>348</v>
      </c>
      <c r="C49" s="4" t="s">
        <v>349</v>
      </c>
      <c r="D49" s="4" t="s">
        <v>190</v>
      </c>
      <c r="E49" s="5">
        <v>45000</v>
      </c>
      <c r="F49" s="6">
        <v>1830.9375</v>
      </c>
      <c r="G49" s="7">
        <v>9.9135109999999999E-3</v>
      </c>
      <c r="H49" s="53"/>
    </row>
    <row r="50" spans="1:8" ht="17.100000000000001" customHeight="1" x14ac:dyDescent="0.2">
      <c r="A50" s="3">
        <v>44</v>
      </c>
      <c r="B50" s="4" t="s">
        <v>458</v>
      </c>
      <c r="C50" s="4" t="s">
        <v>459</v>
      </c>
      <c r="D50" s="4" t="s">
        <v>901</v>
      </c>
      <c r="E50" s="5">
        <v>204026</v>
      </c>
      <c r="F50" s="6">
        <v>1654.7528729999999</v>
      </c>
      <c r="G50" s="7">
        <v>8.9595690000000006E-3</v>
      </c>
      <c r="H50" s="53"/>
    </row>
    <row r="51" spans="1:8" ht="17.100000000000001" customHeight="1" x14ac:dyDescent="0.2">
      <c r="A51" s="3">
        <v>45</v>
      </c>
      <c r="B51" s="4" t="s">
        <v>301</v>
      </c>
      <c r="C51" s="4" t="s">
        <v>302</v>
      </c>
      <c r="D51" s="4" t="s">
        <v>234</v>
      </c>
      <c r="E51" s="5">
        <v>330998</v>
      </c>
      <c r="F51" s="6">
        <v>1653.6660079999999</v>
      </c>
      <c r="G51" s="7">
        <v>8.9536839999999999E-3</v>
      </c>
      <c r="H51" s="53"/>
    </row>
    <row r="52" spans="1:8" ht="17.100000000000001" customHeight="1" x14ac:dyDescent="0.2">
      <c r="A52" s="3">
        <v>46</v>
      </c>
      <c r="B52" s="4" t="s">
        <v>253</v>
      </c>
      <c r="C52" s="4" t="s">
        <v>254</v>
      </c>
      <c r="D52" s="4" t="s">
        <v>119</v>
      </c>
      <c r="E52" s="5">
        <v>283044</v>
      </c>
      <c r="F52" s="6">
        <v>1558.2987419999999</v>
      </c>
      <c r="G52" s="7">
        <v>8.437323E-3</v>
      </c>
      <c r="H52" s="53"/>
    </row>
    <row r="53" spans="1:8" ht="17.100000000000001" customHeight="1" x14ac:dyDescent="0.2">
      <c r="A53" s="3">
        <v>47</v>
      </c>
      <c r="B53" s="4" t="s">
        <v>205</v>
      </c>
      <c r="C53" s="4" t="s">
        <v>206</v>
      </c>
      <c r="D53" s="4" t="s">
        <v>900</v>
      </c>
      <c r="E53" s="5">
        <v>40184</v>
      </c>
      <c r="F53" s="6">
        <v>1555.482456</v>
      </c>
      <c r="G53" s="7">
        <v>8.4220739999999999E-3</v>
      </c>
      <c r="H53" s="53"/>
    </row>
    <row r="54" spans="1:8" ht="29.1" customHeight="1" x14ac:dyDescent="0.2">
      <c r="A54" s="3">
        <v>48</v>
      </c>
      <c r="B54" s="4" t="s">
        <v>483</v>
      </c>
      <c r="C54" s="4" t="s">
        <v>484</v>
      </c>
      <c r="D54" s="4" t="s">
        <v>25</v>
      </c>
      <c r="E54" s="5">
        <v>157710</v>
      </c>
      <c r="F54" s="6">
        <v>1546.0311300000001</v>
      </c>
      <c r="G54" s="7">
        <v>8.370901E-3</v>
      </c>
      <c r="H54" s="53"/>
    </row>
    <row r="55" spans="1:8" ht="17.100000000000001" customHeight="1" x14ac:dyDescent="0.2">
      <c r="A55" s="3">
        <v>49</v>
      </c>
      <c r="B55" s="4" t="s">
        <v>125</v>
      </c>
      <c r="C55" s="4" t="s">
        <v>126</v>
      </c>
      <c r="D55" s="4" t="s">
        <v>116</v>
      </c>
      <c r="E55" s="5">
        <v>80984</v>
      </c>
      <c r="F55" s="6">
        <v>1531.650392</v>
      </c>
      <c r="G55" s="7">
        <v>8.2930369999999996E-3</v>
      </c>
      <c r="H55" s="53"/>
    </row>
    <row r="56" spans="1:8" ht="17.100000000000001" customHeight="1" x14ac:dyDescent="0.2">
      <c r="A56" s="3">
        <v>50</v>
      </c>
      <c r="B56" s="4" t="s">
        <v>263</v>
      </c>
      <c r="C56" s="4" t="s">
        <v>264</v>
      </c>
      <c r="D56" s="4" t="s">
        <v>265</v>
      </c>
      <c r="E56" s="5">
        <v>155469</v>
      </c>
      <c r="F56" s="6">
        <v>1414.3792275000001</v>
      </c>
      <c r="G56" s="7">
        <v>7.6580789999999999E-3</v>
      </c>
      <c r="H56" s="53"/>
    </row>
    <row r="57" spans="1:8" ht="17.100000000000001" customHeight="1" x14ac:dyDescent="0.2">
      <c r="A57" s="3">
        <v>51</v>
      </c>
      <c r="B57" s="4" t="s">
        <v>222</v>
      </c>
      <c r="C57" s="4" t="s">
        <v>223</v>
      </c>
      <c r="D57" s="4" t="s">
        <v>224</v>
      </c>
      <c r="E57" s="5">
        <v>276570</v>
      </c>
      <c r="F57" s="6">
        <v>1413.410985</v>
      </c>
      <c r="G57" s="7">
        <v>7.6528359999999997E-3</v>
      </c>
      <c r="H57" s="53"/>
    </row>
    <row r="58" spans="1:8" ht="29.1" customHeight="1" x14ac:dyDescent="0.2">
      <c r="A58" s="3">
        <v>52</v>
      </c>
      <c r="B58" s="4" t="s">
        <v>285</v>
      </c>
      <c r="C58" s="4" t="s">
        <v>286</v>
      </c>
      <c r="D58" s="4" t="s">
        <v>199</v>
      </c>
      <c r="E58" s="5">
        <v>186962</v>
      </c>
      <c r="F58" s="6">
        <v>1270.3133089999999</v>
      </c>
      <c r="G58" s="7">
        <v>6.878042E-3</v>
      </c>
      <c r="H58" s="53"/>
    </row>
    <row r="59" spans="1:8" ht="29.1" customHeight="1" x14ac:dyDescent="0.2">
      <c r="A59" s="3">
        <v>53</v>
      </c>
      <c r="B59" s="4" t="s">
        <v>68</v>
      </c>
      <c r="C59" s="4" t="s">
        <v>69</v>
      </c>
      <c r="D59" s="4" t="s">
        <v>25</v>
      </c>
      <c r="E59" s="5">
        <v>41982</v>
      </c>
      <c r="F59" s="6">
        <v>1226.1262919999999</v>
      </c>
      <c r="G59" s="7">
        <v>6.6387939999999999E-3</v>
      </c>
      <c r="H59" s="53"/>
    </row>
    <row r="60" spans="1:8" ht="17.100000000000001" customHeight="1" x14ac:dyDescent="0.2">
      <c r="A60" s="3">
        <v>54</v>
      </c>
      <c r="B60" s="4" t="s">
        <v>73</v>
      </c>
      <c r="C60" s="4" t="s">
        <v>74</v>
      </c>
      <c r="D60" s="4" t="s">
        <v>33</v>
      </c>
      <c r="E60" s="5">
        <v>85238</v>
      </c>
      <c r="F60" s="6">
        <v>930.79895999999997</v>
      </c>
      <c r="G60" s="7">
        <v>5.0397599999999999E-3</v>
      </c>
      <c r="H60" s="53"/>
    </row>
    <row r="61" spans="1:8" ht="29.1" customHeight="1" x14ac:dyDescent="0.2">
      <c r="A61" s="3">
        <v>55</v>
      </c>
      <c r="B61" s="4" t="s">
        <v>507</v>
      </c>
      <c r="C61" s="4" t="s">
        <v>508</v>
      </c>
      <c r="D61" s="4" t="s">
        <v>199</v>
      </c>
      <c r="E61" s="5">
        <v>66460</v>
      </c>
      <c r="F61" s="6">
        <v>831.18199000000004</v>
      </c>
      <c r="G61" s="7">
        <v>4.5003889999999996E-3</v>
      </c>
      <c r="H61" s="53"/>
    </row>
    <row r="62" spans="1:8" ht="17.100000000000001" customHeight="1" x14ac:dyDescent="0.2">
      <c r="A62" s="3">
        <v>56</v>
      </c>
      <c r="B62" s="4" t="s">
        <v>295</v>
      </c>
      <c r="C62" s="4" t="s">
        <v>296</v>
      </c>
      <c r="D62" s="4" t="s">
        <v>248</v>
      </c>
      <c r="E62" s="5">
        <v>50000</v>
      </c>
      <c r="F62" s="6">
        <v>615.65</v>
      </c>
      <c r="G62" s="7">
        <v>3.333403E-3</v>
      </c>
      <c r="H62" s="53"/>
    </row>
    <row r="63" spans="1:8" ht="17.100000000000001" customHeight="1" x14ac:dyDescent="0.2">
      <c r="A63" s="3">
        <v>57</v>
      </c>
      <c r="B63" s="4" t="s">
        <v>389</v>
      </c>
      <c r="C63" s="4" t="s">
        <v>390</v>
      </c>
      <c r="D63" s="4" t="s">
        <v>119</v>
      </c>
      <c r="E63" s="5">
        <v>77217</v>
      </c>
      <c r="F63" s="6">
        <v>564.95818050000003</v>
      </c>
      <c r="G63" s="7">
        <v>3.058935E-3</v>
      </c>
      <c r="H63" s="53"/>
    </row>
    <row r="64" spans="1:8" ht="17.100000000000001" customHeight="1" x14ac:dyDescent="0.2">
      <c r="A64" s="3">
        <v>58</v>
      </c>
      <c r="B64" s="4" t="s">
        <v>383</v>
      </c>
      <c r="C64" s="4" t="s">
        <v>384</v>
      </c>
      <c r="D64" s="4" t="s">
        <v>901</v>
      </c>
      <c r="E64" s="5">
        <v>50981</v>
      </c>
      <c r="F64" s="6">
        <v>551.99677750000001</v>
      </c>
      <c r="G64" s="7">
        <v>2.988756E-3</v>
      </c>
      <c r="H64" s="53"/>
    </row>
    <row r="65" spans="1:9" ht="17.100000000000001" customHeight="1" x14ac:dyDescent="0.2">
      <c r="A65" s="3">
        <v>59</v>
      </c>
      <c r="B65" s="4" t="s">
        <v>127</v>
      </c>
      <c r="C65" s="4" t="s">
        <v>128</v>
      </c>
      <c r="D65" s="4" t="s">
        <v>119</v>
      </c>
      <c r="E65" s="5">
        <v>177729</v>
      </c>
      <c r="F65" s="6">
        <v>402.21849989999998</v>
      </c>
      <c r="G65" s="7">
        <v>2.1777900000000002E-3</v>
      </c>
      <c r="H65" s="53"/>
    </row>
    <row r="66" spans="1:9" ht="17.100000000000001" customHeight="1" x14ac:dyDescent="0.2">
      <c r="A66" s="3">
        <v>60</v>
      </c>
      <c r="B66" s="4" t="s">
        <v>242</v>
      </c>
      <c r="C66" s="4" t="s">
        <v>243</v>
      </c>
      <c r="D66" s="4" t="s">
        <v>33</v>
      </c>
      <c r="E66" s="5">
        <v>15955</v>
      </c>
      <c r="F66" s="6">
        <v>313.34024499999998</v>
      </c>
      <c r="G66" s="7">
        <v>1.696564E-3</v>
      </c>
      <c r="H66" s="53"/>
    </row>
    <row r="67" spans="1:9" ht="14.1" customHeight="1" x14ac:dyDescent="0.2">
      <c r="A67" s="1"/>
      <c r="B67" s="1"/>
      <c r="C67" s="2" t="s">
        <v>132</v>
      </c>
      <c r="D67" s="1"/>
      <c r="E67" s="1" t="s">
        <v>133</v>
      </c>
      <c r="F67" s="9">
        <v>180866.94103939997</v>
      </c>
      <c r="G67" s="10">
        <v>0.97929413699999968</v>
      </c>
      <c r="H67" s="53"/>
    </row>
    <row r="68" spans="1:9" ht="14.1" customHeight="1" x14ac:dyDescent="0.2">
      <c r="A68" s="1"/>
      <c r="B68" s="1"/>
      <c r="C68" s="11"/>
      <c r="D68" s="1"/>
      <c r="E68" s="1"/>
      <c r="F68" s="12"/>
      <c r="G68" s="12"/>
      <c r="H68" s="53"/>
    </row>
    <row r="69" spans="1:9" ht="14.1" customHeight="1" x14ac:dyDescent="0.2">
      <c r="A69" s="1"/>
      <c r="B69" s="1"/>
      <c r="C69" s="2" t="s">
        <v>134</v>
      </c>
      <c r="D69" s="1"/>
      <c r="E69" s="1"/>
      <c r="F69" s="1"/>
      <c r="G69" s="1"/>
      <c r="H69" s="53"/>
    </row>
    <row r="70" spans="1:9" ht="14.1" customHeight="1" x14ac:dyDescent="0.2">
      <c r="A70" s="1"/>
      <c r="B70" s="1"/>
      <c r="C70" s="2" t="s">
        <v>132</v>
      </c>
      <c r="D70" s="1"/>
      <c r="E70" s="1" t="s">
        <v>133</v>
      </c>
      <c r="F70" s="13">
        <v>0</v>
      </c>
      <c r="G70" s="14">
        <v>0</v>
      </c>
      <c r="H70" s="53"/>
    </row>
    <row r="71" spans="1:9" ht="14.1" customHeight="1" x14ac:dyDescent="0.2">
      <c r="A71" s="1"/>
      <c r="B71" s="1"/>
      <c r="C71" s="11"/>
      <c r="D71" s="1"/>
      <c r="E71" s="1"/>
      <c r="F71" s="12"/>
      <c r="G71" s="12"/>
      <c r="H71" s="53"/>
    </row>
    <row r="72" spans="1:9" ht="14.1" customHeight="1" x14ac:dyDescent="0.2">
      <c r="A72" s="1"/>
      <c r="B72" s="1"/>
      <c r="C72" s="2" t="s">
        <v>135</v>
      </c>
      <c r="D72" s="1"/>
      <c r="E72" s="1"/>
      <c r="F72" s="1"/>
      <c r="G72" s="1"/>
      <c r="H72" s="53"/>
    </row>
    <row r="73" spans="1:9" ht="29.1" customHeight="1" x14ac:dyDescent="0.2">
      <c r="A73" s="3">
        <v>1</v>
      </c>
      <c r="B73" s="62" t="s">
        <v>621</v>
      </c>
      <c r="C73" s="4" t="s">
        <v>966</v>
      </c>
      <c r="D73" s="4" t="s">
        <v>622</v>
      </c>
      <c r="E73" s="5">
        <v>511578</v>
      </c>
      <c r="F73" s="6">
        <v>27.062476199999999</v>
      </c>
      <c r="G73" s="7">
        <v>1.4652799999999999E-4</v>
      </c>
      <c r="H73" s="53"/>
    </row>
    <row r="74" spans="1:9" ht="17.100000000000001" customHeight="1" x14ac:dyDescent="0.2">
      <c r="A74" s="3">
        <v>2</v>
      </c>
      <c r="B74" s="62" t="s">
        <v>623</v>
      </c>
      <c r="C74" s="4" t="s">
        <v>967</v>
      </c>
      <c r="D74" s="4" t="s">
        <v>320</v>
      </c>
      <c r="E74" s="5">
        <v>39500</v>
      </c>
      <c r="F74" s="6">
        <v>23.237850000000002</v>
      </c>
      <c r="G74" s="7">
        <v>1.2582000000000001E-4</v>
      </c>
      <c r="H74" s="53"/>
    </row>
    <row r="75" spans="1:9" ht="29.1" customHeight="1" x14ac:dyDescent="0.2">
      <c r="A75" s="3">
        <v>3</v>
      </c>
      <c r="B75" s="62" t="s">
        <v>624</v>
      </c>
      <c r="C75" s="4" t="s">
        <v>968</v>
      </c>
      <c r="D75" s="4" t="s">
        <v>465</v>
      </c>
      <c r="E75" s="5">
        <v>50800</v>
      </c>
      <c r="F75" s="6">
        <v>5.0800000000000003E-3</v>
      </c>
      <c r="G75" s="8" t="s">
        <v>131</v>
      </c>
      <c r="H75" s="53"/>
    </row>
    <row r="76" spans="1:9" ht="17.100000000000001" customHeight="1" x14ac:dyDescent="0.2">
      <c r="A76" s="3">
        <v>4</v>
      </c>
      <c r="B76" s="62" t="s">
        <v>625</v>
      </c>
      <c r="C76" s="4" t="s">
        <v>969</v>
      </c>
      <c r="D76" s="4"/>
      <c r="E76" s="5">
        <v>200</v>
      </c>
      <c r="F76" s="6">
        <v>2.0000000000000001E-9</v>
      </c>
      <c r="G76" s="8" t="s">
        <v>131</v>
      </c>
      <c r="H76" s="53"/>
      <c r="I76" s="191"/>
    </row>
    <row r="77" spans="1:9" ht="17.100000000000001" customHeight="1" x14ac:dyDescent="0.2">
      <c r="A77" s="3">
        <v>5</v>
      </c>
      <c r="B77" s="62" t="s">
        <v>626</v>
      </c>
      <c r="C77" s="4" t="s">
        <v>970</v>
      </c>
      <c r="D77" s="4"/>
      <c r="E77" s="5">
        <v>93200</v>
      </c>
      <c r="F77" s="6">
        <v>9.3200000000000003E-7</v>
      </c>
      <c r="G77" s="8" t="s">
        <v>131</v>
      </c>
      <c r="H77" s="53"/>
      <c r="I77" s="191"/>
    </row>
    <row r="78" spans="1:9" ht="41.1" customHeight="1" x14ac:dyDescent="0.2">
      <c r="A78" s="3">
        <v>6</v>
      </c>
      <c r="B78" s="62" t="s">
        <v>627</v>
      </c>
      <c r="C78" s="4" t="s">
        <v>971</v>
      </c>
      <c r="D78" s="4" t="s">
        <v>628</v>
      </c>
      <c r="E78" s="5">
        <v>200000</v>
      </c>
      <c r="F78" s="6">
        <v>1.9999999999999999E-6</v>
      </c>
      <c r="G78" s="8" t="s">
        <v>131</v>
      </c>
      <c r="H78" s="53"/>
      <c r="I78" s="191"/>
    </row>
    <row r="79" spans="1:9" ht="17.100000000000001" customHeight="1" x14ac:dyDescent="0.2">
      <c r="A79" s="3">
        <v>7</v>
      </c>
      <c r="B79" s="62" t="s">
        <v>629</v>
      </c>
      <c r="C79" s="4" t="s">
        <v>972</v>
      </c>
      <c r="D79" s="4"/>
      <c r="E79" s="5">
        <v>176305</v>
      </c>
      <c r="F79" s="6">
        <v>1.7630000000000001E-6</v>
      </c>
      <c r="G79" s="8" t="s">
        <v>131</v>
      </c>
      <c r="H79" s="53"/>
      <c r="I79" s="191"/>
    </row>
    <row r="80" spans="1:9" ht="29.1" customHeight="1" x14ac:dyDescent="0.2">
      <c r="A80" s="3">
        <v>8</v>
      </c>
      <c r="B80" s="62" t="s">
        <v>630</v>
      </c>
      <c r="C80" s="4" t="s">
        <v>973</v>
      </c>
      <c r="D80" s="4" t="s">
        <v>40</v>
      </c>
      <c r="E80" s="5">
        <v>54000</v>
      </c>
      <c r="F80" s="6">
        <v>5.4000000000000002E-7</v>
      </c>
      <c r="G80" s="8" t="s">
        <v>131</v>
      </c>
      <c r="H80" s="53"/>
      <c r="I80" s="191"/>
    </row>
    <row r="81" spans="1:9" ht="14.1" customHeight="1" x14ac:dyDescent="0.2">
      <c r="A81" s="1"/>
      <c r="B81" s="1"/>
      <c r="C81" s="2" t="s">
        <v>132</v>
      </c>
      <c r="D81" s="1"/>
      <c r="E81" s="1" t="s">
        <v>133</v>
      </c>
      <c r="F81" s="13">
        <v>50.305411437000004</v>
      </c>
      <c r="G81" s="14">
        <v>2.72348E-4</v>
      </c>
      <c r="H81" s="53"/>
      <c r="I81" s="191"/>
    </row>
    <row r="82" spans="1:9" ht="14.1" customHeight="1" x14ac:dyDescent="0.2">
      <c r="A82" s="1"/>
      <c r="B82" s="1"/>
      <c r="C82" s="11"/>
      <c r="D82" s="1"/>
      <c r="E82" s="1"/>
      <c r="F82" s="12"/>
      <c r="G82" s="12"/>
      <c r="H82" s="53"/>
      <c r="I82" s="191"/>
    </row>
    <row r="83" spans="1:9" ht="14.1" customHeight="1" x14ac:dyDescent="0.2">
      <c r="A83" s="1"/>
      <c r="B83" s="1"/>
      <c r="C83" s="2" t="s">
        <v>136</v>
      </c>
      <c r="D83" s="1"/>
      <c r="E83" s="1"/>
      <c r="F83" s="1"/>
      <c r="G83" s="1"/>
      <c r="H83" s="53"/>
      <c r="I83" s="191"/>
    </row>
    <row r="84" spans="1:9" ht="27.95" customHeight="1" x14ac:dyDescent="0.2">
      <c r="A84" s="3">
        <v>1</v>
      </c>
      <c r="B84" s="4" t="s">
        <v>289</v>
      </c>
      <c r="C84" s="4" t="s">
        <v>959</v>
      </c>
      <c r="D84" s="4" t="s">
        <v>265</v>
      </c>
      <c r="E84" s="5">
        <v>3433</v>
      </c>
      <c r="F84" s="6">
        <v>16.1299505</v>
      </c>
      <c r="G84" s="7">
        <v>8.7335000000000003E-5</v>
      </c>
      <c r="H84" s="53"/>
    </row>
    <row r="85" spans="1:9" ht="14.1" customHeight="1" x14ac:dyDescent="0.2">
      <c r="A85" s="1"/>
      <c r="B85" s="1"/>
      <c r="C85" s="2" t="s">
        <v>132</v>
      </c>
      <c r="D85" s="1"/>
      <c r="E85" s="1" t="s">
        <v>133</v>
      </c>
      <c r="F85" s="9">
        <v>16.1299505</v>
      </c>
      <c r="G85" s="10">
        <v>8.7335000000000003E-5</v>
      </c>
      <c r="H85" s="53"/>
    </row>
    <row r="86" spans="1:9" ht="14.1" customHeight="1" x14ac:dyDescent="0.2">
      <c r="A86" s="1"/>
      <c r="B86" s="1"/>
      <c r="C86" s="11"/>
      <c r="D86" s="1"/>
      <c r="E86" s="1"/>
      <c r="F86" s="12"/>
      <c r="G86" s="12"/>
      <c r="H86" s="53"/>
    </row>
    <row r="87" spans="1:9" ht="14.1" customHeight="1" x14ac:dyDescent="0.2">
      <c r="A87" s="1"/>
      <c r="B87" s="1"/>
      <c r="C87" s="2" t="s">
        <v>137</v>
      </c>
      <c r="D87" s="1"/>
      <c r="E87" s="1"/>
      <c r="F87" s="12"/>
      <c r="G87" s="12"/>
      <c r="H87" s="53"/>
    </row>
    <row r="88" spans="1:9" ht="14.1" customHeight="1" x14ac:dyDescent="0.2">
      <c r="A88" s="1"/>
      <c r="B88" s="1"/>
      <c r="C88" s="2" t="s">
        <v>132</v>
      </c>
      <c r="D88" s="1"/>
      <c r="E88" s="1" t="s">
        <v>133</v>
      </c>
      <c r="F88" s="13">
        <v>0</v>
      </c>
      <c r="G88" s="14">
        <v>0</v>
      </c>
      <c r="H88" s="53"/>
    </row>
    <row r="89" spans="1:9" ht="14.1" customHeight="1" x14ac:dyDescent="0.2">
      <c r="A89" s="1"/>
      <c r="B89" s="1"/>
      <c r="C89" s="11"/>
      <c r="D89" s="1"/>
      <c r="E89" s="1"/>
      <c r="F89" s="12"/>
      <c r="G89" s="12"/>
      <c r="H89" s="53"/>
    </row>
    <row r="90" spans="1:9" ht="14.1" customHeight="1" x14ac:dyDescent="0.2">
      <c r="A90" s="1"/>
      <c r="B90" s="1"/>
      <c r="C90" s="2" t="s">
        <v>138</v>
      </c>
      <c r="D90" s="1"/>
      <c r="E90" s="1"/>
      <c r="F90" s="12"/>
      <c r="G90" s="12"/>
      <c r="H90" s="53"/>
    </row>
    <row r="91" spans="1:9" ht="14.1" customHeight="1" x14ac:dyDescent="0.2">
      <c r="A91" s="1"/>
      <c r="B91" s="1"/>
      <c r="C91" s="2" t="s">
        <v>132</v>
      </c>
      <c r="D91" s="1"/>
      <c r="E91" s="1" t="s">
        <v>133</v>
      </c>
      <c r="F91" s="13">
        <v>0</v>
      </c>
      <c r="G91" s="14">
        <v>0</v>
      </c>
      <c r="H91" s="53"/>
    </row>
    <row r="92" spans="1:9" ht="14.1" customHeight="1" x14ac:dyDescent="0.2">
      <c r="A92" s="1"/>
      <c r="B92" s="1"/>
      <c r="C92" s="11"/>
      <c r="D92" s="1"/>
      <c r="E92" s="1"/>
      <c r="F92" s="12"/>
      <c r="G92" s="12"/>
      <c r="H92" s="53"/>
    </row>
    <row r="93" spans="1:9" ht="18" customHeight="1" x14ac:dyDescent="0.2">
      <c r="A93" s="1"/>
      <c r="B93" s="1"/>
      <c r="C93" s="2" t="s">
        <v>139</v>
      </c>
      <c r="D93" s="1"/>
      <c r="E93" s="1"/>
      <c r="F93" s="9">
        <v>180933.37640133701</v>
      </c>
      <c r="G93" s="10">
        <v>0.97965384799999999</v>
      </c>
      <c r="H93" s="53"/>
    </row>
    <row r="94" spans="1:9" ht="14.1" customHeight="1" x14ac:dyDescent="0.2">
      <c r="A94" s="1"/>
      <c r="B94" s="1"/>
      <c r="C94" s="11"/>
      <c r="D94" s="1"/>
      <c r="E94" s="1"/>
      <c r="F94" s="12"/>
      <c r="G94" s="12"/>
      <c r="H94" s="53"/>
    </row>
    <row r="95" spans="1:9" ht="14.1" customHeight="1" x14ac:dyDescent="0.2">
      <c r="A95" s="1"/>
      <c r="B95" s="1"/>
      <c r="C95" s="2" t="s">
        <v>140</v>
      </c>
      <c r="D95" s="1"/>
      <c r="E95" s="1"/>
      <c r="F95" s="12"/>
      <c r="G95" s="12"/>
      <c r="H95" s="53"/>
    </row>
    <row r="96" spans="1:9" ht="24" customHeight="1" x14ac:dyDescent="0.2">
      <c r="A96" s="1"/>
      <c r="B96" s="1"/>
      <c r="C96" s="2" t="s">
        <v>10</v>
      </c>
      <c r="D96" s="1"/>
      <c r="E96" s="1"/>
      <c r="F96" s="12"/>
      <c r="G96" s="12"/>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141</v>
      </c>
      <c r="D99" s="1"/>
      <c r="E99" s="1"/>
      <c r="F99" s="1"/>
      <c r="G99" s="1"/>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142</v>
      </c>
      <c r="D102" s="1"/>
      <c r="E102" s="1"/>
      <c r="F102" s="1"/>
      <c r="G102" s="1"/>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143</v>
      </c>
      <c r="D105" s="1"/>
      <c r="E105" s="1"/>
      <c r="F105" s="12"/>
      <c r="G105" s="12"/>
      <c r="H105" s="53"/>
    </row>
    <row r="106" spans="1:8" ht="14.1" customHeight="1" x14ac:dyDescent="0.2">
      <c r="A106" s="1"/>
      <c r="B106" s="1"/>
      <c r="C106" s="2" t="s">
        <v>132</v>
      </c>
      <c r="D106" s="1"/>
      <c r="E106" s="1" t="s">
        <v>133</v>
      </c>
      <c r="F106" s="13">
        <v>0</v>
      </c>
      <c r="G106" s="14">
        <v>0</v>
      </c>
      <c r="H106" s="53"/>
    </row>
    <row r="107" spans="1:8" ht="14.1" customHeight="1" x14ac:dyDescent="0.2">
      <c r="A107" s="1"/>
      <c r="B107" s="1"/>
      <c r="C107" s="11"/>
      <c r="D107" s="1"/>
      <c r="E107" s="1"/>
      <c r="F107" s="12"/>
      <c r="G107" s="12"/>
      <c r="H107" s="53"/>
    </row>
    <row r="108" spans="1:8" ht="14.1" customHeight="1" x14ac:dyDescent="0.2">
      <c r="A108" s="1"/>
      <c r="B108" s="1"/>
      <c r="C108" s="2" t="s">
        <v>144</v>
      </c>
      <c r="D108" s="1"/>
      <c r="E108" s="1"/>
      <c r="F108" s="9">
        <v>0</v>
      </c>
      <c r="G108" s="10">
        <v>0</v>
      </c>
      <c r="H108" s="53"/>
    </row>
    <row r="109" spans="1:8" ht="14.1" customHeight="1" x14ac:dyDescent="0.2">
      <c r="A109" s="1"/>
      <c r="B109" s="1"/>
      <c r="C109" s="11"/>
      <c r="D109" s="1"/>
      <c r="E109" s="1"/>
      <c r="F109" s="12"/>
      <c r="G109" s="12"/>
      <c r="H109" s="53"/>
    </row>
    <row r="110" spans="1:8" ht="14.1" customHeight="1" x14ac:dyDescent="0.2">
      <c r="A110" s="1"/>
      <c r="B110" s="1"/>
      <c r="C110" s="2" t="s">
        <v>145</v>
      </c>
      <c r="D110" s="1"/>
      <c r="E110" s="1"/>
      <c r="F110" s="12"/>
      <c r="G110" s="12"/>
      <c r="H110" s="53"/>
    </row>
    <row r="111" spans="1:8" ht="14.1" customHeight="1" x14ac:dyDescent="0.2">
      <c r="A111" s="1"/>
      <c r="B111" s="1"/>
      <c r="C111" s="2" t="s">
        <v>146</v>
      </c>
      <c r="D111" s="1"/>
      <c r="E111" s="1"/>
      <c r="F111" s="12"/>
      <c r="G111" s="12"/>
      <c r="H111" s="53"/>
    </row>
    <row r="112" spans="1:8" ht="14.1" customHeight="1" x14ac:dyDescent="0.2">
      <c r="A112" s="1"/>
      <c r="B112" s="1"/>
      <c r="C112" s="2" t="s">
        <v>132</v>
      </c>
      <c r="D112" s="1"/>
      <c r="E112" s="1" t="s">
        <v>133</v>
      </c>
      <c r="F112" s="13">
        <v>0</v>
      </c>
      <c r="G112" s="14">
        <v>0</v>
      </c>
      <c r="H112" s="53"/>
    </row>
    <row r="113" spans="1:8" ht="14.1" customHeight="1" x14ac:dyDescent="0.2">
      <c r="A113" s="1"/>
      <c r="B113" s="1"/>
      <c r="C113" s="11"/>
      <c r="D113" s="1"/>
      <c r="E113" s="1"/>
      <c r="F113" s="12"/>
      <c r="G113" s="12"/>
      <c r="H113" s="53"/>
    </row>
    <row r="114" spans="1:8" ht="14.1" customHeight="1" x14ac:dyDescent="0.2">
      <c r="A114" s="1"/>
      <c r="B114" s="1"/>
      <c r="C114" s="2" t="s">
        <v>147</v>
      </c>
      <c r="D114" s="1"/>
      <c r="E114" s="1"/>
      <c r="F114" s="12"/>
      <c r="G114" s="12"/>
      <c r="H114" s="53"/>
    </row>
    <row r="115" spans="1:8" ht="14.1" customHeight="1" x14ac:dyDescent="0.2">
      <c r="A115" s="1"/>
      <c r="B115" s="1"/>
      <c r="C115" s="2" t="s">
        <v>132</v>
      </c>
      <c r="D115" s="1"/>
      <c r="E115" s="1" t="s">
        <v>133</v>
      </c>
      <c r="F115" s="13">
        <v>0</v>
      </c>
      <c r="G115" s="14">
        <v>0</v>
      </c>
      <c r="H115" s="53"/>
    </row>
    <row r="116" spans="1:8" ht="14.1" customHeight="1" x14ac:dyDescent="0.2">
      <c r="A116" s="1"/>
      <c r="B116" s="1"/>
      <c r="C116" s="11"/>
      <c r="D116" s="1"/>
      <c r="E116" s="1"/>
      <c r="F116" s="12"/>
      <c r="G116" s="12"/>
      <c r="H116" s="53"/>
    </row>
    <row r="117" spans="1:8" ht="14.1" customHeight="1" x14ac:dyDescent="0.2">
      <c r="A117" s="1"/>
      <c r="B117" s="1"/>
      <c r="C117" s="2" t="s">
        <v>148</v>
      </c>
      <c r="D117" s="1"/>
      <c r="E117" s="1"/>
      <c r="F117" s="12"/>
      <c r="G117" s="12"/>
      <c r="H117" s="53"/>
    </row>
    <row r="118" spans="1:8" ht="14.1" customHeight="1" x14ac:dyDescent="0.2">
      <c r="A118" s="1"/>
      <c r="B118" s="1"/>
      <c r="C118" s="2" t="s">
        <v>132</v>
      </c>
      <c r="D118" s="1"/>
      <c r="E118" s="1" t="s">
        <v>133</v>
      </c>
      <c r="F118" s="13">
        <v>0</v>
      </c>
      <c r="G118" s="14">
        <v>0</v>
      </c>
      <c r="H118" s="53"/>
    </row>
    <row r="119" spans="1:8" ht="14.1" customHeight="1" x14ac:dyDescent="0.2">
      <c r="A119" s="1"/>
      <c r="B119" s="1"/>
      <c r="C119" s="11"/>
      <c r="D119" s="1"/>
      <c r="E119" s="1"/>
      <c r="F119" s="12"/>
      <c r="G119" s="12"/>
      <c r="H119" s="53"/>
    </row>
    <row r="120" spans="1:8" ht="14.1" customHeight="1" x14ac:dyDescent="0.2">
      <c r="A120" s="1"/>
      <c r="B120" s="1"/>
      <c r="C120" s="2" t="s">
        <v>149</v>
      </c>
      <c r="D120" s="1"/>
      <c r="E120" s="1"/>
      <c r="F120" s="12"/>
      <c r="G120" s="12"/>
      <c r="H120" s="53"/>
    </row>
    <row r="121" spans="1:8" ht="17.100000000000001" customHeight="1" x14ac:dyDescent="0.2">
      <c r="A121" s="3">
        <v>1</v>
      </c>
      <c r="B121" s="4"/>
      <c r="C121" s="4" t="s">
        <v>150</v>
      </c>
      <c r="D121" s="4"/>
      <c r="E121" s="8"/>
      <c r="F121" s="6">
        <v>4889.7752717000003</v>
      </c>
      <c r="G121" s="7">
        <v>2.647542E-2</v>
      </c>
      <c r="H121" s="53">
        <v>6.46</v>
      </c>
    </row>
    <row r="122" spans="1:8" ht="14.1" customHeight="1" x14ac:dyDescent="0.2">
      <c r="A122" s="1"/>
      <c r="B122" s="1"/>
      <c r="C122" s="2" t="s">
        <v>132</v>
      </c>
      <c r="D122" s="1"/>
      <c r="E122" s="1" t="s">
        <v>133</v>
      </c>
      <c r="F122" s="9">
        <v>4889.7752717000003</v>
      </c>
      <c r="G122" s="10">
        <v>2.647542E-2</v>
      </c>
      <c r="H122" s="53"/>
    </row>
    <row r="123" spans="1:8" ht="14.1" customHeight="1" x14ac:dyDescent="0.2">
      <c r="A123" s="1"/>
      <c r="B123" s="1"/>
      <c r="C123" s="11"/>
      <c r="D123" s="1"/>
      <c r="E123" s="1"/>
      <c r="F123" s="12"/>
      <c r="G123" s="12"/>
      <c r="H123" s="53"/>
    </row>
    <row r="124" spans="1:8" ht="14.1" customHeight="1" x14ac:dyDescent="0.2">
      <c r="A124" s="1"/>
      <c r="B124" s="1"/>
      <c r="C124" s="2" t="s">
        <v>151</v>
      </c>
      <c r="D124" s="1"/>
      <c r="E124" s="1"/>
      <c r="F124" s="9">
        <v>4889.7752717000003</v>
      </c>
      <c r="G124" s="10">
        <v>2.647542E-2</v>
      </c>
      <c r="H124" s="53"/>
    </row>
    <row r="125" spans="1:8" ht="14.1" customHeight="1" x14ac:dyDescent="0.2">
      <c r="A125" s="1"/>
      <c r="B125" s="1"/>
      <c r="C125" s="12"/>
      <c r="D125" s="1"/>
      <c r="E125" s="1"/>
      <c r="F125" s="1"/>
      <c r="G125" s="1"/>
      <c r="H125" s="53"/>
    </row>
    <row r="126" spans="1:8" ht="14.1" customHeight="1" x14ac:dyDescent="0.2">
      <c r="A126" s="1"/>
      <c r="B126" s="1"/>
      <c r="C126" s="2" t="s">
        <v>152</v>
      </c>
      <c r="D126" s="1"/>
      <c r="E126" s="1"/>
      <c r="F126" s="1"/>
      <c r="G126" s="1"/>
      <c r="H126" s="53"/>
    </row>
    <row r="127" spans="1:8" ht="14.1" customHeight="1" x14ac:dyDescent="0.2">
      <c r="A127" s="1"/>
      <c r="B127" s="1"/>
      <c r="C127" s="2" t="s">
        <v>153</v>
      </c>
      <c r="D127" s="1"/>
      <c r="E127" s="1"/>
      <c r="F127" s="1"/>
      <c r="G127" s="1"/>
      <c r="H127" s="53"/>
    </row>
    <row r="128" spans="1:8" ht="14.1" customHeight="1" x14ac:dyDescent="0.2">
      <c r="A128" s="1"/>
      <c r="B128" s="1"/>
      <c r="C128" s="2" t="s">
        <v>132</v>
      </c>
      <c r="D128" s="1"/>
      <c r="E128" s="1" t="s">
        <v>133</v>
      </c>
      <c r="F128" s="13">
        <v>0</v>
      </c>
      <c r="G128" s="14">
        <v>0</v>
      </c>
      <c r="H128" s="53"/>
    </row>
    <row r="129" spans="1:8" ht="14.1" customHeight="1" x14ac:dyDescent="0.2">
      <c r="A129" s="1"/>
      <c r="B129" s="1"/>
      <c r="C129" s="11"/>
      <c r="D129" s="1"/>
      <c r="E129" s="1"/>
      <c r="F129" s="12"/>
      <c r="G129" s="12"/>
      <c r="H129" s="53"/>
    </row>
    <row r="130" spans="1:8" ht="14.1" customHeight="1" x14ac:dyDescent="0.2">
      <c r="A130" s="1"/>
      <c r="B130" s="1"/>
      <c r="C130" s="2" t="s">
        <v>154</v>
      </c>
      <c r="D130" s="1"/>
      <c r="E130" s="1"/>
      <c r="F130" s="1"/>
      <c r="G130" s="1"/>
      <c r="H130" s="53"/>
    </row>
    <row r="131" spans="1:8" ht="14.1" customHeight="1" x14ac:dyDescent="0.2">
      <c r="A131" s="1"/>
      <c r="B131" s="1"/>
      <c r="C131" s="2" t="s">
        <v>155</v>
      </c>
      <c r="D131" s="1"/>
      <c r="E131" s="1"/>
      <c r="F131" s="1"/>
      <c r="G131" s="1"/>
      <c r="H131" s="53"/>
    </row>
    <row r="132" spans="1:8" ht="14.1" customHeight="1" x14ac:dyDescent="0.2">
      <c r="A132" s="1"/>
      <c r="B132" s="1"/>
      <c r="C132" s="2" t="s">
        <v>132</v>
      </c>
      <c r="D132" s="1"/>
      <c r="E132" s="1" t="s">
        <v>133</v>
      </c>
      <c r="F132" s="13">
        <v>0</v>
      </c>
      <c r="G132" s="14">
        <v>0</v>
      </c>
      <c r="H132" s="53"/>
    </row>
    <row r="133" spans="1:8" ht="14.1" customHeight="1" x14ac:dyDescent="0.2">
      <c r="A133" s="1"/>
      <c r="B133" s="1"/>
      <c r="C133" s="11"/>
      <c r="D133" s="1"/>
      <c r="E133" s="1"/>
      <c r="F133" s="12"/>
      <c r="G133" s="12"/>
      <c r="H133" s="53"/>
    </row>
    <row r="134" spans="1:8" ht="14.1" customHeight="1" x14ac:dyDescent="0.2">
      <c r="A134" s="1"/>
      <c r="B134" s="1"/>
      <c r="C134" s="11"/>
      <c r="D134" s="1"/>
      <c r="E134" s="1"/>
      <c r="F134" s="12"/>
      <c r="G134" s="12"/>
      <c r="H134" s="53"/>
    </row>
    <row r="135" spans="1:8" ht="24" customHeight="1" x14ac:dyDescent="0.2">
      <c r="A135" s="1"/>
      <c r="B135" s="1"/>
      <c r="C135" s="2" t="s">
        <v>156</v>
      </c>
      <c r="D135" s="1"/>
      <c r="E135" s="1"/>
      <c r="F135" s="12"/>
      <c r="G135" s="12"/>
      <c r="H135" s="53"/>
    </row>
    <row r="136" spans="1:8" ht="14.1" customHeight="1" x14ac:dyDescent="0.2">
      <c r="A136" s="1"/>
      <c r="B136" s="1"/>
      <c r="C136" s="2" t="s">
        <v>132</v>
      </c>
      <c r="D136" s="1"/>
      <c r="E136" s="1" t="s">
        <v>133</v>
      </c>
      <c r="F136" s="13">
        <v>0</v>
      </c>
      <c r="G136" s="14">
        <v>0</v>
      </c>
      <c r="H136" s="53"/>
    </row>
    <row r="137" spans="1:8" ht="14.1" customHeight="1" x14ac:dyDescent="0.2">
      <c r="A137" s="1"/>
      <c r="B137" s="1"/>
      <c r="C137" s="11"/>
      <c r="D137" s="1"/>
      <c r="E137" s="1"/>
      <c r="F137" s="12"/>
      <c r="G137" s="12"/>
      <c r="H137" s="53"/>
    </row>
    <row r="138" spans="1:8" ht="14.1" customHeight="1" x14ac:dyDescent="0.2">
      <c r="A138" s="1"/>
      <c r="B138" s="4"/>
      <c r="C138" s="4"/>
      <c r="D138" s="2"/>
      <c r="E138" s="1"/>
      <c r="F138" s="4"/>
      <c r="G138" s="8"/>
      <c r="H138" s="53"/>
    </row>
    <row r="139" spans="1:8" ht="18" customHeight="1" x14ac:dyDescent="0.2">
      <c r="A139" s="8"/>
      <c r="B139" s="4"/>
      <c r="C139" s="4" t="s">
        <v>157</v>
      </c>
      <c r="D139" s="4"/>
      <c r="E139" s="8"/>
      <c r="F139" s="6">
        <v>-1132.0210340599999</v>
      </c>
      <c r="G139" s="7">
        <v>-6.1292660000000004E-3</v>
      </c>
      <c r="H139" s="53"/>
    </row>
    <row r="140" spans="1:8" ht="14.1" customHeight="1" x14ac:dyDescent="0.2">
      <c r="A140" s="11"/>
      <c r="B140" s="11"/>
      <c r="C140" s="2" t="s">
        <v>158</v>
      </c>
      <c r="D140" s="15"/>
      <c r="E140" s="15"/>
      <c r="F140" s="9">
        <v>184691.13063897702</v>
      </c>
      <c r="G140" s="14">
        <v>1.0000000019999999</v>
      </c>
      <c r="H140" s="53"/>
    </row>
    <row r="141" spans="1:8" ht="14.1" customHeight="1" x14ac:dyDescent="0.2">
      <c r="A141" s="16"/>
      <c r="B141" s="16"/>
      <c r="C141" s="16"/>
      <c r="D141" s="17"/>
      <c r="E141" s="17"/>
      <c r="F141" s="17"/>
      <c r="G141" s="17"/>
    </row>
    <row r="142" spans="1:8" ht="17.100000000000001" customHeight="1" x14ac:dyDescent="0.2">
      <c r="A142" s="18"/>
      <c r="B142" s="292" t="s">
        <v>159</v>
      </c>
      <c r="C142" s="292"/>
      <c r="D142" s="292"/>
      <c r="E142" s="292"/>
      <c r="F142" s="292"/>
      <c r="G142" s="20"/>
    </row>
    <row r="143" spans="1:8" ht="14.1" customHeight="1" x14ac:dyDescent="0.2">
      <c r="A143" s="18"/>
      <c r="B143" s="18"/>
      <c r="C143" s="18"/>
      <c r="D143" s="20"/>
      <c r="E143" s="20"/>
      <c r="F143" s="20"/>
      <c r="G143" s="20"/>
    </row>
    <row r="144" spans="1:8" ht="14.1" customHeight="1" x14ac:dyDescent="0.2">
      <c r="A144" s="18"/>
      <c r="B144" s="293" t="s">
        <v>160</v>
      </c>
      <c r="C144" s="294"/>
      <c r="D144" s="12" t="s">
        <v>133</v>
      </c>
      <c r="E144" s="21"/>
      <c r="F144" s="20"/>
      <c r="G144" s="20"/>
    </row>
    <row r="145" spans="1:7" ht="29.1" customHeight="1" x14ac:dyDescent="0.2">
      <c r="A145" s="18"/>
      <c r="B145" s="290" t="s">
        <v>161</v>
      </c>
      <c r="C145" s="291"/>
      <c r="D145" s="59" t="s">
        <v>1038</v>
      </c>
      <c r="E145" s="21"/>
      <c r="F145" s="20"/>
      <c r="G145" s="20"/>
    </row>
    <row r="146" spans="1:7" ht="17.100000000000001" customHeight="1" x14ac:dyDescent="0.2">
      <c r="A146" s="58"/>
      <c r="B146" s="295" t="s">
        <v>956</v>
      </c>
      <c r="C146" s="296"/>
      <c r="D146" s="59" t="s">
        <v>974</v>
      </c>
      <c r="E146" s="60"/>
      <c r="F146" s="61"/>
      <c r="G146" s="61"/>
    </row>
    <row r="147" spans="1:7" ht="17.100000000000001" customHeight="1" x14ac:dyDescent="0.2">
      <c r="A147" s="18"/>
      <c r="B147" s="290" t="s">
        <v>164</v>
      </c>
      <c r="C147" s="291"/>
      <c r="D147" s="12" t="s">
        <v>133</v>
      </c>
      <c r="E147" s="21"/>
      <c r="F147" s="20"/>
      <c r="G147" s="20"/>
    </row>
    <row r="148" spans="1:7" ht="24" customHeight="1" x14ac:dyDescent="0.2">
      <c r="A148" s="22"/>
      <c r="B148" s="23" t="s">
        <v>133</v>
      </c>
      <c r="C148" s="23" t="s">
        <v>165</v>
      </c>
      <c r="D148" s="23" t="s">
        <v>166</v>
      </c>
      <c r="E148" s="22"/>
      <c r="F148" s="22"/>
      <c r="G148" s="22"/>
    </row>
    <row r="149" spans="1:7" ht="18" customHeight="1" x14ac:dyDescent="0.2">
      <c r="A149" s="22"/>
      <c r="B149" s="23" t="s">
        <v>167</v>
      </c>
      <c r="C149" s="23" t="s">
        <v>168</v>
      </c>
      <c r="D149" s="23" t="s">
        <v>169</v>
      </c>
      <c r="E149" s="22"/>
      <c r="F149" s="22"/>
      <c r="G149" s="22"/>
    </row>
    <row r="150" spans="1:7" ht="17.100000000000001" customHeight="1" x14ac:dyDescent="0.2">
      <c r="A150" s="22"/>
      <c r="B150" s="4" t="s">
        <v>170</v>
      </c>
      <c r="C150" s="24">
        <v>266.1798</v>
      </c>
      <c r="D150" s="24">
        <v>258.00650000000002</v>
      </c>
      <c r="E150" s="22"/>
      <c r="F150" s="19"/>
      <c r="G150" s="25"/>
    </row>
    <row r="151" spans="1:7" ht="29.1" customHeight="1" x14ac:dyDescent="0.2">
      <c r="A151" s="22"/>
      <c r="B151" s="4" t="s">
        <v>1045</v>
      </c>
      <c r="C151" s="24">
        <v>68.179900000000004</v>
      </c>
      <c r="D151" s="24">
        <v>66.085999999999999</v>
      </c>
      <c r="E151" s="22"/>
      <c r="F151" s="19"/>
      <c r="G151" s="25"/>
    </row>
    <row r="152" spans="1:7" ht="17.100000000000001" customHeight="1" x14ac:dyDescent="0.2">
      <c r="A152" s="22"/>
      <c r="B152" s="4" t="s">
        <v>171</v>
      </c>
      <c r="C152" s="24">
        <v>246.12459999999999</v>
      </c>
      <c r="D152" s="24">
        <v>238.33349999999999</v>
      </c>
      <c r="E152" s="22"/>
      <c r="F152" s="19"/>
      <c r="G152" s="25"/>
    </row>
    <row r="153" spans="1:7" ht="29.1" customHeight="1" x14ac:dyDescent="0.2">
      <c r="A153" s="22"/>
      <c r="B153" s="4" t="s">
        <v>1046</v>
      </c>
      <c r="C153" s="24">
        <v>52.048200000000001</v>
      </c>
      <c r="D153" s="24">
        <v>50.400300000000001</v>
      </c>
      <c r="E153" s="22"/>
      <c r="F153" s="19"/>
      <c r="G153" s="25"/>
    </row>
    <row r="154" spans="1:7" ht="14.1" customHeight="1" x14ac:dyDescent="0.2">
      <c r="A154" s="22"/>
      <c r="B154" s="22"/>
      <c r="C154" s="22"/>
      <c r="D154" s="22"/>
      <c r="E154" s="22"/>
      <c r="F154" s="22"/>
      <c r="G154" s="22"/>
    </row>
    <row r="155" spans="1:7" ht="17.100000000000001" customHeight="1" x14ac:dyDescent="0.2">
      <c r="A155" s="22"/>
      <c r="B155" s="290" t="s">
        <v>1044</v>
      </c>
      <c r="C155" s="291"/>
      <c r="D155" s="2" t="s">
        <v>162</v>
      </c>
      <c r="E155" s="22"/>
      <c r="F155" s="22"/>
      <c r="G155" s="22"/>
    </row>
    <row r="156" spans="1:7" ht="18" customHeight="1" x14ac:dyDescent="0.2">
      <c r="A156" s="22"/>
      <c r="B156" s="26"/>
      <c r="C156" s="26"/>
      <c r="D156" s="27"/>
      <c r="E156" s="22"/>
      <c r="F156" s="22"/>
      <c r="G156" s="22"/>
    </row>
    <row r="157" spans="1:7" ht="29.1" customHeight="1" x14ac:dyDescent="0.2">
      <c r="A157" s="22"/>
      <c r="B157" s="290" t="s">
        <v>172</v>
      </c>
      <c r="C157" s="291"/>
      <c r="D157" s="2" t="s">
        <v>162</v>
      </c>
      <c r="E157" s="22"/>
      <c r="F157" s="22"/>
      <c r="G157" s="22"/>
    </row>
    <row r="158" spans="1:7" ht="29.1" customHeight="1" x14ac:dyDescent="0.2">
      <c r="A158" s="22"/>
      <c r="B158" s="290" t="s">
        <v>173</v>
      </c>
      <c r="C158" s="291"/>
      <c r="D158" s="2" t="s">
        <v>162</v>
      </c>
      <c r="E158" s="22"/>
      <c r="F158" s="22"/>
      <c r="G158" s="22"/>
    </row>
    <row r="159" spans="1:7" ht="17.100000000000001" customHeight="1" x14ac:dyDescent="0.2">
      <c r="A159" s="22"/>
      <c r="B159" s="290" t="s">
        <v>174</v>
      </c>
      <c r="C159" s="291"/>
      <c r="D159" s="28">
        <v>0.79241244325174875</v>
      </c>
      <c r="E159" s="22"/>
      <c r="F159" s="19"/>
      <c r="G159" s="25"/>
    </row>
    <row r="160" spans="1:7" ht="17.100000000000001" customHeight="1" x14ac:dyDescent="0.2">
      <c r="A160" s="22"/>
      <c r="B160" s="290" t="s">
        <v>175</v>
      </c>
      <c r="C160" s="291"/>
      <c r="D160" s="2" t="s">
        <v>162</v>
      </c>
      <c r="E160" s="22"/>
      <c r="F160" s="22"/>
      <c r="G160" s="22"/>
    </row>
    <row r="162" spans="2:6" x14ac:dyDescent="0.2">
      <c r="B162" s="172" t="s">
        <v>1041</v>
      </c>
    </row>
    <row r="163" spans="2:6" ht="38.25" x14ac:dyDescent="0.2">
      <c r="B163" s="143" t="s">
        <v>1015</v>
      </c>
      <c r="C163" s="143" t="s">
        <v>1016</v>
      </c>
      <c r="D163" s="143" t="s">
        <v>1017</v>
      </c>
      <c r="E163" s="143" t="s">
        <v>1018</v>
      </c>
      <c r="F163" s="143" t="s">
        <v>1019</v>
      </c>
    </row>
    <row r="164" spans="2:6" x14ac:dyDescent="0.2">
      <c r="B164" s="173" t="s">
        <v>1039</v>
      </c>
      <c r="C164" s="168" t="s">
        <v>1036</v>
      </c>
      <c r="D164" s="169">
        <v>0</v>
      </c>
      <c r="E164" s="170">
        <v>0</v>
      </c>
      <c r="F164" s="171">
        <v>29.407129999999999</v>
      </c>
    </row>
  </sheetData>
  <mergeCells count="14">
    <mergeCell ref="B160:C160"/>
    <mergeCell ref="B145:C145"/>
    <mergeCell ref="B146:C146"/>
    <mergeCell ref="B147:C147"/>
    <mergeCell ref="B155:C155"/>
    <mergeCell ref="B157:C157"/>
    <mergeCell ref="B158:C158"/>
    <mergeCell ref="A1:H1"/>
    <mergeCell ref="A2:H2"/>
    <mergeCell ref="A3:H3"/>
    <mergeCell ref="J2:N2"/>
    <mergeCell ref="B159:C159"/>
    <mergeCell ref="B142:F142"/>
    <mergeCell ref="B144:C144"/>
  </mergeCells>
  <hyperlinks>
    <hyperlink ref="I1" location="Index!B29" display="Index" xr:uid="{9BF2A3E3-8C61-4968-ADE9-D82672AB373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9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321" t="s">
        <v>1056</v>
      </c>
      <c r="B2" s="322"/>
      <c r="C2" s="322"/>
      <c r="D2" s="322"/>
      <c r="E2" s="322"/>
      <c r="F2" s="322"/>
      <c r="G2" s="322"/>
      <c r="H2" s="323"/>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179</v>
      </c>
      <c r="C7" s="4" t="s">
        <v>180</v>
      </c>
      <c r="D7" s="4" t="s">
        <v>19</v>
      </c>
      <c r="E7" s="5">
        <v>42119</v>
      </c>
      <c r="F7" s="6">
        <v>78.214983000000004</v>
      </c>
      <c r="G7" s="7">
        <v>1.4044022E-2</v>
      </c>
      <c r="H7" s="53"/>
    </row>
    <row r="8" spans="1:14" ht="17.100000000000001" customHeight="1" x14ac:dyDescent="0.2">
      <c r="A8" s="3">
        <v>2</v>
      </c>
      <c r="B8" s="4" t="s">
        <v>103</v>
      </c>
      <c r="C8" s="4" t="s">
        <v>104</v>
      </c>
      <c r="D8" s="4" t="s">
        <v>105</v>
      </c>
      <c r="E8" s="5">
        <v>14400</v>
      </c>
      <c r="F8" s="6">
        <v>68.162400000000005</v>
      </c>
      <c r="G8" s="7">
        <v>1.2239013999999999E-2</v>
      </c>
      <c r="H8" s="53"/>
    </row>
    <row r="9" spans="1:14" ht="17.100000000000001" customHeight="1" x14ac:dyDescent="0.2">
      <c r="A9" s="3">
        <v>3</v>
      </c>
      <c r="B9" s="4" t="s">
        <v>181</v>
      </c>
      <c r="C9" s="4" t="s">
        <v>182</v>
      </c>
      <c r="D9" s="4" t="s">
        <v>19</v>
      </c>
      <c r="E9" s="5">
        <v>7236</v>
      </c>
      <c r="F9" s="6">
        <v>67.566149999999993</v>
      </c>
      <c r="G9" s="7">
        <v>1.2131952999999999E-2</v>
      </c>
      <c r="H9" s="53"/>
    </row>
    <row r="10" spans="1:14" ht="17.100000000000001" customHeight="1" x14ac:dyDescent="0.2">
      <c r="A10" s="3">
        <v>4</v>
      </c>
      <c r="B10" s="4" t="s">
        <v>631</v>
      </c>
      <c r="C10" s="4" t="s">
        <v>632</v>
      </c>
      <c r="D10" s="4" t="s">
        <v>219</v>
      </c>
      <c r="E10" s="5">
        <v>8431</v>
      </c>
      <c r="F10" s="6">
        <v>64.754295499999998</v>
      </c>
      <c r="G10" s="7">
        <v>1.1627066E-2</v>
      </c>
      <c r="H10" s="53"/>
    </row>
    <row r="11" spans="1:14" ht="17.100000000000001" customHeight="1" x14ac:dyDescent="0.2">
      <c r="A11" s="3">
        <v>5</v>
      </c>
      <c r="B11" s="4" t="s">
        <v>587</v>
      </c>
      <c r="C11" s="4" t="s">
        <v>588</v>
      </c>
      <c r="D11" s="4" t="s">
        <v>589</v>
      </c>
      <c r="E11" s="5">
        <v>20492</v>
      </c>
      <c r="F11" s="6">
        <v>63.197327999999999</v>
      </c>
      <c r="G11" s="7">
        <v>1.1347502000000001E-2</v>
      </c>
      <c r="H11" s="53"/>
    </row>
    <row r="12" spans="1:14" ht="17.100000000000001" customHeight="1" x14ac:dyDescent="0.2">
      <c r="A12" s="3">
        <v>6</v>
      </c>
      <c r="B12" s="4" t="s">
        <v>633</v>
      </c>
      <c r="C12" s="4" t="s">
        <v>634</v>
      </c>
      <c r="D12" s="4" t="s">
        <v>320</v>
      </c>
      <c r="E12" s="5">
        <v>2882</v>
      </c>
      <c r="F12" s="6">
        <v>62.870829999999998</v>
      </c>
      <c r="G12" s="7">
        <v>1.1288876999999999E-2</v>
      </c>
      <c r="H12" s="53"/>
    </row>
    <row r="13" spans="1:14" ht="17.100000000000001" customHeight="1" x14ac:dyDescent="0.2">
      <c r="A13" s="3">
        <v>7</v>
      </c>
      <c r="B13" s="4" t="s">
        <v>120</v>
      </c>
      <c r="C13" s="4" t="s">
        <v>121</v>
      </c>
      <c r="D13" s="4" t="s">
        <v>122</v>
      </c>
      <c r="E13" s="5">
        <v>42842</v>
      </c>
      <c r="F13" s="6">
        <v>62.870635</v>
      </c>
      <c r="G13" s="7">
        <v>1.1288842E-2</v>
      </c>
      <c r="H13" s="53"/>
      <c r="J13" s="188" t="s">
        <v>1096</v>
      </c>
    </row>
    <row r="14" spans="1:14" ht="17.100000000000001" customHeight="1" x14ac:dyDescent="0.2">
      <c r="A14" s="3">
        <v>8</v>
      </c>
      <c r="B14" s="4" t="s">
        <v>325</v>
      </c>
      <c r="C14" s="4" t="s">
        <v>326</v>
      </c>
      <c r="D14" s="4" t="s">
        <v>219</v>
      </c>
      <c r="E14" s="5">
        <v>55031</v>
      </c>
      <c r="F14" s="6">
        <v>61.992421499999999</v>
      </c>
      <c r="G14" s="7">
        <v>1.1131153E-2</v>
      </c>
      <c r="H14" s="53"/>
    </row>
    <row r="15" spans="1:14" ht="29.1" customHeight="1" x14ac:dyDescent="0.2">
      <c r="A15" s="3">
        <v>9</v>
      </c>
      <c r="B15" s="4" t="s">
        <v>293</v>
      </c>
      <c r="C15" s="4" t="s">
        <v>294</v>
      </c>
      <c r="D15" s="4" t="s">
        <v>119</v>
      </c>
      <c r="E15" s="5">
        <v>2339</v>
      </c>
      <c r="F15" s="6">
        <v>61.693463999999999</v>
      </c>
      <c r="G15" s="7">
        <v>1.1077472999999999E-2</v>
      </c>
      <c r="H15" s="53"/>
    </row>
    <row r="16" spans="1:14" ht="17.100000000000001" customHeight="1" x14ac:dyDescent="0.2">
      <c r="A16" s="3">
        <v>10</v>
      </c>
      <c r="B16" s="4" t="s">
        <v>266</v>
      </c>
      <c r="C16" s="4" t="s">
        <v>267</v>
      </c>
      <c r="D16" s="4" t="s">
        <v>19</v>
      </c>
      <c r="E16" s="5">
        <v>3783</v>
      </c>
      <c r="F16" s="6">
        <v>61.592914499999999</v>
      </c>
      <c r="G16" s="7">
        <v>1.1059418999999999E-2</v>
      </c>
      <c r="H16" s="53"/>
    </row>
    <row r="17" spans="1:8" ht="17.100000000000001" customHeight="1" x14ac:dyDescent="0.2">
      <c r="A17" s="3">
        <v>11</v>
      </c>
      <c r="B17" s="4" t="s">
        <v>635</v>
      </c>
      <c r="C17" s="4" t="s">
        <v>636</v>
      </c>
      <c r="D17" s="4" t="s">
        <v>22</v>
      </c>
      <c r="E17" s="5">
        <v>80414</v>
      </c>
      <c r="F17" s="6">
        <v>61.516710000000003</v>
      </c>
      <c r="G17" s="7">
        <v>1.1045736E-2</v>
      </c>
      <c r="H17" s="53"/>
    </row>
    <row r="18" spans="1:8" ht="17.100000000000001" customHeight="1" x14ac:dyDescent="0.2">
      <c r="A18" s="3">
        <v>12</v>
      </c>
      <c r="B18" s="4" t="s">
        <v>29</v>
      </c>
      <c r="C18" s="4" t="s">
        <v>30</v>
      </c>
      <c r="D18" s="4" t="s">
        <v>19</v>
      </c>
      <c r="E18" s="5">
        <v>10007</v>
      </c>
      <c r="F18" s="6">
        <v>61.412959000000001</v>
      </c>
      <c r="G18" s="7">
        <v>1.1027107E-2</v>
      </c>
      <c r="H18" s="53"/>
    </row>
    <row r="19" spans="1:8" ht="29.1" customHeight="1" x14ac:dyDescent="0.2">
      <c r="A19" s="3">
        <v>13</v>
      </c>
      <c r="B19" s="4" t="s">
        <v>215</v>
      </c>
      <c r="C19" s="4" t="s">
        <v>216</v>
      </c>
      <c r="D19" s="4" t="s">
        <v>204</v>
      </c>
      <c r="E19" s="5">
        <v>1782</v>
      </c>
      <c r="F19" s="6">
        <v>60.942618000000003</v>
      </c>
      <c r="G19" s="7">
        <v>1.0942654E-2</v>
      </c>
      <c r="H19" s="53"/>
    </row>
    <row r="20" spans="1:8" ht="17.100000000000001" customHeight="1" x14ac:dyDescent="0.2">
      <c r="A20" s="3">
        <v>14</v>
      </c>
      <c r="B20" s="4" t="s">
        <v>11</v>
      </c>
      <c r="C20" s="4" t="s">
        <v>12</v>
      </c>
      <c r="D20" s="4" t="s">
        <v>13</v>
      </c>
      <c r="E20" s="5">
        <v>2916</v>
      </c>
      <c r="F20" s="6">
        <v>60.821928</v>
      </c>
      <c r="G20" s="7">
        <v>1.0920983E-2</v>
      </c>
      <c r="H20" s="53"/>
    </row>
    <row r="21" spans="1:8" ht="29.1" customHeight="1" x14ac:dyDescent="0.2">
      <c r="A21" s="3">
        <v>15</v>
      </c>
      <c r="B21" s="4" t="s">
        <v>23</v>
      </c>
      <c r="C21" s="4" t="s">
        <v>24</v>
      </c>
      <c r="D21" s="4" t="s">
        <v>25</v>
      </c>
      <c r="E21" s="5">
        <v>872</v>
      </c>
      <c r="F21" s="6">
        <v>60.682915999999999</v>
      </c>
      <c r="G21" s="7">
        <v>1.0896022999999999E-2</v>
      </c>
      <c r="H21" s="53"/>
    </row>
    <row r="22" spans="1:8" ht="17.100000000000001" customHeight="1" x14ac:dyDescent="0.2">
      <c r="A22" s="3">
        <v>16</v>
      </c>
      <c r="B22" s="4" t="s">
        <v>308</v>
      </c>
      <c r="C22" s="4" t="s">
        <v>309</v>
      </c>
      <c r="D22" s="4" t="s">
        <v>900</v>
      </c>
      <c r="E22" s="5">
        <v>5821</v>
      </c>
      <c r="F22" s="6">
        <v>60.497653</v>
      </c>
      <c r="G22" s="7">
        <v>1.0862757000000001E-2</v>
      </c>
      <c r="H22" s="53"/>
    </row>
    <row r="23" spans="1:8" ht="17.100000000000001" customHeight="1" x14ac:dyDescent="0.2">
      <c r="A23" s="3">
        <v>17</v>
      </c>
      <c r="B23" s="4" t="s">
        <v>561</v>
      </c>
      <c r="C23" s="4" t="s">
        <v>562</v>
      </c>
      <c r="D23" s="4" t="s">
        <v>265</v>
      </c>
      <c r="E23" s="5">
        <v>1401</v>
      </c>
      <c r="F23" s="6">
        <v>60.347374500000001</v>
      </c>
      <c r="G23" s="7">
        <v>1.0835773999999999E-2</v>
      </c>
      <c r="H23" s="53"/>
    </row>
    <row r="24" spans="1:8" ht="29.1" customHeight="1" x14ac:dyDescent="0.2">
      <c r="A24" s="3">
        <v>18</v>
      </c>
      <c r="B24" s="4" t="s">
        <v>299</v>
      </c>
      <c r="C24" s="4" t="s">
        <v>300</v>
      </c>
      <c r="D24" s="4" t="s">
        <v>227</v>
      </c>
      <c r="E24" s="5">
        <v>5996</v>
      </c>
      <c r="F24" s="6">
        <v>60.043944000000003</v>
      </c>
      <c r="G24" s="7">
        <v>1.0781291E-2</v>
      </c>
      <c r="H24" s="53"/>
    </row>
    <row r="25" spans="1:8" ht="29.1" customHeight="1" x14ac:dyDescent="0.2">
      <c r="A25" s="3">
        <v>19</v>
      </c>
      <c r="B25" s="4" t="s">
        <v>637</v>
      </c>
      <c r="C25" s="4" t="s">
        <v>638</v>
      </c>
      <c r="D25" s="4" t="s">
        <v>639</v>
      </c>
      <c r="E25" s="5">
        <v>1555</v>
      </c>
      <c r="F25" s="6">
        <v>59.997342500000002</v>
      </c>
      <c r="G25" s="7">
        <v>1.0772923E-2</v>
      </c>
      <c r="H25" s="53"/>
    </row>
    <row r="26" spans="1:8" ht="17.100000000000001" customHeight="1" x14ac:dyDescent="0.2">
      <c r="A26" s="3">
        <v>20</v>
      </c>
      <c r="B26" s="4" t="s">
        <v>640</v>
      </c>
      <c r="C26" s="4" t="s">
        <v>641</v>
      </c>
      <c r="D26" s="4" t="s">
        <v>209</v>
      </c>
      <c r="E26" s="5">
        <v>61957</v>
      </c>
      <c r="F26" s="6">
        <v>59.509698499999999</v>
      </c>
      <c r="G26" s="7">
        <v>1.0685363999999999E-2</v>
      </c>
      <c r="H26" s="53"/>
    </row>
    <row r="27" spans="1:8" ht="29.1" customHeight="1" x14ac:dyDescent="0.2">
      <c r="A27" s="3">
        <v>21</v>
      </c>
      <c r="B27" s="4" t="s">
        <v>642</v>
      </c>
      <c r="C27" s="4" t="s">
        <v>643</v>
      </c>
      <c r="D27" s="4" t="s">
        <v>65</v>
      </c>
      <c r="E27" s="5">
        <v>2342</v>
      </c>
      <c r="F27" s="6">
        <v>59.281874999999999</v>
      </c>
      <c r="G27" s="7">
        <v>1.0644456E-2</v>
      </c>
      <c r="H27" s="53"/>
    </row>
    <row r="28" spans="1:8" ht="29.1" customHeight="1" x14ac:dyDescent="0.2">
      <c r="A28" s="3">
        <v>22</v>
      </c>
      <c r="B28" s="4" t="s">
        <v>79</v>
      </c>
      <c r="C28" s="4" t="s">
        <v>80</v>
      </c>
      <c r="D28" s="4" t="s">
        <v>25</v>
      </c>
      <c r="E28" s="5">
        <v>254</v>
      </c>
      <c r="F28" s="6">
        <v>59.155203</v>
      </c>
      <c r="G28" s="7">
        <v>1.0621712E-2</v>
      </c>
      <c r="H28" s="53"/>
    </row>
    <row r="29" spans="1:8" ht="17.100000000000001" customHeight="1" x14ac:dyDescent="0.2">
      <c r="A29" s="3">
        <v>23</v>
      </c>
      <c r="B29" s="4" t="s">
        <v>644</v>
      </c>
      <c r="C29" s="4" t="s">
        <v>645</v>
      </c>
      <c r="D29" s="4" t="s">
        <v>87</v>
      </c>
      <c r="E29" s="5">
        <v>341</v>
      </c>
      <c r="F29" s="6">
        <v>58.870922</v>
      </c>
      <c r="G29" s="7">
        <v>1.0570667000000001E-2</v>
      </c>
      <c r="H29" s="53"/>
    </row>
    <row r="30" spans="1:8" ht="17.100000000000001" customHeight="1" x14ac:dyDescent="0.2">
      <c r="A30" s="3">
        <v>24</v>
      </c>
      <c r="B30" s="4" t="s">
        <v>108</v>
      </c>
      <c r="C30" s="4" t="s">
        <v>109</v>
      </c>
      <c r="D30" s="4" t="s">
        <v>40</v>
      </c>
      <c r="E30" s="5">
        <v>2915</v>
      </c>
      <c r="F30" s="6">
        <v>58.524455000000003</v>
      </c>
      <c r="G30" s="7">
        <v>1.0508457000000001E-2</v>
      </c>
      <c r="H30" s="53"/>
    </row>
    <row r="31" spans="1:8" ht="17.100000000000001" customHeight="1" x14ac:dyDescent="0.2">
      <c r="A31" s="3">
        <v>25</v>
      </c>
      <c r="B31" s="4" t="s">
        <v>646</v>
      </c>
      <c r="C31" s="4" t="s">
        <v>647</v>
      </c>
      <c r="D31" s="4" t="s">
        <v>209</v>
      </c>
      <c r="E31" s="5">
        <v>1582</v>
      </c>
      <c r="F31" s="6">
        <v>58.420887</v>
      </c>
      <c r="G31" s="7">
        <v>1.048986E-2</v>
      </c>
      <c r="H31" s="53"/>
    </row>
    <row r="32" spans="1:8" ht="17.100000000000001" customHeight="1" x14ac:dyDescent="0.2">
      <c r="A32" s="3">
        <v>26</v>
      </c>
      <c r="B32" s="4" t="s">
        <v>592</v>
      </c>
      <c r="C32" s="4" t="s">
        <v>593</v>
      </c>
      <c r="D32" s="4" t="s">
        <v>248</v>
      </c>
      <c r="E32" s="5">
        <v>10276</v>
      </c>
      <c r="F32" s="6">
        <v>58.187849999999997</v>
      </c>
      <c r="G32" s="7">
        <v>1.0448017E-2</v>
      </c>
      <c r="H32" s="53"/>
    </row>
    <row r="33" spans="1:8" ht="17.100000000000001" customHeight="1" x14ac:dyDescent="0.2">
      <c r="A33" s="3">
        <v>27</v>
      </c>
      <c r="B33" s="4" t="s">
        <v>648</v>
      </c>
      <c r="C33" s="4" t="s">
        <v>649</v>
      </c>
      <c r="D33" s="4" t="s">
        <v>248</v>
      </c>
      <c r="E33" s="5">
        <v>8498</v>
      </c>
      <c r="F33" s="6">
        <v>58.177307999999996</v>
      </c>
      <c r="G33" s="7">
        <v>1.0446123999999999E-2</v>
      </c>
      <c r="H33" s="53"/>
    </row>
    <row r="34" spans="1:8" ht="17.100000000000001" customHeight="1" x14ac:dyDescent="0.2">
      <c r="A34" s="3">
        <v>28</v>
      </c>
      <c r="B34" s="4" t="s">
        <v>291</v>
      </c>
      <c r="C34" s="4" t="s">
        <v>292</v>
      </c>
      <c r="D34" s="4" t="s">
        <v>900</v>
      </c>
      <c r="E34" s="5">
        <v>3853</v>
      </c>
      <c r="F34" s="6">
        <v>58.110945999999998</v>
      </c>
      <c r="G34" s="7">
        <v>1.0434208E-2</v>
      </c>
      <c r="H34" s="53"/>
    </row>
    <row r="35" spans="1:8" ht="17.100000000000001" customHeight="1" x14ac:dyDescent="0.2">
      <c r="A35" s="3">
        <v>29</v>
      </c>
      <c r="B35" s="4" t="s">
        <v>297</v>
      </c>
      <c r="C35" s="4" t="s">
        <v>298</v>
      </c>
      <c r="D35" s="4" t="s">
        <v>900</v>
      </c>
      <c r="E35" s="5">
        <v>1782</v>
      </c>
      <c r="F35" s="6">
        <v>58.034393999999999</v>
      </c>
      <c r="G35" s="7">
        <v>1.0420463E-2</v>
      </c>
      <c r="H35" s="53"/>
    </row>
    <row r="36" spans="1:8" ht="29.1" customHeight="1" x14ac:dyDescent="0.2">
      <c r="A36" s="3">
        <v>30</v>
      </c>
      <c r="B36" s="4" t="s">
        <v>81</v>
      </c>
      <c r="C36" s="4" t="s">
        <v>82</v>
      </c>
      <c r="D36" s="4" t="s">
        <v>25</v>
      </c>
      <c r="E36" s="5">
        <v>11002</v>
      </c>
      <c r="F36" s="6">
        <v>57.661481999999999</v>
      </c>
      <c r="G36" s="7">
        <v>1.0353503999999999E-2</v>
      </c>
      <c r="H36" s="53"/>
    </row>
    <row r="37" spans="1:8" ht="17.100000000000001" customHeight="1" x14ac:dyDescent="0.2">
      <c r="A37" s="3">
        <v>31</v>
      </c>
      <c r="B37" s="4" t="s">
        <v>544</v>
      </c>
      <c r="C37" s="4" t="s">
        <v>545</v>
      </c>
      <c r="D37" s="4" t="s">
        <v>96</v>
      </c>
      <c r="E37" s="5">
        <v>15374</v>
      </c>
      <c r="F37" s="6">
        <v>57.652500000000003</v>
      </c>
      <c r="G37" s="7">
        <v>1.0351891E-2</v>
      </c>
      <c r="H37" s="53"/>
    </row>
    <row r="38" spans="1:8" ht="29.1" customHeight="1" x14ac:dyDescent="0.2">
      <c r="A38" s="3">
        <v>32</v>
      </c>
      <c r="B38" s="4" t="s">
        <v>590</v>
      </c>
      <c r="C38" s="4" t="s">
        <v>591</v>
      </c>
      <c r="D38" s="4" t="s">
        <v>248</v>
      </c>
      <c r="E38" s="5">
        <v>4648</v>
      </c>
      <c r="F38" s="6">
        <v>57.486463999999998</v>
      </c>
      <c r="G38" s="7">
        <v>1.0322078E-2</v>
      </c>
      <c r="H38" s="53"/>
    </row>
    <row r="39" spans="1:8" ht="17.100000000000001" customHeight="1" x14ac:dyDescent="0.2">
      <c r="A39" s="3">
        <v>33</v>
      </c>
      <c r="B39" s="4" t="s">
        <v>20</v>
      </c>
      <c r="C39" s="4" t="s">
        <v>21</v>
      </c>
      <c r="D39" s="4" t="s">
        <v>22</v>
      </c>
      <c r="E39" s="5">
        <v>2240</v>
      </c>
      <c r="F39" s="6">
        <v>57.057279999999999</v>
      </c>
      <c r="G39" s="7">
        <v>1.0245015999999999E-2</v>
      </c>
      <c r="H39" s="53"/>
    </row>
    <row r="40" spans="1:8" ht="17.100000000000001" customHeight="1" x14ac:dyDescent="0.2">
      <c r="A40" s="3">
        <v>34</v>
      </c>
      <c r="B40" s="4" t="s">
        <v>14</v>
      </c>
      <c r="C40" s="4" t="s">
        <v>15</v>
      </c>
      <c r="D40" s="4" t="s">
        <v>16</v>
      </c>
      <c r="E40" s="5">
        <v>7070</v>
      </c>
      <c r="F40" s="6">
        <v>56.99127</v>
      </c>
      <c r="G40" s="7">
        <v>1.0233163E-2</v>
      </c>
      <c r="H40" s="53"/>
    </row>
    <row r="41" spans="1:8" ht="17.100000000000001" customHeight="1" x14ac:dyDescent="0.2">
      <c r="A41" s="3">
        <v>35</v>
      </c>
      <c r="B41" s="4" t="s">
        <v>101</v>
      </c>
      <c r="C41" s="4" t="s">
        <v>102</v>
      </c>
      <c r="D41" s="4" t="s">
        <v>22</v>
      </c>
      <c r="E41" s="5">
        <v>17208</v>
      </c>
      <c r="F41" s="6">
        <v>56.872439999999997</v>
      </c>
      <c r="G41" s="7">
        <v>1.0211826E-2</v>
      </c>
      <c r="H41" s="53"/>
    </row>
    <row r="42" spans="1:8" ht="29.1" customHeight="1" x14ac:dyDescent="0.2">
      <c r="A42" s="3">
        <v>36</v>
      </c>
      <c r="B42" s="4" t="s">
        <v>650</v>
      </c>
      <c r="C42" s="4" t="s">
        <v>651</v>
      </c>
      <c r="D42" s="4" t="s">
        <v>204</v>
      </c>
      <c r="E42" s="5">
        <v>7932</v>
      </c>
      <c r="F42" s="6">
        <v>56.805017999999997</v>
      </c>
      <c r="G42" s="7">
        <v>1.0199720000000001E-2</v>
      </c>
      <c r="H42" s="53"/>
    </row>
    <row r="43" spans="1:8" ht="17.100000000000001" customHeight="1" x14ac:dyDescent="0.2">
      <c r="A43" s="3">
        <v>37</v>
      </c>
      <c r="B43" s="4" t="s">
        <v>235</v>
      </c>
      <c r="C43" s="4" t="s">
        <v>236</v>
      </c>
      <c r="D43" s="4" t="s">
        <v>237</v>
      </c>
      <c r="E43" s="5">
        <v>1265</v>
      </c>
      <c r="F43" s="6">
        <v>56.641640000000002</v>
      </c>
      <c r="G43" s="7">
        <v>1.0170385000000001E-2</v>
      </c>
      <c r="H43" s="53"/>
    </row>
    <row r="44" spans="1:8" ht="17.100000000000001" customHeight="1" x14ac:dyDescent="0.2">
      <c r="A44" s="3">
        <v>38</v>
      </c>
      <c r="B44" s="4" t="s">
        <v>652</v>
      </c>
      <c r="C44" s="4" t="s">
        <v>653</v>
      </c>
      <c r="D44" s="4" t="s">
        <v>654</v>
      </c>
      <c r="E44" s="5">
        <v>25111</v>
      </c>
      <c r="F44" s="6">
        <v>56.512305499999997</v>
      </c>
      <c r="G44" s="7">
        <v>1.0147162E-2</v>
      </c>
      <c r="H44" s="53"/>
    </row>
    <row r="45" spans="1:8" ht="17.100000000000001" customHeight="1" x14ac:dyDescent="0.2">
      <c r="A45" s="3">
        <v>39</v>
      </c>
      <c r="B45" s="4" t="s">
        <v>655</v>
      </c>
      <c r="C45" s="4" t="s">
        <v>656</v>
      </c>
      <c r="D45" s="4" t="s">
        <v>265</v>
      </c>
      <c r="E45" s="5">
        <v>288</v>
      </c>
      <c r="F45" s="6">
        <v>56.46528</v>
      </c>
      <c r="G45" s="7">
        <v>1.0138718E-2</v>
      </c>
      <c r="H45" s="53"/>
    </row>
    <row r="46" spans="1:8" ht="17.100000000000001" customHeight="1" x14ac:dyDescent="0.2">
      <c r="A46" s="3">
        <v>40</v>
      </c>
      <c r="B46" s="4" t="s">
        <v>26</v>
      </c>
      <c r="C46" s="4" t="s">
        <v>27</v>
      </c>
      <c r="D46" s="4" t="s">
        <v>28</v>
      </c>
      <c r="E46" s="5">
        <v>33797</v>
      </c>
      <c r="F46" s="6">
        <v>56.255106499999997</v>
      </c>
      <c r="G46" s="7">
        <v>1.0100980000000001E-2</v>
      </c>
      <c r="H46" s="53"/>
    </row>
    <row r="47" spans="1:8" ht="29.1" customHeight="1" x14ac:dyDescent="0.2">
      <c r="A47" s="3">
        <v>41</v>
      </c>
      <c r="B47" s="4" t="s">
        <v>657</v>
      </c>
      <c r="C47" s="4" t="s">
        <v>658</v>
      </c>
      <c r="D47" s="4" t="s">
        <v>25</v>
      </c>
      <c r="E47" s="5">
        <v>2303</v>
      </c>
      <c r="F47" s="6">
        <v>56.230047999999996</v>
      </c>
      <c r="G47" s="7">
        <v>1.009648E-2</v>
      </c>
      <c r="H47" s="53"/>
    </row>
    <row r="48" spans="1:8" ht="17.100000000000001" customHeight="1" x14ac:dyDescent="0.2">
      <c r="A48" s="3">
        <v>42</v>
      </c>
      <c r="B48" s="4" t="s">
        <v>327</v>
      </c>
      <c r="C48" s="4" t="s">
        <v>328</v>
      </c>
      <c r="D48" s="4" t="s">
        <v>19</v>
      </c>
      <c r="E48" s="5">
        <v>4602</v>
      </c>
      <c r="F48" s="6">
        <v>56.149002000000003</v>
      </c>
      <c r="G48" s="7">
        <v>1.0081928E-2</v>
      </c>
      <c r="H48" s="53"/>
    </row>
    <row r="49" spans="1:8" ht="17.100000000000001" customHeight="1" x14ac:dyDescent="0.2">
      <c r="A49" s="3">
        <v>43</v>
      </c>
      <c r="B49" s="4" t="s">
        <v>659</v>
      </c>
      <c r="C49" s="4" t="s">
        <v>660</v>
      </c>
      <c r="D49" s="4" t="s">
        <v>72</v>
      </c>
      <c r="E49" s="5">
        <v>2045</v>
      </c>
      <c r="F49" s="6">
        <v>56.009482499999997</v>
      </c>
      <c r="G49" s="7">
        <v>1.0056875999999999E-2</v>
      </c>
      <c r="H49" s="53"/>
    </row>
    <row r="50" spans="1:8" ht="17.100000000000001" customHeight="1" x14ac:dyDescent="0.2">
      <c r="A50" s="3">
        <v>44</v>
      </c>
      <c r="B50" s="4" t="s">
        <v>661</v>
      </c>
      <c r="C50" s="4" t="s">
        <v>662</v>
      </c>
      <c r="D50" s="4" t="s">
        <v>119</v>
      </c>
      <c r="E50" s="5">
        <v>5268</v>
      </c>
      <c r="F50" s="6">
        <v>56.001474000000002</v>
      </c>
      <c r="G50" s="7">
        <v>1.0055438999999999E-2</v>
      </c>
      <c r="H50" s="53"/>
    </row>
    <row r="51" spans="1:8" ht="17.100000000000001" customHeight="1" x14ac:dyDescent="0.2">
      <c r="A51" s="3">
        <v>45</v>
      </c>
      <c r="B51" s="4" t="s">
        <v>52</v>
      </c>
      <c r="C51" s="4" t="s">
        <v>53</v>
      </c>
      <c r="D51" s="4" t="s">
        <v>28</v>
      </c>
      <c r="E51" s="5">
        <v>26124</v>
      </c>
      <c r="F51" s="6">
        <v>55.826988</v>
      </c>
      <c r="G51" s="7">
        <v>1.0024108E-2</v>
      </c>
      <c r="H51" s="53"/>
    </row>
    <row r="52" spans="1:8" ht="17.100000000000001" customHeight="1" x14ac:dyDescent="0.2">
      <c r="A52" s="3">
        <v>46</v>
      </c>
      <c r="B52" s="4" t="s">
        <v>17</v>
      </c>
      <c r="C52" s="4" t="s">
        <v>18</v>
      </c>
      <c r="D52" s="4" t="s">
        <v>19</v>
      </c>
      <c r="E52" s="5">
        <v>6263</v>
      </c>
      <c r="F52" s="6">
        <v>55.793935500000003</v>
      </c>
      <c r="G52" s="7">
        <v>1.0018173999999999E-2</v>
      </c>
      <c r="H52" s="53"/>
    </row>
    <row r="53" spans="1:8" ht="17.100000000000001" customHeight="1" x14ac:dyDescent="0.2">
      <c r="A53" s="3">
        <v>47</v>
      </c>
      <c r="B53" s="4" t="s">
        <v>61</v>
      </c>
      <c r="C53" s="4" t="s">
        <v>62</v>
      </c>
      <c r="D53" s="4" t="s">
        <v>45</v>
      </c>
      <c r="E53" s="5">
        <v>1974</v>
      </c>
      <c r="F53" s="6">
        <v>55.793135999999997</v>
      </c>
      <c r="G53" s="7">
        <v>1.0018030000000001E-2</v>
      </c>
      <c r="H53" s="53"/>
    </row>
    <row r="54" spans="1:8" ht="29.1" customHeight="1" x14ac:dyDescent="0.2">
      <c r="A54" s="3">
        <v>48</v>
      </c>
      <c r="B54" s="4" t="s">
        <v>663</v>
      </c>
      <c r="C54" s="4" t="s">
        <v>664</v>
      </c>
      <c r="D54" s="4" t="s">
        <v>25</v>
      </c>
      <c r="E54" s="5">
        <v>3212</v>
      </c>
      <c r="F54" s="6">
        <v>55.358820000000001</v>
      </c>
      <c r="G54" s="7">
        <v>9.9400459999999993E-3</v>
      </c>
      <c r="H54" s="53"/>
    </row>
    <row r="55" spans="1:8" ht="17.100000000000001" customHeight="1" x14ac:dyDescent="0.2">
      <c r="A55" s="3">
        <v>49</v>
      </c>
      <c r="B55" s="4" t="s">
        <v>583</v>
      </c>
      <c r="C55" s="4" t="s">
        <v>584</v>
      </c>
      <c r="D55" s="4" t="s">
        <v>187</v>
      </c>
      <c r="E55" s="5">
        <v>6253</v>
      </c>
      <c r="F55" s="6">
        <v>54.8732015</v>
      </c>
      <c r="G55" s="7">
        <v>9.8528499999999998E-3</v>
      </c>
      <c r="H55" s="53"/>
    </row>
    <row r="56" spans="1:8" ht="17.100000000000001" customHeight="1" x14ac:dyDescent="0.2">
      <c r="A56" s="3">
        <v>50</v>
      </c>
      <c r="B56" s="4" t="s">
        <v>306</v>
      </c>
      <c r="C56" s="4" t="s">
        <v>307</v>
      </c>
      <c r="D56" s="4" t="s">
        <v>72</v>
      </c>
      <c r="E56" s="5">
        <v>4379</v>
      </c>
      <c r="F56" s="6">
        <v>54.702468000000003</v>
      </c>
      <c r="G56" s="7">
        <v>9.8221929999999999E-3</v>
      </c>
      <c r="H56" s="53"/>
    </row>
    <row r="57" spans="1:8" ht="17.100000000000001" customHeight="1" x14ac:dyDescent="0.2">
      <c r="A57" s="3">
        <v>51</v>
      </c>
      <c r="B57" s="4" t="s">
        <v>559</v>
      </c>
      <c r="C57" s="4" t="s">
        <v>560</v>
      </c>
      <c r="D57" s="4" t="s">
        <v>72</v>
      </c>
      <c r="E57" s="5">
        <v>1509</v>
      </c>
      <c r="F57" s="6">
        <v>54.566194500000002</v>
      </c>
      <c r="G57" s="7">
        <v>9.7977240000000007E-3</v>
      </c>
      <c r="H57" s="53"/>
    </row>
    <row r="58" spans="1:8" ht="17.100000000000001" customHeight="1" x14ac:dyDescent="0.2">
      <c r="A58" s="3">
        <v>52</v>
      </c>
      <c r="B58" s="4" t="s">
        <v>665</v>
      </c>
      <c r="C58" s="4" t="s">
        <v>666</v>
      </c>
      <c r="D58" s="4" t="s">
        <v>190</v>
      </c>
      <c r="E58" s="5">
        <v>1385</v>
      </c>
      <c r="F58" s="6">
        <v>54.458892499999997</v>
      </c>
      <c r="G58" s="7">
        <v>9.7784580000000003E-3</v>
      </c>
      <c r="H58" s="53"/>
    </row>
    <row r="59" spans="1:8" ht="17.100000000000001" customHeight="1" x14ac:dyDescent="0.2">
      <c r="A59" s="3">
        <v>53</v>
      </c>
      <c r="B59" s="4" t="s">
        <v>329</v>
      </c>
      <c r="C59" s="4" t="s">
        <v>330</v>
      </c>
      <c r="D59" s="4" t="s">
        <v>19</v>
      </c>
      <c r="E59" s="5">
        <v>2973</v>
      </c>
      <c r="F59" s="6">
        <v>54.324142500000001</v>
      </c>
      <c r="G59" s="7">
        <v>9.7542619999999997E-3</v>
      </c>
      <c r="H59" s="53"/>
    </row>
    <row r="60" spans="1:8" ht="29.1" customHeight="1" x14ac:dyDescent="0.2">
      <c r="A60" s="3">
        <v>54</v>
      </c>
      <c r="B60" s="4" t="s">
        <v>667</v>
      </c>
      <c r="C60" s="4" t="s">
        <v>668</v>
      </c>
      <c r="D60" s="4" t="s">
        <v>227</v>
      </c>
      <c r="E60" s="5">
        <v>1280</v>
      </c>
      <c r="F60" s="6">
        <v>54.240639999999999</v>
      </c>
      <c r="G60" s="7">
        <v>9.7392690000000001E-3</v>
      </c>
      <c r="H60" s="53"/>
    </row>
    <row r="61" spans="1:8" ht="29.1" customHeight="1" x14ac:dyDescent="0.2">
      <c r="A61" s="3">
        <v>55</v>
      </c>
      <c r="B61" s="4" t="s">
        <v>669</v>
      </c>
      <c r="C61" s="4" t="s">
        <v>670</v>
      </c>
      <c r="D61" s="4" t="s">
        <v>227</v>
      </c>
      <c r="E61" s="5">
        <v>3494</v>
      </c>
      <c r="F61" s="6">
        <v>54.177964000000003</v>
      </c>
      <c r="G61" s="7">
        <v>9.7280149999999996E-3</v>
      </c>
      <c r="H61" s="53"/>
    </row>
    <row r="62" spans="1:8" ht="29.1" customHeight="1" x14ac:dyDescent="0.2">
      <c r="A62" s="3">
        <v>56</v>
      </c>
      <c r="B62" s="4" t="s">
        <v>117</v>
      </c>
      <c r="C62" s="4" t="s">
        <v>118</v>
      </c>
      <c r="D62" s="4" t="s">
        <v>119</v>
      </c>
      <c r="E62" s="5">
        <v>7486</v>
      </c>
      <c r="F62" s="6">
        <v>54.116294000000003</v>
      </c>
      <c r="G62" s="7">
        <v>9.7169419999999992E-3</v>
      </c>
      <c r="H62" s="53"/>
    </row>
    <row r="63" spans="1:8" ht="17.100000000000001" customHeight="1" x14ac:dyDescent="0.2">
      <c r="A63" s="3">
        <v>57</v>
      </c>
      <c r="B63" s="4" t="s">
        <v>671</v>
      </c>
      <c r="C63" s="4" t="s">
        <v>672</v>
      </c>
      <c r="D63" s="4" t="s">
        <v>190</v>
      </c>
      <c r="E63" s="5">
        <v>91240</v>
      </c>
      <c r="F63" s="6">
        <v>54.105319999999999</v>
      </c>
      <c r="G63" s="7">
        <v>9.7149709999999993E-3</v>
      </c>
      <c r="H63" s="53"/>
    </row>
    <row r="64" spans="1:8" ht="29.1" customHeight="1" x14ac:dyDescent="0.2">
      <c r="A64" s="3">
        <v>58</v>
      </c>
      <c r="B64" s="4" t="s">
        <v>673</v>
      </c>
      <c r="C64" s="4" t="s">
        <v>674</v>
      </c>
      <c r="D64" s="4" t="s">
        <v>278</v>
      </c>
      <c r="E64" s="5">
        <v>372</v>
      </c>
      <c r="F64" s="6">
        <v>54.073734000000002</v>
      </c>
      <c r="G64" s="7">
        <v>9.7093000000000006E-3</v>
      </c>
      <c r="H64" s="53"/>
    </row>
    <row r="65" spans="1:8" ht="17.100000000000001" customHeight="1" x14ac:dyDescent="0.2">
      <c r="A65" s="3">
        <v>59</v>
      </c>
      <c r="B65" s="4" t="s">
        <v>675</v>
      </c>
      <c r="C65" s="4" t="s">
        <v>676</v>
      </c>
      <c r="D65" s="4" t="s">
        <v>278</v>
      </c>
      <c r="E65" s="5">
        <v>9606</v>
      </c>
      <c r="F65" s="6">
        <v>53.932887000000001</v>
      </c>
      <c r="G65" s="7">
        <v>9.6840099999999998E-3</v>
      </c>
      <c r="H65" s="53"/>
    </row>
    <row r="66" spans="1:8" ht="17.100000000000001" customHeight="1" x14ac:dyDescent="0.2">
      <c r="A66" s="3">
        <v>60</v>
      </c>
      <c r="B66" s="4" t="s">
        <v>677</v>
      </c>
      <c r="C66" s="4" t="s">
        <v>678</v>
      </c>
      <c r="D66" s="4" t="s">
        <v>16</v>
      </c>
      <c r="E66" s="5">
        <v>28316</v>
      </c>
      <c r="F66" s="6">
        <v>53.927821999999999</v>
      </c>
      <c r="G66" s="7">
        <v>9.6831E-3</v>
      </c>
      <c r="H66" s="53"/>
    </row>
    <row r="67" spans="1:8" ht="17.100000000000001" customHeight="1" x14ac:dyDescent="0.2">
      <c r="A67" s="3">
        <v>61</v>
      </c>
      <c r="B67" s="4" t="s">
        <v>354</v>
      </c>
      <c r="C67" s="4" t="s">
        <v>355</v>
      </c>
      <c r="D67" s="4" t="s">
        <v>116</v>
      </c>
      <c r="E67" s="5">
        <v>2074</v>
      </c>
      <c r="F67" s="6">
        <v>53.872149999999998</v>
      </c>
      <c r="G67" s="7">
        <v>9.6731040000000001E-3</v>
      </c>
      <c r="H67" s="53"/>
    </row>
    <row r="68" spans="1:8" ht="29.1" customHeight="1" x14ac:dyDescent="0.2">
      <c r="A68" s="3">
        <v>62</v>
      </c>
      <c r="B68" s="4" t="s">
        <v>63</v>
      </c>
      <c r="C68" s="4" t="s">
        <v>64</v>
      </c>
      <c r="D68" s="4" t="s">
        <v>65</v>
      </c>
      <c r="E68" s="5">
        <v>53572</v>
      </c>
      <c r="F68" s="6">
        <v>53.518428</v>
      </c>
      <c r="G68" s="7">
        <v>9.6095910000000007E-3</v>
      </c>
      <c r="H68" s="53"/>
    </row>
    <row r="69" spans="1:8" ht="17.100000000000001" customHeight="1" x14ac:dyDescent="0.2">
      <c r="A69" s="3">
        <v>63</v>
      </c>
      <c r="B69" s="4" t="s">
        <v>679</v>
      </c>
      <c r="C69" s="4" t="s">
        <v>680</v>
      </c>
      <c r="D69" s="4" t="s">
        <v>278</v>
      </c>
      <c r="E69" s="5">
        <v>6116</v>
      </c>
      <c r="F69" s="6">
        <v>53.456898000000002</v>
      </c>
      <c r="G69" s="7">
        <v>9.5985429999999993E-3</v>
      </c>
      <c r="H69" s="53"/>
    </row>
    <row r="70" spans="1:8" ht="17.100000000000001" customHeight="1" x14ac:dyDescent="0.2">
      <c r="A70" s="3">
        <v>64</v>
      </c>
      <c r="B70" s="4" t="s">
        <v>310</v>
      </c>
      <c r="C70" s="4" t="s">
        <v>311</v>
      </c>
      <c r="D70" s="4" t="s">
        <v>305</v>
      </c>
      <c r="E70" s="5">
        <v>16115</v>
      </c>
      <c r="F70" s="6">
        <v>53.429282499999999</v>
      </c>
      <c r="G70" s="7">
        <v>9.5935840000000005E-3</v>
      </c>
      <c r="H70" s="53"/>
    </row>
    <row r="71" spans="1:8" ht="17.100000000000001" customHeight="1" x14ac:dyDescent="0.2">
      <c r="A71" s="3">
        <v>65</v>
      </c>
      <c r="B71" s="4" t="s">
        <v>323</v>
      </c>
      <c r="C71" s="4" t="s">
        <v>324</v>
      </c>
      <c r="D71" s="4" t="s">
        <v>900</v>
      </c>
      <c r="E71" s="5">
        <v>5251</v>
      </c>
      <c r="F71" s="6">
        <v>53.371164</v>
      </c>
      <c r="G71" s="7">
        <v>9.5831489999999991E-3</v>
      </c>
      <c r="H71" s="53"/>
    </row>
    <row r="72" spans="1:8" ht="17.100000000000001" customHeight="1" x14ac:dyDescent="0.2">
      <c r="A72" s="3">
        <v>66</v>
      </c>
      <c r="B72" s="4" t="s">
        <v>295</v>
      </c>
      <c r="C72" s="4" t="s">
        <v>296</v>
      </c>
      <c r="D72" s="4" t="s">
        <v>248</v>
      </c>
      <c r="E72" s="5">
        <v>4328</v>
      </c>
      <c r="F72" s="6">
        <v>53.290664</v>
      </c>
      <c r="G72" s="7">
        <v>9.5686940000000009E-3</v>
      </c>
      <c r="H72" s="53"/>
    </row>
    <row r="73" spans="1:8" ht="17.100000000000001" customHeight="1" x14ac:dyDescent="0.2">
      <c r="A73" s="3">
        <v>67</v>
      </c>
      <c r="B73" s="4" t="s">
        <v>681</v>
      </c>
      <c r="C73" s="4" t="s">
        <v>682</v>
      </c>
      <c r="D73" s="4" t="s">
        <v>87</v>
      </c>
      <c r="E73" s="5">
        <v>71761</v>
      </c>
      <c r="F73" s="6">
        <v>53.210781500000003</v>
      </c>
      <c r="G73" s="7">
        <v>9.5543510000000009E-3</v>
      </c>
      <c r="H73" s="53"/>
    </row>
    <row r="74" spans="1:8" ht="17.100000000000001" customHeight="1" x14ac:dyDescent="0.2">
      <c r="A74" s="3">
        <v>68</v>
      </c>
      <c r="B74" s="4" t="s">
        <v>316</v>
      </c>
      <c r="C74" s="4" t="s">
        <v>317</v>
      </c>
      <c r="D74" s="4" t="s">
        <v>900</v>
      </c>
      <c r="E74" s="5">
        <v>13487</v>
      </c>
      <c r="F74" s="6">
        <v>52.970192500000003</v>
      </c>
      <c r="G74" s="7">
        <v>9.5111520000000001E-3</v>
      </c>
      <c r="H74" s="53"/>
    </row>
    <row r="75" spans="1:8" ht="29.1" customHeight="1" x14ac:dyDescent="0.2">
      <c r="A75" s="3">
        <v>69</v>
      </c>
      <c r="B75" s="4" t="s">
        <v>58</v>
      </c>
      <c r="C75" s="4" t="s">
        <v>59</v>
      </c>
      <c r="D75" s="4" t="s">
        <v>60</v>
      </c>
      <c r="E75" s="5">
        <v>6474</v>
      </c>
      <c r="F75" s="6">
        <v>52.963794</v>
      </c>
      <c r="G75" s="7">
        <v>9.5100029999999995E-3</v>
      </c>
      <c r="H75" s="53"/>
    </row>
    <row r="76" spans="1:8" ht="29.1" customHeight="1" x14ac:dyDescent="0.2">
      <c r="A76" s="3">
        <v>70</v>
      </c>
      <c r="B76" s="4" t="s">
        <v>481</v>
      </c>
      <c r="C76" s="4" t="s">
        <v>482</v>
      </c>
      <c r="D76" s="4" t="s">
        <v>227</v>
      </c>
      <c r="E76" s="5">
        <v>4882</v>
      </c>
      <c r="F76" s="6">
        <v>52.527878999999999</v>
      </c>
      <c r="G76" s="7">
        <v>9.4317310000000005E-3</v>
      </c>
      <c r="H76" s="53"/>
    </row>
    <row r="77" spans="1:8" ht="17.100000000000001" customHeight="1" x14ac:dyDescent="0.2">
      <c r="A77" s="3">
        <v>71</v>
      </c>
      <c r="B77" s="4" t="s">
        <v>683</v>
      </c>
      <c r="C77" s="4" t="s">
        <v>684</v>
      </c>
      <c r="D77" s="4" t="s">
        <v>278</v>
      </c>
      <c r="E77" s="5">
        <v>3405</v>
      </c>
      <c r="F77" s="6">
        <v>52.311014999999998</v>
      </c>
      <c r="G77" s="7">
        <v>9.3927920000000005E-3</v>
      </c>
      <c r="H77" s="53"/>
    </row>
    <row r="78" spans="1:8" ht="17.100000000000001" customHeight="1" x14ac:dyDescent="0.2">
      <c r="A78" s="3">
        <v>72</v>
      </c>
      <c r="B78" s="4" t="s">
        <v>350</v>
      </c>
      <c r="C78" s="4" t="s">
        <v>351</v>
      </c>
      <c r="D78" s="4" t="s">
        <v>72</v>
      </c>
      <c r="E78" s="5">
        <v>13469</v>
      </c>
      <c r="F78" s="6">
        <v>52.252985500000001</v>
      </c>
      <c r="G78" s="7">
        <v>9.3823719999999999E-3</v>
      </c>
      <c r="H78" s="53"/>
    </row>
    <row r="79" spans="1:8" ht="17.100000000000001" customHeight="1" x14ac:dyDescent="0.2">
      <c r="A79" s="3">
        <v>73</v>
      </c>
      <c r="B79" s="4" t="s">
        <v>228</v>
      </c>
      <c r="C79" s="4" t="s">
        <v>229</v>
      </c>
      <c r="D79" s="4" t="s">
        <v>900</v>
      </c>
      <c r="E79" s="5">
        <v>1194</v>
      </c>
      <c r="F79" s="6">
        <v>52.122875999999998</v>
      </c>
      <c r="G79" s="7">
        <v>9.3590099999999992E-3</v>
      </c>
      <c r="H79" s="53"/>
    </row>
    <row r="80" spans="1:8" ht="29.1" customHeight="1" x14ac:dyDescent="0.2">
      <c r="A80" s="3">
        <v>74</v>
      </c>
      <c r="B80" s="4" t="s">
        <v>485</v>
      </c>
      <c r="C80" s="4" t="s">
        <v>486</v>
      </c>
      <c r="D80" s="4" t="s">
        <v>430</v>
      </c>
      <c r="E80" s="5">
        <v>6743</v>
      </c>
      <c r="F80" s="6">
        <v>51.715438499999998</v>
      </c>
      <c r="G80" s="7">
        <v>9.2858520000000007E-3</v>
      </c>
      <c r="H80" s="53"/>
    </row>
    <row r="81" spans="1:8" ht="17.100000000000001" customHeight="1" x14ac:dyDescent="0.2">
      <c r="A81" s="3">
        <v>75</v>
      </c>
      <c r="B81" s="4" t="s">
        <v>70</v>
      </c>
      <c r="C81" s="4" t="s">
        <v>71</v>
      </c>
      <c r="D81" s="4" t="s">
        <v>72</v>
      </c>
      <c r="E81" s="5">
        <v>614</v>
      </c>
      <c r="F81" s="6">
        <v>51.542844000000002</v>
      </c>
      <c r="G81" s="7">
        <v>9.2548620000000009E-3</v>
      </c>
      <c r="H81" s="53"/>
    </row>
    <row r="82" spans="1:8" ht="17.100000000000001" customHeight="1" x14ac:dyDescent="0.2">
      <c r="A82" s="3">
        <v>76</v>
      </c>
      <c r="B82" s="4" t="s">
        <v>272</v>
      </c>
      <c r="C82" s="4" t="s">
        <v>273</v>
      </c>
      <c r="D82" s="4" t="s">
        <v>900</v>
      </c>
      <c r="E82" s="5">
        <v>2603</v>
      </c>
      <c r="F82" s="6">
        <v>51.351984000000002</v>
      </c>
      <c r="G82" s="7">
        <v>9.2205919999999997E-3</v>
      </c>
      <c r="H82" s="53"/>
    </row>
    <row r="83" spans="1:8" ht="17.100000000000001" customHeight="1" x14ac:dyDescent="0.2">
      <c r="A83" s="3">
        <v>77</v>
      </c>
      <c r="B83" s="4" t="s">
        <v>303</v>
      </c>
      <c r="C83" s="4" t="s">
        <v>304</v>
      </c>
      <c r="D83" s="4" t="s">
        <v>305</v>
      </c>
      <c r="E83" s="5">
        <v>2005</v>
      </c>
      <c r="F83" s="6">
        <v>51.349052499999999</v>
      </c>
      <c r="G83" s="7">
        <v>9.2200649999999995E-3</v>
      </c>
      <c r="H83" s="53"/>
    </row>
    <row r="84" spans="1:8" ht="17.100000000000001" customHeight="1" x14ac:dyDescent="0.2">
      <c r="A84" s="3">
        <v>78</v>
      </c>
      <c r="B84" s="4" t="s">
        <v>66</v>
      </c>
      <c r="C84" s="4" t="s">
        <v>67</v>
      </c>
      <c r="D84" s="4" t="s">
        <v>28</v>
      </c>
      <c r="E84" s="5">
        <v>24569</v>
      </c>
      <c r="F84" s="6">
        <v>51.029812999999997</v>
      </c>
      <c r="G84" s="7">
        <v>9.1627440000000004E-3</v>
      </c>
      <c r="H84" s="53"/>
    </row>
    <row r="85" spans="1:8" ht="17.100000000000001" customHeight="1" x14ac:dyDescent="0.2">
      <c r="A85" s="3">
        <v>79</v>
      </c>
      <c r="B85" s="4" t="s">
        <v>685</v>
      </c>
      <c r="C85" s="4" t="s">
        <v>686</v>
      </c>
      <c r="D85" s="4" t="s">
        <v>278</v>
      </c>
      <c r="E85" s="5">
        <v>9967</v>
      </c>
      <c r="F85" s="6">
        <v>50.8167495</v>
      </c>
      <c r="G85" s="7">
        <v>9.1244870000000006E-3</v>
      </c>
      <c r="H85" s="53"/>
    </row>
    <row r="86" spans="1:8" ht="17.100000000000001" customHeight="1" x14ac:dyDescent="0.2">
      <c r="A86" s="3">
        <v>80</v>
      </c>
      <c r="B86" s="4" t="s">
        <v>348</v>
      </c>
      <c r="C86" s="4" t="s">
        <v>349</v>
      </c>
      <c r="D86" s="4" t="s">
        <v>190</v>
      </c>
      <c r="E86" s="5">
        <v>1245</v>
      </c>
      <c r="F86" s="6">
        <v>50.6559375</v>
      </c>
      <c r="G86" s="7">
        <v>9.0956119999999994E-3</v>
      </c>
      <c r="H86" s="53"/>
    </row>
    <row r="87" spans="1:8" ht="29.1" customHeight="1" x14ac:dyDescent="0.2">
      <c r="A87" s="3">
        <v>81</v>
      </c>
      <c r="B87" s="4" t="s">
        <v>687</v>
      </c>
      <c r="C87" s="4" t="s">
        <v>688</v>
      </c>
      <c r="D87" s="4" t="s">
        <v>224</v>
      </c>
      <c r="E87" s="5">
        <v>7897</v>
      </c>
      <c r="F87" s="6">
        <v>50.517108999999998</v>
      </c>
      <c r="G87" s="7">
        <v>9.0706840000000007E-3</v>
      </c>
      <c r="H87" s="53"/>
    </row>
    <row r="88" spans="1:8" ht="29.1" customHeight="1" x14ac:dyDescent="0.2">
      <c r="A88" s="3">
        <v>82</v>
      </c>
      <c r="B88" s="4" t="s">
        <v>689</v>
      </c>
      <c r="C88" s="4" t="s">
        <v>690</v>
      </c>
      <c r="D88" s="4" t="s">
        <v>227</v>
      </c>
      <c r="E88" s="5">
        <v>19088</v>
      </c>
      <c r="F88" s="6">
        <v>49.981928000000003</v>
      </c>
      <c r="G88" s="7">
        <v>8.9745889999999998E-3</v>
      </c>
      <c r="H88" s="53"/>
    </row>
    <row r="89" spans="1:8" ht="29.1" customHeight="1" x14ac:dyDescent="0.2">
      <c r="A89" s="3">
        <v>83</v>
      </c>
      <c r="B89" s="4" t="s">
        <v>344</v>
      </c>
      <c r="C89" s="4" t="s">
        <v>345</v>
      </c>
      <c r="D89" s="4" t="s">
        <v>227</v>
      </c>
      <c r="E89" s="5">
        <v>1463</v>
      </c>
      <c r="F89" s="6">
        <v>49.935116000000001</v>
      </c>
      <c r="G89" s="7">
        <v>8.9661830000000008E-3</v>
      </c>
      <c r="H89" s="53"/>
    </row>
    <row r="90" spans="1:8" ht="17.100000000000001" customHeight="1" x14ac:dyDescent="0.2">
      <c r="A90" s="3">
        <v>84</v>
      </c>
      <c r="B90" s="4" t="s">
        <v>691</v>
      </c>
      <c r="C90" s="4" t="s">
        <v>692</v>
      </c>
      <c r="D90" s="4" t="s">
        <v>116</v>
      </c>
      <c r="E90" s="5">
        <v>8581</v>
      </c>
      <c r="F90" s="6">
        <v>49.8856435</v>
      </c>
      <c r="G90" s="7">
        <v>8.9572999999999996E-3</v>
      </c>
      <c r="H90" s="53"/>
    </row>
    <row r="91" spans="1:8" ht="29.1" customHeight="1" x14ac:dyDescent="0.2">
      <c r="A91" s="3">
        <v>85</v>
      </c>
      <c r="B91" s="4" t="s">
        <v>200</v>
      </c>
      <c r="C91" s="4" t="s">
        <v>201</v>
      </c>
      <c r="D91" s="4" t="s">
        <v>199</v>
      </c>
      <c r="E91" s="5">
        <v>2171</v>
      </c>
      <c r="F91" s="6">
        <v>49.723498499999998</v>
      </c>
      <c r="G91" s="7">
        <v>8.9281859999999994E-3</v>
      </c>
      <c r="H91" s="53"/>
    </row>
    <row r="92" spans="1:8" ht="17.100000000000001" customHeight="1" x14ac:dyDescent="0.2">
      <c r="A92" s="3">
        <v>86</v>
      </c>
      <c r="B92" s="4" t="s">
        <v>261</v>
      </c>
      <c r="C92" s="4" t="s">
        <v>262</v>
      </c>
      <c r="D92" s="4" t="s">
        <v>119</v>
      </c>
      <c r="E92" s="5">
        <v>3208</v>
      </c>
      <c r="F92" s="6">
        <v>49.655028000000001</v>
      </c>
      <c r="G92" s="7">
        <v>8.9158919999999999E-3</v>
      </c>
      <c r="H92" s="53"/>
    </row>
    <row r="93" spans="1:8" ht="17.100000000000001" customHeight="1" x14ac:dyDescent="0.2">
      <c r="A93" s="3">
        <v>87</v>
      </c>
      <c r="B93" s="4" t="s">
        <v>693</v>
      </c>
      <c r="C93" s="4" t="s">
        <v>694</v>
      </c>
      <c r="D93" s="4" t="s">
        <v>28</v>
      </c>
      <c r="E93" s="5">
        <v>2554</v>
      </c>
      <c r="F93" s="6">
        <v>49.338172</v>
      </c>
      <c r="G93" s="7">
        <v>8.8589979999999999E-3</v>
      </c>
      <c r="H93" s="53"/>
    </row>
    <row r="94" spans="1:8" ht="17.100000000000001" customHeight="1" x14ac:dyDescent="0.2">
      <c r="A94" s="3">
        <v>88</v>
      </c>
      <c r="B94" s="4" t="s">
        <v>342</v>
      </c>
      <c r="C94" s="4" t="s">
        <v>343</v>
      </c>
      <c r="D94" s="4" t="s">
        <v>119</v>
      </c>
      <c r="E94" s="5">
        <v>745</v>
      </c>
      <c r="F94" s="6">
        <v>48.985239999999997</v>
      </c>
      <c r="G94" s="7">
        <v>8.7956270000000003E-3</v>
      </c>
      <c r="H94" s="53"/>
    </row>
    <row r="95" spans="1:8" ht="29.1" customHeight="1" x14ac:dyDescent="0.2">
      <c r="A95" s="3">
        <v>89</v>
      </c>
      <c r="B95" s="4" t="s">
        <v>695</v>
      </c>
      <c r="C95" s="4" t="s">
        <v>696</v>
      </c>
      <c r="D95" s="4" t="s">
        <v>199</v>
      </c>
      <c r="E95" s="5">
        <v>1920</v>
      </c>
      <c r="F95" s="6">
        <v>48.962879999999998</v>
      </c>
      <c r="G95" s="7">
        <v>8.7916120000000007E-3</v>
      </c>
      <c r="H95" s="53"/>
    </row>
    <row r="96" spans="1:8" ht="17.100000000000001" customHeight="1" x14ac:dyDescent="0.2">
      <c r="A96" s="3">
        <v>90</v>
      </c>
      <c r="B96" s="4" t="s">
        <v>697</v>
      </c>
      <c r="C96" s="4" t="s">
        <v>698</v>
      </c>
      <c r="D96" s="4" t="s">
        <v>72</v>
      </c>
      <c r="E96" s="5">
        <v>1504</v>
      </c>
      <c r="F96" s="6">
        <v>48.545360000000002</v>
      </c>
      <c r="G96" s="7">
        <v>8.7166429999999996E-3</v>
      </c>
      <c r="H96" s="53"/>
    </row>
    <row r="97" spans="1:8" ht="17.100000000000001" customHeight="1" x14ac:dyDescent="0.2">
      <c r="A97" s="3">
        <v>91</v>
      </c>
      <c r="B97" s="4" t="s">
        <v>699</v>
      </c>
      <c r="C97" s="4" t="s">
        <v>700</v>
      </c>
      <c r="D97" s="4" t="s">
        <v>19</v>
      </c>
      <c r="E97" s="5">
        <v>20461</v>
      </c>
      <c r="F97" s="6">
        <v>47.919662000000002</v>
      </c>
      <c r="G97" s="7">
        <v>8.6042949999999997E-3</v>
      </c>
      <c r="H97" s="53"/>
    </row>
    <row r="98" spans="1:8" ht="17.100000000000001" customHeight="1" x14ac:dyDescent="0.2">
      <c r="A98" s="3">
        <v>92</v>
      </c>
      <c r="B98" s="4" t="s">
        <v>542</v>
      </c>
      <c r="C98" s="4" t="s">
        <v>543</v>
      </c>
      <c r="D98" s="4" t="s">
        <v>116</v>
      </c>
      <c r="E98" s="5">
        <v>1549</v>
      </c>
      <c r="F98" s="6">
        <v>47.831570999999997</v>
      </c>
      <c r="G98" s="7">
        <v>8.5884780000000001E-3</v>
      </c>
      <c r="H98" s="53"/>
    </row>
    <row r="99" spans="1:8" ht="17.100000000000001" customHeight="1" x14ac:dyDescent="0.2">
      <c r="A99" s="3">
        <v>93</v>
      </c>
      <c r="B99" s="4" t="s">
        <v>701</v>
      </c>
      <c r="C99" s="4" t="s">
        <v>702</v>
      </c>
      <c r="D99" s="4" t="s">
        <v>119</v>
      </c>
      <c r="E99" s="5">
        <v>5947</v>
      </c>
      <c r="F99" s="6">
        <v>47.308385000000001</v>
      </c>
      <c r="G99" s="7">
        <v>8.4945360000000004E-3</v>
      </c>
      <c r="H99" s="53"/>
    </row>
    <row r="100" spans="1:8" ht="17.100000000000001" customHeight="1" x14ac:dyDescent="0.2">
      <c r="A100" s="3">
        <v>94</v>
      </c>
      <c r="B100" s="4" t="s">
        <v>703</v>
      </c>
      <c r="C100" s="4" t="s">
        <v>704</v>
      </c>
      <c r="D100" s="4" t="s">
        <v>119</v>
      </c>
      <c r="E100" s="5">
        <v>805</v>
      </c>
      <c r="F100" s="6">
        <v>46.219880000000003</v>
      </c>
      <c r="G100" s="7">
        <v>8.2990879999999996E-3</v>
      </c>
      <c r="H100" s="53"/>
    </row>
    <row r="101" spans="1:8" ht="29.1" customHeight="1" x14ac:dyDescent="0.2">
      <c r="A101" s="3">
        <v>95</v>
      </c>
      <c r="B101" s="4" t="s">
        <v>705</v>
      </c>
      <c r="C101" s="4" t="s">
        <v>706</v>
      </c>
      <c r="D101" s="4" t="s">
        <v>248</v>
      </c>
      <c r="E101" s="5">
        <v>10090</v>
      </c>
      <c r="F101" s="6">
        <v>45.536169999999998</v>
      </c>
      <c r="G101" s="7">
        <v>8.1763229999999992E-3</v>
      </c>
      <c r="H101" s="53"/>
    </row>
    <row r="102" spans="1:8" ht="17.100000000000001" customHeight="1" x14ac:dyDescent="0.2">
      <c r="A102" s="3">
        <v>96</v>
      </c>
      <c r="B102" s="4" t="s">
        <v>707</v>
      </c>
      <c r="C102" s="4" t="s">
        <v>708</v>
      </c>
      <c r="D102" s="4" t="s">
        <v>116</v>
      </c>
      <c r="E102" s="5">
        <v>4104</v>
      </c>
      <c r="F102" s="6">
        <v>45.141947999999999</v>
      </c>
      <c r="G102" s="7">
        <v>8.1055380000000007E-3</v>
      </c>
      <c r="H102" s="53"/>
    </row>
    <row r="103" spans="1:8" ht="29.1" customHeight="1" x14ac:dyDescent="0.2">
      <c r="A103" s="3">
        <v>97</v>
      </c>
      <c r="B103" s="4" t="s">
        <v>709</v>
      </c>
      <c r="C103" s="4" t="s">
        <v>710</v>
      </c>
      <c r="D103" s="4" t="s">
        <v>711</v>
      </c>
      <c r="E103" s="5">
        <v>8117</v>
      </c>
      <c r="F103" s="6">
        <v>43.10127</v>
      </c>
      <c r="G103" s="7">
        <v>7.7391209999999998E-3</v>
      </c>
      <c r="H103" s="53"/>
    </row>
    <row r="104" spans="1:8" ht="29.1" customHeight="1" x14ac:dyDescent="0.2">
      <c r="A104" s="3">
        <v>98</v>
      </c>
      <c r="B104" s="4" t="s">
        <v>257</v>
      </c>
      <c r="C104" s="4" t="s">
        <v>258</v>
      </c>
      <c r="D104" s="4" t="s">
        <v>227</v>
      </c>
      <c r="E104" s="5">
        <v>2605</v>
      </c>
      <c r="F104" s="6">
        <v>41.0691275</v>
      </c>
      <c r="G104" s="7">
        <v>7.3742360000000002E-3</v>
      </c>
      <c r="H104" s="53"/>
    </row>
    <row r="105" spans="1:8" ht="17.100000000000001" customHeight="1" x14ac:dyDescent="0.2">
      <c r="A105" s="3">
        <v>99</v>
      </c>
      <c r="B105" s="4" t="s">
        <v>712</v>
      </c>
      <c r="C105" s="4" t="s">
        <v>713</v>
      </c>
      <c r="D105" s="4" t="s">
        <v>28</v>
      </c>
      <c r="E105" s="5">
        <v>1544</v>
      </c>
      <c r="F105" s="6">
        <v>39.978020000000001</v>
      </c>
      <c r="G105" s="7">
        <v>7.1783200000000002E-3</v>
      </c>
      <c r="H105" s="53"/>
    </row>
    <row r="106" spans="1:8" ht="17.100000000000001" customHeight="1" x14ac:dyDescent="0.2">
      <c r="A106" s="3">
        <v>100</v>
      </c>
      <c r="B106" s="4" t="s">
        <v>360</v>
      </c>
      <c r="C106" s="4" t="s">
        <v>361</v>
      </c>
      <c r="D106" s="4" t="s">
        <v>190</v>
      </c>
      <c r="E106" s="5">
        <v>25458</v>
      </c>
      <c r="F106" s="6">
        <v>39.421712999999997</v>
      </c>
      <c r="G106" s="7">
        <v>7.078432E-3</v>
      </c>
      <c r="H106" s="53"/>
    </row>
    <row r="107" spans="1:8" ht="14.1" customHeight="1" x14ac:dyDescent="0.2">
      <c r="A107" s="1"/>
      <c r="B107" s="1"/>
      <c r="C107" s="2" t="s">
        <v>132</v>
      </c>
      <c r="D107" s="1"/>
      <c r="E107" s="1" t="s">
        <v>133</v>
      </c>
      <c r="F107" s="9">
        <v>5497.3332874999996</v>
      </c>
      <c r="G107" s="10">
        <v>0.98708288600000005</v>
      </c>
      <c r="H107" s="53"/>
    </row>
    <row r="108" spans="1:8" ht="14.1" customHeight="1" x14ac:dyDescent="0.2">
      <c r="A108" s="1"/>
      <c r="B108" s="1"/>
      <c r="C108" s="11"/>
      <c r="D108" s="1"/>
      <c r="E108" s="1"/>
      <c r="F108" s="12"/>
      <c r="G108" s="12"/>
      <c r="H108" s="53"/>
    </row>
    <row r="109" spans="1:8" ht="14.1" customHeight="1" x14ac:dyDescent="0.2">
      <c r="A109" s="1"/>
      <c r="B109" s="1"/>
      <c r="C109" s="2" t="s">
        <v>134</v>
      </c>
      <c r="D109" s="1"/>
      <c r="E109" s="1"/>
      <c r="F109" s="1"/>
      <c r="G109" s="1"/>
      <c r="H109" s="53"/>
    </row>
    <row r="110" spans="1:8" ht="14.1" customHeight="1" x14ac:dyDescent="0.2">
      <c r="A110" s="1"/>
      <c r="B110" s="1"/>
      <c r="C110" s="2" t="s">
        <v>132</v>
      </c>
      <c r="D110" s="1"/>
      <c r="E110" s="1" t="s">
        <v>133</v>
      </c>
      <c r="F110" s="13">
        <v>0</v>
      </c>
      <c r="G110" s="14">
        <v>0</v>
      </c>
      <c r="H110" s="53"/>
    </row>
    <row r="111" spans="1:8" ht="14.1" customHeight="1" x14ac:dyDescent="0.2">
      <c r="A111" s="1"/>
      <c r="B111" s="1"/>
      <c r="C111" s="11"/>
      <c r="D111" s="1"/>
      <c r="E111" s="1"/>
      <c r="F111" s="12"/>
      <c r="G111" s="12"/>
      <c r="H111" s="53"/>
    </row>
    <row r="112" spans="1:8" ht="14.1" customHeight="1" x14ac:dyDescent="0.2">
      <c r="A112" s="1"/>
      <c r="B112" s="1"/>
      <c r="C112" s="2" t="s">
        <v>135</v>
      </c>
      <c r="D112" s="1"/>
      <c r="E112" s="1"/>
      <c r="F112" s="1"/>
      <c r="G112" s="1"/>
      <c r="H112" s="53"/>
    </row>
    <row r="113" spans="1:8" ht="17.100000000000001" customHeight="1" x14ac:dyDescent="0.2">
      <c r="A113" s="3">
        <v>1</v>
      </c>
      <c r="B113" s="4" t="s">
        <v>714</v>
      </c>
      <c r="C113" s="43" t="s">
        <v>975</v>
      </c>
      <c r="D113" s="4"/>
      <c r="E113" s="5">
        <v>26586</v>
      </c>
      <c r="F113" s="6">
        <v>2.6600000000000003E-7</v>
      </c>
      <c r="G113" s="8" t="s">
        <v>131</v>
      </c>
      <c r="H113" s="53"/>
    </row>
    <row r="114" spans="1:8" ht="14.1" customHeight="1" x14ac:dyDescent="0.2">
      <c r="A114" s="1"/>
      <c r="B114" s="1"/>
      <c r="C114" s="2" t="s">
        <v>132</v>
      </c>
      <c r="D114" s="1"/>
      <c r="E114" s="1" t="s">
        <v>133</v>
      </c>
      <c r="F114" s="9">
        <v>2.6600000000000003E-7</v>
      </c>
      <c r="G114" s="10">
        <v>0</v>
      </c>
      <c r="H114" s="53"/>
    </row>
    <row r="115" spans="1:8" ht="14.1" customHeight="1" x14ac:dyDescent="0.2">
      <c r="A115" s="1"/>
      <c r="B115" s="1"/>
      <c r="C115" s="11"/>
      <c r="D115" s="1"/>
      <c r="E115" s="1"/>
      <c r="F115" s="12"/>
      <c r="G115" s="12"/>
      <c r="H115" s="53"/>
    </row>
    <row r="116" spans="1:8" ht="14.1" customHeight="1" x14ac:dyDescent="0.2">
      <c r="A116" s="1"/>
      <c r="B116" s="1"/>
      <c r="C116" s="2" t="s">
        <v>136</v>
      </c>
      <c r="D116" s="1"/>
      <c r="E116" s="1"/>
      <c r="F116" s="1"/>
      <c r="G116" s="1"/>
      <c r="H116" s="53"/>
    </row>
    <row r="117" spans="1:8" ht="14.1" customHeight="1" x14ac:dyDescent="0.2">
      <c r="A117" s="1"/>
      <c r="B117" s="1"/>
      <c r="C117" s="2" t="s">
        <v>132</v>
      </c>
      <c r="D117" s="1"/>
      <c r="E117" s="1" t="s">
        <v>133</v>
      </c>
      <c r="F117" s="13">
        <v>0</v>
      </c>
      <c r="G117" s="14">
        <v>0</v>
      </c>
      <c r="H117" s="53"/>
    </row>
    <row r="118" spans="1:8" ht="14.1" customHeight="1" x14ac:dyDescent="0.2">
      <c r="A118" s="1"/>
      <c r="B118" s="1"/>
      <c r="C118" s="11"/>
      <c r="D118" s="1"/>
      <c r="E118" s="1"/>
      <c r="F118" s="12"/>
      <c r="G118" s="12"/>
      <c r="H118" s="53"/>
    </row>
    <row r="119" spans="1:8" ht="14.1" customHeight="1" x14ac:dyDescent="0.2">
      <c r="A119" s="1"/>
      <c r="B119" s="1"/>
      <c r="C119" s="2" t="s">
        <v>137</v>
      </c>
      <c r="D119" s="1"/>
      <c r="E119" s="1"/>
      <c r="F119" s="12"/>
      <c r="G119" s="12"/>
      <c r="H119" s="53"/>
    </row>
    <row r="120" spans="1:8" ht="14.1" customHeight="1" x14ac:dyDescent="0.2">
      <c r="A120" s="1"/>
      <c r="B120" s="1"/>
      <c r="C120" s="2" t="s">
        <v>132</v>
      </c>
      <c r="D120" s="1"/>
      <c r="E120" s="1" t="s">
        <v>133</v>
      </c>
      <c r="F120" s="13">
        <v>0</v>
      </c>
      <c r="G120" s="14">
        <v>0</v>
      </c>
      <c r="H120" s="53"/>
    </row>
    <row r="121" spans="1:8" ht="14.1" customHeight="1" x14ac:dyDescent="0.2">
      <c r="A121" s="1"/>
      <c r="B121" s="1"/>
      <c r="C121" s="11"/>
      <c r="D121" s="1"/>
      <c r="E121" s="1"/>
      <c r="F121" s="12"/>
      <c r="G121" s="12"/>
      <c r="H121" s="53"/>
    </row>
    <row r="122" spans="1:8" ht="14.1" customHeight="1" x14ac:dyDescent="0.2">
      <c r="A122" s="1"/>
      <c r="B122" s="1"/>
      <c r="C122" s="2" t="s">
        <v>138</v>
      </c>
      <c r="D122" s="1"/>
      <c r="E122" s="1"/>
      <c r="F122" s="12"/>
      <c r="G122" s="12"/>
      <c r="H122" s="53"/>
    </row>
    <row r="123" spans="1:8" ht="14.1" customHeight="1" x14ac:dyDescent="0.2">
      <c r="A123" s="1"/>
      <c r="B123" s="1"/>
      <c r="C123" s="2" t="s">
        <v>132</v>
      </c>
      <c r="D123" s="1"/>
      <c r="E123" s="1" t="s">
        <v>133</v>
      </c>
      <c r="F123" s="13">
        <v>0</v>
      </c>
      <c r="G123" s="14">
        <v>0</v>
      </c>
      <c r="H123" s="53"/>
    </row>
    <row r="124" spans="1:8" ht="14.1" customHeight="1" x14ac:dyDescent="0.2">
      <c r="A124" s="1"/>
      <c r="B124" s="1"/>
      <c r="C124" s="11"/>
      <c r="D124" s="1"/>
      <c r="E124" s="1"/>
      <c r="F124" s="12"/>
      <c r="G124" s="12"/>
      <c r="H124" s="53"/>
    </row>
    <row r="125" spans="1:8" ht="18" customHeight="1" x14ac:dyDescent="0.2">
      <c r="A125" s="1"/>
      <c r="B125" s="1"/>
      <c r="C125" s="2" t="s">
        <v>139</v>
      </c>
      <c r="D125" s="1"/>
      <c r="E125" s="1"/>
      <c r="F125" s="9">
        <v>5497.3332877659996</v>
      </c>
      <c r="G125" s="10">
        <v>0.98708288600000005</v>
      </c>
      <c r="H125" s="53"/>
    </row>
    <row r="126" spans="1:8" ht="14.1" customHeight="1" x14ac:dyDescent="0.2">
      <c r="A126" s="1"/>
      <c r="B126" s="1"/>
      <c r="C126" s="11"/>
      <c r="D126" s="1"/>
      <c r="E126" s="1"/>
      <c r="F126" s="12"/>
      <c r="G126" s="12"/>
      <c r="H126" s="53"/>
    </row>
    <row r="127" spans="1:8" ht="14.1" customHeight="1" x14ac:dyDescent="0.2">
      <c r="A127" s="1"/>
      <c r="B127" s="1"/>
      <c r="C127" s="2" t="s">
        <v>140</v>
      </c>
      <c r="D127" s="1"/>
      <c r="E127" s="1"/>
      <c r="F127" s="12"/>
      <c r="G127" s="12"/>
      <c r="H127" s="53"/>
    </row>
    <row r="128" spans="1:8" ht="24" customHeight="1" x14ac:dyDescent="0.2">
      <c r="A128" s="1"/>
      <c r="B128" s="1"/>
      <c r="C128" s="2" t="s">
        <v>10</v>
      </c>
      <c r="D128" s="1"/>
      <c r="E128" s="1"/>
      <c r="F128" s="12"/>
      <c r="G128" s="12"/>
      <c r="H128" s="53"/>
    </row>
    <row r="129" spans="1:8" ht="29.1" customHeight="1" x14ac:dyDescent="0.2">
      <c r="A129" s="3">
        <v>1</v>
      </c>
      <c r="B129" s="4" t="s">
        <v>574</v>
      </c>
      <c r="C129" s="4" t="s">
        <v>575</v>
      </c>
      <c r="D129" s="4" t="s">
        <v>576</v>
      </c>
      <c r="E129" s="5">
        <v>828</v>
      </c>
      <c r="F129" s="6">
        <v>0.23346619199999999</v>
      </c>
      <c r="G129" s="8" t="s">
        <v>131</v>
      </c>
      <c r="H129" s="53">
        <v>7.5949999999999998</v>
      </c>
    </row>
    <row r="130" spans="1:8" ht="14.1" customHeight="1" x14ac:dyDescent="0.2">
      <c r="A130" s="1"/>
      <c r="B130" s="1"/>
      <c r="C130" s="2" t="s">
        <v>132</v>
      </c>
      <c r="D130" s="1"/>
      <c r="E130" s="1" t="s">
        <v>133</v>
      </c>
      <c r="F130" s="9">
        <v>0.23346619199999999</v>
      </c>
      <c r="G130" s="10">
        <v>4.1919999999999998E-5</v>
      </c>
      <c r="H130" s="53"/>
    </row>
    <row r="131" spans="1:8" ht="14.1" customHeight="1" x14ac:dyDescent="0.2">
      <c r="A131" s="1"/>
      <c r="B131" s="1"/>
      <c r="C131" s="11"/>
      <c r="D131" s="1"/>
      <c r="E131" s="1"/>
      <c r="F131" s="12"/>
      <c r="G131" s="12"/>
      <c r="H131" s="53"/>
    </row>
    <row r="132" spans="1:8" ht="14.1" customHeight="1" x14ac:dyDescent="0.2">
      <c r="A132" s="1"/>
      <c r="B132" s="1"/>
      <c r="C132" s="2" t="s">
        <v>141</v>
      </c>
      <c r="D132" s="1"/>
      <c r="E132" s="1"/>
      <c r="F132" s="1"/>
      <c r="G132" s="1"/>
      <c r="H132" s="53"/>
    </row>
    <row r="133" spans="1:8" ht="14.1" customHeight="1" x14ac:dyDescent="0.2">
      <c r="A133" s="1"/>
      <c r="B133" s="1"/>
      <c r="C133" s="2" t="s">
        <v>132</v>
      </c>
      <c r="D133" s="1"/>
      <c r="E133" s="1" t="s">
        <v>133</v>
      </c>
      <c r="F133" s="13">
        <v>0</v>
      </c>
      <c r="G133" s="14">
        <v>0</v>
      </c>
      <c r="H133" s="53"/>
    </row>
    <row r="134" spans="1:8" ht="14.1" customHeight="1" x14ac:dyDescent="0.2">
      <c r="A134" s="1"/>
      <c r="B134" s="1"/>
      <c r="C134" s="11"/>
      <c r="D134" s="1"/>
      <c r="E134" s="1"/>
      <c r="F134" s="12"/>
      <c r="G134" s="12"/>
      <c r="H134" s="53"/>
    </row>
    <row r="135" spans="1:8" ht="14.1" customHeight="1" x14ac:dyDescent="0.2">
      <c r="A135" s="1"/>
      <c r="B135" s="1"/>
      <c r="C135" s="2" t="s">
        <v>142</v>
      </c>
      <c r="D135" s="1"/>
      <c r="E135" s="1"/>
      <c r="F135" s="1"/>
      <c r="G135" s="1"/>
      <c r="H135" s="53"/>
    </row>
    <row r="136" spans="1:8" ht="14.1" customHeight="1" x14ac:dyDescent="0.2">
      <c r="A136" s="1"/>
      <c r="B136" s="1"/>
      <c r="C136" s="2" t="s">
        <v>132</v>
      </c>
      <c r="D136" s="1"/>
      <c r="E136" s="1" t="s">
        <v>133</v>
      </c>
      <c r="F136" s="13">
        <v>0</v>
      </c>
      <c r="G136" s="14">
        <v>0</v>
      </c>
      <c r="H136" s="53"/>
    </row>
    <row r="137" spans="1:8" ht="14.1" customHeight="1" x14ac:dyDescent="0.2">
      <c r="A137" s="1"/>
      <c r="B137" s="1"/>
      <c r="C137" s="11"/>
      <c r="D137" s="1"/>
      <c r="E137" s="1"/>
      <c r="F137" s="12"/>
      <c r="G137" s="12"/>
      <c r="H137" s="53"/>
    </row>
    <row r="138" spans="1:8" ht="14.1" customHeight="1" x14ac:dyDescent="0.2">
      <c r="A138" s="1"/>
      <c r="B138" s="1"/>
      <c r="C138" s="2" t="s">
        <v>143</v>
      </c>
      <c r="D138" s="1"/>
      <c r="E138" s="1"/>
      <c r="F138" s="12"/>
      <c r="G138" s="12"/>
      <c r="H138" s="53"/>
    </row>
    <row r="139" spans="1:8" ht="14.1" customHeight="1" x14ac:dyDescent="0.2">
      <c r="A139" s="1"/>
      <c r="B139" s="1"/>
      <c r="C139" s="2" t="s">
        <v>132</v>
      </c>
      <c r="D139" s="1"/>
      <c r="E139" s="1" t="s">
        <v>133</v>
      </c>
      <c r="F139" s="13">
        <v>0</v>
      </c>
      <c r="G139" s="14">
        <v>0</v>
      </c>
      <c r="H139" s="53"/>
    </row>
    <row r="140" spans="1:8" ht="14.1" customHeight="1" x14ac:dyDescent="0.2">
      <c r="A140" s="1"/>
      <c r="B140" s="1"/>
      <c r="C140" s="11"/>
      <c r="D140" s="1"/>
      <c r="E140" s="1"/>
      <c r="F140" s="12"/>
      <c r="G140" s="12"/>
      <c r="H140" s="53"/>
    </row>
    <row r="141" spans="1:8" ht="14.1" customHeight="1" x14ac:dyDescent="0.2">
      <c r="A141" s="1"/>
      <c r="B141" s="1"/>
      <c r="C141" s="2" t="s">
        <v>144</v>
      </c>
      <c r="D141" s="1"/>
      <c r="E141" s="1"/>
      <c r="F141" s="9">
        <v>0.23346619199999999</v>
      </c>
      <c r="G141" s="10">
        <v>4.1919999999999998E-5</v>
      </c>
      <c r="H141" s="53"/>
    </row>
    <row r="142" spans="1:8" ht="14.1" customHeight="1" x14ac:dyDescent="0.2">
      <c r="A142" s="1"/>
      <c r="B142" s="1"/>
      <c r="C142" s="11"/>
      <c r="D142" s="1"/>
      <c r="E142" s="1"/>
      <c r="F142" s="12"/>
      <c r="G142" s="12"/>
      <c r="H142" s="53"/>
    </row>
    <row r="143" spans="1:8" ht="14.1" customHeight="1" x14ac:dyDescent="0.2">
      <c r="A143" s="1"/>
      <c r="B143" s="1"/>
      <c r="C143" s="2" t="s">
        <v>145</v>
      </c>
      <c r="D143" s="1"/>
      <c r="E143" s="1"/>
      <c r="F143" s="12"/>
      <c r="G143" s="12"/>
      <c r="H143" s="53"/>
    </row>
    <row r="144" spans="1:8" ht="14.1" customHeight="1" x14ac:dyDescent="0.2">
      <c r="A144" s="1"/>
      <c r="B144" s="1"/>
      <c r="C144" s="2" t="s">
        <v>146</v>
      </c>
      <c r="D144" s="1"/>
      <c r="E144" s="1"/>
      <c r="F144" s="12"/>
      <c r="G144" s="12"/>
      <c r="H144" s="53"/>
    </row>
    <row r="145" spans="1:8" ht="14.1" customHeight="1" x14ac:dyDescent="0.2">
      <c r="A145" s="1"/>
      <c r="B145" s="1"/>
      <c r="C145" s="2" t="s">
        <v>132</v>
      </c>
      <c r="D145" s="1"/>
      <c r="E145" s="1" t="s">
        <v>133</v>
      </c>
      <c r="F145" s="13">
        <v>0</v>
      </c>
      <c r="G145" s="14">
        <v>0</v>
      </c>
      <c r="H145" s="53"/>
    </row>
    <row r="146" spans="1:8" ht="14.1" customHeight="1" x14ac:dyDescent="0.2">
      <c r="A146" s="1"/>
      <c r="B146" s="1"/>
      <c r="C146" s="11"/>
      <c r="D146" s="1"/>
      <c r="E146" s="1"/>
      <c r="F146" s="12"/>
      <c r="G146" s="12"/>
      <c r="H146" s="53"/>
    </row>
    <row r="147" spans="1:8" ht="14.1" customHeight="1" x14ac:dyDescent="0.2">
      <c r="A147" s="1"/>
      <c r="B147" s="1"/>
      <c r="C147" s="2" t="s">
        <v>147</v>
      </c>
      <c r="D147" s="1"/>
      <c r="E147" s="1"/>
      <c r="F147" s="12"/>
      <c r="G147" s="12"/>
      <c r="H147" s="53"/>
    </row>
    <row r="148" spans="1:8" ht="14.1" customHeight="1" x14ac:dyDescent="0.2">
      <c r="A148" s="1"/>
      <c r="B148" s="1"/>
      <c r="C148" s="2" t="s">
        <v>132</v>
      </c>
      <c r="D148" s="1"/>
      <c r="E148" s="1" t="s">
        <v>133</v>
      </c>
      <c r="F148" s="13">
        <v>0</v>
      </c>
      <c r="G148" s="14">
        <v>0</v>
      </c>
      <c r="H148" s="53"/>
    </row>
    <row r="149" spans="1:8" ht="14.1" customHeight="1" x14ac:dyDescent="0.2">
      <c r="A149" s="1"/>
      <c r="B149" s="1"/>
      <c r="C149" s="11"/>
      <c r="D149" s="1"/>
      <c r="E149" s="1"/>
      <c r="F149" s="12"/>
      <c r="G149" s="12"/>
      <c r="H149" s="53"/>
    </row>
    <row r="150" spans="1:8" ht="14.1" customHeight="1" x14ac:dyDescent="0.2">
      <c r="A150" s="1"/>
      <c r="B150" s="1"/>
      <c r="C150" s="2" t="s">
        <v>148</v>
      </c>
      <c r="D150" s="1"/>
      <c r="E150" s="1"/>
      <c r="F150" s="12"/>
      <c r="G150" s="12"/>
      <c r="H150" s="53"/>
    </row>
    <row r="151" spans="1:8" ht="14.1" customHeight="1" x14ac:dyDescent="0.2">
      <c r="A151" s="1"/>
      <c r="B151" s="1"/>
      <c r="C151" s="2" t="s">
        <v>132</v>
      </c>
      <c r="D151" s="1"/>
      <c r="E151" s="1" t="s">
        <v>133</v>
      </c>
      <c r="F151" s="13">
        <v>0</v>
      </c>
      <c r="G151" s="14">
        <v>0</v>
      </c>
      <c r="H151" s="53"/>
    </row>
    <row r="152" spans="1:8" ht="14.1" customHeight="1" x14ac:dyDescent="0.2">
      <c r="A152" s="1"/>
      <c r="B152" s="1"/>
      <c r="C152" s="11"/>
      <c r="D152" s="1"/>
      <c r="E152" s="1"/>
      <c r="F152" s="12"/>
      <c r="G152" s="12"/>
      <c r="H152" s="53"/>
    </row>
    <row r="153" spans="1:8" ht="14.1" customHeight="1" x14ac:dyDescent="0.2">
      <c r="A153" s="1"/>
      <c r="B153" s="1"/>
      <c r="C153" s="2" t="s">
        <v>149</v>
      </c>
      <c r="D153" s="1"/>
      <c r="E153" s="1"/>
      <c r="F153" s="12"/>
      <c r="G153" s="12"/>
      <c r="H153" s="53"/>
    </row>
    <row r="154" spans="1:8" ht="17.100000000000001" customHeight="1" x14ac:dyDescent="0.2">
      <c r="A154" s="3">
        <v>1</v>
      </c>
      <c r="B154" s="4"/>
      <c r="C154" s="4" t="s">
        <v>150</v>
      </c>
      <c r="D154" s="4"/>
      <c r="E154" s="8"/>
      <c r="F154" s="6">
        <v>86.600494499999996</v>
      </c>
      <c r="G154" s="7">
        <v>1.5549696999999999E-2</v>
      </c>
      <c r="H154" s="53">
        <v>6.46</v>
      </c>
    </row>
    <row r="155" spans="1:8" ht="14.1" customHeight="1" x14ac:dyDescent="0.2">
      <c r="A155" s="1"/>
      <c r="B155" s="1"/>
      <c r="C155" s="2" t="s">
        <v>132</v>
      </c>
      <c r="D155" s="1"/>
      <c r="E155" s="1" t="s">
        <v>133</v>
      </c>
      <c r="F155" s="9">
        <v>86.600494499999996</v>
      </c>
      <c r="G155" s="10">
        <v>1.5549696999999999E-2</v>
      </c>
      <c r="H155" s="53"/>
    </row>
    <row r="156" spans="1:8" ht="14.1" customHeight="1" x14ac:dyDescent="0.2">
      <c r="A156" s="1"/>
      <c r="B156" s="1"/>
      <c r="C156" s="11"/>
      <c r="D156" s="1"/>
      <c r="E156" s="1"/>
      <c r="F156" s="12"/>
      <c r="G156" s="12"/>
      <c r="H156" s="53"/>
    </row>
    <row r="157" spans="1:8" ht="14.1" customHeight="1" x14ac:dyDescent="0.2">
      <c r="A157" s="1"/>
      <c r="B157" s="1"/>
      <c r="C157" s="2" t="s">
        <v>151</v>
      </c>
      <c r="D157" s="1"/>
      <c r="E157" s="1"/>
      <c r="F157" s="9">
        <v>86.600494499999996</v>
      </c>
      <c r="G157" s="10">
        <v>1.5549696999999999E-2</v>
      </c>
      <c r="H157" s="53"/>
    </row>
    <row r="158" spans="1:8" ht="14.1" customHeight="1" x14ac:dyDescent="0.2">
      <c r="A158" s="1"/>
      <c r="B158" s="1"/>
      <c r="C158" s="12"/>
      <c r="D158" s="1"/>
      <c r="E158" s="1"/>
      <c r="F158" s="1"/>
      <c r="G158" s="1"/>
      <c r="H158" s="53"/>
    </row>
    <row r="159" spans="1:8" ht="14.1" customHeight="1" x14ac:dyDescent="0.2">
      <c r="A159" s="1"/>
      <c r="B159" s="1"/>
      <c r="C159" s="2" t="s">
        <v>152</v>
      </c>
      <c r="D159" s="1"/>
      <c r="E159" s="1"/>
      <c r="F159" s="1"/>
      <c r="G159" s="1"/>
      <c r="H159" s="53"/>
    </row>
    <row r="160" spans="1:8" ht="14.1" customHeight="1" x14ac:dyDescent="0.2">
      <c r="A160" s="1"/>
      <c r="B160" s="1"/>
      <c r="C160" s="2" t="s">
        <v>153</v>
      </c>
      <c r="D160" s="1"/>
      <c r="E160" s="1"/>
      <c r="F160" s="1"/>
      <c r="G160" s="1"/>
      <c r="H160" s="53"/>
    </row>
    <row r="161" spans="1:14" ht="14.1" customHeight="1" x14ac:dyDescent="0.2">
      <c r="A161" s="1"/>
      <c r="B161" s="1"/>
      <c r="C161" s="2" t="s">
        <v>132</v>
      </c>
      <c r="D161" s="1"/>
      <c r="E161" s="1" t="s">
        <v>133</v>
      </c>
      <c r="F161" s="13">
        <v>0</v>
      </c>
      <c r="G161" s="14">
        <v>0</v>
      </c>
      <c r="H161" s="53"/>
    </row>
    <row r="162" spans="1:14" ht="14.1" customHeight="1" x14ac:dyDescent="0.2">
      <c r="A162" s="1"/>
      <c r="B162" s="1"/>
      <c r="C162" s="11"/>
      <c r="D162" s="1"/>
      <c r="E162" s="1"/>
      <c r="F162" s="12"/>
      <c r="G162" s="12"/>
      <c r="H162" s="53"/>
    </row>
    <row r="163" spans="1:14" ht="14.1" customHeight="1" x14ac:dyDescent="0.2">
      <c r="A163" s="1"/>
      <c r="B163" s="1"/>
      <c r="C163" s="2" t="s">
        <v>154</v>
      </c>
      <c r="D163" s="1"/>
      <c r="E163" s="1"/>
      <c r="F163" s="1"/>
      <c r="G163" s="1"/>
      <c r="H163" s="53"/>
    </row>
    <row r="164" spans="1:14" ht="14.1" customHeight="1" x14ac:dyDescent="0.2">
      <c r="A164" s="1"/>
      <c r="B164" s="1"/>
      <c r="C164" s="2" t="s">
        <v>155</v>
      </c>
      <c r="D164" s="1"/>
      <c r="E164" s="1"/>
      <c r="F164" s="1"/>
      <c r="G164" s="1"/>
      <c r="H164" s="53"/>
    </row>
    <row r="165" spans="1:14" ht="14.1" customHeight="1" x14ac:dyDescent="0.2">
      <c r="A165" s="1"/>
      <c r="B165" s="1"/>
      <c r="C165" s="2" t="s">
        <v>132</v>
      </c>
      <c r="D165" s="1"/>
      <c r="E165" s="1" t="s">
        <v>133</v>
      </c>
      <c r="F165" s="13">
        <v>0</v>
      </c>
      <c r="G165" s="14">
        <v>0</v>
      </c>
      <c r="H165" s="53"/>
    </row>
    <row r="166" spans="1:14" ht="14.1" customHeight="1" x14ac:dyDescent="0.2">
      <c r="A166" s="1"/>
      <c r="B166" s="1"/>
      <c r="C166" s="11"/>
      <c r="D166" s="1"/>
      <c r="E166" s="1"/>
      <c r="F166" s="12"/>
      <c r="G166" s="12"/>
      <c r="H166" s="53"/>
    </row>
    <row r="167" spans="1:14" ht="14.1" customHeight="1" x14ac:dyDescent="0.2">
      <c r="A167" s="1"/>
      <c r="B167" s="1"/>
      <c r="C167" s="11"/>
      <c r="D167" s="1"/>
      <c r="E167" s="1"/>
      <c r="F167" s="12"/>
      <c r="G167" s="12"/>
      <c r="H167" s="53"/>
    </row>
    <row r="168" spans="1:14" ht="24" customHeight="1" x14ac:dyDescent="0.2">
      <c r="A168" s="1"/>
      <c r="B168" s="1"/>
      <c r="C168" s="2" t="s">
        <v>156</v>
      </c>
      <c r="D168" s="1"/>
      <c r="E168" s="1"/>
      <c r="F168" s="12"/>
      <c r="G168" s="12"/>
      <c r="H168" s="53"/>
    </row>
    <row r="169" spans="1:14" ht="14.1" customHeight="1" x14ac:dyDescent="0.2">
      <c r="A169" s="1"/>
      <c r="B169" s="1"/>
      <c r="C169" s="2" t="s">
        <v>132</v>
      </c>
      <c r="D169" s="1"/>
      <c r="E169" s="1" t="s">
        <v>133</v>
      </c>
      <c r="F169" s="13">
        <v>0</v>
      </c>
      <c r="G169" s="14">
        <v>0</v>
      </c>
      <c r="H169" s="53"/>
    </row>
    <row r="170" spans="1:14" ht="14.1" customHeight="1" x14ac:dyDescent="0.2">
      <c r="A170" s="1"/>
      <c r="B170" s="1"/>
      <c r="C170" s="11"/>
      <c r="D170" s="1"/>
      <c r="E170" s="1"/>
      <c r="F170" s="12"/>
      <c r="G170" s="12"/>
      <c r="H170" s="53"/>
    </row>
    <row r="171" spans="1:14" ht="14.1" customHeight="1" x14ac:dyDescent="0.2">
      <c r="A171" s="1"/>
      <c r="B171" s="4"/>
      <c r="C171" s="4"/>
      <c r="D171" s="2"/>
      <c r="E171" s="1"/>
      <c r="F171" s="4"/>
      <c r="G171" s="8"/>
      <c r="H171" s="53"/>
    </row>
    <row r="172" spans="1:14" ht="18" customHeight="1" x14ac:dyDescent="0.2">
      <c r="A172" s="8"/>
      <c r="B172" s="4"/>
      <c r="C172" s="48" t="s">
        <v>869</v>
      </c>
      <c r="D172" s="4"/>
      <c r="E172" s="8"/>
      <c r="F172" s="6">
        <v>-14.89506181</v>
      </c>
      <c r="G172" s="7">
        <v>-2.6745079999999999E-3</v>
      </c>
      <c r="H172" s="53"/>
    </row>
    <row r="173" spans="1:14" ht="14.1" customHeight="1" x14ac:dyDescent="0.2">
      <c r="A173" s="11"/>
      <c r="B173" s="11"/>
      <c r="C173" s="2" t="s">
        <v>158</v>
      </c>
      <c r="D173" s="15"/>
      <c r="E173" s="15"/>
      <c r="F173" s="9">
        <v>5569.2721866479997</v>
      </c>
      <c r="G173" s="10">
        <v>0.99999999500000003</v>
      </c>
      <c r="H173" s="53"/>
    </row>
    <row r="174" spans="1:14" ht="14.1" customHeight="1" x14ac:dyDescent="0.2">
      <c r="A174" s="16"/>
      <c r="B174" s="16"/>
      <c r="C174" s="16"/>
      <c r="D174" s="17"/>
      <c r="E174" s="17"/>
      <c r="F174" s="17"/>
      <c r="G174" s="17"/>
    </row>
    <row r="175" spans="1:14" ht="17.100000000000001" customHeight="1" x14ac:dyDescent="0.2">
      <c r="A175" s="18"/>
      <c r="B175" s="292" t="s">
        <v>577</v>
      </c>
      <c r="C175" s="292"/>
      <c r="D175" s="292"/>
      <c r="E175" s="292"/>
      <c r="F175" s="292"/>
      <c r="G175" s="20"/>
    </row>
    <row r="176" spans="1:14" ht="17.100000000000001" customHeight="1" x14ac:dyDescent="0.2">
      <c r="A176" s="58"/>
      <c r="B176" s="324" t="s">
        <v>871</v>
      </c>
      <c r="C176" s="324"/>
      <c r="D176" s="324"/>
      <c r="E176" s="324"/>
      <c r="F176" s="324"/>
      <c r="G176" s="61"/>
      <c r="I176" s="80"/>
      <c r="J176" s="80"/>
      <c r="K176" s="80"/>
      <c r="L176" s="80"/>
      <c r="M176" s="80"/>
      <c r="N176" s="80"/>
    </row>
    <row r="177" spans="1:7" ht="17.100000000000001" customHeight="1" x14ac:dyDescent="0.2">
      <c r="A177" s="18"/>
      <c r="B177" s="292" t="s">
        <v>159</v>
      </c>
      <c r="C177" s="292"/>
      <c r="D177" s="292"/>
      <c r="E177" s="292"/>
      <c r="F177" s="292"/>
      <c r="G177" s="20"/>
    </row>
    <row r="178" spans="1:7" ht="14.1" customHeight="1" x14ac:dyDescent="0.2">
      <c r="A178" s="58"/>
      <c r="B178" s="63" t="s">
        <v>976</v>
      </c>
      <c r="C178" s="58"/>
      <c r="D178" s="61"/>
      <c r="E178" s="61"/>
      <c r="F178" s="61"/>
      <c r="G178" s="61"/>
    </row>
    <row r="179" spans="1:7" ht="14.1" customHeight="1" x14ac:dyDescent="0.2">
      <c r="A179" s="18"/>
      <c r="B179" s="18"/>
      <c r="C179" s="18"/>
      <c r="D179" s="20"/>
      <c r="E179" s="20"/>
      <c r="F179" s="20"/>
      <c r="G179" s="20"/>
    </row>
    <row r="180" spans="1:7" ht="14.1" customHeight="1" x14ac:dyDescent="0.2">
      <c r="A180" s="18"/>
      <c r="B180" s="293" t="s">
        <v>160</v>
      </c>
      <c r="C180" s="294"/>
      <c r="D180" s="12" t="s">
        <v>133</v>
      </c>
      <c r="E180" s="21"/>
      <c r="F180" s="20"/>
      <c r="G180" s="20"/>
    </row>
    <row r="181" spans="1:7" ht="29.1" customHeight="1" x14ac:dyDescent="0.2">
      <c r="A181" s="18"/>
      <c r="B181" s="290" t="s">
        <v>161</v>
      </c>
      <c r="C181" s="291"/>
      <c r="D181" s="2" t="s">
        <v>162</v>
      </c>
      <c r="E181" s="21"/>
      <c r="F181" s="20"/>
      <c r="G181" s="20"/>
    </row>
    <row r="182" spans="1:7" ht="17.100000000000001" customHeight="1" x14ac:dyDescent="0.2">
      <c r="A182" s="18"/>
      <c r="B182" s="290" t="s">
        <v>163</v>
      </c>
      <c r="C182" s="291"/>
      <c r="D182" s="2" t="s">
        <v>162</v>
      </c>
      <c r="E182" s="21"/>
      <c r="F182" s="20"/>
      <c r="G182" s="20"/>
    </row>
    <row r="183" spans="1:7" ht="17.100000000000001" customHeight="1" x14ac:dyDescent="0.2">
      <c r="A183" s="18"/>
      <c r="B183" s="290" t="s">
        <v>164</v>
      </c>
      <c r="C183" s="291"/>
      <c r="D183" s="12" t="s">
        <v>133</v>
      </c>
      <c r="E183" s="21"/>
      <c r="F183" s="20"/>
      <c r="G183" s="20"/>
    </row>
    <row r="184" spans="1:7" ht="24" customHeight="1" x14ac:dyDescent="0.2">
      <c r="A184" s="22"/>
      <c r="B184" s="23" t="s">
        <v>133</v>
      </c>
      <c r="C184" s="23" t="s">
        <v>165</v>
      </c>
      <c r="D184" s="23" t="s">
        <v>166</v>
      </c>
      <c r="E184" s="22"/>
      <c r="F184" s="22"/>
      <c r="G184" s="22"/>
    </row>
    <row r="185" spans="1:7" ht="18" customHeight="1" x14ac:dyDescent="0.2">
      <c r="A185" s="22"/>
      <c r="B185" s="23" t="s">
        <v>167</v>
      </c>
      <c r="C185" s="23" t="s">
        <v>168</v>
      </c>
      <c r="D185" s="23" t="s">
        <v>169</v>
      </c>
      <c r="E185" s="22"/>
      <c r="F185" s="22"/>
      <c r="G185" s="22"/>
    </row>
    <row r="186" spans="1:7" ht="17.100000000000001" customHeight="1" x14ac:dyDescent="0.2">
      <c r="A186" s="22"/>
      <c r="B186" s="4" t="s">
        <v>170</v>
      </c>
      <c r="C186" s="24">
        <v>119.0491</v>
      </c>
      <c r="D186" s="24">
        <v>115.3447</v>
      </c>
      <c r="E186" s="22"/>
      <c r="F186" s="19"/>
      <c r="G186" s="25"/>
    </row>
    <row r="187" spans="1:7" ht="17.100000000000001" customHeight="1" x14ac:dyDescent="0.2">
      <c r="A187" s="22"/>
      <c r="B187" s="4" t="s">
        <v>1042</v>
      </c>
      <c r="C187" s="24">
        <v>65.043800000000005</v>
      </c>
      <c r="D187" s="24">
        <v>63.0199</v>
      </c>
      <c r="E187" s="22"/>
      <c r="F187" s="19"/>
      <c r="G187" s="25"/>
    </row>
    <row r="188" spans="1:7" ht="17.100000000000001" customHeight="1" x14ac:dyDescent="0.2">
      <c r="A188" s="22"/>
      <c r="B188" s="4" t="s">
        <v>171</v>
      </c>
      <c r="C188" s="24">
        <v>114.45699999999999</v>
      </c>
      <c r="D188" s="24">
        <v>110.8494</v>
      </c>
      <c r="E188" s="22"/>
      <c r="F188" s="19"/>
      <c r="G188" s="25"/>
    </row>
    <row r="189" spans="1:7" ht="17.100000000000001" customHeight="1" x14ac:dyDescent="0.2">
      <c r="A189" s="22"/>
      <c r="B189" s="4" t="s">
        <v>1043</v>
      </c>
      <c r="C189" s="24">
        <v>62.5381</v>
      </c>
      <c r="D189" s="24">
        <v>60.566899999999997</v>
      </c>
      <c r="E189" s="22"/>
      <c r="F189" s="19"/>
      <c r="G189" s="25"/>
    </row>
    <row r="190" spans="1:7" ht="14.1" customHeight="1" x14ac:dyDescent="0.2">
      <c r="A190" s="22"/>
      <c r="B190" s="22"/>
      <c r="C190" s="22"/>
      <c r="D190" s="22"/>
      <c r="E190" s="22"/>
      <c r="F190" s="22"/>
      <c r="G190" s="22"/>
    </row>
    <row r="191" spans="1:7" ht="17.100000000000001" customHeight="1" x14ac:dyDescent="0.2">
      <c r="A191" s="22"/>
      <c r="B191" s="290" t="s">
        <v>1044</v>
      </c>
      <c r="C191" s="291"/>
      <c r="D191" s="2" t="s">
        <v>162</v>
      </c>
      <c r="E191" s="22"/>
      <c r="F191" s="22"/>
      <c r="G191" s="22"/>
    </row>
    <row r="192" spans="1:7" ht="18" customHeight="1" x14ac:dyDescent="0.2">
      <c r="A192" s="22"/>
      <c r="B192" s="26"/>
      <c r="C192" s="26"/>
      <c r="D192" s="27"/>
      <c r="E192" s="22"/>
      <c r="F192" s="22"/>
      <c r="G192" s="22"/>
    </row>
    <row r="193" spans="1:7" ht="29.1" customHeight="1" x14ac:dyDescent="0.2">
      <c r="A193" s="22"/>
      <c r="B193" s="290" t="s">
        <v>172</v>
      </c>
      <c r="C193" s="291"/>
      <c r="D193" s="2" t="s">
        <v>162</v>
      </c>
      <c r="E193" s="22"/>
      <c r="F193" s="22"/>
      <c r="G193" s="22"/>
    </row>
    <row r="194" spans="1:7" ht="29.1" customHeight="1" x14ac:dyDescent="0.2">
      <c r="A194" s="22"/>
      <c r="B194" s="290" t="s">
        <v>173</v>
      </c>
      <c r="C194" s="291"/>
      <c r="D194" s="2" t="s">
        <v>162</v>
      </c>
      <c r="E194" s="22"/>
      <c r="F194" s="22"/>
      <c r="G194" s="22"/>
    </row>
    <row r="195" spans="1:7" ht="17.100000000000001" customHeight="1" x14ac:dyDescent="0.2">
      <c r="A195" s="22"/>
      <c r="B195" s="290" t="s">
        <v>174</v>
      </c>
      <c r="C195" s="291"/>
      <c r="D195" s="28">
        <v>0.44753074499683948</v>
      </c>
      <c r="E195" s="22"/>
      <c r="F195" s="19"/>
      <c r="G195" s="25"/>
    </row>
    <row r="196" spans="1:7" ht="17.100000000000001" customHeight="1" x14ac:dyDescent="0.2">
      <c r="A196" s="22"/>
      <c r="B196" s="290" t="s">
        <v>175</v>
      </c>
      <c r="C196" s="291"/>
      <c r="D196" s="2" t="s">
        <v>162</v>
      </c>
      <c r="E196" s="22"/>
      <c r="F196" s="22"/>
      <c r="G196" s="22"/>
    </row>
  </sheetData>
  <mergeCells count="16">
    <mergeCell ref="B195:C195"/>
    <mergeCell ref="B196:C196"/>
    <mergeCell ref="B181:C181"/>
    <mergeCell ref="B182:C182"/>
    <mergeCell ref="B183:C183"/>
    <mergeCell ref="B191:C191"/>
    <mergeCell ref="B193:C193"/>
    <mergeCell ref="B194:C194"/>
    <mergeCell ref="A1:H1"/>
    <mergeCell ref="A2:H2"/>
    <mergeCell ref="A3:H3"/>
    <mergeCell ref="J2:N2"/>
    <mergeCell ref="B180:C180"/>
    <mergeCell ref="B175:F175"/>
    <mergeCell ref="B177:F177"/>
    <mergeCell ref="B176:F176"/>
  </mergeCells>
  <hyperlinks>
    <hyperlink ref="I1" location="Index!B30" display="Index" xr:uid="{041F1B28-ADC9-4AB1-9AED-D474F44625C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5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321" t="s">
        <v>1055</v>
      </c>
      <c r="B2" s="322"/>
      <c r="C2" s="322"/>
      <c r="D2" s="322"/>
      <c r="E2" s="322"/>
      <c r="F2" s="322"/>
      <c r="G2" s="322"/>
      <c r="H2" s="323"/>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861000</v>
      </c>
      <c r="F7" s="6">
        <v>7670.2184999999999</v>
      </c>
      <c r="G7" s="7">
        <v>7.9482153999999999E-2</v>
      </c>
      <c r="H7" s="53"/>
    </row>
    <row r="8" spans="1:14" ht="17.100000000000001" customHeight="1" x14ac:dyDescent="0.2">
      <c r="A8" s="3">
        <v>2</v>
      </c>
      <c r="B8" s="4" t="s">
        <v>266</v>
      </c>
      <c r="C8" s="4" t="s">
        <v>267</v>
      </c>
      <c r="D8" s="4" t="s">
        <v>19</v>
      </c>
      <c r="E8" s="5">
        <v>335117</v>
      </c>
      <c r="F8" s="6">
        <v>5456.2074355000004</v>
      </c>
      <c r="G8" s="7">
        <v>5.6539604E-2</v>
      </c>
      <c r="H8" s="53"/>
    </row>
    <row r="9" spans="1:14" ht="17.100000000000001" customHeight="1" x14ac:dyDescent="0.2">
      <c r="A9" s="3">
        <v>3</v>
      </c>
      <c r="B9" s="4" t="s">
        <v>29</v>
      </c>
      <c r="C9" s="4" t="s">
        <v>30</v>
      </c>
      <c r="D9" s="4" t="s">
        <v>19</v>
      </c>
      <c r="E9" s="5">
        <v>770000</v>
      </c>
      <c r="F9" s="6">
        <v>4725.49</v>
      </c>
      <c r="G9" s="7">
        <v>4.8967590999999998E-2</v>
      </c>
      <c r="H9" s="53"/>
    </row>
    <row r="10" spans="1:14" ht="17.100000000000001" customHeight="1" x14ac:dyDescent="0.2">
      <c r="A10" s="3">
        <v>4</v>
      </c>
      <c r="B10" s="4" t="s">
        <v>20</v>
      </c>
      <c r="C10" s="4" t="s">
        <v>21</v>
      </c>
      <c r="D10" s="4" t="s">
        <v>22</v>
      </c>
      <c r="E10" s="5">
        <v>175000</v>
      </c>
      <c r="F10" s="6">
        <v>4457.6000000000004</v>
      </c>
      <c r="G10" s="7">
        <v>4.6191598E-2</v>
      </c>
      <c r="H10" s="53"/>
    </row>
    <row r="11" spans="1:14" ht="17.100000000000001" customHeight="1" x14ac:dyDescent="0.2">
      <c r="A11" s="3">
        <v>5</v>
      </c>
      <c r="B11" s="4" t="s">
        <v>291</v>
      </c>
      <c r="C11" s="4" t="s">
        <v>292</v>
      </c>
      <c r="D11" s="4" t="s">
        <v>900</v>
      </c>
      <c r="E11" s="5">
        <v>288000</v>
      </c>
      <c r="F11" s="6">
        <v>4343.616</v>
      </c>
      <c r="G11" s="7">
        <v>4.5010446000000003E-2</v>
      </c>
      <c r="H11" s="53"/>
    </row>
    <row r="12" spans="1:14" ht="29.1" customHeight="1" x14ac:dyDescent="0.2">
      <c r="A12" s="3">
        <v>6</v>
      </c>
      <c r="B12" s="4" t="s">
        <v>293</v>
      </c>
      <c r="C12" s="4" t="s">
        <v>294</v>
      </c>
      <c r="D12" s="4" t="s">
        <v>119</v>
      </c>
      <c r="E12" s="5">
        <v>157000</v>
      </c>
      <c r="F12" s="6">
        <v>4141.0320000000002</v>
      </c>
      <c r="G12" s="7">
        <v>4.2911181999999999E-2</v>
      </c>
      <c r="H12" s="53"/>
    </row>
    <row r="13" spans="1:14" ht="17.100000000000001" customHeight="1" x14ac:dyDescent="0.2">
      <c r="A13" s="3">
        <v>7</v>
      </c>
      <c r="B13" s="4" t="s">
        <v>181</v>
      </c>
      <c r="C13" s="4" t="s">
        <v>182</v>
      </c>
      <c r="D13" s="4" t="s">
        <v>19</v>
      </c>
      <c r="E13" s="5">
        <v>410005</v>
      </c>
      <c r="F13" s="6">
        <v>3828.4216875000002</v>
      </c>
      <c r="G13" s="7">
        <v>3.9671776999999998E-2</v>
      </c>
      <c r="H13" s="53"/>
      <c r="J13" s="188" t="s">
        <v>1089</v>
      </c>
    </row>
    <row r="14" spans="1:14" ht="53.1" customHeight="1" x14ac:dyDescent="0.2">
      <c r="A14" s="3">
        <v>8</v>
      </c>
      <c r="B14" s="4" t="s">
        <v>46</v>
      </c>
      <c r="C14" s="4" t="s">
        <v>47</v>
      </c>
      <c r="D14" s="4" t="s">
        <v>48</v>
      </c>
      <c r="E14" s="5">
        <v>2405310</v>
      </c>
      <c r="F14" s="6">
        <v>3449.2145399999999</v>
      </c>
      <c r="G14" s="7">
        <v>3.5742267000000001E-2</v>
      </c>
      <c r="H14" s="53"/>
    </row>
    <row r="15" spans="1:14" ht="17.100000000000001" customHeight="1" x14ac:dyDescent="0.2">
      <c r="A15" s="3">
        <v>9</v>
      </c>
      <c r="B15" s="4" t="s">
        <v>54</v>
      </c>
      <c r="C15" s="4" t="s">
        <v>55</v>
      </c>
      <c r="D15" s="4" t="s">
        <v>33</v>
      </c>
      <c r="E15" s="5">
        <v>106000</v>
      </c>
      <c r="F15" s="6">
        <v>2723.2460000000001</v>
      </c>
      <c r="G15" s="7">
        <v>2.8219464E-2</v>
      </c>
      <c r="H15" s="53"/>
    </row>
    <row r="16" spans="1:14" ht="17.100000000000001" customHeight="1" x14ac:dyDescent="0.2">
      <c r="A16" s="3">
        <v>10</v>
      </c>
      <c r="B16" s="4" t="s">
        <v>70</v>
      </c>
      <c r="C16" s="4" t="s">
        <v>71</v>
      </c>
      <c r="D16" s="4" t="s">
        <v>72</v>
      </c>
      <c r="E16" s="5">
        <v>32000</v>
      </c>
      <c r="F16" s="6">
        <v>2686.2719999999999</v>
      </c>
      <c r="G16" s="7">
        <v>2.7836323999999999E-2</v>
      </c>
      <c r="H16" s="53"/>
    </row>
    <row r="17" spans="1:10" ht="17.100000000000001" customHeight="1" x14ac:dyDescent="0.2">
      <c r="A17" s="3">
        <v>11</v>
      </c>
      <c r="B17" s="4" t="s">
        <v>297</v>
      </c>
      <c r="C17" s="4" t="s">
        <v>298</v>
      </c>
      <c r="D17" s="4" t="s">
        <v>900</v>
      </c>
      <c r="E17" s="5">
        <v>78000</v>
      </c>
      <c r="F17" s="6">
        <v>2540.2260000000001</v>
      </c>
      <c r="G17" s="7">
        <v>2.6322931000000001E-2</v>
      </c>
      <c r="H17" s="53"/>
    </row>
    <row r="18" spans="1:10" ht="17.100000000000001" customHeight="1" x14ac:dyDescent="0.2">
      <c r="A18" s="3">
        <v>12</v>
      </c>
      <c r="B18" s="4" t="s">
        <v>179</v>
      </c>
      <c r="C18" s="4" t="s">
        <v>180</v>
      </c>
      <c r="D18" s="4" t="s">
        <v>19</v>
      </c>
      <c r="E18" s="5">
        <v>1077030</v>
      </c>
      <c r="F18" s="6">
        <v>2000.0447099999999</v>
      </c>
      <c r="G18" s="7">
        <v>2.0725337E-2</v>
      </c>
      <c r="H18" s="53"/>
    </row>
    <row r="19" spans="1:10" ht="17.100000000000001" customHeight="1" x14ac:dyDescent="0.2">
      <c r="A19" s="3">
        <v>13</v>
      </c>
      <c r="B19" s="4" t="s">
        <v>222</v>
      </c>
      <c r="C19" s="4" t="s">
        <v>223</v>
      </c>
      <c r="D19" s="4" t="s">
        <v>224</v>
      </c>
      <c r="E19" s="5">
        <v>361925</v>
      </c>
      <c r="F19" s="6">
        <v>1849.6177124999999</v>
      </c>
      <c r="G19" s="7">
        <v>1.9166546E-2</v>
      </c>
      <c r="H19" s="53"/>
    </row>
    <row r="20" spans="1:10" ht="17.100000000000001" customHeight="1" x14ac:dyDescent="0.2">
      <c r="A20" s="3">
        <v>14</v>
      </c>
      <c r="B20" s="4" t="s">
        <v>177</v>
      </c>
      <c r="C20" s="4" t="s">
        <v>178</v>
      </c>
      <c r="D20" s="4" t="s">
        <v>19</v>
      </c>
      <c r="E20" s="5">
        <v>1292000</v>
      </c>
      <c r="F20" s="6">
        <v>1796.5260000000001</v>
      </c>
      <c r="G20" s="7">
        <v>1.8616387000000002E-2</v>
      </c>
      <c r="H20" s="53"/>
    </row>
    <row r="21" spans="1:10" ht="29.1" customHeight="1" x14ac:dyDescent="0.2">
      <c r="A21" s="3">
        <v>15</v>
      </c>
      <c r="B21" s="4" t="s">
        <v>299</v>
      </c>
      <c r="C21" s="4" t="s">
        <v>300</v>
      </c>
      <c r="D21" s="4" t="s">
        <v>227</v>
      </c>
      <c r="E21" s="5">
        <v>176000</v>
      </c>
      <c r="F21" s="6">
        <v>1762.4639999999999</v>
      </c>
      <c r="G21" s="7">
        <v>1.8263422000000001E-2</v>
      </c>
      <c r="H21" s="53"/>
    </row>
    <row r="22" spans="1:10" ht="17.100000000000001" customHeight="1" x14ac:dyDescent="0.2">
      <c r="A22" s="3">
        <v>16</v>
      </c>
      <c r="B22" s="4" t="s">
        <v>303</v>
      </c>
      <c r="C22" s="4" t="s">
        <v>304</v>
      </c>
      <c r="D22" s="4" t="s">
        <v>305</v>
      </c>
      <c r="E22" s="5">
        <v>68396</v>
      </c>
      <c r="F22" s="6">
        <v>1751.6557580000001</v>
      </c>
      <c r="G22" s="7">
        <v>1.8151422E-2</v>
      </c>
      <c r="H22" s="53"/>
      <c r="J22" s="188" t="s">
        <v>1097</v>
      </c>
    </row>
    <row r="23" spans="1:10" ht="17.100000000000001" customHeight="1" x14ac:dyDescent="0.2">
      <c r="A23" s="3">
        <v>17</v>
      </c>
      <c r="B23" s="4" t="s">
        <v>336</v>
      </c>
      <c r="C23" s="4" t="s">
        <v>337</v>
      </c>
      <c r="D23" s="4" t="s">
        <v>19</v>
      </c>
      <c r="E23" s="5">
        <v>489000</v>
      </c>
      <c r="F23" s="6">
        <v>1629.837</v>
      </c>
      <c r="G23" s="7">
        <v>1.6889082999999999E-2</v>
      </c>
      <c r="H23" s="53"/>
    </row>
    <row r="24" spans="1:10" ht="17.100000000000001" customHeight="1" x14ac:dyDescent="0.2">
      <c r="A24" s="3">
        <v>18</v>
      </c>
      <c r="B24" s="4" t="s">
        <v>43</v>
      </c>
      <c r="C24" s="4" t="s">
        <v>44</v>
      </c>
      <c r="D24" s="4" t="s">
        <v>45</v>
      </c>
      <c r="E24" s="5">
        <v>60212</v>
      </c>
      <c r="F24" s="6">
        <v>1615.4879599999999</v>
      </c>
      <c r="G24" s="7">
        <v>1.6740392E-2</v>
      </c>
      <c r="H24" s="53"/>
    </row>
    <row r="25" spans="1:10" ht="17.100000000000001" customHeight="1" x14ac:dyDescent="0.2">
      <c r="A25" s="3">
        <v>19</v>
      </c>
      <c r="B25" s="4" t="s">
        <v>350</v>
      </c>
      <c r="C25" s="4" t="s">
        <v>351</v>
      </c>
      <c r="D25" s="4" t="s">
        <v>72</v>
      </c>
      <c r="E25" s="5">
        <v>403269</v>
      </c>
      <c r="F25" s="6">
        <v>1564.4820855</v>
      </c>
      <c r="G25" s="7">
        <v>1.6211847000000001E-2</v>
      </c>
      <c r="H25" s="53"/>
    </row>
    <row r="26" spans="1:10" ht="17.100000000000001" customHeight="1" x14ac:dyDescent="0.2">
      <c r="A26" s="3">
        <v>20</v>
      </c>
      <c r="B26" s="4" t="s">
        <v>499</v>
      </c>
      <c r="C26" s="4" t="s">
        <v>500</v>
      </c>
      <c r="D26" s="4" t="s">
        <v>320</v>
      </c>
      <c r="E26" s="5">
        <v>33000</v>
      </c>
      <c r="F26" s="6">
        <v>1513.347</v>
      </c>
      <c r="G26" s="7">
        <v>1.5681962000000001E-2</v>
      </c>
      <c r="H26" s="53"/>
    </row>
    <row r="27" spans="1:10" ht="17.100000000000001" customHeight="1" x14ac:dyDescent="0.2">
      <c r="A27" s="3">
        <v>21</v>
      </c>
      <c r="B27" s="4" t="s">
        <v>11</v>
      </c>
      <c r="C27" s="4" t="s">
        <v>12</v>
      </c>
      <c r="D27" s="4" t="s">
        <v>13</v>
      </c>
      <c r="E27" s="5">
        <v>70588</v>
      </c>
      <c r="F27" s="6">
        <v>1472.3245039999999</v>
      </c>
      <c r="G27" s="7">
        <v>1.5256868999999999E-2</v>
      </c>
      <c r="H27" s="53"/>
    </row>
    <row r="28" spans="1:10" ht="53.1" customHeight="1" x14ac:dyDescent="0.2">
      <c r="A28" s="3">
        <v>22</v>
      </c>
      <c r="B28" s="4" t="s">
        <v>90</v>
      </c>
      <c r="C28" s="4" t="s">
        <v>91</v>
      </c>
      <c r="D28" s="4" t="s">
        <v>48</v>
      </c>
      <c r="E28" s="5">
        <v>98510</v>
      </c>
      <c r="F28" s="6">
        <v>1446.4223300000001</v>
      </c>
      <c r="G28" s="7">
        <v>1.498846E-2</v>
      </c>
      <c r="H28" s="53"/>
    </row>
    <row r="29" spans="1:10" ht="17.100000000000001" customHeight="1" x14ac:dyDescent="0.2">
      <c r="A29" s="3">
        <v>23</v>
      </c>
      <c r="B29" s="4" t="s">
        <v>333</v>
      </c>
      <c r="C29" s="48" t="s">
        <v>958</v>
      </c>
      <c r="D29" s="4" t="s">
        <v>16</v>
      </c>
      <c r="E29" s="5">
        <v>333000</v>
      </c>
      <c r="F29" s="6">
        <v>1443.8879999999999</v>
      </c>
      <c r="G29" s="7">
        <v>1.4962197999999999E-2</v>
      </c>
      <c r="H29" s="53"/>
    </row>
    <row r="30" spans="1:10" ht="29.1" customHeight="1" x14ac:dyDescent="0.2">
      <c r="A30" s="3">
        <v>24</v>
      </c>
      <c r="B30" s="4" t="s">
        <v>117</v>
      </c>
      <c r="C30" s="4" t="s">
        <v>118</v>
      </c>
      <c r="D30" s="4" t="s">
        <v>119</v>
      </c>
      <c r="E30" s="5">
        <v>197572</v>
      </c>
      <c r="F30" s="6">
        <v>1428.2479880000001</v>
      </c>
      <c r="G30" s="7">
        <v>1.4800129E-2</v>
      </c>
      <c r="H30" s="53"/>
    </row>
    <row r="31" spans="1:10" ht="29.1" customHeight="1" x14ac:dyDescent="0.2">
      <c r="A31" s="3">
        <v>25</v>
      </c>
      <c r="B31" s="4" t="s">
        <v>191</v>
      </c>
      <c r="C31" s="4" t="s">
        <v>192</v>
      </c>
      <c r="D31" s="4" t="s">
        <v>116</v>
      </c>
      <c r="E31" s="5">
        <v>394000</v>
      </c>
      <c r="F31" s="6">
        <v>1325.6130000000001</v>
      </c>
      <c r="G31" s="7">
        <v>1.3736580999999999E-2</v>
      </c>
      <c r="H31" s="53"/>
    </row>
    <row r="32" spans="1:10" ht="17.100000000000001" customHeight="1" x14ac:dyDescent="0.2">
      <c r="A32" s="3">
        <v>26</v>
      </c>
      <c r="B32" s="4" t="s">
        <v>261</v>
      </c>
      <c r="C32" s="4" t="s">
        <v>262</v>
      </c>
      <c r="D32" s="4" t="s">
        <v>119</v>
      </c>
      <c r="E32" s="5">
        <v>80000</v>
      </c>
      <c r="F32" s="6">
        <v>1238.28</v>
      </c>
      <c r="G32" s="7">
        <v>1.2831598E-2</v>
      </c>
      <c r="H32" s="53"/>
    </row>
    <row r="33" spans="1:8" ht="17.100000000000001" customHeight="1" x14ac:dyDescent="0.2">
      <c r="A33" s="3">
        <v>27</v>
      </c>
      <c r="B33" s="4" t="s">
        <v>246</v>
      </c>
      <c r="C33" s="4" t="s">
        <v>247</v>
      </c>
      <c r="D33" s="4" t="s">
        <v>248</v>
      </c>
      <c r="E33" s="5">
        <v>175000</v>
      </c>
      <c r="F33" s="6">
        <v>1185.625</v>
      </c>
      <c r="G33" s="7">
        <v>1.2285964E-2</v>
      </c>
      <c r="H33" s="53"/>
    </row>
    <row r="34" spans="1:8" ht="29.1" customHeight="1" x14ac:dyDescent="0.2">
      <c r="A34" s="3">
        <v>28</v>
      </c>
      <c r="B34" s="4" t="s">
        <v>23</v>
      </c>
      <c r="C34" s="4" t="s">
        <v>24</v>
      </c>
      <c r="D34" s="4" t="s">
        <v>25</v>
      </c>
      <c r="E34" s="5">
        <v>16000</v>
      </c>
      <c r="F34" s="6">
        <v>1113.4480000000001</v>
      </c>
      <c r="G34" s="7">
        <v>1.1538034000000001E-2</v>
      </c>
      <c r="H34" s="53"/>
    </row>
    <row r="35" spans="1:8" ht="17.100000000000001" customHeight="1" x14ac:dyDescent="0.2">
      <c r="A35" s="3">
        <v>29</v>
      </c>
      <c r="B35" s="4" t="s">
        <v>536</v>
      </c>
      <c r="C35" s="4" t="s">
        <v>537</v>
      </c>
      <c r="D35" s="4" t="s">
        <v>116</v>
      </c>
      <c r="E35" s="5">
        <v>165000</v>
      </c>
      <c r="F35" s="6">
        <v>1102.4475</v>
      </c>
      <c r="G35" s="7">
        <v>1.1424042000000001E-2</v>
      </c>
      <c r="H35" s="53"/>
    </row>
    <row r="36" spans="1:8" ht="29.1" customHeight="1" x14ac:dyDescent="0.2">
      <c r="A36" s="3">
        <v>30</v>
      </c>
      <c r="B36" s="4" t="s">
        <v>197</v>
      </c>
      <c r="C36" s="4" t="s">
        <v>198</v>
      </c>
      <c r="D36" s="4" t="s">
        <v>199</v>
      </c>
      <c r="E36" s="5">
        <v>26290</v>
      </c>
      <c r="F36" s="6">
        <v>1069.8058249999999</v>
      </c>
      <c r="G36" s="7">
        <v>1.1085795000000001E-2</v>
      </c>
      <c r="H36" s="53"/>
    </row>
    <row r="37" spans="1:8" ht="17.100000000000001" customHeight="1" x14ac:dyDescent="0.2">
      <c r="A37" s="3">
        <v>31</v>
      </c>
      <c r="B37" s="4" t="s">
        <v>348</v>
      </c>
      <c r="C37" s="4" t="s">
        <v>349</v>
      </c>
      <c r="D37" s="4" t="s">
        <v>190</v>
      </c>
      <c r="E37" s="5">
        <v>26000</v>
      </c>
      <c r="F37" s="6">
        <v>1057.875</v>
      </c>
      <c r="G37" s="7">
        <v>1.0962163E-2</v>
      </c>
      <c r="H37" s="53"/>
    </row>
    <row r="38" spans="1:8" ht="17.100000000000001" customHeight="1" x14ac:dyDescent="0.2">
      <c r="A38" s="3">
        <v>32</v>
      </c>
      <c r="B38" s="4" t="s">
        <v>97</v>
      </c>
      <c r="C38" s="4" t="s">
        <v>98</v>
      </c>
      <c r="D38" s="4" t="s">
        <v>96</v>
      </c>
      <c r="E38" s="5">
        <v>116000</v>
      </c>
      <c r="F38" s="6">
        <v>1006.822</v>
      </c>
      <c r="G38" s="7">
        <v>1.0433128999999999E-2</v>
      </c>
      <c r="H38" s="53"/>
    </row>
    <row r="39" spans="1:8" ht="17.100000000000001" customHeight="1" x14ac:dyDescent="0.2">
      <c r="A39" s="3">
        <v>33</v>
      </c>
      <c r="B39" s="4" t="s">
        <v>108</v>
      </c>
      <c r="C39" s="4" t="s">
        <v>109</v>
      </c>
      <c r="D39" s="4" t="s">
        <v>40</v>
      </c>
      <c r="E39" s="5">
        <v>48000</v>
      </c>
      <c r="F39" s="6">
        <v>963.69600000000003</v>
      </c>
      <c r="G39" s="7">
        <v>9.9862389999999992E-3</v>
      </c>
      <c r="H39" s="53"/>
    </row>
    <row r="40" spans="1:8" ht="17.100000000000001" customHeight="1" x14ac:dyDescent="0.2">
      <c r="A40" s="3">
        <v>34</v>
      </c>
      <c r="B40" s="4" t="s">
        <v>518</v>
      </c>
      <c r="C40" s="4" t="s">
        <v>519</v>
      </c>
      <c r="D40" s="4" t="s">
        <v>72</v>
      </c>
      <c r="E40" s="5">
        <v>68000</v>
      </c>
      <c r="F40" s="6">
        <v>942.48</v>
      </c>
      <c r="G40" s="7">
        <v>9.7663890000000003E-3</v>
      </c>
      <c r="H40" s="53"/>
    </row>
    <row r="41" spans="1:8" ht="17.100000000000001" customHeight="1" x14ac:dyDescent="0.2">
      <c r="A41" s="3">
        <v>35</v>
      </c>
      <c r="B41" s="4" t="s">
        <v>210</v>
      </c>
      <c r="C41" s="4" t="s">
        <v>211</v>
      </c>
      <c r="D41" s="4" t="s">
        <v>212</v>
      </c>
      <c r="E41" s="5">
        <v>2000</v>
      </c>
      <c r="F41" s="6">
        <v>856.73400000000004</v>
      </c>
      <c r="G41" s="7">
        <v>8.8778520000000003E-3</v>
      </c>
      <c r="H41" s="53"/>
    </row>
    <row r="42" spans="1:8" ht="17.100000000000001" customHeight="1" x14ac:dyDescent="0.2">
      <c r="A42" s="3">
        <v>36</v>
      </c>
      <c r="B42" s="4" t="s">
        <v>112</v>
      </c>
      <c r="C42" s="4" t="s">
        <v>113</v>
      </c>
      <c r="D42" s="4" t="s">
        <v>87</v>
      </c>
      <c r="E42" s="5">
        <v>203346</v>
      </c>
      <c r="F42" s="6">
        <v>853.03647000000001</v>
      </c>
      <c r="G42" s="7">
        <v>8.8395360000000003E-3</v>
      </c>
      <c r="H42" s="53"/>
    </row>
    <row r="43" spans="1:8" ht="17.100000000000001" customHeight="1" x14ac:dyDescent="0.2">
      <c r="A43" s="3">
        <v>37</v>
      </c>
      <c r="B43" s="4" t="s">
        <v>530</v>
      </c>
      <c r="C43" s="4" t="s">
        <v>531</v>
      </c>
      <c r="D43" s="4" t="s">
        <v>87</v>
      </c>
      <c r="E43" s="5">
        <v>278622</v>
      </c>
      <c r="F43" s="6">
        <v>833.77633500000002</v>
      </c>
      <c r="G43" s="7">
        <v>8.639954E-3</v>
      </c>
      <c r="H43" s="53"/>
    </row>
    <row r="44" spans="1:8" ht="17.100000000000001" customHeight="1" x14ac:dyDescent="0.2">
      <c r="A44" s="3">
        <v>38</v>
      </c>
      <c r="B44" s="4" t="s">
        <v>365</v>
      </c>
      <c r="C44" s="4" t="s">
        <v>366</v>
      </c>
      <c r="D44" s="4" t="s">
        <v>119</v>
      </c>
      <c r="E44" s="5">
        <v>150000</v>
      </c>
      <c r="F44" s="6">
        <v>802.57500000000005</v>
      </c>
      <c r="G44" s="7">
        <v>8.3166330000000004E-3</v>
      </c>
      <c r="H44" s="53"/>
    </row>
    <row r="45" spans="1:8" ht="17.100000000000001" customHeight="1" x14ac:dyDescent="0.2">
      <c r="A45" s="3">
        <v>39</v>
      </c>
      <c r="B45" s="4" t="s">
        <v>505</v>
      </c>
      <c r="C45" s="4" t="s">
        <v>506</v>
      </c>
      <c r="D45" s="4" t="s">
        <v>320</v>
      </c>
      <c r="E45" s="5">
        <v>36000</v>
      </c>
      <c r="F45" s="6">
        <v>799.79399999999998</v>
      </c>
      <c r="G45" s="7">
        <v>8.2878150000000005E-3</v>
      </c>
      <c r="H45" s="53"/>
    </row>
    <row r="46" spans="1:8" ht="29.1" customHeight="1" x14ac:dyDescent="0.2">
      <c r="A46" s="3">
        <v>40</v>
      </c>
      <c r="B46" s="4" t="s">
        <v>590</v>
      </c>
      <c r="C46" s="4" t="s">
        <v>591</v>
      </c>
      <c r="D46" s="4" t="s">
        <v>248</v>
      </c>
      <c r="E46" s="5">
        <v>61375</v>
      </c>
      <c r="F46" s="6">
        <v>759.08600000000001</v>
      </c>
      <c r="G46" s="7">
        <v>7.8659809999999993E-3</v>
      </c>
      <c r="H46" s="53"/>
    </row>
    <row r="47" spans="1:8" ht="17.100000000000001" customHeight="1" x14ac:dyDescent="0.2">
      <c r="A47" s="3">
        <v>41</v>
      </c>
      <c r="B47" s="4" t="s">
        <v>594</v>
      </c>
      <c r="C47" s="4" t="s">
        <v>595</v>
      </c>
      <c r="D47" s="4" t="s">
        <v>265</v>
      </c>
      <c r="E47" s="5">
        <v>50000</v>
      </c>
      <c r="F47" s="6">
        <v>753.4</v>
      </c>
      <c r="G47" s="7">
        <v>7.8070600000000002E-3</v>
      </c>
      <c r="H47" s="53"/>
    </row>
    <row r="48" spans="1:8" ht="29.1" customHeight="1" x14ac:dyDescent="0.2">
      <c r="A48" s="3">
        <v>42</v>
      </c>
      <c r="B48" s="4" t="s">
        <v>585</v>
      </c>
      <c r="C48" s="4" t="s">
        <v>586</v>
      </c>
      <c r="D48" s="4" t="s">
        <v>199</v>
      </c>
      <c r="E48" s="5">
        <v>50000</v>
      </c>
      <c r="F48" s="6">
        <v>745.02499999999998</v>
      </c>
      <c r="G48" s="7">
        <v>7.7202740000000001E-3</v>
      </c>
      <c r="H48" s="53"/>
    </row>
    <row r="49" spans="1:8" ht="17.100000000000001" customHeight="1" x14ac:dyDescent="0.2">
      <c r="A49" s="3">
        <v>43</v>
      </c>
      <c r="B49" s="4" t="s">
        <v>583</v>
      </c>
      <c r="C49" s="4" t="s">
        <v>584</v>
      </c>
      <c r="D49" s="4" t="s">
        <v>187</v>
      </c>
      <c r="E49" s="5">
        <v>77000</v>
      </c>
      <c r="F49" s="6">
        <v>675.71349999999995</v>
      </c>
      <c r="G49" s="7">
        <v>7.0020380000000004E-3</v>
      </c>
      <c r="H49" s="53"/>
    </row>
    <row r="50" spans="1:8" ht="29.1" customHeight="1" x14ac:dyDescent="0.2">
      <c r="A50" s="3">
        <v>44</v>
      </c>
      <c r="B50" s="4" t="s">
        <v>251</v>
      </c>
      <c r="C50" s="4" t="s">
        <v>252</v>
      </c>
      <c r="D50" s="4" t="s">
        <v>227</v>
      </c>
      <c r="E50" s="5">
        <v>79880</v>
      </c>
      <c r="F50" s="6">
        <v>673.46828000000005</v>
      </c>
      <c r="G50" s="7">
        <v>6.9787720000000003E-3</v>
      </c>
      <c r="H50" s="53"/>
    </row>
    <row r="51" spans="1:8" ht="17.100000000000001" customHeight="1" x14ac:dyDescent="0.2">
      <c r="A51" s="3">
        <v>45</v>
      </c>
      <c r="B51" s="4" t="s">
        <v>716</v>
      </c>
      <c r="C51" s="4" t="s">
        <v>717</v>
      </c>
      <c r="D51" s="4" t="s">
        <v>900</v>
      </c>
      <c r="E51" s="5">
        <v>17000</v>
      </c>
      <c r="F51" s="6">
        <v>660.29700000000003</v>
      </c>
      <c r="G51" s="7">
        <v>6.8422860000000004E-3</v>
      </c>
      <c r="H51" s="53"/>
    </row>
    <row r="52" spans="1:8" ht="17.100000000000001" customHeight="1" x14ac:dyDescent="0.2">
      <c r="A52" s="3">
        <v>46</v>
      </c>
      <c r="B52" s="4" t="s">
        <v>85</v>
      </c>
      <c r="C52" s="4" t="s">
        <v>86</v>
      </c>
      <c r="D52" s="4" t="s">
        <v>87</v>
      </c>
      <c r="E52" s="5">
        <v>24000</v>
      </c>
      <c r="F52" s="6">
        <v>659.19600000000003</v>
      </c>
      <c r="G52" s="7">
        <v>6.830877E-3</v>
      </c>
      <c r="H52" s="53"/>
    </row>
    <row r="53" spans="1:8" ht="17.100000000000001" customHeight="1" x14ac:dyDescent="0.2">
      <c r="A53" s="3">
        <v>47</v>
      </c>
      <c r="B53" s="4" t="s">
        <v>238</v>
      </c>
      <c r="C53" s="4" t="s">
        <v>239</v>
      </c>
      <c r="D53" s="4" t="s">
        <v>237</v>
      </c>
      <c r="E53" s="5">
        <v>200000</v>
      </c>
      <c r="F53" s="6">
        <v>572.20000000000005</v>
      </c>
      <c r="G53" s="7">
        <v>5.929386E-3</v>
      </c>
      <c r="H53" s="53"/>
    </row>
    <row r="54" spans="1:8" ht="17.100000000000001" customHeight="1" x14ac:dyDescent="0.2">
      <c r="A54" s="3">
        <v>48</v>
      </c>
      <c r="B54" s="4" t="s">
        <v>295</v>
      </c>
      <c r="C54" s="4" t="s">
        <v>296</v>
      </c>
      <c r="D54" s="4" t="s">
        <v>248</v>
      </c>
      <c r="E54" s="5">
        <v>43000</v>
      </c>
      <c r="F54" s="6">
        <v>529.45899999999995</v>
      </c>
      <c r="G54" s="7">
        <v>5.4864850000000001E-3</v>
      </c>
      <c r="H54" s="53"/>
    </row>
    <row r="55" spans="1:8" ht="17.100000000000001" customHeight="1" x14ac:dyDescent="0.2">
      <c r="A55" s="3">
        <v>49</v>
      </c>
      <c r="B55" s="4" t="s">
        <v>520</v>
      </c>
      <c r="C55" s="4" t="s">
        <v>521</v>
      </c>
      <c r="D55" s="4" t="s">
        <v>900</v>
      </c>
      <c r="E55" s="5">
        <v>50504</v>
      </c>
      <c r="F55" s="6">
        <v>525.51937199999998</v>
      </c>
      <c r="G55" s="7">
        <v>5.4456610000000001E-3</v>
      </c>
      <c r="H55" s="53"/>
    </row>
    <row r="56" spans="1:8" ht="17.100000000000001" customHeight="1" x14ac:dyDescent="0.2">
      <c r="A56" s="3">
        <v>50</v>
      </c>
      <c r="B56" s="4" t="s">
        <v>327</v>
      </c>
      <c r="C56" s="4" t="s">
        <v>328</v>
      </c>
      <c r="D56" s="4" t="s">
        <v>19</v>
      </c>
      <c r="E56" s="5">
        <v>43000</v>
      </c>
      <c r="F56" s="6">
        <v>524.64300000000003</v>
      </c>
      <c r="G56" s="7">
        <v>5.4365799999999999E-3</v>
      </c>
      <c r="H56" s="53"/>
    </row>
    <row r="57" spans="1:8" ht="29.1" customHeight="1" x14ac:dyDescent="0.2">
      <c r="A57" s="3">
        <v>51</v>
      </c>
      <c r="B57" s="4" t="s">
        <v>344</v>
      </c>
      <c r="C57" s="4" t="s">
        <v>345</v>
      </c>
      <c r="D57" s="4" t="s">
        <v>227</v>
      </c>
      <c r="E57" s="5">
        <v>14839</v>
      </c>
      <c r="F57" s="6">
        <v>506.48474800000002</v>
      </c>
      <c r="G57" s="7">
        <v>5.2484159999999997E-3</v>
      </c>
      <c r="H57" s="53"/>
    </row>
    <row r="58" spans="1:8" ht="17.100000000000001" customHeight="1" x14ac:dyDescent="0.2">
      <c r="A58" s="3">
        <v>52</v>
      </c>
      <c r="B58" s="4" t="s">
        <v>325</v>
      </c>
      <c r="C58" s="4" t="s">
        <v>326</v>
      </c>
      <c r="D58" s="4" t="s">
        <v>219</v>
      </c>
      <c r="E58" s="5">
        <v>427730</v>
      </c>
      <c r="F58" s="6">
        <v>481.83784500000002</v>
      </c>
      <c r="G58" s="7">
        <v>4.9930139999999996E-3</v>
      </c>
      <c r="H58" s="53"/>
    </row>
    <row r="59" spans="1:8" ht="17.100000000000001" customHeight="1" x14ac:dyDescent="0.2">
      <c r="A59" s="3">
        <v>53</v>
      </c>
      <c r="B59" s="4" t="s">
        <v>312</v>
      </c>
      <c r="C59" s="4" t="s">
        <v>313</v>
      </c>
      <c r="D59" s="4" t="s">
        <v>224</v>
      </c>
      <c r="E59" s="5">
        <v>34000</v>
      </c>
      <c r="F59" s="6">
        <v>454.68200000000002</v>
      </c>
      <c r="G59" s="7">
        <v>4.7116129999999999E-3</v>
      </c>
      <c r="H59" s="53"/>
    </row>
    <row r="60" spans="1:8" ht="29.1" customHeight="1" x14ac:dyDescent="0.2">
      <c r="A60" s="3">
        <v>54</v>
      </c>
      <c r="B60" s="4" t="s">
        <v>257</v>
      </c>
      <c r="C60" s="4" t="s">
        <v>258</v>
      </c>
      <c r="D60" s="4" t="s">
        <v>227</v>
      </c>
      <c r="E60" s="5">
        <v>27000</v>
      </c>
      <c r="F60" s="6">
        <v>425.66849999999999</v>
      </c>
      <c r="G60" s="7">
        <v>4.4109630000000004E-3</v>
      </c>
      <c r="H60" s="53"/>
    </row>
    <row r="61" spans="1:8" ht="17.100000000000001" customHeight="1" x14ac:dyDescent="0.2">
      <c r="A61" s="3">
        <v>55</v>
      </c>
      <c r="B61" s="4" t="s">
        <v>268</v>
      </c>
      <c r="C61" s="4" t="s">
        <v>269</v>
      </c>
      <c r="D61" s="4" t="s">
        <v>87</v>
      </c>
      <c r="E61" s="5">
        <v>80000</v>
      </c>
      <c r="F61" s="6">
        <v>416.96</v>
      </c>
      <c r="G61" s="7">
        <v>4.3207219999999999E-3</v>
      </c>
      <c r="H61" s="53"/>
    </row>
    <row r="62" spans="1:8" ht="29.1" customHeight="1" x14ac:dyDescent="0.2">
      <c r="A62" s="3">
        <v>56</v>
      </c>
      <c r="B62" s="4" t="s">
        <v>481</v>
      </c>
      <c r="C62" s="4" t="s">
        <v>482</v>
      </c>
      <c r="D62" s="4" t="s">
        <v>227</v>
      </c>
      <c r="E62" s="5">
        <v>37000</v>
      </c>
      <c r="F62" s="6">
        <v>398.10149999999999</v>
      </c>
      <c r="G62" s="7">
        <v>4.125302E-3</v>
      </c>
      <c r="H62" s="53"/>
    </row>
    <row r="63" spans="1:8" ht="17.100000000000001" customHeight="1" x14ac:dyDescent="0.2">
      <c r="A63" s="3">
        <v>57</v>
      </c>
      <c r="B63" s="4" t="s">
        <v>316</v>
      </c>
      <c r="C63" s="4" t="s">
        <v>317</v>
      </c>
      <c r="D63" s="4" t="s">
        <v>900</v>
      </c>
      <c r="E63" s="5">
        <v>91000</v>
      </c>
      <c r="F63" s="6">
        <v>357.40249999999997</v>
      </c>
      <c r="G63" s="7">
        <v>3.7035610000000002E-3</v>
      </c>
      <c r="H63" s="53"/>
    </row>
    <row r="64" spans="1:8" ht="17.100000000000001" customHeight="1" x14ac:dyDescent="0.2">
      <c r="A64" s="3">
        <v>58</v>
      </c>
      <c r="B64" s="4" t="s">
        <v>244</v>
      </c>
      <c r="C64" s="4" t="s">
        <v>245</v>
      </c>
      <c r="D64" s="4" t="s">
        <v>116</v>
      </c>
      <c r="E64" s="5">
        <v>44000</v>
      </c>
      <c r="F64" s="6">
        <v>351.93400000000003</v>
      </c>
      <c r="G64" s="7">
        <v>3.6468939999999999E-3</v>
      </c>
      <c r="H64" s="53"/>
    </row>
    <row r="65" spans="1:8" ht="17.100000000000001" customHeight="1" x14ac:dyDescent="0.2">
      <c r="A65" s="3">
        <v>59</v>
      </c>
      <c r="B65" s="4" t="s">
        <v>287</v>
      </c>
      <c r="C65" s="4" t="s">
        <v>288</v>
      </c>
      <c r="D65" s="4" t="s">
        <v>116</v>
      </c>
      <c r="E65" s="5">
        <v>7000</v>
      </c>
      <c r="F65" s="6">
        <v>273.322</v>
      </c>
      <c r="G65" s="7">
        <v>2.8322820000000002E-3</v>
      </c>
      <c r="H65" s="53"/>
    </row>
    <row r="66" spans="1:8" ht="17.100000000000001" customHeight="1" x14ac:dyDescent="0.2">
      <c r="A66" s="3">
        <v>60</v>
      </c>
      <c r="B66" s="4" t="s">
        <v>127</v>
      </c>
      <c r="C66" s="4" t="s">
        <v>128</v>
      </c>
      <c r="D66" s="4" t="s">
        <v>119</v>
      </c>
      <c r="E66" s="5">
        <v>98510</v>
      </c>
      <c r="F66" s="6">
        <v>222.93798100000001</v>
      </c>
      <c r="G66" s="7">
        <v>2.3101810000000001E-3</v>
      </c>
      <c r="H66" s="53"/>
    </row>
    <row r="67" spans="1:8" ht="17.100000000000001" customHeight="1" x14ac:dyDescent="0.2">
      <c r="A67" s="3">
        <v>61</v>
      </c>
      <c r="B67" s="4" t="s">
        <v>671</v>
      </c>
      <c r="C67" s="4" t="s">
        <v>672</v>
      </c>
      <c r="D67" s="4" t="s">
        <v>190</v>
      </c>
      <c r="E67" s="5">
        <v>370890</v>
      </c>
      <c r="F67" s="6">
        <v>219.93777</v>
      </c>
      <c r="G67" s="7">
        <v>2.279091E-3</v>
      </c>
      <c r="H67" s="53"/>
    </row>
    <row r="68" spans="1:8" ht="17.100000000000001" customHeight="1" x14ac:dyDescent="0.2">
      <c r="A68" s="3">
        <v>62</v>
      </c>
      <c r="B68" s="4" t="s">
        <v>540</v>
      </c>
      <c r="C68" s="4" t="s">
        <v>541</v>
      </c>
      <c r="D68" s="4" t="s">
        <v>190</v>
      </c>
      <c r="E68" s="5">
        <v>8126</v>
      </c>
      <c r="F68" s="6">
        <v>108.73400599999999</v>
      </c>
      <c r="G68" s="7">
        <v>1.126749E-3</v>
      </c>
      <c r="H68" s="53"/>
    </row>
    <row r="69" spans="1:8" ht="14.1" customHeight="1" x14ac:dyDescent="0.2">
      <c r="A69" s="1"/>
      <c r="B69" s="1"/>
      <c r="C69" s="2" t="s">
        <v>132</v>
      </c>
      <c r="D69" s="1"/>
      <c r="E69" s="1" t="s">
        <v>133</v>
      </c>
      <c r="F69" s="9">
        <v>93743.90734299997</v>
      </c>
      <c r="G69" s="10">
        <v>0.97141530399999987</v>
      </c>
      <c r="H69" s="53"/>
    </row>
    <row r="70" spans="1:8" ht="14.1" customHeight="1" x14ac:dyDescent="0.2">
      <c r="A70" s="1"/>
      <c r="B70" s="1"/>
      <c r="C70" s="11"/>
      <c r="D70" s="1"/>
      <c r="E70" s="1"/>
      <c r="F70" s="12"/>
      <c r="G70" s="12"/>
      <c r="H70" s="53"/>
    </row>
    <row r="71" spans="1:8" ht="14.1" customHeight="1" x14ac:dyDescent="0.2">
      <c r="A71" s="1"/>
      <c r="B71" s="1"/>
      <c r="C71" s="2" t="s">
        <v>134</v>
      </c>
      <c r="D71" s="1"/>
      <c r="E71" s="1"/>
      <c r="F71" s="1"/>
      <c r="G71" s="1"/>
      <c r="H71" s="53"/>
    </row>
    <row r="72" spans="1:8" ht="14.1" customHeight="1" x14ac:dyDescent="0.2">
      <c r="A72" s="1"/>
      <c r="B72" s="1"/>
      <c r="C72" s="2" t="s">
        <v>132</v>
      </c>
      <c r="D72" s="1"/>
      <c r="E72" s="1" t="s">
        <v>133</v>
      </c>
      <c r="F72" s="13">
        <v>0</v>
      </c>
      <c r="G72" s="14">
        <v>0</v>
      </c>
      <c r="H72" s="53"/>
    </row>
    <row r="73" spans="1:8" ht="14.1" customHeight="1" x14ac:dyDescent="0.2">
      <c r="A73" s="1"/>
      <c r="B73" s="1"/>
      <c r="C73" s="11"/>
      <c r="D73" s="1"/>
      <c r="E73" s="1"/>
      <c r="F73" s="12"/>
      <c r="G73" s="12"/>
      <c r="H73" s="53"/>
    </row>
    <row r="74" spans="1:8" ht="14.1" customHeight="1" x14ac:dyDescent="0.2">
      <c r="A74" s="1"/>
      <c r="B74" s="1"/>
      <c r="C74" s="2" t="s">
        <v>135</v>
      </c>
      <c r="D74" s="1"/>
      <c r="E74" s="1"/>
      <c r="F74" s="1"/>
      <c r="G74" s="1"/>
      <c r="H74" s="53"/>
    </row>
    <row r="75" spans="1:8" ht="29.1" customHeight="1" x14ac:dyDescent="0.2">
      <c r="A75" s="3">
        <v>1</v>
      </c>
      <c r="B75" s="4" t="s">
        <v>621</v>
      </c>
      <c r="C75" s="48" t="s">
        <v>966</v>
      </c>
      <c r="D75" s="4" t="s">
        <v>622</v>
      </c>
      <c r="E75" s="5">
        <v>374002</v>
      </c>
      <c r="F75" s="6">
        <v>19.784705800000001</v>
      </c>
      <c r="G75" s="7">
        <v>2.0501800000000001E-4</v>
      </c>
      <c r="H75" s="53"/>
    </row>
    <row r="76" spans="1:8" ht="17.100000000000001" customHeight="1" x14ac:dyDescent="0.2">
      <c r="A76" s="3">
        <v>2</v>
      </c>
      <c r="B76" s="4" t="s">
        <v>629</v>
      </c>
      <c r="C76" s="48" t="s">
        <v>972</v>
      </c>
      <c r="D76" s="4"/>
      <c r="E76" s="5">
        <v>200000</v>
      </c>
      <c r="F76" s="6">
        <v>1.9999999999999999E-6</v>
      </c>
      <c r="G76" s="8" t="s">
        <v>131</v>
      </c>
      <c r="H76" s="53"/>
    </row>
    <row r="77" spans="1:8" ht="14.1" customHeight="1" x14ac:dyDescent="0.2">
      <c r="A77" s="1"/>
      <c r="B77" s="1"/>
      <c r="C77" s="2" t="s">
        <v>132</v>
      </c>
      <c r="D77" s="1"/>
      <c r="E77" s="1" t="s">
        <v>133</v>
      </c>
      <c r="F77" s="13">
        <v>19.7847078</v>
      </c>
      <c r="G77" s="14">
        <v>2.0501800000000001E-4</v>
      </c>
      <c r="H77" s="53"/>
    </row>
    <row r="78" spans="1:8" ht="14.1" customHeight="1" x14ac:dyDescent="0.2">
      <c r="A78" s="1"/>
      <c r="B78" s="1"/>
      <c r="C78" s="11"/>
      <c r="D78" s="1"/>
      <c r="E78" s="1"/>
      <c r="F78" s="12"/>
      <c r="G78" s="12"/>
      <c r="H78" s="53"/>
    </row>
    <row r="79" spans="1:8" ht="14.1" customHeight="1" x14ac:dyDescent="0.2">
      <c r="A79" s="1"/>
      <c r="B79" s="1"/>
      <c r="C79" s="2" t="s">
        <v>136</v>
      </c>
      <c r="D79" s="1"/>
      <c r="E79" s="1"/>
      <c r="F79" s="1"/>
      <c r="G79" s="1"/>
      <c r="H79" s="53"/>
    </row>
    <row r="80" spans="1:8" ht="14.1" customHeight="1" x14ac:dyDescent="0.2">
      <c r="A80" s="1"/>
      <c r="B80" s="1"/>
      <c r="C80" s="2" t="s">
        <v>132</v>
      </c>
      <c r="D80" s="1"/>
      <c r="E80" s="1" t="s">
        <v>133</v>
      </c>
      <c r="F80" s="9">
        <v>0</v>
      </c>
      <c r="G80" s="10">
        <v>0</v>
      </c>
      <c r="H80" s="53"/>
    </row>
    <row r="81" spans="1:8" ht="14.1" customHeight="1" x14ac:dyDescent="0.2">
      <c r="A81" s="1"/>
      <c r="B81" s="1"/>
      <c r="C81" s="11"/>
      <c r="D81" s="1"/>
      <c r="E81" s="1"/>
      <c r="F81" s="12"/>
      <c r="G81" s="12"/>
      <c r="H81" s="53"/>
    </row>
    <row r="82" spans="1:8" ht="14.1" customHeight="1" x14ac:dyDescent="0.2">
      <c r="A82" s="1"/>
      <c r="B82" s="1"/>
      <c r="C82" s="2" t="s">
        <v>137</v>
      </c>
      <c r="D82" s="1"/>
      <c r="E82" s="1"/>
      <c r="F82" s="12"/>
      <c r="G82" s="12"/>
      <c r="H82" s="53"/>
    </row>
    <row r="83" spans="1:8" ht="14.1" customHeight="1" x14ac:dyDescent="0.2">
      <c r="A83" s="1"/>
      <c r="B83" s="1"/>
      <c r="C83" s="2" t="s">
        <v>132</v>
      </c>
      <c r="D83" s="1"/>
      <c r="E83" s="1" t="s">
        <v>133</v>
      </c>
      <c r="F83" s="13">
        <v>0</v>
      </c>
      <c r="G83" s="14">
        <v>0</v>
      </c>
      <c r="H83" s="53"/>
    </row>
    <row r="84" spans="1:8" ht="14.1" customHeight="1" x14ac:dyDescent="0.2">
      <c r="A84" s="1"/>
      <c r="B84" s="1"/>
      <c r="C84" s="11"/>
      <c r="D84" s="1"/>
      <c r="E84" s="1"/>
      <c r="F84" s="12"/>
      <c r="G84" s="12"/>
      <c r="H84" s="53"/>
    </row>
    <row r="85" spans="1:8" ht="14.1" customHeight="1" x14ac:dyDescent="0.2">
      <c r="A85" s="1"/>
      <c r="B85" s="1"/>
      <c r="C85" s="2" t="s">
        <v>138</v>
      </c>
      <c r="D85" s="1"/>
      <c r="E85" s="1"/>
      <c r="F85" s="12"/>
      <c r="G85" s="12"/>
      <c r="H85" s="53"/>
    </row>
    <row r="86" spans="1:8" ht="14.1" customHeight="1" x14ac:dyDescent="0.2">
      <c r="A86" s="1"/>
      <c r="B86" s="1"/>
      <c r="C86" s="2" t="s">
        <v>132</v>
      </c>
      <c r="D86" s="1"/>
      <c r="E86" s="1" t="s">
        <v>133</v>
      </c>
      <c r="F86" s="13">
        <v>0</v>
      </c>
      <c r="G86" s="14">
        <v>0</v>
      </c>
      <c r="H86" s="53"/>
    </row>
    <row r="87" spans="1:8" ht="14.1" customHeight="1" x14ac:dyDescent="0.2">
      <c r="A87" s="1"/>
      <c r="B87" s="1"/>
      <c r="C87" s="11"/>
      <c r="D87" s="1"/>
      <c r="E87" s="1"/>
      <c r="F87" s="12"/>
      <c r="G87" s="12"/>
      <c r="H87" s="53"/>
    </row>
    <row r="88" spans="1:8" ht="18" customHeight="1" x14ac:dyDescent="0.2">
      <c r="A88" s="1"/>
      <c r="B88" s="1"/>
      <c r="C88" s="2" t="s">
        <v>139</v>
      </c>
      <c r="D88" s="1"/>
      <c r="E88" s="1"/>
      <c r="F88" s="9">
        <v>93763.692050800004</v>
      </c>
      <c r="G88" s="10">
        <v>0.97162032200000004</v>
      </c>
      <c r="H88" s="53"/>
    </row>
    <row r="89" spans="1:8" ht="14.1" customHeight="1" x14ac:dyDescent="0.2">
      <c r="A89" s="1"/>
      <c r="B89" s="1"/>
      <c r="C89" s="11"/>
      <c r="D89" s="1"/>
      <c r="E89" s="1"/>
      <c r="F89" s="12"/>
      <c r="G89" s="12"/>
      <c r="H89" s="53"/>
    </row>
    <row r="90" spans="1:8" ht="14.1" customHeight="1" x14ac:dyDescent="0.2">
      <c r="A90" s="1"/>
      <c r="B90" s="1"/>
      <c r="C90" s="2" t="s">
        <v>140</v>
      </c>
      <c r="D90" s="1"/>
      <c r="E90" s="1"/>
      <c r="F90" s="12"/>
      <c r="G90" s="12"/>
      <c r="H90" s="53"/>
    </row>
    <row r="91" spans="1:8" ht="24" customHeight="1" x14ac:dyDescent="0.2">
      <c r="A91" s="1"/>
      <c r="B91" s="1"/>
      <c r="C91" s="2" t="s">
        <v>10</v>
      </c>
      <c r="D91" s="1"/>
      <c r="E91" s="1"/>
      <c r="F91" s="12"/>
      <c r="G91" s="12"/>
      <c r="H91" s="53"/>
    </row>
    <row r="92" spans="1:8" ht="14.1" customHeight="1" x14ac:dyDescent="0.2">
      <c r="A92" s="1"/>
      <c r="B92" s="1"/>
      <c r="C92" s="2" t="s">
        <v>132</v>
      </c>
      <c r="D92" s="1"/>
      <c r="E92" s="1" t="s">
        <v>133</v>
      </c>
      <c r="F92" s="13">
        <v>0</v>
      </c>
      <c r="G92" s="14">
        <v>0</v>
      </c>
      <c r="H92" s="53"/>
    </row>
    <row r="93" spans="1:8" ht="14.1" customHeight="1" x14ac:dyDescent="0.2">
      <c r="A93" s="1"/>
      <c r="B93" s="1"/>
      <c r="C93" s="11"/>
      <c r="D93" s="1"/>
      <c r="E93" s="1"/>
      <c r="F93" s="12"/>
      <c r="G93" s="12"/>
      <c r="H93" s="53"/>
    </row>
    <row r="94" spans="1:8" ht="14.1" customHeight="1" x14ac:dyDescent="0.2">
      <c r="A94" s="1"/>
      <c r="B94" s="1"/>
      <c r="C94" s="2" t="s">
        <v>141</v>
      </c>
      <c r="D94" s="1"/>
      <c r="E94" s="1"/>
      <c r="F94" s="1"/>
      <c r="G94" s="1"/>
      <c r="H94" s="53"/>
    </row>
    <row r="95" spans="1:8" ht="14.1" customHeight="1" x14ac:dyDescent="0.2">
      <c r="A95" s="1"/>
      <c r="B95" s="1"/>
      <c r="C95" s="2" t="s">
        <v>132</v>
      </c>
      <c r="D95" s="1"/>
      <c r="E95" s="1" t="s">
        <v>133</v>
      </c>
      <c r="F95" s="13">
        <v>0</v>
      </c>
      <c r="G95" s="14">
        <v>0</v>
      </c>
      <c r="H95" s="53"/>
    </row>
    <row r="96" spans="1:8" ht="14.1" customHeight="1" x14ac:dyDescent="0.2">
      <c r="A96" s="1"/>
      <c r="B96" s="1"/>
      <c r="C96" s="11"/>
      <c r="D96" s="1"/>
      <c r="E96" s="1"/>
      <c r="F96" s="12"/>
      <c r="G96" s="12"/>
      <c r="H96" s="53"/>
    </row>
    <row r="97" spans="1:8" ht="14.1" customHeight="1" x14ac:dyDescent="0.2">
      <c r="A97" s="1"/>
      <c r="B97" s="1"/>
      <c r="C97" s="2" t="s">
        <v>142</v>
      </c>
      <c r="D97" s="1"/>
      <c r="E97" s="1"/>
      <c r="F97" s="1"/>
      <c r="G97" s="1"/>
      <c r="H97" s="53"/>
    </row>
    <row r="98" spans="1:8" ht="14.1" customHeight="1" x14ac:dyDescent="0.2">
      <c r="A98" s="1"/>
      <c r="B98" s="1"/>
      <c r="C98" s="2" t="s">
        <v>132</v>
      </c>
      <c r="D98" s="1"/>
      <c r="E98" s="1" t="s">
        <v>133</v>
      </c>
      <c r="F98" s="13">
        <v>0</v>
      </c>
      <c r="G98" s="14">
        <v>0</v>
      </c>
      <c r="H98" s="53"/>
    </row>
    <row r="99" spans="1:8" ht="14.1" customHeight="1" x14ac:dyDescent="0.2">
      <c r="A99" s="1"/>
      <c r="B99" s="1"/>
      <c r="C99" s="11"/>
      <c r="D99" s="1"/>
      <c r="E99" s="1"/>
      <c r="F99" s="12"/>
      <c r="G99" s="12"/>
      <c r="H99" s="53"/>
    </row>
    <row r="100" spans="1:8" ht="14.1" customHeight="1" x14ac:dyDescent="0.2">
      <c r="A100" s="1"/>
      <c r="B100" s="1"/>
      <c r="C100" s="2" t="s">
        <v>143</v>
      </c>
      <c r="D100" s="1"/>
      <c r="E100" s="1"/>
      <c r="F100" s="12"/>
      <c r="G100" s="12"/>
      <c r="H100" s="53"/>
    </row>
    <row r="101" spans="1:8" ht="14.1" customHeight="1" x14ac:dyDescent="0.2">
      <c r="A101" s="1"/>
      <c r="B101" s="1"/>
      <c r="C101" s="2" t="s">
        <v>132</v>
      </c>
      <c r="D101" s="1"/>
      <c r="E101" s="1" t="s">
        <v>133</v>
      </c>
      <c r="F101" s="13">
        <v>0</v>
      </c>
      <c r="G101" s="14">
        <v>0</v>
      </c>
      <c r="H101" s="53"/>
    </row>
    <row r="102" spans="1:8" ht="14.1" customHeight="1" x14ac:dyDescent="0.2">
      <c r="A102" s="1"/>
      <c r="B102" s="1"/>
      <c r="C102" s="11"/>
      <c r="D102" s="1"/>
      <c r="E102" s="1"/>
      <c r="F102" s="12"/>
      <c r="G102" s="12"/>
      <c r="H102" s="53"/>
    </row>
    <row r="103" spans="1:8" ht="14.1" customHeight="1" x14ac:dyDescent="0.2">
      <c r="A103" s="1"/>
      <c r="B103" s="1"/>
      <c r="C103" s="2" t="s">
        <v>144</v>
      </c>
      <c r="D103" s="1"/>
      <c r="E103" s="1"/>
      <c r="F103" s="9">
        <v>0</v>
      </c>
      <c r="G103" s="10">
        <v>0</v>
      </c>
      <c r="H103" s="53"/>
    </row>
    <row r="104" spans="1:8" ht="14.1" customHeight="1" x14ac:dyDescent="0.2">
      <c r="A104" s="1"/>
      <c r="B104" s="1"/>
      <c r="C104" s="11"/>
      <c r="D104" s="1"/>
      <c r="E104" s="1"/>
      <c r="F104" s="12"/>
      <c r="G104" s="12"/>
      <c r="H104" s="53"/>
    </row>
    <row r="105" spans="1:8" ht="14.1" customHeight="1" x14ac:dyDescent="0.2">
      <c r="A105" s="1"/>
      <c r="B105" s="1"/>
      <c r="C105" s="2" t="s">
        <v>145</v>
      </c>
      <c r="D105" s="1"/>
      <c r="E105" s="1"/>
      <c r="F105" s="12"/>
      <c r="G105" s="12"/>
      <c r="H105" s="53"/>
    </row>
    <row r="106" spans="1:8" ht="14.1" customHeight="1" x14ac:dyDescent="0.2">
      <c r="A106" s="1"/>
      <c r="B106" s="1"/>
      <c r="C106" s="2" t="s">
        <v>146</v>
      </c>
      <c r="D106" s="1"/>
      <c r="E106" s="1"/>
      <c r="F106" s="12"/>
      <c r="G106" s="12"/>
      <c r="H106" s="53"/>
    </row>
    <row r="107" spans="1:8" ht="14.1" customHeight="1" x14ac:dyDescent="0.2">
      <c r="A107" s="1"/>
      <c r="B107" s="1"/>
      <c r="C107" s="2" t="s">
        <v>132</v>
      </c>
      <c r="D107" s="1"/>
      <c r="E107" s="1" t="s">
        <v>133</v>
      </c>
      <c r="F107" s="13">
        <v>0</v>
      </c>
      <c r="G107" s="14">
        <v>0</v>
      </c>
      <c r="H107" s="53"/>
    </row>
    <row r="108" spans="1:8" ht="14.1" customHeight="1" x14ac:dyDescent="0.2">
      <c r="A108" s="1"/>
      <c r="B108" s="1"/>
      <c r="C108" s="11"/>
      <c r="D108" s="1"/>
      <c r="E108" s="1"/>
      <c r="F108" s="12"/>
      <c r="G108" s="12"/>
      <c r="H108" s="53"/>
    </row>
    <row r="109" spans="1:8" ht="14.1" customHeight="1" x14ac:dyDescent="0.2">
      <c r="A109" s="1"/>
      <c r="B109" s="1"/>
      <c r="C109" s="2" t="s">
        <v>147</v>
      </c>
      <c r="D109" s="1"/>
      <c r="E109" s="1"/>
      <c r="F109" s="12"/>
      <c r="G109" s="12"/>
      <c r="H109" s="53"/>
    </row>
    <row r="110" spans="1:8" ht="14.1" customHeight="1" x14ac:dyDescent="0.2">
      <c r="A110" s="1"/>
      <c r="B110" s="1"/>
      <c r="C110" s="2" t="s">
        <v>132</v>
      </c>
      <c r="D110" s="1"/>
      <c r="E110" s="1" t="s">
        <v>133</v>
      </c>
      <c r="F110" s="13">
        <v>0</v>
      </c>
      <c r="G110" s="14">
        <v>0</v>
      </c>
      <c r="H110" s="53"/>
    </row>
    <row r="111" spans="1:8" ht="14.1" customHeight="1" x14ac:dyDescent="0.2">
      <c r="A111" s="1"/>
      <c r="B111" s="1"/>
      <c r="C111" s="11"/>
      <c r="D111" s="1"/>
      <c r="E111" s="1"/>
      <c r="F111" s="12"/>
      <c r="G111" s="12"/>
      <c r="H111" s="53"/>
    </row>
    <row r="112" spans="1:8" ht="14.1" customHeight="1" x14ac:dyDescent="0.2">
      <c r="A112" s="1"/>
      <c r="B112" s="1"/>
      <c r="C112" s="2" t="s">
        <v>148</v>
      </c>
      <c r="D112" s="1"/>
      <c r="E112" s="1"/>
      <c r="F112" s="12"/>
      <c r="G112" s="12"/>
      <c r="H112" s="53"/>
    </row>
    <row r="113" spans="1:8" ht="14.1" customHeight="1" x14ac:dyDescent="0.2">
      <c r="A113" s="1"/>
      <c r="B113" s="1"/>
      <c r="C113" s="2" t="s">
        <v>132</v>
      </c>
      <c r="D113" s="1"/>
      <c r="E113" s="1" t="s">
        <v>133</v>
      </c>
      <c r="F113" s="13">
        <v>0</v>
      </c>
      <c r="G113" s="14">
        <v>0</v>
      </c>
      <c r="H113" s="53"/>
    </row>
    <row r="114" spans="1:8" ht="14.1" customHeight="1" x14ac:dyDescent="0.2">
      <c r="A114" s="1"/>
      <c r="B114" s="1"/>
      <c r="C114" s="11"/>
      <c r="D114" s="1"/>
      <c r="E114" s="1"/>
      <c r="F114" s="12"/>
      <c r="G114" s="12"/>
      <c r="H114" s="53"/>
    </row>
    <row r="115" spans="1:8" ht="14.1" customHeight="1" x14ac:dyDescent="0.2">
      <c r="A115" s="1"/>
      <c r="B115" s="1"/>
      <c r="C115" s="2" t="s">
        <v>149</v>
      </c>
      <c r="D115" s="1"/>
      <c r="E115" s="1"/>
      <c r="F115" s="12"/>
      <c r="G115" s="12"/>
      <c r="H115" s="53"/>
    </row>
    <row r="116" spans="1:8" ht="17.100000000000001" customHeight="1" x14ac:dyDescent="0.2">
      <c r="A116" s="3">
        <v>1</v>
      </c>
      <c r="B116" s="4"/>
      <c r="C116" s="4" t="s">
        <v>150</v>
      </c>
      <c r="D116" s="4"/>
      <c r="E116" s="8"/>
      <c r="F116" s="6">
        <v>2537.7064770000002</v>
      </c>
      <c r="G116" s="7">
        <v>2.6296823E-2</v>
      </c>
      <c r="H116" s="53">
        <v>6.46</v>
      </c>
    </row>
    <row r="117" spans="1:8" ht="14.1" customHeight="1" x14ac:dyDescent="0.2">
      <c r="A117" s="1"/>
      <c r="B117" s="1"/>
      <c r="C117" s="2" t="s">
        <v>132</v>
      </c>
      <c r="D117" s="1"/>
      <c r="E117" s="1" t="s">
        <v>133</v>
      </c>
      <c r="F117" s="9">
        <v>2537.7064770000002</v>
      </c>
      <c r="G117" s="10">
        <v>2.6296823E-2</v>
      </c>
      <c r="H117" s="53"/>
    </row>
    <row r="118" spans="1:8" ht="14.1" customHeight="1" x14ac:dyDescent="0.2">
      <c r="A118" s="1"/>
      <c r="B118" s="1"/>
      <c r="C118" s="11"/>
      <c r="D118" s="1"/>
      <c r="E118" s="1"/>
      <c r="F118" s="12"/>
      <c r="G118" s="12"/>
      <c r="H118" s="53"/>
    </row>
    <row r="119" spans="1:8" ht="14.1" customHeight="1" x14ac:dyDescent="0.2">
      <c r="A119" s="1"/>
      <c r="B119" s="1"/>
      <c r="C119" s="2" t="s">
        <v>151</v>
      </c>
      <c r="D119" s="1"/>
      <c r="E119" s="1"/>
      <c r="F119" s="9">
        <v>2537.7064770000002</v>
      </c>
      <c r="G119" s="10">
        <v>2.6296823E-2</v>
      </c>
      <c r="H119" s="53"/>
    </row>
    <row r="120" spans="1:8" ht="14.1" customHeight="1" x14ac:dyDescent="0.2">
      <c r="A120" s="1"/>
      <c r="B120" s="1"/>
      <c r="C120" s="12"/>
      <c r="D120" s="1"/>
      <c r="E120" s="1"/>
      <c r="F120" s="1"/>
      <c r="G120" s="1"/>
      <c r="H120" s="53"/>
    </row>
    <row r="121" spans="1:8" ht="14.1" customHeight="1" x14ac:dyDescent="0.2">
      <c r="A121" s="1"/>
      <c r="B121" s="1"/>
      <c r="C121" s="2" t="s">
        <v>152</v>
      </c>
      <c r="D121" s="1"/>
      <c r="E121" s="1"/>
      <c r="F121" s="1"/>
      <c r="G121" s="1"/>
      <c r="H121" s="53"/>
    </row>
    <row r="122" spans="1:8" ht="14.1" customHeight="1" x14ac:dyDescent="0.2">
      <c r="A122" s="1"/>
      <c r="B122" s="1"/>
      <c r="C122" s="2" t="s">
        <v>153</v>
      </c>
      <c r="D122" s="1"/>
      <c r="E122" s="1"/>
      <c r="F122" s="1"/>
      <c r="G122" s="1"/>
      <c r="H122" s="53"/>
    </row>
    <row r="123" spans="1:8" ht="14.1" customHeight="1" x14ac:dyDescent="0.2">
      <c r="A123" s="1"/>
      <c r="B123" s="1"/>
      <c r="C123" s="2" t="s">
        <v>132</v>
      </c>
      <c r="D123" s="1"/>
      <c r="E123" s="1" t="s">
        <v>133</v>
      </c>
      <c r="F123" s="13">
        <v>0</v>
      </c>
      <c r="G123" s="14">
        <v>0</v>
      </c>
      <c r="H123" s="53"/>
    </row>
    <row r="124" spans="1:8" ht="14.1" customHeight="1" x14ac:dyDescent="0.2">
      <c r="A124" s="1"/>
      <c r="B124" s="1"/>
      <c r="C124" s="11"/>
      <c r="D124" s="1"/>
      <c r="E124" s="1"/>
      <c r="F124" s="12"/>
      <c r="G124" s="12"/>
      <c r="H124" s="53"/>
    </row>
    <row r="125" spans="1:8" ht="14.1" customHeight="1" x14ac:dyDescent="0.2">
      <c r="A125" s="1"/>
      <c r="B125" s="1"/>
      <c r="C125" s="2" t="s">
        <v>154</v>
      </c>
      <c r="D125" s="1"/>
      <c r="E125" s="1"/>
      <c r="F125" s="1"/>
      <c r="G125" s="1"/>
      <c r="H125" s="53"/>
    </row>
    <row r="126" spans="1:8" ht="14.1" customHeight="1" x14ac:dyDescent="0.2">
      <c r="A126" s="1"/>
      <c r="B126" s="1"/>
      <c r="C126" s="2" t="s">
        <v>155</v>
      </c>
      <c r="D126" s="1"/>
      <c r="E126" s="1"/>
      <c r="F126" s="1"/>
      <c r="G126" s="1"/>
      <c r="H126" s="53"/>
    </row>
    <row r="127" spans="1:8" ht="14.1" customHeight="1" x14ac:dyDescent="0.2">
      <c r="A127" s="1"/>
      <c r="B127" s="1"/>
      <c r="C127" s="2" t="s">
        <v>132</v>
      </c>
      <c r="D127" s="1"/>
      <c r="E127" s="1" t="s">
        <v>133</v>
      </c>
      <c r="F127" s="13">
        <v>0</v>
      </c>
      <c r="G127" s="14">
        <v>0</v>
      </c>
      <c r="H127" s="53"/>
    </row>
    <row r="128" spans="1:8" ht="14.1" customHeight="1" x14ac:dyDescent="0.2">
      <c r="A128" s="1"/>
      <c r="B128" s="1"/>
      <c r="C128" s="11"/>
      <c r="D128" s="1"/>
      <c r="E128" s="1"/>
      <c r="F128" s="12"/>
      <c r="G128" s="12"/>
      <c r="H128" s="53"/>
    </row>
    <row r="129" spans="1:8" ht="14.1" customHeight="1" x14ac:dyDescent="0.2">
      <c r="A129" s="1"/>
      <c r="B129" s="1"/>
      <c r="C129" s="11"/>
      <c r="D129" s="1"/>
      <c r="E129" s="1"/>
      <c r="F129" s="12"/>
      <c r="G129" s="12"/>
      <c r="H129" s="53"/>
    </row>
    <row r="130" spans="1:8" ht="24" customHeight="1" x14ac:dyDescent="0.2">
      <c r="A130" s="1"/>
      <c r="B130" s="1"/>
      <c r="C130" s="2" t="s">
        <v>156</v>
      </c>
      <c r="D130" s="1"/>
      <c r="E130" s="1"/>
      <c r="F130" s="12"/>
      <c r="G130" s="12"/>
      <c r="H130" s="53"/>
    </row>
    <row r="131" spans="1:8" ht="14.1" customHeight="1" x14ac:dyDescent="0.2">
      <c r="A131" s="1"/>
      <c r="B131" s="1"/>
      <c r="C131" s="2" t="s">
        <v>132</v>
      </c>
      <c r="D131" s="1"/>
      <c r="E131" s="1" t="s">
        <v>133</v>
      </c>
      <c r="F131" s="13">
        <v>0</v>
      </c>
      <c r="G131" s="14">
        <v>0</v>
      </c>
      <c r="H131" s="53"/>
    </row>
    <row r="132" spans="1:8" ht="14.1" customHeight="1" x14ac:dyDescent="0.2">
      <c r="A132" s="1"/>
      <c r="B132" s="1"/>
      <c r="C132" s="11"/>
      <c r="D132" s="1"/>
      <c r="E132" s="1"/>
      <c r="F132" s="12"/>
      <c r="G132" s="12"/>
      <c r="H132" s="53"/>
    </row>
    <row r="133" spans="1:8" ht="14.1" customHeight="1" x14ac:dyDescent="0.2">
      <c r="A133" s="1"/>
      <c r="B133" s="4"/>
      <c r="C133" s="4"/>
      <c r="D133" s="2"/>
      <c r="E133" s="1"/>
      <c r="F133" s="4"/>
      <c r="G133" s="8"/>
      <c r="H133" s="53"/>
    </row>
    <row r="134" spans="1:8" ht="18" customHeight="1" x14ac:dyDescent="0.2">
      <c r="A134" s="8"/>
      <c r="B134" s="4"/>
      <c r="C134" s="4" t="s">
        <v>157</v>
      </c>
      <c r="D134" s="4"/>
      <c r="E134" s="8"/>
      <c r="F134" s="6">
        <v>201.00047101999999</v>
      </c>
      <c r="G134" s="7">
        <v>2.0828550000000002E-3</v>
      </c>
      <c r="H134" s="53"/>
    </row>
    <row r="135" spans="1:8" ht="14.1" customHeight="1" x14ac:dyDescent="0.2">
      <c r="A135" s="11"/>
      <c r="B135" s="11"/>
      <c r="C135" s="2" t="s">
        <v>158</v>
      </c>
      <c r="D135" s="15"/>
      <c r="E135" s="15"/>
      <c r="F135" s="9">
        <v>96502.398998820005</v>
      </c>
      <c r="G135" s="10">
        <v>1</v>
      </c>
      <c r="H135" s="53"/>
    </row>
    <row r="136" spans="1:8" ht="14.1" customHeight="1" x14ac:dyDescent="0.2">
      <c r="A136" s="16"/>
      <c r="B136" s="16"/>
      <c r="C136" s="16"/>
      <c r="D136" s="17"/>
      <c r="E136" s="17"/>
      <c r="F136" s="17"/>
      <c r="G136" s="17"/>
    </row>
    <row r="137" spans="1:8" ht="17.100000000000001" customHeight="1" x14ac:dyDescent="0.2">
      <c r="A137" s="18"/>
      <c r="B137" s="292" t="s">
        <v>159</v>
      </c>
      <c r="C137" s="292"/>
      <c r="D137" s="292"/>
      <c r="E137" s="292"/>
      <c r="F137" s="292"/>
      <c r="G137" s="20"/>
    </row>
    <row r="138" spans="1:8" ht="14.1" customHeight="1" x14ac:dyDescent="0.2">
      <c r="A138" s="18"/>
      <c r="B138" s="18"/>
      <c r="C138" s="18"/>
      <c r="D138" s="20"/>
      <c r="E138" s="20"/>
      <c r="F138" s="20"/>
      <c r="G138" s="20"/>
    </row>
    <row r="139" spans="1:8" ht="14.1" customHeight="1" x14ac:dyDescent="0.2">
      <c r="A139" s="18"/>
      <c r="B139" s="293" t="s">
        <v>160</v>
      </c>
      <c r="C139" s="294"/>
      <c r="D139" s="12" t="s">
        <v>133</v>
      </c>
      <c r="E139" s="21"/>
      <c r="F139" s="20"/>
      <c r="G139" s="20"/>
    </row>
    <row r="140" spans="1:8" ht="29.1" customHeight="1" x14ac:dyDescent="0.2">
      <c r="A140" s="18"/>
      <c r="B140" s="290" t="s">
        <v>161</v>
      </c>
      <c r="C140" s="291"/>
      <c r="D140" s="59" t="s">
        <v>1038</v>
      </c>
      <c r="E140" s="21"/>
      <c r="F140" s="20"/>
      <c r="G140" s="20"/>
    </row>
    <row r="141" spans="1:8" ht="17.100000000000001" customHeight="1" x14ac:dyDescent="0.2">
      <c r="A141" s="58"/>
      <c r="B141" s="295" t="s">
        <v>956</v>
      </c>
      <c r="C141" s="296"/>
      <c r="D141" s="59" t="s">
        <v>977</v>
      </c>
      <c r="E141" s="60"/>
      <c r="F141" s="61"/>
      <c r="G141" s="61"/>
    </row>
    <row r="142" spans="1:8" ht="17.100000000000001" customHeight="1" x14ac:dyDescent="0.2">
      <c r="A142" s="18"/>
      <c r="B142" s="290" t="s">
        <v>164</v>
      </c>
      <c r="C142" s="291"/>
      <c r="D142" s="12" t="s">
        <v>133</v>
      </c>
      <c r="E142" s="21"/>
      <c r="F142" s="20"/>
      <c r="G142" s="20"/>
    </row>
    <row r="143" spans="1:8" ht="24" customHeight="1" x14ac:dyDescent="0.2">
      <c r="A143" s="22"/>
      <c r="B143" s="23" t="s">
        <v>133</v>
      </c>
      <c r="C143" s="23" t="s">
        <v>165</v>
      </c>
      <c r="D143" s="23" t="s">
        <v>166</v>
      </c>
      <c r="E143" s="22"/>
      <c r="F143" s="22"/>
      <c r="G143" s="22"/>
    </row>
    <row r="144" spans="1:8" ht="18" customHeight="1" x14ac:dyDescent="0.2">
      <c r="A144" s="22"/>
      <c r="B144" s="23" t="s">
        <v>167</v>
      </c>
      <c r="C144" s="23" t="s">
        <v>168</v>
      </c>
      <c r="D144" s="23" t="s">
        <v>169</v>
      </c>
      <c r="E144" s="22"/>
      <c r="F144" s="22"/>
      <c r="G144" s="22"/>
    </row>
    <row r="145" spans="1:7" ht="17.100000000000001" customHeight="1" x14ac:dyDescent="0.2">
      <c r="A145" s="22"/>
      <c r="B145" s="4" t="s">
        <v>170</v>
      </c>
      <c r="C145" s="24">
        <v>370.18349999999998</v>
      </c>
      <c r="D145" s="24">
        <v>358.85480000000001</v>
      </c>
      <c r="E145" s="22"/>
      <c r="F145" s="19"/>
      <c r="G145" s="25"/>
    </row>
    <row r="146" spans="1:7" ht="29.1" customHeight="1" x14ac:dyDescent="0.2">
      <c r="A146" s="22"/>
      <c r="B146" s="4" t="s">
        <v>1045</v>
      </c>
      <c r="C146" s="24">
        <v>369.90809999999999</v>
      </c>
      <c r="D146" s="24">
        <v>358.56939999999997</v>
      </c>
      <c r="E146" s="22"/>
      <c r="F146" s="19"/>
      <c r="G146" s="25"/>
    </row>
    <row r="147" spans="1:7" ht="17.100000000000001" customHeight="1" x14ac:dyDescent="0.2">
      <c r="A147" s="22"/>
      <c r="B147" s="4" t="s">
        <v>171</v>
      </c>
      <c r="C147" s="24">
        <v>351.31479999999999</v>
      </c>
      <c r="D147" s="24">
        <v>340.3888</v>
      </c>
      <c r="E147" s="22"/>
      <c r="F147" s="19"/>
      <c r="G147" s="25"/>
    </row>
    <row r="148" spans="1:7" ht="29.1" customHeight="1" x14ac:dyDescent="0.2">
      <c r="A148" s="22"/>
      <c r="B148" s="4" t="s">
        <v>1046</v>
      </c>
      <c r="C148" s="24">
        <v>338.41090000000003</v>
      </c>
      <c r="D148" s="24">
        <v>327.88420000000002</v>
      </c>
      <c r="E148" s="22"/>
      <c r="F148" s="19"/>
      <c r="G148" s="25"/>
    </row>
    <row r="149" spans="1:7" ht="14.1" customHeight="1" x14ac:dyDescent="0.2">
      <c r="A149" s="22"/>
      <c r="B149" s="22"/>
      <c r="C149" s="22"/>
      <c r="D149" s="22"/>
      <c r="E149" s="22"/>
      <c r="F149" s="22"/>
      <c r="G149" s="22"/>
    </row>
    <row r="150" spans="1:7" ht="17.100000000000001" customHeight="1" x14ac:dyDescent="0.2">
      <c r="A150" s="22"/>
      <c r="B150" s="290" t="s">
        <v>1044</v>
      </c>
      <c r="C150" s="291"/>
      <c r="D150" s="2" t="s">
        <v>162</v>
      </c>
      <c r="E150" s="22"/>
      <c r="F150" s="22"/>
      <c r="G150" s="22"/>
    </row>
    <row r="151" spans="1:7" ht="18" customHeight="1" x14ac:dyDescent="0.2">
      <c r="A151" s="22"/>
      <c r="B151" s="26"/>
      <c r="C151" s="26"/>
      <c r="D151" s="27"/>
      <c r="E151" s="22"/>
      <c r="F151" s="22"/>
      <c r="G151" s="22"/>
    </row>
    <row r="152" spans="1:7" ht="29.1" customHeight="1" x14ac:dyDescent="0.2">
      <c r="A152" s="22"/>
      <c r="B152" s="290" t="s">
        <v>172</v>
      </c>
      <c r="C152" s="291"/>
      <c r="D152" s="2" t="s">
        <v>162</v>
      </c>
      <c r="E152" s="22"/>
      <c r="F152" s="22"/>
      <c r="G152" s="22"/>
    </row>
    <row r="153" spans="1:7" ht="29.1" customHeight="1" x14ac:dyDescent="0.2">
      <c r="A153" s="22"/>
      <c r="B153" s="290" t="s">
        <v>173</v>
      </c>
      <c r="C153" s="291"/>
      <c r="D153" s="2" t="s">
        <v>162</v>
      </c>
      <c r="E153" s="22"/>
      <c r="F153" s="22"/>
      <c r="G153" s="22"/>
    </row>
    <row r="154" spans="1:7" ht="17.100000000000001" customHeight="1" x14ac:dyDescent="0.2">
      <c r="A154" s="22"/>
      <c r="B154" s="290" t="s">
        <v>174</v>
      </c>
      <c r="C154" s="291"/>
      <c r="D154" s="28">
        <v>0.23780383433658431</v>
      </c>
      <c r="E154" s="22"/>
      <c r="F154" s="19"/>
      <c r="G154" s="25"/>
    </row>
    <row r="155" spans="1:7" ht="17.100000000000001" customHeight="1" x14ac:dyDescent="0.2">
      <c r="A155" s="22"/>
      <c r="B155" s="290" t="s">
        <v>175</v>
      </c>
      <c r="C155" s="291"/>
      <c r="D155" s="2" t="s">
        <v>162</v>
      </c>
      <c r="E155" s="22"/>
      <c r="F155" s="22"/>
      <c r="G155" s="22"/>
    </row>
    <row r="157" spans="1:7" x14ac:dyDescent="0.2">
      <c r="B157" s="160" t="s">
        <v>1041</v>
      </c>
      <c r="C157" s="160"/>
      <c r="D157" s="160"/>
      <c r="E157" s="163"/>
      <c r="F157" s="164"/>
    </row>
    <row r="158" spans="1:7" ht="38.25" x14ac:dyDescent="0.2">
      <c r="B158" s="166" t="s">
        <v>1015</v>
      </c>
      <c r="C158" s="166" t="s">
        <v>1016</v>
      </c>
      <c r="D158" s="166" t="s">
        <v>1017</v>
      </c>
      <c r="E158" s="166" t="s">
        <v>1018</v>
      </c>
      <c r="F158" s="166" t="s">
        <v>1019</v>
      </c>
    </row>
    <row r="159" spans="1:7" x14ac:dyDescent="0.2">
      <c r="B159" s="173" t="s">
        <v>1040</v>
      </c>
      <c r="C159" s="168" t="s">
        <v>1036</v>
      </c>
      <c r="D159" s="174">
        <v>0</v>
      </c>
      <c r="E159" s="175">
        <v>0</v>
      </c>
      <c r="F159" s="176">
        <v>0.54925000000000002</v>
      </c>
    </row>
  </sheetData>
  <mergeCells count="14">
    <mergeCell ref="B155:C155"/>
    <mergeCell ref="B140:C140"/>
    <mergeCell ref="B141:C141"/>
    <mergeCell ref="B142:C142"/>
    <mergeCell ref="B150:C150"/>
    <mergeCell ref="B152:C152"/>
    <mergeCell ref="B153:C153"/>
    <mergeCell ref="A1:H1"/>
    <mergeCell ref="A2:H2"/>
    <mergeCell ref="A3:H3"/>
    <mergeCell ref="J2:N2"/>
    <mergeCell ref="B154:C154"/>
    <mergeCell ref="B137:F137"/>
    <mergeCell ref="B139:C139"/>
  </mergeCells>
  <hyperlinks>
    <hyperlink ref="I1" location="Index!B31" display="Index" xr:uid="{357046B4-B24C-4EB6-9A46-DD9F77F2786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2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321" t="s">
        <v>1054</v>
      </c>
      <c r="B2" s="322"/>
      <c r="C2" s="322"/>
      <c r="D2" s="322"/>
      <c r="E2" s="322"/>
      <c r="F2" s="322"/>
      <c r="G2" s="322"/>
      <c r="H2" s="323"/>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303</v>
      </c>
      <c r="C7" s="4" t="s">
        <v>304</v>
      </c>
      <c r="D7" s="4" t="s">
        <v>305</v>
      </c>
      <c r="E7" s="5">
        <v>453308</v>
      </c>
      <c r="F7" s="6">
        <v>11609.444534</v>
      </c>
      <c r="G7" s="7">
        <v>9.8503041E-2</v>
      </c>
      <c r="H7" s="53"/>
    </row>
    <row r="8" spans="1:14" ht="17.100000000000001" customHeight="1" x14ac:dyDescent="0.2">
      <c r="A8" s="3">
        <v>2</v>
      </c>
      <c r="B8" s="4" t="s">
        <v>354</v>
      </c>
      <c r="C8" s="4" t="s">
        <v>355</v>
      </c>
      <c r="D8" s="4" t="s">
        <v>116</v>
      </c>
      <c r="E8" s="5">
        <v>293714</v>
      </c>
      <c r="F8" s="6">
        <v>7629.2211500000003</v>
      </c>
      <c r="G8" s="7">
        <v>6.4731907000000005E-2</v>
      </c>
      <c r="H8" s="53"/>
    </row>
    <row r="9" spans="1:14" ht="17.100000000000001" customHeight="1" x14ac:dyDescent="0.2">
      <c r="A9" s="3">
        <v>3</v>
      </c>
      <c r="B9" s="4" t="s">
        <v>310</v>
      </c>
      <c r="C9" s="4" t="s">
        <v>311</v>
      </c>
      <c r="D9" s="4" t="s">
        <v>305</v>
      </c>
      <c r="E9" s="5">
        <v>1820266</v>
      </c>
      <c r="F9" s="6">
        <v>6035.091923</v>
      </c>
      <c r="G9" s="7">
        <v>5.1206145000000002E-2</v>
      </c>
      <c r="H9" s="53"/>
    </row>
    <row r="10" spans="1:14" ht="17.100000000000001" customHeight="1" x14ac:dyDescent="0.2">
      <c r="A10" s="3">
        <v>4</v>
      </c>
      <c r="B10" s="4" t="s">
        <v>70</v>
      </c>
      <c r="C10" s="4" t="s">
        <v>71</v>
      </c>
      <c r="D10" s="4" t="s">
        <v>72</v>
      </c>
      <c r="E10" s="5">
        <v>71550</v>
      </c>
      <c r="F10" s="6">
        <v>6006.3362999999999</v>
      </c>
      <c r="G10" s="7">
        <v>5.0962161999999998E-2</v>
      </c>
      <c r="H10" s="53"/>
    </row>
    <row r="11" spans="1:14" ht="17.100000000000001" customHeight="1" x14ac:dyDescent="0.2">
      <c r="A11" s="3">
        <v>5</v>
      </c>
      <c r="B11" s="4" t="s">
        <v>14</v>
      </c>
      <c r="C11" s="4" t="s">
        <v>15</v>
      </c>
      <c r="D11" s="4" t="s">
        <v>16</v>
      </c>
      <c r="E11" s="5">
        <v>734479</v>
      </c>
      <c r="F11" s="6">
        <v>5920.6352189999998</v>
      </c>
      <c r="G11" s="7">
        <v>5.0235011000000003E-2</v>
      </c>
      <c r="H11" s="53"/>
    </row>
    <row r="12" spans="1:14" ht="17.100000000000001" customHeight="1" x14ac:dyDescent="0.2">
      <c r="A12" s="3">
        <v>6</v>
      </c>
      <c r="B12" s="4" t="s">
        <v>583</v>
      </c>
      <c r="C12" s="4" t="s">
        <v>584</v>
      </c>
      <c r="D12" s="4" t="s">
        <v>187</v>
      </c>
      <c r="E12" s="5">
        <v>536743</v>
      </c>
      <c r="F12" s="6">
        <v>4710.1881965000002</v>
      </c>
      <c r="G12" s="7">
        <v>3.9964690999999997E-2</v>
      </c>
      <c r="H12" s="53"/>
      <c r="J12" s="188"/>
    </row>
    <row r="13" spans="1:14" ht="29.1" customHeight="1" x14ac:dyDescent="0.2">
      <c r="A13" s="3">
        <v>7</v>
      </c>
      <c r="B13" s="4" t="s">
        <v>191</v>
      </c>
      <c r="C13" s="4" t="s">
        <v>192</v>
      </c>
      <c r="D13" s="4" t="s">
        <v>116</v>
      </c>
      <c r="E13" s="5">
        <v>1325453</v>
      </c>
      <c r="F13" s="6">
        <v>4459.4866185000001</v>
      </c>
      <c r="G13" s="7">
        <v>3.7837555000000002E-2</v>
      </c>
      <c r="H13" s="53"/>
    </row>
    <row r="14" spans="1:14" ht="17.100000000000001" customHeight="1" x14ac:dyDescent="0.2">
      <c r="A14" s="3">
        <v>8</v>
      </c>
      <c r="B14" s="4" t="s">
        <v>210</v>
      </c>
      <c r="C14" s="4" t="s">
        <v>211</v>
      </c>
      <c r="D14" s="4" t="s">
        <v>212</v>
      </c>
      <c r="E14" s="5">
        <v>9138</v>
      </c>
      <c r="F14" s="6">
        <v>3914.4176459999999</v>
      </c>
      <c r="G14" s="7">
        <v>3.3212789999999999E-2</v>
      </c>
      <c r="H14" s="53"/>
      <c r="J14" s="188" t="s">
        <v>1098</v>
      </c>
    </row>
    <row r="15" spans="1:14" ht="17.100000000000001" customHeight="1" x14ac:dyDescent="0.2">
      <c r="A15" s="3">
        <v>9</v>
      </c>
      <c r="B15" s="4" t="s">
        <v>185</v>
      </c>
      <c r="C15" s="4" t="s">
        <v>186</v>
      </c>
      <c r="D15" s="4" t="s">
        <v>187</v>
      </c>
      <c r="E15" s="5">
        <v>263496</v>
      </c>
      <c r="F15" s="6">
        <v>3484.866348</v>
      </c>
      <c r="G15" s="7">
        <v>2.9568161999999999E-2</v>
      </c>
      <c r="H15" s="53"/>
    </row>
    <row r="16" spans="1:14" ht="17.100000000000001" customHeight="1" x14ac:dyDescent="0.2">
      <c r="A16" s="3">
        <v>10</v>
      </c>
      <c r="B16" s="4" t="s">
        <v>381</v>
      </c>
      <c r="C16" s="4" t="s">
        <v>382</v>
      </c>
      <c r="D16" s="4" t="s">
        <v>116</v>
      </c>
      <c r="E16" s="5">
        <v>184544</v>
      </c>
      <c r="F16" s="6">
        <v>3105.3218879999999</v>
      </c>
      <c r="G16" s="7">
        <v>2.6347828E-2</v>
      </c>
      <c r="H16" s="53"/>
    </row>
    <row r="17" spans="1:8" ht="17.100000000000001" customHeight="1" x14ac:dyDescent="0.2">
      <c r="A17" s="3">
        <v>11</v>
      </c>
      <c r="B17" s="4" t="s">
        <v>306</v>
      </c>
      <c r="C17" s="4" t="s">
        <v>307</v>
      </c>
      <c r="D17" s="4" t="s">
        <v>72</v>
      </c>
      <c r="E17" s="5">
        <v>239842</v>
      </c>
      <c r="F17" s="6">
        <v>2996.106264</v>
      </c>
      <c r="G17" s="7">
        <v>2.5421163E-2</v>
      </c>
      <c r="H17" s="53"/>
    </row>
    <row r="18" spans="1:8" ht="17.100000000000001" customHeight="1" x14ac:dyDescent="0.2">
      <c r="A18" s="3">
        <v>12</v>
      </c>
      <c r="B18" s="4" t="s">
        <v>697</v>
      </c>
      <c r="C18" s="4" t="s">
        <v>698</v>
      </c>
      <c r="D18" s="4" t="s">
        <v>72</v>
      </c>
      <c r="E18" s="5">
        <v>91552</v>
      </c>
      <c r="F18" s="6">
        <v>2955.0696800000001</v>
      </c>
      <c r="G18" s="7">
        <v>2.5072977999999999E-2</v>
      </c>
      <c r="H18" s="53"/>
    </row>
    <row r="19" spans="1:8" ht="17.100000000000001" customHeight="1" x14ac:dyDescent="0.2">
      <c r="A19" s="3">
        <v>13</v>
      </c>
      <c r="B19" s="4" t="s">
        <v>655</v>
      </c>
      <c r="C19" s="4" t="s">
        <v>656</v>
      </c>
      <c r="D19" s="4" t="s">
        <v>265</v>
      </c>
      <c r="E19" s="5">
        <v>15055</v>
      </c>
      <c r="F19" s="6">
        <v>2951.6833000000001</v>
      </c>
      <c r="G19" s="7">
        <v>2.5044245999999999E-2</v>
      </c>
      <c r="H19" s="53"/>
    </row>
    <row r="20" spans="1:8" ht="17.100000000000001" customHeight="1" x14ac:dyDescent="0.2">
      <c r="A20" s="3">
        <v>14</v>
      </c>
      <c r="B20" s="4" t="s">
        <v>235</v>
      </c>
      <c r="C20" s="4" t="s">
        <v>236</v>
      </c>
      <c r="D20" s="4" t="s">
        <v>237</v>
      </c>
      <c r="E20" s="5">
        <v>60999</v>
      </c>
      <c r="F20" s="6">
        <v>2731.2912240000001</v>
      </c>
      <c r="G20" s="7">
        <v>2.3174278E-2</v>
      </c>
      <c r="H20" s="53"/>
    </row>
    <row r="21" spans="1:8" ht="17.100000000000001" customHeight="1" x14ac:dyDescent="0.2">
      <c r="A21" s="3">
        <v>15</v>
      </c>
      <c r="B21" s="4" t="s">
        <v>29</v>
      </c>
      <c r="C21" s="4" t="s">
        <v>30</v>
      </c>
      <c r="D21" s="4" t="s">
        <v>19</v>
      </c>
      <c r="E21" s="5">
        <v>444279</v>
      </c>
      <c r="F21" s="6">
        <v>2726.540223</v>
      </c>
      <c r="G21" s="7">
        <v>2.3133966999999998E-2</v>
      </c>
      <c r="H21" s="53"/>
    </row>
    <row r="22" spans="1:8" ht="17.100000000000001" customHeight="1" x14ac:dyDescent="0.2">
      <c r="A22" s="3">
        <v>16</v>
      </c>
      <c r="B22" s="4" t="s">
        <v>213</v>
      </c>
      <c r="C22" s="4" t="s">
        <v>214</v>
      </c>
      <c r="D22" s="4" t="s">
        <v>116</v>
      </c>
      <c r="E22" s="5">
        <v>2117557</v>
      </c>
      <c r="F22" s="6">
        <v>2679.7683834999998</v>
      </c>
      <c r="G22" s="7">
        <v>2.273712E-2</v>
      </c>
      <c r="H22" s="53"/>
    </row>
    <row r="23" spans="1:8" ht="17.100000000000001" customHeight="1" x14ac:dyDescent="0.2">
      <c r="A23" s="3">
        <v>17</v>
      </c>
      <c r="B23" s="4" t="s">
        <v>360</v>
      </c>
      <c r="C23" s="4" t="s">
        <v>361</v>
      </c>
      <c r="D23" s="4" t="s">
        <v>190</v>
      </c>
      <c r="E23" s="5">
        <v>1657809</v>
      </c>
      <c r="F23" s="6">
        <v>2567.1172365000002</v>
      </c>
      <c r="G23" s="7">
        <v>2.1781305000000001E-2</v>
      </c>
      <c r="H23" s="53"/>
    </row>
    <row r="24" spans="1:8" ht="17.100000000000001" customHeight="1" x14ac:dyDescent="0.2">
      <c r="A24" s="3">
        <v>18</v>
      </c>
      <c r="B24" s="4" t="s">
        <v>542</v>
      </c>
      <c r="C24" s="4" t="s">
        <v>543</v>
      </c>
      <c r="D24" s="4" t="s">
        <v>116</v>
      </c>
      <c r="E24" s="5">
        <v>79430</v>
      </c>
      <c r="F24" s="6">
        <v>2452.7189699999999</v>
      </c>
      <c r="G24" s="7">
        <v>2.0810665999999998E-2</v>
      </c>
      <c r="H24" s="53"/>
    </row>
    <row r="25" spans="1:8" ht="17.100000000000001" customHeight="1" x14ac:dyDescent="0.2">
      <c r="A25" s="3">
        <v>19</v>
      </c>
      <c r="B25" s="4" t="s">
        <v>420</v>
      </c>
      <c r="C25" s="4" t="s">
        <v>421</v>
      </c>
      <c r="D25" s="4" t="s">
        <v>224</v>
      </c>
      <c r="E25" s="5">
        <v>295409</v>
      </c>
      <c r="F25" s="6">
        <v>2332.5494640000002</v>
      </c>
      <c r="G25" s="7">
        <v>1.9791059999999999E-2</v>
      </c>
      <c r="H25" s="53"/>
    </row>
    <row r="26" spans="1:8" ht="17.100000000000001" customHeight="1" x14ac:dyDescent="0.2">
      <c r="A26" s="3">
        <v>20</v>
      </c>
      <c r="B26" s="4" t="s">
        <v>94</v>
      </c>
      <c r="C26" s="4" t="s">
        <v>95</v>
      </c>
      <c r="D26" s="4" t="s">
        <v>96</v>
      </c>
      <c r="E26" s="5">
        <v>453358</v>
      </c>
      <c r="F26" s="6">
        <v>2108.341379</v>
      </c>
      <c r="G26" s="7">
        <v>1.7888714E-2</v>
      </c>
      <c r="H26" s="53"/>
    </row>
    <row r="27" spans="1:8" ht="17.100000000000001" customHeight="1" x14ac:dyDescent="0.2">
      <c r="A27" s="3">
        <v>21</v>
      </c>
      <c r="B27" s="4" t="s">
        <v>561</v>
      </c>
      <c r="C27" s="4" t="s">
        <v>562</v>
      </c>
      <c r="D27" s="4" t="s">
        <v>265</v>
      </c>
      <c r="E27" s="5">
        <v>47367</v>
      </c>
      <c r="F27" s="6">
        <v>2040.3098414999999</v>
      </c>
      <c r="G27" s="7">
        <v>1.7311485000000001E-2</v>
      </c>
      <c r="H27" s="53"/>
    </row>
    <row r="28" spans="1:8" ht="17.100000000000001" customHeight="1" x14ac:dyDescent="0.2">
      <c r="A28" s="3">
        <v>22</v>
      </c>
      <c r="B28" s="4" t="s">
        <v>232</v>
      </c>
      <c r="C28" s="4" t="s">
        <v>233</v>
      </c>
      <c r="D28" s="4" t="s">
        <v>234</v>
      </c>
      <c r="E28" s="5">
        <v>840000</v>
      </c>
      <c r="F28" s="6">
        <v>2016.42</v>
      </c>
      <c r="G28" s="7">
        <v>1.7108786000000001E-2</v>
      </c>
      <c r="H28" s="53"/>
    </row>
    <row r="29" spans="1:8" ht="17.100000000000001" customHeight="1" x14ac:dyDescent="0.2">
      <c r="A29" s="3">
        <v>23</v>
      </c>
      <c r="B29" s="4" t="s">
        <v>719</v>
      </c>
      <c r="C29" s="4" t="s">
        <v>720</v>
      </c>
      <c r="D29" s="4" t="s">
        <v>224</v>
      </c>
      <c r="E29" s="5">
        <v>1079962</v>
      </c>
      <c r="F29" s="6">
        <v>1952.0313149999999</v>
      </c>
      <c r="G29" s="7">
        <v>1.6562464999999998E-2</v>
      </c>
      <c r="H29" s="53"/>
    </row>
    <row r="30" spans="1:8" ht="17.100000000000001" customHeight="1" x14ac:dyDescent="0.2">
      <c r="A30" s="3">
        <v>24</v>
      </c>
      <c r="B30" s="4" t="s">
        <v>220</v>
      </c>
      <c r="C30" s="4" t="s">
        <v>221</v>
      </c>
      <c r="D30" s="4" t="s">
        <v>187</v>
      </c>
      <c r="E30" s="5">
        <v>114437</v>
      </c>
      <c r="F30" s="6">
        <v>1945.200126</v>
      </c>
      <c r="G30" s="7">
        <v>1.6504504E-2</v>
      </c>
      <c r="H30" s="53"/>
    </row>
    <row r="31" spans="1:8" ht="17.100000000000001" customHeight="1" x14ac:dyDescent="0.2">
      <c r="A31" s="3">
        <v>25</v>
      </c>
      <c r="B31" s="4" t="s">
        <v>348</v>
      </c>
      <c r="C31" s="4" t="s">
        <v>349</v>
      </c>
      <c r="D31" s="4" t="s">
        <v>190</v>
      </c>
      <c r="E31" s="5">
        <v>45680</v>
      </c>
      <c r="F31" s="6">
        <v>1858.605</v>
      </c>
      <c r="G31" s="7">
        <v>1.5769768E-2</v>
      </c>
      <c r="H31" s="53"/>
    </row>
    <row r="32" spans="1:8" ht="17.100000000000001" customHeight="1" x14ac:dyDescent="0.2">
      <c r="A32" s="3">
        <v>26</v>
      </c>
      <c r="B32" s="4" t="s">
        <v>679</v>
      </c>
      <c r="C32" s="4" t="s">
        <v>680</v>
      </c>
      <c r="D32" s="4" t="s">
        <v>278</v>
      </c>
      <c r="E32" s="5">
        <v>190121</v>
      </c>
      <c r="F32" s="6">
        <v>1661.7526005</v>
      </c>
      <c r="G32" s="7">
        <v>1.4099528E-2</v>
      </c>
      <c r="H32" s="53"/>
    </row>
    <row r="33" spans="1:8" ht="17.100000000000001" customHeight="1" x14ac:dyDescent="0.2">
      <c r="A33" s="3">
        <v>27</v>
      </c>
      <c r="B33" s="4" t="s">
        <v>301</v>
      </c>
      <c r="C33" s="4" t="s">
        <v>302</v>
      </c>
      <c r="D33" s="4" t="s">
        <v>234</v>
      </c>
      <c r="E33" s="5">
        <v>317849</v>
      </c>
      <c r="F33" s="6">
        <v>1587.973604</v>
      </c>
      <c r="G33" s="7">
        <v>1.3473532999999999E-2</v>
      </c>
      <c r="H33" s="53"/>
    </row>
    <row r="34" spans="1:8" ht="17.100000000000001" customHeight="1" x14ac:dyDescent="0.2">
      <c r="A34" s="3">
        <v>28</v>
      </c>
      <c r="B34" s="4" t="s">
        <v>516</v>
      </c>
      <c r="C34" s="4" t="s">
        <v>517</v>
      </c>
      <c r="D34" s="4" t="s">
        <v>116</v>
      </c>
      <c r="E34" s="5">
        <v>90858</v>
      </c>
      <c r="F34" s="6">
        <v>1423.608573</v>
      </c>
      <c r="G34" s="7">
        <v>1.2078939E-2</v>
      </c>
      <c r="H34" s="53"/>
    </row>
    <row r="35" spans="1:8" ht="17.100000000000001" customHeight="1" x14ac:dyDescent="0.2">
      <c r="A35" s="3">
        <v>29</v>
      </c>
      <c r="B35" s="4" t="s">
        <v>665</v>
      </c>
      <c r="C35" s="4" t="s">
        <v>666</v>
      </c>
      <c r="D35" s="4" t="s">
        <v>190</v>
      </c>
      <c r="E35" s="5">
        <v>34028</v>
      </c>
      <c r="F35" s="6">
        <v>1337.9979740000001</v>
      </c>
      <c r="G35" s="7">
        <v>1.1352556E-2</v>
      </c>
      <c r="H35" s="53"/>
    </row>
    <row r="36" spans="1:8" ht="17.100000000000001" customHeight="1" x14ac:dyDescent="0.2">
      <c r="A36" s="3">
        <v>30</v>
      </c>
      <c r="B36" s="4" t="s">
        <v>263</v>
      </c>
      <c r="C36" s="4" t="s">
        <v>264</v>
      </c>
      <c r="D36" s="4" t="s">
        <v>265</v>
      </c>
      <c r="E36" s="5">
        <v>144775</v>
      </c>
      <c r="F36" s="6">
        <v>1317.0905625</v>
      </c>
      <c r="G36" s="7">
        <v>1.1175162000000001E-2</v>
      </c>
      <c r="H36" s="53"/>
    </row>
    <row r="37" spans="1:8" ht="17.100000000000001" customHeight="1" x14ac:dyDescent="0.2">
      <c r="A37" s="3">
        <v>31</v>
      </c>
      <c r="B37" s="4" t="s">
        <v>568</v>
      </c>
      <c r="C37" s="4" t="s">
        <v>569</v>
      </c>
      <c r="D37" s="4" t="s">
        <v>116</v>
      </c>
      <c r="E37" s="5">
        <v>100000</v>
      </c>
      <c r="F37" s="6">
        <v>1298.55</v>
      </c>
      <c r="G37" s="7">
        <v>1.1017849999999999E-2</v>
      </c>
      <c r="H37" s="53"/>
    </row>
    <row r="38" spans="1:8" ht="17.100000000000001" customHeight="1" x14ac:dyDescent="0.2">
      <c r="A38" s="3">
        <v>32</v>
      </c>
      <c r="B38" s="4" t="s">
        <v>581</v>
      </c>
      <c r="C38" s="4" t="s">
        <v>582</v>
      </c>
      <c r="D38" s="4" t="s">
        <v>190</v>
      </c>
      <c r="E38" s="5">
        <v>1353209</v>
      </c>
      <c r="F38" s="6">
        <v>1165.7895535</v>
      </c>
      <c r="G38" s="7">
        <v>9.8914129999999999E-3</v>
      </c>
      <c r="H38" s="53"/>
    </row>
    <row r="39" spans="1:8" ht="17.100000000000001" customHeight="1" x14ac:dyDescent="0.2">
      <c r="A39" s="3">
        <v>33</v>
      </c>
      <c r="B39" s="4" t="s">
        <v>244</v>
      </c>
      <c r="C39" s="4" t="s">
        <v>245</v>
      </c>
      <c r="D39" s="4" t="s">
        <v>116</v>
      </c>
      <c r="E39" s="5">
        <v>136508</v>
      </c>
      <c r="F39" s="6">
        <v>1091.859238</v>
      </c>
      <c r="G39" s="7">
        <v>9.2641340000000003E-3</v>
      </c>
      <c r="H39" s="53"/>
    </row>
    <row r="40" spans="1:8" ht="17.100000000000001" customHeight="1" x14ac:dyDescent="0.2">
      <c r="A40" s="3">
        <v>34</v>
      </c>
      <c r="B40" s="4" t="s">
        <v>721</v>
      </c>
      <c r="C40" s="4" t="s">
        <v>722</v>
      </c>
      <c r="D40" s="4" t="s">
        <v>116</v>
      </c>
      <c r="E40" s="5">
        <v>225734</v>
      </c>
      <c r="F40" s="6">
        <v>1072.1236329999999</v>
      </c>
      <c r="G40" s="7">
        <v>9.0966829999999995E-3</v>
      </c>
      <c r="H40" s="53"/>
    </row>
    <row r="41" spans="1:8" ht="29.1" customHeight="1" x14ac:dyDescent="0.2">
      <c r="A41" s="3">
        <v>35</v>
      </c>
      <c r="B41" s="4" t="s">
        <v>391</v>
      </c>
      <c r="C41" s="4" t="s">
        <v>392</v>
      </c>
      <c r="D41" s="4" t="s">
        <v>116</v>
      </c>
      <c r="E41" s="5">
        <v>79930</v>
      </c>
      <c r="F41" s="6">
        <v>881.747795</v>
      </c>
      <c r="G41" s="7">
        <v>7.4813950000000001E-3</v>
      </c>
      <c r="H41" s="53"/>
    </row>
    <row r="42" spans="1:8" ht="17.100000000000001" customHeight="1" x14ac:dyDescent="0.2">
      <c r="A42" s="3">
        <v>36</v>
      </c>
      <c r="B42" s="4" t="s">
        <v>114</v>
      </c>
      <c r="C42" s="4" t="s">
        <v>115</v>
      </c>
      <c r="D42" s="4" t="s">
        <v>116</v>
      </c>
      <c r="E42" s="5">
        <v>49000</v>
      </c>
      <c r="F42" s="6">
        <v>165.3015</v>
      </c>
      <c r="G42" s="7">
        <v>1.402539E-3</v>
      </c>
      <c r="H42" s="53"/>
    </row>
    <row r="43" spans="1:8" ht="17.100000000000001" customHeight="1" x14ac:dyDescent="0.2">
      <c r="A43" s="3">
        <v>37</v>
      </c>
      <c r="B43" s="4" t="s">
        <v>522</v>
      </c>
      <c r="C43" s="4" t="s">
        <v>523</v>
      </c>
      <c r="D43" s="4" t="s">
        <v>320</v>
      </c>
      <c r="E43" s="5">
        <v>15279</v>
      </c>
      <c r="F43" s="6">
        <v>151.48364549999999</v>
      </c>
      <c r="G43" s="7">
        <v>1.285298E-3</v>
      </c>
      <c r="H43" s="53"/>
    </row>
    <row r="44" spans="1:8" ht="14.1" customHeight="1" x14ac:dyDescent="0.2">
      <c r="A44" s="1"/>
      <c r="B44" s="1"/>
      <c r="C44" s="2" t="s">
        <v>132</v>
      </c>
      <c r="D44" s="1"/>
      <c r="E44" s="1" t="s">
        <v>133</v>
      </c>
      <c r="F44" s="9">
        <v>106344.0409085</v>
      </c>
      <c r="G44" s="10">
        <v>0.90230082700000003</v>
      </c>
      <c r="H44" s="53"/>
    </row>
    <row r="45" spans="1:8" ht="14.1" customHeight="1" x14ac:dyDescent="0.2">
      <c r="A45" s="1"/>
      <c r="B45" s="1"/>
      <c r="C45" s="11"/>
      <c r="D45" s="1"/>
      <c r="E45" s="1"/>
      <c r="F45" s="12"/>
      <c r="G45" s="12"/>
      <c r="H45" s="53"/>
    </row>
    <row r="46" spans="1:8" ht="14.1" customHeight="1" x14ac:dyDescent="0.2">
      <c r="A46" s="1"/>
      <c r="B46" s="1"/>
      <c r="C46" s="2" t="s">
        <v>134</v>
      </c>
      <c r="D46" s="1"/>
      <c r="E46" s="1"/>
      <c r="F46" s="1"/>
      <c r="G46" s="1"/>
      <c r="H46" s="53"/>
    </row>
    <row r="47" spans="1:8" ht="14.1" customHeight="1" x14ac:dyDescent="0.2">
      <c r="A47" s="1"/>
      <c r="B47" s="1"/>
      <c r="C47" s="2" t="s">
        <v>132</v>
      </c>
      <c r="D47" s="1"/>
      <c r="E47" s="1" t="s">
        <v>133</v>
      </c>
      <c r="F47" s="13">
        <v>0</v>
      </c>
      <c r="G47" s="14">
        <v>0</v>
      </c>
      <c r="H47" s="53"/>
    </row>
    <row r="48" spans="1:8" ht="14.1" customHeight="1" x14ac:dyDescent="0.2">
      <c r="A48" s="1"/>
      <c r="B48" s="1"/>
      <c r="C48" s="11"/>
      <c r="D48" s="1"/>
      <c r="E48" s="1"/>
      <c r="F48" s="12"/>
      <c r="G48" s="12"/>
      <c r="H48" s="53"/>
    </row>
    <row r="49" spans="1:8" ht="14.1" customHeight="1" x14ac:dyDescent="0.2">
      <c r="A49" s="1"/>
      <c r="B49" s="1"/>
      <c r="C49" s="2" t="s">
        <v>135</v>
      </c>
      <c r="D49" s="1"/>
      <c r="E49" s="1"/>
      <c r="F49" s="1"/>
      <c r="G49" s="1"/>
      <c r="H49" s="53"/>
    </row>
    <row r="50" spans="1:8" ht="14.1" customHeight="1" x14ac:dyDescent="0.2">
      <c r="A50" s="1"/>
      <c r="B50" s="1"/>
      <c r="C50" s="2" t="s">
        <v>132</v>
      </c>
      <c r="D50" s="1"/>
      <c r="E50" s="1" t="s">
        <v>133</v>
      </c>
      <c r="F50" s="13">
        <v>0</v>
      </c>
      <c r="G50" s="14">
        <v>0</v>
      </c>
      <c r="H50" s="53"/>
    </row>
    <row r="51" spans="1:8" ht="14.1" customHeight="1" x14ac:dyDescent="0.2">
      <c r="A51" s="1"/>
      <c r="B51" s="1"/>
      <c r="C51" s="11"/>
      <c r="D51" s="1"/>
      <c r="E51" s="1"/>
      <c r="F51" s="12"/>
      <c r="G51" s="12"/>
      <c r="H51" s="53"/>
    </row>
    <row r="52" spans="1:8" ht="14.1" customHeight="1" x14ac:dyDescent="0.2">
      <c r="A52" s="1"/>
      <c r="B52" s="1"/>
      <c r="C52" s="2" t="s">
        <v>136</v>
      </c>
      <c r="D52" s="1"/>
      <c r="E52" s="1"/>
      <c r="F52" s="1"/>
      <c r="G52" s="1"/>
      <c r="H52" s="53"/>
    </row>
    <row r="53" spans="1:8" ht="24" customHeight="1" x14ac:dyDescent="0.2">
      <c r="A53" s="3">
        <v>1</v>
      </c>
      <c r="B53" s="4" t="s">
        <v>289</v>
      </c>
      <c r="C53" s="4" t="s">
        <v>959</v>
      </c>
      <c r="D53" s="4" t="s">
        <v>265</v>
      </c>
      <c r="E53" s="5">
        <v>4375</v>
      </c>
      <c r="F53" s="6">
        <v>20.555937499999999</v>
      </c>
      <c r="G53" s="7">
        <v>1.7441200000000001E-4</v>
      </c>
      <c r="H53" s="53"/>
    </row>
    <row r="54" spans="1:8" ht="14.1" customHeight="1" x14ac:dyDescent="0.2">
      <c r="A54" s="1"/>
      <c r="B54" s="1"/>
      <c r="C54" s="2" t="s">
        <v>132</v>
      </c>
      <c r="D54" s="1"/>
      <c r="E54" s="1" t="s">
        <v>133</v>
      </c>
      <c r="F54" s="9">
        <v>20.555937499999999</v>
      </c>
      <c r="G54" s="10">
        <v>1.7441200000000001E-4</v>
      </c>
      <c r="H54" s="53"/>
    </row>
    <row r="55" spans="1:8" ht="14.1" customHeight="1" x14ac:dyDescent="0.2">
      <c r="A55" s="1"/>
      <c r="B55" s="1"/>
      <c r="C55" s="11"/>
      <c r="D55" s="1"/>
      <c r="E55" s="1"/>
      <c r="F55" s="12"/>
      <c r="G55" s="12"/>
      <c r="H55" s="53"/>
    </row>
    <row r="56" spans="1:8" ht="14.1" customHeight="1" x14ac:dyDescent="0.2">
      <c r="A56" s="1"/>
      <c r="B56" s="1"/>
      <c r="C56" s="2" t="s">
        <v>137</v>
      </c>
      <c r="D56" s="1"/>
      <c r="E56" s="1"/>
      <c r="F56" s="12"/>
      <c r="G56" s="12"/>
      <c r="H56" s="53"/>
    </row>
    <row r="57" spans="1:8" ht="14.1" customHeight="1" x14ac:dyDescent="0.2">
      <c r="A57" s="1"/>
      <c r="B57" s="1"/>
      <c r="C57" s="2" t="s">
        <v>132</v>
      </c>
      <c r="D57" s="1"/>
      <c r="E57" s="1" t="s">
        <v>133</v>
      </c>
      <c r="F57" s="13">
        <v>0</v>
      </c>
      <c r="G57" s="14">
        <v>0</v>
      </c>
      <c r="H57" s="53"/>
    </row>
    <row r="58" spans="1:8" ht="14.1" customHeight="1" x14ac:dyDescent="0.2">
      <c r="A58" s="1"/>
      <c r="B58" s="1"/>
      <c r="C58" s="11"/>
      <c r="D58" s="1"/>
      <c r="E58" s="1"/>
      <c r="F58" s="12"/>
      <c r="G58" s="12"/>
      <c r="H58" s="53"/>
    </row>
    <row r="59" spans="1:8" ht="14.1" customHeight="1" x14ac:dyDescent="0.2">
      <c r="A59" s="1"/>
      <c r="B59" s="1"/>
      <c r="C59" s="2" t="s">
        <v>138</v>
      </c>
      <c r="D59" s="1"/>
      <c r="E59" s="1"/>
      <c r="F59" s="12"/>
      <c r="G59" s="12"/>
      <c r="H59" s="53"/>
    </row>
    <row r="60" spans="1:8" ht="14.1" customHeight="1" x14ac:dyDescent="0.2">
      <c r="A60" s="1"/>
      <c r="B60" s="1"/>
      <c r="C60" s="2" t="s">
        <v>132</v>
      </c>
      <c r="D60" s="1"/>
      <c r="E60" s="1" t="s">
        <v>133</v>
      </c>
      <c r="F60" s="13">
        <v>0</v>
      </c>
      <c r="G60" s="14">
        <v>0</v>
      </c>
      <c r="H60" s="53"/>
    </row>
    <row r="61" spans="1:8" ht="14.1" customHeight="1" x14ac:dyDescent="0.2">
      <c r="A61" s="1"/>
      <c r="B61" s="1"/>
      <c r="C61" s="11"/>
      <c r="D61" s="1"/>
      <c r="E61" s="1"/>
      <c r="F61" s="12"/>
      <c r="G61" s="12"/>
      <c r="H61" s="53"/>
    </row>
    <row r="62" spans="1:8" ht="18" customHeight="1" x14ac:dyDescent="0.2">
      <c r="A62" s="1"/>
      <c r="B62" s="1"/>
      <c r="C62" s="2" t="s">
        <v>139</v>
      </c>
      <c r="D62" s="1"/>
      <c r="E62" s="1"/>
      <c r="F62" s="9">
        <v>106364.596846</v>
      </c>
      <c r="G62" s="10">
        <v>0.90247523900000004</v>
      </c>
      <c r="H62" s="53"/>
    </row>
    <row r="63" spans="1:8" ht="14.1" customHeight="1" x14ac:dyDescent="0.2">
      <c r="A63" s="1"/>
      <c r="B63" s="1"/>
      <c r="C63" s="11"/>
      <c r="D63" s="1"/>
      <c r="E63" s="1"/>
      <c r="F63" s="12"/>
      <c r="G63" s="12"/>
      <c r="H63" s="53"/>
    </row>
    <row r="64" spans="1:8" ht="14.1" customHeight="1" x14ac:dyDescent="0.2">
      <c r="A64" s="1"/>
      <c r="B64" s="1"/>
      <c r="C64" s="2" t="s">
        <v>140</v>
      </c>
      <c r="D64" s="1"/>
      <c r="E64" s="1"/>
      <c r="F64" s="12"/>
      <c r="G64" s="12"/>
      <c r="H64" s="53"/>
    </row>
    <row r="65" spans="1:8" ht="24" customHeight="1" x14ac:dyDescent="0.2">
      <c r="A65" s="1"/>
      <c r="B65" s="1"/>
      <c r="C65" s="2" t="s">
        <v>10</v>
      </c>
      <c r="D65" s="1"/>
      <c r="E65" s="1"/>
      <c r="F65" s="12"/>
      <c r="G65" s="12"/>
      <c r="H65" s="53"/>
    </row>
    <row r="66" spans="1:8" ht="14.1" customHeight="1" x14ac:dyDescent="0.2">
      <c r="A66" s="1"/>
      <c r="B66" s="1"/>
      <c r="C66" s="2" t="s">
        <v>132</v>
      </c>
      <c r="D66" s="1"/>
      <c r="E66" s="1" t="s">
        <v>133</v>
      </c>
      <c r="F66" s="13">
        <v>0</v>
      </c>
      <c r="G66" s="14">
        <v>0</v>
      </c>
      <c r="H66" s="53"/>
    </row>
    <row r="67" spans="1:8" ht="14.1" customHeight="1" x14ac:dyDescent="0.2">
      <c r="A67" s="1"/>
      <c r="B67" s="1"/>
      <c r="C67" s="11"/>
      <c r="D67" s="1"/>
      <c r="E67" s="1"/>
      <c r="F67" s="12"/>
      <c r="G67" s="12"/>
      <c r="H67" s="53"/>
    </row>
    <row r="68" spans="1:8" ht="14.1" customHeight="1" x14ac:dyDescent="0.2">
      <c r="A68" s="1"/>
      <c r="B68" s="1"/>
      <c r="C68" s="2" t="s">
        <v>141</v>
      </c>
      <c r="D68" s="1"/>
      <c r="E68" s="1"/>
      <c r="F68" s="1"/>
      <c r="G68" s="1"/>
      <c r="H68" s="53"/>
    </row>
    <row r="69" spans="1:8" ht="14.1" customHeight="1" x14ac:dyDescent="0.2">
      <c r="A69" s="1"/>
      <c r="B69" s="1"/>
      <c r="C69" s="2" t="s">
        <v>132</v>
      </c>
      <c r="D69" s="1"/>
      <c r="E69" s="1" t="s">
        <v>133</v>
      </c>
      <c r="F69" s="13">
        <v>0</v>
      </c>
      <c r="G69" s="14">
        <v>0</v>
      </c>
      <c r="H69" s="53"/>
    </row>
    <row r="70" spans="1:8" ht="14.1" customHeight="1" x14ac:dyDescent="0.2">
      <c r="A70" s="1"/>
      <c r="B70" s="1"/>
      <c r="C70" s="11"/>
      <c r="D70" s="1"/>
      <c r="E70" s="1"/>
      <c r="F70" s="12"/>
      <c r="G70" s="12"/>
      <c r="H70" s="53"/>
    </row>
    <row r="71" spans="1:8" ht="14.1" customHeight="1" x14ac:dyDescent="0.2">
      <c r="A71" s="1"/>
      <c r="B71" s="1"/>
      <c r="C71" s="2" t="s">
        <v>142</v>
      </c>
      <c r="D71" s="1"/>
      <c r="E71" s="1"/>
      <c r="F71" s="1"/>
      <c r="G71" s="1"/>
      <c r="H71" s="53"/>
    </row>
    <row r="72" spans="1:8" ht="14.1" customHeight="1" x14ac:dyDescent="0.2">
      <c r="A72" s="1"/>
      <c r="B72" s="1"/>
      <c r="C72" s="2" t="s">
        <v>132</v>
      </c>
      <c r="D72" s="1"/>
      <c r="E72" s="1" t="s">
        <v>133</v>
      </c>
      <c r="F72" s="13">
        <v>0</v>
      </c>
      <c r="G72" s="14">
        <v>0</v>
      </c>
      <c r="H72" s="53"/>
    </row>
    <row r="73" spans="1:8" ht="14.1" customHeight="1" x14ac:dyDescent="0.2">
      <c r="A73" s="1"/>
      <c r="B73" s="1"/>
      <c r="C73" s="11"/>
      <c r="D73" s="1"/>
      <c r="E73" s="1"/>
      <c r="F73" s="12"/>
      <c r="G73" s="12"/>
      <c r="H73" s="53"/>
    </row>
    <row r="74" spans="1:8" ht="14.1" customHeight="1" x14ac:dyDescent="0.2">
      <c r="A74" s="1"/>
      <c r="B74" s="1"/>
      <c r="C74" s="2" t="s">
        <v>143</v>
      </c>
      <c r="D74" s="1"/>
      <c r="E74" s="1"/>
      <c r="F74" s="12"/>
      <c r="G74" s="12"/>
      <c r="H74" s="53"/>
    </row>
    <row r="75" spans="1:8" ht="14.1" customHeight="1" x14ac:dyDescent="0.2">
      <c r="A75" s="1"/>
      <c r="B75" s="1"/>
      <c r="C75" s="2" t="s">
        <v>132</v>
      </c>
      <c r="D75" s="1"/>
      <c r="E75" s="1" t="s">
        <v>133</v>
      </c>
      <c r="F75" s="13">
        <v>0</v>
      </c>
      <c r="G75" s="14">
        <v>0</v>
      </c>
      <c r="H75" s="53"/>
    </row>
    <row r="76" spans="1:8" ht="14.1" customHeight="1" x14ac:dyDescent="0.2">
      <c r="A76" s="1"/>
      <c r="B76" s="1"/>
      <c r="C76" s="11"/>
      <c r="D76" s="1"/>
      <c r="E76" s="1"/>
      <c r="F76" s="12"/>
      <c r="G76" s="12"/>
      <c r="H76" s="53"/>
    </row>
    <row r="77" spans="1:8" ht="14.1" customHeight="1" x14ac:dyDescent="0.2">
      <c r="A77" s="1"/>
      <c r="B77" s="1"/>
      <c r="C77" s="2" t="s">
        <v>144</v>
      </c>
      <c r="D77" s="1"/>
      <c r="E77" s="1"/>
      <c r="F77" s="9">
        <v>0</v>
      </c>
      <c r="G77" s="10">
        <v>0</v>
      </c>
      <c r="H77" s="53"/>
    </row>
    <row r="78" spans="1:8" ht="14.1" customHeight="1" x14ac:dyDescent="0.2">
      <c r="A78" s="1"/>
      <c r="B78" s="1"/>
      <c r="C78" s="11"/>
      <c r="D78" s="1"/>
      <c r="E78" s="1"/>
      <c r="F78" s="12"/>
      <c r="G78" s="12"/>
      <c r="H78" s="53"/>
    </row>
    <row r="79" spans="1:8" ht="14.1" customHeight="1" x14ac:dyDescent="0.2">
      <c r="A79" s="1"/>
      <c r="B79" s="1"/>
      <c r="C79" s="2" t="s">
        <v>145</v>
      </c>
      <c r="D79" s="1"/>
      <c r="E79" s="1"/>
      <c r="F79" s="12"/>
      <c r="G79" s="12"/>
      <c r="H79" s="53"/>
    </row>
    <row r="80" spans="1:8" ht="14.1" customHeight="1" x14ac:dyDescent="0.2">
      <c r="A80" s="1"/>
      <c r="B80" s="1"/>
      <c r="C80" s="2" t="s">
        <v>146</v>
      </c>
      <c r="D80" s="1"/>
      <c r="E80" s="1"/>
      <c r="F80" s="12"/>
      <c r="G80" s="12"/>
      <c r="H80" s="53"/>
    </row>
    <row r="81" spans="1:8" ht="14.1" customHeight="1" x14ac:dyDescent="0.2">
      <c r="A81" s="1"/>
      <c r="B81" s="1"/>
      <c r="C81" s="2" t="s">
        <v>132</v>
      </c>
      <c r="D81" s="1"/>
      <c r="E81" s="1" t="s">
        <v>133</v>
      </c>
      <c r="F81" s="13">
        <v>0</v>
      </c>
      <c r="G81" s="14">
        <v>0</v>
      </c>
      <c r="H81" s="53"/>
    </row>
    <row r="82" spans="1:8" ht="14.1" customHeight="1" x14ac:dyDescent="0.2">
      <c r="A82" s="1"/>
      <c r="B82" s="1"/>
      <c r="C82" s="11"/>
      <c r="D82" s="1"/>
      <c r="E82" s="1"/>
      <c r="F82" s="12"/>
      <c r="G82" s="12"/>
      <c r="H82" s="53"/>
    </row>
    <row r="83" spans="1:8" ht="14.1" customHeight="1" x14ac:dyDescent="0.2">
      <c r="A83" s="1"/>
      <c r="B83" s="1"/>
      <c r="C83" s="2" t="s">
        <v>147</v>
      </c>
      <c r="D83" s="1"/>
      <c r="E83" s="1"/>
      <c r="F83" s="12"/>
      <c r="G83" s="12"/>
      <c r="H83" s="53"/>
    </row>
    <row r="84" spans="1:8" ht="14.1" customHeight="1" x14ac:dyDescent="0.2">
      <c r="A84" s="1"/>
      <c r="B84" s="1"/>
      <c r="C84" s="2" t="s">
        <v>132</v>
      </c>
      <c r="D84" s="1"/>
      <c r="E84" s="1" t="s">
        <v>133</v>
      </c>
      <c r="F84" s="13">
        <v>0</v>
      </c>
      <c r="G84" s="14">
        <v>0</v>
      </c>
      <c r="H84" s="53"/>
    </row>
    <row r="85" spans="1:8" ht="14.1" customHeight="1" x14ac:dyDescent="0.2">
      <c r="A85" s="1"/>
      <c r="B85" s="1"/>
      <c r="C85" s="11"/>
      <c r="D85" s="1"/>
      <c r="E85" s="1"/>
      <c r="F85" s="12"/>
      <c r="G85" s="12"/>
      <c r="H85" s="53"/>
    </row>
    <row r="86" spans="1:8" ht="14.1" customHeight="1" x14ac:dyDescent="0.2">
      <c r="A86" s="1"/>
      <c r="B86" s="1"/>
      <c r="C86" s="2" t="s">
        <v>148</v>
      </c>
      <c r="D86" s="1"/>
      <c r="E86" s="1"/>
      <c r="F86" s="12"/>
      <c r="G86" s="12"/>
      <c r="H86" s="53"/>
    </row>
    <row r="87" spans="1:8" ht="14.1" customHeight="1" x14ac:dyDescent="0.2">
      <c r="A87" s="1"/>
      <c r="B87" s="1"/>
      <c r="C87" s="2" t="s">
        <v>132</v>
      </c>
      <c r="D87" s="1"/>
      <c r="E87" s="1" t="s">
        <v>133</v>
      </c>
      <c r="F87" s="13">
        <v>0</v>
      </c>
      <c r="G87" s="14">
        <v>0</v>
      </c>
      <c r="H87" s="53"/>
    </row>
    <row r="88" spans="1:8" ht="14.1" customHeight="1" x14ac:dyDescent="0.2">
      <c r="A88" s="1"/>
      <c r="B88" s="1"/>
      <c r="C88" s="11"/>
      <c r="D88" s="1"/>
      <c r="E88" s="1"/>
      <c r="F88" s="12"/>
      <c r="G88" s="12"/>
      <c r="H88" s="53"/>
    </row>
    <row r="89" spans="1:8" ht="14.1" customHeight="1" x14ac:dyDescent="0.2">
      <c r="A89" s="1"/>
      <c r="B89" s="1"/>
      <c r="C89" s="2" t="s">
        <v>149</v>
      </c>
      <c r="D89" s="1"/>
      <c r="E89" s="1"/>
      <c r="F89" s="12"/>
      <c r="G89" s="12"/>
      <c r="H89" s="53"/>
    </row>
    <row r="90" spans="1:8" ht="17.100000000000001" customHeight="1" x14ac:dyDescent="0.2">
      <c r="A90" s="3">
        <v>1</v>
      </c>
      <c r="B90" s="4"/>
      <c r="C90" s="4" t="s">
        <v>150</v>
      </c>
      <c r="D90" s="4"/>
      <c r="E90" s="8"/>
      <c r="F90" s="6">
        <v>6565.9520247999999</v>
      </c>
      <c r="G90" s="7">
        <v>5.5710351999999998E-2</v>
      </c>
      <c r="H90" s="53">
        <v>6.46</v>
      </c>
    </row>
    <row r="91" spans="1:8" ht="14.1" customHeight="1" x14ac:dyDescent="0.2">
      <c r="A91" s="1"/>
      <c r="B91" s="1"/>
      <c r="C91" s="2" t="s">
        <v>132</v>
      </c>
      <c r="D91" s="1"/>
      <c r="E91" s="1" t="s">
        <v>133</v>
      </c>
      <c r="F91" s="9">
        <v>6565.9520247999999</v>
      </c>
      <c r="G91" s="10">
        <v>5.5710351999999998E-2</v>
      </c>
      <c r="H91" s="53"/>
    </row>
    <row r="92" spans="1:8" ht="14.1" customHeight="1" x14ac:dyDescent="0.2">
      <c r="A92" s="1"/>
      <c r="B92" s="1"/>
      <c r="C92" s="11"/>
      <c r="D92" s="1"/>
      <c r="E92" s="1"/>
      <c r="F92" s="12"/>
      <c r="G92" s="12"/>
      <c r="H92" s="53"/>
    </row>
    <row r="93" spans="1:8" ht="14.1" customHeight="1" x14ac:dyDescent="0.2">
      <c r="A93" s="1"/>
      <c r="B93" s="1"/>
      <c r="C93" s="2" t="s">
        <v>151</v>
      </c>
      <c r="D93" s="1"/>
      <c r="E93" s="1"/>
      <c r="F93" s="9">
        <v>6565.9520247999999</v>
      </c>
      <c r="G93" s="10">
        <v>5.5710351999999998E-2</v>
      </c>
      <c r="H93" s="53"/>
    </row>
    <row r="94" spans="1:8" ht="14.1" customHeight="1" x14ac:dyDescent="0.2">
      <c r="A94" s="1"/>
      <c r="B94" s="1"/>
      <c r="C94" s="12"/>
      <c r="D94" s="1"/>
      <c r="E94" s="1"/>
      <c r="F94" s="1"/>
      <c r="G94" s="1"/>
      <c r="H94" s="53"/>
    </row>
    <row r="95" spans="1:8" ht="14.1" customHeight="1" x14ac:dyDescent="0.2">
      <c r="A95" s="1"/>
      <c r="B95" s="1"/>
      <c r="C95" s="2" t="s">
        <v>152</v>
      </c>
      <c r="D95" s="1"/>
      <c r="E95" s="1"/>
      <c r="F95" s="1"/>
      <c r="G95" s="1"/>
      <c r="H95" s="53"/>
    </row>
    <row r="96" spans="1:8" ht="14.1" customHeight="1" x14ac:dyDescent="0.2">
      <c r="A96" s="1"/>
      <c r="B96" s="1"/>
      <c r="C96" s="2" t="s">
        <v>153</v>
      </c>
      <c r="D96" s="1"/>
      <c r="E96" s="1"/>
      <c r="F96" s="1"/>
      <c r="G96" s="1"/>
      <c r="H96" s="53"/>
    </row>
    <row r="97" spans="1:8" ht="14.1" customHeight="1" x14ac:dyDescent="0.2">
      <c r="A97" s="1"/>
      <c r="B97" s="1"/>
      <c r="C97" s="2" t="s">
        <v>132</v>
      </c>
      <c r="D97" s="1"/>
      <c r="E97" s="1" t="s">
        <v>133</v>
      </c>
      <c r="F97" s="13">
        <v>0</v>
      </c>
      <c r="G97" s="14">
        <v>0</v>
      </c>
      <c r="H97" s="53"/>
    </row>
    <row r="98" spans="1:8" ht="14.1" customHeight="1" x14ac:dyDescent="0.2">
      <c r="A98" s="1"/>
      <c r="B98" s="1"/>
      <c r="C98" s="11"/>
      <c r="D98" s="1"/>
      <c r="E98" s="1"/>
      <c r="F98" s="12"/>
      <c r="G98" s="12"/>
      <c r="H98" s="53"/>
    </row>
    <row r="99" spans="1:8" ht="14.1" customHeight="1" x14ac:dyDescent="0.2">
      <c r="A99" s="1"/>
      <c r="B99" s="1"/>
      <c r="C99" s="2" t="s">
        <v>154</v>
      </c>
      <c r="D99" s="1"/>
      <c r="E99" s="1"/>
      <c r="F99" s="1"/>
      <c r="G99" s="1"/>
      <c r="H99" s="53"/>
    </row>
    <row r="100" spans="1:8" ht="14.1" customHeight="1" x14ac:dyDescent="0.2">
      <c r="A100" s="1"/>
      <c r="B100" s="1"/>
      <c r="C100" s="2" t="s">
        <v>155</v>
      </c>
      <c r="D100" s="1"/>
      <c r="E100" s="1"/>
      <c r="F100" s="1"/>
      <c r="G100" s="1"/>
      <c r="H100" s="53"/>
    </row>
    <row r="101" spans="1:8" ht="14.1" customHeight="1" x14ac:dyDescent="0.2">
      <c r="A101" s="1"/>
      <c r="B101" s="1"/>
      <c r="C101" s="2" t="s">
        <v>132</v>
      </c>
      <c r="D101" s="1"/>
      <c r="E101" s="1" t="s">
        <v>133</v>
      </c>
      <c r="F101" s="13">
        <v>0</v>
      </c>
      <c r="G101" s="14">
        <v>0</v>
      </c>
      <c r="H101" s="53"/>
    </row>
    <row r="102" spans="1:8" ht="14.1" customHeight="1" x14ac:dyDescent="0.2">
      <c r="A102" s="1"/>
      <c r="B102" s="1"/>
      <c r="C102" s="11"/>
      <c r="D102" s="1"/>
      <c r="E102" s="1"/>
      <c r="F102" s="12"/>
      <c r="G102" s="12"/>
      <c r="H102" s="53"/>
    </row>
    <row r="103" spans="1:8" ht="14.1" customHeight="1" x14ac:dyDescent="0.2">
      <c r="A103" s="1"/>
      <c r="B103" s="1"/>
      <c r="C103" s="11"/>
      <c r="D103" s="1"/>
      <c r="E103" s="1"/>
      <c r="F103" s="12"/>
      <c r="G103" s="12"/>
      <c r="H103" s="53"/>
    </row>
    <row r="104" spans="1:8" ht="24" customHeight="1" x14ac:dyDescent="0.2">
      <c r="A104" s="1"/>
      <c r="B104" s="1"/>
      <c r="C104" s="2" t="s">
        <v>156</v>
      </c>
      <c r="D104" s="1"/>
      <c r="E104" s="1"/>
      <c r="F104" s="12"/>
      <c r="G104" s="12"/>
      <c r="H104" s="53"/>
    </row>
    <row r="105" spans="1:8" ht="14.1" customHeight="1" x14ac:dyDescent="0.2">
      <c r="A105" s="1"/>
      <c r="B105" s="1"/>
      <c r="C105" s="2" t="s">
        <v>132</v>
      </c>
      <c r="D105" s="1"/>
      <c r="E105" s="1" t="s">
        <v>133</v>
      </c>
      <c r="F105" s="13">
        <v>0</v>
      </c>
      <c r="G105" s="14">
        <v>0</v>
      </c>
      <c r="H105" s="53"/>
    </row>
    <row r="106" spans="1:8" ht="14.1" customHeight="1" x14ac:dyDescent="0.2">
      <c r="A106" s="1"/>
      <c r="B106" s="1"/>
      <c r="C106" s="11"/>
      <c r="D106" s="1"/>
      <c r="E106" s="1"/>
      <c r="F106" s="12"/>
      <c r="G106" s="12"/>
      <c r="H106" s="53"/>
    </row>
    <row r="107" spans="1:8" ht="14.1" customHeight="1" x14ac:dyDescent="0.2">
      <c r="A107" s="1"/>
      <c r="B107" s="4"/>
      <c r="C107" s="4"/>
      <c r="D107" s="2"/>
      <c r="E107" s="1"/>
      <c r="F107" s="4"/>
      <c r="G107" s="8"/>
      <c r="H107" s="53"/>
    </row>
    <row r="108" spans="1:8" ht="18" customHeight="1" x14ac:dyDescent="0.2">
      <c r="A108" s="8"/>
      <c r="B108" s="4"/>
      <c r="C108" s="4" t="s">
        <v>157</v>
      </c>
      <c r="D108" s="4"/>
      <c r="E108" s="8"/>
      <c r="F108" s="6">
        <v>4928.1940102400004</v>
      </c>
      <c r="G108" s="7">
        <v>4.1814412000000002E-2</v>
      </c>
      <c r="H108" s="53"/>
    </row>
    <row r="109" spans="1:8" ht="14.1" customHeight="1" x14ac:dyDescent="0.2">
      <c r="A109" s="11"/>
      <c r="B109" s="11"/>
      <c r="C109" s="2" t="s">
        <v>158</v>
      </c>
      <c r="D109" s="15"/>
      <c r="E109" s="15"/>
      <c r="F109" s="9">
        <v>117858.74288104</v>
      </c>
      <c r="G109" s="14">
        <v>1.000000003</v>
      </c>
      <c r="H109" s="53"/>
    </row>
    <row r="110" spans="1:8" ht="14.1" customHeight="1" x14ac:dyDescent="0.2">
      <c r="A110" s="16"/>
      <c r="B110" s="16"/>
      <c r="C110" s="16"/>
      <c r="D110" s="17"/>
      <c r="E110" s="17"/>
      <c r="F110" s="17"/>
      <c r="G110" s="17"/>
    </row>
    <row r="111" spans="1:8" ht="14.1" customHeight="1" x14ac:dyDescent="0.2">
      <c r="A111" s="18"/>
      <c r="B111" s="18"/>
      <c r="C111" s="18"/>
      <c r="D111" s="20"/>
      <c r="E111" s="20"/>
      <c r="F111" s="20"/>
      <c r="G111" s="20"/>
    </row>
    <row r="112" spans="1:8" ht="14.1" customHeight="1" x14ac:dyDescent="0.2">
      <c r="A112" s="18"/>
      <c r="B112" s="293" t="s">
        <v>160</v>
      </c>
      <c r="C112" s="294"/>
      <c r="D112" s="12" t="s">
        <v>133</v>
      </c>
      <c r="E112" s="21"/>
      <c r="F112" s="20"/>
      <c r="G112" s="20"/>
    </row>
    <row r="113" spans="1:7" ht="29.1" customHeight="1" x14ac:dyDescent="0.2">
      <c r="A113" s="18"/>
      <c r="B113" s="290" t="s">
        <v>161</v>
      </c>
      <c r="C113" s="291"/>
      <c r="D113" s="2" t="s">
        <v>162</v>
      </c>
      <c r="E113" s="21"/>
      <c r="F113" s="20"/>
      <c r="G113" s="20"/>
    </row>
    <row r="114" spans="1:7" ht="17.100000000000001" customHeight="1" x14ac:dyDescent="0.2">
      <c r="A114" s="18"/>
      <c r="B114" s="290" t="s">
        <v>163</v>
      </c>
      <c r="C114" s="291"/>
      <c r="D114" s="2" t="s">
        <v>162</v>
      </c>
      <c r="E114" s="21"/>
      <c r="F114" s="20"/>
      <c r="G114" s="20"/>
    </row>
    <row r="115" spans="1:7" ht="17.100000000000001" customHeight="1" x14ac:dyDescent="0.2">
      <c r="A115" s="18"/>
      <c r="B115" s="290" t="s">
        <v>164</v>
      </c>
      <c r="C115" s="291"/>
      <c r="D115" s="12" t="s">
        <v>133</v>
      </c>
      <c r="E115" s="21"/>
      <c r="F115" s="20"/>
      <c r="G115" s="20"/>
    </row>
    <row r="116" spans="1:7" ht="24" customHeight="1" x14ac:dyDescent="0.2">
      <c r="A116" s="22"/>
      <c r="B116" s="23" t="s">
        <v>133</v>
      </c>
      <c r="C116" s="23" t="s">
        <v>165</v>
      </c>
      <c r="D116" s="23" t="s">
        <v>166</v>
      </c>
      <c r="E116" s="22"/>
      <c r="F116" s="22"/>
      <c r="G116" s="22"/>
    </row>
    <row r="117" spans="1:7" ht="18" customHeight="1" x14ac:dyDescent="0.2">
      <c r="A117" s="22"/>
      <c r="B117" s="23" t="s">
        <v>167</v>
      </c>
      <c r="C117" s="23" t="s">
        <v>168</v>
      </c>
      <c r="D117" s="23" t="s">
        <v>169</v>
      </c>
      <c r="E117" s="22"/>
      <c r="F117" s="22"/>
      <c r="G117" s="22"/>
    </row>
    <row r="118" spans="1:7" ht="17.100000000000001" customHeight="1" x14ac:dyDescent="0.2">
      <c r="A118" s="22"/>
      <c r="B118" s="4" t="s">
        <v>170</v>
      </c>
      <c r="C118" s="24">
        <v>69.121899999999997</v>
      </c>
      <c r="D118" s="24">
        <v>67.207099999999997</v>
      </c>
      <c r="E118" s="22"/>
      <c r="F118" s="19"/>
      <c r="G118" s="25"/>
    </row>
    <row r="119" spans="1:7" ht="17.100000000000001" customHeight="1" x14ac:dyDescent="0.2">
      <c r="A119" s="22"/>
      <c r="B119" s="4" t="s">
        <v>1042</v>
      </c>
      <c r="C119" s="24">
        <v>24.746200000000002</v>
      </c>
      <c r="D119" s="24">
        <v>24.060700000000001</v>
      </c>
      <c r="E119" s="22"/>
      <c r="F119" s="19"/>
      <c r="G119" s="25"/>
    </row>
    <row r="120" spans="1:7" ht="17.100000000000001" customHeight="1" x14ac:dyDescent="0.2">
      <c r="A120" s="22"/>
      <c r="B120" s="4" t="s">
        <v>171</v>
      </c>
      <c r="C120" s="24">
        <v>64.501000000000005</v>
      </c>
      <c r="D120" s="24">
        <v>62.669800000000002</v>
      </c>
      <c r="E120" s="22"/>
      <c r="F120" s="19"/>
      <c r="G120" s="25"/>
    </row>
    <row r="121" spans="1:7" ht="17.100000000000001" customHeight="1" x14ac:dyDescent="0.2">
      <c r="A121" s="22"/>
      <c r="B121" s="4" t="s">
        <v>1043</v>
      </c>
      <c r="C121" s="24">
        <v>22.7103</v>
      </c>
      <c r="D121" s="24">
        <v>22.0656</v>
      </c>
      <c r="E121" s="22"/>
      <c r="F121" s="19"/>
      <c r="G121" s="25"/>
    </row>
    <row r="122" spans="1:7" ht="14.1" customHeight="1" x14ac:dyDescent="0.2">
      <c r="A122" s="22"/>
      <c r="B122" s="22"/>
      <c r="C122" s="22"/>
      <c r="D122" s="22"/>
      <c r="E122" s="22"/>
      <c r="F122" s="22"/>
      <c r="G122" s="22"/>
    </row>
    <row r="123" spans="1:7" ht="17.100000000000001" customHeight="1" x14ac:dyDescent="0.2">
      <c r="A123" s="22"/>
      <c r="B123" s="290" t="s">
        <v>1044</v>
      </c>
      <c r="C123" s="291"/>
      <c r="D123" s="2" t="s">
        <v>162</v>
      </c>
      <c r="E123" s="22"/>
      <c r="F123" s="22"/>
      <c r="G123" s="22"/>
    </row>
    <row r="124" spans="1:7" ht="18" customHeight="1" x14ac:dyDescent="0.2">
      <c r="A124" s="22"/>
      <c r="B124" s="26"/>
      <c r="C124" s="26"/>
      <c r="D124" s="27"/>
      <c r="E124" s="22"/>
      <c r="F124" s="22"/>
      <c r="G124" s="22"/>
    </row>
    <row r="125" spans="1:7" ht="29.1" customHeight="1" x14ac:dyDescent="0.2">
      <c r="A125" s="22"/>
      <c r="B125" s="290" t="s">
        <v>172</v>
      </c>
      <c r="C125" s="291"/>
      <c r="D125" s="2" t="s">
        <v>162</v>
      </c>
      <c r="E125" s="22"/>
      <c r="F125" s="22"/>
      <c r="G125" s="22"/>
    </row>
    <row r="126" spans="1:7" ht="29.1" customHeight="1" x14ac:dyDescent="0.2">
      <c r="A126" s="22"/>
      <c r="B126" s="290" t="s">
        <v>173</v>
      </c>
      <c r="C126" s="291"/>
      <c r="D126" s="2" t="s">
        <v>162</v>
      </c>
      <c r="E126" s="22"/>
      <c r="F126" s="22"/>
      <c r="G126" s="22"/>
    </row>
    <row r="127" spans="1:7" ht="17.100000000000001" customHeight="1" x14ac:dyDescent="0.2">
      <c r="A127" s="22"/>
      <c r="B127" s="290" t="s">
        <v>174</v>
      </c>
      <c r="C127" s="291"/>
      <c r="D127" s="28">
        <v>0.69792153142440161</v>
      </c>
      <c r="E127" s="22"/>
      <c r="F127" s="19"/>
      <c r="G127" s="25"/>
    </row>
    <row r="128" spans="1:7" ht="17.100000000000001" customHeight="1" x14ac:dyDescent="0.2">
      <c r="A128" s="22"/>
      <c r="B128" s="290" t="s">
        <v>175</v>
      </c>
      <c r="C128" s="291"/>
      <c r="D128" s="2" t="s">
        <v>162</v>
      </c>
      <c r="E128" s="22"/>
      <c r="F128" s="22"/>
      <c r="G128" s="22"/>
    </row>
  </sheetData>
  <mergeCells count="13">
    <mergeCell ref="A1:H1"/>
    <mergeCell ref="A2:H2"/>
    <mergeCell ref="A3:H3"/>
    <mergeCell ref="J2:N2"/>
    <mergeCell ref="B128:C128"/>
    <mergeCell ref="B113:C113"/>
    <mergeCell ref="B114:C114"/>
    <mergeCell ref="B115:C115"/>
    <mergeCell ref="B123:C123"/>
    <mergeCell ref="B125:C125"/>
    <mergeCell ref="B126:C126"/>
    <mergeCell ref="B112:C112"/>
    <mergeCell ref="B127:C127"/>
  </mergeCells>
  <hyperlinks>
    <hyperlink ref="I1" location="Index!B32" display="Index" xr:uid="{1BCEB653-F99C-46F7-89D8-3D77D007424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3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723</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2504934</v>
      </c>
      <c r="F7" s="6">
        <v>22315.204538999998</v>
      </c>
      <c r="G7" s="7">
        <v>9.5203076999999997E-2</v>
      </c>
      <c r="H7" s="53"/>
    </row>
    <row r="8" spans="1:14" ht="17.100000000000001" customHeight="1" x14ac:dyDescent="0.2">
      <c r="A8" s="3">
        <v>2</v>
      </c>
      <c r="B8" s="4" t="s">
        <v>266</v>
      </c>
      <c r="C8" s="4" t="s">
        <v>267</v>
      </c>
      <c r="D8" s="4" t="s">
        <v>19</v>
      </c>
      <c r="E8" s="5">
        <v>1290416</v>
      </c>
      <c r="F8" s="6">
        <v>21009.908103999998</v>
      </c>
      <c r="G8" s="7">
        <v>8.9634306999999996E-2</v>
      </c>
      <c r="H8" s="53"/>
    </row>
    <row r="9" spans="1:14" ht="17.100000000000001" customHeight="1" x14ac:dyDescent="0.2">
      <c r="A9" s="3">
        <v>3</v>
      </c>
      <c r="B9" s="4" t="s">
        <v>14</v>
      </c>
      <c r="C9" s="4" t="s">
        <v>15</v>
      </c>
      <c r="D9" s="4" t="s">
        <v>16</v>
      </c>
      <c r="E9" s="5">
        <v>2087172</v>
      </c>
      <c r="F9" s="6">
        <v>16824.693491999999</v>
      </c>
      <c r="G9" s="7">
        <v>7.1778979000000007E-2</v>
      </c>
      <c r="H9" s="53"/>
    </row>
    <row r="10" spans="1:14" ht="29.1" customHeight="1" x14ac:dyDescent="0.2">
      <c r="A10" s="3">
        <v>4</v>
      </c>
      <c r="B10" s="4" t="s">
        <v>293</v>
      </c>
      <c r="C10" s="4" t="s">
        <v>294</v>
      </c>
      <c r="D10" s="4" t="s">
        <v>119</v>
      </c>
      <c r="E10" s="5">
        <v>575992</v>
      </c>
      <c r="F10" s="6">
        <v>15192.364992000001</v>
      </c>
      <c r="G10" s="7">
        <v>6.4814996E-2</v>
      </c>
      <c r="H10" s="53"/>
    </row>
    <row r="11" spans="1:14" ht="17.100000000000001" customHeight="1" x14ac:dyDescent="0.2">
      <c r="A11" s="3">
        <v>5</v>
      </c>
      <c r="B11" s="4" t="s">
        <v>20</v>
      </c>
      <c r="C11" s="4" t="s">
        <v>21</v>
      </c>
      <c r="D11" s="4" t="s">
        <v>22</v>
      </c>
      <c r="E11" s="5">
        <v>523988</v>
      </c>
      <c r="F11" s="6">
        <v>13347.022336</v>
      </c>
      <c r="G11" s="7">
        <v>5.6942234000000001E-2</v>
      </c>
      <c r="H11" s="53"/>
    </row>
    <row r="12" spans="1:14" ht="17.100000000000001" customHeight="1" x14ac:dyDescent="0.2">
      <c r="A12" s="3">
        <v>6</v>
      </c>
      <c r="B12" s="4" t="s">
        <v>181</v>
      </c>
      <c r="C12" s="4" t="s">
        <v>182</v>
      </c>
      <c r="D12" s="4" t="s">
        <v>19</v>
      </c>
      <c r="E12" s="5">
        <v>995397</v>
      </c>
      <c r="F12" s="6">
        <v>9294.5194874999997</v>
      </c>
      <c r="G12" s="7">
        <v>3.9653092000000001E-2</v>
      </c>
      <c r="H12" s="53"/>
    </row>
    <row r="13" spans="1:14" ht="17.100000000000001" customHeight="1" x14ac:dyDescent="0.2">
      <c r="A13" s="3">
        <v>7</v>
      </c>
      <c r="B13" s="4" t="s">
        <v>235</v>
      </c>
      <c r="C13" s="4" t="s">
        <v>236</v>
      </c>
      <c r="D13" s="4" t="s">
        <v>237</v>
      </c>
      <c r="E13" s="5">
        <v>159237</v>
      </c>
      <c r="F13" s="6">
        <v>7129.9959120000003</v>
      </c>
      <c r="G13" s="7">
        <v>3.0418612000000001E-2</v>
      </c>
      <c r="H13" s="53"/>
      <c r="J13" s="188" t="s">
        <v>1099</v>
      </c>
    </row>
    <row r="14" spans="1:14" ht="17.100000000000001" customHeight="1" x14ac:dyDescent="0.2">
      <c r="A14" s="3">
        <v>8</v>
      </c>
      <c r="B14" s="4" t="s">
        <v>354</v>
      </c>
      <c r="C14" s="4" t="s">
        <v>355</v>
      </c>
      <c r="D14" s="4" t="s">
        <v>116</v>
      </c>
      <c r="E14" s="5">
        <v>254041</v>
      </c>
      <c r="F14" s="6">
        <v>6598.7149749999999</v>
      </c>
      <c r="G14" s="7">
        <v>2.8152014999999999E-2</v>
      </c>
      <c r="H14" s="53"/>
    </row>
    <row r="15" spans="1:14" ht="17.100000000000001" customHeight="1" x14ac:dyDescent="0.2">
      <c r="A15" s="3">
        <v>9</v>
      </c>
      <c r="B15" s="4" t="s">
        <v>295</v>
      </c>
      <c r="C15" s="4" t="s">
        <v>296</v>
      </c>
      <c r="D15" s="4" t="s">
        <v>248</v>
      </c>
      <c r="E15" s="5">
        <v>531396</v>
      </c>
      <c r="F15" s="6">
        <v>6543.0789480000003</v>
      </c>
      <c r="G15" s="7">
        <v>2.7914655999999999E-2</v>
      </c>
      <c r="H15" s="53"/>
    </row>
    <row r="16" spans="1:14" ht="17.100000000000001" customHeight="1" x14ac:dyDescent="0.2">
      <c r="A16" s="3">
        <v>10</v>
      </c>
      <c r="B16" s="4" t="s">
        <v>228</v>
      </c>
      <c r="C16" s="4" t="s">
        <v>229</v>
      </c>
      <c r="D16" s="4" t="s">
        <v>900</v>
      </c>
      <c r="E16" s="5">
        <v>136226</v>
      </c>
      <c r="F16" s="6">
        <v>5946.8098040000004</v>
      </c>
      <c r="G16" s="7">
        <v>2.5370799999999999E-2</v>
      </c>
      <c r="H16" s="53"/>
    </row>
    <row r="17" spans="1:10" ht="17.100000000000001" customHeight="1" x14ac:dyDescent="0.2">
      <c r="A17" s="3">
        <v>11</v>
      </c>
      <c r="B17" s="4" t="s">
        <v>434</v>
      </c>
      <c r="C17" s="4" t="s">
        <v>435</v>
      </c>
      <c r="D17" s="4" t="s">
        <v>96</v>
      </c>
      <c r="E17" s="5">
        <v>400823</v>
      </c>
      <c r="F17" s="6">
        <v>5701.7071749999996</v>
      </c>
      <c r="G17" s="7">
        <v>2.4325122000000001E-2</v>
      </c>
      <c r="H17" s="53"/>
    </row>
    <row r="18" spans="1:10" ht="17.100000000000001" customHeight="1" x14ac:dyDescent="0.2">
      <c r="A18" s="3">
        <v>12</v>
      </c>
      <c r="B18" s="4" t="s">
        <v>232</v>
      </c>
      <c r="C18" s="4" t="s">
        <v>233</v>
      </c>
      <c r="D18" s="4" t="s">
        <v>234</v>
      </c>
      <c r="E18" s="5">
        <v>2283765</v>
      </c>
      <c r="F18" s="6">
        <v>5482.1778825000001</v>
      </c>
      <c r="G18" s="7">
        <v>2.3388546999999999E-2</v>
      </c>
      <c r="H18" s="53"/>
    </row>
    <row r="19" spans="1:10" ht="17.100000000000001" customHeight="1" x14ac:dyDescent="0.2">
      <c r="A19" s="3">
        <v>13</v>
      </c>
      <c r="B19" s="4" t="s">
        <v>420</v>
      </c>
      <c r="C19" s="4" t="s">
        <v>421</v>
      </c>
      <c r="D19" s="4" t="s">
        <v>224</v>
      </c>
      <c r="E19" s="5">
        <v>667345</v>
      </c>
      <c r="F19" s="6">
        <v>5269.3561200000004</v>
      </c>
      <c r="G19" s="7">
        <v>2.2480587999999999E-2</v>
      </c>
      <c r="H19" s="53"/>
    </row>
    <row r="20" spans="1:10" ht="17.100000000000001" customHeight="1" x14ac:dyDescent="0.2">
      <c r="A20" s="3">
        <v>14</v>
      </c>
      <c r="B20" s="4" t="s">
        <v>279</v>
      </c>
      <c r="C20" s="4" t="s">
        <v>280</v>
      </c>
      <c r="D20" s="4" t="s">
        <v>209</v>
      </c>
      <c r="E20" s="5">
        <v>1151772</v>
      </c>
      <c r="F20" s="6">
        <v>4767.7601940000004</v>
      </c>
      <c r="G20" s="7">
        <v>2.0340635999999999E-2</v>
      </c>
      <c r="H20" s="53"/>
    </row>
    <row r="21" spans="1:10" ht="17.100000000000001" customHeight="1" x14ac:dyDescent="0.2">
      <c r="A21" s="3">
        <v>15</v>
      </c>
      <c r="B21" s="4" t="s">
        <v>38</v>
      </c>
      <c r="C21" s="4" t="s">
        <v>39</v>
      </c>
      <c r="D21" s="4" t="s">
        <v>40</v>
      </c>
      <c r="E21" s="5">
        <v>615445</v>
      </c>
      <c r="F21" s="6">
        <v>4546.9076599999999</v>
      </c>
      <c r="G21" s="7">
        <v>1.9398414999999999E-2</v>
      </c>
      <c r="H21" s="53"/>
    </row>
    <row r="22" spans="1:10" ht="17.100000000000001" customHeight="1" x14ac:dyDescent="0.2">
      <c r="A22" s="3">
        <v>16</v>
      </c>
      <c r="B22" s="4" t="s">
        <v>210</v>
      </c>
      <c r="C22" s="4" t="s">
        <v>211</v>
      </c>
      <c r="D22" s="4" t="s">
        <v>212</v>
      </c>
      <c r="E22" s="5">
        <v>8958</v>
      </c>
      <c r="F22" s="6">
        <v>3837.3115859999998</v>
      </c>
      <c r="G22" s="7">
        <v>1.6371073999999999E-2</v>
      </c>
      <c r="H22" s="53"/>
    </row>
    <row r="23" spans="1:10" ht="17.100000000000001" customHeight="1" x14ac:dyDescent="0.2">
      <c r="A23" s="3">
        <v>17</v>
      </c>
      <c r="B23" s="4" t="s">
        <v>301</v>
      </c>
      <c r="C23" s="4" t="s">
        <v>302</v>
      </c>
      <c r="D23" s="4" t="s">
        <v>234</v>
      </c>
      <c r="E23" s="5">
        <v>717396</v>
      </c>
      <c r="F23" s="6">
        <v>3584.110416</v>
      </c>
      <c r="G23" s="7">
        <v>1.5290845000000001E-2</v>
      </c>
      <c r="H23" s="53"/>
    </row>
    <row r="24" spans="1:10" ht="17.100000000000001" customHeight="1" x14ac:dyDescent="0.2">
      <c r="A24" s="3">
        <v>18</v>
      </c>
      <c r="B24" s="4" t="s">
        <v>405</v>
      </c>
      <c r="C24" s="4" t="s">
        <v>406</v>
      </c>
      <c r="D24" s="4" t="s">
        <v>320</v>
      </c>
      <c r="E24" s="5">
        <v>224451</v>
      </c>
      <c r="F24" s="6">
        <v>3488.4174419999999</v>
      </c>
      <c r="G24" s="7">
        <v>1.4882592E-2</v>
      </c>
      <c r="H24" s="53"/>
    </row>
    <row r="25" spans="1:10" ht="17.100000000000001" customHeight="1" x14ac:dyDescent="0.2">
      <c r="A25" s="3">
        <v>19</v>
      </c>
      <c r="B25" s="4" t="s">
        <v>238</v>
      </c>
      <c r="C25" s="4" t="s">
        <v>239</v>
      </c>
      <c r="D25" s="4" t="s">
        <v>237</v>
      </c>
      <c r="E25" s="5">
        <v>1201373</v>
      </c>
      <c r="F25" s="6">
        <v>3437.1281530000001</v>
      </c>
      <c r="G25" s="7">
        <v>1.4663776999999999E-2</v>
      </c>
      <c r="H25" s="53"/>
      <c r="J25" s="188" t="s">
        <v>1100</v>
      </c>
    </row>
    <row r="26" spans="1:10" ht="17.100000000000001" customHeight="1" x14ac:dyDescent="0.2">
      <c r="A26" s="3">
        <v>20</v>
      </c>
      <c r="B26" s="4" t="s">
        <v>205</v>
      </c>
      <c r="C26" s="4" t="s">
        <v>206</v>
      </c>
      <c r="D26" s="4" t="s">
        <v>900</v>
      </c>
      <c r="E26" s="5">
        <v>86867</v>
      </c>
      <c r="F26" s="6">
        <v>3362.5347029999998</v>
      </c>
      <c r="G26" s="7">
        <v>1.434554E-2</v>
      </c>
      <c r="H26" s="53"/>
    </row>
    <row r="27" spans="1:10" ht="17.100000000000001" customHeight="1" x14ac:dyDescent="0.2">
      <c r="A27" s="3">
        <v>21</v>
      </c>
      <c r="B27" s="4" t="s">
        <v>253</v>
      </c>
      <c r="C27" s="4" t="s">
        <v>254</v>
      </c>
      <c r="D27" s="4" t="s">
        <v>119</v>
      </c>
      <c r="E27" s="5">
        <v>588000</v>
      </c>
      <c r="F27" s="6">
        <v>3237.2339999999999</v>
      </c>
      <c r="G27" s="7">
        <v>1.3810971E-2</v>
      </c>
      <c r="H27" s="53"/>
    </row>
    <row r="28" spans="1:10" ht="17.100000000000001" customHeight="1" x14ac:dyDescent="0.2">
      <c r="A28" s="3">
        <v>22</v>
      </c>
      <c r="B28" s="4" t="s">
        <v>389</v>
      </c>
      <c r="C28" s="4" t="s">
        <v>390</v>
      </c>
      <c r="D28" s="4" t="s">
        <v>119</v>
      </c>
      <c r="E28" s="5">
        <v>434221</v>
      </c>
      <c r="F28" s="6">
        <v>3176.9779465000001</v>
      </c>
      <c r="G28" s="7">
        <v>1.3553901E-2</v>
      </c>
      <c r="H28" s="53"/>
    </row>
    <row r="29" spans="1:10" ht="17.100000000000001" customHeight="1" x14ac:dyDescent="0.2">
      <c r="A29" s="3">
        <v>23</v>
      </c>
      <c r="B29" s="4" t="s">
        <v>383</v>
      </c>
      <c r="C29" s="4" t="s">
        <v>384</v>
      </c>
      <c r="D29" s="4" t="s">
        <v>901</v>
      </c>
      <c r="E29" s="5">
        <v>281609</v>
      </c>
      <c r="F29" s="6">
        <v>3049.1214475000002</v>
      </c>
      <c r="G29" s="7">
        <v>1.3008429E-2</v>
      </c>
      <c r="H29" s="53"/>
    </row>
    <row r="30" spans="1:10" ht="17.100000000000001" customHeight="1" x14ac:dyDescent="0.2">
      <c r="A30" s="3">
        <v>24</v>
      </c>
      <c r="B30" s="4" t="s">
        <v>312</v>
      </c>
      <c r="C30" s="4" t="s">
        <v>313</v>
      </c>
      <c r="D30" s="4" t="s">
        <v>224</v>
      </c>
      <c r="E30" s="5">
        <v>226690</v>
      </c>
      <c r="F30" s="6">
        <v>3031.5253699999998</v>
      </c>
      <c r="G30" s="7">
        <v>1.2933359E-2</v>
      </c>
      <c r="H30" s="53"/>
    </row>
    <row r="31" spans="1:10" ht="17.100000000000001" customHeight="1" x14ac:dyDescent="0.2">
      <c r="A31" s="3">
        <v>25</v>
      </c>
      <c r="B31" s="4" t="s">
        <v>374</v>
      </c>
      <c r="C31" s="4" t="s">
        <v>375</v>
      </c>
      <c r="D31" s="4" t="s">
        <v>119</v>
      </c>
      <c r="E31" s="5">
        <v>2258920</v>
      </c>
      <c r="F31" s="6">
        <v>2831.5562199999999</v>
      </c>
      <c r="G31" s="7">
        <v>1.2080232999999999E-2</v>
      </c>
      <c r="H31" s="53"/>
    </row>
    <row r="32" spans="1:10" ht="29.1" customHeight="1" x14ac:dyDescent="0.2">
      <c r="A32" s="3">
        <v>26</v>
      </c>
      <c r="B32" s="4" t="s">
        <v>590</v>
      </c>
      <c r="C32" s="4" t="s">
        <v>591</v>
      </c>
      <c r="D32" s="4" t="s">
        <v>248</v>
      </c>
      <c r="E32" s="5">
        <v>191985</v>
      </c>
      <c r="F32" s="6">
        <v>2374.47048</v>
      </c>
      <c r="G32" s="7">
        <v>1.0130174E-2</v>
      </c>
      <c r="H32" s="53"/>
    </row>
    <row r="33" spans="1:8" ht="29.1" customHeight="1" x14ac:dyDescent="0.2">
      <c r="A33" s="3">
        <v>27</v>
      </c>
      <c r="B33" s="4" t="s">
        <v>397</v>
      </c>
      <c r="C33" s="4" t="s">
        <v>398</v>
      </c>
      <c r="D33" s="4" t="s">
        <v>60</v>
      </c>
      <c r="E33" s="5">
        <v>651257</v>
      </c>
      <c r="F33" s="6">
        <v>2373.1805079999999</v>
      </c>
      <c r="G33" s="7">
        <v>1.0124670000000001E-2</v>
      </c>
      <c r="H33" s="53"/>
    </row>
    <row r="34" spans="1:8" ht="17.100000000000001" customHeight="1" x14ac:dyDescent="0.2">
      <c r="A34" s="3">
        <v>28</v>
      </c>
      <c r="B34" s="4" t="s">
        <v>318</v>
      </c>
      <c r="C34" s="4" t="s">
        <v>319</v>
      </c>
      <c r="D34" s="4" t="s">
        <v>320</v>
      </c>
      <c r="E34" s="5">
        <v>174112</v>
      </c>
      <c r="F34" s="6">
        <v>2283.2177120000001</v>
      </c>
      <c r="G34" s="7">
        <v>9.7408630000000006E-3</v>
      </c>
      <c r="H34" s="53"/>
    </row>
    <row r="35" spans="1:8" ht="17.100000000000001" customHeight="1" x14ac:dyDescent="0.2">
      <c r="A35" s="3">
        <v>29</v>
      </c>
      <c r="B35" s="4" t="s">
        <v>503</v>
      </c>
      <c r="C35" s="4" t="s">
        <v>504</v>
      </c>
      <c r="D35" s="4" t="s">
        <v>320</v>
      </c>
      <c r="E35" s="5">
        <v>264699</v>
      </c>
      <c r="F35" s="6">
        <v>2278.7936909999999</v>
      </c>
      <c r="G35" s="7">
        <v>9.7219890000000003E-3</v>
      </c>
      <c r="H35" s="53"/>
    </row>
    <row r="36" spans="1:8" ht="29.1" customHeight="1" x14ac:dyDescent="0.2">
      <c r="A36" s="3">
        <v>30</v>
      </c>
      <c r="B36" s="4" t="s">
        <v>371</v>
      </c>
      <c r="C36" s="4" t="s">
        <v>372</v>
      </c>
      <c r="D36" s="4" t="s">
        <v>373</v>
      </c>
      <c r="E36" s="5">
        <v>572545</v>
      </c>
      <c r="F36" s="6">
        <v>2248.95676</v>
      </c>
      <c r="G36" s="7">
        <v>9.5946959999999998E-3</v>
      </c>
      <c r="H36" s="53"/>
    </row>
    <row r="37" spans="1:8" ht="29.1" customHeight="1" x14ac:dyDescent="0.2">
      <c r="A37" s="3">
        <v>31</v>
      </c>
      <c r="B37" s="4" t="s">
        <v>117</v>
      </c>
      <c r="C37" s="4" t="s">
        <v>118</v>
      </c>
      <c r="D37" s="4" t="s">
        <v>119</v>
      </c>
      <c r="E37" s="5">
        <v>304341</v>
      </c>
      <c r="F37" s="6">
        <v>2200.0810889999998</v>
      </c>
      <c r="G37" s="7">
        <v>9.3861780000000002E-3</v>
      </c>
      <c r="H37" s="53"/>
    </row>
    <row r="38" spans="1:8" ht="17.100000000000001" customHeight="1" x14ac:dyDescent="0.2">
      <c r="A38" s="3">
        <v>32</v>
      </c>
      <c r="B38" s="4" t="s">
        <v>665</v>
      </c>
      <c r="C38" s="4" t="s">
        <v>666</v>
      </c>
      <c r="D38" s="4" t="s">
        <v>190</v>
      </c>
      <c r="E38" s="5">
        <v>53896</v>
      </c>
      <c r="F38" s="6">
        <v>2119.2176679999998</v>
      </c>
      <c r="G38" s="7">
        <v>9.041192E-3</v>
      </c>
      <c r="H38" s="53"/>
    </row>
    <row r="39" spans="1:8" ht="17.100000000000001" customHeight="1" x14ac:dyDescent="0.2">
      <c r="A39" s="3">
        <v>33</v>
      </c>
      <c r="B39" s="4" t="s">
        <v>724</v>
      </c>
      <c r="C39" s="4" t="s">
        <v>725</v>
      </c>
      <c r="D39" s="4" t="s">
        <v>234</v>
      </c>
      <c r="E39" s="5">
        <v>114424</v>
      </c>
      <c r="F39" s="6">
        <v>1968.2644359999999</v>
      </c>
      <c r="G39" s="7">
        <v>8.3971819999999996E-3</v>
      </c>
      <c r="H39" s="53"/>
    </row>
    <row r="40" spans="1:8" ht="17.100000000000001" customHeight="1" x14ac:dyDescent="0.2">
      <c r="A40" s="3">
        <v>34</v>
      </c>
      <c r="B40" s="4" t="s">
        <v>592</v>
      </c>
      <c r="C40" s="4" t="s">
        <v>593</v>
      </c>
      <c r="D40" s="4" t="s">
        <v>248</v>
      </c>
      <c r="E40" s="5">
        <v>345111</v>
      </c>
      <c r="F40" s="6">
        <v>1954.1910375</v>
      </c>
      <c r="G40" s="7">
        <v>8.3371409999999993E-3</v>
      </c>
      <c r="H40" s="53"/>
    </row>
    <row r="41" spans="1:8" ht="17.100000000000001" customHeight="1" x14ac:dyDescent="0.2">
      <c r="A41" s="3">
        <v>35</v>
      </c>
      <c r="B41" s="4" t="s">
        <v>193</v>
      </c>
      <c r="C41" s="4" t="s">
        <v>194</v>
      </c>
      <c r="D41" s="4" t="s">
        <v>19</v>
      </c>
      <c r="E41" s="5">
        <v>289455</v>
      </c>
      <c r="F41" s="6">
        <v>1894.3382475000001</v>
      </c>
      <c r="G41" s="7">
        <v>8.0817920000000008E-3</v>
      </c>
      <c r="H41" s="53"/>
    </row>
    <row r="42" spans="1:8" ht="17.100000000000001" customHeight="1" x14ac:dyDescent="0.2">
      <c r="A42" s="3">
        <v>36</v>
      </c>
      <c r="B42" s="4" t="s">
        <v>446</v>
      </c>
      <c r="C42" s="4" t="s">
        <v>447</v>
      </c>
      <c r="D42" s="4" t="s">
        <v>40</v>
      </c>
      <c r="E42" s="5">
        <v>302329</v>
      </c>
      <c r="F42" s="6">
        <v>1871.41651</v>
      </c>
      <c r="G42" s="7">
        <v>7.9840009999999993E-3</v>
      </c>
      <c r="H42" s="53"/>
    </row>
    <row r="43" spans="1:8" ht="17.100000000000001" customHeight="1" x14ac:dyDescent="0.2">
      <c r="A43" s="3">
        <v>37</v>
      </c>
      <c r="B43" s="4" t="s">
        <v>452</v>
      </c>
      <c r="C43" s="4" t="s">
        <v>453</v>
      </c>
      <c r="D43" s="4" t="s">
        <v>19</v>
      </c>
      <c r="E43" s="5">
        <v>732421</v>
      </c>
      <c r="F43" s="6">
        <v>1741.697138</v>
      </c>
      <c r="G43" s="7">
        <v>7.4305810000000003E-3</v>
      </c>
      <c r="H43" s="53"/>
    </row>
    <row r="44" spans="1:8" ht="17.100000000000001" customHeight="1" x14ac:dyDescent="0.2">
      <c r="A44" s="3">
        <v>38</v>
      </c>
      <c r="B44" s="4" t="s">
        <v>726</v>
      </c>
      <c r="C44" s="4" t="s">
        <v>727</v>
      </c>
      <c r="D44" s="4" t="s">
        <v>237</v>
      </c>
      <c r="E44" s="5">
        <v>339666</v>
      </c>
      <c r="F44" s="6">
        <v>1592.354208</v>
      </c>
      <c r="G44" s="7">
        <v>6.7934409999999999E-3</v>
      </c>
      <c r="H44" s="53"/>
    </row>
    <row r="45" spans="1:8" ht="17.100000000000001" customHeight="1" x14ac:dyDescent="0.2">
      <c r="A45" s="3">
        <v>39</v>
      </c>
      <c r="B45" s="4" t="s">
        <v>728</v>
      </c>
      <c r="C45" s="4" t="s">
        <v>729</v>
      </c>
      <c r="D45" s="4" t="s">
        <v>237</v>
      </c>
      <c r="E45" s="5">
        <v>118335</v>
      </c>
      <c r="F45" s="6">
        <v>1570.897125</v>
      </c>
      <c r="G45" s="7">
        <v>6.7018989999999999E-3</v>
      </c>
      <c r="H45" s="53"/>
    </row>
    <row r="46" spans="1:8" ht="17.100000000000001" customHeight="1" x14ac:dyDescent="0.2">
      <c r="A46" s="3">
        <v>40</v>
      </c>
      <c r="B46" s="4" t="s">
        <v>520</v>
      </c>
      <c r="C46" s="4" t="s">
        <v>521</v>
      </c>
      <c r="D46" s="4" t="s">
        <v>900</v>
      </c>
      <c r="E46" s="5">
        <v>146534</v>
      </c>
      <c r="F46" s="6">
        <v>1524.7595369999999</v>
      </c>
      <c r="G46" s="7">
        <v>6.5050619999999998E-3</v>
      </c>
      <c r="H46" s="53"/>
    </row>
    <row r="47" spans="1:8" ht="17.100000000000001" customHeight="1" x14ac:dyDescent="0.2">
      <c r="A47" s="3">
        <v>41</v>
      </c>
      <c r="B47" s="4" t="s">
        <v>329</v>
      </c>
      <c r="C47" s="4" t="s">
        <v>330</v>
      </c>
      <c r="D47" s="4" t="s">
        <v>19</v>
      </c>
      <c r="E47" s="5">
        <v>81043</v>
      </c>
      <c r="F47" s="6">
        <v>1480.8582174999999</v>
      </c>
      <c r="G47" s="7">
        <v>6.3177670000000002E-3</v>
      </c>
      <c r="H47" s="53"/>
    </row>
    <row r="48" spans="1:8" ht="29.1" customHeight="1" x14ac:dyDescent="0.2">
      <c r="A48" s="3">
        <v>42</v>
      </c>
      <c r="B48" s="4" t="s">
        <v>456</v>
      </c>
      <c r="C48" s="4" t="s">
        <v>457</v>
      </c>
      <c r="D48" s="4" t="s">
        <v>373</v>
      </c>
      <c r="E48" s="5">
        <v>200000</v>
      </c>
      <c r="F48" s="6">
        <v>823.7</v>
      </c>
      <c r="G48" s="7">
        <v>3.5141410000000001E-3</v>
      </c>
      <c r="H48" s="53"/>
    </row>
    <row r="49" spans="1:8" ht="17.100000000000001" customHeight="1" x14ac:dyDescent="0.2">
      <c r="A49" s="3">
        <v>43</v>
      </c>
      <c r="B49" s="4" t="s">
        <v>342</v>
      </c>
      <c r="C49" s="4" t="s">
        <v>343</v>
      </c>
      <c r="D49" s="4" t="s">
        <v>119</v>
      </c>
      <c r="E49" s="5">
        <v>10721</v>
      </c>
      <c r="F49" s="6">
        <v>704.92719199999999</v>
      </c>
      <c r="G49" s="7">
        <v>3.007422E-3</v>
      </c>
      <c r="H49" s="53"/>
    </row>
    <row r="50" spans="1:8" ht="17.100000000000001" customHeight="1" x14ac:dyDescent="0.2">
      <c r="A50" s="3">
        <v>44</v>
      </c>
      <c r="B50" s="4" t="s">
        <v>261</v>
      </c>
      <c r="C50" s="4" t="s">
        <v>262</v>
      </c>
      <c r="D50" s="4" t="s">
        <v>119</v>
      </c>
      <c r="E50" s="5">
        <v>33973</v>
      </c>
      <c r="F50" s="6">
        <v>525.85108049999997</v>
      </c>
      <c r="G50" s="7">
        <v>2.2434320000000001E-3</v>
      </c>
      <c r="H50" s="53"/>
    </row>
    <row r="51" spans="1:8" ht="17.100000000000001" customHeight="1" x14ac:dyDescent="0.2">
      <c r="A51" s="3">
        <v>45</v>
      </c>
      <c r="B51" s="4" t="s">
        <v>333</v>
      </c>
      <c r="C51" s="48" t="s">
        <v>958</v>
      </c>
      <c r="D51" s="4" t="s">
        <v>16</v>
      </c>
      <c r="E51" s="5">
        <v>92315</v>
      </c>
      <c r="F51" s="6">
        <v>400.27784000000003</v>
      </c>
      <c r="G51" s="7">
        <v>1.7076999999999999E-3</v>
      </c>
      <c r="H51" s="53"/>
    </row>
    <row r="52" spans="1:8" ht="14.1" customHeight="1" x14ac:dyDescent="0.2">
      <c r="A52" s="1"/>
      <c r="B52" s="1"/>
      <c r="C52" s="2" t="s">
        <v>132</v>
      </c>
      <c r="D52" s="1"/>
      <c r="E52" s="1" t="s">
        <v>133</v>
      </c>
      <c r="F52" s="9">
        <v>216937.58938200001</v>
      </c>
      <c r="G52" s="10">
        <v>0.92551811999999989</v>
      </c>
      <c r="H52" s="53"/>
    </row>
    <row r="53" spans="1:8" ht="14.1" customHeight="1" x14ac:dyDescent="0.2">
      <c r="A53" s="1"/>
      <c r="B53" s="1"/>
      <c r="C53" s="11"/>
      <c r="D53" s="1"/>
      <c r="E53" s="1"/>
      <c r="F53" s="12"/>
      <c r="G53" s="12"/>
      <c r="H53" s="53"/>
    </row>
    <row r="54" spans="1:8" ht="14.1" customHeight="1" x14ac:dyDescent="0.2">
      <c r="A54" s="1"/>
      <c r="B54" s="1"/>
      <c r="C54" s="2" t="s">
        <v>134</v>
      </c>
      <c r="D54" s="1"/>
      <c r="E54" s="1"/>
      <c r="F54" s="1"/>
      <c r="G54" s="1"/>
      <c r="H54" s="53"/>
    </row>
    <row r="55" spans="1:8" ht="17.100000000000001" customHeight="1" x14ac:dyDescent="0.2">
      <c r="A55" s="3">
        <v>1</v>
      </c>
      <c r="B55" s="4" t="s">
        <v>730</v>
      </c>
      <c r="C55" s="4" t="s">
        <v>731</v>
      </c>
      <c r="D55" s="4" t="s">
        <v>224</v>
      </c>
      <c r="E55" s="5">
        <v>37829</v>
      </c>
      <c r="F55" s="6">
        <v>859.65690936500005</v>
      </c>
      <c r="G55" s="7">
        <v>3.6675430000000001E-3</v>
      </c>
      <c r="H55" s="53"/>
    </row>
    <row r="56" spans="1:8" ht="14.1" customHeight="1" x14ac:dyDescent="0.2">
      <c r="A56" s="1"/>
      <c r="B56" s="1"/>
      <c r="C56" s="2" t="s">
        <v>132</v>
      </c>
      <c r="D56" s="1"/>
      <c r="E56" s="1" t="s">
        <v>133</v>
      </c>
      <c r="F56" s="9">
        <v>859.65690936500005</v>
      </c>
      <c r="G56" s="10">
        <v>3.6675430000000001E-3</v>
      </c>
      <c r="H56" s="53"/>
    </row>
    <row r="57" spans="1:8" ht="14.1" customHeight="1" x14ac:dyDescent="0.2">
      <c r="A57" s="1"/>
      <c r="B57" s="1"/>
      <c r="C57" s="11"/>
      <c r="D57" s="1"/>
      <c r="E57" s="1"/>
      <c r="F57" s="12"/>
      <c r="G57" s="12"/>
      <c r="H57" s="53"/>
    </row>
    <row r="58" spans="1:8" ht="14.1" customHeight="1" x14ac:dyDescent="0.2">
      <c r="A58" s="1"/>
      <c r="B58" s="1"/>
      <c r="C58" s="2" t="s">
        <v>135</v>
      </c>
      <c r="D58" s="1"/>
      <c r="E58" s="1"/>
      <c r="F58" s="1"/>
      <c r="G58" s="1"/>
      <c r="H58" s="53"/>
    </row>
    <row r="59" spans="1:8" ht="14.1" customHeight="1" x14ac:dyDescent="0.2">
      <c r="A59" s="1"/>
      <c r="B59" s="1"/>
      <c r="C59" s="2" t="s">
        <v>132</v>
      </c>
      <c r="D59" s="1"/>
      <c r="E59" s="1" t="s">
        <v>133</v>
      </c>
      <c r="F59" s="13">
        <v>0</v>
      </c>
      <c r="G59" s="14">
        <v>0</v>
      </c>
      <c r="H59" s="53"/>
    </row>
    <row r="60" spans="1:8" ht="14.1" customHeight="1" x14ac:dyDescent="0.2">
      <c r="A60" s="1"/>
      <c r="B60" s="1"/>
      <c r="C60" s="11"/>
      <c r="D60" s="1"/>
      <c r="E60" s="1"/>
      <c r="F60" s="12"/>
      <c r="G60" s="12"/>
      <c r="H60" s="53"/>
    </row>
    <row r="61" spans="1:8" ht="14.1" customHeight="1" x14ac:dyDescent="0.2">
      <c r="A61" s="1"/>
      <c r="B61" s="1"/>
      <c r="C61" s="2" t="s">
        <v>136</v>
      </c>
      <c r="D61" s="1"/>
      <c r="E61" s="1"/>
      <c r="F61" s="1"/>
      <c r="G61" s="1"/>
      <c r="H61" s="53"/>
    </row>
    <row r="62" spans="1:8" ht="14.1" customHeight="1" x14ac:dyDescent="0.2">
      <c r="A62" s="1"/>
      <c r="B62" s="1"/>
      <c r="C62" s="2" t="s">
        <v>132</v>
      </c>
      <c r="D62" s="1"/>
      <c r="E62" s="1" t="s">
        <v>133</v>
      </c>
      <c r="F62" s="9">
        <v>0</v>
      </c>
      <c r="G62" s="10">
        <v>0</v>
      </c>
      <c r="H62" s="53"/>
    </row>
    <row r="63" spans="1:8" ht="14.1" customHeight="1" x14ac:dyDescent="0.2">
      <c r="A63" s="1"/>
      <c r="B63" s="1"/>
      <c r="C63" s="11"/>
      <c r="D63" s="1"/>
      <c r="E63" s="1"/>
      <c r="F63" s="12"/>
      <c r="G63" s="12"/>
      <c r="H63" s="53"/>
    </row>
    <row r="64" spans="1:8" ht="14.1" customHeight="1" x14ac:dyDescent="0.2">
      <c r="A64" s="1"/>
      <c r="B64" s="1"/>
      <c r="C64" s="2" t="s">
        <v>137</v>
      </c>
      <c r="D64" s="1"/>
      <c r="E64" s="1"/>
      <c r="F64" s="12"/>
      <c r="G64" s="12"/>
      <c r="H64" s="53"/>
    </row>
    <row r="65" spans="1:8" ht="14.1" customHeight="1" x14ac:dyDescent="0.2">
      <c r="A65" s="1"/>
      <c r="B65" s="1"/>
      <c r="C65" s="2" t="s">
        <v>132</v>
      </c>
      <c r="D65" s="1"/>
      <c r="E65" s="1" t="s">
        <v>133</v>
      </c>
      <c r="F65" s="13">
        <v>0</v>
      </c>
      <c r="G65" s="14">
        <v>0</v>
      </c>
      <c r="H65" s="53"/>
    </row>
    <row r="66" spans="1:8" ht="14.1" customHeight="1" x14ac:dyDescent="0.2">
      <c r="A66" s="1"/>
      <c r="B66" s="1"/>
      <c r="C66" s="11"/>
      <c r="D66" s="1"/>
      <c r="E66" s="1"/>
      <c r="F66" s="12"/>
      <c r="G66" s="12"/>
      <c r="H66" s="53"/>
    </row>
    <row r="67" spans="1:8" ht="14.1" customHeight="1" x14ac:dyDescent="0.2">
      <c r="A67" s="1"/>
      <c r="B67" s="1"/>
      <c r="C67" s="2" t="s">
        <v>138</v>
      </c>
      <c r="D67" s="1"/>
      <c r="E67" s="1"/>
      <c r="F67" s="12"/>
      <c r="G67" s="12"/>
      <c r="H67" s="53"/>
    </row>
    <row r="68" spans="1:8" ht="14.1" customHeight="1" x14ac:dyDescent="0.2">
      <c r="A68" s="1"/>
      <c r="B68" s="1"/>
      <c r="C68" s="2" t="s">
        <v>132</v>
      </c>
      <c r="D68" s="1"/>
      <c r="E68" s="1" t="s">
        <v>133</v>
      </c>
      <c r="F68" s="13">
        <v>0</v>
      </c>
      <c r="G68" s="14">
        <v>0</v>
      </c>
      <c r="H68" s="53"/>
    </row>
    <row r="69" spans="1:8" ht="14.1" customHeight="1" x14ac:dyDescent="0.2">
      <c r="A69" s="1"/>
      <c r="B69" s="1"/>
      <c r="C69" s="11"/>
      <c r="D69" s="1"/>
      <c r="E69" s="1"/>
      <c r="F69" s="12"/>
      <c r="G69" s="12"/>
      <c r="H69" s="53"/>
    </row>
    <row r="70" spans="1:8" ht="18" customHeight="1" x14ac:dyDescent="0.2">
      <c r="A70" s="1"/>
      <c r="B70" s="1"/>
      <c r="C70" s="2" t="s">
        <v>139</v>
      </c>
      <c r="D70" s="1"/>
      <c r="E70" s="1"/>
      <c r="F70" s="9">
        <v>217797.24629136501</v>
      </c>
      <c r="G70" s="10">
        <v>0.92918566300000005</v>
      </c>
      <c r="H70" s="53"/>
    </row>
    <row r="71" spans="1:8" ht="14.1" customHeight="1" x14ac:dyDescent="0.2">
      <c r="A71" s="1"/>
      <c r="B71" s="1"/>
      <c r="C71" s="11"/>
      <c r="D71" s="1"/>
      <c r="E71" s="1"/>
      <c r="F71" s="12"/>
      <c r="G71" s="12"/>
      <c r="H71" s="53"/>
    </row>
    <row r="72" spans="1:8" ht="14.1" customHeight="1" x14ac:dyDescent="0.2">
      <c r="A72" s="1"/>
      <c r="B72" s="1"/>
      <c r="C72" s="2" t="s">
        <v>140</v>
      </c>
      <c r="D72" s="1"/>
      <c r="E72" s="1"/>
      <c r="F72" s="12"/>
      <c r="G72" s="12"/>
      <c r="H72" s="53"/>
    </row>
    <row r="73" spans="1:8" ht="24" customHeight="1" x14ac:dyDescent="0.2">
      <c r="A73" s="1"/>
      <c r="B73" s="1"/>
      <c r="C73" s="2" t="s">
        <v>10</v>
      </c>
      <c r="D73" s="1"/>
      <c r="E73" s="1"/>
      <c r="F73" s="12"/>
      <c r="G73" s="12"/>
      <c r="H73" s="53"/>
    </row>
    <row r="74" spans="1:8" ht="14.1" customHeight="1" x14ac:dyDescent="0.2">
      <c r="A74" s="1"/>
      <c r="B74" s="1"/>
      <c r="C74" s="2" t="s">
        <v>132</v>
      </c>
      <c r="D74" s="1"/>
      <c r="E74" s="1" t="s">
        <v>133</v>
      </c>
      <c r="F74" s="13">
        <v>0</v>
      </c>
      <c r="G74" s="14">
        <v>0</v>
      </c>
      <c r="H74" s="53"/>
    </row>
    <row r="75" spans="1:8" ht="14.1" customHeight="1" x14ac:dyDescent="0.2">
      <c r="A75" s="1"/>
      <c r="B75" s="1"/>
      <c r="C75" s="11"/>
      <c r="D75" s="1"/>
      <c r="E75" s="1"/>
      <c r="F75" s="12"/>
      <c r="G75" s="12"/>
      <c r="H75" s="53"/>
    </row>
    <row r="76" spans="1:8" ht="14.1" customHeight="1" x14ac:dyDescent="0.2">
      <c r="A76" s="1"/>
      <c r="B76" s="1"/>
      <c r="C76" s="2" t="s">
        <v>141</v>
      </c>
      <c r="D76" s="1"/>
      <c r="E76" s="1"/>
      <c r="F76" s="1"/>
      <c r="G76" s="1"/>
      <c r="H76" s="53"/>
    </row>
    <row r="77" spans="1:8" ht="14.1" customHeight="1" x14ac:dyDescent="0.2">
      <c r="A77" s="1"/>
      <c r="B77" s="1"/>
      <c r="C77" s="2" t="s">
        <v>132</v>
      </c>
      <c r="D77" s="1"/>
      <c r="E77" s="1" t="s">
        <v>133</v>
      </c>
      <c r="F77" s="13">
        <v>0</v>
      </c>
      <c r="G77" s="14">
        <v>0</v>
      </c>
      <c r="H77" s="53"/>
    </row>
    <row r="78" spans="1:8" ht="14.1" customHeight="1" x14ac:dyDescent="0.2">
      <c r="A78" s="1"/>
      <c r="B78" s="1"/>
      <c r="C78" s="11"/>
      <c r="D78" s="1"/>
      <c r="E78" s="1"/>
      <c r="F78" s="12"/>
      <c r="G78" s="12"/>
      <c r="H78" s="53"/>
    </row>
    <row r="79" spans="1:8" ht="14.1" customHeight="1" x14ac:dyDescent="0.2">
      <c r="A79" s="1"/>
      <c r="B79" s="1"/>
      <c r="C79" s="2" t="s">
        <v>142</v>
      </c>
      <c r="D79" s="1"/>
      <c r="E79" s="1"/>
      <c r="F79" s="1"/>
      <c r="G79" s="1"/>
      <c r="H79" s="53"/>
    </row>
    <row r="80" spans="1:8" ht="14.1" customHeight="1" x14ac:dyDescent="0.2">
      <c r="A80" s="1"/>
      <c r="B80" s="1"/>
      <c r="C80" s="2" t="s">
        <v>132</v>
      </c>
      <c r="D80" s="1"/>
      <c r="E80" s="1" t="s">
        <v>133</v>
      </c>
      <c r="F80" s="13">
        <v>0</v>
      </c>
      <c r="G80" s="14">
        <v>0</v>
      </c>
      <c r="H80" s="53"/>
    </row>
    <row r="81" spans="1:8" ht="14.1" customHeight="1" x14ac:dyDescent="0.2">
      <c r="A81" s="1"/>
      <c r="B81" s="1"/>
      <c r="C81" s="11"/>
      <c r="D81" s="1"/>
      <c r="E81" s="1"/>
      <c r="F81" s="12"/>
      <c r="G81" s="12"/>
      <c r="H81" s="53"/>
    </row>
    <row r="82" spans="1:8" ht="14.1" customHeight="1" x14ac:dyDescent="0.2">
      <c r="A82" s="1"/>
      <c r="B82" s="1"/>
      <c r="C82" s="2" t="s">
        <v>143</v>
      </c>
      <c r="D82" s="1"/>
      <c r="E82" s="1"/>
      <c r="F82" s="12"/>
      <c r="G82" s="12"/>
      <c r="H82" s="53"/>
    </row>
    <row r="83" spans="1:8" ht="14.1" customHeight="1" x14ac:dyDescent="0.2">
      <c r="A83" s="1"/>
      <c r="B83" s="1"/>
      <c r="C83" s="2" t="s">
        <v>132</v>
      </c>
      <c r="D83" s="1"/>
      <c r="E83" s="1" t="s">
        <v>133</v>
      </c>
      <c r="F83" s="13">
        <v>0</v>
      </c>
      <c r="G83" s="14">
        <v>0</v>
      </c>
      <c r="H83" s="53"/>
    </row>
    <row r="84" spans="1:8" ht="14.1" customHeight="1" x14ac:dyDescent="0.2">
      <c r="A84" s="1"/>
      <c r="B84" s="1"/>
      <c r="C84" s="11"/>
      <c r="D84" s="1"/>
      <c r="E84" s="1"/>
      <c r="F84" s="12"/>
      <c r="G84" s="12"/>
      <c r="H84" s="53"/>
    </row>
    <row r="85" spans="1:8" ht="14.1" customHeight="1" x14ac:dyDescent="0.2">
      <c r="A85" s="1"/>
      <c r="B85" s="1"/>
      <c r="C85" s="2" t="s">
        <v>144</v>
      </c>
      <c r="D85" s="1"/>
      <c r="E85" s="1"/>
      <c r="F85" s="9">
        <v>0</v>
      </c>
      <c r="G85" s="10">
        <v>0</v>
      </c>
      <c r="H85" s="53"/>
    </row>
    <row r="86" spans="1:8" ht="14.1" customHeight="1" x14ac:dyDescent="0.2">
      <c r="A86" s="1"/>
      <c r="B86" s="1"/>
      <c r="C86" s="11"/>
      <c r="D86" s="1"/>
      <c r="E86" s="1"/>
      <c r="F86" s="12"/>
      <c r="G86" s="12"/>
      <c r="H86" s="53"/>
    </row>
    <row r="87" spans="1:8" ht="14.1" customHeight="1" x14ac:dyDescent="0.2">
      <c r="A87" s="1"/>
      <c r="B87" s="1"/>
      <c r="C87" s="2" t="s">
        <v>145</v>
      </c>
      <c r="D87" s="1"/>
      <c r="E87" s="1"/>
      <c r="F87" s="12"/>
      <c r="G87" s="12"/>
      <c r="H87" s="53"/>
    </row>
    <row r="88" spans="1:8" ht="14.1" customHeight="1" x14ac:dyDescent="0.2">
      <c r="A88" s="1"/>
      <c r="B88" s="1"/>
      <c r="C88" s="2" t="s">
        <v>146</v>
      </c>
      <c r="D88" s="1"/>
      <c r="E88" s="1"/>
      <c r="F88" s="12"/>
      <c r="G88" s="12"/>
      <c r="H88" s="53"/>
    </row>
    <row r="89" spans="1:8" ht="14.1" customHeight="1" x14ac:dyDescent="0.2">
      <c r="A89" s="1"/>
      <c r="B89" s="1"/>
      <c r="C89" s="2" t="s">
        <v>132</v>
      </c>
      <c r="D89" s="1"/>
      <c r="E89" s="1" t="s">
        <v>133</v>
      </c>
      <c r="F89" s="13">
        <v>0</v>
      </c>
      <c r="G89" s="14">
        <v>0</v>
      </c>
      <c r="H89" s="53"/>
    </row>
    <row r="90" spans="1:8" ht="14.1" customHeight="1" x14ac:dyDescent="0.2">
      <c r="A90" s="1"/>
      <c r="B90" s="1"/>
      <c r="C90" s="11"/>
      <c r="D90" s="1"/>
      <c r="E90" s="1"/>
      <c r="F90" s="12"/>
      <c r="G90" s="12"/>
      <c r="H90" s="53"/>
    </row>
    <row r="91" spans="1:8" ht="14.1" customHeight="1" x14ac:dyDescent="0.2">
      <c r="A91" s="1"/>
      <c r="B91" s="1"/>
      <c r="C91" s="2" t="s">
        <v>147</v>
      </c>
      <c r="D91" s="1"/>
      <c r="E91" s="1"/>
      <c r="F91" s="12"/>
      <c r="G91" s="12"/>
      <c r="H91" s="53"/>
    </row>
    <row r="92" spans="1:8" ht="14.1" customHeight="1" x14ac:dyDescent="0.2">
      <c r="A92" s="1"/>
      <c r="B92" s="1"/>
      <c r="C92" s="2" t="s">
        <v>132</v>
      </c>
      <c r="D92" s="1"/>
      <c r="E92" s="1" t="s">
        <v>133</v>
      </c>
      <c r="F92" s="13">
        <v>0</v>
      </c>
      <c r="G92" s="14">
        <v>0</v>
      </c>
      <c r="H92" s="53"/>
    </row>
    <row r="93" spans="1:8" ht="14.1" customHeight="1" x14ac:dyDescent="0.2">
      <c r="A93" s="1"/>
      <c r="B93" s="1"/>
      <c r="C93" s="11"/>
      <c r="D93" s="1"/>
      <c r="E93" s="1"/>
      <c r="F93" s="12"/>
      <c r="G93" s="12"/>
      <c r="H93" s="53"/>
    </row>
    <row r="94" spans="1:8" ht="14.1" customHeight="1" x14ac:dyDescent="0.2">
      <c r="A94" s="1"/>
      <c r="B94" s="1"/>
      <c r="C94" s="2" t="s">
        <v>148</v>
      </c>
      <c r="D94" s="1"/>
      <c r="E94" s="1"/>
      <c r="F94" s="12"/>
      <c r="G94" s="12"/>
      <c r="H94" s="53"/>
    </row>
    <row r="95" spans="1:8" ht="14.1" customHeight="1" x14ac:dyDescent="0.2">
      <c r="A95" s="1"/>
      <c r="B95" s="1"/>
      <c r="C95" s="2" t="s">
        <v>132</v>
      </c>
      <c r="D95" s="1"/>
      <c r="E95" s="1" t="s">
        <v>133</v>
      </c>
      <c r="F95" s="13">
        <v>0</v>
      </c>
      <c r="G95" s="14">
        <v>0</v>
      </c>
      <c r="H95" s="53"/>
    </row>
    <row r="96" spans="1:8" ht="14.1" customHeight="1" x14ac:dyDescent="0.2">
      <c r="A96" s="1"/>
      <c r="B96" s="1"/>
      <c r="C96" s="11"/>
      <c r="D96" s="1"/>
      <c r="E96" s="1"/>
      <c r="F96" s="12"/>
      <c r="G96" s="12"/>
      <c r="H96" s="53"/>
    </row>
    <row r="97" spans="1:8" ht="14.1" customHeight="1" x14ac:dyDescent="0.2">
      <c r="A97" s="1"/>
      <c r="B97" s="1"/>
      <c r="C97" s="2" t="s">
        <v>149</v>
      </c>
      <c r="D97" s="1"/>
      <c r="E97" s="1"/>
      <c r="F97" s="12"/>
      <c r="G97" s="12"/>
      <c r="H97" s="53"/>
    </row>
    <row r="98" spans="1:8" ht="17.100000000000001" customHeight="1" x14ac:dyDescent="0.2">
      <c r="A98" s="3">
        <v>1</v>
      </c>
      <c r="B98" s="4"/>
      <c r="C98" s="4" t="s">
        <v>150</v>
      </c>
      <c r="D98" s="4"/>
      <c r="E98" s="8"/>
      <c r="F98" s="6">
        <v>15729.016168300001</v>
      </c>
      <c r="G98" s="7">
        <v>6.7104503999999995E-2</v>
      </c>
      <c r="H98" s="53">
        <v>6.46</v>
      </c>
    </row>
    <row r="99" spans="1:8" ht="14.1" customHeight="1" x14ac:dyDescent="0.2">
      <c r="A99" s="1"/>
      <c r="B99" s="1"/>
      <c r="C99" s="2" t="s">
        <v>132</v>
      </c>
      <c r="D99" s="1"/>
      <c r="E99" s="1" t="s">
        <v>133</v>
      </c>
      <c r="F99" s="9">
        <v>15729.016168300001</v>
      </c>
      <c r="G99" s="10">
        <v>6.7104503999999995E-2</v>
      </c>
      <c r="H99" s="53"/>
    </row>
    <row r="100" spans="1:8" ht="14.1" customHeight="1" x14ac:dyDescent="0.2">
      <c r="A100" s="1"/>
      <c r="B100" s="1"/>
      <c r="C100" s="11"/>
      <c r="D100" s="1"/>
      <c r="E100" s="1"/>
      <c r="F100" s="12"/>
      <c r="G100" s="12"/>
      <c r="H100" s="53"/>
    </row>
    <row r="101" spans="1:8" ht="14.1" customHeight="1" x14ac:dyDescent="0.2">
      <c r="A101" s="1"/>
      <c r="B101" s="1"/>
      <c r="C101" s="2" t="s">
        <v>151</v>
      </c>
      <c r="D101" s="1"/>
      <c r="E101" s="1"/>
      <c r="F101" s="9">
        <v>15729.016168300001</v>
      </c>
      <c r="G101" s="10">
        <v>6.7104503999999995E-2</v>
      </c>
      <c r="H101" s="53"/>
    </row>
    <row r="102" spans="1:8" ht="14.1" customHeight="1" x14ac:dyDescent="0.2">
      <c r="A102" s="1"/>
      <c r="B102" s="1"/>
      <c r="C102" s="12"/>
      <c r="D102" s="1"/>
      <c r="E102" s="1"/>
      <c r="F102" s="1"/>
      <c r="G102" s="1"/>
      <c r="H102" s="53"/>
    </row>
    <row r="103" spans="1:8" ht="14.1" customHeight="1" x14ac:dyDescent="0.2">
      <c r="A103" s="1"/>
      <c r="B103" s="1"/>
      <c r="C103" s="2" t="s">
        <v>152</v>
      </c>
      <c r="D103" s="1"/>
      <c r="E103" s="1"/>
      <c r="F103" s="1"/>
      <c r="G103" s="1"/>
      <c r="H103" s="53"/>
    </row>
    <row r="104" spans="1:8" ht="14.1" customHeight="1" x14ac:dyDescent="0.2">
      <c r="A104" s="1"/>
      <c r="B104" s="1"/>
      <c r="C104" s="2" t="s">
        <v>153</v>
      </c>
      <c r="D104" s="1"/>
      <c r="E104" s="1"/>
      <c r="F104" s="1"/>
      <c r="G104" s="1"/>
      <c r="H104" s="53"/>
    </row>
    <row r="105" spans="1:8" ht="14.1" customHeight="1" x14ac:dyDescent="0.2">
      <c r="A105" s="1"/>
      <c r="B105" s="1"/>
      <c r="C105" s="2" t="s">
        <v>132</v>
      </c>
      <c r="D105" s="1"/>
      <c r="E105" s="1" t="s">
        <v>133</v>
      </c>
      <c r="F105" s="13">
        <v>0</v>
      </c>
      <c r="G105" s="14">
        <v>0</v>
      </c>
      <c r="H105" s="53"/>
    </row>
    <row r="106" spans="1:8" ht="14.1" customHeight="1" x14ac:dyDescent="0.2">
      <c r="A106" s="1"/>
      <c r="B106" s="1"/>
      <c r="C106" s="11"/>
      <c r="D106" s="1"/>
      <c r="E106" s="1"/>
      <c r="F106" s="12"/>
      <c r="G106" s="12"/>
      <c r="H106" s="53"/>
    </row>
    <row r="107" spans="1:8" ht="14.1" customHeight="1" x14ac:dyDescent="0.2">
      <c r="A107" s="1"/>
      <c r="B107" s="1"/>
      <c r="C107" s="2" t="s">
        <v>154</v>
      </c>
      <c r="D107" s="1"/>
      <c r="E107" s="1"/>
      <c r="F107" s="1"/>
      <c r="G107" s="1"/>
      <c r="H107" s="53"/>
    </row>
    <row r="108" spans="1:8" ht="14.1" customHeight="1" x14ac:dyDescent="0.2">
      <c r="A108" s="1"/>
      <c r="B108" s="1"/>
      <c r="C108" s="2" t="s">
        <v>155</v>
      </c>
      <c r="D108" s="1"/>
      <c r="E108" s="1"/>
      <c r="F108" s="1"/>
      <c r="G108" s="1"/>
      <c r="H108" s="53"/>
    </row>
    <row r="109" spans="1:8" ht="14.1" customHeight="1" x14ac:dyDescent="0.2">
      <c r="A109" s="1"/>
      <c r="B109" s="1"/>
      <c r="C109" s="2" t="s">
        <v>132</v>
      </c>
      <c r="D109" s="1"/>
      <c r="E109" s="1" t="s">
        <v>133</v>
      </c>
      <c r="F109" s="13">
        <v>0</v>
      </c>
      <c r="G109" s="14">
        <v>0</v>
      </c>
      <c r="H109" s="53"/>
    </row>
    <row r="110" spans="1:8" ht="14.1" customHeight="1" x14ac:dyDescent="0.2">
      <c r="A110" s="1"/>
      <c r="B110" s="1"/>
      <c r="C110" s="11"/>
      <c r="D110" s="1"/>
      <c r="E110" s="1"/>
      <c r="F110" s="12"/>
      <c r="G110" s="12"/>
      <c r="H110" s="53"/>
    </row>
    <row r="111" spans="1:8" ht="14.1" customHeight="1" x14ac:dyDescent="0.2">
      <c r="A111" s="1"/>
      <c r="B111" s="1"/>
      <c r="C111" s="11"/>
      <c r="D111" s="1"/>
      <c r="E111" s="1"/>
      <c r="F111" s="12"/>
      <c r="G111" s="12"/>
      <c r="H111" s="53"/>
    </row>
    <row r="112" spans="1:8" ht="24" customHeight="1" x14ac:dyDescent="0.2">
      <c r="A112" s="1"/>
      <c r="B112" s="1"/>
      <c r="C112" s="2" t="s">
        <v>156</v>
      </c>
      <c r="D112" s="1"/>
      <c r="E112" s="1"/>
      <c r="F112" s="12"/>
      <c r="G112" s="12"/>
      <c r="H112" s="53"/>
    </row>
    <row r="113" spans="1:8" ht="14.1" customHeight="1" x14ac:dyDescent="0.2">
      <c r="A113" s="1"/>
      <c r="B113" s="1"/>
      <c r="C113" s="2" t="s">
        <v>132</v>
      </c>
      <c r="D113" s="1"/>
      <c r="E113" s="1" t="s">
        <v>133</v>
      </c>
      <c r="F113" s="13">
        <v>0</v>
      </c>
      <c r="G113" s="14">
        <v>0</v>
      </c>
      <c r="H113" s="53"/>
    </row>
    <row r="114" spans="1:8" ht="14.1" customHeight="1" x14ac:dyDescent="0.2">
      <c r="A114" s="1"/>
      <c r="B114" s="1"/>
      <c r="C114" s="11"/>
      <c r="D114" s="1"/>
      <c r="E114" s="1"/>
      <c r="F114" s="12"/>
      <c r="G114" s="12"/>
      <c r="H114" s="53"/>
    </row>
    <row r="115" spans="1:8" ht="14.1" customHeight="1" x14ac:dyDescent="0.2">
      <c r="A115" s="1"/>
      <c r="B115" s="4"/>
      <c r="C115" s="4"/>
      <c r="D115" s="2"/>
      <c r="E115" s="1"/>
      <c r="F115" s="4"/>
      <c r="G115" s="8"/>
      <c r="H115" s="53"/>
    </row>
    <row r="116" spans="1:8" ht="18" customHeight="1" x14ac:dyDescent="0.2">
      <c r="A116" s="8"/>
      <c r="B116" s="4"/>
      <c r="C116" s="4" t="s">
        <v>157</v>
      </c>
      <c r="D116" s="4"/>
      <c r="E116" s="8"/>
      <c r="F116" s="6">
        <v>869.56987850999997</v>
      </c>
      <c r="G116" s="7">
        <v>3.7098349999999999E-3</v>
      </c>
      <c r="H116" s="53"/>
    </row>
    <row r="117" spans="1:8" ht="14.1" customHeight="1" x14ac:dyDescent="0.2">
      <c r="A117" s="11"/>
      <c r="B117" s="11"/>
      <c r="C117" s="2" t="s">
        <v>158</v>
      </c>
      <c r="D117" s="15"/>
      <c r="E117" s="15"/>
      <c r="F117" s="9">
        <v>234395.83233817501</v>
      </c>
      <c r="G117" s="14">
        <v>1.0000000019999999</v>
      </c>
      <c r="H117" s="53"/>
    </row>
    <row r="118" spans="1:8" ht="14.1" customHeight="1" x14ac:dyDescent="0.2">
      <c r="A118" s="16"/>
      <c r="B118" s="16"/>
      <c r="C118" s="16"/>
      <c r="D118" s="17"/>
      <c r="E118" s="17"/>
      <c r="F118" s="17"/>
      <c r="G118" s="17"/>
    </row>
    <row r="119" spans="1:8" ht="14.1" customHeight="1" x14ac:dyDescent="0.2">
      <c r="A119" s="18"/>
      <c r="B119" s="18"/>
      <c r="C119" s="18"/>
      <c r="D119" s="20"/>
      <c r="E119" s="20"/>
      <c r="F119" s="20"/>
      <c r="G119" s="20"/>
    </row>
    <row r="120" spans="1:8" ht="14.1" customHeight="1" x14ac:dyDescent="0.2">
      <c r="A120" s="18"/>
      <c r="B120" s="293" t="s">
        <v>160</v>
      </c>
      <c r="C120" s="294"/>
      <c r="D120" s="12" t="s">
        <v>133</v>
      </c>
      <c r="E120" s="21"/>
      <c r="F120" s="20"/>
      <c r="G120" s="20"/>
    </row>
    <row r="121" spans="1:8" ht="29.1" customHeight="1" x14ac:dyDescent="0.2">
      <c r="A121" s="18"/>
      <c r="B121" s="290" t="s">
        <v>161</v>
      </c>
      <c r="C121" s="291"/>
      <c r="D121" s="2" t="s">
        <v>162</v>
      </c>
      <c r="E121" s="21"/>
      <c r="F121" s="20"/>
      <c r="G121" s="20"/>
    </row>
    <row r="122" spans="1:8" ht="17.100000000000001" customHeight="1" x14ac:dyDescent="0.2">
      <c r="A122" s="18"/>
      <c r="B122" s="290" t="s">
        <v>163</v>
      </c>
      <c r="C122" s="291"/>
      <c r="D122" s="2" t="s">
        <v>162</v>
      </c>
      <c r="E122" s="21"/>
      <c r="F122" s="20"/>
      <c r="G122" s="20"/>
    </row>
    <row r="123" spans="1:8" ht="17.100000000000001" customHeight="1" x14ac:dyDescent="0.2">
      <c r="A123" s="18"/>
      <c r="B123" s="290" t="s">
        <v>164</v>
      </c>
      <c r="C123" s="291"/>
      <c r="D123" s="12" t="s">
        <v>133</v>
      </c>
      <c r="E123" s="21"/>
      <c r="F123" s="20"/>
      <c r="G123" s="20"/>
    </row>
    <row r="124" spans="1:8" ht="24" customHeight="1" x14ac:dyDescent="0.2">
      <c r="A124" s="22"/>
      <c r="B124" s="23" t="s">
        <v>133</v>
      </c>
      <c r="C124" s="23" t="s">
        <v>165</v>
      </c>
      <c r="D124" s="23" t="s">
        <v>166</v>
      </c>
      <c r="E124" s="22"/>
      <c r="F124" s="22"/>
      <c r="G124" s="22"/>
    </row>
    <row r="125" spans="1:8" ht="18" customHeight="1" x14ac:dyDescent="0.2">
      <c r="A125" s="22"/>
      <c r="B125" s="23" t="s">
        <v>167</v>
      </c>
      <c r="C125" s="23" t="s">
        <v>168</v>
      </c>
      <c r="D125" s="23" t="s">
        <v>169</v>
      </c>
      <c r="E125" s="22"/>
      <c r="F125" s="22"/>
      <c r="G125" s="22"/>
    </row>
    <row r="126" spans="1:8" ht="17.100000000000001" customHeight="1" x14ac:dyDescent="0.2">
      <c r="A126" s="22"/>
      <c r="B126" s="4" t="s">
        <v>170</v>
      </c>
      <c r="C126" s="24">
        <v>23.563300000000002</v>
      </c>
      <c r="D126" s="24">
        <v>22.767099999999999</v>
      </c>
      <c r="E126" s="22"/>
      <c r="F126" s="19"/>
      <c r="G126" s="25"/>
    </row>
    <row r="127" spans="1:8" ht="17.100000000000001" customHeight="1" x14ac:dyDescent="0.2">
      <c r="A127" s="22"/>
      <c r="B127" s="4" t="s">
        <v>1042</v>
      </c>
      <c r="C127" s="24">
        <v>18.742699999999999</v>
      </c>
      <c r="D127" s="24">
        <v>18.109400000000001</v>
      </c>
      <c r="E127" s="22"/>
      <c r="F127" s="19"/>
      <c r="G127" s="25"/>
    </row>
    <row r="128" spans="1:8" ht="17.100000000000001" customHeight="1" x14ac:dyDescent="0.2">
      <c r="A128" s="22"/>
      <c r="B128" s="4" t="s">
        <v>171</v>
      </c>
      <c r="C128" s="24">
        <v>22.4452</v>
      </c>
      <c r="D128" s="24">
        <v>21.663799999999998</v>
      </c>
      <c r="E128" s="22"/>
      <c r="F128" s="19"/>
      <c r="G128" s="25"/>
    </row>
    <row r="129" spans="1:7" ht="17.100000000000001" customHeight="1" x14ac:dyDescent="0.2">
      <c r="A129" s="22"/>
      <c r="B129" s="4" t="s">
        <v>1043</v>
      </c>
      <c r="C129" s="24">
        <v>17.8354</v>
      </c>
      <c r="D129" s="24">
        <v>17.214500000000001</v>
      </c>
      <c r="E129" s="22"/>
      <c r="F129" s="19"/>
      <c r="G129" s="25"/>
    </row>
    <row r="130" spans="1:7" ht="14.1" customHeight="1" x14ac:dyDescent="0.2">
      <c r="A130" s="22"/>
      <c r="B130" s="22"/>
      <c r="C130" s="22"/>
      <c r="D130" s="22"/>
      <c r="E130" s="22"/>
      <c r="F130" s="22"/>
      <c r="G130" s="22"/>
    </row>
    <row r="131" spans="1:7" ht="17.100000000000001" customHeight="1" x14ac:dyDescent="0.2">
      <c r="A131" s="22"/>
      <c r="B131" s="290" t="s">
        <v>1044</v>
      </c>
      <c r="C131" s="291"/>
      <c r="D131" s="2" t="s">
        <v>162</v>
      </c>
      <c r="E131" s="22"/>
      <c r="F131" s="22"/>
      <c r="G131" s="22"/>
    </row>
    <row r="132" spans="1:7" ht="18" customHeight="1" x14ac:dyDescent="0.2">
      <c r="A132" s="22"/>
      <c r="B132" s="26"/>
      <c r="C132" s="26"/>
      <c r="D132" s="27"/>
      <c r="E132" s="22"/>
      <c r="F132" s="22"/>
      <c r="G132" s="22"/>
    </row>
    <row r="133" spans="1:7" ht="29.1" customHeight="1" x14ac:dyDescent="0.2">
      <c r="A133" s="22"/>
      <c r="B133" s="290" t="s">
        <v>172</v>
      </c>
      <c r="C133" s="291"/>
      <c r="D133" s="2" t="s">
        <v>162</v>
      </c>
      <c r="E133" s="22"/>
      <c r="F133" s="22"/>
      <c r="G133" s="22"/>
    </row>
    <row r="134" spans="1:7" ht="29.1" customHeight="1" x14ac:dyDescent="0.2">
      <c r="A134" s="22"/>
      <c r="B134" s="290" t="s">
        <v>173</v>
      </c>
      <c r="C134" s="291"/>
      <c r="D134" s="59" t="s">
        <v>980</v>
      </c>
      <c r="E134" s="22"/>
      <c r="F134" s="22"/>
      <c r="G134" s="22"/>
    </row>
    <row r="135" spans="1:7" ht="17.100000000000001" customHeight="1" x14ac:dyDescent="0.2">
      <c r="A135" s="22"/>
      <c r="B135" s="290" t="s">
        <v>174</v>
      </c>
      <c r="C135" s="291"/>
      <c r="D135" s="28">
        <v>0.28560001822195341</v>
      </c>
      <c r="E135" s="22"/>
      <c r="F135" s="19"/>
      <c r="G135" s="25"/>
    </row>
    <row r="136" spans="1:7" ht="17.100000000000001" customHeight="1" x14ac:dyDescent="0.2">
      <c r="A136" s="22"/>
      <c r="B136" s="290" t="s">
        <v>175</v>
      </c>
      <c r="C136" s="291"/>
      <c r="D136" s="2" t="s">
        <v>162</v>
      </c>
      <c r="E136" s="22"/>
      <c r="F136" s="22"/>
      <c r="G136" s="22"/>
    </row>
  </sheetData>
  <mergeCells count="13">
    <mergeCell ref="A1:H1"/>
    <mergeCell ref="A2:H2"/>
    <mergeCell ref="A3:H3"/>
    <mergeCell ref="J2:N2"/>
    <mergeCell ref="B136:C136"/>
    <mergeCell ref="B121:C121"/>
    <mergeCell ref="B122:C122"/>
    <mergeCell ref="B123:C123"/>
    <mergeCell ref="B131:C131"/>
    <mergeCell ref="B133:C133"/>
    <mergeCell ref="B134:C134"/>
    <mergeCell ref="B120:C120"/>
    <mergeCell ref="B135:C135"/>
  </mergeCells>
  <hyperlinks>
    <hyperlink ref="I1" location="Index!B33" display="Index" xr:uid="{F7B39E32-D4E6-4E38-9DA6-FC2A46D2419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N15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732</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1525000</v>
      </c>
      <c r="F7" s="6">
        <v>13585.4625</v>
      </c>
      <c r="G7" s="7">
        <v>7.9291487999999993E-2</v>
      </c>
      <c r="H7" s="53"/>
    </row>
    <row r="8" spans="1:14" ht="17.100000000000001" customHeight="1" x14ac:dyDescent="0.2">
      <c r="A8" s="3">
        <v>2</v>
      </c>
      <c r="B8" s="4" t="s">
        <v>266</v>
      </c>
      <c r="C8" s="4" t="s">
        <v>267</v>
      </c>
      <c r="D8" s="4" t="s">
        <v>19</v>
      </c>
      <c r="E8" s="5">
        <v>714000</v>
      </c>
      <c r="F8" s="6">
        <v>11624.991</v>
      </c>
      <c r="G8" s="7">
        <v>6.7849205999999995E-2</v>
      </c>
      <c r="H8" s="53"/>
    </row>
    <row r="9" spans="1:14" ht="17.100000000000001" customHeight="1" x14ac:dyDescent="0.2">
      <c r="A9" s="3">
        <v>3</v>
      </c>
      <c r="B9" s="4" t="s">
        <v>20</v>
      </c>
      <c r="C9" s="4" t="s">
        <v>21</v>
      </c>
      <c r="D9" s="4" t="s">
        <v>22</v>
      </c>
      <c r="E9" s="5">
        <v>341595</v>
      </c>
      <c r="F9" s="6">
        <v>8701.1078400000006</v>
      </c>
      <c r="G9" s="7">
        <v>5.0783975000000002E-2</v>
      </c>
      <c r="H9" s="53"/>
    </row>
    <row r="10" spans="1:14" ht="17.100000000000001" customHeight="1" x14ac:dyDescent="0.2">
      <c r="A10" s="3">
        <v>4</v>
      </c>
      <c r="B10" s="4" t="s">
        <v>291</v>
      </c>
      <c r="C10" s="4" t="s">
        <v>292</v>
      </c>
      <c r="D10" s="4" t="s">
        <v>900</v>
      </c>
      <c r="E10" s="5">
        <v>570000</v>
      </c>
      <c r="F10" s="6">
        <v>8596.74</v>
      </c>
      <c r="G10" s="7">
        <v>5.0174833000000002E-2</v>
      </c>
      <c r="H10" s="53"/>
    </row>
    <row r="11" spans="1:14" ht="17.100000000000001" customHeight="1" x14ac:dyDescent="0.2">
      <c r="A11" s="3">
        <v>5</v>
      </c>
      <c r="B11" s="4" t="s">
        <v>29</v>
      </c>
      <c r="C11" s="4" t="s">
        <v>30</v>
      </c>
      <c r="D11" s="4" t="s">
        <v>19</v>
      </c>
      <c r="E11" s="5">
        <v>1390000</v>
      </c>
      <c r="F11" s="6">
        <v>8530.43</v>
      </c>
      <c r="G11" s="7">
        <v>4.9787814999999999E-2</v>
      </c>
      <c r="H11" s="53"/>
    </row>
    <row r="12" spans="1:14" ht="29.1" customHeight="1" x14ac:dyDescent="0.2">
      <c r="A12" s="3">
        <v>6</v>
      </c>
      <c r="B12" s="4" t="s">
        <v>293</v>
      </c>
      <c r="C12" s="4" t="s">
        <v>294</v>
      </c>
      <c r="D12" s="4" t="s">
        <v>119</v>
      </c>
      <c r="E12" s="5">
        <v>272000</v>
      </c>
      <c r="F12" s="6">
        <v>7174.2719999999999</v>
      </c>
      <c r="G12" s="7">
        <v>4.1872605E-2</v>
      </c>
      <c r="H12" s="53"/>
    </row>
    <row r="13" spans="1:14" ht="17.100000000000001" customHeight="1" x14ac:dyDescent="0.25">
      <c r="A13" s="3">
        <v>7</v>
      </c>
      <c r="B13" s="4" t="s">
        <v>181</v>
      </c>
      <c r="C13" s="4" t="s">
        <v>182</v>
      </c>
      <c r="D13" s="4" t="s">
        <v>19</v>
      </c>
      <c r="E13" s="5">
        <v>739000</v>
      </c>
      <c r="F13" s="6">
        <v>6900.4125000000004</v>
      </c>
      <c r="G13" s="7">
        <v>4.0274224999999997E-2</v>
      </c>
      <c r="H13" s="53"/>
      <c r="J13" s="197" t="s">
        <v>1089</v>
      </c>
    </row>
    <row r="14" spans="1:14" ht="53.1" customHeight="1" x14ac:dyDescent="0.2">
      <c r="A14" s="3">
        <v>8</v>
      </c>
      <c r="B14" s="4" t="s">
        <v>46</v>
      </c>
      <c r="C14" s="4" t="s">
        <v>47</v>
      </c>
      <c r="D14" s="4" t="s">
        <v>48</v>
      </c>
      <c r="E14" s="5">
        <v>4089762</v>
      </c>
      <c r="F14" s="6">
        <v>5864.7187080000003</v>
      </c>
      <c r="G14" s="7">
        <v>3.4229402999999999E-2</v>
      </c>
      <c r="H14" s="53"/>
      <c r="J14" s="188"/>
    </row>
    <row r="15" spans="1:14" ht="17.100000000000001" customHeight="1" x14ac:dyDescent="0.2">
      <c r="A15" s="3">
        <v>9</v>
      </c>
      <c r="B15" s="4" t="s">
        <v>297</v>
      </c>
      <c r="C15" s="4" t="s">
        <v>298</v>
      </c>
      <c r="D15" s="4" t="s">
        <v>900</v>
      </c>
      <c r="E15" s="5">
        <v>165000</v>
      </c>
      <c r="F15" s="6">
        <v>5373.5550000000003</v>
      </c>
      <c r="G15" s="7">
        <v>3.1362728999999999E-2</v>
      </c>
      <c r="H15" s="53"/>
    </row>
    <row r="16" spans="1:14" ht="17.100000000000001" customHeight="1" x14ac:dyDescent="0.2">
      <c r="A16" s="3">
        <v>10</v>
      </c>
      <c r="B16" s="4" t="s">
        <v>54</v>
      </c>
      <c r="C16" s="4" t="s">
        <v>55</v>
      </c>
      <c r="D16" s="4" t="s">
        <v>33</v>
      </c>
      <c r="E16" s="5">
        <v>191000</v>
      </c>
      <c r="F16" s="6">
        <v>4906.9809999999998</v>
      </c>
      <c r="G16" s="7">
        <v>2.8639571999999999E-2</v>
      </c>
      <c r="H16" s="53"/>
    </row>
    <row r="17" spans="1:10" ht="17.100000000000001" customHeight="1" x14ac:dyDescent="0.2">
      <c r="A17" s="3">
        <v>11</v>
      </c>
      <c r="B17" s="4" t="s">
        <v>70</v>
      </c>
      <c r="C17" s="4" t="s">
        <v>71</v>
      </c>
      <c r="D17" s="4" t="s">
        <v>72</v>
      </c>
      <c r="E17" s="5">
        <v>48000</v>
      </c>
      <c r="F17" s="6">
        <v>4029.4079999999999</v>
      </c>
      <c r="G17" s="7">
        <v>2.3517620999999999E-2</v>
      </c>
      <c r="H17" s="53"/>
    </row>
    <row r="18" spans="1:10" ht="17.100000000000001" customHeight="1" x14ac:dyDescent="0.2">
      <c r="A18" s="3">
        <v>12</v>
      </c>
      <c r="B18" s="4" t="s">
        <v>11</v>
      </c>
      <c r="C18" s="4" t="s">
        <v>12</v>
      </c>
      <c r="D18" s="4" t="s">
        <v>13</v>
      </c>
      <c r="E18" s="5">
        <v>190000</v>
      </c>
      <c r="F18" s="6">
        <v>3963.02</v>
      </c>
      <c r="G18" s="7">
        <v>2.3130148E-2</v>
      </c>
      <c r="H18" s="53"/>
    </row>
    <row r="19" spans="1:10" ht="17.100000000000001" customHeight="1" x14ac:dyDescent="0.2">
      <c r="A19" s="3">
        <v>13</v>
      </c>
      <c r="B19" s="4" t="s">
        <v>36</v>
      </c>
      <c r="C19" s="4" t="s">
        <v>37</v>
      </c>
      <c r="D19" s="4" t="s">
        <v>33</v>
      </c>
      <c r="E19" s="5">
        <v>218000</v>
      </c>
      <c r="F19" s="6">
        <v>3888.357</v>
      </c>
      <c r="G19" s="7">
        <v>2.2694377000000002E-2</v>
      </c>
      <c r="H19" s="53"/>
    </row>
    <row r="20" spans="1:10" ht="17.100000000000001" customHeight="1" x14ac:dyDescent="0.2">
      <c r="A20" s="3">
        <v>14</v>
      </c>
      <c r="B20" s="4" t="s">
        <v>222</v>
      </c>
      <c r="C20" s="4" t="s">
        <v>223</v>
      </c>
      <c r="D20" s="4" t="s">
        <v>224</v>
      </c>
      <c r="E20" s="5">
        <v>715000</v>
      </c>
      <c r="F20" s="6">
        <v>3654.0075000000002</v>
      </c>
      <c r="G20" s="7">
        <v>2.1326597999999999E-2</v>
      </c>
      <c r="H20" s="53"/>
    </row>
    <row r="21" spans="1:10" ht="29.1" customHeight="1" x14ac:dyDescent="0.2">
      <c r="A21" s="3">
        <v>15</v>
      </c>
      <c r="B21" s="4" t="s">
        <v>299</v>
      </c>
      <c r="C21" s="4" t="s">
        <v>300</v>
      </c>
      <c r="D21" s="4" t="s">
        <v>227</v>
      </c>
      <c r="E21" s="5">
        <v>328000</v>
      </c>
      <c r="F21" s="6">
        <v>3284.5920000000001</v>
      </c>
      <c r="G21" s="7">
        <v>1.9170506E-2</v>
      </c>
      <c r="H21" s="53"/>
    </row>
    <row r="22" spans="1:10" ht="17.100000000000001" customHeight="1" x14ac:dyDescent="0.2">
      <c r="A22" s="3">
        <v>16</v>
      </c>
      <c r="B22" s="4" t="s">
        <v>303</v>
      </c>
      <c r="C22" s="4" t="s">
        <v>304</v>
      </c>
      <c r="D22" s="4" t="s">
        <v>305</v>
      </c>
      <c r="E22" s="5">
        <v>124000</v>
      </c>
      <c r="F22" s="6">
        <v>3175.7020000000002</v>
      </c>
      <c r="G22" s="7">
        <v>1.8534970000000001E-2</v>
      </c>
      <c r="H22" s="53"/>
    </row>
    <row r="23" spans="1:10" ht="17.100000000000001" customHeight="1" x14ac:dyDescent="0.2">
      <c r="A23" s="3">
        <v>17</v>
      </c>
      <c r="B23" s="4" t="s">
        <v>14</v>
      </c>
      <c r="C23" s="4" t="s">
        <v>15</v>
      </c>
      <c r="D23" s="4" t="s">
        <v>16</v>
      </c>
      <c r="E23" s="5">
        <v>390000</v>
      </c>
      <c r="F23" s="6">
        <v>3143.79</v>
      </c>
      <c r="G23" s="7">
        <v>1.8348716000000001E-2</v>
      </c>
      <c r="H23" s="53"/>
      <c r="J23" s="188" t="s">
        <v>1097</v>
      </c>
    </row>
    <row r="24" spans="1:10" ht="17.100000000000001" customHeight="1" x14ac:dyDescent="0.2">
      <c r="A24" s="3">
        <v>18</v>
      </c>
      <c r="B24" s="4" t="s">
        <v>261</v>
      </c>
      <c r="C24" s="4" t="s">
        <v>262</v>
      </c>
      <c r="D24" s="4" t="s">
        <v>119</v>
      </c>
      <c r="E24" s="5">
        <v>199000</v>
      </c>
      <c r="F24" s="6">
        <v>3080.2215000000001</v>
      </c>
      <c r="G24" s="7">
        <v>1.7977698E-2</v>
      </c>
      <c r="H24" s="53"/>
    </row>
    <row r="25" spans="1:10" ht="17.100000000000001" customHeight="1" x14ac:dyDescent="0.2">
      <c r="A25" s="3">
        <v>19</v>
      </c>
      <c r="B25" s="4" t="s">
        <v>499</v>
      </c>
      <c r="C25" s="4" t="s">
        <v>500</v>
      </c>
      <c r="D25" s="4" t="s">
        <v>320</v>
      </c>
      <c r="E25" s="5">
        <v>67000</v>
      </c>
      <c r="F25" s="6">
        <v>3072.5529999999999</v>
      </c>
      <c r="G25" s="7">
        <v>1.7932941000000001E-2</v>
      </c>
      <c r="H25" s="53"/>
    </row>
    <row r="26" spans="1:10" ht="17.100000000000001" customHeight="1" x14ac:dyDescent="0.2">
      <c r="A26" s="3">
        <v>20</v>
      </c>
      <c r="B26" s="4" t="s">
        <v>336</v>
      </c>
      <c r="C26" s="4" t="s">
        <v>337</v>
      </c>
      <c r="D26" s="4" t="s">
        <v>19</v>
      </c>
      <c r="E26" s="5">
        <v>860000</v>
      </c>
      <c r="F26" s="6">
        <v>2866.38</v>
      </c>
      <c r="G26" s="7">
        <v>1.6729613000000001E-2</v>
      </c>
      <c r="H26" s="53"/>
    </row>
    <row r="27" spans="1:10" ht="29.1" customHeight="1" x14ac:dyDescent="0.2">
      <c r="A27" s="3">
        <v>21</v>
      </c>
      <c r="B27" s="4" t="s">
        <v>117</v>
      </c>
      <c r="C27" s="4" t="s">
        <v>118</v>
      </c>
      <c r="D27" s="4" t="s">
        <v>119</v>
      </c>
      <c r="E27" s="5">
        <v>392000</v>
      </c>
      <c r="F27" s="6">
        <v>2833.768</v>
      </c>
      <c r="G27" s="7">
        <v>1.6539274E-2</v>
      </c>
      <c r="H27" s="53"/>
    </row>
    <row r="28" spans="1:10" ht="29.1" customHeight="1" x14ac:dyDescent="0.2">
      <c r="A28" s="3">
        <v>22</v>
      </c>
      <c r="B28" s="4" t="s">
        <v>191</v>
      </c>
      <c r="C28" s="4" t="s">
        <v>192</v>
      </c>
      <c r="D28" s="4" t="s">
        <v>116</v>
      </c>
      <c r="E28" s="5">
        <v>800000</v>
      </c>
      <c r="F28" s="6">
        <v>2691.6</v>
      </c>
      <c r="G28" s="7">
        <v>1.5709510999999999E-2</v>
      </c>
      <c r="H28" s="53"/>
    </row>
    <row r="29" spans="1:10" ht="17.100000000000001" customHeight="1" x14ac:dyDescent="0.2">
      <c r="A29" s="3">
        <v>23</v>
      </c>
      <c r="B29" s="4" t="s">
        <v>43</v>
      </c>
      <c r="C29" s="4" t="s">
        <v>44</v>
      </c>
      <c r="D29" s="4" t="s">
        <v>45</v>
      </c>
      <c r="E29" s="5">
        <v>100000</v>
      </c>
      <c r="F29" s="6">
        <v>2683</v>
      </c>
      <c r="G29" s="7">
        <v>1.5659316999999999E-2</v>
      </c>
      <c r="H29" s="53"/>
    </row>
    <row r="30" spans="1:10" ht="17.100000000000001" customHeight="1" x14ac:dyDescent="0.2">
      <c r="A30" s="3">
        <v>24</v>
      </c>
      <c r="B30" s="4" t="s">
        <v>246</v>
      </c>
      <c r="C30" s="4" t="s">
        <v>247</v>
      </c>
      <c r="D30" s="4" t="s">
        <v>248</v>
      </c>
      <c r="E30" s="5">
        <v>396000</v>
      </c>
      <c r="F30" s="6">
        <v>2682.9</v>
      </c>
      <c r="G30" s="7">
        <v>1.5658733000000001E-2</v>
      </c>
      <c r="H30" s="53"/>
    </row>
    <row r="31" spans="1:10" ht="29.1" customHeight="1" x14ac:dyDescent="0.2">
      <c r="A31" s="3">
        <v>25</v>
      </c>
      <c r="B31" s="4" t="s">
        <v>23</v>
      </c>
      <c r="C31" s="4" t="s">
        <v>24</v>
      </c>
      <c r="D31" s="4" t="s">
        <v>25</v>
      </c>
      <c r="E31" s="5">
        <v>38000</v>
      </c>
      <c r="F31" s="6">
        <v>2644.4389999999999</v>
      </c>
      <c r="G31" s="7">
        <v>1.5434256E-2</v>
      </c>
      <c r="H31" s="53"/>
    </row>
    <row r="32" spans="1:10" ht="17.100000000000001" customHeight="1" x14ac:dyDescent="0.2">
      <c r="A32" s="3">
        <v>26</v>
      </c>
      <c r="B32" s="4" t="s">
        <v>177</v>
      </c>
      <c r="C32" s="4" t="s">
        <v>178</v>
      </c>
      <c r="D32" s="4" t="s">
        <v>19</v>
      </c>
      <c r="E32" s="5">
        <v>1809981</v>
      </c>
      <c r="F32" s="6">
        <v>2516.7785804999999</v>
      </c>
      <c r="G32" s="7">
        <v>1.4689166E-2</v>
      </c>
      <c r="H32" s="53"/>
    </row>
    <row r="33" spans="1:8" ht="17.100000000000001" customHeight="1" x14ac:dyDescent="0.2">
      <c r="A33" s="3">
        <v>27</v>
      </c>
      <c r="B33" s="4" t="s">
        <v>348</v>
      </c>
      <c r="C33" s="4" t="s">
        <v>349</v>
      </c>
      <c r="D33" s="4" t="s">
        <v>190</v>
      </c>
      <c r="E33" s="5">
        <v>52000</v>
      </c>
      <c r="F33" s="6">
        <v>2115.75</v>
      </c>
      <c r="G33" s="7">
        <v>1.2348565000000001E-2</v>
      </c>
      <c r="H33" s="53"/>
    </row>
    <row r="34" spans="1:8" ht="17.100000000000001" customHeight="1" x14ac:dyDescent="0.2">
      <c r="A34" s="3">
        <v>28</v>
      </c>
      <c r="B34" s="4" t="s">
        <v>350</v>
      </c>
      <c r="C34" s="4" t="s">
        <v>351</v>
      </c>
      <c r="D34" s="4" t="s">
        <v>72</v>
      </c>
      <c r="E34" s="5">
        <v>533583</v>
      </c>
      <c r="F34" s="6">
        <v>2070.0352484999999</v>
      </c>
      <c r="G34" s="7">
        <v>1.2081751E-2</v>
      </c>
      <c r="H34" s="53"/>
    </row>
    <row r="35" spans="1:8" ht="29.1" customHeight="1" x14ac:dyDescent="0.2">
      <c r="A35" s="3">
        <v>29</v>
      </c>
      <c r="B35" s="4" t="s">
        <v>197</v>
      </c>
      <c r="C35" s="4" t="s">
        <v>198</v>
      </c>
      <c r="D35" s="4" t="s">
        <v>199</v>
      </c>
      <c r="E35" s="5">
        <v>48000</v>
      </c>
      <c r="F35" s="6">
        <v>1953.24</v>
      </c>
      <c r="G35" s="7">
        <v>1.1400076E-2</v>
      </c>
      <c r="H35" s="53"/>
    </row>
    <row r="36" spans="1:8" ht="17.100000000000001" customHeight="1" x14ac:dyDescent="0.2">
      <c r="A36" s="3">
        <v>30</v>
      </c>
      <c r="B36" s="4" t="s">
        <v>97</v>
      </c>
      <c r="C36" s="4" t="s">
        <v>98</v>
      </c>
      <c r="D36" s="4" t="s">
        <v>96</v>
      </c>
      <c r="E36" s="5">
        <v>224000</v>
      </c>
      <c r="F36" s="6">
        <v>1944.2080000000001</v>
      </c>
      <c r="G36" s="7">
        <v>1.1347361E-2</v>
      </c>
      <c r="H36" s="53"/>
    </row>
    <row r="37" spans="1:8" ht="17.100000000000001" customHeight="1" x14ac:dyDescent="0.2">
      <c r="A37" s="3">
        <v>31</v>
      </c>
      <c r="B37" s="4" t="s">
        <v>179</v>
      </c>
      <c r="C37" s="4" t="s">
        <v>180</v>
      </c>
      <c r="D37" s="4" t="s">
        <v>19</v>
      </c>
      <c r="E37" s="5">
        <v>1000000</v>
      </c>
      <c r="F37" s="6">
        <v>1857</v>
      </c>
      <c r="G37" s="7">
        <v>1.0838372000000001E-2</v>
      </c>
      <c r="H37" s="53"/>
    </row>
    <row r="38" spans="1:8" ht="53.1" customHeight="1" x14ac:dyDescent="0.2">
      <c r="A38" s="3">
        <v>32</v>
      </c>
      <c r="B38" s="4" t="s">
        <v>90</v>
      </c>
      <c r="C38" s="4" t="s">
        <v>91</v>
      </c>
      <c r="D38" s="4" t="s">
        <v>48</v>
      </c>
      <c r="E38" s="5">
        <v>125775</v>
      </c>
      <c r="F38" s="6">
        <v>1846.7543250000001</v>
      </c>
      <c r="G38" s="7">
        <v>1.0778573E-2</v>
      </c>
      <c r="H38" s="53"/>
    </row>
    <row r="39" spans="1:8" ht="17.100000000000001" customHeight="1" x14ac:dyDescent="0.2">
      <c r="A39" s="3">
        <v>33</v>
      </c>
      <c r="B39" s="4" t="s">
        <v>108</v>
      </c>
      <c r="C39" s="4" t="s">
        <v>109</v>
      </c>
      <c r="D39" s="4" t="s">
        <v>40</v>
      </c>
      <c r="E39" s="5">
        <v>91000</v>
      </c>
      <c r="F39" s="6">
        <v>1827.0070000000001</v>
      </c>
      <c r="G39" s="7">
        <v>1.0663318E-2</v>
      </c>
      <c r="H39" s="53"/>
    </row>
    <row r="40" spans="1:8" ht="17.100000000000001" customHeight="1" x14ac:dyDescent="0.2">
      <c r="A40" s="3">
        <v>34</v>
      </c>
      <c r="B40" s="4" t="s">
        <v>210</v>
      </c>
      <c r="C40" s="4" t="s">
        <v>211</v>
      </c>
      <c r="D40" s="4" t="s">
        <v>212</v>
      </c>
      <c r="E40" s="5">
        <v>4000</v>
      </c>
      <c r="F40" s="6">
        <v>1713.4680000000001</v>
      </c>
      <c r="G40" s="7">
        <v>1.0000647999999999E-2</v>
      </c>
      <c r="H40" s="53"/>
    </row>
    <row r="41" spans="1:8" ht="17.100000000000001" customHeight="1" x14ac:dyDescent="0.2">
      <c r="A41" s="3">
        <v>35</v>
      </c>
      <c r="B41" s="4" t="s">
        <v>112</v>
      </c>
      <c r="C41" s="4" t="s">
        <v>113</v>
      </c>
      <c r="D41" s="4" t="s">
        <v>87</v>
      </c>
      <c r="E41" s="5">
        <v>388905</v>
      </c>
      <c r="F41" s="6">
        <v>1631.456475</v>
      </c>
      <c r="G41" s="7">
        <v>9.5219880000000003E-3</v>
      </c>
      <c r="H41" s="53"/>
    </row>
    <row r="42" spans="1:8" ht="17.100000000000001" customHeight="1" x14ac:dyDescent="0.2">
      <c r="A42" s="3">
        <v>36</v>
      </c>
      <c r="B42" s="4" t="s">
        <v>185</v>
      </c>
      <c r="C42" s="4" t="s">
        <v>186</v>
      </c>
      <c r="D42" s="4" t="s">
        <v>187</v>
      </c>
      <c r="E42" s="5">
        <v>123000</v>
      </c>
      <c r="F42" s="6">
        <v>1626.7365</v>
      </c>
      <c r="G42" s="7">
        <v>9.4944399999999998E-3</v>
      </c>
      <c r="H42" s="53"/>
    </row>
    <row r="43" spans="1:8" ht="29.1" customHeight="1" x14ac:dyDescent="0.2">
      <c r="A43" s="3">
        <v>37</v>
      </c>
      <c r="B43" s="4" t="s">
        <v>590</v>
      </c>
      <c r="C43" s="4" t="s">
        <v>591</v>
      </c>
      <c r="D43" s="4" t="s">
        <v>248</v>
      </c>
      <c r="E43" s="5">
        <v>130000</v>
      </c>
      <c r="F43" s="6">
        <v>1607.84</v>
      </c>
      <c r="G43" s="7">
        <v>9.3841510000000003E-3</v>
      </c>
      <c r="H43" s="53"/>
    </row>
    <row r="44" spans="1:8" ht="17.100000000000001" customHeight="1" x14ac:dyDescent="0.2">
      <c r="A44" s="3">
        <v>38</v>
      </c>
      <c r="B44" s="4" t="s">
        <v>505</v>
      </c>
      <c r="C44" s="4" t="s">
        <v>506</v>
      </c>
      <c r="D44" s="4" t="s">
        <v>320</v>
      </c>
      <c r="E44" s="5">
        <v>68000</v>
      </c>
      <c r="F44" s="6">
        <v>1510.722</v>
      </c>
      <c r="G44" s="7">
        <v>8.8173220000000007E-3</v>
      </c>
      <c r="H44" s="53"/>
    </row>
    <row r="45" spans="1:8" ht="29.1" customHeight="1" x14ac:dyDescent="0.2">
      <c r="A45" s="3">
        <v>39</v>
      </c>
      <c r="B45" s="4" t="s">
        <v>585</v>
      </c>
      <c r="C45" s="4" t="s">
        <v>586</v>
      </c>
      <c r="D45" s="4" t="s">
        <v>199</v>
      </c>
      <c r="E45" s="5">
        <v>100000</v>
      </c>
      <c r="F45" s="6">
        <v>1490.05</v>
      </c>
      <c r="G45" s="7">
        <v>8.6966700000000001E-3</v>
      </c>
      <c r="H45" s="53"/>
    </row>
    <row r="46" spans="1:8" ht="17.100000000000001" customHeight="1" x14ac:dyDescent="0.2">
      <c r="A46" s="3">
        <v>40</v>
      </c>
      <c r="B46" s="4" t="s">
        <v>594</v>
      </c>
      <c r="C46" s="4" t="s">
        <v>595</v>
      </c>
      <c r="D46" s="4" t="s">
        <v>265</v>
      </c>
      <c r="E46" s="5">
        <v>93000</v>
      </c>
      <c r="F46" s="6">
        <v>1401.3240000000001</v>
      </c>
      <c r="G46" s="7">
        <v>8.1788209999999993E-3</v>
      </c>
      <c r="H46" s="53"/>
    </row>
    <row r="47" spans="1:8" ht="17.100000000000001" customHeight="1" x14ac:dyDescent="0.2">
      <c r="A47" s="3">
        <v>41</v>
      </c>
      <c r="B47" s="4" t="s">
        <v>716</v>
      </c>
      <c r="C47" s="4" t="s">
        <v>717</v>
      </c>
      <c r="D47" s="4" t="s">
        <v>900</v>
      </c>
      <c r="E47" s="5">
        <v>36000</v>
      </c>
      <c r="F47" s="6">
        <v>1398.2760000000001</v>
      </c>
      <c r="G47" s="7">
        <v>8.1610309999999991E-3</v>
      </c>
      <c r="H47" s="53"/>
    </row>
    <row r="48" spans="1:8" ht="17.100000000000001" customHeight="1" x14ac:dyDescent="0.2">
      <c r="A48" s="3">
        <v>42</v>
      </c>
      <c r="B48" s="4" t="s">
        <v>85</v>
      </c>
      <c r="C48" s="4" t="s">
        <v>86</v>
      </c>
      <c r="D48" s="4" t="s">
        <v>87</v>
      </c>
      <c r="E48" s="5">
        <v>46000</v>
      </c>
      <c r="F48" s="6">
        <v>1263.4590000000001</v>
      </c>
      <c r="G48" s="7">
        <v>7.3741730000000004E-3</v>
      </c>
      <c r="H48" s="53"/>
    </row>
    <row r="49" spans="1:8" ht="17.100000000000001" customHeight="1" x14ac:dyDescent="0.2">
      <c r="A49" s="3">
        <v>43</v>
      </c>
      <c r="B49" s="4" t="s">
        <v>583</v>
      </c>
      <c r="C49" s="4" t="s">
        <v>584</v>
      </c>
      <c r="D49" s="4" t="s">
        <v>187</v>
      </c>
      <c r="E49" s="5">
        <v>140000</v>
      </c>
      <c r="F49" s="6">
        <v>1228.57</v>
      </c>
      <c r="G49" s="7">
        <v>7.1705429999999997E-3</v>
      </c>
      <c r="H49" s="53"/>
    </row>
    <row r="50" spans="1:8" ht="17.100000000000001" customHeight="1" x14ac:dyDescent="0.2">
      <c r="A50" s="3">
        <v>44</v>
      </c>
      <c r="B50" s="4" t="s">
        <v>217</v>
      </c>
      <c r="C50" s="4" t="s">
        <v>218</v>
      </c>
      <c r="D50" s="4" t="s">
        <v>219</v>
      </c>
      <c r="E50" s="5">
        <v>194000</v>
      </c>
      <c r="F50" s="6">
        <v>1126.364</v>
      </c>
      <c r="G50" s="7">
        <v>6.574018E-3</v>
      </c>
      <c r="H50" s="53"/>
    </row>
    <row r="51" spans="1:8" ht="17.100000000000001" customHeight="1" x14ac:dyDescent="0.2">
      <c r="A51" s="3">
        <v>45</v>
      </c>
      <c r="B51" s="4" t="s">
        <v>520</v>
      </c>
      <c r="C51" s="4" t="s">
        <v>521</v>
      </c>
      <c r="D51" s="4" t="s">
        <v>900</v>
      </c>
      <c r="E51" s="5">
        <v>102772</v>
      </c>
      <c r="F51" s="6">
        <v>1069.3940459999999</v>
      </c>
      <c r="G51" s="7">
        <v>6.2415129999999997E-3</v>
      </c>
      <c r="H51" s="53"/>
    </row>
    <row r="52" spans="1:8" ht="29.1" customHeight="1" x14ac:dyDescent="0.2">
      <c r="A52" s="3">
        <v>46</v>
      </c>
      <c r="B52" s="4" t="s">
        <v>257</v>
      </c>
      <c r="C52" s="4" t="s">
        <v>258</v>
      </c>
      <c r="D52" s="4" t="s">
        <v>227</v>
      </c>
      <c r="E52" s="5">
        <v>65000</v>
      </c>
      <c r="F52" s="6">
        <v>1024.7574999999999</v>
      </c>
      <c r="G52" s="7">
        <v>5.9809920000000001E-3</v>
      </c>
      <c r="H52" s="53"/>
    </row>
    <row r="53" spans="1:8" ht="17.100000000000001" customHeight="1" x14ac:dyDescent="0.2">
      <c r="A53" s="3">
        <v>47</v>
      </c>
      <c r="B53" s="4" t="s">
        <v>327</v>
      </c>
      <c r="C53" s="4" t="s">
        <v>328</v>
      </c>
      <c r="D53" s="4" t="s">
        <v>19</v>
      </c>
      <c r="E53" s="5">
        <v>78000</v>
      </c>
      <c r="F53" s="6">
        <v>951.678</v>
      </c>
      <c r="G53" s="7">
        <v>5.5544640000000003E-3</v>
      </c>
      <c r="H53" s="53"/>
    </row>
    <row r="54" spans="1:8" ht="17.100000000000001" customHeight="1" x14ac:dyDescent="0.2">
      <c r="A54" s="3">
        <v>48</v>
      </c>
      <c r="B54" s="4" t="s">
        <v>295</v>
      </c>
      <c r="C54" s="4" t="s">
        <v>296</v>
      </c>
      <c r="D54" s="4" t="s">
        <v>248</v>
      </c>
      <c r="E54" s="5">
        <v>76000</v>
      </c>
      <c r="F54" s="6">
        <v>935.78800000000001</v>
      </c>
      <c r="G54" s="7">
        <v>5.4617219999999996E-3</v>
      </c>
      <c r="H54" s="53"/>
    </row>
    <row r="55" spans="1:8" ht="17.100000000000001" customHeight="1" x14ac:dyDescent="0.2">
      <c r="A55" s="3">
        <v>49</v>
      </c>
      <c r="B55" s="4" t="s">
        <v>238</v>
      </c>
      <c r="C55" s="4" t="s">
        <v>239</v>
      </c>
      <c r="D55" s="4" t="s">
        <v>237</v>
      </c>
      <c r="E55" s="5">
        <v>300000</v>
      </c>
      <c r="F55" s="6">
        <v>858.3</v>
      </c>
      <c r="G55" s="7">
        <v>5.0094639999999999E-3</v>
      </c>
      <c r="H55" s="53"/>
    </row>
    <row r="56" spans="1:8" ht="17.100000000000001" customHeight="1" x14ac:dyDescent="0.2">
      <c r="A56" s="3">
        <v>50</v>
      </c>
      <c r="B56" s="4" t="s">
        <v>312</v>
      </c>
      <c r="C56" s="4" t="s">
        <v>313</v>
      </c>
      <c r="D56" s="4" t="s">
        <v>224</v>
      </c>
      <c r="E56" s="5">
        <v>64000</v>
      </c>
      <c r="F56" s="6">
        <v>855.87199999999996</v>
      </c>
      <c r="G56" s="7">
        <v>4.9952929999999996E-3</v>
      </c>
      <c r="H56" s="53"/>
    </row>
    <row r="57" spans="1:8" ht="17.100000000000001" customHeight="1" x14ac:dyDescent="0.2">
      <c r="A57" s="3">
        <v>51</v>
      </c>
      <c r="B57" s="4" t="s">
        <v>365</v>
      </c>
      <c r="C57" s="4" t="s">
        <v>366</v>
      </c>
      <c r="D57" s="4" t="s">
        <v>119</v>
      </c>
      <c r="E57" s="5">
        <v>140000</v>
      </c>
      <c r="F57" s="6">
        <v>749.07</v>
      </c>
      <c r="G57" s="7">
        <v>4.371944E-3</v>
      </c>
      <c r="H57" s="53"/>
    </row>
    <row r="58" spans="1:8" ht="17.100000000000001" customHeight="1" x14ac:dyDescent="0.2">
      <c r="A58" s="3">
        <v>52</v>
      </c>
      <c r="B58" s="4" t="s">
        <v>316</v>
      </c>
      <c r="C58" s="4" t="s">
        <v>317</v>
      </c>
      <c r="D58" s="4" t="s">
        <v>900</v>
      </c>
      <c r="E58" s="5">
        <v>188000</v>
      </c>
      <c r="F58" s="6">
        <v>738.37</v>
      </c>
      <c r="G58" s="7">
        <v>4.3094930000000002E-3</v>
      </c>
      <c r="H58" s="53"/>
    </row>
    <row r="59" spans="1:8" ht="29.1" customHeight="1" x14ac:dyDescent="0.2">
      <c r="A59" s="3">
        <v>53</v>
      </c>
      <c r="B59" s="4" t="s">
        <v>481</v>
      </c>
      <c r="C59" s="4" t="s">
        <v>482</v>
      </c>
      <c r="D59" s="4" t="s">
        <v>227</v>
      </c>
      <c r="E59" s="5">
        <v>58000</v>
      </c>
      <c r="F59" s="6">
        <v>624.05100000000004</v>
      </c>
      <c r="G59" s="7">
        <v>3.6422709999999999E-3</v>
      </c>
      <c r="H59" s="53"/>
    </row>
    <row r="60" spans="1:8" ht="17.100000000000001" customHeight="1" x14ac:dyDescent="0.2">
      <c r="A60" s="3">
        <v>54</v>
      </c>
      <c r="B60" s="4" t="s">
        <v>287</v>
      </c>
      <c r="C60" s="4" t="s">
        <v>288</v>
      </c>
      <c r="D60" s="4" t="s">
        <v>116</v>
      </c>
      <c r="E60" s="5">
        <v>13000</v>
      </c>
      <c r="F60" s="6">
        <v>507.59800000000001</v>
      </c>
      <c r="G60" s="7">
        <v>2.9625929999999999E-3</v>
      </c>
      <c r="H60" s="53"/>
    </row>
    <row r="61" spans="1:8" ht="17.100000000000001" customHeight="1" x14ac:dyDescent="0.2">
      <c r="A61" s="3">
        <v>55</v>
      </c>
      <c r="B61" s="4" t="s">
        <v>244</v>
      </c>
      <c r="C61" s="4" t="s">
        <v>245</v>
      </c>
      <c r="D61" s="4" t="s">
        <v>116</v>
      </c>
      <c r="E61" s="5">
        <v>40000</v>
      </c>
      <c r="F61" s="6">
        <v>319.94</v>
      </c>
      <c r="G61" s="7">
        <v>1.8673279999999999E-3</v>
      </c>
      <c r="H61" s="53"/>
    </row>
    <row r="62" spans="1:8" ht="17.100000000000001" customHeight="1" x14ac:dyDescent="0.2">
      <c r="A62" s="3">
        <v>56</v>
      </c>
      <c r="B62" s="4" t="s">
        <v>127</v>
      </c>
      <c r="C62" s="4" t="s">
        <v>128</v>
      </c>
      <c r="D62" s="4" t="s">
        <v>119</v>
      </c>
      <c r="E62" s="5">
        <v>125775</v>
      </c>
      <c r="F62" s="6">
        <v>284.64140250000003</v>
      </c>
      <c r="G62" s="7">
        <v>1.661308E-3</v>
      </c>
      <c r="H62" s="53"/>
    </row>
    <row r="63" spans="1:8" ht="17.100000000000001" customHeight="1" x14ac:dyDescent="0.2">
      <c r="A63" s="3">
        <v>57</v>
      </c>
      <c r="B63" s="4" t="s">
        <v>540</v>
      </c>
      <c r="C63" s="4" t="s">
        <v>541</v>
      </c>
      <c r="D63" s="4" t="s">
        <v>190</v>
      </c>
      <c r="E63" s="5">
        <v>18112</v>
      </c>
      <c r="F63" s="6">
        <v>242.356672</v>
      </c>
      <c r="G63" s="7">
        <v>1.414514E-3</v>
      </c>
      <c r="H63" s="53"/>
    </row>
    <row r="64" spans="1:8" ht="14.1" customHeight="1" x14ac:dyDescent="0.2">
      <c r="A64" s="1"/>
      <c r="B64" s="1"/>
      <c r="C64" s="2" t="s">
        <v>132</v>
      </c>
      <c r="D64" s="1"/>
      <c r="E64" s="1" t="s">
        <v>133</v>
      </c>
      <c r="F64" s="9">
        <v>170243.26429749999</v>
      </c>
      <c r="G64" s="10">
        <v>0.99362401600000005</v>
      </c>
      <c r="H64" s="53"/>
    </row>
    <row r="65" spans="1:8" ht="14.1" customHeight="1" x14ac:dyDescent="0.2">
      <c r="A65" s="1"/>
      <c r="B65" s="1"/>
      <c r="C65" s="11"/>
      <c r="D65" s="1"/>
      <c r="E65" s="1"/>
      <c r="F65" s="12"/>
      <c r="G65" s="12"/>
      <c r="H65" s="53"/>
    </row>
    <row r="66" spans="1:8" ht="14.1" customHeight="1" x14ac:dyDescent="0.2">
      <c r="A66" s="1"/>
      <c r="B66" s="1"/>
      <c r="C66" s="2" t="s">
        <v>134</v>
      </c>
      <c r="D66" s="1"/>
      <c r="E66" s="1"/>
      <c r="F66" s="1"/>
      <c r="G66" s="1"/>
      <c r="H66" s="53"/>
    </row>
    <row r="67" spans="1:8" ht="14.1" customHeight="1" x14ac:dyDescent="0.2">
      <c r="A67" s="1"/>
      <c r="B67" s="1"/>
      <c r="C67" s="2" t="s">
        <v>132</v>
      </c>
      <c r="D67" s="1"/>
      <c r="E67" s="1" t="s">
        <v>133</v>
      </c>
      <c r="F67" s="13">
        <v>0</v>
      </c>
      <c r="G67" s="14">
        <v>0</v>
      </c>
      <c r="H67" s="53"/>
    </row>
    <row r="68" spans="1:8" ht="14.1" customHeight="1" x14ac:dyDescent="0.2">
      <c r="A68" s="1"/>
      <c r="B68" s="1"/>
      <c r="C68" s="11"/>
      <c r="D68" s="1"/>
      <c r="E68" s="1"/>
      <c r="F68" s="12"/>
      <c r="G68" s="12"/>
      <c r="H68" s="53"/>
    </row>
    <row r="69" spans="1:8" ht="14.1" customHeight="1" x14ac:dyDescent="0.2">
      <c r="A69" s="1"/>
      <c r="B69" s="1"/>
      <c r="C69" s="2" t="s">
        <v>135</v>
      </c>
      <c r="D69" s="1"/>
      <c r="E69" s="1"/>
      <c r="F69" s="1"/>
      <c r="G69" s="1"/>
      <c r="H69" s="53"/>
    </row>
    <row r="70" spans="1:8" ht="14.1" customHeight="1" x14ac:dyDescent="0.2">
      <c r="A70" s="1"/>
      <c r="B70" s="1"/>
      <c r="C70" s="2" t="s">
        <v>132</v>
      </c>
      <c r="D70" s="1"/>
      <c r="E70" s="1" t="s">
        <v>133</v>
      </c>
      <c r="F70" s="13">
        <v>0</v>
      </c>
      <c r="G70" s="14">
        <v>0</v>
      </c>
      <c r="H70" s="53"/>
    </row>
    <row r="71" spans="1:8" ht="14.1" customHeight="1" x14ac:dyDescent="0.2">
      <c r="A71" s="1"/>
      <c r="B71" s="1"/>
      <c r="C71" s="11"/>
      <c r="D71" s="1"/>
      <c r="E71" s="1"/>
      <c r="F71" s="12"/>
      <c r="G71" s="12"/>
      <c r="H71" s="53"/>
    </row>
    <row r="72" spans="1:8" ht="14.1" customHeight="1" x14ac:dyDescent="0.2">
      <c r="A72" s="1"/>
      <c r="B72" s="1"/>
      <c r="C72" s="2" t="s">
        <v>136</v>
      </c>
      <c r="D72" s="1"/>
      <c r="E72" s="1"/>
      <c r="F72" s="1"/>
      <c r="G72" s="1"/>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4.1" customHeight="1" x14ac:dyDescent="0.2">
      <c r="A75" s="1"/>
      <c r="B75" s="1"/>
      <c r="C75" s="2" t="s">
        <v>137</v>
      </c>
      <c r="D75" s="1"/>
      <c r="E75" s="1"/>
      <c r="F75" s="12"/>
      <c r="G75" s="12"/>
      <c r="H75" s="53"/>
    </row>
    <row r="76" spans="1:8" ht="14.1" customHeight="1" x14ac:dyDescent="0.2">
      <c r="A76" s="1"/>
      <c r="B76" s="1"/>
      <c r="C76" s="2" t="s">
        <v>132</v>
      </c>
      <c r="D76" s="1"/>
      <c r="E76" s="1" t="s">
        <v>133</v>
      </c>
      <c r="F76" s="13">
        <v>0</v>
      </c>
      <c r="G76" s="14">
        <v>0</v>
      </c>
      <c r="H76" s="53"/>
    </row>
    <row r="77" spans="1:8" ht="14.1" customHeight="1" x14ac:dyDescent="0.2">
      <c r="A77" s="1"/>
      <c r="B77" s="1"/>
      <c r="C77" s="11"/>
      <c r="D77" s="1"/>
      <c r="E77" s="1"/>
      <c r="F77" s="12"/>
      <c r="G77" s="12"/>
      <c r="H77" s="53"/>
    </row>
    <row r="78" spans="1:8" ht="14.1" customHeight="1" x14ac:dyDescent="0.2">
      <c r="A78" s="1"/>
      <c r="B78" s="1"/>
      <c r="C78" s="2" t="s">
        <v>138</v>
      </c>
      <c r="D78" s="1"/>
      <c r="E78" s="1"/>
      <c r="F78" s="12"/>
      <c r="G78" s="12"/>
      <c r="H78" s="53"/>
    </row>
    <row r="79" spans="1:8" ht="14.1" customHeight="1" x14ac:dyDescent="0.2">
      <c r="A79" s="1"/>
      <c r="B79" s="1"/>
      <c r="C79" s="2" t="s">
        <v>132</v>
      </c>
      <c r="D79" s="1"/>
      <c r="E79" s="1" t="s">
        <v>133</v>
      </c>
      <c r="F79" s="13">
        <v>0</v>
      </c>
      <c r="G79" s="14">
        <v>0</v>
      </c>
      <c r="H79" s="53"/>
    </row>
    <row r="80" spans="1:8" ht="14.1" customHeight="1" x14ac:dyDescent="0.2">
      <c r="A80" s="1"/>
      <c r="B80" s="1"/>
      <c r="C80" s="11"/>
      <c r="D80" s="1"/>
      <c r="E80" s="1"/>
      <c r="F80" s="12"/>
      <c r="G80" s="12"/>
      <c r="H80" s="53"/>
    </row>
    <row r="81" spans="1:8" ht="18" customHeight="1" x14ac:dyDescent="0.2">
      <c r="A81" s="1"/>
      <c r="B81" s="1"/>
      <c r="C81" s="2" t="s">
        <v>139</v>
      </c>
      <c r="D81" s="1"/>
      <c r="E81" s="1"/>
      <c r="F81" s="9">
        <v>170243.26429749999</v>
      </c>
      <c r="G81" s="10">
        <v>0.99362401600000005</v>
      </c>
      <c r="H81" s="53"/>
    </row>
    <row r="82" spans="1:8" ht="14.1" customHeight="1" x14ac:dyDescent="0.2">
      <c r="A82" s="1"/>
      <c r="B82" s="1"/>
      <c r="C82" s="11"/>
      <c r="D82" s="1"/>
      <c r="E82" s="1"/>
      <c r="F82" s="12"/>
      <c r="G82" s="12"/>
      <c r="H82" s="53"/>
    </row>
    <row r="83" spans="1:8" ht="14.1" customHeight="1" x14ac:dyDescent="0.2">
      <c r="A83" s="1"/>
      <c r="B83" s="1"/>
      <c r="C83" s="2" t="s">
        <v>140</v>
      </c>
      <c r="D83" s="1"/>
      <c r="E83" s="1"/>
      <c r="F83" s="12"/>
      <c r="G83" s="12"/>
      <c r="H83" s="53"/>
    </row>
    <row r="84" spans="1:8" ht="24" customHeight="1" x14ac:dyDescent="0.2">
      <c r="A84" s="1"/>
      <c r="B84" s="1"/>
      <c r="C84" s="2" t="s">
        <v>10</v>
      </c>
      <c r="D84" s="1"/>
      <c r="E84" s="1"/>
      <c r="F84" s="12"/>
      <c r="G84" s="12"/>
      <c r="H84" s="53"/>
    </row>
    <row r="85" spans="1:8" ht="14.1" customHeight="1" x14ac:dyDescent="0.2">
      <c r="A85" s="1"/>
      <c r="B85" s="1"/>
      <c r="C85" s="2" t="s">
        <v>132</v>
      </c>
      <c r="D85" s="1"/>
      <c r="E85" s="1" t="s">
        <v>133</v>
      </c>
      <c r="F85" s="13">
        <v>0</v>
      </c>
      <c r="G85" s="14">
        <v>0</v>
      </c>
      <c r="H85" s="53"/>
    </row>
    <row r="86" spans="1:8" ht="14.1" customHeight="1" x14ac:dyDescent="0.2">
      <c r="A86" s="1"/>
      <c r="B86" s="1"/>
      <c r="C86" s="11"/>
      <c r="D86" s="1"/>
      <c r="E86" s="1"/>
      <c r="F86" s="12"/>
      <c r="G86" s="12"/>
      <c r="H86" s="53"/>
    </row>
    <row r="87" spans="1:8" ht="14.1" customHeight="1" x14ac:dyDescent="0.2">
      <c r="A87" s="1"/>
      <c r="B87" s="1"/>
      <c r="C87" s="2" t="s">
        <v>141</v>
      </c>
      <c r="D87" s="1"/>
      <c r="E87" s="1"/>
      <c r="F87" s="1"/>
      <c r="G87" s="1"/>
      <c r="H87" s="53"/>
    </row>
    <row r="88" spans="1:8" ht="14.1" customHeight="1" x14ac:dyDescent="0.2">
      <c r="A88" s="1"/>
      <c r="B88" s="1"/>
      <c r="C88" s="2" t="s">
        <v>132</v>
      </c>
      <c r="D88" s="1"/>
      <c r="E88" s="1" t="s">
        <v>133</v>
      </c>
      <c r="F88" s="13">
        <v>0</v>
      </c>
      <c r="G88" s="14">
        <v>0</v>
      </c>
      <c r="H88" s="53"/>
    </row>
    <row r="89" spans="1:8" ht="14.1" customHeight="1" x14ac:dyDescent="0.2">
      <c r="A89" s="1"/>
      <c r="B89" s="1"/>
      <c r="C89" s="11"/>
      <c r="D89" s="1"/>
      <c r="E89" s="1"/>
      <c r="F89" s="12"/>
      <c r="G89" s="12"/>
      <c r="H89" s="53"/>
    </row>
    <row r="90" spans="1:8" ht="14.1" customHeight="1" x14ac:dyDescent="0.2">
      <c r="A90" s="1"/>
      <c r="B90" s="1"/>
      <c r="C90" s="2" t="s">
        <v>142</v>
      </c>
      <c r="D90" s="1"/>
      <c r="E90" s="1"/>
      <c r="F90" s="1"/>
      <c r="G90" s="1"/>
      <c r="H90" s="53"/>
    </row>
    <row r="91" spans="1:8" ht="14.1" customHeight="1" x14ac:dyDescent="0.2">
      <c r="A91" s="1"/>
      <c r="B91" s="1"/>
      <c r="C91" s="2" t="s">
        <v>132</v>
      </c>
      <c r="D91" s="1"/>
      <c r="E91" s="1" t="s">
        <v>133</v>
      </c>
      <c r="F91" s="13">
        <v>0</v>
      </c>
      <c r="G91" s="14">
        <v>0</v>
      </c>
      <c r="H91" s="53"/>
    </row>
    <row r="92" spans="1:8" ht="14.1" customHeight="1" x14ac:dyDescent="0.2">
      <c r="A92" s="1"/>
      <c r="B92" s="1"/>
      <c r="C92" s="11"/>
      <c r="D92" s="1"/>
      <c r="E92" s="1"/>
      <c r="F92" s="12"/>
      <c r="G92" s="12"/>
      <c r="H92" s="53"/>
    </row>
    <row r="93" spans="1:8" ht="14.1" customHeight="1" x14ac:dyDescent="0.2">
      <c r="A93" s="1"/>
      <c r="B93" s="1"/>
      <c r="C93" s="2" t="s">
        <v>143</v>
      </c>
      <c r="D93" s="1"/>
      <c r="E93" s="1"/>
      <c r="F93" s="12"/>
      <c r="G93" s="12"/>
      <c r="H93" s="53"/>
    </row>
    <row r="94" spans="1:8" ht="14.1" customHeight="1" x14ac:dyDescent="0.2">
      <c r="A94" s="1"/>
      <c r="B94" s="1"/>
      <c r="C94" s="2" t="s">
        <v>132</v>
      </c>
      <c r="D94" s="1"/>
      <c r="E94" s="1" t="s">
        <v>133</v>
      </c>
      <c r="F94" s="13">
        <v>0</v>
      </c>
      <c r="G94" s="14">
        <v>0</v>
      </c>
      <c r="H94" s="53"/>
    </row>
    <row r="95" spans="1:8" ht="14.1" customHeight="1" x14ac:dyDescent="0.2">
      <c r="A95" s="1"/>
      <c r="B95" s="1"/>
      <c r="C95" s="11"/>
      <c r="D95" s="1"/>
      <c r="E95" s="1"/>
      <c r="F95" s="12"/>
      <c r="G95" s="12"/>
      <c r="H95" s="53"/>
    </row>
    <row r="96" spans="1:8" ht="14.1" customHeight="1" x14ac:dyDescent="0.2">
      <c r="A96" s="1"/>
      <c r="B96" s="1"/>
      <c r="C96" s="2" t="s">
        <v>144</v>
      </c>
      <c r="D96" s="1"/>
      <c r="E96" s="1"/>
      <c r="F96" s="9">
        <v>0</v>
      </c>
      <c r="G96" s="10">
        <v>0</v>
      </c>
      <c r="H96" s="53"/>
    </row>
    <row r="97" spans="1:8" ht="14.1" customHeight="1" x14ac:dyDescent="0.2">
      <c r="A97" s="1"/>
      <c r="B97" s="1"/>
      <c r="C97" s="11"/>
      <c r="D97" s="1"/>
      <c r="E97" s="1"/>
      <c r="F97" s="12"/>
      <c r="G97" s="12"/>
      <c r="H97" s="53"/>
    </row>
    <row r="98" spans="1:8" ht="14.1" customHeight="1" x14ac:dyDescent="0.2">
      <c r="A98" s="1"/>
      <c r="B98" s="1"/>
      <c r="C98" s="2" t="s">
        <v>145</v>
      </c>
      <c r="D98" s="1"/>
      <c r="E98" s="1"/>
      <c r="F98" s="12"/>
      <c r="G98" s="12"/>
      <c r="H98" s="53"/>
    </row>
    <row r="99" spans="1:8" ht="14.1" customHeight="1" x14ac:dyDescent="0.2">
      <c r="A99" s="1"/>
      <c r="B99" s="1"/>
      <c r="C99" s="2" t="s">
        <v>146</v>
      </c>
      <c r="D99" s="1"/>
      <c r="E99" s="1"/>
      <c r="F99" s="12"/>
      <c r="G99" s="12"/>
      <c r="H99" s="53"/>
    </row>
    <row r="100" spans="1:8" ht="14.1" customHeight="1" x14ac:dyDescent="0.2">
      <c r="A100" s="1"/>
      <c r="B100" s="1"/>
      <c r="C100" s="2" t="s">
        <v>132</v>
      </c>
      <c r="D100" s="1"/>
      <c r="E100" s="1" t="s">
        <v>133</v>
      </c>
      <c r="F100" s="13">
        <v>0</v>
      </c>
      <c r="G100" s="14">
        <v>0</v>
      </c>
      <c r="H100" s="53"/>
    </row>
    <row r="101" spans="1:8" ht="14.1" customHeight="1" x14ac:dyDescent="0.2">
      <c r="A101" s="1"/>
      <c r="B101" s="1"/>
      <c r="C101" s="11"/>
      <c r="D101" s="1"/>
      <c r="E101" s="1"/>
      <c r="F101" s="12"/>
      <c r="G101" s="12"/>
      <c r="H101" s="53"/>
    </row>
    <row r="102" spans="1:8" ht="14.1" customHeight="1" x14ac:dyDescent="0.2">
      <c r="A102" s="1"/>
      <c r="B102" s="1"/>
      <c r="C102" s="2" t="s">
        <v>147</v>
      </c>
      <c r="D102" s="1"/>
      <c r="E102" s="1"/>
      <c r="F102" s="12"/>
      <c r="G102" s="12"/>
      <c r="H102" s="53"/>
    </row>
    <row r="103" spans="1:8" ht="14.1" customHeight="1" x14ac:dyDescent="0.2">
      <c r="A103" s="1"/>
      <c r="B103" s="1"/>
      <c r="C103" s="2" t="s">
        <v>132</v>
      </c>
      <c r="D103" s="1"/>
      <c r="E103" s="1" t="s">
        <v>133</v>
      </c>
      <c r="F103" s="13">
        <v>0</v>
      </c>
      <c r="G103" s="14">
        <v>0</v>
      </c>
      <c r="H103" s="53"/>
    </row>
    <row r="104" spans="1:8" ht="14.1" customHeight="1" x14ac:dyDescent="0.2">
      <c r="A104" s="1"/>
      <c r="B104" s="1"/>
      <c r="C104" s="11"/>
      <c r="D104" s="1"/>
      <c r="E104" s="1"/>
      <c r="F104" s="12"/>
      <c r="G104" s="12"/>
      <c r="H104" s="53"/>
    </row>
    <row r="105" spans="1:8" ht="14.1" customHeight="1" x14ac:dyDescent="0.2">
      <c r="A105" s="1"/>
      <c r="B105" s="1"/>
      <c r="C105" s="2" t="s">
        <v>148</v>
      </c>
      <c r="D105" s="1"/>
      <c r="E105" s="1"/>
      <c r="F105" s="12"/>
      <c r="G105" s="12"/>
      <c r="H105" s="53"/>
    </row>
    <row r="106" spans="1:8" ht="14.1" customHeight="1" x14ac:dyDescent="0.2">
      <c r="A106" s="1"/>
      <c r="B106" s="1"/>
      <c r="C106" s="2" t="s">
        <v>132</v>
      </c>
      <c r="D106" s="1"/>
      <c r="E106" s="1" t="s">
        <v>133</v>
      </c>
      <c r="F106" s="13">
        <v>0</v>
      </c>
      <c r="G106" s="14">
        <v>0</v>
      </c>
      <c r="H106" s="53"/>
    </row>
    <row r="107" spans="1:8" ht="14.1" customHeight="1" x14ac:dyDescent="0.2">
      <c r="A107" s="1"/>
      <c r="B107" s="1"/>
      <c r="C107" s="11"/>
      <c r="D107" s="1"/>
      <c r="E107" s="1"/>
      <c r="F107" s="12"/>
      <c r="G107" s="12"/>
      <c r="H107" s="53"/>
    </row>
    <row r="108" spans="1:8" ht="14.1" customHeight="1" x14ac:dyDescent="0.2">
      <c r="A108" s="1"/>
      <c r="B108" s="1"/>
      <c r="C108" s="2" t="s">
        <v>149</v>
      </c>
      <c r="D108" s="1"/>
      <c r="E108" s="1"/>
      <c r="F108" s="12"/>
      <c r="G108" s="12"/>
      <c r="H108" s="53"/>
    </row>
    <row r="109" spans="1:8" ht="17.100000000000001" customHeight="1" x14ac:dyDescent="0.2">
      <c r="A109" s="3">
        <v>1</v>
      </c>
      <c r="B109" s="4"/>
      <c r="C109" s="4" t="s">
        <v>150</v>
      </c>
      <c r="D109" s="4"/>
      <c r="E109" s="8"/>
      <c r="F109" s="6">
        <v>1478.2457015</v>
      </c>
      <c r="G109" s="7">
        <v>8.6277739999999995E-3</v>
      </c>
      <c r="H109" s="53">
        <v>6.46</v>
      </c>
    </row>
    <row r="110" spans="1:8" ht="14.1" customHeight="1" x14ac:dyDescent="0.2">
      <c r="A110" s="1"/>
      <c r="B110" s="1"/>
      <c r="C110" s="2" t="s">
        <v>132</v>
      </c>
      <c r="D110" s="1"/>
      <c r="E110" s="1" t="s">
        <v>133</v>
      </c>
      <c r="F110" s="9">
        <v>1478.2457015</v>
      </c>
      <c r="G110" s="10">
        <v>8.6277739999999995E-3</v>
      </c>
      <c r="H110" s="53"/>
    </row>
    <row r="111" spans="1:8" ht="14.1" customHeight="1" x14ac:dyDescent="0.2">
      <c r="A111" s="1"/>
      <c r="B111" s="1"/>
      <c r="C111" s="11"/>
      <c r="D111" s="1"/>
      <c r="E111" s="1"/>
      <c r="F111" s="12"/>
      <c r="G111" s="12"/>
      <c r="H111" s="53"/>
    </row>
    <row r="112" spans="1:8" ht="14.1" customHeight="1" x14ac:dyDescent="0.2">
      <c r="A112" s="1"/>
      <c r="B112" s="1"/>
      <c r="C112" s="2" t="s">
        <v>151</v>
      </c>
      <c r="D112" s="1"/>
      <c r="E112" s="1"/>
      <c r="F112" s="9">
        <v>1478.2457015</v>
      </c>
      <c r="G112" s="10">
        <v>8.6277739999999995E-3</v>
      </c>
      <c r="H112" s="53"/>
    </row>
    <row r="113" spans="1:8" ht="14.1" customHeight="1" x14ac:dyDescent="0.2">
      <c r="A113" s="1"/>
      <c r="B113" s="1"/>
      <c r="C113" s="12"/>
      <c r="D113" s="1"/>
      <c r="E113" s="1"/>
      <c r="F113" s="1"/>
      <c r="G113" s="1"/>
      <c r="H113" s="53"/>
    </row>
    <row r="114" spans="1:8" ht="14.1" customHeight="1" x14ac:dyDescent="0.2">
      <c r="A114" s="1"/>
      <c r="B114" s="1"/>
      <c r="C114" s="2" t="s">
        <v>152</v>
      </c>
      <c r="D114" s="1"/>
      <c r="E114" s="1"/>
      <c r="F114" s="1"/>
      <c r="G114" s="1"/>
      <c r="H114" s="53"/>
    </row>
    <row r="115" spans="1:8" ht="14.1" customHeight="1" x14ac:dyDescent="0.2">
      <c r="A115" s="1"/>
      <c r="B115" s="1"/>
      <c r="C115" s="2" t="s">
        <v>153</v>
      </c>
      <c r="D115" s="1"/>
      <c r="E115" s="1"/>
      <c r="F115" s="1"/>
      <c r="G115" s="1"/>
      <c r="H115" s="53"/>
    </row>
    <row r="116" spans="1:8" ht="14.1" customHeight="1" x14ac:dyDescent="0.2">
      <c r="A116" s="1"/>
      <c r="B116" s="1"/>
      <c r="C116" s="2" t="s">
        <v>132</v>
      </c>
      <c r="D116" s="1"/>
      <c r="E116" s="1" t="s">
        <v>133</v>
      </c>
      <c r="F116" s="13">
        <v>0</v>
      </c>
      <c r="G116" s="14">
        <v>0</v>
      </c>
      <c r="H116" s="53"/>
    </row>
    <row r="117" spans="1:8" ht="14.1" customHeight="1" x14ac:dyDescent="0.2">
      <c r="A117" s="1"/>
      <c r="B117" s="1"/>
      <c r="C117" s="11"/>
      <c r="D117" s="1"/>
      <c r="E117" s="1"/>
      <c r="F117" s="12"/>
      <c r="G117" s="12"/>
      <c r="H117" s="53"/>
    </row>
    <row r="118" spans="1:8" ht="14.1" customHeight="1" x14ac:dyDescent="0.2">
      <c r="A118" s="1"/>
      <c r="B118" s="1"/>
      <c r="C118" s="2" t="s">
        <v>154</v>
      </c>
      <c r="D118" s="1"/>
      <c r="E118" s="1"/>
      <c r="F118" s="1"/>
      <c r="G118" s="1"/>
      <c r="H118" s="53"/>
    </row>
    <row r="119" spans="1:8" ht="14.1" customHeight="1" x14ac:dyDescent="0.2">
      <c r="A119" s="1"/>
      <c r="B119" s="1"/>
      <c r="C119" s="2" t="s">
        <v>155</v>
      </c>
      <c r="D119" s="1"/>
      <c r="E119" s="1"/>
      <c r="F119" s="1"/>
      <c r="G119" s="1"/>
      <c r="H119" s="53"/>
    </row>
    <row r="120" spans="1:8" ht="14.1" customHeight="1" x14ac:dyDescent="0.2">
      <c r="A120" s="1"/>
      <c r="B120" s="1"/>
      <c r="C120" s="2" t="s">
        <v>132</v>
      </c>
      <c r="D120" s="1"/>
      <c r="E120" s="1" t="s">
        <v>133</v>
      </c>
      <c r="F120" s="13">
        <v>0</v>
      </c>
      <c r="G120" s="14">
        <v>0</v>
      </c>
      <c r="H120" s="53"/>
    </row>
    <row r="121" spans="1:8" ht="14.1" customHeight="1" x14ac:dyDescent="0.2">
      <c r="A121" s="1"/>
      <c r="B121" s="1"/>
      <c r="C121" s="11"/>
      <c r="D121" s="1"/>
      <c r="E121" s="1"/>
      <c r="F121" s="12"/>
      <c r="G121" s="12"/>
      <c r="H121" s="53"/>
    </row>
    <row r="122" spans="1:8" ht="14.1" customHeight="1" x14ac:dyDescent="0.2">
      <c r="A122" s="1"/>
      <c r="B122" s="1"/>
      <c r="C122" s="11"/>
      <c r="D122" s="1"/>
      <c r="E122" s="1"/>
      <c r="F122" s="12"/>
      <c r="G122" s="12"/>
      <c r="H122" s="53"/>
    </row>
    <row r="123" spans="1:8" ht="24" customHeight="1" x14ac:dyDescent="0.2">
      <c r="A123" s="1"/>
      <c r="B123" s="1"/>
      <c r="C123" s="2" t="s">
        <v>156</v>
      </c>
      <c r="D123" s="1"/>
      <c r="E123" s="1"/>
      <c r="F123" s="12"/>
      <c r="G123" s="12"/>
      <c r="H123" s="53"/>
    </row>
    <row r="124" spans="1:8" ht="14.1" customHeight="1" x14ac:dyDescent="0.2">
      <c r="A124" s="1"/>
      <c r="B124" s="1"/>
      <c r="C124" s="2" t="s">
        <v>132</v>
      </c>
      <c r="D124" s="1"/>
      <c r="E124" s="1" t="s">
        <v>133</v>
      </c>
      <c r="F124" s="13">
        <v>0</v>
      </c>
      <c r="G124" s="14">
        <v>0</v>
      </c>
      <c r="H124" s="53"/>
    </row>
    <row r="125" spans="1:8" ht="14.1" customHeight="1" x14ac:dyDescent="0.2">
      <c r="A125" s="1"/>
      <c r="B125" s="1"/>
      <c r="C125" s="11"/>
      <c r="D125" s="1"/>
      <c r="E125" s="1"/>
      <c r="F125" s="12"/>
      <c r="G125" s="12"/>
      <c r="H125" s="53"/>
    </row>
    <row r="126" spans="1:8" ht="14.1" customHeight="1" x14ac:dyDescent="0.2">
      <c r="A126" s="1"/>
      <c r="B126" s="4"/>
      <c r="C126" s="4"/>
      <c r="D126" s="2"/>
      <c r="E126" s="1"/>
      <c r="F126" s="4"/>
      <c r="G126" s="8"/>
      <c r="H126" s="53"/>
    </row>
    <row r="127" spans="1:8" ht="18" customHeight="1" x14ac:dyDescent="0.2">
      <c r="A127" s="8"/>
      <c r="B127" s="4"/>
      <c r="C127" s="4" t="s">
        <v>157</v>
      </c>
      <c r="D127" s="4"/>
      <c r="E127" s="8"/>
      <c r="F127" s="6">
        <v>-385.81196359</v>
      </c>
      <c r="G127" s="7">
        <v>-2.25179E-3</v>
      </c>
      <c r="H127" s="53"/>
    </row>
    <row r="128" spans="1:8" ht="14.1" customHeight="1" x14ac:dyDescent="0.2">
      <c r="A128" s="11"/>
      <c r="B128" s="11"/>
      <c r="C128" s="2" t="s">
        <v>158</v>
      </c>
      <c r="D128" s="15"/>
      <c r="E128" s="15"/>
      <c r="F128" s="9">
        <v>171335.69803540999</v>
      </c>
      <c r="G128" s="10">
        <v>1</v>
      </c>
      <c r="H128" s="53"/>
    </row>
    <row r="129" spans="1:7" ht="14.1" customHeight="1" x14ac:dyDescent="0.2">
      <c r="A129" s="16"/>
      <c r="B129" s="16"/>
      <c r="C129" s="16"/>
      <c r="D129" s="17"/>
      <c r="E129" s="17"/>
      <c r="F129" s="17"/>
      <c r="G129" s="17"/>
    </row>
    <row r="130" spans="1:7" ht="14.1" customHeight="1" x14ac:dyDescent="0.2">
      <c r="A130" s="18"/>
      <c r="B130" s="18"/>
      <c r="C130" s="18"/>
      <c r="D130" s="20"/>
      <c r="E130" s="20"/>
      <c r="F130" s="20"/>
      <c r="G130" s="20"/>
    </row>
    <row r="131" spans="1:7" ht="14.1" customHeight="1" x14ac:dyDescent="0.2">
      <c r="A131" s="18"/>
      <c r="B131" s="293" t="s">
        <v>160</v>
      </c>
      <c r="C131" s="294"/>
      <c r="D131" s="12" t="s">
        <v>133</v>
      </c>
      <c r="E131" s="21"/>
      <c r="F131" s="20"/>
      <c r="G131" s="20"/>
    </row>
    <row r="132" spans="1:7" ht="29.1" customHeight="1" x14ac:dyDescent="0.2">
      <c r="A132" s="18"/>
      <c r="B132" s="290" t="s">
        <v>161</v>
      </c>
      <c r="C132" s="291"/>
      <c r="D132" s="2" t="s">
        <v>162</v>
      </c>
      <c r="E132" s="21"/>
      <c r="F132" s="20"/>
      <c r="G132" s="20"/>
    </row>
    <row r="133" spans="1:7" ht="17.100000000000001" customHeight="1" x14ac:dyDescent="0.2">
      <c r="A133" s="18"/>
      <c r="B133" s="290" t="s">
        <v>163</v>
      </c>
      <c r="C133" s="291"/>
      <c r="D133" s="2" t="s">
        <v>162</v>
      </c>
      <c r="E133" s="21"/>
      <c r="F133" s="20"/>
      <c r="G133" s="20"/>
    </row>
    <row r="134" spans="1:7" ht="17.100000000000001" customHeight="1" x14ac:dyDescent="0.2">
      <c r="A134" s="18"/>
      <c r="B134" s="290" t="s">
        <v>164</v>
      </c>
      <c r="C134" s="291"/>
      <c r="D134" s="12" t="s">
        <v>133</v>
      </c>
      <c r="E134" s="21"/>
      <c r="F134" s="20"/>
      <c r="G134" s="20"/>
    </row>
    <row r="135" spans="1:7" ht="24" customHeight="1" x14ac:dyDescent="0.2">
      <c r="A135" s="22"/>
      <c r="B135" s="23" t="s">
        <v>133</v>
      </c>
      <c r="C135" s="23" t="s">
        <v>165</v>
      </c>
      <c r="D135" s="23" t="s">
        <v>166</v>
      </c>
      <c r="E135" s="22"/>
      <c r="F135" s="22"/>
      <c r="G135" s="22"/>
    </row>
    <row r="136" spans="1:7" ht="18" customHeight="1" x14ac:dyDescent="0.2">
      <c r="A136" s="22"/>
      <c r="B136" s="23" t="s">
        <v>167</v>
      </c>
      <c r="C136" s="23" t="s">
        <v>168</v>
      </c>
      <c r="D136" s="23" t="s">
        <v>169</v>
      </c>
      <c r="E136" s="22"/>
      <c r="F136" s="22"/>
      <c r="G136" s="22"/>
    </row>
    <row r="137" spans="1:7" ht="17.100000000000001" customHeight="1" x14ac:dyDescent="0.2">
      <c r="A137" s="22"/>
      <c r="B137" s="4" t="s">
        <v>170</v>
      </c>
      <c r="C137" s="24">
        <v>166.04320000000001</v>
      </c>
      <c r="D137" s="24">
        <v>161.1294</v>
      </c>
      <c r="E137" s="22"/>
      <c r="F137" s="19"/>
      <c r="G137" s="25"/>
    </row>
    <row r="138" spans="1:7" ht="17.100000000000001" customHeight="1" x14ac:dyDescent="0.2">
      <c r="A138" s="22"/>
      <c r="B138" s="4" t="s">
        <v>1042</v>
      </c>
      <c r="C138" s="24">
        <v>16.479500000000002</v>
      </c>
      <c r="D138" s="24">
        <v>15.524900000000001</v>
      </c>
      <c r="E138" s="22"/>
      <c r="F138" s="19"/>
      <c r="G138" s="25"/>
    </row>
    <row r="139" spans="1:7" ht="17.100000000000001" customHeight="1" x14ac:dyDescent="0.2">
      <c r="A139" s="22"/>
      <c r="B139" s="4" t="s">
        <v>171</v>
      </c>
      <c r="C139" s="24">
        <v>159.01689999999999</v>
      </c>
      <c r="D139" s="24">
        <v>154.24420000000001</v>
      </c>
      <c r="E139" s="22"/>
      <c r="F139" s="19"/>
      <c r="G139" s="25"/>
    </row>
    <row r="140" spans="1:7" ht="17.100000000000001" customHeight="1" x14ac:dyDescent="0.2">
      <c r="A140" s="22"/>
      <c r="B140" s="4" t="s">
        <v>1043</v>
      </c>
      <c r="C140" s="24">
        <v>13.7601</v>
      </c>
      <c r="D140" s="24">
        <v>12.957100000000001</v>
      </c>
      <c r="E140" s="22"/>
      <c r="F140" s="19"/>
      <c r="G140" s="25"/>
    </row>
    <row r="141" spans="1:7" ht="14.1" customHeight="1" x14ac:dyDescent="0.2">
      <c r="A141" s="22"/>
      <c r="B141" s="22"/>
      <c r="C141" s="22"/>
      <c r="D141" s="22"/>
      <c r="E141" s="22"/>
      <c r="F141" s="22"/>
      <c r="G141" s="22"/>
    </row>
    <row r="142" spans="1:7" ht="17.100000000000001" customHeight="1" x14ac:dyDescent="0.2">
      <c r="A142" s="22"/>
      <c r="B142" s="304" t="s">
        <v>1044</v>
      </c>
      <c r="C142" s="305"/>
      <c r="D142" s="65"/>
      <c r="E142" s="22"/>
      <c r="F142" s="22"/>
      <c r="G142" s="22"/>
    </row>
    <row r="143" spans="1:7" ht="18" customHeight="1" x14ac:dyDescent="0.2">
      <c r="A143" s="73"/>
      <c r="B143" s="70" t="s">
        <v>167</v>
      </c>
      <c r="C143" s="71" t="s">
        <v>872</v>
      </c>
      <c r="D143" s="71" t="s">
        <v>873</v>
      </c>
      <c r="E143" s="73"/>
      <c r="F143" s="73"/>
      <c r="G143" s="73"/>
    </row>
    <row r="144" spans="1:7" ht="17.100000000000001" customHeight="1" x14ac:dyDescent="0.2">
      <c r="A144" s="22"/>
      <c r="B144" s="43" t="s">
        <v>1042</v>
      </c>
      <c r="C144" s="72">
        <v>0.45600000000000002</v>
      </c>
      <c r="D144" s="72" t="s">
        <v>899</v>
      </c>
      <c r="E144" s="22"/>
      <c r="F144" s="19"/>
      <c r="G144" s="25"/>
    </row>
    <row r="145" spans="1:7" ht="17.100000000000001" customHeight="1" x14ac:dyDescent="0.2">
      <c r="A145" s="22"/>
      <c r="B145" s="43" t="s">
        <v>1043</v>
      </c>
      <c r="C145" s="72">
        <v>0.38100000000000001</v>
      </c>
      <c r="D145" s="72">
        <v>0.38100000000000001</v>
      </c>
      <c r="E145" s="22"/>
      <c r="F145" s="19"/>
      <c r="G145" s="25"/>
    </row>
    <row r="146" spans="1:7" ht="14.1" customHeight="1" x14ac:dyDescent="0.2">
      <c r="A146" s="22"/>
      <c r="B146" s="19"/>
      <c r="C146" s="19"/>
      <c r="D146" s="22"/>
      <c r="E146" s="22"/>
      <c r="F146" s="22"/>
      <c r="G146" s="22"/>
    </row>
    <row r="147" spans="1:7" ht="29.1" customHeight="1" x14ac:dyDescent="0.2">
      <c r="A147" s="22"/>
      <c r="B147" s="290" t="s">
        <v>172</v>
      </c>
      <c r="C147" s="291"/>
      <c r="D147" s="2" t="s">
        <v>162</v>
      </c>
      <c r="E147" s="22"/>
      <c r="F147" s="22"/>
      <c r="G147" s="22"/>
    </row>
    <row r="148" spans="1:7" ht="29.1" customHeight="1" x14ac:dyDescent="0.2">
      <c r="A148" s="22"/>
      <c r="B148" s="290" t="s">
        <v>173</v>
      </c>
      <c r="C148" s="291"/>
      <c r="D148" s="2" t="s">
        <v>162</v>
      </c>
      <c r="E148" s="22"/>
      <c r="F148" s="22"/>
      <c r="G148" s="22"/>
    </row>
    <row r="149" spans="1:7" ht="17.100000000000001" customHeight="1" x14ac:dyDescent="0.2">
      <c r="A149" s="22"/>
      <c r="B149" s="290" t="s">
        <v>174</v>
      </c>
      <c r="C149" s="291"/>
      <c r="D149" s="28">
        <v>0.35512824237258483</v>
      </c>
      <c r="E149" s="22"/>
      <c r="F149" s="19"/>
      <c r="G149" s="25"/>
    </row>
    <row r="150" spans="1:7" ht="17.100000000000001" customHeight="1" x14ac:dyDescent="0.2">
      <c r="A150" s="22"/>
      <c r="B150" s="290" t="s">
        <v>175</v>
      </c>
      <c r="C150" s="291"/>
      <c r="D150" s="2" t="s">
        <v>162</v>
      </c>
      <c r="E150" s="22"/>
      <c r="F150" s="22"/>
      <c r="G150" s="22"/>
    </row>
  </sheetData>
  <mergeCells count="13">
    <mergeCell ref="A1:H1"/>
    <mergeCell ref="A2:H2"/>
    <mergeCell ref="A3:H3"/>
    <mergeCell ref="J2:N2"/>
    <mergeCell ref="B150:C150"/>
    <mergeCell ref="B132:C132"/>
    <mergeCell ref="B133:C133"/>
    <mergeCell ref="B134:C134"/>
    <mergeCell ref="B142:C142"/>
    <mergeCell ref="B147:C147"/>
    <mergeCell ref="B148:C148"/>
    <mergeCell ref="B131:C131"/>
    <mergeCell ref="B149:C149"/>
  </mergeCells>
  <hyperlinks>
    <hyperlink ref="I1" location="Index!B34" display="Index" xr:uid="{C5D4D5C7-6017-4B7A-95CD-776A411FF6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14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321" t="s">
        <v>1053</v>
      </c>
      <c r="B2" s="322"/>
      <c r="C2" s="322"/>
      <c r="D2" s="322"/>
      <c r="E2" s="322"/>
      <c r="F2" s="322"/>
      <c r="G2" s="322"/>
      <c r="H2" s="323"/>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17</v>
      </c>
      <c r="C7" s="4" t="s">
        <v>18</v>
      </c>
      <c r="D7" s="4" t="s">
        <v>19</v>
      </c>
      <c r="E7" s="5">
        <v>2934000</v>
      </c>
      <c r="F7" s="6">
        <v>26137.539000000001</v>
      </c>
      <c r="G7" s="7">
        <v>8.5908482999999994E-2</v>
      </c>
      <c r="H7" s="53"/>
    </row>
    <row r="8" spans="1:14" ht="17.100000000000001" customHeight="1" x14ac:dyDescent="0.2">
      <c r="A8" s="3">
        <v>2</v>
      </c>
      <c r="B8" s="4" t="s">
        <v>266</v>
      </c>
      <c r="C8" s="4" t="s">
        <v>267</v>
      </c>
      <c r="D8" s="4" t="s">
        <v>19</v>
      </c>
      <c r="E8" s="5">
        <v>1436000</v>
      </c>
      <c r="F8" s="6">
        <v>23380.234</v>
      </c>
      <c r="G8" s="7">
        <v>7.6845812999999999E-2</v>
      </c>
      <c r="H8" s="53"/>
    </row>
    <row r="9" spans="1:14" ht="17.100000000000001" customHeight="1" x14ac:dyDescent="0.2">
      <c r="A9" s="3">
        <v>3</v>
      </c>
      <c r="B9" s="4" t="s">
        <v>20</v>
      </c>
      <c r="C9" s="4" t="s">
        <v>21</v>
      </c>
      <c r="D9" s="4" t="s">
        <v>22</v>
      </c>
      <c r="E9" s="5">
        <v>908000</v>
      </c>
      <c r="F9" s="6">
        <v>23128.576000000001</v>
      </c>
      <c r="G9" s="7">
        <v>7.6018666999999998E-2</v>
      </c>
      <c r="H9" s="53"/>
    </row>
    <row r="10" spans="1:14" ht="29.1" customHeight="1" x14ac:dyDescent="0.2">
      <c r="A10" s="3">
        <v>4</v>
      </c>
      <c r="B10" s="4" t="s">
        <v>293</v>
      </c>
      <c r="C10" s="4" t="s">
        <v>294</v>
      </c>
      <c r="D10" s="4" t="s">
        <v>119</v>
      </c>
      <c r="E10" s="5">
        <v>778000</v>
      </c>
      <c r="F10" s="6">
        <v>20520.527999999998</v>
      </c>
      <c r="G10" s="7">
        <v>6.7446572999999996E-2</v>
      </c>
      <c r="H10" s="53"/>
    </row>
    <row r="11" spans="1:14" ht="17.100000000000001" customHeight="1" x14ac:dyDescent="0.2">
      <c r="A11" s="3">
        <v>5</v>
      </c>
      <c r="B11" s="4" t="s">
        <v>291</v>
      </c>
      <c r="C11" s="4" t="s">
        <v>292</v>
      </c>
      <c r="D11" s="4" t="s">
        <v>900</v>
      </c>
      <c r="E11" s="5">
        <v>1266000</v>
      </c>
      <c r="F11" s="6">
        <v>19093.812000000002</v>
      </c>
      <c r="G11" s="7">
        <v>6.2757263999999993E-2</v>
      </c>
      <c r="H11" s="53"/>
    </row>
    <row r="12" spans="1:14" ht="17.100000000000001" customHeight="1" x14ac:dyDescent="0.2">
      <c r="A12" s="3">
        <v>6</v>
      </c>
      <c r="B12" s="4" t="s">
        <v>29</v>
      </c>
      <c r="C12" s="4" t="s">
        <v>30</v>
      </c>
      <c r="D12" s="4" t="s">
        <v>19</v>
      </c>
      <c r="E12" s="5">
        <v>2504000</v>
      </c>
      <c r="F12" s="6">
        <v>15367.048000000001</v>
      </c>
      <c r="G12" s="7">
        <v>5.0508190000000001E-2</v>
      </c>
      <c r="H12" s="53"/>
    </row>
    <row r="13" spans="1:14" ht="17.100000000000001" customHeight="1" x14ac:dyDescent="0.2">
      <c r="A13" s="3">
        <v>7</v>
      </c>
      <c r="B13" s="4" t="s">
        <v>11</v>
      </c>
      <c r="C13" s="4" t="s">
        <v>12</v>
      </c>
      <c r="D13" s="4" t="s">
        <v>13</v>
      </c>
      <c r="E13" s="5">
        <v>722000</v>
      </c>
      <c r="F13" s="6">
        <v>15059.476000000001</v>
      </c>
      <c r="G13" s="7">
        <v>4.9497266999999998E-2</v>
      </c>
      <c r="H13" s="53"/>
    </row>
    <row r="14" spans="1:14" ht="17.100000000000001" customHeight="1" x14ac:dyDescent="0.2">
      <c r="A14" s="3">
        <v>8</v>
      </c>
      <c r="B14" s="4" t="s">
        <v>181</v>
      </c>
      <c r="C14" s="4" t="s">
        <v>182</v>
      </c>
      <c r="D14" s="4" t="s">
        <v>19</v>
      </c>
      <c r="E14" s="5">
        <v>1424828</v>
      </c>
      <c r="F14" s="6">
        <v>13304.33145</v>
      </c>
      <c r="G14" s="7">
        <v>4.3728482999999999E-2</v>
      </c>
      <c r="H14" s="53"/>
    </row>
    <row r="15" spans="1:14" ht="29.1" customHeight="1" x14ac:dyDescent="0.2">
      <c r="A15" s="3">
        <v>9</v>
      </c>
      <c r="B15" s="4" t="s">
        <v>299</v>
      </c>
      <c r="C15" s="4" t="s">
        <v>300</v>
      </c>
      <c r="D15" s="4" t="s">
        <v>227</v>
      </c>
      <c r="E15" s="5">
        <v>1118000</v>
      </c>
      <c r="F15" s="6">
        <v>11195.652</v>
      </c>
      <c r="G15" s="7">
        <v>3.6797705999999999E-2</v>
      </c>
      <c r="H15" s="53"/>
      <c r="J15" s="188" t="s">
        <v>1101</v>
      </c>
    </row>
    <row r="16" spans="1:14" ht="17.100000000000001" customHeight="1" x14ac:dyDescent="0.2">
      <c r="A16" s="3">
        <v>10</v>
      </c>
      <c r="B16" s="4" t="s">
        <v>297</v>
      </c>
      <c r="C16" s="4" t="s">
        <v>298</v>
      </c>
      <c r="D16" s="4" t="s">
        <v>900</v>
      </c>
      <c r="E16" s="5">
        <v>252000</v>
      </c>
      <c r="F16" s="6">
        <v>8206.884</v>
      </c>
      <c r="G16" s="7">
        <v>2.6974267E-2</v>
      </c>
      <c r="H16" s="53"/>
    </row>
    <row r="17" spans="1:10" ht="17.100000000000001" customHeight="1" x14ac:dyDescent="0.2">
      <c r="A17" s="3">
        <v>11</v>
      </c>
      <c r="B17" s="4" t="s">
        <v>70</v>
      </c>
      <c r="C17" s="4" t="s">
        <v>71</v>
      </c>
      <c r="D17" s="4" t="s">
        <v>72</v>
      </c>
      <c r="E17" s="5">
        <v>95000</v>
      </c>
      <c r="F17" s="6">
        <v>7974.87</v>
      </c>
      <c r="G17" s="7">
        <v>2.6211687000000001E-2</v>
      </c>
      <c r="H17" s="53"/>
    </row>
    <row r="18" spans="1:10" ht="17.100000000000001" customHeight="1" x14ac:dyDescent="0.2">
      <c r="A18" s="3">
        <v>12</v>
      </c>
      <c r="B18" s="4" t="s">
        <v>14</v>
      </c>
      <c r="C18" s="4" t="s">
        <v>15</v>
      </c>
      <c r="D18" s="4" t="s">
        <v>16</v>
      </c>
      <c r="E18" s="5">
        <v>936000</v>
      </c>
      <c r="F18" s="6">
        <v>7545.0959999999995</v>
      </c>
      <c r="G18" s="7">
        <v>2.4799112000000002E-2</v>
      </c>
      <c r="H18" s="53"/>
    </row>
    <row r="19" spans="1:10" ht="53.1" customHeight="1" x14ac:dyDescent="0.2">
      <c r="A19" s="3">
        <v>13</v>
      </c>
      <c r="B19" s="4" t="s">
        <v>46</v>
      </c>
      <c r="C19" s="4" t="s">
        <v>47</v>
      </c>
      <c r="D19" s="4" t="s">
        <v>48</v>
      </c>
      <c r="E19" s="5">
        <v>5051000</v>
      </c>
      <c r="F19" s="6">
        <v>7243.134</v>
      </c>
      <c r="G19" s="7">
        <v>2.3806628E-2</v>
      </c>
      <c r="H19" s="53"/>
    </row>
    <row r="20" spans="1:10" ht="17.100000000000001" customHeight="1" x14ac:dyDescent="0.2">
      <c r="A20" s="3">
        <v>14</v>
      </c>
      <c r="B20" s="4" t="s">
        <v>261</v>
      </c>
      <c r="C20" s="4" t="s">
        <v>262</v>
      </c>
      <c r="D20" s="4" t="s">
        <v>119</v>
      </c>
      <c r="E20" s="5">
        <v>381000</v>
      </c>
      <c r="F20" s="6">
        <v>5897.3085000000001</v>
      </c>
      <c r="G20" s="7">
        <v>1.9383187999999999E-2</v>
      </c>
      <c r="H20" s="53"/>
    </row>
    <row r="21" spans="1:10" ht="17.100000000000001" customHeight="1" x14ac:dyDescent="0.2">
      <c r="A21" s="3">
        <v>15</v>
      </c>
      <c r="B21" s="4" t="s">
        <v>583</v>
      </c>
      <c r="C21" s="4" t="s">
        <v>584</v>
      </c>
      <c r="D21" s="4" t="s">
        <v>187</v>
      </c>
      <c r="E21" s="5">
        <v>649734</v>
      </c>
      <c r="F21" s="6">
        <v>5701.7407169999997</v>
      </c>
      <c r="G21" s="7">
        <v>1.8740397999999998E-2</v>
      </c>
      <c r="H21" s="53"/>
    </row>
    <row r="22" spans="1:10" ht="17.100000000000001" customHeight="1" x14ac:dyDescent="0.2">
      <c r="A22" s="3">
        <v>16</v>
      </c>
      <c r="B22" s="4" t="s">
        <v>327</v>
      </c>
      <c r="C22" s="4" t="s">
        <v>328</v>
      </c>
      <c r="D22" s="4" t="s">
        <v>19</v>
      </c>
      <c r="E22" s="5">
        <v>442000</v>
      </c>
      <c r="F22" s="6">
        <v>5392.8419999999996</v>
      </c>
      <c r="G22" s="7">
        <v>1.7725115E-2</v>
      </c>
      <c r="H22" s="53"/>
    </row>
    <row r="23" spans="1:10" ht="17.100000000000001" customHeight="1" x14ac:dyDescent="0.2">
      <c r="A23" s="3">
        <v>17</v>
      </c>
      <c r="B23" s="4" t="s">
        <v>303</v>
      </c>
      <c r="C23" s="4" t="s">
        <v>304</v>
      </c>
      <c r="D23" s="4" t="s">
        <v>305</v>
      </c>
      <c r="E23" s="5">
        <v>200000</v>
      </c>
      <c r="F23" s="6">
        <v>5122.1000000000004</v>
      </c>
      <c r="G23" s="7">
        <v>1.6835243999999999E-2</v>
      </c>
      <c r="H23" s="53"/>
    </row>
    <row r="24" spans="1:10" ht="29.1" customHeight="1" x14ac:dyDescent="0.2">
      <c r="A24" s="3">
        <v>18</v>
      </c>
      <c r="B24" s="4" t="s">
        <v>481</v>
      </c>
      <c r="C24" s="4" t="s">
        <v>482</v>
      </c>
      <c r="D24" s="4" t="s">
        <v>227</v>
      </c>
      <c r="E24" s="5">
        <v>451000</v>
      </c>
      <c r="F24" s="6">
        <v>4852.5344999999998</v>
      </c>
      <c r="G24" s="7">
        <v>1.594924E-2</v>
      </c>
      <c r="H24" s="53"/>
    </row>
    <row r="25" spans="1:10" ht="29.1" customHeight="1" x14ac:dyDescent="0.2">
      <c r="A25" s="3">
        <v>19</v>
      </c>
      <c r="B25" s="4" t="s">
        <v>117</v>
      </c>
      <c r="C25" s="4" t="s">
        <v>118</v>
      </c>
      <c r="D25" s="4" t="s">
        <v>119</v>
      </c>
      <c r="E25" s="5">
        <v>639055</v>
      </c>
      <c r="F25" s="6">
        <v>4619.7285949999996</v>
      </c>
      <c r="G25" s="7">
        <v>1.5184057000000001E-2</v>
      </c>
      <c r="H25" s="53"/>
    </row>
    <row r="26" spans="1:10" ht="17.100000000000001" customHeight="1" x14ac:dyDescent="0.2">
      <c r="A26" s="3">
        <v>20</v>
      </c>
      <c r="B26" s="4" t="s">
        <v>185</v>
      </c>
      <c r="C26" s="4" t="s">
        <v>186</v>
      </c>
      <c r="D26" s="4" t="s">
        <v>187</v>
      </c>
      <c r="E26" s="5">
        <v>345000</v>
      </c>
      <c r="F26" s="6">
        <v>4562.7974999999997</v>
      </c>
      <c r="G26" s="7">
        <v>1.4996936000000001E-2</v>
      </c>
      <c r="H26" s="53"/>
      <c r="J26" s="188" t="s">
        <v>1102</v>
      </c>
    </row>
    <row r="27" spans="1:10" ht="17.100000000000001" customHeight="1" x14ac:dyDescent="0.2">
      <c r="A27" s="3">
        <v>21</v>
      </c>
      <c r="B27" s="4" t="s">
        <v>329</v>
      </c>
      <c r="C27" s="4" t="s">
        <v>330</v>
      </c>
      <c r="D27" s="4" t="s">
        <v>19</v>
      </c>
      <c r="E27" s="5">
        <v>213122</v>
      </c>
      <c r="F27" s="6">
        <v>3894.271745</v>
      </c>
      <c r="G27" s="7">
        <v>1.2799636E-2</v>
      </c>
      <c r="H27" s="53"/>
    </row>
    <row r="28" spans="1:10" ht="17.100000000000001" customHeight="1" x14ac:dyDescent="0.2">
      <c r="A28" s="3">
        <v>22</v>
      </c>
      <c r="B28" s="4" t="s">
        <v>108</v>
      </c>
      <c r="C28" s="4" t="s">
        <v>109</v>
      </c>
      <c r="D28" s="4" t="s">
        <v>40</v>
      </c>
      <c r="E28" s="5">
        <v>193000</v>
      </c>
      <c r="F28" s="6">
        <v>3874.8609999999999</v>
      </c>
      <c r="G28" s="7">
        <v>1.2735837E-2</v>
      </c>
      <c r="H28" s="53"/>
    </row>
    <row r="29" spans="1:10" ht="17.100000000000001" customHeight="1" x14ac:dyDescent="0.2">
      <c r="A29" s="3">
        <v>23</v>
      </c>
      <c r="B29" s="4" t="s">
        <v>513</v>
      </c>
      <c r="C29" s="48" t="s">
        <v>981</v>
      </c>
      <c r="D29" s="4" t="s">
        <v>72</v>
      </c>
      <c r="E29" s="5">
        <v>1702000</v>
      </c>
      <c r="F29" s="6">
        <v>3500.163</v>
      </c>
      <c r="G29" s="7">
        <v>1.1504285E-2</v>
      </c>
      <c r="H29" s="53"/>
    </row>
    <row r="30" spans="1:10" ht="17.100000000000001" customHeight="1" x14ac:dyDescent="0.2">
      <c r="A30" s="3">
        <v>24</v>
      </c>
      <c r="B30" s="4" t="s">
        <v>26</v>
      </c>
      <c r="C30" s="4" t="s">
        <v>27</v>
      </c>
      <c r="D30" s="4" t="s">
        <v>28</v>
      </c>
      <c r="E30" s="5">
        <v>2077000</v>
      </c>
      <c r="F30" s="6">
        <v>3457.1664999999998</v>
      </c>
      <c r="G30" s="7">
        <v>1.1362964999999999E-2</v>
      </c>
      <c r="H30" s="53"/>
    </row>
    <row r="31" spans="1:10" ht="29.1" customHeight="1" x14ac:dyDescent="0.2">
      <c r="A31" s="3">
        <v>25</v>
      </c>
      <c r="B31" s="4" t="s">
        <v>23</v>
      </c>
      <c r="C31" s="4" t="s">
        <v>24</v>
      </c>
      <c r="D31" s="4" t="s">
        <v>25</v>
      </c>
      <c r="E31" s="5">
        <v>45000</v>
      </c>
      <c r="F31" s="6">
        <v>3131.5725000000002</v>
      </c>
      <c r="G31" s="7">
        <v>1.0292806999999999E-2</v>
      </c>
      <c r="H31" s="53"/>
    </row>
    <row r="32" spans="1:10" ht="17.100000000000001" customHeight="1" x14ac:dyDescent="0.2">
      <c r="A32" s="3">
        <v>26</v>
      </c>
      <c r="B32" s="4" t="s">
        <v>308</v>
      </c>
      <c r="C32" s="4" t="s">
        <v>309</v>
      </c>
      <c r="D32" s="4" t="s">
        <v>900</v>
      </c>
      <c r="E32" s="5">
        <v>285965</v>
      </c>
      <c r="F32" s="6">
        <v>2972.0342449999998</v>
      </c>
      <c r="G32" s="7">
        <v>9.7684390000000003E-3</v>
      </c>
      <c r="H32" s="53"/>
    </row>
    <row r="33" spans="1:8" ht="29.1" customHeight="1" x14ac:dyDescent="0.2">
      <c r="A33" s="3">
        <v>27</v>
      </c>
      <c r="B33" s="4" t="s">
        <v>81</v>
      </c>
      <c r="C33" s="4" t="s">
        <v>82</v>
      </c>
      <c r="D33" s="4" t="s">
        <v>25</v>
      </c>
      <c r="E33" s="5">
        <v>511927</v>
      </c>
      <c r="F33" s="6">
        <v>2683.009407</v>
      </c>
      <c r="G33" s="7">
        <v>8.8184760000000004E-3</v>
      </c>
      <c r="H33" s="53"/>
    </row>
    <row r="34" spans="1:8" ht="17.100000000000001" customHeight="1" x14ac:dyDescent="0.2">
      <c r="A34" s="3">
        <v>28</v>
      </c>
      <c r="B34" s="4" t="s">
        <v>354</v>
      </c>
      <c r="C34" s="4" t="s">
        <v>355</v>
      </c>
      <c r="D34" s="4" t="s">
        <v>116</v>
      </c>
      <c r="E34" s="5">
        <v>95000</v>
      </c>
      <c r="F34" s="6">
        <v>2467.625</v>
      </c>
      <c r="G34" s="7">
        <v>8.1105540000000007E-3</v>
      </c>
      <c r="H34" s="53"/>
    </row>
    <row r="35" spans="1:8" ht="17.100000000000001" customHeight="1" x14ac:dyDescent="0.2">
      <c r="A35" s="3">
        <v>29</v>
      </c>
      <c r="B35" s="4" t="s">
        <v>103</v>
      </c>
      <c r="C35" s="4" t="s">
        <v>104</v>
      </c>
      <c r="D35" s="4" t="s">
        <v>105</v>
      </c>
      <c r="E35" s="5">
        <v>518576</v>
      </c>
      <c r="F35" s="6">
        <v>2454.6794960000002</v>
      </c>
      <c r="G35" s="7">
        <v>8.0680049999999996E-3</v>
      </c>
      <c r="H35" s="53"/>
    </row>
    <row r="36" spans="1:8" ht="29.1" customHeight="1" x14ac:dyDescent="0.2">
      <c r="A36" s="3">
        <v>30</v>
      </c>
      <c r="B36" s="4" t="s">
        <v>673</v>
      </c>
      <c r="C36" s="4" t="s">
        <v>674</v>
      </c>
      <c r="D36" s="4" t="s">
        <v>278</v>
      </c>
      <c r="E36" s="5">
        <v>16757</v>
      </c>
      <c r="F36" s="6">
        <v>2435.7891414999999</v>
      </c>
      <c r="G36" s="7">
        <v>8.0059160000000001E-3</v>
      </c>
      <c r="H36" s="53"/>
    </row>
    <row r="37" spans="1:8" ht="29.1" customHeight="1" x14ac:dyDescent="0.2">
      <c r="A37" s="3">
        <v>31</v>
      </c>
      <c r="B37" s="4" t="s">
        <v>485</v>
      </c>
      <c r="C37" s="4" t="s">
        <v>486</v>
      </c>
      <c r="D37" s="4" t="s">
        <v>430</v>
      </c>
      <c r="E37" s="5">
        <v>305000</v>
      </c>
      <c r="F37" s="6">
        <v>2339.1975000000002</v>
      </c>
      <c r="G37" s="7">
        <v>7.6884400000000004E-3</v>
      </c>
      <c r="H37" s="53"/>
    </row>
    <row r="38" spans="1:8" ht="17.100000000000001" customHeight="1" x14ac:dyDescent="0.2">
      <c r="A38" s="3">
        <v>32</v>
      </c>
      <c r="B38" s="4" t="s">
        <v>316</v>
      </c>
      <c r="C38" s="4" t="s">
        <v>317</v>
      </c>
      <c r="D38" s="4" t="s">
        <v>900</v>
      </c>
      <c r="E38" s="5">
        <v>571413</v>
      </c>
      <c r="F38" s="6">
        <v>2244.2245575000002</v>
      </c>
      <c r="G38" s="7">
        <v>7.3762849999999998E-3</v>
      </c>
      <c r="H38" s="53"/>
    </row>
    <row r="39" spans="1:8" ht="17.100000000000001" customHeight="1" x14ac:dyDescent="0.2">
      <c r="A39" s="3">
        <v>33</v>
      </c>
      <c r="B39" s="4" t="s">
        <v>112</v>
      </c>
      <c r="C39" s="4" t="s">
        <v>113</v>
      </c>
      <c r="D39" s="4" t="s">
        <v>87</v>
      </c>
      <c r="E39" s="5">
        <v>528760</v>
      </c>
      <c r="F39" s="6">
        <v>2218.1482000000001</v>
      </c>
      <c r="G39" s="7">
        <v>7.2905770000000003E-3</v>
      </c>
      <c r="H39" s="53"/>
    </row>
    <row r="40" spans="1:8" ht="17.100000000000001" customHeight="1" x14ac:dyDescent="0.2">
      <c r="A40" s="3">
        <v>34</v>
      </c>
      <c r="B40" s="4" t="s">
        <v>97</v>
      </c>
      <c r="C40" s="4" t="s">
        <v>98</v>
      </c>
      <c r="D40" s="4" t="s">
        <v>96</v>
      </c>
      <c r="E40" s="5">
        <v>235000</v>
      </c>
      <c r="F40" s="6">
        <v>2039.6824999999999</v>
      </c>
      <c r="G40" s="7">
        <v>6.7039990000000004E-3</v>
      </c>
      <c r="H40" s="53"/>
    </row>
    <row r="41" spans="1:8" ht="17.100000000000001" customHeight="1" x14ac:dyDescent="0.2">
      <c r="A41" s="3">
        <v>35</v>
      </c>
      <c r="B41" s="4" t="s">
        <v>336</v>
      </c>
      <c r="C41" s="4" t="s">
        <v>337</v>
      </c>
      <c r="D41" s="4" t="s">
        <v>19</v>
      </c>
      <c r="E41" s="5">
        <v>600000</v>
      </c>
      <c r="F41" s="6">
        <v>1999.8</v>
      </c>
      <c r="G41" s="7">
        <v>6.572914E-3</v>
      </c>
      <c r="H41" s="53"/>
    </row>
    <row r="42" spans="1:8" ht="17.100000000000001" customHeight="1" x14ac:dyDescent="0.2">
      <c r="A42" s="3">
        <v>36</v>
      </c>
      <c r="B42" s="4" t="s">
        <v>348</v>
      </c>
      <c r="C42" s="4" t="s">
        <v>349</v>
      </c>
      <c r="D42" s="4" t="s">
        <v>190</v>
      </c>
      <c r="E42" s="5">
        <v>47000</v>
      </c>
      <c r="F42" s="6">
        <v>1912.3125</v>
      </c>
      <c r="G42" s="7">
        <v>6.2853609999999997E-3</v>
      </c>
      <c r="H42" s="53"/>
    </row>
    <row r="43" spans="1:8" ht="29.1" customHeight="1" x14ac:dyDescent="0.2">
      <c r="A43" s="3">
        <v>37</v>
      </c>
      <c r="B43" s="4" t="s">
        <v>590</v>
      </c>
      <c r="C43" s="4" t="s">
        <v>591</v>
      </c>
      <c r="D43" s="4" t="s">
        <v>248</v>
      </c>
      <c r="E43" s="5">
        <v>153000</v>
      </c>
      <c r="F43" s="6">
        <v>1892.3040000000001</v>
      </c>
      <c r="G43" s="7">
        <v>6.2195970000000003E-3</v>
      </c>
      <c r="H43" s="53"/>
    </row>
    <row r="44" spans="1:8" ht="29.1" customHeight="1" x14ac:dyDescent="0.2">
      <c r="A44" s="3">
        <v>38</v>
      </c>
      <c r="B44" s="4" t="s">
        <v>191</v>
      </c>
      <c r="C44" s="4" t="s">
        <v>192</v>
      </c>
      <c r="D44" s="4" t="s">
        <v>116</v>
      </c>
      <c r="E44" s="5">
        <v>526000</v>
      </c>
      <c r="F44" s="6">
        <v>1769.7270000000001</v>
      </c>
      <c r="G44" s="7">
        <v>5.8167130000000003E-3</v>
      </c>
      <c r="H44" s="53"/>
    </row>
    <row r="45" spans="1:8" ht="17.100000000000001" customHeight="1" x14ac:dyDescent="0.2">
      <c r="A45" s="3">
        <v>39</v>
      </c>
      <c r="B45" s="4" t="s">
        <v>295</v>
      </c>
      <c r="C45" s="4" t="s">
        <v>296</v>
      </c>
      <c r="D45" s="4" t="s">
        <v>248</v>
      </c>
      <c r="E45" s="5">
        <v>143000</v>
      </c>
      <c r="F45" s="6">
        <v>1760.759</v>
      </c>
      <c r="G45" s="7">
        <v>5.7872369999999998E-3</v>
      </c>
      <c r="H45" s="53"/>
    </row>
    <row r="46" spans="1:8" ht="17.100000000000001" customHeight="1" x14ac:dyDescent="0.2">
      <c r="A46" s="3">
        <v>40</v>
      </c>
      <c r="B46" s="4" t="s">
        <v>235</v>
      </c>
      <c r="C46" s="4" t="s">
        <v>236</v>
      </c>
      <c r="D46" s="4" t="s">
        <v>237</v>
      </c>
      <c r="E46" s="5">
        <v>36866</v>
      </c>
      <c r="F46" s="6">
        <v>1650.7120159999999</v>
      </c>
      <c r="G46" s="7">
        <v>5.4255359999999999E-3</v>
      </c>
      <c r="H46" s="53"/>
    </row>
    <row r="47" spans="1:8" ht="17.100000000000001" customHeight="1" x14ac:dyDescent="0.2">
      <c r="A47" s="3">
        <v>41</v>
      </c>
      <c r="B47" s="4" t="s">
        <v>561</v>
      </c>
      <c r="C47" s="4" t="s">
        <v>562</v>
      </c>
      <c r="D47" s="4" t="s">
        <v>265</v>
      </c>
      <c r="E47" s="5">
        <v>38000</v>
      </c>
      <c r="F47" s="6">
        <v>1636.8309999999999</v>
      </c>
      <c r="G47" s="7">
        <v>5.3799119999999997E-3</v>
      </c>
      <c r="H47" s="53"/>
    </row>
    <row r="48" spans="1:8" ht="17.100000000000001" customHeight="1" x14ac:dyDescent="0.2">
      <c r="A48" s="3">
        <v>42</v>
      </c>
      <c r="B48" s="4" t="s">
        <v>707</v>
      </c>
      <c r="C48" s="4" t="s">
        <v>708</v>
      </c>
      <c r="D48" s="4" t="s">
        <v>116</v>
      </c>
      <c r="E48" s="5">
        <v>127000</v>
      </c>
      <c r="F48" s="6">
        <v>1396.9365</v>
      </c>
      <c r="G48" s="7">
        <v>4.591431E-3</v>
      </c>
      <c r="H48" s="53"/>
    </row>
    <row r="49" spans="1:8" ht="17.100000000000001" customHeight="1" x14ac:dyDescent="0.2">
      <c r="A49" s="3">
        <v>43</v>
      </c>
      <c r="B49" s="4" t="s">
        <v>342</v>
      </c>
      <c r="C49" s="4" t="s">
        <v>343</v>
      </c>
      <c r="D49" s="4" t="s">
        <v>119</v>
      </c>
      <c r="E49" s="5">
        <v>17000</v>
      </c>
      <c r="F49" s="6">
        <v>1117.7840000000001</v>
      </c>
      <c r="G49" s="7">
        <v>3.6739160000000002E-3</v>
      </c>
      <c r="H49" s="53"/>
    </row>
    <row r="50" spans="1:8" ht="17.100000000000001" customHeight="1" x14ac:dyDescent="0.2">
      <c r="A50" s="3">
        <v>44</v>
      </c>
      <c r="B50" s="4" t="s">
        <v>592</v>
      </c>
      <c r="C50" s="4" t="s">
        <v>593</v>
      </c>
      <c r="D50" s="4" t="s">
        <v>248</v>
      </c>
      <c r="E50" s="5">
        <v>195000</v>
      </c>
      <c r="F50" s="6">
        <v>1104.1875</v>
      </c>
      <c r="G50" s="7">
        <v>3.6292270000000001E-3</v>
      </c>
      <c r="H50" s="53"/>
    </row>
    <row r="51" spans="1:8" ht="29.1" customHeight="1" x14ac:dyDescent="0.2">
      <c r="A51" s="3">
        <v>45</v>
      </c>
      <c r="B51" s="4" t="s">
        <v>200</v>
      </c>
      <c r="C51" s="4" t="s">
        <v>201</v>
      </c>
      <c r="D51" s="4" t="s">
        <v>199</v>
      </c>
      <c r="E51" s="5">
        <v>45821</v>
      </c>
      <c r="F51" s="6">
        <v>1049.4612735000001</v>
      </c>
      <c r="G51" s="7">
        <v>3.449354E-3</v>
      </c>
      <c r="H51" s="53"/>
    </row>
    <row r="52" spans="1:8" ht="17.100000000000001" customHeight="1" x14ac:dyDescent="0.2">
      <c r="A52" s="3">
        <v>46</v>
      </c>
      <c r="B52" s="4" t="s">
        <v>542</v>
      </c>
      <c r="C52" s="4" t="s">
        <v>543</v>
      </c>
      <c r="D52" s="4" t="s">
        <v>116</v>
      </c>
      <c r="E52" s="5">
        <v>30000</v>
      </c>
      <c r="F52" s="6">
        <v>926.37</v>
      </c>
      <c r="G52" s="7">
        <v>3.0447790000000001E-3</v>
      </c>
      <c r="H52" s="53"/>
    </row>
    <row r="53" spans="1:8" ht="17.100000000000001" customHeight="1" x14ac:dyDescent="0.2">
      <c r="A53" s="3">
        <v>47</v>
      </c>
      <c r="B53" s="4" t="s">
        <v>54</v>
      </c>
      <c r="C53" s="4" t="s">
        <v>55</v>
      </c>
      <c r="D53" s="4" t="s">
        <v>33</v>
      </c>
      <c r="E53" s="5">
        <v>26000</v>
      </c>
      <c r="F53" s="6">
        <v>667.96600000000001</v>
      </c>
      <c r="G53" s="7">
        <v>2.1954610000000001E-3</v>
      </c>
      <c r="H53" s="53"/>
    </row>
    <row r="54" spans="1:8" ht="17.100000000000001" customHeight="1" x14ac:dyDescent="0.2">
      <c r="A54" s="3">
        <v>48</v>
      </c>
      <c r="B54" s="4" t="s">
        <v>520</v>
      </c>
      <c r="C54" s="4" t="s">
        <v>521</v>
      </c>
      <c r="D54" s="4" t="s">
        <v>900</v>
      </c>
      <c r="E54" s="5">
        <v>46374</v>
      </c>
      <c r="F54" s="6">
        <v>482.54465699999997</v>
      </c>
      <c r="G54" s="7">
        <v>1.586021E-3</v>
      </c>
      <c r="H54" s="53"/>
    </row>
    <row r="55" spans="1:8" ht="29.1" customHeight="1" x14ac:dyDescent="0.2">
      <c r="A55" s="3">
        <v>49</v>
      </c>
      <c r="B55" s="4" t="s">
        <v>344</v>
      </c>
      <c r="C55" s="4" t="s">
        <v>345</v>
      </c>
      <c r="D55" s="4" t="s">
        <v>227</v>
      </c>
      <c r="E55" s="5">
        <v>13721</v>
      </c>
      <c r="F55" s="6">
        <v>468.32517200000001</v>
      </c>
      <c r="G55" s="7">
        <v>1.5392839999999999E-3</v>
      </c>
      <c r="H55" s="53"/>
    </row>
    <row r="56" spans="1:8" ht="17.100000000000001" customHeight="1" x14ac:dyDescent="0.2">
      <c r="A56" s="3">
        <v>50</v>
      </c>
      <c r="B56" s="4" t="s">
        <v>350</v>
      </c>
      <c r="C56" s="4" t="s">
        <v>351</v>
      </c>
      <c r="D56" s="4" t="s">
        <v>72</v>
      </c>
      <c r="E56" s="5">
        <v>58791</v>
      </c>
      <c r="F56" s="6">
        <v>228.07968450000001</v>
      </c>
      <c r="G56" s="7">
        <v>7.4964900000000002E-4</v>
      </c>
      <c r="H56" s="53"/>
    </row>
    <row r="57" spans="1:8" ht="14.1" customHeight="1" x14ac:dyDescent="0.2">
      <c r="A57" s="1"/>
      <c r="B57" s="1"/>
      <c r="C57" s="2" t="s">
        <v>132</v>
      </c>
      <c r="D57" s="1"/>
      <c r="E57" s="1" t="s">
        <v>133</v>
      </c>
      <c r="F57" s="9">
        <v>294082.75735700002</v>
      </c>
      <c r="G57" s="10">
        <v>0.96658693100000015</v>
      </c>
      <c r="H57" s="53"/>
    </row>
    <row r="58" spans="1:8" ht="14.1" customHeight="1" x14ac:dyDescent="0.2">
      <c r="A58" s="1"/>
      <c r="B58" s="1"/>
      <c r="C58" s="11"/>
      <c r="D58" s="1"/>
      <c r="E58" s="1"/>
      <c r="F58" s="12"/>
      <c r="G58" s="12"/>
      <c r="H58" s="53"/>
    </row>
    <row r="59" spans="1:8" ht="14.1" customHeight="1" x14ac:dyDescent="0.2">
      <c r="A59" s="1"/>
      <c r="B59" s="1"/>
      <c r="C59" s="2" t="s">
        <v>134</v>
      </c>
      <c r="D59" s="1"/>
      <c r="E59" s="1"/>
      <c r="F59" s="1"/>
      <c r="G59" s="1"/>
      <c r="H59" s="53"/>
    </row>
    <row r="60" spans="1:8" ht="14.1" customHeight="1" x14ac:dyDescent="0.2">
      <c r="A60" s="1"/>
      <c r="B60" s="1"/>
      <c r="C60" s="2" t="s">
        <v>132</v>
      </c>
      <c r="D60" s="1"/>
      <c r="E60" s="1" t="s">
        <v>133</v>
      </c>
      <c r="F60" s="13">
        <v>0</v>
      </c>
      <c r="G60" s="14">
        <v>0</v>
      </c>
      <c r="H60" s="53"/>
    </row>
    <row r="61" spans="1:8" ht="14.1" customHeight="1" x14ac:dyDescent="0.2">
      <c r="A61" s="1"/>
      <c r="B61" s="1"/>
      <c r="C61" s="11"/>
      <c r="D61" s="1"/>
      <c r="E61" s="1"/>
      <c r="F61" s="12"/>
      <c r="G61" s="12"/>
      <c r="H61" s="53"/>
    </row>
    <row r="62" spans="1:8" ht="14.1" customHeight="1" x14ac:dyDescent="0.2">
      <c r="A62" s="1"/>
      <c r="B62" s="1"/>
      <c r="C62" s="2" t="s">
        <v>135</v>
      </c>
      <c r="D62" s="1"/>
      <c r="E62" s="1"/>
      <c r="F62" s="1"/>
      <c r="G62" s="1"/>
      <c r="H62" s="53"/>
    </row>
    <row r="63" spans="1:8" ht="14.1" customHeight="1" x14ac:dyDescent="0.2">
      <c r="A63" s="1"/>
      <c r="B63" s="1"/>
      <c r="C63" s="2" t="s">
        <v>132</v>
      </c>
      <c r="D63" s="1"/>
      <c r="E63" s="1" t="s">
        <v>133</v>
      </c>
      <c r="F63" s="13">
        <v>0</v>
      </c>
      <c r="G63" s="14">
        <v>0</v>
      </c>
      <c r="H63" s="53"/>
    </row>
    <row r="64" spans="1:8" ht="14.1" customHeight="1" x14ac:dyDescent="0.2">
      <c r="A64" s="1"/>
      <c r="B64" s="1"/>
      <c r="C64" s="11"/>
      <c r="D64" s="1"/>
      <c r="E64" s="1"/>
      <c r="F64" s="12"/>
      <c r="G64" s="12"/>
      <c r="H64" s="53"/>
    </row>
    <row r="65" spans="1:8" ht="14.1" customHeight="1" x14ac:dyDescent="0.2">
      <c r="A65" s="1"/>
      <c r="B65" s="1"/>
      <c r="C65" s="2" t="s">
        <v>136</v>
      </c>
      <c r="D65" s="1"/>
      <c r="E65" s="1"/>
      <c r="F65" s="1"/>
      <c r="G65" s="1"/>
      <c r="H65" s="53"/>
    </row>
    <row r="66" spans="1:8" ht="14.1" customHeight="1" x14ac:dyDescent="0.2">
      <c r="A66" s="1"/>
      <c r="B66" s="1"/>
      <c r="C66" s="2" t="s">
        <v>132</v>
      </c>
      <c r="D66" s="1"/>
      <c r="E66" s="1" t="s">
        <v>133</v>
      </c>
      <c r="F66" s="13">
        <v>0</v>
      </c>
      <c r="G66" s="14">
        <v>0</v>
      </c>
      <c r="H66" s="53"/>
    </row>
    <row r="67" spans="1:8" ht="14.1" customHeight="1" x14ac:dyDescent="0.2">
      <c r="A67" s="1"/>
      <c r="B67" s="1"/>
      <c r="C67" s="11"/>
      <c r="D67" s="1"/>
      <c r="E67" s="1"/>
      <c r="F67" s="12"/>
      <c r="G67" s="12"/>
      <c r="H67" s="53"/>
    </row>
    <row r="68" spans="1:8" ht="14.1" customHeight="1" x14ac:dyDescent="0.2">
      <c r="A68" s="1"/>
      <c r="B68" s="1"/>
      <c r="C68" s="2" t="s">
        <v>137</v>
      </c>
      <c r="D68" s="1"/>
      <c r="E68" s="1"/>
      <c r="F68" s="12"/>
      <c r="G68" s="12"/>
      <c r="H68" s="53"/>
    </row>
    <row r="69" spans="1:8" ht="25.5" x14ac:dyDescent="0.2">
      <c r="A69" s="51">
        <v>1</v>
      </c>
      <c r="B69" s="48" t="s">
        <v>953</v>
      </c>
      <c r="C69" s="48" t="s">
        <v>954</v>
      </c>
      <c r="D69" s="48" t="s">
        <v>119</v>
      </c>
      <c r="E69" s="56">
        <v>90000</v>
      </c>
      <c r="F69" s="55">
        <v>531.22500000000002</v>
      </c>
      <c r="G69" s="57">
        <v>1.74602E-3</v>
      </c>
      <c r="H69" s="53"/>
    </row>
    <row r="70" spans="1:8" ht="14.1" customHeight="1" x14ac:dyDescent="0.2">
      <c r="A70" s="1"/>
      <c r="B70" s="1"/>
      <c r="C70" s="2" t="s">
        <v>132</v>
      </c>
      <c r="D70" s="1"/>
      <c r="E70" s="1" t="s">
        <v>133</v>
      </c>
      <c r="F70" s="13">
        <v>531.22500000000002</v>
      </c>
      <c r="G70" s="14">
        <v>1.74602E-3</v>
      </c>
      <c r="H70" s="53"/>
    </row>
    <row r="71" spans="1:8" ht="14.1" customHeight="1" x14ac:dyDescent="0.2">
      <c r="A71" s="1"/>
      <c r="B71" s="1"/>
      <c r="C71" s="11"/>
      <c r="D71" s="1"/>
      <c r="E71" s="1"/>
      <c r="F71" s="12"/>
      <c r="G71" s="12"/>
      <c r="H71" s="53"/>
    </row>
    <row r="72" spans="1:8" ht="14.1" customHeight="1" x14ac:dyDescent="0.2">
      <c r="A72" s="1"/>
      <c r="B72" s="1"/>
      <c r="C72" s="2" t="s">
        <v>138</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8" customHeight="1" x14ac:dyDescent="0.2">
      <c r="A75" s="1"/>
      <c r="B75" s="1"/>
      <c r="C75" s="2" t="s">
        <v>139</v>
      </c>
      <c r="D75" s="1"/>
      <c r="E75" s="1"/>
      <c r="F75" s="9">
        <f>+F57+F70</f>
        <v>294613.982357</v>
      </c>
      <c r="G75" s="10">
        <v>0.96833295100000005</v>
      </c>
      <c r="H75" s="53"/>
    </row>
    <row r="76" spans="1:8" ht="14.1" customHeight="1" x14ac:dyDescent="0.2">
      <c r="A76" s="1"/>
      <c r="B76" s="1"/>
      <c r="C76" s="11"/>
      <c r="D76" s="1"/>
      <c r="E76" s="1"/>
      <c r="F76" s="12"/>
      <c r="G76" s="12"/>
      <c r="H76" s="53"/>
    </row>
    <row r="77" spans="1:8" ht="14.1" customHeight="1" x14ac:dyDescent="0.2">
      <c r="A77" s="1"/>
      <c r="B77" s="1"/>
      <c r="C77" s="2" t="s">
        <v>140</v>
      </c>
      <c r="D77" s="1"/>
      <c r="E77" s="1"/>
      <c r="F77" s="12"/>
      <c r="G77" s="12"/>
      <c r="H77" s="53"/>
    </row>
    <row r="78" spans="1:8" ht="24" customHeight="1" x14ac:dyDescent="0.2">
      <c r="A78" s="1"/>
      <c r="B78" s="1"/>
      <c r="C78" s="2" t="s">
        <v>10</v>
      </c>
      <c r="D78" s="1"/>
      <c r="E78" s="1"/>
      <c r="F78" s="12"/>
      <c r="G78" s="12"/>
      <c r="H78" s="53"/>
    </row>
    <row r="79" spans="1:8" ht="29.1" customHeight="1" x14ac:dyDescent="0.2">
      <c r="A79" s="3">
        <v>1</v>
      </c>
      <c r="B79" s="4" t="s">
        <v>574</v>
      </c>
      <c r="C79" s="4" t="s">
        <v>575</v>
      </c>
      <c r="D79" s="4" t="s">
        <v>576</v>
      </c>
      <c r="E79" s="5">
        <v>28980</v>
      </c>
      <c r="F79" s="6">
        <v>8.1713167200000001</v>
      </c>
      <c r="G79" s="8" t="s">
        <v>131</v>
      </c>
      <c r="H79" s="53">
        <v>7.5949999999999998</v>
      </c>
    </row>
    <row r="80" spans="1:8" ht="14.1" customHeight="1" x14ac:dyDescent="0.2">
      <c r="A80" s="1"/>
      <c r="B80" s="1"/>
      <c r="C80" s="2" t="s">
        <v>132</v>
      </c>
      <c r="D80" s="1"/>
      <c r="E80" s="1" t="s">
        <v>133</v>
      </c>
      <c r="F80" s="9">
        <v>8.1713167200000001</v>
      </c>
      <c r="G80" s="10">
        <v>2.6857000000000001E-5</v>
      </c>
      <c r="H80" s="53"/>
    </row>
    <row r="81" spans="1:8" ht="14.1" customHeight="1" x14ac:dyDescent="0.2">
      <c r="A81" s="1"/>
      <c r="B81" s="1"/>
      <c r="C81" s="11"/>
      <c r="D81" s="1"/>
      <c r="E81" s="1"/>
      <c r="F81" s="12"/>
      <c r="G81" s="12"/>
      <c r="H81" s="53"/>
    </row>
    <row r="82" spans="1:8" ht="14.1" customHeight="1" x14ac:dyDescent="0.2">
      <c r="A82" s="1"/>
      <c r="B82" s="1"/>
      <c r="C82" s="2" t="s">
        <v>141</v>
      </c>
      <c r="D82" s="1"/>
      <c r="E82" s="1"/>
      <c r="F82" s="1"/>
      <c r="G82" s="1"/>
      <c r="H82" s="53"/>
    </row>
    <row r="83" spans="1:8" ht="14.1" customHeight="1" x14ac:dyDescent="0.2">
      <c r="A83" s="1"/>
      <c r="B83" s="1"/>
      <c r="C83" s="2" t="s">
        <v>132</v>
      </c>
      <c r="D83" s="1"/>
      <c r="E83" s="1" t="s">
        <v>133</v>
      </c>
      <c r="F83" s="13">
        <v>0</v>
      </c>
      <c r="G83" s="14">
        <v>0</v>
      </c>
      <c r="H83" s="53"/>
    </row>
    <row r="84" spans="1:8" ht="14.1" customHeight="1" x14ac:dyDescent="0.2">
      <c r="A84" s="1"/>
      <c r="B84" s="1"/>
      <c r="C84" s="11"/>
      <c r="D84" s="1"/>
      <c r="E84" s="1"/>
      <c r="F84" s="12"/>
      <c r="G84" s="12"/>
      <c r="H84" s="53"/>
    </row>
    <row r="85" spans="1:8" ht="14.1" customHeight="1" x14ac:dyDescent="0.2">
      <c r="A85" s="1"/>
      <c r="B85" s="1"/>
      <c r="C85" s="2" t="s">
        <v>142</v>
      </c>
      <c r="D85" s="1"/>
      <c r="E85" s="1"/>
      <c r="F85" s="1"/>
      <c r="G85" s="1"/>
      <c r="H85" s="53"/>
    </row>
    <row r="86" spans="1:8" ht="14.1" customHeight="1" x14ac:dyDescent="0.2">
      <c r="A86" s="1"/>
      <c r="B86" s="1"/>
      <c r="C86" s="2" t="s">
        <v>132</v>
      </c>
      <c r="D86" s="1"/>
      <c r="E86" s="1" t="s">
        <v>133</v>
      </c>
      <c r="F86" s="13">
        <v>0</v>
      </c>
      <c r="G86" s="14">
        <v>0</v>
      </c>
      <c r="H86" s="53"/>
    </row>
    <row r="87" spans="1:8" ht="14.1" customHeight="1" x14ac:dyDescent="0.2">
      <c r="A87" s="1"/>
      <c r="B87" s="1"/>
      <c r="C87" s="11"/>
      <c r="D87" s="1"/>
      <c r="E87" s="1"/>
      <c r="F87" s="12"/>
      <c r="G87" s="12"/>
      <c r="H87" s="53"/>
    </row>
    <row r="88" spans="1:8" ht="14.1" customHeight="1" x14ac:dyDescent="0.2">
      <c r="A88" s="1"/>
      <c r="B88" s="1"/>
      <c r="C88" s="2" t="s">
        <v>143</v>
      </c>
      <c r="D88" s="1"/>
      <c r="E88" s="1"/>
      <c r="F88" s="12"/>
      <c r="G88" s="12"/>
      <c r="H88" s="53"/>
    </row>
    <row r="89" spans="1:8" ht="14.1" customHeight="1" x14ac:dyDescent="0.2">
      <c r="A89" s="1"/>
      <c r="B89" s="1"/>
      <c r="C89" s="2" t="s">
        <v>132</v>
      </c>
      <c r="D89" s="1"/>
      <c r="E89" s="1" t="s">
        <v>133</v>
      </c>
      <c r="F89" s="13">
        <v>0</v>
      </c>
      <c r="G89" s="14">
        <v>0</v>
      </c>
      <c r="H89" s="53"/>
    </row>
    <row r="90" spans="1:8" ht="14.1" customHeight="1" x14ac:dyDescent="0.2">
      <c r="A90" s="1"/>
      <c r="B90" s="1"/>
      <c r="C90" s="11"/>
      <c r="D90" s="1"/>
      <c r="E90" s="1"/>
      <c r="F90" s="12"/>
      <c r="G90" s="12"/>
      <c r="H90" s="53"/>
    </row>
    <row r="91" spans="1:8" ht="14.1" customHeight="1" x14ac:dyDescent="0.2">
      <c r="A91" s="1"/>
      <c r="B91" s="1"/>
      <c r="C91" s="2" t="s">
        <v>144</v>
      </c>
      <c r="D91" s="1"/>
      <c r="E91" s="1"/>
      <c r="F91" s="9">
        <v>8.1713167200000001</v>
      </c>
      <c r="G91" s="10">
        <v>2.6857000000000001E-5</v>
      </c>
      <c r="H91" s="53"/>
    </row>
    <row r="92" spans="1:8" ht="14.1" customHeight="1" x14ac:dyDescent="0.2">
      <c r="A92" s="1"/>
      <c r="B92" s="1"/>
      <c r="C92" s="11"/>
      <c r="D92" s="1"/>
      <c r="E92" s="1"/>
      <c r="F92" s="12"/>
      <c r="G92" s="12"/>
      <c r="H92" s="53"/>
    </row>
    <row r="93" spans="1:8" ht="14.1" customHeight="1" x14ac:dyDescent="0.2">
      <c r="A93" s="1"/>
      <c r="B93" s="1"/>
      <c r="C93" s="2" t="s">
        <v>145</v>
      </c>
      <c r="D93" s="1"/>
      <c r="E93" s="1"/>
      <c r="F93" s="12"/>
      <c r="G93" s="12"/>
      <c r="H93" s="53"/>
    </row>
    <row r="94" spans="1:8" ht="14.1" customHeight="1" x14ac:dyDescent="0.2">
      <c r="A94" s="1"/>
      <c r="B94" s="1"/>
      <c r="C94" s="2" t="s">
        <v>146</v>
      </c>
      <c r="D94" s="1"/>
      <c r="E94" s="1"/>
      <c r="F94" s="12"/>
      <c r="G94" s="12"/>
      <c r="H94" s="53"/>
    </row>
    <row r="95" spans="1:8" ht="14.1" customHeight="1" x14ac:dyDescent="0.2">
      <c r="A95" s="1"/>
      <c r="B95" s="1"/>
      <c r="C95" s="2" t="s">
        <v>132</v>
      </c>
      <c r="D95" s="1"/>
      <c r="E95" s="1" t="s">
        <v>133</v>
      </c>
      <c r="F95" s="13">
        <v>0</v>
      </c>
      <c r="G95" s="14">
        <v>0</v>
      </c>
      <c r="H95" s="53"/>
    </row>
    <row r="96" spans="1:8" ht="14.1" customHeight="1" x14ac:dyDescent="0.2">
      <c r="A96" s="1"/>
      <c r="B96" s="1"/>
      <c r="C96" s="11"/>
      <c r="D96" s="1"/>
      <c r="E96" s="1"/>
      <c r="F96" s="12"/>
      <c r="G96" s="12"/>
      <c r="H96" s="53"/>
    </row>
    <row r="97" spans="1:8" ht="14.1" customHeight="1" x14ac:dyDescent="0.2">
      <c r="A97" s="1"/>
      <c r="B97" s="1"/>
      <c r="C97" s="2" t="s">
        <v>147</v>
      </c>
      <c r="D97" s="1"/>
      <c r="E97" s="1"/>
      <c r="F97" s="12"/>
      <c r="G97" s="12"/>
      <c r="H97" s="53"/>
    </row>
    <row r="98" spans="1:8" ht="14.1" customHeight="1" x14ac:dyDescent="0.2">
      <c r="A98" s="1"/>
      <c r="B98" s="1"/>
      <c r="C98" s="2" t="s">
        <v>132</v>
      </c>
      <c r="D98" s="1"/>
      <c r="E98" s="1" t="s">
        <v>133</v>
      </c>
      <c r="F98" s="13">
        <v>0</v>
      </c>
      <c r="G98" s="14">
        <v>0</v>
      </c>
      <c r="H98" s="53"/>
    </row>
    <row r="99" spans="1:8" ht="14.1" customHeight="1" x14ac:dyDescent="0.2">
      <c r="A99" s="1"/>
      <c r="B99" s="1"/>
      <c r="C99" s="11"/>
      <c r="D99" s="1"/>
      <c r="E99" s="1"/>
      <c r="F99" s="12"/>
      <c r="G99" s="12"/>
      <c r="H99" s="53"/>
    </row>
    <row r="100" spans="1:8" ht="14.1" customHeight="1" x14ac:dyDescent="0.2">
      <c r="A100" s="1"/>
      <c r="B100" s="1"/>
      <c r="C100" s="2" t="s">
        <v>148</v>
      </c>
      <c r="D100" s="1"/>
      <c r="E100" s="1"/>
      <c r="F100" s="12"/>
      <c r="G100" s="12"/>
      <c r="H100" s="53"/>
    </row>
    <row r="101" spans="1:8" ht="14.1" customHeight="1" x14ac:dyDescent="0.2">
      <c r="A101" s="1"/>
      <c r="B101" s="1"/>
      <c r="C101" s="2" t="s">
        <v>132</v>
      </c>
      <c r="D101" s="1"/>
      <c r="E101" s="1" t="s">
        <v>133</v>
      </c>
      <c r="F101" s="13">
        <v>0</v>
      </c>
      <c r="G101" s="14">
        <v>0</v>
      </c>
      <c r="H101" s="53"/>
    </row>
    <row r="102" spans="1:8" ht="14.1" customHeight="1" x14ac:dyDescent="0.2">
      <c r="A102" s="1"/>
      <c r="B102" s="1"/>
      <c r="C102" s="11"/>
      <c r="D102" s="1"/>
      <c r="E102" s="1"/>
      <c r="F102" s="12"/>
      <c r="G102" s="12"/>
      <c r="H102" s="53"/>
    </row>
    <row r="103" spans="1:8" ht="14.1" customHeight="1" x14ac:dyDescent="0.2">
      <c r="A103" s="1"/>
      <c r="B103" s="1"/>
      <c r="C103" s="2" t="s">
        <v>149</v>
      </c>
      <c r="D103" s="1"/>
      <c r="E103" s="1"/>
      <c r="F103" s="12"/>
      <c r="G103" s="12"/>
      <c r="H103" s="53"/>
    </row>
    <row r="104" spans="1:8" ht="17.100000000000001" customHeight="1" x14ac:dyDescent="0.2">
      <c r="A104" s="3">
        <v>1</v>
      </c>
      <c r="B104" s="4"/>
      <c r="C104" s="4" t="s">
        <v>150</v>
      </c>
      <c r="D104" s="4"/>
      <c r="E104" s="8"/>
      <c r="F104" s="6">
        <v>8105.4588825000001</v>
      </c>
      <c r="G104" s="7">
        <v>2.6640904E-2</v>
      </c>
      <c r="H104" s="53">
        <v>6.46</v>
      </c>
    </row>
    <row r="105" spans="1:8" ht="14.1" customHeight="1" x14ac:dyDescent="0.2">
      <c r="A105" s="1"/>
      <c r="B105" s="1"/>
      <c r="C105" s="2" t="s">
        <v>132</v>
      </c>
      <c r="D105" s="1"/>
      <c r="E105" s="1" t="s">
        <v>133</v>
      </c>
      <c r="F105" s="9">
        <v>8105.4588825000001</v>
      </c>
      <c r="G105" s="10">
        <v>2.6640904E-2</v>
      </c>
      <c r="H105" s="53"/>
    </row>
    <row r="106" spans="1:8" ht="14.1" customHeight="1" x14ac:dyDescent="0.2">
      <c r="A106" s="1"/>
      <c r="B106" s="1"/>
      <c r="C106" s="11"/>
      <c r="D106" s="1"/>
      <c r="E106" s="1"/>
      <c r="F106" s="12"/>
      <c r="G106" s="12"/>
      <c r="H106" s="53"/>
    </row>
    <row r="107" spans="1:8" ht="14.1" customHeight="1" x14ac:dyDescent="0.2">
      <c r="A107" s="1"/>
      <c r="B107" s="1"/>
      <c r="C107" s="2" t="s">
        <v>151</v>
      </c>
      <c r="D107" s="1"/>
      <c r="E107" s="1"/>
      <c r="F107" s="9">
        <v>8105.4588825000001</v>
      </c>
      <c r="G107" s="10">
        <v>2.6640904E-2</v>
      </c>
      <c r="H107" s="53"/>
    </row>
    <row r="108" spans="1:8" ht="14.1" customHeight="1" x14ac:dyDescent="0.2">
      <c r="A108" s="1"/>
      <c r="B108" s="1"/>
      <c r="C108" s="12"/>
      <c r="D108" s="1"/>
      <c r="E108" s="1"/>
      <c r="F108" s="1"/>
      <c r="G108" s="1"/>
      <c r="H108" s="53"/>
    </row>
    <row r="109" spans="1:8" ht="14.1" customHeight="1" x14ac:dyDescent="0.2">
      <c r="A109" s="1"/>
      <c r="B109" s="1"/>
      <c r="C109" s="2" t="s">
        <v>152</v>
      </c>
      <c r="D109" s="1"/>
      <c r="E109" s="1"/>
      <c r="F109" s="1"/>
      <c r="G109" s="1"/>
      <c r="H109" s="53"/>
    </row>
    <row r="110" spans="1:8" ht="14.1" customHeight="1" x14ac:dyDescent="0.2">
      <c r="A110" s="1"/>
      <c r="B110" s="1"/>
      <c r="C110" s="2" t="s">
        <v>153</v>
      </c>
      <c r="D110" s="1"/>
      <c r="E110" s="1"/>
      <c r="F110" s="1"/>
      <c r="G110" s="1"/>
      <c r="H110" s="53"/>
    </row>
    <row r="111" spans="1:8" ht="14.1" customHeight="1" x14ac:dyDescent="0.2">
      <c r="A111" s="1"/>
      <c r="B111" s="1"/>
      <c r="C111" s="2" t="s">
        <v>132</v>
      </c>
      <c r="D111" s="1"/>
      <c r="E111" s="1" t="s">
        <v>133</v>
      </c>
      <c r="F111" s="13">
        <v>0</v>
      </c>
      <c r="G111" s="14">
        <v>0</v>
      </c>
      <c r="H111" s="53"/>
    </row>
    <row r="112" spans="1:8" ht="14.1" customHeight="1" x14ac:dyDescent="0.2">
      <c r="A112" s="1"/>
      <c r="B112" s="1"/>
      <c r="C112" s="11"/>
      <c r="D112" s="1"/>
      <c r="E112" s="1"/>
      <c r="F112" s="12"/>
      <c r="G112" s="12"/>
      <c r="H112" s="53"/>
    </row>
    <row r="113" spans="1:14" ht="14.1" customHeight="1" x14ac:dyDescent="0.2">
      <c r="A113" s="1"/>
      <c r="B113" s="1"/>
      <c r="C113" s="2" t="s">
        <v>154</v>
      </c>
      <c r="D113" s="1"/>
      <c r="E113" s="1"/>
      <c r="F113" s="1"/>
      <c r="G113" s="1"/>
      <c r="H113" s="53"/>
    </row>
    <row r="114" spans="1:14" ht="14.1" customHeight="1" x14ac:dyDescent="0.2">
      <c r="A114" s="1"/>
      <c r="B114" s="1"/>
      <c r="C114" s="2" t="s">
        <v>155</v>
      </c>
      <c r="D114" s="1"/>
      <c r="E114" s="1"/>
      <c r="F114" s="1"/>
      <c r="G114" s="1"/>
      <c r="H114" s="53"/>
    </row>
    <row r="115" spans="1:14" ht="14.1" customHeight="1" x14ac:dyDescent="0.2">
      <c r="A115" s="1"/>
      <c r="B115" s="1"/>
      <c r="C115" s="2" t="s">
        <v>132</v>
      </c>
      <c r="D115" s="1"/>
      <c r="E115" s="1" t="s">
        <v>133</v>
      </c>
      <c r="F115" s="13">
        <v>0</v>
      </c>
      <c r="G115" s="14">
        <v>0</v>
      </c>
      <c r="H115" s="53"/>
    </row>
    <row r="116" spans="1:14" ht="14.1" customHeight="1" x14ac:dyDescent="0.2">
      <c r="A116" s="1"/>
      <c r="B116" s="1"/>
      <c r="C116" s="11"/>
      <c r="D116" s="1"/>
      <c r="E116" s="1"/>
      <c r="F116" s="12"/>
      <c r="G116" s="12"/>
      <c r="H116" s="53"/>
    </row>
    <row r="117" spans="1:14" ht="14.1" customHeight="1" x14ac:dyDescent="0.2">
      <c r="A117" s="1"/>
      <c r="B117" s="1"/>
      <c r="C117" s="11"/>
      <c r="D117" s="1"/>
      <c r="E117" s="1"/>
      <c r="F117" s="12"/>
      <c r="G117" s="12"/>
      <c r="H117" s="53"/>
    </row>
    <row r="118" spans="1:14" ht="24" customHeight="1" x14ac:dyDescent="0.2">
      <c r="A118" s="1"/>
      <c r="B118" s="1"/>
      <c r="C118" s="2" t="s">
        <v>156</v>
      </c>
      <c r="D118" s="1"/>
      <c r="E118" s="1"/>
      <c r="F118" s="12"/>
      <c r="G118" s="12"/>
      <c r="H118" s="53"/>
    </row>
    <row r="119" spans="1:14" ht="14.1" customHeight="1" x14ac:dyDescent="0.2">
      <c r="A119" s="1"/>
      <c r="B119" s="1"/>
      <c r="C119" s="2" t="s">
        <v>132</v>
      </c>
      <c r="D119" s="1"/>
      <c r="E119" s="1" t="s">
        <v>133</v>
      </c>
      <c r="F119" s="13">
        <v>0</v>
      </c>
      <c r="G119" s="14">
        <v>0</v>
      </c>
      <c r="H119" s="53"/>
    </row>
    <row r="120" spans="1:14" ht="14.1" customHeight="1" x14ac:dyDescent="0.2">
      <c r="A120" s="1"/>
      <c r="B120" s="1"/>
      <c r="C120" s="11"/>
      <c r="D120" s="1"/>
      <c r="E120" s="1"/>
      <c r="F120" s="12"/>
      <c r="G120" s="12"/>
      <c r="H120" s="53"/>
    </row>
    <row r="121" spans="1:14" ht="14.1" customHeight="1" x14ac:dyDescent="0.2">
      <c r="A121" s="1"/>
      <c r="B121" s="4"/>
      <c r="C121" s="4"/>
      <c r="D121" s="2"/>
      <c r="E121" s="1"/>
      <c r="F121" s="4"/>
      <c r="G121" s="8"/>
      <c r="H121" s="53"/>
    </row>
    <row r="122" spans="1:14" ht="18" customHeight="1" x14ac:dyDescent="0.2">
      <c r="A122" s="8"/>
      <c r="B122" s="4"/>
      <c r="C122" s="48" t="s">
        <v>869</v>
      </c>
      <c r="D122" s="4"/>
      <c r="E122" s="8"/>
      <c r="F122" s="6">
        <v>1521.0254844200001</v>
      </c>
      <c r="G122" s="7">
        <v>4.9992839999999997E-3</v>
      </c>
      <c r="H122" s="53"/>
    </row>
    <row r="123" spans="1:14" ht="14.1" customHeight="1" x14ac:dyDescent="0.2">
      <c r="A123" s="11"/>
      <c r="B123" s="11"/>
      <c r="C123" s="2" t="s">
        <v>158</v>
      </c>
      <c r="D123" s="15"/>
      <c r="E123" s="15"/>
      <c r="F123" s="9">
        <v>304248.63804063998</v>
      </c>
      <c r="G123" s="14">
        <v>0.999999996</v>
      </c>
      <c r="H123" s="53"/>
    </row>
    <row r="124" spans="1:14" ht="14.1" customHeight="1" x14ac:dyDescent="0.2">
      <c r="A124" s="16"/>
      <c r="B124" s="16"/>
      <c r="C124" s="16"/>
      <c r="D124" s="17"/>
      <c r="E124" s="17"/>
      <c r="F124" s="17"/>
      <c r="G124" s="17"/>
    </row>
    <row r="125" spans="1:14" ht="17.100000000000001" customHeight="1" x14ac:dyDescent="0.2">
      <c r="A125" s="18"/>
      <c r="B125" s="292" t="s">
        <v>577</v>
      </c>
      <c r="C125" s="292"/>
      <c r="D125" s="292"/>
      <c r="E125" s="292"/>
      <c r="F125" s="292"/>
      <c r="G125" s="20"/>
      <c r="J125" s="80"/>
      <c r="K125" s="80"/>
      <c r="L125" s="80"/>
      <c r="M125" s="80"/>
      <c r="N125" s="80"/>
    </row>
    <row r="126" spans="1:14" ht="17.100000000000001" customHeight="1" x14ac:dyDescent="0.2">
      <c r="A126" s="58"/>
      <c r="B126" s="324" t="s">
        <v>871</v>
      </c>
      <c r="C126" s="324"/>
      <c r="D126" s="324"/>
      <c r="E126" s="324"/>
      <c r="F126" s="324"/>
      <c r="G126" s="61"/>
      <c r="I126" s="80"/>
    </row>
    <row r="127" spans="1:14" ht="17.100000000000001" customHeight="1" x14ac:dyDescent="0.2">
      <c r="A127" s="18"/>
      <c r="B127" s="292" t="s">
        <v>159</v>
      </c>
      <c r="C127" s="292"/>
      <c r="D127" s="292"/>
      <c r="E127" s="292"/>
      <c r="F127" s="292"/>
      <c r="G127" s="20"/>
    </row>
    <row r="128" spans="1:14" ht="14.1" customHeight="1" x14ac:dyDescent="0.2">
      <c r="A128" s="18"/>
      <c r="B128" s="18"/>
      <c r="C128" s="18"/>
      <c r="D128" s="20"/>
      <c r="E128" s="20"/>
      <c r="F128" s="20"/>
      <c r="G128" s="20"/>
    </row>
    <row r="129" spans="1:7" ht="14.1" customHeight="1" x14ac:dyDescent="0.2">
      <c r="A129" s="18"/>
      <c r="B129" s="293" t="s">
        <v>160</v>
      </c>
      <c r="C129" s="294"/>
      <c r="D129" s="12" t="s">
        <v>133</v>
      </c>
      <c r="E129" s="21"/>
      <c r="F129" s="20"/>
      <c r="G129" s="20"/>
    </row>
    <row r="130" spans="1:7" ht="29.1" customHeight="1" x14ac:dyDescent="0.2">
      <c r="A130" s="18"/>
      <c r="B130" s="290" t="s">
        <v>161</v>
      </c>
      <c r="C130" s="291"/>
      <c r="D130" s="2" t="s">
        <v>162</v>
      </c>
      <c r="E130" s="21"/>
      <c r="F130" s="20"/>
      <c r="G130" s="20"/>
    </row>
    <row r="131" spans="1:7" ht="17.100000000000001" customHeight="1" x14ac:dyDescent="0.2">
      <c r="A131" s="18"/>
      <c r="B131" s="290" t="s">
        <v>163</v>
      </c>
      <c r="C131" s="291"/>
      <c r="D131" s="2" t="s">
        <v>162</v>
      </c>
      <c r="E131" s="21"/>
      <c r="F131" s="20"/>
      <c r="G131" s="20"/>
    </row>
    <row r="132" spans="1:7" ht="17.100000000000001" customHeight="1" x14ac:dyDescent="0.2">
      <c r="A132" s="18"/>
      <c r="B132" s="290" t="s">
        <v>164</v>
      </c>
      <c r="C132" s="291"/>
      <c r="D132" s="12" t="s">
        <v>133</v>
      </c>
      <c r="E132" s="21"/>
      <c r="F132" s="20"/>
      <c r="G132" s="20"/>
    </row>
    <row r="133" spans="1:7" ht="24" customHeight="1" x14ac:dyDescent="0.2">
      <c r="A133" s="22"/>
      <c r="B133" s="23" t="s">
        <v>133</v>
      </c>
      <c r="C133" s="23" t="s">
        <v>165</v>
      </c>
      <c r="D133" s="23" t="s">
        <v>166</v>
      </c>
      <c r="E133" s="22"/>
      <c r="F133" s="22"/>
      <c r="G133" s="22"/>
    </row>
    <row r="134" spans="1:7" ht="18" customHeight="1" x14ac:dyDescent="0.2">
      <c r="A134" s="22"/>
      <c r="B134" s="23" t="s">
        <v>167</v>
      </c>
      <c r="C134" s="23" t="s">
        <v>168</v>
      </c>
      <c r="D134" s="23" t="s">
        <v>169</v>
      </c>
      <c r="E134" s="22"/>
      <c r="F134" s="22"/>
      <c r="G134" s="22"/>
    </row>
    <row r="135" spans="1:7" ht="17.100000000000001" customHeight="1" x14ac:dyDescent="0.2">
      <c r="A135" s="22"/>
      <c r="B135" s="4" t="s">
        <v>170</v>
      </c>
      <c r="C135" s="24">
        <v>16.505600000000001</v>
      </c>
      <c r="D135" s="24">
        <v>15.9968</v>
      </c>
      <c r="E135" s="22"/>
      <c r="F135" s="19"/>
      <c r="G135" s="25"/>
    </row>
    <row r="136" spans="1:7" ht="17.100000000000001" customHeight="1" x14ac:dyDescent="0.2">
      <c r="A136" s="22"/>
      <c r="B136" s="4" t="s">
        <v>1042</v>
      </c>
      <c r="C136" s="24">
        <v>14.845700000000001</v>
      </c>
      <c r="D136" s="24">
        <v>14.388</v>
      </c>
      <c r="E136" s="22"/>
      <c r="F136" s="19"/>
      <c r="G136" s="25"/>
    </row>
    <row r="137" spans="1:7" ht="17.100000000000001" customHeight="1" x14ac:dyDescent="0.2">
      <c r="A137" s="22"/>
      <c r="B137" s="4" t="s">
        <v>171</v>
      </c>
      <c r="C137" s="24">
        <v>15.9087</v>
      </c>
      <c r="D137" s="24">
        <v>15.400399999999999</v>
      </c>
      <c r="E137" s="22"/>
      <c r="F137" s="19"/>
      <c r="G137" s="25"/>
    </row>
    <row r="138" spans="1:7" ht="17.100000000000001" customHeight="1" x14ac:dyDescent="0.2">
      <c r="A138" s="22"/>
      <c r="B138" s="4" t="s">
        <v>1043</v>
      </c>
      <c r="C138" s="24">
        <v>14.3094</v>
      </c>
      <c r="D138" s="24">
        <v>13.8522</v>
      </c>
      <c r="E138" s="22"/>
      <c r="F138" s="19"/>
      <c r="G138" s="25"/>
    </row>
    <row r="139" spans="1:7" ht="14.1" customHeight="1" x14ac:dyDescent="0.2">
      <c r="A139" s="22"/>
      <c r="B139" s="22"/>
      <c r="C139" s="22"/>
      <c r="D139" s="22"/>
      <c r="E139" s="22"/>
      <c r="F139" s="22"/>
      <c r="G139" s="22"/>
    </row>
    <row r="140" spans="1:7" ht="17.100000000000001" customHeight="1" x14ac:dyDescent="0.2">
      <c r="A140" s="22"/>
      <c r="B140" s="290" t="s">
        <v>1044</v>
      </c>
      <c r="C140" s="291"/>
      <c r="D140" s="2" t="s">
        <v>162</v>
      </c>
      <c r="E140" s="22"/>
      <c r="F140" s="22"/>
      <c r="G140" s="22"/>
    </row>
    <row r="141" spans="1:7" ht="18" customHeight="1" x14ac:dyDescent="0.2">
      <c r="A141" s="22"/>
      <c r="B141" s="26"/>
      <c r="C141" s="26"/>
      <c r="D141" s="27"/>
      <c r="E141" s="22"/>
      <c r="F141" s="22"/>
      <c r="G141" s="22"/>
    </row>
    <row r="142" spans="1:7" ht="29.1" customHeight="1" x14ac:dyDescent="0.2">
      <c r="A142" s="22"/>
      <c r="B142" s="290" t="s">
        <v>172</v>
      </c>
      <c r="C142" s="291"/>
      <c r="D142" s="2" t="s">
        <v>162</v>
      </c>
      <c r="E142" s="22"/>
      <c r="F142" s="22"/>
      <c r="G142" s="22"/>
    </row>
    <row r="143" spans="1:7" ht="29.1" customHeight="1" x14ac:dyDescent="0.2">
      <c r="A143" s="22"/>
      <c r="B143" s="290" t="s">
        <v>173</v>
      </c>
      <c r="C143" s="291"/>
      <c r="D143" s="2" t="s">
        <v>162</v>
      </c>
      <c r="E143" s="22"/>
      <c r="F143" s="22"/>
      <c r="G143" s="22"/>
    </row>
    <row r="144" spans="1:7" ht="17.100000000000001" customHeight="1" x14ac:dyDescent="0.2">
      <c r="A144" s="22"/>
      <c r="B144" s="290" t="s">
        <v>174</v>
      </c>
      <c r="C144" s="291"/>
      <c r="D144" s="28">
        <v>0.47764365359350364</v>
      </c>
      <c r="E144" s="22"/>
      <c r="F144" s="19"/>
      <c r="G144" s="25"/>
    </row>
    <row r="145" spans="1:7" ht="17.100000000000001" customHeight="1" x14ac:dyDescent="0.2">
      <c r="A145" s="22"/>
      <c r="B145" s="290" t="s">
        <v>175</v>
      </c>
      <c r="C145" s="291"/>
      <c r="D145" s="2" t="s">
        <v>162</v>
      </c>
      <c r="E145" s="22"/>
      <c r="F145" s="22"/>
      <c r="G145" s="22"/>
    </row>
  </sheetData>
  <mergeCells count="16">
    <mergeCell ref="B144:C144"/>
    <mergeCell ref="B145:C145"/>
    <mergeCell ref="B130:C130"/>
    <mergeCell ref="B131:C131"/>
    <mergeCell ref="B132:C132"/>
    <mergeCell ref="B140:C140"/>
    <mergeCell ref="B142:C142"/>
    <mergeCell ref="B143:C143"/>
    <mergeCell ref="A1:H1"/>
    <mergeCell ref="A2:H2"/>
    <mergeCell ref="A3:H3"/>
    <mergeCell ref="J2:N2"/>
    <mergeCell ref="B129:C129"/>
    <mergeCell ref="B125:F125"/>
    <mergeCell ref="B127:F127"/>
    <mergeCell ref="B126:F126"/>
  </mergeCells>
  <hyperlinks>
    <hyperlink ref="I1" location="Index!B35" display="Index" xr:uid="{EE2E59A7-876A-4DE1-AE76-ABEE0BAA83A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O21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5703125" bestFit="1" customWidth="1"/>
    <col min="10" max="10" width="12" customWidth="1"/>
    <col min="15" max="15" width="9.140625" style="46"/>
  </cols>
  <sheetData>
    <row r="1" spans="1:14" ht="18" customHeight="1" x14ac:dyDescent="0.2">
      <c r="A1" s="285" t="s">
        <v>0</v>
      </c>
      <c r="B1" s="285"/>
      <c r="C1" s="285"/>
      <c r="D1" s="285"/>
      <c r="E1" s="285"/>
      <c r="F1" s="285"/>
      <c r="G1" s="285"/>
      <c r="H1" s="285"/>
      <c r="I1" s="186" t="s">
        <v>1072</v>
      </c>
      <c r="J1" s="80"/>
      <c r="K1" s="80"/>
      <c r="L1" s="80"/>
      <c r="M1" s="80"/>
      <c r="N1" s="80"/>
    </row>
    <row r="2" spans="1:14" ht="17.100000000000001" customHeight="1" x14ac:dyDescent="0.2">
      <c r="A2" s="286" t="s">
        <v>734</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c r="J3" s="80"/>
      <c r="K3" s="80"/>
      <c r="L3" s="80"/>
      <c r="M3" s="80"/>
      <c r="N3" s="80"/>
    </row>
    <row r="4" spans="1:14" s="178" customFormat="1" ht="30" x14ac:dyDescent="0.2">
      <c r="A4" s="177" t="s">
        <v>2</v>
      </c>
      <c r="B4" s="177" t="s">
        <v>3</v>
      </c>
      <c r="C4" s="177" t="s">
        <v>4</v>
      </c>
      <c r="D4" s="177" t="s">
        <v>5</v>
      </c>
      <c r="E4" s="177" t="s">
        <v>6</v>
      </c>
      <c r="F4" s="177" t="s">
        <v>7</v>
      </c>
      <c r="G4" s="177" t="s">
        <v>8</v>
      </c>
      <c r="H4" s="83" t="s">
        <v>988</v>
      </c>
      <c r="J4" s="190"/>
      <c r="K4" s="190"/>
      <c r="L4" s="190"/>
      <c r="M4" s="190"/>
      <c r="N4" s="190"/>
    </row>
    <row r="5" spans="1:14" ht="14.1" customHeight="1" x14ac:dyDescent="0.2">
      <c r="A5" s="1"/>
      <c r="B5" s="1"/>
      <c r="C5" s="2" t="s">
        <v>9</v>
      </c>
      <c r="D5" s="1"/>
      <c r="E5" s="1"/>
      <c r="F5" s="1"/>
      <c r="G5" s="1"/>
      <c r="H5" s="53"/>
      <c r="J5" s="80"/>
      <c r="K5" s="80"/>
      <c r="L5" s="80"/>
      <c r="M5" s="80"/>
      <c r="N5" s="80"/>
    </row>
    <row r="6" spans="1:14" ht="24" customHeight="1" x14ac:dyDescent="0.2">
      <c r="A6" s="1"/>
      <c r="B6" s="1"/>
      <c r="C6" s="2" t="s">
        <v>10</v>
      </c>
      <c r="D6" s="1"/>
      <c r="E6" s="1"/>
      <c r="F6" s="1"/>
      <c r="G6" s="1"/>
      <c r="H6" s="53"/>
      <c r="J6" s="80"/>
      <c r="K6" s="80"/>
      <c r="L6" s="80"/>
      <c r="M6" s="80"/>
      <c r="N6" s="80"/>
    </row>
    <row r="7" spans="1:14" ht="17.100000000000001" customHeight="1" x14ac:dyDescent="0.2">
      <c r="A7" s="3">
        <v>1</v>
      </c>
      <c r="B7" s="4" t="s">
        <v>20</v>
      </c>
      <c r="C7" s="4" t="s">
        <v>21</v>
      </c>
      <c r="D7" s="4" t="s">
        <v>22</v>
      </c>
      <c r="E7" s="5">
        <v>517000</v>
      </c>
      <c r="F7" s="6">
        <v>13169.023999999999</v>
      </c>
      <c r="G7" s="7">
        <v>6.9738623999999999E-2</v>
      </c>
      <c r="H7" s="53"/>
      <c r="J7" s="80"/>
      <c r="K7" s="80"/>
      <c r="L7" s="80"/>
      <c r="M7" s="80"/>
      <c r="N7" s="80"/>
    </row>
    <row r="8" spans="1:14" ht="17.100000000000001" customHeight="1" x14ac:dyDescent="0.2">
      <c r="A8" s="3">
        <v>2</v>
      </c>
      <c r="B8" s="4" t="s">
        <v>17</v>
      </c>
      <c r="C8" s="4" t="s">
        <v>18</v>
      </c>
      <c r="D8" s="4" t="s">
        <v>19</v>
      </c>
      <c r="E8" s="5">
        <v>1203000</v>
      </c>
      <c r="F8" s="6">
        <v>10716.925499999999</v>
      </c>
      <c r="G8" s="7">
        <v>5.6753153000000001E-2</v>
      </c>
      <c r="H8" s="53"/>
      <c r="J8" s="80"/>
      <c r="K8" s="80"/>
      <c r="L8" s="80"/>
      <c r="M8" s="80"/>
      <c r="N8" s="80"/>
    </row>
    <row r="9" spans="1:14" ht="17.100000000000001" customHeight="1" x14ac:dyDescent="0.2">
      <c r="A9" s="3">
        <v>3</v>
      </c>
      <c r="B9" s="4" t="s">
        <v>29</v>
      </c>
      <c r="C9" s="4" t="s">
        <v>30</v>
      </c>
      <c r="D9" s="4" t="s">
        <v>19</v>
      </c>
      <c r="E9" s="5">
        <v>1439000</v>
      </c>
      <c r="F9" s="6">
        <v>8831.143</v>
      </c>
      <c r="G9" s="7">
        <v>4.6766697000000003E-2</v>
      </c>
      <c r="H9" s="53"/>
      <c r="J9" s="80"/>
      <c r="K9" s="80"/>
      <c r="L9" s="80"/>
      <c r="M9" s="80"/>
      <c r="N9" s="80"/>
    </row>
    <row r="10" spans="1:14" ht="29.1" customHeight="1" x14ac:dyDescent="0.2">
      <c r="A10" s="3">
        <v>4</v>
      </c>
      <c r="B10" s="4" t="s">
        <v>293</v>
      </c>
      <c r="C10" s="4" t="s">
        <v>294</v>
      </c>
      <c r="D10" s="4" t="s">
        <v>119</v>
      </c>
      <c r="E10" s="5">
        <v>296000</v>
      </c>
      <c r="F10" s="6">
        <v>7807.2960000000003</v>
      </c>
      <c r="G10" s="7">
        <v>4.1344756000000003E-2</v>
      </c>
      <c r="H10" s="53"/>
      <c r="J10" s="80"/>
      <c r="K10" s="80"/>
      <c r="L10" s="80"/>
      <c r="M10" s="80"/>
      <c r="N10" s="80"/>
    </row>
    <row r="11" spans="1:14" ht="17.100000000000001" customHeight="1" x14ac:dyDescent="0.2">
      <c r="A11" s="3">
        <v>5</v>
      </c>
      <c r="B11" s="4" t="s">
        <v>266</v>
      </c>
      <c r="C11" s="4" t="s">
        <v>267</v>
      </c>
      <c r="D11" s="4" t="s">
        <v>19</v>
      </c>
      <c r="E11" s="5">
        <v>466000</v>
      </c>
      <c r="F11" s="6">
        <v>7587.1790000000001</v>
      </c>
      <c r="G11" s="7">
        <v>4.0179092E-2</v>
      </c>
      <c r="H11" s="53"/>
      <c r="J11" s="80"/>
      <c r="K11" s="80"/>
      <c r="L11" s="80"/>
      <c r="M11" s="80"/>
      <c r="N11" s="80"/>
    </row>
    <row r="12" spans="1:14" ht="17.100000000000001" customHeight="1" x14ac:dyDescent="0.2">
      <c r="A12" s="3">
        <v>6</v>
      </c>
      <c r="B12" s="4" t="s">
        <v>291</v>
      </c>
      <c r="C12" s="4" t="s">
        <v>292</v>
      </c>
      <c r="D12" s="4" t="s">
        <v>900</v>
      </c>
      <c r="E12" s="5">
        <v>499000</v>
      </c>
      <c r="F12" s="6">
        <v>7525.9179999999997</v>
      </c>
      <c r="G12" s="7">
        <v>3.9854674E-2</v>
      </c>
      <c r="H12" s="53"/>
      <c r="J12" s="80"/>
      <c r="K12" s="80"/>
      <c r="L12" s="80"/>
      <c r="M12" s="80"/>
      <c r="N12" s="80"/>
    </row>
    <row r="13" spans="1:14" ht="17.100000000000001" customHeight="1" x14ac:dyDescent="0.2">
      <c r="A13" s="3">
        <v>7</v>
      </c>
      <c r="B13" s="4" t="s">
        <v>181</v>
      </c>
      <c r="C13" s="4" t="s">
        <v>182</v>
      </c>
      <c r="D13" s="4" t="s">
        <v>19</v>
      </c>
      <c r="E13" s="5">
        <v>532000</v>
      </c>
      <c r="F13" s="6">
        <v>4967.55</v>
      </c>
      <c r="G13" s="7">
        <v>2.6306436999999998E-2</v>
      </c>
      <c r="H13" s="53"/>
      <c r="J13" s="188" t="s">
        <v>1103</v>
      </c>
      <c r="L13" s="80"/>
      <c r="M13" s="80"/>
      <c r="N13" s="80"/>
    </row>
    <row r="14" spans="1:14" ht="17.100000000000001" customHeight="1" x14ac:dyDescent="0.2">
      <c r="A14" s="3">
        <v>8</v>
      </c>
      <c r="B14" s="4" t="s">
        <v>297</v>
      </c>
      <c r="C14" s="4" t="s">
        <v>298</v>
      </c>
      <c r="D14" s="4" t="s">
        <v>900</v>
      </c>
      <c r="E14" s="5">
        <v>151000</v>
      </c>
      <c r="F14" s="6">
        <v>4917.6170000000002</v>
      </c>
      <c r="G14" s="7">
        <v>2.6042009000000001E-2</v>
      </c>
      <c r="H14" s="53"/>
      <c r="J14" s="80"/>
      <c r="K14" s="80"/>
      <c r="L14" s="80"/>
      <c r="M14" s="80"/>
      <c r="N14" s="80"/>
    </row>
    <row r="15" spans="1:14" ht="17.100000000000001" customHeight="1" x14ac:dyDescent="0.2">
      <c r="A15" s="3">
        <v>9</v>
      </c>
      <c r="B15" s="4" t="s">
        <v>70</v>
      </c>
      <c r="C15" s="4" t="s">
        <v>71</v>
      </c>
      <c r="D15" s="4" t="s">
        <v>72</v>
      </c>
      <c r="E15" s="5">
        <v>56000</v>
      </c>
      <c r="F15" s="6">
        <v>4700.9759999999997</v>
      </c>
      <c r="G15" s="7">
        <v>2.4894752999999999E-2</v>
      </c>
      <c r="H15" s="53"/>
      <c r="J15" s="80"/>
      <c r="K15" s="80"/>
      <c r="L15" s="80"/>
      <c r="M15" s="80"/>
      <c r="N15" s="80"/>
    </row>
    <row r="16" spans="1:14" ht="17.100000000000001" customHeight="1" x14ac:dyDescent="0.2">
      <c r="A16" s="3">
        <v>10</v>
      </c>
      <c r="B16" s="4" t="s">
        <v>11</v>
      </c>
      <c r="C16" s="4" t="s">
        <v>12</v>
      </c>
      <c r="D16" s="4" t="s">
        <v>13</v>
      </c>
      <c r="E16" s="5">
        <v>207000</v>
      </c>
      <c r="F16" s="6">
        <v>4317.6059999999998</v>
      </c>
      <c r="G16" s="7">
        <v>2.2864557000000001E-2</v>
      </c>
      <c r="H16" s="53"/>
      <c r="J16" s="80"/>
      <c r="K16" s="80"/>
      <c r="L16" s="80"/>
      <c r="M16" s="80"/>
      <c r="N16" s="80"/>
    </row>
    <row r="17" spans="1:14" ht="53.1" customHeight="1" x14ac:dyDescent="0.2">
      <c r="A17" s="3">
        <v>11</v>
      </c>
      <c r="B17" s="4" t="s">
        <v>46</v>
      </c>
      <c r="C17" s="4" t="s">
        <v>47</v>
      </c>
      <c r="D17" s="4" t="s">
        <v>48</v>
      </c>
      <c r="E17" s="5">
        <v>2970000</v>
      </c>
      <c r="F17" s="6">
        <v>4258.9799999999996</v>
      </c>
      <c r="G17" s="7">
        <v>2.2554094E-2</v>
      </c>
      <c r="H17" s="53"/>
      <c r="J17" s="80"/>
      <c r="K17" s="80"/>
      <c r="L17" s="80"/>
      <c r="M17" s="80"/>
      <c r="N17" s="80"/>
    </row>
    <row r="18" spans="1:14" ht="17.100000000000001" customHeight="1" x14ac:dyDescent="0.2">
      <c r="A18" s="3">
        <v>12</v>
      </c>
      <c r="B18" s="4" t="s">
        <v>327</v>
      </c>
      <c r="C18" s="4" t="s">
        <v>328</v>
      </c>
      <c r="D18" s="4" t="s">
        <v>19</v>
      </c>
      <c r="E18" s="5">
        <v>328000</v>
      </c>
      <c r="F18" s="6">
        <v>4001.9279999999999</v>
      </c>
      <c r="G18" s="7">
        <v>2.1192835E-2</v>
      </c>
      <c r="H18" s="53"/>
      <c r="J18" s="80"/>
      <c r="K18" s="80"/>
      <c r="L18" s="80"/>
      <c r="M18" s="80"/>
      <c r="N18" s="80"/>
    </row>
    <row r="19" spans="1:14" ht="17.100000000000001" customHeight="1" x14ac:dyDescent="0.2">
      <c r="A19" s="3">
        <v>13</v>
      </c>
      <c r="B19" s="4" t="s">
        <v>75</v>
      </c>
      <c r="C19" s="4" t="s">
        <v>76</v>
      </c>
      <c r="D19" s="4" t="s">
        <v>45</v>
      </c>
      <c r="E19" s="5">
        <v>1499779</v>
      </c>
      <c r="F19" s="6">
        <v>3903.1748474999999</v>
      </c>
      <c r="G19" s="7">
        <v>2.0669871999999999E-2</v>
      </c>
      <c r="H19" s="53"/>
      <c r="J19" s="80"/>
      <c r="K19" s="80"/>
      <c r="L19" s="80"/>
      <c r="M19" s="80"/>
      <c r="N19" s="80"/>
    </row>
    <row r="20" spans="1:14" ht="17.100000000000001" customHeight="1" x14ac:dyDescent="0.2">
      <c r="A20" s="3">
        <v>14</v>
      </c>
      <c r="B20" s="4" t="s">
        <v>303</v>
      </c>
      <c r="C20" s="4" t="s">
        <v>304</v>
      </c>
      <c r="D20" s="4" t="s">
        <v>305</v>
      </c>
      <c r="E20" s="5">
        <v>149000</v>
      </c>
      <c r="F20" s="6">
        <v>3815.9645</v>
      </c>
      <c r="G20" s="7">
        <v>2.0208035999999999E-2</v>
      </c>
      <c r="H20" s="53"/>
      <c r="J20" s="80"/>
      <c r="K20" s="80"/>
      <c r="L20" s="80"/>
      <c r="M20" s="80"/>
      <c r="N20" s="80"/>
    </row>
    <row r="21" spans="1:14" ht="17.100000000000001" customHeight="1" x14ac:dyDescent="0.2">
      <c r="A21" s="3">
        <v>15</v>
      </c>
      <c r="B21" s="4" t="s">
        <v>310</v>
      </c>
      <c r="C21" s="4" t="s">
        <v>311</v>
      </c>
      <c r="D21" s="4" t="s">
        <v>305</v>
      </c>
      <c r="E21" s="5">
        <v>1150000</v>
      </c>
      <c r="F21" s="6">
        <v>3812.8249999999998</v>
      </c>
      <c r="G21" s="7">
        <v>2.019141E-2</v>
      </c>
      <c r="H21" s="53"/>
      <c r="J21" s="188" t="s">
        <v>1104</v>
      </c>
      <c r="K21" s="80"/>
      <c r="L21" s="80"/>
      <c r="M21" s="80"/>
      <c r="N21" s="80"/>
    </row>
    <row r="22" spans="1:14" ht="17.100000000000001" customHeight="1" x14ac:dyDescent="0.2">
      <c r="A22" s="3">
        <v>16</v>
      </c>
      <c r="B22" s="4" t="s">
        <v>365</v>
      </c>
      <c r="C22" s="4" t="s">
        <v>366</v>
      </c>
      <c r="D22" s="4" t="s">
        <v>119</v>
      </c>
      <c r="E22" s="5">
        <v>604000</v>
      </c>
      <c r="F22" s="6">
        <v>3231.7020000000002</v>
      </c>
      <c r="G22" s="7">
        <v>1.7113982999999999E-2</v>
      </c>
      <c r="H22" s="53"/>
      <c r="J22" s="80"/>
      <c r="K22" s="80"/>
      <c r="L22" s="80"/>
      <c r="M22" s="80"/>
      <c r="N22" s="80"/>
    </row>
    <row r="23" spans="1:14" ht="29.1" customHeight="1" x14ac:dyDescent="0.2">
      <c r="A23" s="3">
        <v>17</v>
      </c>
      <c r="B23" s="4" t="s">
        <v>23</v>
      </c>
      <c r="C23" s="4" t="s">
        <v>24</v>
      </c>
      <c r="D23" s="4" t="s">
        <v>25</v>
      </c>
      <c r="E23" s="5">
        <v>45000</v>
      </c>
      <c r="F23" s="6">
        <v>3131.5725000000002</v>
      </c>
      <c r="G23" s="7">
        <v>1.6583731000000001E-2</v>
      </c>
      <c r="H23" s="53"/>
      <c r="J23" s="80"/>
      <c r="K23" s="80"/>
      <c r="L23" s="80"/>
      <c r="M23" s="80"/>
      <c r="N23" s="80"/>
    </row>
    <row r="24" spans="1:14" ht="17.100000000000001" customHeight="1" x14ac:dyDescent="0.2">
      <c r="A24" s="3">
        <v>18</v>
      </c>
      <c r="B24" s="4" t="s">
        <v>108</v>
      </c>
      <c r="C24" s="4" t="s">
        <v>109</v>
      </c>
      <c r="D24" s="4" t="s">
        <v>40</v>
      </c>
      <c r="E24" s="5">
        <v>152000</v>
      </c>
      <c r="F24" s="6">
        <v>3051.7040000000002</v>
      </c>
      <c r="G24" s="7">
        <v>1.6160774999999999E-2</v>
      </c>
      <c r="H24" s="53"/>
      <c r="J24" s="80"/>
      <c r="K24" s="80"/>
      <c r="L24" s="80"/>
      <c r="M24" s="80"/>
      <c r="N24" s="80"/>
    </row>
    <row r="25" spans="1:14" ht="17.100000000000001" customHeight="1" x14ac:dyDescent="0.2">
      <c r="A25" s="3">
        <v>19</v>
      </c>
      <c r="B25" s="4" t="s">
        <v>499</v>
      </c>
      <c r="C25" s="4" t="s">
        <v>500</v>
      </c>
      <c r="D25" s="4" t="s">
        <v>320</v>
      </c>
      <c r="E25" s="5">
        <v>50000</v>
      </c>
      <c r="F25" s="6">
        <v>2292.9499999999998</v>
      </c>
      <c r="G25" s="7">
        <v>1.2142675E-2</v>
      </c>
      <c r="H25" s="53"/>
      <c r="J25" s="80"/>
      <c r="K25" s="80"/>
      <c r="L25" s="80"/>
      <c r="M25" s="80"/>
      <c r="N25" s="80"/>
    </row>
    <row r="26" spans="1:14" ht="17.100000000000001" customHeight="1" x14ac:dyDescent="0.2">
      <c r="A26" s="3">
        <v>20</v>
      </c>
      <c r="B26" s="4" t="s">
        <v>336</v>
      </c>
      <c r="C26" s="4" t="s">
        <v>337</v>
      </c>
      <c r="D26" s="4" t="s">
        <v>19</v>
      </c>
      <c r="E26" s="5">
        <v>667000</v>
      </c>
      <c r="F26" s="6">
        <v>2223.1109999999999</v>
      </c>
      <c r="G26" s="7">
        <v>1.1772832E-2</v>
      </c>
      <c r="H26" s="53"/>
      <c r="J26" s="80"/>
      <c r="K26" s="80"/>
      <c r="L26" s="80"/>
      <c r="M26" s="80"/>
      <c r="N26" s="80"/>
    </row>
    <row r="27" spans="1:14" ht="17.100000000000001" customHeight="1" x14ac:dyDescent="0.2">
      <c r="A27" s="3">
        <v>21</v>
      </c>
      <c r="B27" s="4" t="s">
        <v>342</v>
      </c>
      <c r="C27" s="4" t="s">
        <v>343</v>
      </c>
      <c r="D27" s="4" t="s">
        <v>119</v>
      </c>
      <c r="E27" s="5">
        <v>32000</v>
      </c>
      <c r="F27" s="6">
        <v>2104.0639999999999</v>
      </c>
      <c r="G27" s="7">
        <v>1.11424E-2</v>
      </c>
      <c r="H27" s="53"/>
      <c r="J27" s="80"/>
      <c r="K27" s="80"/>
      <c r="L27" s="80"/>
      <c r="M27" s="80"/>
      <c r="N27" s="80"/>
    </row>
    <row r="28" spans="1:14" ht="17.100000000000001" customHeight="1" x14ac:dyDescent="0.2">
      <c r="A28" s="3">
        <v>22</v>
      </c>
      <c r="B28" s="4" t="s">
        <v>340</v>
      </c>
      <c r="C28" s="4" t="s">
        <v>341</v>
      </c>
      <c r="D28" s="4" t="s">
        <v>224</v>
      </c>
      <c r="E28" s="5">
        <v>656000</v>
      </c>
      <c r="F28" s="6">
        <v>2090.3440000000001</v>
      </c>
      <c r="G28" s="7">
        <v>1.1069743E-2</v>
      </c>
      <c r="H28" s="53"/>
      <c r="J28" s="80"/>
      <c r="K28" s="80"/>
      <c r="L28" s="80"/>
      <c r="M28" s="80"/>
      <c r="N28" s="80"/>
    </row>
    <row r="29" spans="1:14" ht="17.100000000000001" customHeight="1" x14ac:dyDescent="0.2">
      <c r="A29" s="3">
        <v>23</v>
      </c>
      <c r="B29" s="4" t="s">
        <v>177</v>
      </c>
      <c r="C29" s="4" t="s">
        <v>178</v>
      </c>
      <c r="D29" s="4" t="s">
        <v>19</v>
      </c>
      <c r="E29" s="5">
        <v>1489000</v>
      </c>
      <c r="F29" s="6">
        <v>2070.4544999999998</v>
      </c>
      <c r="G29" s="7">
        <v>1.0964415E-2</v>
      </c>
      <c r="H29" s="53"/>
    </row>
    <row r="30" spans="1:14" ht="17.100000000000001" customHeight="1" x14ac:dyDescent="0.2">
      <c r="A30" s="3">
        <v>24</v>
      </c>
      <c r="B30" s="4" t="s">
        <v>583</v>
      </c>
      <c r="C30" s="4" t="s">
        <v>584</v>
      </c>
      <c r="D30" s="4" t="s">
        <v>187</v>
      </c>
      <c r="E30" s="5">
        <v>235000</v>
      </c>
      <c r="F30" s="6">
        <v>2062.2424999999998</v>
      </c>
      <c r="G30" s="7">
        <v>1.0920927E-2</v>
      </c>
      <c r="H30" s="53"/>
    </row>
    <row r="31" spans="1:14" ht="29.1" customHeight="1" x14ac:dyDescent="0.2">
      <c r="A31" s="3">
        <v>25</v>
      </c>
      <c r="B31" s="4" t="s">
        <v>117</v>
      </c>
      <c r="C31" s="4" t="s">
        <v>118</v>
      </c>
      <c r="D31" s="4" t="s">
        <v>119</v>
      </c>
      <c r="E31" s="5">
        <v>284000</v>
      </c>
      <c r="F31" s="6">
        <v>2053.0360000000001</v>
      </c>
      <c r="G31" s="7">
        <v>1.0872173000000001E-2</v>
      </c>
      <c r="H31" s="53"/>
    </row>
    <row r="32" spans="1:14" ht="29.1" customHeight="1" x14ac:dyDescent="0.2">
      <c r="A32" s="3">
        <v>26</v>
      </c>
      <c r="B32" s="4" t="s">
        <v>299</v>
      </c>
      <c r="C32" s="4" t="s">
        <v>300</v>
      </c>
      <c r="D32" s="4" t="s">
        <v>227</v>
      </c>
      <c r="E32" s="5">
        <v>197398</v>
      </c>
      <c r="F32" s="6">
        <v>1976.7435720000001</v>
      </c>
      <c r="G32" s="7">
        <v>1.0468154E-2</v>
      </c>
      <c r="H32" s="53"/>
    </row>
    <row r="33" spans="1:8" ht="17.100000000000001" customHeight="1" x14ac:dyDescent="0.2">
      <c r="A33" s="3">
        <v>27</v>
      </c>
      <c r="B33" s="4" t="s">
        <v>522</v>
      </c>
      <c r="C33" s="4" t="s">
        <v>523</v>
      </c>
      <c r="D33" s="4" t="s">
        <v>320</v>
      </c>
      <c r="E33" s="5">
        <v>190000</v>
      </c>
      <c r="F33" s="6">
        <v>1883.7550000000001</v>
      </c>
      <c r="G33" s="7">
        <v>9.9757189999999992E-3</v>
      </c>
      <c r="H33" s="53"/>
    </row>
    <row r="34" spans="1:8" ht="29.1" customHeight="1" x14ac:dyDescent="0.2">
      <c r="A34" s="3">
        <v>28</v>
      </c>
      <c r="B34" s="4" t="s">
        <v>590</v>
      </c>
      <c r="C34" s="4" t="s">
        <v>591</v>
      </c>
      <c r="D34" s="4" t="s">
        <v>248</v>
      </c>
      <c r="E34" s="5">
        <v>152000</v>
      </c>
      <c r="F34" s="6">
        <v>1879.9359999999999</v>
      </c>
      <c r="G34" s="7">
        <v>9.955495E-3</v>
      </c>
      <c r="H34" s="53"/>
    </row>
    <row r="35" spans="1:8" ht="17.100000000000001" customHeight="1" x14ac:dyDescent="0.2">
      <c r="A35" s="3">
        <v>29</v>
      </c>
      <c r="B35" s="4" t="s">
        <v>350</v>
      </c>
      <c r="C35" s="4" t="s">
        <v>351</v>
      </c>
      <c r="D35" s="4" t="s">
        <v>72</v>
      </c>
      <c r="E35" s="5">
        <v>471000</v>
      </c>
      <c r="F35" s="6">
        <v>1827.2445</v>
      </c>
      <c r="G35" s="7">
        <v>9.6764590000000001E-3</v>
      </c>
      <c r="H35" s="53"/>
    </row>
    <row r="36" spans="1:8" ht="17.100000000000001" customHeight="1" x14ac:dyDescent="0.2">
      <c r="A36" s="3">
        <v>30</v>
      </c>
      <c r="B36" s="4" t="s">
        <v>244</v>
      </c>
      <c r="C36" s="4" t="s">
        <v>245</v>
      </c>
      <c r="D36" s="4" t="s">
        <v>116</v>
      </c>
      <c r="E36" s="5">
        <v>224000</v>
      </c>
      <c r="F36" s="6">
        <v>1791.664</v>
      </c>
      <c r="G36" s="7">
        <v>9.4880369999999995E-3</v>
      </c>
      <c r="H36" s="53"/>
    </row>
    <row r="37" spans="1:8" ht="29.1" customHeight="1" x14ac:dyDescent="0.2">
      <c r="A37" s="3">
        <v>31</v>
      </c>
      <c r="B37" s="4" t="s">
        <v>344</v>
      </c>
      <c r="C37" s="4" t="s">
        <v>345</v>
      </c>
      <c r="D37" s="4" t="s">
        <v>227</v>
      </c>
      <c r="E37" s="5">
        <v>52000</v>
      </c>
      <c r="F37" s="6">
        <v>1774.864</v>
      </c>
      <c r="G37" s="7">
        <v>9.3990700000000007E-3</v>
      </c>
      <c r="H37" s="53"/>
    </row>
    <row r="38" spans="1:8" ht="17.100000000000001" customHeight="1" x14ac:dyDescent="0.2">
      <c r="A38" s="3">
        <v>32</v>
      </c>
      <c r="B38" s="4" t="s">
        <v>38</v>
      </c>
      <c r="C38" s="4" t="s">
        <v>39</v>
      </c>
      <c r="D38" s="4" t="s">
        <v>40</v>
      </c>
      <c r="E38" s="5">
        <v>240000</v>
      </c>
      <c r="F38" s="6">
        <v>1773.12</v>
      </c>
      <c r="G38" s="7">
        <v>9.3898339999999997E-3</v>
      </c>
      <c r="H38" s="53"/>
    </row>
    <row r="39" spans="1:8" ht="17.100000000000001" customHeight="1" x14ac:dyDescent="0.2">
      <c r="A39" s="3">
        <v>33</v>
      </c>
      <c r="B39" s="4" t="s">
        <v>97</v>
      </c>
      <c r="C39" s="4" t="s">
        <v>98</v>
      </c>
      <c r="D39" s="4" t="s">
        <v>96</v>
      </c>
      <c r="E39" s="5">
        <v>202000</v>
      </c>
      <c r="F39" s="6">
        <v>1753.259</v>
      </c>
      <c r="G39" s="7">
        <v>9.284657E-3</v>
      </c>
      <c r="H39" s="53"/>
    </row>
    <row r="40" spans="1:8" ht="17.100000000000001" customHeight="1" x14ac:dyDescent="0.2">
      <c r="A40" s="3">
        <v>34</v>
      </c>
      <c r="B40" s="4" t="s">
        <v>14</v>
      </c>
      <c r="C40" s="4" t="s">
        <v>15</v>
      </c>
      <c r="D40" s="4" t="s">
        <v>16</v>
      </c>
      <c r="E40" s="5">
        <v>215000</v>
      </c>
      <c r="F40" s="6">
        <v>1733.115</v>
      </c>
      <c r="G40" s="7">
        <v>9.177981E-3</v>
      </c>
      <c r="H40" s="53"/>
    </row>
    <row r="41" spans="1:8" ht="17.100000000000001" customHeight="1" x14ac:dyDescent="0.2">
      <c r="A41" s="3">
        <v>35</v>
      </c>
      <c r="B41" s="4" t="s">
        <v>261</v>
      </c>
      <c r="C41" s="4" t="s">
        <v>262</v>
      </c>
      <c r="D41" s="4" t="s">
        <v>119</v>
      </c>
      <c r="E41" s="5">
        <v>110000</v>
      </c>
      <c r="F41" s="6">
        <v>1702.635</v>
      </c>
      <c r="G41" s="7">
        <v>9.0165699999999998E-3</v>
      </c>
      <c r="H41" s="53"/>
    </row>
    <row r="42" spans="1:8" ht="17.100000000000001" customHeight="1" x14ac:dyDescent="0.2">
      <c r="A42" s="3">
        <v>36</v>
      </c>
      <c r="B42" s="4" t="s">
        <v>516</v>
      </c>
      <c r="C42" s="4" t="s">
        <v>517</v>
      </c>
      <c r="D42" s="4" t="s">
        <v>116</v>
      </c>
      <c r="E42" s="5">
        <v>107009</v>
      </c>
      <c r="F42" s="6">
        <v>1676.6705165000001</v>
      </c>
      <c r="G42" s="7">
        <v>8.8790710000000005E-3</v>
      </c>
      <c r="H42" s="53"/>
    </row>
    <row r="43" spans="1:8" ht="29.1" customHeight="1" x14ac:dyDescent="0.2">
      <c r="A43" s="3">
        <v>37</v>
      </c>
      <c r="B43" s="4" t="s">
        <v>191</v>
      </c>
      <c r="C43" s="4" t="s">
        <v>192</v>
      </c>
      <c r="D43" s="4" t="s">
        <v>116</v>
      </c>
      <c r="E43" s="5">
        <v>494000</v>
      </c>
      <c r="F43" s="6">
        <v>1662.0630000000001</v>
      </c>
      <c r="G43" s="7">
        <v>8.8017140000000004E-3</v>
      </c>
      <c r="H43" s="53"/>
    </row>
    <row r="44" spans="1:8" ht="29.1" customHeight="1" x14ac:dyDescent="0.2">
      <c r="A44" s="3">
        <v>38</v>
      </c>
      <c r="B44" s="4" t="s">
        <v>106</v>
      </c>
      <c r="C44" s="4" t="s">
        <v>107</v>
      </c>
      <c r="D44" s="4" t="s">
        <v>25</v>
      </c>
      <c r="E44" s="5">
        <v>80000</v>
      </c>
      <c r="F44" s="6">
        <v>1490.24</v>
      </c>
      <c r="G44" s="7">
        <v>7.8917989999999997E-3</v>
      </c>
      <c r="H44" s="53"/>
    </row>
    <row r="45" spans="1:8" ht="17.100000000000001" customHeight="1" x14ac:dyDescent="0.2">
      <c r="A45" s="3">
        <v>39</v>
      </c>
      <c r="B45" s="4" t="s">
        <v>348</v>
      </c>
      <c r="C45" s="4" t="s">
        <v>349</v>
      </c>
      <c r="D45" s="4" t="s">
        <v>190</v>
      </c>
      <c r="E45" s="5">
        <v>35000</v>
      </c>
      <c r="F45" s="6">
        <v>1424.0625</v>
      </c>
      <c r="G45" s="7">
        <v>7.5413449999999996E-3</v>
      </c>
      <c r="H45" s="53"/>
    </row>
    <row r="46" spans="1:8" ht="17.100000000000001" customHeight="1" x14ac:dyDescent="0.2">
      <c r="A46" s="3">
        <v>40</v>
      </c>
      <c r="B46" s="4" t="s">
        <v>26</v>
      </c>
      <c r="C46" s="4" t="s">
        <v>27</v>
      </c>
      <c r="D46" s="4" t="s">
        <v>28</v>
      </c>
      <c r="E46" s="5">
        <v>840000</v>
      </c>
      <c r="F46" s="6">
        <v>1398.18</v>
      </c>
      <c r="G46" s="7">
        <v>7.4042810000000004E-3</v>
      </c>
      <c r="H46" s="53"/>
    </row>
    <row r="47" spans="1:8" ht="17.100000000000001" customHeight="1" x14ac:dyDescent="0.2">
      <c r="A47" s="3">
        <v>41</v>
      </c>
      <c r="B47" s="4" t="s">
        <v>735</v>
      </c>
      <c r="C47" s="4" t="s">
        <v>736</v>
      </c>
      <c r="D47" s="4" t="s">
        <v>33</v>
      </c>
      <c r="E47" s="5">
        <v>350000</v>
      </c>
      <c r="F47" s="6">
        <v>1338.4</v>
      </c>
      <c r="G47" s="7">
        <v>7.087706E-3</v>
      </c>
      <c r="H47" s="53"/>
    </row>
    <row r="48" spans="1:8" ht="17.100000000000001" customHeight="1" x14ac:dyDescent="0.2">
      <c r="A48" s="3">
        <v>42</v>
      </c>
      <c r="B48" s="4" t="s">
        <v>354</v>
      </c>
      <c r="C48" s="4" t="s">
        <v>355</v>
      </c>
      <c r="D48" s="4" t="s">
        <v>116</v>
      </c>
      <c r="E48" s="5">
        <v>50000</v>
      </c>
      <c r="F48" s="6">
        <v>1298.75</v>
      </c>
      <c r="G48" s="7">
        <v>6.8777339999999999E-3</v>
      </c>
      <c r="H48" s="53"/>
    </row>
    <row r="49" spans="1:8" ht="17.100000000000001" customHeight="1" x14ac:dyDescent="0.2">
      <c r="A49" s="3">
        <v>43</v>
      </c>
      <c r="B49" s="4" t="s">
        <v>316</v>
      </c>
      <c r="C49" s="4" t="s">
        <v>317</v>
      </c>
      <c r="D49" s="4" t="s">
        <v>900</v>
      </c>
      <c r="E49" s="5">
        <v>330000</v>
      </c>
      <c r="F49" s="6">
        <v>1296.075</v>
      </c>
      <c r="G49" s="7">
        <v>6.8635679999999996E-3</v>
      </c>
      <c r="H49" s="53"/>
    </row>
    <row r="50" spans="1:8" ht="17.100000000000001" customHeight="1" x14ac:dyDescent="0.2">
      <c r="A50" s="3">
        <v>44</v>
      </c>
      <c r="B50" s="4" t="s">
        <v>77</v>
      </c>
      <c r="C50" s="4" t="s">
        <v>78</v>
      </c>
      <c r="D50" s="4" t="s">
        <v>13</v>
      </c>
      <c r="E50" s="5">
        <v>496487</v>
      </c>
      <c r="F50" s="6">
        <v>1265.2971195</v>
      </c>
      <c r="G50" s="7">
        <v>6.7005789999999999E-3</v>
      </c>
      <c r="H50" s="53"/>
    </row>
    <row r="51" spans="1:8" ht="17.100000000000001" customHeight="1" x14ac:dyDescent="0.2">
      <c r="A51" s="3">
        <v>45</v>
      </c>
      <c r="B51" s="4" t="s">
        <v>579</v>
      </c>
      <c r="C51" s="4" t="s">
        <v>580</v>
      </c>
      <c r="D51" s="4" t="s">
        <v>320</v>
      </c>
      <c r="E51" s="5">
        <v>364200</v>
      </c>
      <c r="F51" s="6">
        <v>1254.6690000000001</v>
      </c>
      <c r="G51" s="7">
        <v>6.6442960000000001E-3</v>
      </c>
      <c r="H51" s="53"/>
    </row>
    <row r="52" spans="1:8" ht="17.100000000000001" customHeight="1" x14ac:dyDescent="0.2">
      <c r="A52" s="3">
        <v>46</v>
      </c>
      <c r="B52" s="4" t="s">
        <v>222</v>
      </c>
      <c r="C52" s="4" t="s">
        <v>223</v>
      </c>
      <c r="D52" s="4" t="s">
        <v>224</v>
      </c>
      <c r="E52" s="5">
        <v>245000</v>
      </c>
      <c r="F52" s="6">
        <v>1252.0725</v>
      </c>
      <c r="G52" s="7">
        <v>6.6305460000000002E-3</v>
      </c>
      <c r="H52" s="53"/>
    </row>
    <row r="53" spans="1:8" ht="17.100000000000001" customHeight="1" x14ac:dyDescent="0.2">
      <c r="A53" s="3">
        <v>47</v>
      </c>
      <c r="B53" s="4" t="s">
        <v>179</v>
      </c>
      <c r="C53" s="4" t="s">
        <v>180</v>
      </c>
      <c r="D53" s="4" t="s">
        <v>19</v>
      </c>
      <c r="E53" s="5">
        <v>670000</v>
      </c>
      <c r="F53" s="6">
        <v>1244.19</v>
      </c>
      <c r="G53" s="7">
        <v>6.5888020000000004E-3</v>
      </c>
      <c r="H53" s="53"/>
    </row>
    <row r="54" spans="1:8" ht="17.100000000000001" customHeight="1" x14ac:dyDescent="0.2">
      <c r="A54" s="3">
        <v>48</v>
      </c>
      <c r="B54" s="4" t="s">
        <v>125</v>
      </c>
      <c r="C54" s="4" t="s">
        <v>126</v>
      </c>
      <c r="D54" s="4" t="s">
        <v>116</v>
      </c>
      <c r="E54" s="5">
        <v>65000</v>
      </c>
      <c r="F54" s="6">
        <v>1229.345</v>
      </c>
      <c r="G54" s="7">
        <v>6.5101880000000001E-3</v>
      </c>
      <c r="H54" s="53"/>
    </row>
    <row r="55" spans="1:8" ht="17.100000000000001" customHeight="1" x14ac:dyDescent="0.2">
      <c r="A55" s="3">
        <v>49</v>
      </c>
      <c r="B55" s="4" t="s">
        <v>312</v>
      </c>
      <c r="C55" s="4" t="s">
        <v>313</v>
      </c>
      <c r="D55" s="4" t="s">
        <v>224</v>
      </c>
      <c r="E55" s="5">
        <v>90000</v>
      </c>
      <c r="F55" s="6">
        <v>1203.57</v>
      </c>
      <c r="G55" s="7">
        <v>6.3736929999999997E-3</v>
      </c>
      <c r="H55" s="53"/>
    </row>
    <row r="56" spans="1:8" ht="17.100000000000001" customHeight="1" x14ac:dyDescent="0.2">
      <c r="A56" s="3">
        <v>50</v>
      </c>
      <c r="B56" s="4" t="s">
        <v>542</v>
      </c>
      <c r="C56" s="4" t="s">
        <v>543</v>
      </c>
      <c r="D56" s="4" t="s">
        <v>116</v>
      </c>
      <c r="E56" s="5">
        <v>37000</v>
      </c>
      <c r="F56" s="6">
        <v>1142.5229999999999</v>
      </c>
      <c r="G56" s="7">
        <v>6.0504089999999996E-3</v>
      </c>
      <c r="H56" s="53"/>
    </row>
    <row r="57" spans="1:8" ht="17.100000000000001" customHeight="1" x14ac:dyDescent="0.2">
      <c r="A57" s="3">
        <v>51</v>
      </c>
      <c r="B57" s="4" t="s">
        <v>246</v>
      </c>
      <c r="C57" s="4" t="s">
        <v>247</v>
      </c>
      <c r="D57" s="4" t="s">
        <v>248</v>
      </c>
      <c r="E57" s="5">
        <v>166000</v>
      </c>
      <c r="F57" s="6">
        <v>1124.6500000000001</v>
      </c>
      <c r="G57" s="7">
        <v>5.95576E-3</v>
      </c>
      <c r="H57" s="53"/>
    </row>
    <row r="58" spans="1:8" ht="17.100000000000001" customHeight="1" x14ac:dyDescent="0.2">
      <c r="A58" s="3">
        <v>52</v>
      </c>
      <c r="B58" s="4" t="s">
        <v>346</v>
      </c>
      <c r="C58" s="4" t="s">
        <v>347</v>
      </c>
      <c r="D58" s="4" t="s">
        <v>40</v>
      </c>
      <c r="E58" s="5">
        <v>62000</v>
      </c>
      <c r="F58" s="6">
        <v>1112.0630000000001</v>
      </c>
      <c r="G58" s="7">
        <v>5.8891029999999997E-3</v>
      </c>
      <c r="H58" s="53"/>
    </row>
    <row r="59" spans="1:8" ht="17.100000000000001" customHeight="1" x14ac:dyDescent="0.2">
      <c r="A59" s="3">
        <v>53</v>
      </c>
      <c r="B59" s="4" t="s">
        <v>479</v>
      </c>
      <c r="C59" s="4" t="s">
        <v>480</v>
      </c>
      <c r="D59" s="4" t="s">
        <v>190</v>
      </c>
      <c r="E59" s="5">
        <v>375000</v>
      </c>
      <c r="F59" s="6">
        <v>1078.125</v>
      </c>
      <c r="G59" s="7">
        <v>5.7093789999999997E-3</v>
      </c>
      <c r="H59" s="53"/>
    </row>
    <row r="60" spans="1:8" ht="17.100000000000001" customHeight="1" x14ac:dyDescent="0.2">
      <c r="A60" s="3">
        <v>54</v>
      </c>
      <c r="B60" s="4" t="s">
        <v>52</v>
      </c>
      <c r="C60" s="4" t="s">
        <v>53</v>
      </c>
      <c r="D60" s="4" t="s">
        <v>28</v>
      </c>
      <c r="E60" s="5">
        <v>500000</v>
      </c>
      <c r="F60" s="6">
        <v>1068.5</v>
      </c>
      <c r="G60" s="7">
        <v>5.6584089999999997E-3</v>
      </c>
      <c r="H60" s="53"/>
    </row>
    <row r="61" spans="1:8" ht="29.1" customHeight="1" x14ac:dyDescent="0.2">
      <c r="A61" s="3">
        <v>55</v>
      </c>
      <c r="B61" s="4" t="s">
        <v>200</v>
      </c>
      <c r="C61" s="4" t="s">
        <v>201</v>
      </c>
      <c r="D61" s="4" t="s">
        <v>199</v>
      </c>
      <c r="E61" s="5">
        <v>46000</v>
      </c>
      <c r="F61" s="6">
        <v>1053.5609999999999</v>
      </c>
      <c r="G61" s="7">
        <v>5.5792970000000004E-3</v>
      </c>
      <c r="H61" s="53"/>
    </row>
    <row r="62" spans="1:8" ht="53.1" customHeight="1" x14ac:dyDescent="0.2">
      <c r="A62" s="3">
        <v>56</v>
      </c>
      <c r="B62" s="4" t="s">
        <v>90</v>
      </c>
      <c r="C62" s="4" t="s">
        <v>91</v>
      </c>
      <c r="D62" s="4" t="s">
        <v>48</v>
      </c>
      <c r="E62" s="5">
        <v>71000</v>
      </c>
      <c r="F62" s="6">
        <v>1042.4929999999999</v>
      </c>
      <c r="G62" s="7">
        <v>5.520685E-3</v>
      </c>
      <c r="H62" s="53"/>
    </row>
    <row r="63" spans="1:8" ht="17.100000000000001" customHeight="1" x14ac:dyDescent="0.2">
      <c r="A63" s="3">
        <v>57</v>
      </c>
      <c r="B63" s="4" t="s">
        <v>514</v>
      </c>
      <c r="C63" s="4" t="s">
        <v>515</v>
      </c>
      <c r="D63" s="4" t="s">
        <v>116</v>
      </c>
      <c r="E63" s="5">
        <v>375000</v>
      </c>
      <c r="F63" s="6">
        <v>988.5</v>
      </c>
      <c r="G63" s="7">
        <v>5.2347560000000001E-3</v>
      </c>
      <c r="H63" s="53"/>
    </row>
    <row r="64" spans="1:8" ht="17.100000000000001" customHeight="1" x14ac:dyDescent="0.2">
      <c r="A64" s="3">
        <v>58</v>
      </c>
      <c r="B64" s="4" t="s">
        <v>238</v>
      </c>
      <c r="C64" s="4" t="s">
        <v>239</v>
      </c>
      <c r="D64" s="4" t="s">
        <v>237</v>
      </c>
      <c r="E64" s="5">
        <v>342600</v>
      </c>
      <c r="F64" s="6">
        <v>980.17859999999996</v>
      </c>
      <c r="G64" s="7">
        <v>5.1906890000000001E-3</v>
      </c>
      <c r="H64" s="53"/>
    </row>
    <row r="65" spans="1:8" ht="17.100000000000001" customHeight="1" x14ac:dyDescent="0.2">
      <c r="A65" s="3">
        <v>59</v>
      </c>
      <c r="B65" s="4" t="s">
        <v>54</v>
      </c>
      <c r="C65" s="4" t="s">
        <v>55</v>
      </c>
      <c r="D65" s="4" t="s">
        <v>33</v>
      </c>
      <c r="E65" s="5">
        <v>34000</v>
      </c>
      <c r="F65" s="6">
        <v>873.49400000000003</v>
      </c>
      <c r="G65" s="7">
        <v>4.6257240000000003E-3</v>
      </c>
      <c r="H65" s="53"/>
    </row>
    <row r="66" spans="1:8" ht="17.100000000000001" customHeight="1" x14ac:dyDescent="0.2">
      <c r="A66" s="3">
        <v>60</v>
      </c>
      <c r="B66" s="4" t="s">
        <v>210</v>
      </c>
      <c r="C66" s="4" t="s">
        <v>211</v>
      </c>
      <c r="D66" s="4" t="s">
        <v>212</v>
      </c>
      <c r="E66" s="5">
        <v>2000</v>
      </c>
      <c r="F66" s="6">
        <v>856.73400000000004</v>
      </c>
      <c r="G66" s="7">
        <v>4.5369690000000001E-3</v>
      </c>
      <c r="H66" s="53"/>
    </row>
    <row r="67" spans="1:8" ht="29.1" customHeight="1" x14ac:dyDescent="0.2">
      <c r="A67" s="3">
        <v>61</v>
      </c>
      <c r="B67" s="4" t="s">
        <v>225</v>
      </c>
      <c r="C67" s="4" t="s">
        <v>226</v>
      </c>
      <c r="D67" s="4" t="s">
        <v>227</v>
      </c>
      <c r="E67" s="5">
        <v>150000</v>
      </c>
      <c r="F67" s="6">
        <v>562.875</v>
      </c>
      <c r="G67" s="7">
        <v>2.9807919999999999E-3</v>
      </c>
      <c r="H67" s="53"/>
    </row>
    <row r="68" spans="1:8" ht="17.100000000000001" customHeight="1" x14ac:dyDescent="0.2">
      <c r="A68" s="3">
        <v>62</v>
      </c>
      <c r="B68" s="4" t="s">
        <v>287</v>
      </c>
      <c r="C68" s="4" t="s">
        <v>288</v>
      </c>
      <c r="D68" s="4" t="s">
        <v>116</v>
      </c>
      <c r="E68" s="5">
        <v>14000</v>
      </c>
      <c r="F68" s="6">
        <v>546.64400000000001</v>
      </c>
      <c r="G68" s="7">
        <v>2.8948390000000002E-3</v>
      </c>
      <c r="H68" s="53"/>
    </row>
    <row r="69" spans="1:8" ht="17.100000000000001" customHeight="1" x14ac:dyDescent="0.2">
      <c r="A69" s="3">
        <v>63</v>
      </c>
      <c r="B69" s="4" t="s">
        <v>536</v>
      </c>
      <c r="C69" s="4" t="s">
        <v>537</v>
      </c>
      <c r="D69" s="4" t="s">
        <v>116</v>
      </c>
      <c r="E69" s="5">
        <v>78929</v>
      </c>
      <c r="F69" s="6">
        <v>527.36411350000003</v>
      </c>
      <c r="G69" s="7">
        <v>2.7927389999999998E-3</v>
      </c>
      <c r="H69" s="53"/>
    </row>
    <row r="70" spans="1:8" ht="17.100000000000001" customHeight="1" x14ac:dyDescent="0.2">
      <c r="A70" s="3">
        <v>64</v>
      </c>
      <c r="B70" s="4" t="s">
        <v>112</v>
      </c>
      <c r="C70" s="4" t="s">
        <v>113</v>
      </c>
      <c r="D70" s="4" t="s">
        <v>87</v>
      </c>
      <c r="E70" s="5">
        <v>125372</v>
      </c>
      <c r="F70" s="6">
        <v>525.93553999999995</v>
      </c>
      <c r="G70" s="7">
        <v>2.7851740000000001E-3</v>
      </c>
      <c r="H70" s="53"/>
    </row>
    <row r="71" spans="1:8" ht="14.1" customHeight="1" x14ac:dyDescent="0.2">
      <c r="A71" s="1"/>
      <c r="B71" s="1"/>
      <c r="C71" s="2" t="s">
        <v>132</v>
      </c>
      <c r="D71" s="1"/>
      <c r="E71" s="1" t="s">
        <v>133</v>
      </c>
      <c r="F71" s="9">
        <v>169258.84830899999</v>
      </c>
      <c r="G71" s="10">
        <v>0.89633667500000003</v>
      </c>
      <c r="H71" s="53"/>
    </row>
    <row r="72" spans="1:8" ht="14.1" customHeight="1" x14ac:dyDescent="0.2">
      <c r="A72" s="1"/>
      <c r="B72" s="1"/>
      <c r="C72" s="11"/>
      <c r="D72" s="1"/>
      <c r="E72" s="1"/>
      <c r="F72" s="12"/>
      <c r="G72" s="12"/>
      <c r="H72" s="53"/>
    </row>
    <row r="73" spans="1:8" ht="14.1" customHeight="1" x14ac:dyDescent="0.2">
      <c r="A73" s="1"/>
      <c r="B73" s="1"/>
      <c r="C73" s="2" t="s">
        <v>134</v>
      </c>
      <c r="D73" s="1"/>
      <c r="E73" s="1"/>
      <c r="F73" s="1"/>
      <c r="G73" s="1"/>
      <c r="H73" s="53"/>
    </row>
    <row r="74" spans="1:8" ht="14.1" customHeight="1" x14ac:dyDescent="0.2">
      <c r="A74" s="1"/>
      <c r="B74" s="1"/>
      <c r="C74" s="2" t="s">
        <v>132</v>
      </c>
      <c r="D74" s="1"/>
      <c r="E74" s="1" t="s">
        <v>133</v>
      </c>
      <c r="F74" s="13">
        <v>0</v>
      </c>
      <c r="G74" s="14">
        <v>0</v>
      </c>
      <c r="H74" s="53"/>
    </row>
    <row r="75" spans="1:8" ht="14.1" customHeight="1" x14ac:dyDescent="0.2">
      <c r="A75" s="1"/>
      <c r="B75" s="1"/>
      <c r="C75" s="11"/>
      <c r="D75" s="1"/>
      <c r="E75" s="1"/>
      <c r="F75" s="12"/>
      <c r="G75" s="12"/>
      <c r="H75" s="53"/>
    </row>
    <row r="76" spans="1:8" ht="14.1" customHeight="1" x14ac:dyDescent="0.2">
      <c r="A76" s="1"/>
      <c r="B76" s="1"/>
      <c r="C76" s="2" t="s">
        <v>135</v>
      </c>
      <c r="D76" s="1"/>
      <c r="E76" s="1"/>
      <c r="F76" s="1"/>
      <c r="G76" s="1"/>
      <c r="H76" s="53"/>
    </row>
    <row r="77" spans="1:8" ht="14.1" customHeight="1" x14ac:dyDescent="0.2">
      <c r="A77" s="1"/>
      <c r="B77" s="1"/>
      <c r="C77" s="2" t="s">
        <v>132</v>
      </c>
      <c r="D77" s="1"/>
      <c r="E77" s="1" t="s">
        <v>133</v>
      </c>
      <c r="F77" s="13">
        <v>0</v>
      </c>
      <c r="G77" s="14">
        <v>0</v>
      </c>
      <c r="H77" s="53"/>
    </row>
    <row r="78" spans="1:8" ht="14.1" customHeight="1" x14ac:dyDescent="0.2">
      <c r="A78" s="1"/>
      <c r="B78" s="1"/>
      <c r="C78" s="11"/>
      <c r="D78" s="1"/>
      <c r="E78" s="1"/>
      <c r="F78" s="12"/>
      <c r="G78" s="12"/>
      <c r="H78" s="53"/>
    </row>
    <row r="79" spans="1:8" ht="14.1" customHeight="1" x14ac:dyDescent="0.2">
      <c r="A79" s="1"/>
      <c r="B79" s="1"/>
      <c r="C79" s="2" t="s">
        <v>136</v>
      </c>
      <c r="D79" s="1"/>
      <c r="E79" s="1"/>
      <c r="F79" s="1"/>
      <c r="G79" s="1"/>
      <c r="H79" s="53"/>
    </row>
    <row r="80" spans="1:8" ht="14.1" customHeight="1" x14ac:dyDescent="0.2">
      <c r="A80" s="1"/>
      <c r="B80" s="1"/>
      <c r="C80" s="2" t="s">
        <v>132</v>
      </c>
      <c r="D80" s="1"/>
      <c r="E80" s="1" t="s">
        <v>133</v>
      </c>
      <c r="F80" s="13">
        <v>0</v>
      </c>
      <c r="G80" s="14">
        <v>0</v>
      </c>
      <c r="H80" s="53"/>
    </row>
    <row r="81" spans="1:9" ht="14.1" customHeight="1" x14ac:dyDescent="0.2">
      <c r="A81" s="1"/>
      <c r="B81" s="1"/>
      <c r="C81" s="11"/>
      <c r="D81" s="1"/>
      <c r="E81" s="1"/>
      <c r="F81" s="12"/>
      <c r="G81" s="12"/>
      <c r="H81" s="53"/>
    </row>
    <row r="82" spans="1:9" ht="14.1" customHeight="1" x14ac:dyDescent="0.2">
      <c r="A82" s="1"/>
      <c r="B82" s="1"/>
      <c r="C82" s="2" t="s">
        <v>137</v>
      </c>
      <c r="D82" s="1"/>
      <c r="E82" s="1"/>
      <c r="F82" s="12"/>
      <c r="G82" s="12"/>
      <c r="H82" s="53"/>
    </row>
    <row r="83" spans="1:9" ht="14.1" customHeight="1" x14ac:dyDescent="0.2">
      <c r="A83" s="1"/>
      <c r="B83" s="1"/>
      <c r="C83" s="2" t="s">
        <v>132</v>
      </c>
      <c r="D83" s="1"/>
      <c r="E83" s="1" t="s">
        <v>133</v>
      </c>
      <c r="F83" s="13">
        <v>0</v>
      </c>
      <c r="G83" s="14">
        <v>0</v>
      </c>
      <c r="H83" s="53"/>
    </row>
    <row r="84" spans="1:9" ht="14.1" customHeight="1" x14ac:dyDescent="0.2">
      <c r="A84" s="1"/>
      <c r="B84" s="1"/>
      <c r="C84" s="11"/>
      <c r="D84" s="1"/>
      <c r="E84" s="1"/>
      <c r="F84" s="12"/>
      <c r="G84" s="12"/>
      <c r="H84" s="53"/>
    </row>
    <row r="85" spans="1:9" ht="14.1" customHeight="1" x14ac:dyDescent="0.2">
      <c r="A85" s="1"/>
      <c r="B85" s="1"/>
      <c r="C85" s="2" t="s">
        <v>138</v>
      </c>
      <c r="D85" s="1"/>
      <c r="E85" s="1"/>
      <c r="F85" s="12"/>
      <c r="G85" s="12"/>
      <c r="H85" s="53"/>
    </row>
    <row r="86" spans="1:9" ht="14.1" customHeight="1" x14ac:dyDescent="0.2">
      <c r="A86" s="1"/>
      <c r="B86" s="1"/>
      <c r="C86" s="2" t="s">
        <v>132</v>
      </c>
      <c r="D86" s="1"/>
      <c r="E86" s="1" t="s">
        <v>133</v>
      </c>
      <c r="F86" s="13">
        <v>0</v>
      </c>
      <c r="G86" s="14">
        <v>0</v>
      </c>
      <c r="H86" s="53"/>
    </row>
    <row r="87" spans="1:9" ht="14.1" customHeight="1" x14ac:dyDescent="0.2">
      <c r="A87" s="1"/>
      <c r="B87" s="1"/>
      <c r="C87" s="11"/>
      <c r="D87" s="1"/>
      <c r="E87" s="1"/>
      <c r="F87" s="12"/>
      <c r="G87" s="12"/>
      <c r="H87" s="53"/>
    </row>
    <row r="88" spans="1:9" ht="18" customHeight="1" x14ac:dyDescent="0.2">
      <c r="A88" s="1"/>
      <c r="B88" s="1"/>
      <c r="C88" s="2" t="s">
        <v>139</v>
      </c>
      <c r="D88" s="1"/>
      <c r="E88" s="1"/>
      <c r="F88" s="9">
        <v>169258.84830899999</v>
      </c>
      <c r="G88" s="10">
        <v>0.89633667500000003</v>
      </c>
      <c r="H88" s="53"/>
      <c r="I88" s="191"/>
    </row>
    <row r="89" spans="1:9" ht="14.1" customHeight="1" x14ac:dyDescent="0.2">
      <c r="A89" s="1"/>
      <c r="B89" s="1"/>
      <c r="C89" s="11"/>
      <c r="D89" s="1"/>
      <c r="E89" s="1"/>
      <c r="F89" s="12"/>
      <c r="G89" s="12"/>
      <c r="H89" s="53"/>
    </row>
    <row r="90" spans="1:9" ht="14.1" customHeight="1" x14ac:dyDescent="0.2">
      <c r="A90" s="1"/>
      <c r="B90" s="1"/>
      <c r="C90" s="2" t="s">
        <v>140</v>
      </c>
      <c r="D90" s="1"/>
      <c r="E90" s="1"/>
      <c r="F90" s="12"/>
      <c r="G90" s="12"/>
      <c r="H90" s="53"/>
    </row>
    <row r="91" spans="1:9" ht="24" customHeight="1" x14ac:dyDescent="0.2">
      <c r="A91" s="1"/>
      <c r="B91" s="1"/>
      <c r="C91" s="2" t="s">
        <v>10</v>
      </c>
      <c r="D91" s="1"/>
      <c r="E91" s="1"/>
      <c r="F91" s="12"/>
      <c r="G91" s="12"/>
      <c r="H91" s="53"/>
      <c r="I91" s="191"/>
    </row>
    <row r="92" spans="1:9" ht="14.1" customHeight="1" x14ac:dyDescent="0.2">
      <c r="A92" s="1"/>
      <c r="B92" s="1"/>
      <c r="C92" s="2" t="s">
        <v>132</v>
      </c>
      <c r="D92" s="1"/>
      <c r="E92" s="1" t="s">
        <v>133</v>
      </c>
      <c r="F92" s="13">
        <v>0</v>
      </c>
      <c r="G92" s="14">
        <v>0</v>
      </c>
      <c r="H92" s="53"/>
    </row>
    <row r="93" spans="1:9" ht="14.1" customHeight="1" x14ac:dyDescent="0.2">
      <c r="A93" s="1"/>
      <c r="B93" s="1"/>
      <c r="C93" s="11"/>
      <c r="D93" s="1"/>
      <c r="E93" s="1"/>
      <c r="F93" s="12"/>
      <c r="G93" s="12"/>
      <c r="H93" s="53"/>
    </row>
    <row r="94" spans="1:9" ht="14.1" customHeight="1" x14ac:dyDescent="0.2">
      <c r="A94" s="1"/>
      <c r="B94" s="1"/>
      <c r="C94" s="2" t="s">
        <v>141</v>
      </c>
      <c r="D94" s="1"/>
      <c r="E94" s="1"/>
      <c r="F94" s="1"/>
      <c r="G94" s="1"/>
      <c r="H94" s="53"/>
    </row>
    <row r="95" spans="1:9" ht="14.1" customHeight="1" x14ac:dyDescent="0.2">
      <c r="A95" s="1"/>
      <c r="B95" s="1"/>
      <c r="C95" s="2" t="s">
        <v>132</v>
      </c>
      <c r="D95" s="1"/>
      <c r="E95" s="1" t="s">
        <v>133</v>
      </c>
      <c r="F95" s="13">
        <v>0</v>
      </c>
      <c r="G95" s="14">
        <v>0</v>
      </c>
      <c r="H95" s="53"/>
    </row>
    <row r="96" spans="1:9" ht="14.1" customHeight="1" x14ac:dyDescent="0.2">
      <c r="A96" s="1"/>
      <c r="B96" s="1"/>
      <c r="C96" s="11"/>
      <c r="D96" s="1"/>
      <c r="E96" s="1"/>
      <c r="F96" s="12"/>
      <c r="G96" s="12"/>
      <c r="H96" s="53"/>
    </row>
    <row r="97" spans="1:8" ht="14.1" customHeight="1" x14ac:dyDescent="0.2">
      <c r="A97" s="1"/>
      <c r="B97" s="1"/>
      <c r="C97" s="2" t="s">
        <v>142</v>
      </c>
      <c r="D97" s="1"/>
      <c r="E97" s="1"/>
      <c r="F97" s="1"/>
      <c r="G97" s="1"/>
      <c r="H97" s="53"/>
    </row>
    <row r="98" spans="1:8" ht="14.1" customHeight="1" x14ac:dyDescent="0.2">
      <c r="A98" s="1"/>
      <c r="B98" s="1"/>
      <c r="C98" s="2" t="s">
        <v>132</v>
      </c>
      <c r="D98" s="1"/>
      <c r="E98" s="1" t="s">
        <v>133</v>
      </c>
      <c r="F98" s="13">
        <v>0</v>
      </c>
      <c r="G98" s="14">
        <v>0</v>
      </c>
      <c r="H98" s="53"/>
    </row>
    <row r="99" spans="1:8" ht="14.1" customHeight="1" x14ac:dyDescent="0.2">
      <c r="A99" s="1"/>
      <c r="B99" s="1"/>
      <c r="C99" s="11"/>
      <c r="D99" s="1"/>
      <c r="E99" s="1"/>
      <c r="F99" s="12"/>
      <c r="G99" s="12"/>
      <c r="H99" s="53"/>
    </row>
    <row r="100" spans="1:8" ht="14.1" customHeight="1" x14ac:dyDescent="0.2">
      <c r="A100" s="1"/>
      <c r="B100" s="1"/>
      <c r="C100" s="2" t="s">
        <v>143</v>
      </c>
      <c r="D100" s="1"/>
      <c r="E100" s="1"/>
      <c r="F100" s="12"/>
      <c r="G100" s="12"/>
      <c r="H100" s="53"/>
    </row>
    <row r="101" spans="1:8" ht="14.1" customHeight="1" x14ac:dyDescent="0.2">
      <c r="A101" s="1"/>
      <c r="B101" s="1"/>
      <c r="C101" s="2" t="s">
        <v>132</v>
      </c>
      <c r="D101" s="1"/>
      <c r="E101" s="1" t="s">
        <v>133</v>
      </c>
      <c r="F101" s="13">
        <v>0</v>
      </c>
      <c r="G101" s="14">
        <v>0</v>
      </c>
      <c r="H101" s="53"/>
    </row>
    <row r="102" spans="1:8" ht="14.1" customHeight="1" x14ac:dyDescent="0.2">
      <c r="A102" s="1"/>
      <c r="B102" s="1"/>
      <c r="C102" s="11"/>
      <c r="D102" s="1"/>
      <c r="E102" s="1"/>
      <c r="F102" s="12"/>
      <c r="G102" s="12"/>
      <c r="H102" s="53"/>
    </row>
    <row r="103" spans="1:8" ht="14.1" customHeight="1" x14ac:dyDescent="0.2">
      <c r="A103" s="1"/>
      <c r="B103" s="1"/>
      <c r="C103" s="2" t="s">
        <v>144</v>
      </c>
      <c r="D103" s="1"/>
      <c r="E103" s="1"/>
      <c r="F103" s="9">
        <v>0</v>
      </c>
      <c r="G103" s="10">
        <v>0</v>
      </c>
      <c r="H103" s="53"/>
    </row>
    <row r="104" spans="1:8" ht="14.1" customHeight="1" x14ac:dyDescent="0.2">
      <c r="A104" s="1"/>
      <c r="B104" s="1"/>
      <c r="C104" s="11"/>
      <c r="D104" s="1"/>
      <c r="E104" s="1"/>
      <c r="F104" s="12"/>
      <c r="G104" s="12"/>
      <c r="H104" s="53"/>
    </row>
    <row r="105" spans="1:8" ht="14.1" customHeight="1" x14ac:dyDescent="0.2">
      <c r="A105" s="1"/>
      <c r="B105" s="1"/>
      <c r="C105" s="2" t="s">
        <v>145</v>
      </c>
      <c r="D105" s="1"/>
      <c r="E105" s="1"/>
      <c r="F105" s="12"/>
      <c r="G105" s="12"/>
      <c r="H105" s="53"/>
    </row>
    <row r="106" spans="1:8" ht="14.1" customHeight="1" x14ac:dyDescent="0.2">
      <c r="A106" s="1"/>
      <c r="B106" s="1"/>
      <c r="C106" s="2" t="s">
        <v>146</v>
      </c>
      <c r="D106" s="1"/>
      <c r="E106" s="1"/>
      <c r="F106" s="12"/>
      <c r="G106" s="12"/>
      <c r="H106" s="53"/>
    </row>
    <row r="107" spans="1:8" ht="14.1" customHeight="1" x14ac:dyDescent="0.2">
      <c r="A107" s="1"/>
      <c r="B107" s="1"/>
      <c r="C107" s="2" t="s">
        <v>132</v>
      </c>
      <c r="D107" s="1"/>
      <c r="E107" s="1" t="s">
        <v>133</v>
      </c>
      <c r="F107" s="13">
        <v>0</v>
      </c>
      <c r="G107" s="14">
        <v>0</v>
      </c>
      <c r="H107" s="53"/>
    </row>
    <row r="108" spans="1:8" ht="14.1" customHeight="1" x14ac:dyDescent="0.2">
      <c r="A108" s="1"/>
      <c r="B108" s="1"/>
      <c r="C108" s="11"/>
      <c r="D108" s="1"/>
      <c r="E108" s="1"/>
      <c r="F108" s="12"/>
      <c r="G108" s="12"/>
      <c r="H108" s="53"/>
    </row>
    <row r="109" spans="1:8" ht="14.1" customHeight="1" x14ac:dyDescent="0.2">
      <c r="A109" s="1"/>
      <c r="B109" s="1"/>
      <c r="C109" s="2" t="s">
        <v>147</v>
      </c>
      <c r="D109" s="1"/>
      <c r="E109" s="1"/>
      <c r="F109" s="12"/>
      <c r="G109" s="12"/>
      <c r="H109" s="53"/>
    </row>
    <row r="110" spans="1:8" ht="14.1" customHeight="1" x14ac:dyDescent="0.2">
      <c r="A110" s="1"/>
      <c r="B110" s="1"/>
      <c r="C110" s="2" t="s">
        <v>132</v>
      </c>
      <c r="D110" s="1"/>
      <c r="E110" s="1" t="s">
        <v>133</v>
      </c>
      <c r="F110" s="13">
        <v>0</v>
      </c>
      <c r="G110" s="14">
        <v>0</v>
      </c>
      <c r="H110" s="53"/>
    </row>
    <row r="111" spans="1:8" ht="14.1" customHeight="1" x14ac:dyDescent="0.2">
      <c r="A111" s="1"/>
      <c r="B111" s="1"/>
      <c r="C111" s="11"/>
      <c r="D111" s="1"/>
      <c r="E111" s="1"/>
      <c r="F111" s="12"/>
      <c r="G111" s="12"/>
      <c r="H111" s="53"/>
    </row>
    <row r="112" spans="1:8" ht="14.1" customHeight="1" x14ac:dyDescent="0.2">
      <c r="A112" s="1"/>
      <c r="B112" s="1"/>
      <c r="C112" s="2" t="s">
        <v>148</v>
      </c>
      <c r="D112" s="1"/>
      <c r="E112" s="1"/>
      <c r="F112" s="12"/>
      <c r="G112" s="12"/>
      <c r="H112" s="53"/>
    </row>
    <row r="113" spans="1:8" ht="14.1" customHeight="1" x14ac:dyDescent="0.2">
      <c r="A113" s="1"/>
      <c r="B113" s="1"/>
      <c r="C113" s="2" t="s">
        <v>132</v>
      </c>
      <c r="D113" s="1"/>
      <c r="E113" s="1" t="s">
        <v>133</v>
      </c>
      <c r="F113" s="13">
        <v>0</v>
      </c>
      <c r="G113" s="14">
        <v>0</v>
      </c>
      <c r="H113" s="53"/>
    </row>
    <row r="114" spans="1:8" ht="14.1" customHeight="1" x14ac:dyDescent="0.2">
      <c r="A114" s="1"/>
      <c r="B114" s="1"/>
      <c r="C114" s="11"/>
      <c r="D114" s="1"/>
      <c r="E114" s="1"/>
      <c r="F114" s="12"/>
      <c r="G114" s="12"/>
      <c r="H114" s="53"/>
    </row>
    <row r="115" spans="1:8" ht="14.1" customHeight="1" x14ac:dyDescent="0.2">
      <c r="A115" s="1"/>
      <c r="B115" s="1"/>
      <c r="C115" s="2" t="s">
        <v>149</v>
      </c>
      <c r="D115" s="1"/>
      <c r="E115" s="1"/>
      <c r="F115" s="12"/>
      <c r="G115" s="12"/>
      <c r="H115" s="53"/>
    </row>
    <row r="116" spans="1:8" ht="17.100000000000001" customHeight="1" x14ac:dyDescent="0.2">
      <c r="A116" s="3">
        <v>1</v>
      </c>
      <c r="B116" s="4"/>
      <c r="C116" s="4" t="s">
        <v>150</v>
      </c>
      <c r="D116" s="4"/>
      <c r="E116" s="8"/>
      <c r="F116" s="6">
        <v>19802.504981300001</v>
      </c>
      <c r="G116" s="7">
        <v>0.104867258</v>
      </c>
      <c r="H116" s="53">
        <v>6.46</v>
      </c>
    </row>
    <row r="117" spans="1:8" ht="14.1" customHeight="1" x14ac:dyDescent="0.2">
      <c r="A117" s="1"/>
      <c r="B117" s="1"/>
      <c r="C117" s="2" t="s">
        <v>132</v>
      </c>
      <c r="D117" s="1"/>
      <c r="E117" s="1" t="s">
        <v>133</v>
      </c>
      <c r="F117" s="9">
        <v>19802.504981300001</v>
      </c>
      <c r="G117" s="10">
        <v>0.104867258</v>
      </c>
      <c r="H117" s="53"/>
    </row>
    <row r="118" spans="1:8" ht="14.1" customHeight="1" x14ac:dyDescent="0.2">
      <c r="A118" s="1"/>
      <c r="B118" s="1"/>
      <c r="C118" s="11"/>
      <c r="D118" s="1"/>
      <c r="E118" s="1"/>
      <c r="F118" s="12"/>
      <c r="G118" s="12"/>
      <c r="H118" s="53"/>
    </row>
    <row r="119" spans="1:8" ht="14.1" customHeight="1" x14ac:dyDescent="0.2">
      <c r="A119" s="1"/>
      <c r="B119" s="1"/>
      <c r="C119" s="2" t="s">
        <v>151</v>
      </c>
      <c r="D119" s="1"/>
      <c r="E119" s="1"/>
      <c r="F119" s="9">
        <v>19802.504981300001</v>
      </c>
      <c r="G119" s="10">
        <v>0.104867258</v>
      </c>
      <c r="H119" s="53"/>
    </row>
    <row r="120" spans="1:8" ht="14.1" customHeight="1" x14ac:dyDescent="0.2">
      <c r="A120" s="1"/>
      <c r="B120" s="1"/>
      <c r="C120" s="12"/>
      <c r="D120" s="1"/>
      <c r="E120" s="1"/>
      <c r="F120" s="1"/>
      <c r="G120" s="1"/>
      <c r="H120" s="53"/>
    </row>
    <row r="121" spans="1:8" ht="14.1" customHeight="1" x14ac:dyDescent="0.2">
      <c r="A121" s="1"/>
      <c r="B121" s="1"/>
      <c r="C121" s="2" t="s">
        <v>152</v>
      </c>
      <c r="D121" s="1"/>
      <c r="E121" s="1"/>
      <c r="F121" s="1"/>
      <c r="G121" s="1"/>
      <c r="H121" s="53"/>
    </row>
    <row r="122" spans="1:8" ht="14.1" customHeight="1" x14ac:dyDescent="0.2">
      <c r="A122" s="1"/>
      <c r="B122" s="1"/>
      <c r="C122" s="2" t="s">
        <v>153</v>
      </c>
      <c r="D122" s="1"/>
      <c r="E122" s="1"/>
      <c r="F122" s="1"/>
      <c r="G122" s="1"/>
      <c r="H122" s="53"/>
    </row>
    <row r="123" spans="1:8" ht="14.1" customHeight="1" x14ac:dyDescent="0.2">
      <c r="A123" s="1"/>
      <c r="B123" s="1"/>
      <c r="C123" s="2" t="s">
        <v>132</v>
      </c>
      <c r="D123" s="1"/>
      <c r="E123" s="1" t="s">
        <v>133</v>
      </c>
      <c r="F123" s="13">
        <v>0</v>
      </c>
      <c r="G123" s="14">
        <v>0</v>
      </c>
      <c r="H123" s="53"/>
    </row>
    <row r="124" spans="1:8" ht="14.1" customHeight="1" x14ac:dyDescent="0.2">
      <c r="A124" s="1"/>
      <c r="B124" s="1"/>
      <c r="C124" s="11"/>
      <c r="D124" s="1"/>
      <c r="E124" s="1"/>
      <c r="F124" s="12"/>
      <c r="G124" s="12"/>
      <c r="H124" s="53"/>
    </row>
    <row r="125" spans="1:8" ht="14.1" customHeight="1" x14ac:dyDescent="0.2">
      <c r="A125" s="1"/>
      <c r="B125" s="1"/>
      <c r="C125" s="2" t="s">
        <v>154</v>
      </c>
      <c r="D125" s="1"/>
      <c r="E125" s="1"/>
      <c r="F125" s="1"/>
      <c r="G125" s="1"/>
      <c r="H125" s="53"/>
    </row>
    <row r="126" spans="1:8" ht="14.1" customHeight="1" x14ac:dyDescent="0.2">
      <c r="A126" s="1"/>
      <c r="B126" s="1"/>
      <c r="C126" s="2" t="s">
        <v>155</v>
      </c>
      <c r="D126" s="1"/>
      <c r="E126" s="1"/>
      <c r="F126" s="1"/>
      <c r="G126" s="1"/>
      <c r="H126" s="53"/>
    </row>
    <row r="127" spans="1:8" ht="14.1" customHeight="1" x14ac:dyDescent="0.2">
      <c r="A127" s="1"/>
      <c r="B127" s="1"/>
      <c r="C127" s="2" t="s">
        <v>132</v>
      </c>
      <c r="D127" s="1"/>
      <c r="E127" s="1" t="s">
        <v>133</v>
      </c>
      <c r="F127" s="13">
        <v>0</v>
      </c>
      <c r="G127" s="14">
        <v>0</v>
      </c>
      <c r="H127" s="53"/>
    </row>
    <row r="128" spans="1:8" ht="14.1" customHeight="1" x14ac:dyDescent="0.2">
      <c r="A128" s="1"/>
      <c r="B128" s="1"/>
      <c r="C128" s="11"/>
      <c r="D128" s="1"/>
      <c r="E128" s="1"/>
      <c r="F128" s="12"/>
      <c r="G128" s="12"/>
      <c r="H128" s="53"/>
    </row>
    <row r="129" spans="1:8" ht="14.1" customHeight="1" x14ac:dyDescent="0.2">
      <c r="A129" s="1"/>
      <c r="B129" s="1"/>
      <c r="C129" s="11"/>
      <c r="D129" s="1"/>
      <c r="E129" s="1"/>
      <c r="F129" s="12"/>
      <c r="G129" s="12"/>
      <c r="H129" s="53"/>
    </row>
    <row r="130" spans="1:8" ht="24" customHeight="1" x14ac:dyDescent="0.2">
      <c r="A130" s="1"/>
      <c r="B130" s="1"/>
      <c r="C130" s="2" t="s">
        <v>156</v>
      </c>
      <c r="D130" s="1"/>
      <c r="E130" s="1"/>
      <c r="F130" s="12"/>
      <c r="G130" s="12"/>
      <c r="H130" s="53"/>
    </row>
    <row r="131" spans="1:8" ht="14.1" customHeight="1" x14ac:dyDescent="0.2">
      <c r="A131" s="1"/>
      <c r="B131" s="1"/>
      <c r="C131" s="2" t="s">
        <v>132</v>
      </c>
      <c r="D131" s="1"/>
      <c r="E131" s="1" t="s">
        <v>133</v>
      </c>
      <c r="F131" s="13">
        <v>0</v>
      </c>
      <c r="G131" s="14">
        <v>0</v>
      </c>
      <c r="H131" s="53"/>
    </row>
    <row r="132" spans="1:8" ht="14.1" customHeight="1" x14ac:dyDescent="0.2">
      <c r="A132" s="1"/>
      <c r="B132" s="1"/>
      <c r="C132" s="11"/>
      <c r="D132" s="1"/>
      <c r="E132" s="1"/>
      <c r="F132" s="12"/>
      <c r="G132" s="12"/>
      <c r="H132" s="53"/>
    </row>
    <row r="133" spans="1:8" ht="14.1" customHeight="1" x14ac:dyDescent="0.2">
      <c r="A133" s="1"/>
      <c r="B133" s="4"/>
      <c r="C133" s="4"/>
      <c r="D133" s="2"/>
      <c r="E133" s="1"/>
      <c r="F133" s="4"/>
      <c r="G133" s="8"/>
      <c r="H133" s="53"/>
    </row>
    <row r="134" spans="1:8" ht="18" customHeight="1" x14ac:dyDescent="0.2">
      <c r="A134" s="8"/>
      <c r="B134" s="4"/>
      <c r="C134" s="4" t="s">
        <v>157</v>
      </c>
      <c r="D134" s="4"/>
      <c r="E134" s="8"/>
      <c r="F134" s="6">
        <v>-227.3428519</v>
      </c>
      <c r="G134" s="7">
        <v>-1.20393E-3</v>
      </c>
      <c r="H134" s="53"/>
    </row>
    <row r="135" spans="1:8" ht="14.1" customHeight="1" x14ac:dyDescent="0.2">
      <c r="A135" s="11"/>
      <c r="B135" s="11"/>
      <c r="C135" s="2" t="s">
        <v>158</v>
      </c>
      <c r="D135" s="15"/>
      <c r="E135" s="15"/>
      <c r="F135" s="9">
        <v>188834.01036819999</v>
      </c>
      <c r="G135" s="10">
        <v>1.000000003</v>
      </c>
      <c r="H135" s="53"/>
    </row>
    <row r="136" spans="1:8" ht="14.1" customHeight="1" x14ac:dyDescent="0.2">
      <c r="A136" s="16"/>
      <c r="B136" s="16"/>
      <c r="C136" s="16"/>
      <c r="D136" s="17"/>
      <c r="E136" s="17"/>
      <c r="F136" s="17"/>
      <c r="G136" s="17"/>
    </row>
    <row r="137" spans="1:8" ht="14.1" customHeight="1" x14ac:dyDescent="0.2">
      <c r="A137" s="18"/>
      <c r="B137" s="18"/>
      <c r="C137" s="18"/>
      <c r="D137" s="20"/>
      <c r="E137" s="20"/>
      <c r="F137" s="20"/>
      <c r="G137" s="20"/>
    </row>
    <row r="138" spans="1:8" ht="14.1" customHeight="1" x14ac:dyDescent="0.2">
      <c r="A138" s="18"/>
      <c r="B138" s="293" t="s">
        <v>160</v>
      </c>
      <c r="C138" s="294"/>
      <c r="D138" s="12" t="s">
        <v>133</v>
      </c>
      <c r="E138" s="21"/>
      <c r="F138" s="20"/>
      <c r="G138" s="20"/>
    </row>
    <row r="139" spans="1:8" ht="29.1" customHeight="1" x14ac:dyDescent="0.2">
      <c r="A139" s="18"/>
      <c r="B139" s="290" t="s">
        <v>161</v>
      </c>
      <c r="C139" s="291"/>
      <c r="D139" s="2" t="s">
        <v>162</v>
      </c>
      <c r="E139" s="21"/>
      <c r="F139" s="20"/>
      <c r="G139" s="20"/>
    </row>
    <row r="140" spans="1:8" ht="17.100000000000001" customHeight="1" x14ac:dyDescent="0.2">
      <c r="A140" s="18"/>
      <c r="B140" s="290" t="s">
        <v>163</v>
      </c>
      <c r="C140" s="291"/>
      <c r="D140" s="2" t="s">
        <v>162</v>
      </c>
      <c r="E140" s="21"/>
      <c r="F140" s="20"/>
      <c r="G140" s="20"/>
    </row>
    <row r="141" spans="1:8" ht="17.100000000000001" customHeight="1" x14ac:dyDescent="0.2">
      <c r="A141" s="18"/>
      <c r="B141" s="290" t="s">
        <v>164</v>
      </c>
      <c r="C141" s="291"/>
      <c r="D141" s="12" t="s">
        <v>133</v>
      </c>
      <c r="E141" s="21"/>
      <c r="F141" s="20"/>
      <c r="G141" s="20"/>
    </row>
    <row r="142" spans="1:8" ht="24" customHeight="1" x14ac:dyDescent="0.2">
      <c r="A142" s="22"/>
      <c r="B142" s="23" t="s">
        <v>133</v>
      </c>
      <c r="C142" s="23" t="s">
        <v>165</v>
      </c>
      <c r="D142" s="23" t="s">
        <v>166</v>
      </c>
      <c r="E142" s="22"/>
      <c r="F142" s="22"/>
      <c r="G142" s="22"/>
    </row>
    <row r="143" spans="1:8" ht="18" customHeight="1" x14ac:dyDescent="0.2">
      <c r="A143" s="22"/>
      <c r="B143" s="23" t="s">
        <v>167</v>
      </c>
      <c r="C143" s="23" t="s">
        <v>168</v>
      </c>
      <c r="D143" s="23" t="s">
        <v>169</v>
      </c>
      <c r="E143" s="22"/>
      <c r="F143" s="22"/>
      <c r="G143" s="22"/>
    </row>
    <row r="144" spans="1:8" ht="17.100000000000001" customHeight="1" x14ac:dyDescent="0.2">
      <c r="A144" s="22"/>
      <c r="B144" s="4" t="s">
        <v>170</v>
      </c>
      <c r="C144" s="24">
        <v>10.3416</v>
      </c>
      <c r="D144" s="24">
        <v>10.0946</v>
      </c>
      <c r="E144" s="22"/>
      <c r="F144" s="19"/>
      <c r="G144" s="25"/>
    </row>
    <row r="145" spans="1:7" ht="17.100000000000001" customHeight="1" x14ac:dyDescent="0.2">
      <c r="A145" s="22"/>
      <c r="B145" s="4" t="s">
        <v>1042</v>
      </c>
      <c r="C145" s="24">
        <v>10.3416</v>
      </c>
      <c r="D145" s="24">
        <v>10.0946</v>
      </c>
      <c r="E145" s="22"/>
      <c r="F145" s="19"/>
      <c r="G145" s="25"/>
    </row>
    <row r="146" spans="1:7" ht="17.100000000000001" customHeight="1" x14ac:dyDescent="0.2">
      <c r="A146" s="22"/>
      <c r="B146" s="4" t="s">
        <v>171</v>
      </c>
      <c r="C146" s="24">
        <v>10.2967</v>
      </c>
      <c r="D146" s="24">
        <v>10.0349</v>
      </c>
      <c r="E146" s="22"/>
      <c r="F146" s="19"/>
      <c r="G146" s="25"/>
    </row>
    <row r="147" spans="1:7" ht="17.100000000000001" customHeight="1" x14ac:dyDescent="0.2">
      <c r="A147" s="22"/>
      <c r="B147" s="4" t="s">
        <v>1043</v>
      </c>
      <c r="C147" s="24">
        <v>10.2967</v>
      </c>
      <c r="D147" s="24">
        <v>10.0349</v>
      </c>
      <c r="E147" s="22"/>
      <c r="F147" s="19"/>
      <c r="G147" s="25"/>
    </row>
    <row r="148" spans="1:7" ht="14.1" customHeight="1" x14ac:dyDescent="0.2">
      <c r="A148" s="22"/>
      <c r="B148" s="22"/>
      <c r="C148" s="22"/>
      <c r="D148" s="22"/>
      <c r="E148" s="22"/>
      <c r="F148" s="22"/>
      <c r="G148" s="22"/>
    </row>
    <row r="149" spans="1:7" ht="17.100000000000001" customHeight="1" x14ac:dyDescent="0.2">
      <c r="A149" s="22"/>
      <c r="B149" s="290" t="s">
        <v>1044</v>
      </c>
      <c r="C149" s="291"/>
      <c r="D149" s="2" t="s">
        <v>162</v>
      </c>
      <c r="E149" s="22"/>
      <c r="F149" s="22"/>
      <c r="G149" s="22"/>
    </row>
    <row r="150" spans="1:7" ht="18" customHeight="1" x14ac:dyDescent="0.2">
      <c r="A150" s="22"/>
      <c r="B150" s="26"/>
      <c r="C150" s="26"/>
      <c r="D150" s="27"/>
      <c r="E150" s="22"/>
      <c r="F150" s="22"/>
      <c r="G150" s="22"/>
    </row>
    <row r="151" spans="1:7" ht="29.1" customHeight="1" x14ac:dyDescent="0.2">
      <c r="A151" s="22"/>
      <c r="B151" s="290" t="s">
        <v>172</v>
      </c>
      <c r="C151" s="291"/>
      <c r="D151" s="2" t="s">
        <v>162</v>
      </c>
      <c r="E151" s="22"/>
      <c r="F151" s="22"/>
      <c r="G151" s="22"/>
    </row>
    <row r="152" spans="1:7" ht="29.1" customHeight="1" x14ac:dyDescent="0.2">
      <c r="A152" s="22"/>
      <c r="B152" s="290" t="s">
        <v>173</v>
      </c>
      <c r="C152" s="291"/>
      <c r="D152" s="2" t="s">
        <v>162</v>
      </c>
      <c r="E152" s="22"/>
      <c r="F152" s="22"/>
      <c r="G152" s="22"/>
    </row>
    <row r="153" spans="1:7" ht="17.100000000000001" customHeight="1" x14ac:dyDescent="0.2">
      <c r="A153" s="22"/>
      <c r="B153" s="290" t="s">
        <v>174</v>
      </c>
      <c r="C153" s="291"/>
      <c r="D153" s="28">
        <v>0.40468166628675023</v>
      </c>
      <c r="E153" s="22"/>
      <c r="F153" s="19"/>
      <c r="G153" s="25"/>
    </row>
    <row r="154" spans="1:7" ht="17.100000000000001" customHeight="1" x14ac:dyDescent="0.2">
      <c r="A154" s="22"/>
      <c r="B154" s="290" t="s">
        <v>175</v>
      </c>
      <c r="C154" s="291"/>
      <c r="D154" s="2" t="s">
        <v>162</v>
      </c>
      <c r="E154" s="22"/>
      <c r="F154" s="22"/>
      <c r="G154" s="22"/>
    </row>
    <row r="178" spans="15:15" x14ac:dyDescent="0.2">
      <c r="O178" s="80"/>
    </row>
    <row r="205" spans="9:9" x14ac:dyDescent="0.2">
      <c r="I205" s="80"/>
    </row>
    <row r="206" spans="9:9" x14ac:dyDescent="0.2">
      <c r="I206" s="80"/>
    </row>
    <row r="207" spans="9:9" x14ac:dyDescent="0.2">
      <c r="I207" s="80"/>
    </row>
    <row r="208" spans="9:9" x14ac:dyDescent="0.2">
      <c r="I208" s="80"/>
    </row>
    <row r="210" spans="9:9" x14ac:dyDescent="0.2">
      <c r="I210" s="191"/>
    </row>
    <row r="211" spans="9:9" x14ac:dyDescent="0.2">
      <c r="I211" s="80"/>
    </row>
    <row r="212" spans="9:9" x14ac:dyDescent="0.2">
      <c r="I212" s="80"/>
    </row>
    <row r="213" spans="9:9" x14ac:dyDescent="0.2">
      <c r="I213" s="80"/>
    </row>
    <row r="214" spans="9:9" x14ac:dyDescent="0.2">
      <c r="I214" s="80"/>
    </row>
    <row r="215" spans="9:9" ht="15" x14ac:dyDescent="0.2">
      <c r="I215" s="192"/>
    </row>
    <row r="216" spans="9:9" ht="15" x14ac:dyDescent="0.25">
      <c r="I216" s="193"/>
    </row>
    <row r="217" spans="9:9" x14ac:dyDescent="0.2">
      <c r="I217" s="80"/>
    </row>
  </sheetData>
  <mergeCells count="13">
    <mergeCell ref="A1:H1"/>
    <mergeCell ref="A2:H2"/>
    <mergeCell ref="A3:H3"/>
    <mergeCell ref="J2:N2"/>
    <mergeCell ref="B154:C154"/>
    <mergeCell ref="B139:C139"/>
    <mergeCell ref="B140:C140"/>
    <mergeCell ref="B141:C141"/>
    <mergeCell ref="B149:C149"/>
    <mergeCell ref="B151:C151"/>
    <mergeCell ref="B152:C152"/>
    <mergeCell ref="B138:C138"/>
    <mergeCell ref="B153:C153"/>
  </mergeCells>
  <hyperlinks>
    <hyperlink ref="I1" location="Index!B36" display="Index" xr:uid="{FA085010-C7AC-4C84-BC96-8531CCA22E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N11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85" t="s">
        <v>0</v>
      </c>
      <c r="B1" s="285"/>
      <c r="C1" s="285"/>
      <c r="D1" s="285"/>
      <c r="E1" s="285"/>
      <c r="F1" s="285"/>
      <c r="G1" s="285"/>
      <c r="H1" s="285"/>
      <c r="I1" s="186" t="s">
        <v>1072</v>
      </c>
    </row>
    <row r="2" spans="1:14" ht="17.100000000000001" customHeight="1" x14ac:dyDescent="0.2">
      <c r="A2" s="286" t="s">
        <v>737</v>
      </c>
      <c r="B2" s="287"/>
      <c r="C2" s="287"/>
      <c r="D2" s="287"/>
      <c r="E2" s="287"/>
      <c r="F2" s="287"/>
      <c r="G2" s="287"/>
      <c r="H2" s="288"/>
      <c r="J2" s="289" t="s">
        <v>1073</v>
      </c>
      <c r="K2" s="289"/>
      <c r="L2" s="289"/>
      <c r="M2" s="289"/>
      <c r="N2" s="289"/>
    </row>
    <row r="3" spans="1:14" ht="21" customHeight="1" x14ac:dyDescent="0.2">
      <c r="A3" s="285" t="s">
        <v>1052</v>
      </c>
      <c r="B3" s="285"/>
      <c r="C3" s="285"/>
      <c r="D3" s="285"/>
      <c r="E3" s="285"/>
      <c r="F3" s="285"/>
      <c r="G3" s="285"/>
      <c r="H3" s="285"/>
    </row>
    <row r="4" spans="1:14" s="178" customFormat="1" ht="30" x14ac:dyDescent="0.2">
      <c r="A4" s="177" t="s">
        <v>2</v>
      </c>
      <c r="B4" s="177" t="s">
        <v>3</v>
      </c>
      <c r="C4" s="177" t="s">
        <v>4</v>
      </c>
      <c r="D4" s="177" t="s">
        <v>5</v>
      </c>
      <c r="E4" s="177" t="s">
        <v>6</v>
      </c>
      <c r="F4" s="177" t="s">
        <v>7</v>
      </c>
      <c r="G4" s="177" t="s">
        <v>8</v>
      </c>
      <c r="H4" s="83" t="s">
        <v>988</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266</v>
      </c>
      <c r="C7" s="4" t="s">
        <v>267</v>
      </c>
      <c r="D7" s="4" t="s">
        <v>19</v>
      </c>
      <c r="E7" s="5">
        <v>745462</v>
      </c>
      <c r="F7" s="6">
        <v>12137.239552999999</v>
      </c>
      <c r="G7" s="7">
        <v>0.19600073700000001</v>
      </c>
      <c r="H7" s="53"/>
    </row>
    <row r="8" spans="1:14" ht="17.100000000000001" customHeight="1" x14ac:dyDescent="0.2">
      <c r="A8" s="3">
        <v>2</v>
      </c>
      <c r="B8" s="4" t="s">
        <v>17</v>
      </c>
      <c r="C8" s="4" t="s">
        <v>18</v>
      </c>
      <c r="D8" s="4" t="s">
        <v>19</v>
      </c>
      <c r="E8" s="5">
        <v>1315747</v>
      </c>
      <c r="F8" s="6">
        <v>11721.3321495</v>
      </c>
      <c r="G8" s="7">
        <v>0.18928437000000001</v>
      </c>
      <c r="H8" s="53"/>
    </row>
    <row r="9" spans="1:14" ht="17.100000000000001" customHeight="1" x14ac:dyDescent="0.2">
      <c r="A9" s="3">
        <v>3</v>
      </c>
      <c r="B9" s="4" t="s">
        <v>29</v>
      </c>
      <c r="C9" s="4" t="s">
        <v>30</v>
      </c>
      <c r="D9" s="4" t="s">
        <v>19</v>
      </c>
      <c r="E9" s="5">
        <v>1017312</v>
      </c>
      <c r="F9" s="6">
        <v>6243.2437440000003</v>
      </c>
      <c r="G9" s="7">
        <v>0.10082032</v>
      </c>
      <c r="H9" s="53"/>
    </row>
    <row r="10" spans="1:14" ht="17.100000000000001" customHeight="1" x14ac:dyDescent="0.2">
      <c r="A10" s="3">
        <v>4</v>
      </c>
      <c r="B10" s="4" t="s">
        <v>181</v>
      </c>
      <c r="C10" s="4" t="s">
        <v>182</v>
      </c>
      <c r="D10" s="4" t="s">
        <v>19</v>
      </c>
      <c r="E10" s="5">
        <v>651473</v>
      </c>
      <c r="F10" s="6">
        <v>6083.1291375000001</v>
      </c>
      <c r="G10" s="7">
        <v>9.8234676000000007E-2</v>
      </c>
      <c r="H10" s="53"/>
    </row>
    <row r="11" spans="1:14" ht="29.1" customHeight="1" x14ac:dyDescent="0.2">
      <c r="A11" s="3">
        <v>5</v>
      </c>
      <c r="B11" s="4" t="s">
        <v>293</v>
      </c>
      <c r="C11" s="4" t="s">
        <v>294</v>
      </c>
      <c r="D11" s="4" t="s">
        <v>119</v>
      </c>
      <c r="E11" s="5">
        <v>117622</v>
      </c>
      <c r="F11" s="6">
        <v>3102.397872</v>
      </c>
      <c r="G11" s="7">
        <v>5.0099717000000002E-2</v>
      </c>
      <c r="H11" s="53"/>
    </row>
    <row r="12" spans="1:14" ht="17.100000000000001" customHeight="1" x14ac:dyDescent="0.2">
      <c r="A12" s="3">
        <v>6</v>
      </c>
      <c r="B12" s="4" t="s">
        <v>336</v>
      </c>
      <c r="C12" s="4" t="s">
        <v>337</v>
      </c>
      <c r="D12" s="4" t="s">
        <v>19</v>
      </c>
      <c r="E12" s="5">
        <v>686458</v>
      </c>
      <c r="F12" s="6">
        <v>2287.9645139999998</v>
      </c>
      <c r="G12" s="7">
        <v>3.6947671000000001E-2</v>
      </c>
      <c r="H12" s="53"/>
      <c r="J12" s="188" t="s">
        <v>1105</v>
      </c>
    </row>
    <row r="13" spans="1:14" ht="17.100000000000001" customHeight="1" x14ac:dyDescent="0.2">
      <c r="A13" s="3">
        <v>7</v>
      </c>
      <c r="B13" s="4" t="s">
        <v>179</v>
      </c>
      <c r="C13" s="4" t="s">
        <v>180</v>
      </c>
      <c r="D13" s="4" t="s">
        <v>19</v>
      </c>
      <c r="E13" s="5">
        <v>901401</v>
      </c>
      <c r="F13" s="6">
        <v>1673.9016569999999</v>
      </c>
      <c r="G13" s="7">
        <v>2.7031349E-2</v>
      </c>
      <c r="H13" s="53"/>
    </row>
    <row r="14" spans="1:14" ht="17.100000000000001" customHeight="1" x14ac:dyDescent="0.2">
      <c r="A14" s="3">
        <v>8</v>
      </c>
      <c r="B14" s="4" t="s">
        <v>183</v>
      </c>
      <c r="C14" s="4" t="s">
        <v>184</v>
      </c>
      <c r="D14" s="4" t="s">
        <v>119</v>
      </c>
      <c r="E14" s="5">
        <v>104431</v>
      </c>
      <c r="F14" s="6">
        <v>1437.910439</v>
      </c>
      <c r="G14" s="7">
        <v>2.3220396000000001E-2</v>
      </c>
      <c r="H14" s="53"/>
    </row>
    <row r="15" spans="1:14" ht="17.100000000000001" customHeight="1" x14ac:dyDescent="0.2">
      <c r="A15" s="3">
        <v>9</v>
      </c>
      <c r="B15" s="4" t="s">
        <v>295</v>
      </c>
      <c r="C15" s="4" t="s">
        <v>296</v>
      </c>
      <c r="D15" s="4" t="s">
        <v>248</v>
      </c>
      <c r="E15" s="5">
        <v>115413</v>
      </c>
      <c r="F15" s="6">
        <v>1421.080269</v>
      </c>
      <c r="G15" s="7">
        <v>2.2948610000000001E-2</v>
      </c>
      <c r="H15" s="53"/>
    </row>
    <row r="16" spans="1:14" ht="17.100000000000001" customHeight="1" x14ac:dyDescent="0.2">
      <c r="A16" s="3">
        <v>10</v>
      </c>
      <c r="B16" s="4" t="s">
        <v>452</v>
      </c>
      <c r="C16" s="4" t="s">
        <v>453</v>
      </c>
      <c r="D16" s="4" t="s">
        <v>19</v>
      </c>
      <c r="E16" s="5">
        <v>555294</v>
      </c>
      <c r="F16" s="6">
        <v>1320.4891319999999</v>
      </c>
      <c r="G16" s="7">
        <v>2.1324193000000002E-2</v>
      </c>
      <c r="H16" s="53"/>
    </row>
    <row r="17" spans="1:8" ht="17.100000000000001" customHeight="1" x14ac:dyDescent="0.2">
      <c r="A17" s="3">
        <v>11</v>
      </c>
      <c r="B17" s="4" t="s">
        <v>374</v>
      </c>
      <c r="C17" s="4" t="s">
        <v>375</v>
      </c>
      <c r="D17" s="4" t="s">
        <v>119</v>
      </c>
      <c r="E17" s="5">
        <v>906660</v>
      </c>
      <c r="F17" s="6">
        <v>1136.4983099999999</v>
      </c>
      <c r="G17" s="7">
        <v>1.8352978999999998E-2</v>
      </c>
      <c r="H17" s="53"/>
    </row>
    <row r="18" spans="1:8" ht="17.100000000000001" customHeight="1" x14ac:dyDescent="0.2">
      <c r="A18" s="3">
        <v>12</v>
      </c>
      <c r="B18" s="4" t="s">
        <v>327</v>
      </c>
      <c r="C18" s="4" t="s">
        <v>328</v>
      </c>
      <c r="D18" s="4" t="s">
        <v>19</v>
      </c>
      <c r="E18" s="5">
        <v>78351</v>
      </c>
      <c r="F18" s="6">
        <v>955.96055100000001</v>
      </c>
      <c r="G18" s="7">
        <v>1.5437528000000001E-2</v>
      </c>
      <c r="H18" s="53"/>
    </row>
    <row r="19" spans="1:8" ht="17.100000000000001" customHeight="1" x14ac:dyDescent="0.2">
      <c r="A19" s="3">
        <v>13</v>
      </c>
      <c r="B19" s="4" t="s">
        <v>389</v>
      </c>
      <c r="C19" s="4" t="s">
        <v>390</v>
      </c>
      <c r="D19" s="4" t="s">
        <v>119</v>
      </c>
      <c r="E19" s="5">
        <v>116497</v>
      </c>
      <c r="F19" s="6">
        <v>852.3503005</v>
      </c>
      <c r="G19" s="7">
        <v>1.3764356E-2</v>
      </c>
      <c r="H19" s="53"/>
    </row>
    <row r="20" spans="1:8" ht="17.100000000000001" customHeight="1" x14ac:dyDescent="0.2">
      <c r="A20" s="3">
        <v>14</v>
      </c>
      <c r="B20" s="4" t="s">
        <v>253</v>
      </c>
      <c r="C20" s="4" t="s">
        <v>254</v>
      </c>
      <c r="D20" s="4" t="s">
        <v>119</v>
      </c>
      <c r="E20" s="5">
        <v>150000</v>
      </c>
      <c r="F20" s="6">
        <v>825.82500000000005</v>
      </c>
      <c r="G20" s="7">
        <v>1.3336007E-2</v>
      </c>
      <c r="H20" s="53"/>
    </row>
    <row r="21" spans="1:8" ht="17.100000000000001" customHeight="1" x14ac:dyDescent="0.2">
      <c r="A21" s="3">
        <v>15</v>
      </c>
      <c r="B21" s="4" t="s">
        <v>193</v>
      </c>
      <c r="C21" s="4" t="s">
        <v>194</v>
      </c>
      <c r="D21" s="4" t="s">
        <v>19</v>
      </c>
      <c r="E21" s="5">
        <v>122192</v>
      </c>
      <c r="F21" s="6">
        <v>799.68554400000005</v>
      </c>
      <c r="G21" s="7">
        <v>1.2913888E-2</v>
      </c>
      <c r="H21" s="53"/>
    </row>
    <row r="22" spans="1:8" ht="29.1" customHeight="1" x14ac:dyDescent="0.2">
      <c r="A22" s="3">
        <v>16</v>
      </c>
      <c r="B22" s="4" t="s">
        <v>117</v>
      </c>
      <c r="C22" s="4" t="s">
        <v>118</v>
      </c>
      <c r="D22" s="4" t="s">
        <v>119</v>
      </c>
      <c r="E22" s="5">
        <v>110307</v>
      </c>
      <c r="F22" s="6">
        <v>797.40930300000002</v>
      </c>
      <c r="G22" s="7">
        <v>1.2877130000000001E-2</v>
      </c>
      <c r="H22" s="53"/>
    </row>
    <row r="23" spans="1:8" ht="17.100000000000001" customHeight="1" x14ac:dyDescent="0.2">
      <c r="A23" s="3">
        <v>17</v>
      </c>
      <c r="B23" s="4" t="s">
        <v>592</v>
      </c>
      <c r="C23" s="4" t="s">
        <v>593</v>
      </c>
      <c r="D23" s="4" t="s">
        <v>248</v>
      </c>
      <c r="E23" s="5">
        <v>139505</v>
      </c>
      <c r="F23" s="6">
        <v>789.94706250000002</v>
      </c>
      <c r="G23" s="7">
        <v>1.2756623999999999E-2</v>
      </c>
      <c r="H23" s="53"/>
    </row>
    <row r="24" spans="1:8" ht="17.100000000000001" customHeight="1" x14ac:dyDescent="0.2">
      <c r="A24" s="3">
        <v>18</v>
      </c>
      <c r="B24" s="4" t="s">
        <v>738</v>
      </c>
      <c r="C24" s="4" t="s">
        <v>739</v>
      </c>
      <c r="D24" s="4" t="s">
        <v>119</v>
      </c>
      <c r="E24" s="5">
        <v>190425</v>
      </c>
      <c r="F24" s="6">
        <v>788.64513750000003</v>
      </c>
      <c r="G24" s="7">
        <v>1.27356E-2</v>
      </c>
      <c r="H24" s="53"/>
    </row>
    <row r="25" spans="1:8" ht="17.100000000000001" customHeight="1" x14ac:dyDescent="0.2">
      <c r="A25" s="3">
        <v>19</v>
      </c>
      <c r="B25" s="4" t="s">
        <v>318</v>
      </c>
      <c r="C25" s="4" t="s">
        <v>319</v>
      </c>
      <c r="D25" s="4" t="s">
        <v>320</v>
      </c>
      <c r="E25" s="5">
        <v>58456</v>
      </c>
      <c r="F25" s="6">
        <v>766.56275600000004</v>
      </c>
      <c r="G25" s="7">
        <v>1.2378998E-2</v>
      </c>
      <c r="H25" s="53"/>
    </row>
    <row r="26" spans="1:8" ht="17.100000000000001" customHeight="1" x14ac:dyDescent="0.2">
      <c r="A26" s="3">
        <v>20</v>
      </c>
      <c r="B26" s="4" t="s">
        <v>342</v>
      </c>
      <c r="C26" s="4" t="s">
        <v>343</v>
      </c>
      <c r="D26" s="4" t="s">
        <v>119</v>
      </c>
      <c r="E26" s="5">
        <v>10562</v>
      </c>
      <c r="F26" s="6">
        <v>694.472624</v>
      </c>
      <c r="G26" s="7">
        <v>1.1214836000000001E-2</v>
      </c>
      <c r="H26" s="53"/>
    </row>
    <row r="27" spans="1:8" ht="17.100000000000001" customHeight="1" x14ac:dyDescent="0.2">
      <c r="A27" s="3">
        <v>21</v>
      </c>
      <c r="B27" s="4" t="s">
        <v>405</v>
      </c>
      <c r="C27" s="4" t="s">
        <v>406</v>
      </c>
      <c r="D27" s="4" t="s">
        <v>320</v>
      </c>
      <c r="E27" s="5">
        <v>44319</v>
      </c>
      <c r="F27" s="6">
        <v>688.80589799999996</v>
      </c>
      <c r="G27" s="7">
        <v>1.1123325E-2</v>
      </c>
      <c r="H27" s="53"/>
    </row>
    <row r="28" spans="1:8" ht="17.100000000000001" customHeight="1" x14ac:dyDescent="0.2">
      <c r="A28" s="3">
        <v>22</v>
      </c>
      <c r="B28" s="4" t="s">
        <v>385</v>
      </c>
      <c r="C28" s="4" t="s">
        <v>386</v>
      </c>
      <c r="D28" s="4" t="s">
        <v>119</v>
      </c>
      <c r="E28" s="5">
        <v>70000</v>
      </c>
      <c r="F28" s="6">
        <v>640.71</v>
      </c>
      <c r="G28" s="7">
        <v>1.0346638999999999E-2</v>
      </c>
      <c r="H28" s="53"/>
    </row>
    <row r="29" spans="1:8" ht="17.100000000000001" customHeight="1" x14ac:dyDescent="0.2">
      <c r="A29" s="3">
        <v>23</v>
      </c>
      <c r="B29" s="4" t="s">
        <v>329</v>
      </c>
      <c r="C29" s="4" t="s">
        <v>330</v>
      </c>
      <c r="D29" s="4" t="s">
        <v>19</v>
      </c>
      <c r="E29" s="5">
        <v>25198</v>
      </c>
      <c r="F29" s="6">
        <v>460.43045499999999</v>
      </c>
      <c r="G29" s="7">
        <v>7.4353570000000001E-3</v>
      </c>
      <c r="H29" s="53"/>
    </row>
    <row r="30" spans="1:8" ht="29.1" customHeight="1" x14ac:dyDescent="0.2">
      <c r="A30" s="3">
        <v>24</v>
      </c>
      <c r="B30" s="4" t="s">
        <v>590</v>
      </c>
      <c r="C30" s="4" t="s">
        <v>591</v>
      </c>
      <c r="D30" s="4" t="s">
        <v>248</v>
      </c>
      <c r="E30" s="5">
        <v>32775</v>
      </c>
      <c r="F30" s="6">
        <v>405.3612</v>
      </c>
      <c r="G30" s="7">
        <v>6.5460600000000002E-3</v>
      </c>
      <c r="H30" s="53"/>
    </row>
    <row r="31" spans="1:8" ht="14.1" customHeight="1" x14ac:dyDescent="0.2">
      <c r="A31" s="1"/>
      <c r="B31" s="1"/>
      <c r="C31" s="2" t="s">
        <v>132</v>
      </c>
      <c r="D31" s="1"/>
      <c r="E31" s="1" t="s">
        <v>133</v>
      </c>
      <c r="F31" s="9">
        <v>58031.352608499998</v>
      </c>
      <c r="G31" s="10">
        <v>0.93713136600000002</v>
      </c>
      <c r="H31" s="53"/>
    </row>
    <row r="32" spans="1:8" ht="14.1" customHeight="1" x14ac:dyDescent="0.2">
      <c r="A32" s="1"/>
      <c r="B32" s="1"/>
      <c r="C32" s="11"/>
      <c r="D32" s="1"/>
      <c r="E32" s="1"/>
      <c r="F32" s="12"/>
      <c r="G32" s="12"/>
      <c r="H32" s="53"/>
    </row>
    <row r="33" spans="1:8" ht="14.1" customHeight="1" x14ac:dyDescent="0.2">
      <c r="A33" s="1"/>
      <c r="B33" s="1"/>
      <c r="C33" s="2" t="s">
        <v>134</v>
      </c>
      <c r="D33" s="1"/>
      <c r="E33" s="1"/>
      <c r="F33" s="1"/>
      <c r="G33" s="1"/>
      <c r="H33" s="53"/>
    </row>
    <row r="34" spans="1:8" ht="14.1" customHeight="1" x14ac:dyDescent="0.2">
      <c r="A34" s="1"/>
      <c r="B34" s="1"/>
      <c r="C34" s="2" t="s">
        <v>132</v>
      </c>
      <c r="D34" s="1"/>
      <c r="E34" s="1" t="s">
        <v>133</v>
      </c>
      <c r="F34" s="13">
        <v>0</v>
      </c>
      <c r="G34" s="14">
        <v>0</v>
      </c>
      <c r="H34" s="53"/>
    </row>
    <row r="35" spans="1:8" ht="14.1" customHeight="1" x14ac:dyDescent="0.2">
      <c r="A35" s="1"/>
      <c r="B35" s="1"/>
      <c r="C35" s="11"/>
      <c r="D35" s="1"/>
      <c r="E35" s="1"/>
      <c r="F35" s="12"/>
      <c r="G35" s="12"/>
      <c r="H35" s="53"/>
    </row>
    <row r="36" spans="1:8" ht="14.1" customHeight="1" x14ac:dyDescent="0.2">
      <c r="A36" s="1"/>
      <c r="B36" s="1"/>
      <c r="C36" s="2" t="s">
        <v>135</v>
      </c>
      <c r="D36" s="1"/>
      <c r="E36" s="1"/>
      <c r="F36" s="1"/>
      <c r="G36" s="1"/>
      <c r="H36" s="53"/>
    </row>
    <row r="37" spans="1:8" ht="14.1" customHeight="1" x14ac:dyDescent="0.2">
      <c r="A37" s="1"/>
      <c r="B37" s="1"/>
      <c r="C37" s="2" t="s">
        <v>132</v>
      </c>
      <c r="D37" s="1"/>
      <c r="E37" s="1" t="s">
        <v>133</v>
      </c>
      <c r="F37" s="13">
        <v>0</v>
      </c>
      <c r="G37" s="14">
        <v>0</v>
      </c>
      <c r="H37" s="53"/>
    </row>
    <row r="38" spans="1:8" ht="14.1" customHeight="1" x14ac:dyDescent="0.2">
      <c r="A38" s="1"/>
      <c r="B38" s="1"/>
      <c r="C38" s="11"/>
      <c r="D38" s="1"/>
      <c r="E38" s="1"/>
      <c r="F38" s="12"/>
      <c r="G38" s="12"/>
      <c r="H38" s="53"/>
    </row>
    <row r="39" spans="1:8" ht="14.1" customHeight="1" x14ac:dyDescent="0.2">
      <c r="A39" s="1"/>
      <c r="B39" s="1"/>
      <c r="C39" s="2" t="s">
        <v>136</v>
      </c>
      <c r="D39" s="1"/>
      <c r="E39" s="1"/>
      <c r="F39" s="1"/>
      <c r="G39" s="1"/>
      <c r="H39" s="53"/>
    </row>
    <row r="40" spans="1:8" ht="14.1" customHeight="1" x14ac:dyDescent="0.2">
      <c r="A40" s="1"/>
      <c r="B40" s="1"/>
      <c r="C40" s="2" t="s">
        <v>132</v>
      </c>
      <c r="D40" s="1"/>
      <c r="E40" s="1" t="s">
        <v>133</v>
      </c>
      <c r="F40" s="13">
        <v>0</v>
      </c>
      <c r="G40" s="14">
        <v>0</v>
      </c>
      <c r="H40" s="53"/>
    </row>
    <row r="41" spans="1:8" ht="14.1" customHeight="1" x14ac:dyDescent="0.2">
      <c r="A41" s="1"/>
      <c r="B41" s="1"/>
      <c r="C41" s="11"/>
      <c r="D41" s="1"/>
      <c r="E41" s="1"/>
      <c r="F41" s="12"/>
      <c r="G41" s="12"/>
      <c r="H41" s="53"/>
    </row>
    <row r="42" spans="1:8" ht="14.1" customHeight="1" x14ac:dyDescent="0.2">
      <c r="A42" s="1"/>
      <c r="B42" s="1"/>
      <c r="C42" s="2" t="s">
        <v>137</v>
      </c>
      <c r="D42" s="1"/>
      <c r="E42" s="1"/>
      <c r="F42" s="12"/>
      <c r="G42" s="12"/>
      <c r="H42" s="53"/>
    </row>
    <row r="43" spans="1:8" ht="14.1" customHeight="1" x14ac:dyDescent="0.2">
      <c r="A43" s="1"/>
      <c r="B43" s="1"/>
      <c r="C43" s="2" t="s">
        <v>132</v>
      </c>
      <c r="D43" s="1"/>
      <c r="E43" s="1" t="s">
        <v>133</v>
      </c>
      <c r="F43" s="13">
        <v>0</v>
      </c>
      <c r="G43" s="14">
        <v>0</v>
      </c>
      <c r="H43" s="53"/>
    </row>
    <row r="44" spans="1:8" ht="14.1" customHeight="1" x14ac:dyDescent="0.2">
      <c r="A44" s="1"/>
      <c r="B44" s="1"/>
      <c r="C44" s="11"/>
      <c r="D44" s="1"/>
      <c r="E44" s="1"/>
      <c r="F44" s="12"/>
      <c r="G44" s="12"/>
      <c r="H44" s="53"/>
    </row>
    <row r="45" spans="1:8" ht="14.1" customHeight="1" x14ac:dyDescent="0.2">
      <c r="A45" s="1"/>
      <c r="B45" s="1"/>
      <c r="C45" s="2" t="s">
        <v>138</v>
      </c>
      <c r="D45" s="1"/>
      <c r="E45" s="1"/>
      <c r="F45" s="12"/>
      <c r="G45" s="12"/>
      <c r="H45" s="53"/>
    </row>
    <row r="46" spans="1:8" ht="14.1" customHeight="1" x14ac:dyDescent="0.2">
      <c r="A46" s="1"/>
      <c r="B46" s="1"/>
      <c r="C46" s="2" t="s">
        <v>132</v>
      </c>
      <c r="D46" s="1"/>
      <c r="E46" s="1" t="s">
        <v>133</v>
      </c>
      <c r="F46" s="13">
        <v>0</v>
      </c>
      <c r="G46" s="14">
        <v>0</v>
      </c>
      <c r="H46" s="53"/>
    </row>
    <row r="47" spans="1:8" ht="14.1" customHeight="1" x14ac:dyDescent="0.2">
      <c r="A47" s="1"/>
      <c r="B47" s="1"/>
      <c r="C47" s="11"/>
      <c r="D47" s="1"/>
      <c r="E47" s="1"/>
      <c r="F47" s="12"/>
      <c r="G47" s="12"/>
      <c r="H47" s="53"/>
    </row>
    <row r="48" spans="1:8" ht="18" customHeight="1" x14ac:dyDescent="0.2">
      <c r="A48" s="1"/>
      <c r="B48" s="1"/>
      <c r="C48" s="2" t="s">
        <v>139</v>
      </c>
      <c r="D48" s="1"/>
      <c r="E48" s="1"/>
      <c r="F48" s="9">
        <v>58031.352608499998</v>
      </c>
      <c r="G48" s="10">
        <v>0.93713136600000002</v>
      </c>
      <c r="H48" s="53"/>
    </row>
    <row r="49" spans="1:8" ht="14.1" customHeight="1" x14ac:dyDescent="0.2">
      <c r="A49" s="1"/>
      <c r="B49" s="1"/>
      <c r="C49" s="11"/>
      <c r="D49" s="1"/>
      <c r="E49" s="1"/>
      <c r="F49" s="12"/>
      <c r="G49" s="12"/>
      <c r="H49" s="53"/>
    </row>
    <row r="50" spans="1:8" ht="14.1" customHeight="1" x14ac:dyDescent="0.2">
      <c r="A50" s="1"/>
      <c r="B50" s="1"/>
      <c r="C50" s="2" t="s">
        <v>140</v>
      </c>
      <c r="D50" s="1"/>
      <c r="E50" s="1"/>
      <c r="F50" s="12"/>
      <c r="G50" s="12"/>
      <c r="H50" s="53"/>
    </row>
    <row r="51" spans="1:8" ht="24" customHeight="1" x14ac:dyDescent="0.2">
      <c r="A51" s="1"/>
      <c r="B51" s="1"/>
      <c r="C51" s="2" t="s">
        <v>10</v>
      </c>
      <c r="D51" s="1"/>
      <c r="E51" s="1"/>
      <c r="F51" s="12"/>
      <c r="G51" s="12"/>
      <c r="H51" s="53"/>
    </row>
    <row r="52" spans="1:8" ht="14.1" customHeight="1" x14ac:dyDescent="0.2">
      <c r="A52" s="1"/>
      <c r="B52" s="1"/>
      <c r="C52" s="2" t="s">
        <v>132</v>
      </c>
      <c r="D52" s="1"/>
      <c r="E52" s="1" t="s">
        <v>133</v>
      </c>
      <c r="F52" s="13">
        <v>0</v>
      </c>
      <c r="G52" s="14">
        <v>0</v>
      </c>
      <c r="H52" s="53"/>
    </row>
    <row r="53" spans="1:8" ht="14.1" customHeight="1" x14ac:dyDescent="0.2">
      <c r="A53" s="1"/>
      <c r="B53" s="1"/>
      <c r="C53" s="11"/>
      <c r="D53" s="1"/>
      <c r="E53" s="1"/>
      <c r="F53" s="12"/>
      <c r="G53" s="12"/>
      <c r="H53" s="53"/>
    </row>
    <row r="54" spans="1:8" ht="14.1" customHeight="1" x14ac:dyDescent="0.2">
      <c r="A54" s="1"/>
      <c r="B54" s="1"/>
      <c r="C54" s="2" t="s">
        <v>141</v>
      </c>
      <c r="D54" s="1"/>
      <c r="E54" s="1"/>
      <c r="F54" s="1"/>
      <c r="G54" s="1"/>
      <c r="H54" s="53"/>
    </row>
    <row r="55" spans="1:8" ht="14.1" customHeight="1" x14ac:dyDescent="0.2">
      <c r="A55" s="1"/>
      <c r="B55" s="1"/>
      <c r="C55" s="2" t="s">
        <v>132</v>
      </c>
      <c r="D55" s="1"/>
      <c r="E55" s="1" t="s">
        <v>133</v>
      </c>
      <c r="F55" s="13">
        <v>0</v>
      </c>
      <c r="G55" s="14">
        <v>0</v>
      </c>
      <c r="H55" s="53"/>
    </row>
    <row r="56" spans="1:8" ht="14.1" customHeight="1" x14ac:dyDescent="0.2">
      <c r="A56" s="1"/>
      <c r="B56" s="1"/>
      <c r="C56" s="11"/>
      <c r="D56" s="1"/>
      <c r="E56" s="1"/>
      <c r="F56" s="12"/>
      <c r="G56" s="12"/>
      <c r="H56" s="53"/>
    </row>
    <row r="57" spans="1:8" ht="14.1" customHeight="1" x14ac:dyDescent="0.2">
      <c r="A57" s="1"/>
      <c r="B57" s="1"/>
      <c r="C57" s="2" t="s">
        <v>142</v>
      </c>
      <c r="D57" s="1"/>
      <c r="E57" s="1"/>
      <c r="F57" s="1"/>
      <c r="G57" s="1"/>
      <c r="H57" s="53"/>
    </row>
    <row r="58" spans="1:8" ht="14.1" customHeight="1" x14ac:dyDescent="0.2">
      <c r="A58" s="1"/>
      <c r="B58" s="1"/>
      <c r="C58" s="2" t="s">
        <v>132</v>
      </c>
      <c r="D58" s="1"/>
      <c r="E58" s="1" t="s">
        <v>133</v>
      </c>
      <c r="F58" s="13">
        <v>0</v>
      </c>
      <c r="G58" s="14">
        <v>0</v>
      </c>
      <c r="H58" s="53"/>
    </row>
    <row r="59" spans="1:8" ht="14.1" customHeight="1" x14ac:dyDescent="0.2">
      <c r="A59" s="1"/>
      <c r="B59" s="1"/>
      <c r="C59" s="11"/>
      <c r="D59" s="1"/>
      <c r="E59" s="1"/>
      <c r="F59" s="12"/>
      <c r="G59" s="12"/>
      <c r="H59" s="53"/>
    </row>
    <row r="60" spans="1:8" ht="14.1" customHeight="1" x14ac:dyDescent="0.2">
      <c r="A60" s="1"/>
      <c r="B60" s="1"/>
      <c r="C60" s="2" t="s">
        <v>143</v>
      </c>
      <c r="D60" s="1"/>
      <c r="E60" s="1"/>
      <c r="F60" s="12"/>
      <c r="G60" s="12"/>
      <c r="H60" s="53"/>
    </row>
    <row r="61" spans="1:8" ht="14.1" customHeight="1" x14ac:dyDescent="0.2">
      <c r="A61" s="1"/>
      <c r="B61" s="1"/>
      <c r="C61" s="2" t="s">
        <v>132</v>
      </c>
      <c r="D61" s="1"/>
      <c r="E61" s="1" t="s">
        <v>133</v>
      </c>
      <c r="F61" s="13">
        <v>0</v>
      </c>
      <c r="G61" s="14">
        <v>0</v>
      </c>
      <c r="H61" s="53"/>
    </row>
    <row r="62" spans="1:8" ht="14.1" customHeight="1" x14ac:dyDescent="0.2">
      <c r="A62" s="1"/>
      <c r="B62" s="1"/>
      <c r="C62" s="11"/>
      <c r="D62" s="1"/>
      <c r="E62" s="1"/>
      <c r="F62" s="12"/>
      <c r="G62" s="12"/>
      <c r="H62" s="53"/>
    </row>
    <row r="63" spans="1:8" ht="14.1" customHeight="1" x14ac:dyDescent="0.2">
      <c r="A63" s="1"/>
      <c r="B63" s="1"/>
      <c r="C63" s="2" t="s">
        <v>144</v>
      </c>
      <c r="D63" s="1"/>
      <c r="E63" s="1"/>
      <c r="F63" s="9">
        <v>0</v>
      </c>
      <c r="G63" s="10">
        <v>0</v>
      </c>
      <c r="H63" s="53"/>
    </row>
    <row r="64" spans="1:8" ht="14.1" customHeight="1" x14ac:dyDescent="0.2">
      <c r="A64" s="1"/>
      <c r="B64" s="1"/>
      <c r="C64" s="11"/>
      <c r="D64" s="1"/>
      <c r="E64" s="1"/>
      <c r="F64" s="12"/>
      <c r="G64" s="12"/>
      <c r="H64" s="53"/>
    </row>
    <row r="65" spans="1:8" ht="14.1" customHeight="1" x14ac:dyDescent="0.2">
      <c r="A65" s="1"/>
      <c r="B65" s="1"/>
      <c r="C65" s="2" t="s">
        <v>145</v>
      </c>
      <c r="D65" s="1"/>
      <c r="E65" s="1"/>
      <c r="F65" s="12"/>
      <c r="G65" s="12"/>
      <c r="H65" s="53"/>
    </row>
    <row r="66" spans="1:8" ht="14.1" customHeight="1" x14ac:dyDescent="0.2">
      <c r="A66" s="1"/>
      <c r="B66" s="1"/>
      <c r="C66" s="2" t="s">
        <v>146</v>
      </c>
      <c r="D66" s="1"/>
      <c r="E66" s="1"/>
      <c r="F66" s="12"/>
      <c r="G66" s="12"/>
      <c r="H66" s="53"/>
    </row>
    <row r="67" spans="1:8" ht="14.1" customHeight="1" x14ac:dyDescent="0.2">
      <c r="A67" s="1"/>
      <c r="B67" s="1"/>
      <c r="C67" s="2" t="s">
        <v>132</v>
      </c>
      <c r="D67" s="1"/>
      <c r="E67" s="1" t="s">
        <v>133</v>
      </c>
      <c r="F67" s="13">
        <v>0</v>
      </c>
      <c r="G67" s="14">
        <v>0</v>
      </c>
      <c r="H67" s="53"/>
    </row>
    <row r="68" spans="1:8" ht="14.1" customHeight="1" x14ac:dyDescent="0.2">
      <c r="A68" s="1"/>
      <c r="B68" s="1"/>
      <c r="C68" s="11"/>
      <c r="D68" s="1"/>
      <c r="E68" s="1"/>
      <c r="F68" s="12"/>
      <c r="G68" s="12"/>
      <c r="H68" s="53"/>
    </row>
    <row r="69" spans="1:8" ht="14.1" customHeight="1" x14ac:dyDescent="0.2">
      <c r="A69" s="1"/>
      <c r="B69" s="1"/>
      <c r="C69" s="2" t="s">
        <v>147</v>
      </c>
      <c r="D69" s="1"/>
      <c r="E69" s="1"/>
      <c r="F69" s="12"/>
      <c r="G69" s="12"/>
      <c r="H69" s="53"/>
    </row>
    <row r="70" spans="1:8" ht="14.1" customHeight="1" x14ac:dyDescent="0.2">
      <c r="A70" s="1"/>
      <c r="B70" s="1"/>
      <c r="C70" s="2" t="s">
        <v>132</v>
      </c>
      <c r="D70" s="1"/>
      <c r="E70" s="1" t="s">
        <v>133</v>
      </c>
      <c r="F70" s="13">
        <v>0</v>
      </c>
      <c r="G70" s="14">
        <v>0</v>
      </c>
      <c r="H70" s="53"/>
    </row>
    <row r="71" spans="1:8" ht="14.1" customHeight="1" x14ac:dyDescent="0.2">
      <c r="A71" s="1"/>
      <c r="B71" s="1"/>
      <c r="C71" s="11"/>
      <c r="D71" s="1"/>
      <c r="E71" s="1"/>
      <c r="F71" s="12"/>
      <c r="G71" s="12"/>
      <c r="H71" s="53"/>
    </row>
    <row r="72" spans="1:8" ht="14.1" customHeight="1" x14ac:dyDescent="0.2">
      <c r="A72" s="1"/>
      <c r="B72" s="1"/>
      <c r="C72" s="2" t="s">
        <v>148</v>
      </c>
      <c r="D72" s="1"/>
      <c r="E72" s="1"/>
      <c r="F72" s="12"/>
      <c r="G72" s="12"/>
      <c r="H72" s="53"/>
    </row>
    <row r="73" spans="1:8" ht="14.1" customHeight="1" x14ac:dyDescent="0.2">
      <c r="A73" s="1"/>
      <c r="B73" s="1"/>
      <c r="C73" s="2" t="s">
        <v>132</v>
      </c>
      <c r="D73" s="1"/>
      <c r="E73" s="1" t="s">
        <v>133</v>
      </c>
      <c r="F73" s="13">
        <v>0</v>
      </c>
      <c r="G73" s="14">
        <v>0</v>
      </c>
      <c r="H73" s="53"/>
    </row>
    <row r="74" spans="1:8" ht="14.1" customHeight="1" x14ac:dyDescent="0.2">
      <c r="A74" s="1"/>
      <c r="B74" s="1"/>
      <c r="C74" s="11"/>
      <c r="D74" s="1"/>
      <c r="E74" s="1"/>
      <c r="F74" s="12"/>
      <c r="G74" s="12"/>
      <c r="H74" s="53"/>
    </row>
    <row r="75" spans="1:8" ht="14.1" customHeight="1" x14ac:dyDescent="0.2">
      <c r="A75" s="1"/>
      <c r="B75" s="1"/>
      <c r="C75" s="2" t="s">
        <v>149</v>
      </c>
      <c r="D75" s="1"/>
      <c r="E75" s="1"/>
      <c r="F75" s="12"/>
      <c r="G75" s="12"/>
      <c r="H75" s="53"/>
    </row>
    <row r="76" spans="1:8" ht="17.100000000000001" customHeight="1" x14ac:dyDescent="0.2">
      <c r="A76" s="3">
        <v>1</v>
      </c>
      <c r="B76" s="4"/>
      <c r="C76" s="4" t="s">
        <v>150</v>
      </c>
      <c r="D76" s="4"/>
      <c r="E76" s="8"/>
      <c r="F76" s="6">
        <v>3092.3547275000001</v>
      </c>
      <c r="G76" s="7">
        <v>4.9937532999999999E-2</v>
      </c>
      <c r="H76" s="53">
        <v>6.46</v>
      </c>
    </row>
    <row r="77" spans="1:8" ht="14.1" customHeight="1" x14ac:dyDescent="0.2">
      <c r="A77" s="1"/>
      <c r="B77" s="1"/>
      <c r="C77" s="2" t="s">
        <v>132</v>
      </c>
      <c r="D77" s="1"/>
      <c r="E77" s="1" t="s">
        <v>133</v>
      </c>
      <c r="F77" s="9">
        <v>3092.3547275000001</v>
      </c>
      <c r="G77" s="10">
        <v>4.9937532999999999E-2</v>
      </c>
      <c r="H77" s="53"/>
    </row>
    <row r="78" spans="1:8" ht="14.1" customHeight="1" x14ac:dyDescent="0.2">
      <c r="A78" s="1"/>
      <c r="B78" s="1"/>
      <c r="C78" s="11"/>
      <c r="D78" s="1"/>
      <c r="E78" s="1"/>
      <c r="F78" s="12"/>
      <c r="G78" s="12"/>
      <c r="H78" s="53"/>
    </row>
    <row r="79" spans="1:8" ht="14.1" customHeight="1" x14ac:dyDescent="0.2">
      <c r="A79" s="1"/>
      <c r="B79" s="1"/>
      <c r="C79" s="2" t="s">
        <v>151</v>
      </c>
      <c r="D79" s="1"/>
      <c r="E79" s="1"/>
      <c r="F79" s="9">
        <v>3092.3547275000001</v>
      </c>
      <c r="G79" s="10">
        <v>4.9937532999999999E-2</v>
      </c>
      <c r="H79" s="53"/>
    </row>
    <row r="80" spans="1:8" ht="14.1" customHeight="1" x14ac:dyDescent="0.2">
      <c r="A80" s="1"/>
      <c r="B80" s="1"/>
      <c r="C80" s="12"/>
      <c r="D80" s="1"/>
      <c r="E80" s="1"/>
      <c r="F80" s="1"/>
      <c r="G80" s="1"/>
      <c r="H80" s="53"/>
    </row>
    <row r="81" spans="1:8" ht="14.1" customHeight="1" x14ac:dyDescent="0.2">
      <c r="A81" s="1"/>
      <c r="B81" s="1"/>
      <c r="C81" s="2" t="s">
        <v>152</v>
      </c>
      <c r="D81" s="1"/>
      <c r="E81" s="1"/>
      <c r="F81" s="1"/>
      <c r="G81" s="1"/>
      <c r="H81" s="53"/>
    </row>
    <row r="82" spans="1:8" ht="14.1" customHeight="1" x14ac:dyDescent="0.2">
      <c r="A82" s="1"/>
      <c r="B82" s="1"/>
      <c r="C82" s="2" t="s">
        <v>153</v>
      </c>
      <c r="D82" s="1"/>
      <c r="E82" s="1"/>
      <c r="F82" s="1"/>
      <c r="G82" s="1"/>
      <c r="H82" s="53"/>
    </row>
    <row r="83" spans="1:8" ht="14.1" customHeight="1" x14ac:dyDescent="0.2">
      <c r="A83" s="1"/>
      <c r="B83" s="1"/>
      <c r="C83" s="2" t="s">
        <v>132</v>
      </c>
      <c r="D83" s="1"/>
      <c r="E83" s="1" t="s">
        <v>133</v>
      </c>
      <c r="F83" s="13">
        <v>0</v>
      </c>
      <c r="G83" s="14">
        <v>0</v>
      </c>
      <c r="H83" s="53"/>
    </row>
    <row r="84" spans="1:8" ht="14.1" customHeight="1" x14ac:dyDescent="0.2">
      <c r="A84" s="1"/>
      <c r="B84" s="1"/>
      <c r="C84" s="11"/>
      <c r="D84" s="1"/>
      <c r="E84" s="1"/>
      <c r="F84" s="12"/>
      <c r="G84" s="12"/>
      <c r="H84" s="53"/>
    </row>
    <row r="85" spans="1:8" ht="14.1" customHeight="1" x14ac:dyDescent="0.2">
      <c r="A85" s="1"/>
      <c r="B85" s="1"/>
      <c r="C85" s="2" t="s">
        <v>154</v>
      </c>
      <c r="D85" s="1"/>
      <c r="E85" s="1"/>
      <c r="F85" s="1"/>
      <c r="G85" s="1"/>
      <c r="H85" s="53"/>
    </row>
    <row r="86" spans="1:8" ht="14.1" customHeight="1" x14ac:dyDescent="0.2">
      <c r="A86" s="1"/>
      <c r="B86" s="1"/>
      <c r="C86" s="2" t="s">
        <v>155</v>
      </c>
      <c r="D86" s="1"/>
      <c r="E86" s="1"/>
      <c r="F86" s="1"/>
      <c r="G86" s="1"/>
      <c r="H86" s="53"/>
    </row>
    <row r="87" spans="1:8" ht="14.1" customHeight="1" x14ac:dyDescent="0.2">
      <c r="A87" s="1"/>
      <c r="B87" s="1"/>
      <c r="C87" s="2" t="s">
        <v>132</v>
      </c>
      <c r="D87" s="1"/>
      <c r="E87" s="1" t="s">
        <v>133</v>
      </c>
      <c r="F87" s="13">
        <v>0</v>
      </c>
      <c r="G87" s="14">
        <v>0</v>
      </c>
      <c r="H87" s="53"/>
    </row>
    <row r="88" spans="1:8" ht="14.1" customHeight="1" x14ac:dyDescent="0.2">
      <c r="A88" s="1"/>
      <c r="B88" s="1"/>
      <c r="C88" s="11"/>
      <c r="D88" s="1"/>
      <c r="E88" s="1"/>
      <c r="F88" s="12"/>
      <c r="G88" s="12"/>
      <c r="H88" s="53"/>
    </row>
    <row r="89" spans="1:8" ht="14.1" customHeight="1" x14ac:dyDescent="0.2">
      <c r="A89" s="1"/>
      <c r="B89" s="1"/>
      <c r="C89" s="11"/>
      <c r="D89" s="1"/>
      <c r="E89" s="1"/>
      <c r="F89" s="12"/>
      <c r="G89" s="12"/>
      <c r="H89" s="53"/>
    </row>
    <row r="90" spans="1:8" ht="24" customHeight="1" x14ac:dyDescent="0.2">
      <c r="A90" s="1"/>
      <c r="B90" s="1"/>
      <c r="C90" s="2" t="s">
        <v>156</v>
      </c>
      <c r="D90" s="1"/>
      <c r="E90" s="1"/>
      <c r="F90" s="12"/>
      <c r="G90" s="12"/>
      <c r="H90" s="53"/>
    </row>
    <row r="91" spans="1:8" ht="14.1" customHeight="1" x14ac:dyDescent="0.2">
      <c r="A91" s="1"/>
      <c r="B91" s="1"/>
      <c r="C91" s="2" t="s">
        <v>132</v>
      </c>
      <c r="D91" s="1"/>
      <c r="E91" s="1" t="s">
        <v>133</v>
      </c>
      <c r="F91" s="13">
        <v>0</v>
      </c>
      <c r="G91" s="14">
        <v>0</v>
      </c>
      <c r="H91" s="53"/>
    </row>
    <row r="92" spans="1:8" ht="14.1" customHeight="1" x14ac:dyDescent="0.2">
      <c r="A92" s="1"/>
      <c r="B92" s="1"/>
      <c r="C92" s="11"/>
      <c r="D92" s="1"/>
      <c r="E92" s="1"/>
      <c r="F92" s="12"/>
      <c r="G92" s="12"/>
      <c r="H92" s="53"/>
    </row>
    <row r="93" spans="1:8" ht="14.1" customHeight="1" x14ac:dyDescent="0.2">
      <c r="A93" s="1"/>
      <c r="B93" s="4"/>
      <c r="C93" s="4"/>
      <c r="D93" s="2"/>
      <c r="E93" s="1"/>
      <c r="F93" s="4"/>
      <c r="G93" s="8"/>
      <c r="H93" s="53"/>
    </row>
    <row r="94" spans="1:8" ht="18" customHeight="1" x14ac:dyDescent="0.2">
      <c r="A94" s="8"/>
      <c r="B94" s="4"/>
      <c r="C94" s="4" t="s">
        <v>157</v>
      </c>
      <c r="D94" s="4"/>
      <c r="E94" s="8"/>
      <c r="F94" s="6">
        <v>800.75149789</v>
      </c>
      <c r="G94" s="7">
        <v>1.2931102E-2</v>
      </c>
      <c r="H94" s="53"/>
    </row>
    <row r="95" spans="1:8" ht="14.1" customHeight="1" x14ac:dyDescent="0.2">
      <c r="A95" s="11"/>
      <c r="B95" s="11"/>
      <c r="C95" s="2" t="s">
        <v>158</v>
      </c>
      <c r="D95" s="15"/>
      <c r="E95" s="15"/>
      <c r="F95" s="9">
        <v>61924.458833889999</v>
      </c>
      <c r="G95" s="14">
        <v>1.0000000010000001</v>
      </c>
      <c r="H95" s="53"/>
    </row>
    <row r="96" spans="1:8" ht="14.1" customHeight="1" x14ac:dyDescent="0.2">
      <c r="A96" s="16"/>
      <c r="B96" s="16"/>
      <c r="C96" s="16"/>
      <c r="D96" s="17"/>
      <c r="E96" s="17"/>
      <c r="F96" s="17"/>
      <c r="G96" s="17"/>
    </row>
    <row r="97" spans="1:7" ht="14.1" customHeight="1" x14ac:dyDescent="0.2">
      <c r="A97" s="18"/>
      <c r="B97" s="18"/>
      <c r="C97" s="18"/>
      <c r="D97" s="20"/>
      <c r="E97" s="20"/>
      <c r="F97" s="20"/>
      <c r="G97" s="20"/>
    </row>
    <row r="98" spans="1:7" ht="14.1" customHeight="1" x14ac:dyDescent="0.2">
      <c r="A98" s="18"/>
      <c r="B98" s="293" t="s">
        <v>160</v>
      </c>
      <c r="C98" s="294"/>
      <c r="D98" s="12" t="s">
        <v>133</v>
      </c>
      <c r="E98" s="21"/>
      <c r="F98" s="20"/>
      <c r="G98" s="20"/>
    </row>
    <row r="99" spans="1:7" ht="29.1" customHeight="1" x14ac:dyDescent="0.2">
      <c r="A99" s="18"/>
      <c r="B99" s="290" t="s">
        <v>161</v>
      </c>
      <c r="C99" s="291"/>
      <c r="D99" s="2" t="s">
        <v>162</v>
      </c>
      <c r="E99" s="21"/>
      <c r="F99" s="20"/>
      <c r="G99" s="20"/>
    </row>
    <row r="100" spans="1:7" ht="17.100000000000001" customHeight="1" x14ac:dyDescent="0.2">
      <c r="A100" s="18"/>
      <c r="B100" s="290" t="s">
        <v>163</v>
      </c>
      <c r="C100" s="291"/>
      <c r="D100" s="2" t="s">
        <v>162</v>
      </c>
      <c r="E100" s="21"/>
      <c r="F100" s="20"/>
      <c r="G100" s="20"/>
    </row>
    <row r="101" spans="1:7" ht="17.100000000000001" customHeight="1" x14ac:dyDescent="0.2">
      <c r="A101" s="18"/>
      <c r="B101" s="290" t="s">
        <v>164</v>
      </c>
      <c r="C101" s="291"/>
      <c r="D101" s="12" t="s">
        <v>133</v>
      </c>
      <c r="E101" s="21"/>
      <c r="F101" s="20"/>
      <c r="G101" s="20"/>
    </row>
    <row r="102" spans="1:7" ht="24" customHeight="1" x14ac:dyDescent="0.2">
      <c r="A102" s="22"/>
      <c r="B102" s="23" t="s">
        <v>133</v>
      </c>
      <c r="C102" s="23" t="s">
        <v>165</v>
      </c>
      <c r="D102" s="23" t="s">
        <v>166</v>
      </c>
      <c r="E102" s="22"/>
      <c r="F102" s="22"/>
      <c r="G102" s="22"/>
    </row>
    <row r="103" spans="1:7" ht="18" customHeight="1" x14ac:dyDescent="0.2">
      <c r="A103" s="22"/>
      <c r="B103" s="23" t="s">
        <v>167</v>
      </c>
      <c r="C103" s="23" t="s">
        <v>168</v>
      </c>
      <c r="D103" s="23" t="s">
        <v>169</v>
      </c>
      <c r="E103" s="22"/>
      <c r="F103" s="22"/>
      <c r="G103" s="22"/>
    </row>
    <row r="104" spans="1:7" ht="17.100000000000001" customHeight="1" x14ac:dyDescent="0.2">
      <c r="A104" s="22"/>
      <c r="B104" s="4" t="s">
        <v>170</v>
      </c>
      <c r="C104" s="24">
        <v>73.071200000000005</v>
      </c>
      <c r="D104" s="24">
        <v>72.924400000000006</v>
      </c>
      <c r="E104" s="22"/>
      <c r="F104" s="19"/>
      <c r="G104" s="25"/>
    </row>
    <row r="105" spans="1:7" ht="17.100000000000001" customHeight="1" x14ac:dyDescent="0.2">
      <c r="A105" s="22"/>
      <c r="B105" s="4" t="s">
        <v>1042</v>
      </c>
      <c r="C105" s="24">
        <v>26.702999999999999</v>
      </c>
      <c r="D105" s="24">
        <v>26.6494</v>
      </c>
      <c r="E105" s="22"/>
      <c r="F105" s="19"/>
      <c r="G105" s="25"/>
    </row>
    <row r="106" spans="1:7" ht="29.1" customHeight="1" x14ac:dyDescent="0.2">
      <c r="A106" s="22"/>
      <c r="B106" s="4" t="s">
        <v>740</v>
      </c>
      <c r="C106" s="24">
        <v>75.130399999999995</v>
      </c>
      <c r="D106" s="24">
        <v>74.979399999999998</v>
      </c>
      <c r="E106" s="22"/>
      <c r="F106" s="19"/>
      <c r="G106" s="25"/>
    </row>
    <row r="107" spans="1:7" ht="29.1" customHeight="1" x14ac:dyDescent="0.2">
      <c r="A107" s="22"/>
      <c r="B107" s="4" t="s">
        <v>1051</v>
      </c>
      <c r="C107" s="24">
        <v>27.169</v>
      </c>
      <c r="D107" s="24">
        <v>27.114100000000001</v>
      </c>
      <c r="E107" s="22"/>
      <c r="F107" s="19"/>
      <c r="G107" s="25"/>
    </row>
    <row r="108" spans="1:7" ht="17.100000000000001" customHeight="1" x14ac:dyDescent="0.2">
      <c r="A108" s="22"/>
      <c r="B108" s="4" t="s">
        <v>171</v>
      </c>
      <c r="C108" s="24">
        <v>67.223699999999994</v>
      </c>
      <c r="D108" s="24">
        <v>66.978999999999999</v>
      </c>
      <c r="E108" s="22"/>
      <c r="F108" s="19"/>
      <c r="G108" s="25"/>
    </row>
    <row r="109" spans="1:7" ht="17.100000000000001" customHeight="1" x14ac:dyDescent="0.2">
      <c r="A109" s="22"/>
      <c r="B109" s="4" t="s">
        <v>1043</v>
      </c>
      <c r="C109" s="24">
        <v>24.166399999999999</v>
      </c>
      <c r="D109" s="24">
        <v>24.078499999999998</v>
      </c>
      <c r="E109" s="22"/>
      <c r="F109" s="19"/>
      <c r="G109" s="25"/>
    </row>
    <row r="110" spans="1:7" ht="14.1" customHeight="1" x14ac:dyDescent="0.2">
      <c r="A110" s="22"/>
      <c r="B110" s="22"/>
      <c r="C110" s="22"/>
      <c r="D110" s="22"/>
      <c r="E110" s="22"/>
      <c r="F110" s="22"/>
      <c r="G110" s="22"/>
    </row>
    <row r="111" spans="1:7" ht="17.100000000000001" customHeight="1" x14ac:dyDescent="0.2">
      <c r="A111" s="22"/>
      <c r="B111" s="290" t="s">
        <v>1044</v>
      </c>
      <c r="C111" s="291"/>
      <c r="D111" s="2" t="s">
        <v>162</v>
      </c>
      <c r="E111" s="22"/>
      <c r="F111" s="22"/>
      <c r="G111" s="22"/>
    </row>
    <row r="112" spans="1:7" ht="18" customHeight="1" x14ac:dyDescent="0.2">
      <c r="A112" s="22"/>
      <c r="B112" s="26"/>
      <c r="C112" s="26"/>
      <c r="D112" s="27"/>
      <c r="E112" s="22"/>
      <c r="F112" s="22"/>
      <c r="G112" s="22"/>
    </row>
    <row r="113" spans="1:7" ht="29.1" customHeight="1" x14ac:dyDescent="0.2">
      <c r="A113" s="22"/>
      <c r="B113" s="290" t="s">
        <v>172</v>
      </c>
      <c r="C113" s="291"/>
      <c r="D113" s="2" t="s">
        <v>162</v>
      </c>
      <c r="E113" s="22"/>
      <c r="F113" s="22"/>
      <c r="G113" s="22"/>
    </row>
    <row r="114" spans="1:7" ht="29.1" customHeight="1" x14ac:dyDescent="0.2">
      <c r="A114" s="22"/>
      <c r="B114" s="290" t="s">
        <v>173</v>
      </c>
      <c r="C114" s="291"/>
      <c r="D114" s="2" t="s">
        <v>162</v>
      </c>
      <c r="E114" s="22"/>
      <c r="F114" s="22"/>
      <c r="G114" s="22"/>
    </row>
    <row r="115" spans="1:7" ht="17.100000000000001" customHeight="1" x14ac:dyDescent="0.2">
      <c r="A115" s="22"/>
      <c r="B115" s="290" t="s">
        <v>174</v>
      </c>
      <c r="C115" s="291"/>
      <c r="D115" s="28">
        <v>0.68484745804597935</v>
      </c>
      <c r="E115" s="22"/>
      <c r="F115" s="19"/>
      <c r="G115" s="25"/>
    </row>
    <row r="116" spans="1:7" ht="17.100000000000001" customHeight="1" x14ac:dyDescent="0.2">
      <c r="A116" s="22"/>
      <c r="B116" s="290" t="s">
        <v>175</v>
      </c>
      <c r="C116" s="291"/>
      <c r="D116" s="2" t="s">
        <v>162</v>
      </c>
      <c r="E116" s="22"/>
      <c r="F116" s="22"/>
      <c r="G116" s="22"/>
    </row>
  </sheetData>
  <mergeCells count="13">
    <mergeCell ref="A1:H1"/>
    <mergeCell ref="A2:H2"/>
    <mergeCell ref="A3:H3"/>
    <mergeCell ref="J2:N2"/>
    <mergeCell ref="B116:C116"/>
    <mergeCell ref="B99:C99"/>
    <mergeCell ref="B100:C100"/>
    <mergeCell ref="B101:C101"/>
    <mergeCell ref="B111:C111"/>
    <mergeCell ref="B113:C113"/>
    <mergeCell ref="B114:C114"/>
    <mergeCell ref="B98:C98"/>
    <mergeCell ref="B115:C115"/>
  </mergeCells>
  <hyperlinks>
    <hyperlink ref="I1" location="Index!B37" display="Index" xr:uid="{B41FD524-13CC-4A34-BE6A-E29F9773A26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C6D18-1C60-4E1B-846D-9ED249A20B51}">
  <dimension ref="A1:O61"/>
  <sheetViews>
    <sheetView workbookViewId="0">
      <selection activeCell="I1" sqref="I1"/>
    </sheetView>
  </sheetViews>
  <sheetFormatPr defaultColWidth="9.140625" defaultRowHeight="15" x14ac:dyDescent="0.25"/>
  <cols>
    <col min="1" max="1" width="5.42578125" style="84" bestFit="1" customWidth="1"/>
    <col min="2" max="2" width="19.7109375" style="84" bestFit="1" customWidth="1"/>
    <col min="3" max="3" width="40.28515625" style="84" bestFit="1" customWidth="1"/>
    <col min="4" max="4" width="15.28515625" style="84" bestFit="1" customWidth="1"/>
    <col min="5" max="5" width="12.42578125" style="84" bestFit="1" customWidth="1"/>
    <col min="6" max="6" width="10.140625" style="84" bestFit="1" customWidth="1"/>
    <col min="7" max="7" width="8.5703125" style="84" bestFit="1" customWidth="1"/>
    <col min="8" max="8" width="8.42578125" style="84" bestFit="1" customWidth="1"/>
    <col min="9" max="10" width="9.140625" style="200"/>
    <col min="11" max="11" width="10.5703125" style="200" bestFit="1" customWidth="1"/>
    <col min="12" max="14" width="9.140625" style="200"/>
    <col min="15" max="15" width="9.140625" style="199"/>
    <col min="16" max="16384" width="9.140625" style="84"/>
  </cols>
  <sheetData>
    <row r="1" spans="1:15" x14ac:dyDescent="0.25">
      <c r="A1" s="328" t="s">
        <v>0</v>
      </c>
      <c r="B1" s="328"/>
      <c r="C1" s="328"/>
      <c r="D1" s="328"/>
      <c r="E1" s="328"/>
      <c r="F1" s="328"/>
      <c r="G1" s="328"/>
      <c r="H1" s="328"/>
      <c r="I1" s="186" t="s">
        <v>1072</v>
      </c>
      <c r="J1" s="198"/>
      <c r="K1" s="198"/>
      <c r="L1" s="198"/>
      <c r="M1" s="198"/>
      <c r="N1" s="198"/>
    </row>
    <row r="2" spans="1:15" x14ac:dyDescent="0.25">
      <c r="A2" s="329" t="s">
        <v>989</v>
      </c>
      <c r="B2" s="329"/>
      <c r="C2" s="329"/>
      <c r="D2" s="329"/>
      <c r="E2" s="329"/>
      <c r="F2" s="329"/>
      <c r="G2" s="329"/>
      <c r="H2" s="329"/>
      <c r="J2" s="289" t="s">
        <v>1073</v>
      </c>
      <c r="K2" s="289"/>
      <c r="L2" s="289"/>
      <c r="M2" s="289"/>
      <c r="N2" s="289"/>
    </row>
    <row r="3" spans="1:15" x14ac:dyDescent="0.25">
      <c r="A3" s="330" t="s">
        <v>990</v>
      </c>
      <c r="B3" s="330"/>
      <c r="C3" s="330"/>
      <c r="D3" s="330"/>
      <c r="E3" s="330"/>
      <c r="F3" s="330"/>
      <c r="G3" s="330"/>
      <c r="H3" s="330"/>
      <c r="J3" s="198"/>
      <c r="K3" s="198"/>
      <c r="L3" s="198"/>
      <c r="M3" s="198"/>
      <c r="N3" s="198"/>
    </row>
    <row r="4" spans="1:15" s="179" customFormat="1" ht="30" x14ac:dyDescent="0.2">
      <c r="A4" s="85" t="s">
        <v>991</v>
      </c>
      <c r="B4" s="85" t="s">
        <v>992</v>
      </c>
      <c r="C4" s="85" t="s">
        <v>993</v>
      </c>
      <c r="D4" s="85" t="s">
        <v>994</v>
      </c>
      <c r="E4" s="85" t="s">
        <v>6</v>
      </c>
      <c r="F4" s="85" t="s">
        <v>7</v>
      </c>
      <c r="G4" s="85" t="s">
        <v>8</v>
      </c>
      <c r="H4" s="86" t="s">
        <v>988</v>
      </c>
      <c r="I4" s="201"/>
      <c r="J4" s="202"/>
      <c r="K4" s="202"/>
      <c r="L4" s="202"/>
      <c r="M4" s="202"/>
      <c r="N4" s="202"/>
      <c r="O4" s="201"/>
    </row>
    <row r="5" spans="1:15" ht="26.25" x14ac:dyDescent="0.25">
      <c r="A5" s="87"/>
      <c r="B5" s="87"/>
      <c r="C5" s="88" t="s">
        <v>995</v>
      </c>
      <c r="D5" s="87"/>
      <c r="E5" s="87"/>
      <c r="F5" s="89"/>
      <c r="G5" s="89"/>
      <c r="H5" s="90"/>
      <c r="J5" s="198"/>
      <c r="K5" s="198"/>
      <c r="L5" s="198"/>
      <c r="M5" s="198"/>
      <c r="N5" s="198"/>
    </row>
    <row r="6" spans="1:15" ht="26.25" x14ac:dyDescent="0.25">
      <c r="A6" s="87">
        <v>1</v>
      </c>
      <c r="B6" s="87" t="s">
        <v>996</v>
      </c>
      <c r="C6" s="91" t="s">
        <v>997</v>
      </c>
      <c r="D6" s="87" t="s">
        <v>998</v>
      </c>
      <c r="E6" s="92">
        <v>12595595.022</v>
      </c>
      <c r="F6" s="93">
        <v>10896.6481396</v>
      </c>
      <c r="G6" s="94">
        <v>0.97187248358423961</v>
      </c>
      <c r="H6" s="90"/>
      <c r="I6" s="201"/>
      <c r="J6" s="202"/>
      <c r="K6" s="203"/>
      <c r="L6" s="202"/>
      <c r="M6" s="202"/>
      <c r="N6" s="202"/>
      <c r="O6" s="201"/>
    </row>
    <row r="7" spans="1:15" x14ac:dyDescent="0.25">
      <c r="A7" s="95"/>
      <c r="B7" s="90"/>
      <c r="C7" s="90"/>
      <c r="D7" s="90"/>
      <c r="E7" s="90"/>
      <c r="F7" s="90"/>
      <c r="G7" s="90"/>
      <c r="H7" s="96"/>
      <c r="J7" s="198"/>
      <c r="K7" s="198"/>
      <c r="L7" s="198"/>
      <c r="M7" s="198"/>
      <c r="N7" s="198"/>
    </row>
    <row r="8" spans="1:15" ht="25.5" x14ac:dyDescent="0.25">
      <c r="A8" s="97"/>
      <c r="B8" s="97"/>
      <c r="C8" s="98" t="s">
        <v>999</v>
      </c>
      <c r="D8" s="98"/>
      <c r="E8" s="99"/>
      <c r="F8" s="100">
        <v>10896.6481396</v>
      </c>
      <c r="G8" s="101">
        <v>0.97187248358423961</v>
      </c>
      <c r="H8" s="102"/>
      <c r="J8" s="198"/>
      <c r="K8" s="198"/>
      <c r="L8" s="198"/>
      <c r="M8" s="198"/>
      <c r="N8" s="198"/>
    </row>
    <row r="9" spans="1:15" x14ac:dyDescent="0.25">
      <c r="A9" s="97"/>
      <c r="B9" s="97"/>
      <c r="C9" s="97"/>
      <c r="D9" s="97"/>
      <c r="E9" s="97"/>
      <c r="F9" s="103"/>
      <c r="G9" s="97"/>
      <c r="H9" s="90"/>
      <c r="J9" s="198"/>
      <c r="K9" s="198"/>
      <c r="L9" s="198"/>
      <c r="M9" s="198"/>
      <c r="N9" s="198"/>
    </row>
    <row r="10" spans="1:15" x14ac:dyDescent="0.25">
      <c r="A10" s="87"/>
      <c r="B10" s="87"/>
      <c r="C10" s="104" t="s">
        <v>1000</v>
      </c>
      <c r="D10" s="104"/>
      <c r="E10" s="104"/>
      <c r="F10" s="105"/>
      <c r="G10" s="97"/>
      <c r="H10" s="90"/>
      <c r="J10" s="198"/>
      <c r="K10" s="198"/>
      <c r="L10" s="198"/>
      <c r="M10" s="198"/>
      <c r="N10" s="198"/>
    </row>
    <row r="11" spans="1:15" x14ac:dyDescent="0.25">
      <c r="A11" s="87"/>
      <c r="B11" s="87"/>
      <c r="C11" s="59" t="s">
        <v>1001</v>
      </c>
      <c r="D11" s="104"/>
      <c r="E11" s="104"/>
      <c r="F11" s="105"/>
      <c r="G11" s="97"/>
      <c r="H11" s="90"/>
      <c r="J11" s="198"/>
      <c r="K11" s="198"/>
      <c r="L11" s="198"/>
      <c r="M11" s="198"/>
      <c r="N11" s="198"/>
    </row>
    <row r="12" spans="1:15" x14ac:dyDescent="0.25">
      <c r="A12" s="97"/>
      <c r="B12" s="97"/>
      <c r="C12" s="106" t="s">
        <v>150</v>
      </c>
      <c r="D12" s="104"/>
      <c r="E12" s="104"/>
      <c r="F12" s="107">
        <v>141.83647733200002</v>
      </c>
      <c r="G12" s="108">
        <v>1.265040108861868E-2</v>
      </c>
      <c r="H12" s="109">
        <v>6.46</v>
      </c>
      <c r="J12" s="198"/>
      <c r="K12" s="198"/>
      <c r="L12" s="198"/>
      <c r="M12" s="198"/>
      <c r="N12" s="198"/>
    </row>
    <row r="13" spans="1:15" x14ac:dyDescent="0.25">
      <c r="A13" s="97"/>
      <c r="B13" s="97"/>
      <c r="C13" s="106"/>
      <c r="D13" s="104"/>
      <c r="E13" s="104"/>
      <c r="F13" s="107"/>
      <c r="G13" s="110"/>
      <c r="H13" s="90"/>
      <c r="J13" s="204" t="s">
        <v>1106</v>
      </c>
      <c r="K13" s="198"/>
      <c r="L13" s="198"/>
      <c r="M13" s="198"/>
      <c r="N13" s="198"/>
    </row>
    <row r="14" spans="1:15" x14ac:dyDescent="0.25">
      <c r="A14" s="97"/>
      <c r="B14" s="97"/>
      <c r="C14" s="111" t="s">
        <v>151</v>
      </c>
      <c r="D14" s="97"/>
      <c r="E14" s="97"/>
      <c r="F14" s="112">
        <v>141.83647733200002</v>
      </c>
      <c r="G14" s="101">
        <v>1.265040108861868E-2</v>
      </c>
      <c r="H14" s="90"/>
      <c r="J14" s="198"/>
      <c r="K14" s="198"/>
      <c r="L14" s="198"/>
      <c r="M14" s="198"/>
      <c r="N14" s="198"/>
    </row>
    <row r="15" spans="1:15" x14ac:dyDescent="0.25">
      <c r="A15" s="97"/>
      <c r="B15" s="97"/>
      <c r="C15" s="97"/>
      <c r="D15" s="97"/>
      <c r="E15" s="97"/>
      <c r="F15" s="103"/>
      <c r="G15" s="97"/>
      <c r="H15" s="90"/>
      <c r="J15" s="198"/>
      <c r="K15" s="198"/>
      <c r="L15" s="198"/>
      <c r="M15" s="198"/>
      <c r="N15" s="198"/>
    </row>
    <row r="16" spans="1:15" x14ac:dyDescent="0.25">
      <c r="A16" s="97"/>
      <c r="B16" s="97"/>
      <c r="C16" s="106" t="s">
        <v>1002</v>
      </c>
      <c r="D16" s="104"/>
      <c r="E16" s="104"/>
      <c r="F16" s="107">
        <v>173.52963766799985</v>
      </c>
      <c r="G16" s="108">
        <v>1.5477115327141607E-2</v>
      </c>
      <c r="H16" s="113"/>
      <c r="J16" s="198"/>
      <c r="K16" s="198"/>
      <c r="L16" s="198"/>
      <c r="M16" s="198"/>
      <c r="N16" s="198"/>
    </row>
    <row r="17" spans="1:14" x14ac:dyDescent="0.25">
      <c r="A17" s="97"/>
      <c r="B17" s="97"/>
      <c r="C17" s="97"/>
      <c r="D17" s="97"/>
      <c r="E17" s="97"/>
      <c r="F17" s="103"/>
      <c r="G17" s="97"/>
      <c r="H17" s="90"/>
      <c r="J17" s="198"/>
      <c r="K17" s="198"/>
      <c r="L17" s="198"/>
      <c r="M17" s="198"/>
      <c r="N17" s="198"/>
    </row>
    <row r="18" spans="1:14" x14ac:dyDescent="0.25">
      <c r="A18" s="97"/>
      <c r="B18" s="97"/>
      <c r="C18" s="111" t="s">
        <v>158</v>
      </c>
      <c r="D18" s="97"/>
      <c r="E18" s="97"/>
      <c r="F18" s="112">
        <v>11212.014254600001</v>
      </c>
      <c r="G18" s="114">
        <v>0.99999999999999989</v>
      </c>
      <c r="H18" s="115"/>
      <c r="J18" s="198"/>
      <c r="K18" s="198"/>
      <c r="L18" s="198"/>
      <c r="M18" s="198"/>
      <c r="N18" s="198"/>
    </row>
    <row r="19" spans="1:14" x14ac:dyDescent="0.25">
      <c r="F19" s="116"/>
      <c r="H19" s="117"/>
      <c r="J19" s="198"/>
      <c r="K19" s="198"/>
      <c r="L19" s="198"/>
      <c r="M19" s="198"/>
      <c r="N19" s="198"/>
    </row>
    <row r="20" spans="1:14" x14ac:dyDescent="0.25">
      <c r="B20" s="118" t="s">
        <v>160</v>
      </c>
      <c r="C20" s="119"/>
      <c r="D20" s="119"/>
      <c r="E20" s="119"/>
      <c r="F20" s="120"/>
      <c r="G20" s="119"/>
      <c r="J20" s="198"/>
      <c r="K20" s="198"/>
      <c r="L20" s="198"/>
      <c r="M20" s="198"/>
      <c r="N20" s="198"/>
    </row>
    <row r="21" spans="1:14" x14ac:dyDescent="0.25">
      <c r="B21" s="119" t="s">
        <v>1003</v>
      </c>
      <c r="C21" s="119"/>
      <c r="D21" s="119"/>
      <c r="E21" s="119"/>
      <c r="F21" s="121"/>
      <c r="G21" s="121"/>
      <c r="J21" s="198"/>
      <c r="K21" s="198"/>
      <c r="L21" s="198"/>
      <c r="M21" s="198"/>
      <c r="N21" s="198"/>
    </row>
    <row r="22" spans="1:14" x14ac:dyDescent="0.25">
      <c r="B22" s="326" t="s">
        <v>1004</v>
      </c>
      <c r="C22" s="326"/>
      <c r="D22" s="119"/>
      <c r="E22" s="119"/>
      <c r="F22" s="122"/>
      <c r="G22" s="122"/>
      <c r="J22" s="198"/>
      <c r="K22" s="198"/>
      <c r="L22" s="198"/>
      <c r="M22" s="198"/>
      <c r="N22" s="198"/>
    </row>
    <row r="23" spans="1:14" x14ac:dyDescent="0.25">
      <c r="B23" s="331" t="s">
        <v>164</v>
      </c>
      <c r="C23" s="332"/>
      <c r="D23" s="333"/>
      <c r="E23" s="123"/>
      <c r="F23" s="119" t="s">
        <v>1005</v>
      </c>
      <c r="G23" s="119"/>
      <c r="J23" s="198"/>
      <c r="K23" s="198"/>
      <c r="L23" s="198"/>
      <c r="M23" s="198"/>
      <c r="N23" s="198"/>
    </row>
    <row r="24" spans="1:14" x14ac:dyDescent="0.25">
      <c r="B24" s="124"/>
      <c r="C24" s="125" t="s">
        <v>165</v>
      </c>
      <c r="D24" s="125" t="s">
        <v>166</v>
      </c>
      <c r="E24" s="126"/>
      <c r="F24" s="126"/>
      <c r="G24" s="119"/>
      <c r="J24" s="198"/>
      <c r="K24" s="198"/>
      <c r="L24" s="198"/>
      <c r="M24" s="198"/>
      <c r="N24" s="198"/>
    </row>
    <row r="25" spans="1:14" x14ac:dyDescent="0.25">
      <c r="B25" s="127" t="s">
        <v>1006</v>
      </c>
      <c r="C25" s="128">
        <v>44895</v>
      </c>
      <c r="D25" s="128">
        <v>44926</v>
      </c>
      <c r="E25" s="129"/>
      <c r="F25" s="129"/>
      <c r="G25" s="130"/>
      <c r="J25" s="198"/>
      <c r="K25" s="198"/>
      <c r="L25" s="198"/>
      <c r="M25" s="198"/>
      <c r="N25" s="198"/>
    </row>
    <row r="26" spans="1:14" x14ac:dyDescent="0.25">
      <c r="B26" s="131" t="s">
        <v>170</v>
      </c>
      <c r="C26" s="132">
        <v>24.255800000000001</v>
      </c>
      <c r="D26" s="132">
        <v>23.470700000000001</v>
      </c>
      <c r="E26" s="133"/>
      <c r="F26" s="134"/>
      <c r="G26" s="130"/>
      <c r="J26" s="198"/>
      <c r="K26" s="198"/>
      <c r="L26" s="198"/>
      <c r="M26" s="198"/>
      <c r="N26" s="198"/>
    </row>
    <row r="27" spans="1:14" x14ac:dyDescent="0.25">
      <c r="B27" s="43" t="s">
        <v>1007</v>
      </c>
      <c r="C27" s="132">
        <v>21.573899999999998</v>
      </c>
      <c r="D27" s="132">
        <v>20.8752</v>
      </c>
      <c r="E27" s="133"/>
      <c r="F27" s="134"/>
      <c r="G27" s="130"/>
      <c r="J27" s="198"/>
      <c r="K27" s="198"/>
      <c r="L27" s="198"/>
      <c r="M27" s="198"/>
      <c r="N27" s="198"/>
    </row>
    <row r="28" spans="1:14" x14ac:dyDescent="0.25">
      <c r="B28" s="131" t="s">
        <v>171</v>
      </c>
      <c r="C28" s="132">
        <v>22.711400000000001</v>
      </c>
      <c r="D28" s="132">
        <v>21.959299999999999</v>
      </c>
      <c r="E28" s="133"/>
      <c r="F28" s="134"/>
      <c r="G28" s="134"/>
      <c r="J28" s="198"/>
      <c r="K28" s="198"/>
      <c r="L28" s="198"/>
      <c r="M28" s="198"/>
      <c r="N28" s="198"/>
    </row>
    <row r="29" spans="1:14" x14ac:dyDescent="0.25">
      <c r="B29" s="135" t="s">
        <v>1008</v>
      </c>
      <c r="C29" s="132">
        <v>19.4617</v>
      </c>
      <c r="D29" s="132">
        <v>18.817299999999999</v>
      </c>
      <c r="E29" s="133"/>
      <c r="F29" s="134"/>
      <c r="G29" s="134"/>
      <c r="J29" s="198"/>
      <c r="K29" s="198"/>
      <c r="L29" s="198"/>
      <c r="M29" s="198"/>
      <c r="N29" s="198"/>
    </row>
    <row r="30" spans="1:14" x14ac:dyDescent="0.25">
      <c r="B30" s="136"/>
      <c r="C30" s="137"/>
      <c r="D30" s="137"/>
      <c r="E30" s="137"/>
      <c r="F30" s="137"/>
      <c r="G30" s="119"/>
      <c r="J30" s="198"/>
      <c r="K30" s="198"/>
      <c r="L30" s="198"/>
      <c r="M30" s="198"/>
      <c r="N30" s="198"/>
    </row>
    <row r="31" spans="1:14" x14ac:dyDescent="0.25">
      <c r="B31" s="334" t="s">
        <v>1009</v>
      </c>
      <c r="C31" s="334"/>
      <c r="D31" s="334"/>
      <c r="E31" s="138"/>
      <c r="F31" s="138"/>
      <c r="G31" s="130"/>
      <c r="J31" s="198"/>
      <c r="K31" s="198"/>
      <c r="L31" s="198"/>
      <c r="M31" s="198"/>
      <c r="N31" s="198"/>
    </row>
    <row r="32" spans="1:14" x14ac:dyDescent="0.25">
      <c r="B32" s="326" t="s">
        <v>1010</v>
      </c>
      <c r="C32" s="326"/>
      <c r="D32" s="326"/>
      <c r="E32" s="119"/>
      <c r="F32" s="119"/>
      <c r="G32" s="119"/>
      <c r="J32" s="198"/>
      <c r="K32" s="198"/>
      <c r="L32" s="198"/>
      <c r="M32" s="198"/>
      <c r="N32" s="198"/>
    </row>
    <row r="33" spans="2:14" x14ac:dyDescent="0.25">
      <c r="B33" s="139" t="s">
        <v>1011</v>
      </c>
      <c r="C33" s="139"/>
      <c r="D33" s="139"/>
      <c r="E33" s="140"/>
      <c r="F33" s="140"/>
      <c r="G33" s="119"/>
      <c r="J33" s="198"/>
      <c r="K33" s="198"/>
      <c r="L33" s="198"/>
      <c r="M33" s="198"/>
      <c r="N33" s="198"/>
    </row>
    <row r="34" spans="2:14" x14ac:dyDescent="0.25">
      <c r="B34" s="327" t="s">
        <v>1012</v>
      </c>
      <c r="C34" s="327"/>
      <c r="D34" s="327"/>
      <c r="E34" s="130"/>
      <c r="F34" s="130"/>
      <c r="G34" s="130"/>
      <c r="J34" s="198"/>
      <c r="K34" s="198"/>
      <c r="L34" s="198"/>
      <c r="M34" s="198"/>
      <c r="N34" s="198"/>
    </row>
    <row r="35" spans="2:14" x14ac:dyDescent="0.25">
      <c r="J35" s="198"/>
      <c r="K35" s="198"/>
      <c r="L35" s="198"/>
      <c r="M35" s="198"/>
      <c r="N35" s="198"/>
    </row>
    <row r="36" spans="2:14" x14ac:dyDescent="0.25">
      <c r="J36" s="198"/>
      <c r="K36" s="198"/>
      <c r="L36" s="198"/>
      <c r="M36" s="198"/>
      <c r="N36" s="198"/>
    </row>
    <row r="37" spans="2:14" x14ac:dyDescent="0.25">
      <c r="J37" s="198"/>
      <c r="K37" s="198"/>
      <c r="L37" s="198"/>
      <c r="M37" s="198"/>
      <c r="N37" s="198"/>
    </row>
    <row r="38" spans="2:14" x14ac:dyDescent="0.25">
      <c r="J38" s="198"/>
      <c r="K38" s="198"/>
      <c r="L38" s="198"/>
      <c r="M38" s="198"/>
      <c r="N38" s="198"/>
    </row>
    <row r="39" spans="2:14" x14ac:dyDescent="0.25">
      <c r="J39" s="198"/>
      <c r="K39" s="198"/>
      <c r="L39" s="198"/>
      <c r="M39" s="198"/>
      <c r="N39" s="198"/>
    </row>
    <row r="40" spans="2:14" x14ac:dyDescent="0.25">
      <c r="J40" s="198"/>
      <c r="K40" s="198"/>
      <c r="L40" s="198"/>
      <c r="M40" s="198"/>
      <c r="N40" s="198"/>
    </row>
    <row r="41" spans="2:14" x14ac:dyDescent="0.25">
      <c r="J41" s="198"/>
      <c r="K41" s="198"/>
      <c r="L41" s="198"/>
      <c r="M41" s="198"/>
      <c r="N41" s="198"/>
    </row>
    <row r="42" spans="2:14" x14ac:dyDescent="0.25">
      <c r="J42" s="198"/>
      <c r="K42" s="198"/>
      <c r="L42" s="198"/>
      <c r="M42" s="198"/>
      <c r="N42" s="198"/>
    </row>
    <row r="43" spans="2:14" x14ac:dyDescent="0.25">
      <c r="J43" s="198"/>
      <c r="K43" s="198"/>
      <c r="L43" s="198"/>
      <c r="M43" s="198"/>
      <c r="N43" s="198"/>
    </row>
    <row r="44" spans="2:14" x14ac:dyDescent="0.25">
      <c r="J44" s="198"/>
      <c r="K44" s="198"/>
      <c r="L44" s="198"/>
      <c r="M44" s="198"/>
      <c r="N44" s="198"/>
    </row>
    <row r="45" spans="2:14" x14ac:dyDescent="0.25">
      <c r="J45" s="198"/>
      <c r="K45" s="198"/>
      <c r="L45" s="198"/>
      <c r="M45" s="198"/>
      <c r="N45" s="198"/>
    </row>
    <row r="46" spans="2:14" x14ac:dyDescent="0.25">
      <c r="J46" s="198"/>
      <c r="K46" s="198"/>
      <c r="L46" s="198"/>
      <c r="M46" s="198"/>
      <c r="N46" s="198"/>
    </row>
    <row r="47" spans="2:14" x14ac:dyDescent="0.25">
      <c r="J47" s="198"/>
      <c r="K47" s="198"/>
      <c r="L47" s="198"/>
      <c r="M47" s="198"/>
      <c r="N47" s="198"/>
    </row>
    <row r="48" spans="2:14" x14ac:dyDescent="0.25">
      <c r="J48" s="198"/>
      <c r="K48" s="198"/>
      <c r="L48" s="198"/>
      <c r="M48" s="198"/>
      <c r="N48" s="198"/>
    </row>
    <row r="49" spans="10:14" x14ac:dyDescent="0.25">
      <c r="J49" s="198"/>
      <c r="K49" s="198"/>
      <c r="L49" s="198"/>
      <c r="M49" s="198"/>
      <c r="N49" s="198"/>
    </row>
    <row r="50" spans="10:14" x14ac:dyDescent="0.25">
      <c r="J50" s="198"/>
      <c r="K50" s="198"/>
      <c r="L50" s="198"/>
      <c r="M50" s="198"/>
      <c r="N50" s="198"/>
    </row>
    <row r="51" spans="10:14" x14ac:dyDescent="0.25">
      <c r="J51" s="198"/>
      <c r="K51" s="198"/>
      <c r="L51" s="198"/>
      <c r="M51" s="198"/>
      <c r="N51" s="198"/>
    </row>
    <row r="52" spans="10:14" x14ac:dyDescent="0.25">
      <c r="J52" s="198"/>
      <c r="K52" s="198"/>
      <c r="L52" s="198"/>
      <c r="M52" s="198"/>
      <c r="N52" s="198"/>
    </row>
    <row r="53" spans="10:14" x14ac:dyDescent="0.25">
      <c r="J53" s="198"/>
      <c r="K53" s="198"/>
      <c r="L53" s="198"/>
      <c r="M53" s="198"/>
      <c r="N53" s="198"/>
    </row>
    <row r="54" spans="10:14" x14ac:dyDescent="0.25">
      <c r="J54" s="198"/>
      <c r="K54" s="198"/>
      <c r="L54" s="198"/>
      <c r="M54" s="198"/>
      <c r="N54" s="198"/>
    </row>
    <row r="55" spans="10:14" x14ac:dyDescent="0.25">
      <c r="J55" s="198"/>
      <c r="K55" s="198"/>
      <c r="L55" s="198"/>
      <c r="M55" s="198"/>
      <c r="N55" s="198"/>
    </row>
    <row r="56" spans="10:14" x14ac:dyDescent="0.25">
      <c r="J56" s="198"/>
      <c r="K56" s="198"/>
      <c r="L56" s="198"/>
      <c r="M56" s="198"/>
      <c r="N56" s="198"/>
    </row>
    <row r="57" spans="10:14" x14ac:dyDescent="0.25">
      <c r="J57" s="198"/>
      <c r="K57" s="198"/>
      <c r="L57" s="198"/>
      <c r="M57" s="198"/>
      <c r="N57" s="198"/>
    </row>
    <row r="58" spans="10:14" x14ac:dyDescent="0.25">
      <c r="J58" s="198"/>
      <c r="K58" s="198"/>
      <c r="L58" s="198"/>
      <c r="M58" s="198"/>
      <c r="N58" s="198"/>
    </row>
    <row r="59" spans="10:14" x14ac:dyDescent="0.25">
      <c r="J59" s="198"/>
      <c r="K59" s="198"/>
      <c r="L59" s="198"/>
      <c r="M59" s="198"/>
      <c r="N59" s="198"/>
    </row>
    <row r="60" spans="10:14" x14ac:dyDescent="0.25">
      <c r="J60" s="198"/>
      <c r="K60" s="198"/>
      <c r="L60" s="198"/>
      <c r="M60" s="198"/>
      <c r="N60" s="198"/>
    </row>
    <row r="61" spans="10:14" x14ac:dyDescent="0.25">
      <c r="J61" s="198"/>
      <c r="K61" s="198"/>
      <c r="L61" s="198"/>
      <c r="M61" s="198"/>
      <c r="N61" s="198"/>
    </row>
  </sheetData>
  <mergeCells count="9">
    <mergeCell ref="J2:N2"/>
    <mergeCell ref="B32:D32"/>
    <mergeCell ref="B34:D34"/>
    <mergeCell ref="A1:H1"/>
    <mergeCell ref="A2:H2"/>
    <mergeCell ref="A3:H3"/>
    <mergeCell ref="B22:C22"/>
    <mergeCell ref="B23:D23"/>
    <mergeCell ref="B31:D31"/>
  </mergeCells>
  <hyperlinks>
    <hyperlink ref="I1" location="Index!B38" display="Index" xr:uid="{F1022546-9D1F-49F4-9D50-1C85ACC68917}"/>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BF3A-5625-43CD-AA82-99B027E095F3}">
  <dimension ref="B1:L187"/>
  <sheetViews>
    <sheetView workbookViewId="0"/>
  </sheetViews>
  <sheetFormatPr defaultRowHeight="12.75" x14ac:dyDescent="0.2"/>
  <cols>
    <col min="1" max="1" width="23" style="172" customWidth="1"/>
    <col min="2" max="2" width="41.140625" style="172" customWidth="1"/>
    <col min="3" max="3" width="54.7109375" style="172" customWidth="1"/>
    <col min="4" max="4" width="17.28515625" style="172" bestFit="1" customWidth="1"/>
    <col min="5" max="5" width="20.140625" style="172" bestFit="1" customWidth="1"/>
    <col min="6" max="6" width="16.5703125" style="172" customWidth="1"/>
    <col min="7" max="7" width="18.7109375" style="172" bestFit="1" customWidth="1"/>
    <col min="8" max="8" width="17.5703125" style="172" customWidth="1"/>
    <col min="9" max="9" width="15.5703125" style="172" bestFit="1" customWidth="1"/>
    <col min="10" max="10" width="13.5703125" style="172" customWidth="1"/>
    <col min="11" max="11" width="20.5703125" style="172" customWidth="1"/>
    <col min="12" max="12" width="12.42578125" style="172" bestFit="1" customWidth="1"/>
    <col min="13" max="256" width="9.140625" style="172"/>
    <col min="257" max="257" width="23" style="172" customWidth="1"/>
    <col min="258" max="258" width="41.140625" style="172" customWidth="1"/>
    <col min="259" max="259" width="54.7109375" style="172" customWidth="1"/>
    <col min="260" max="260" width="17.28515625" style="172" bestFit="1" customWidth="1"/>
    <col min="261" max="261" width="20.140625" style="172" bestFit="1" customWidth="1"/>
    <col min="262" max="262" width="16.5703125" style="172" customWidth="1"/>
    <col min="263" max="263" width="18.7109375" style="172" bestFit="1" customWidth="1"/>
    <col min="264" max="264" width="17.5703125" style="172" customWidth="1"/>
    <col min="265" max="265" width="15.5703125" style="172" bestFit="1" customWidth="1"/>
    <col min="266" max="266" width="13.5703125" style="172" customWidth="1"/>
    <col min="267" max="267" width="20.5703125" style="172" customWidth="1"/>
    <col min="268" max="268" width="12.42578125" style="172" bestFit="1" customWidth="1"/>
    <col min="269" max="512" width="9.140625" style="172"/>
    <col min="513" max="513" width="23" style="172" customWidth="1"/>
    <col min="514" max="514" width="41.140625" style="172" customWidth="1"/>
    <col min="515" max="515" width="54.7109375" style="172" customWidth="1"/>
    <col min="516" max="516" width="17.28515625" style="172" bestFit="1" customWidth="1"/>
    <col min="517" max="517" width="20.140625" style="172" bestFit="1" customWidth="1"/>
    <col min="518" max="518" width="16.5703125" style="172" customWidth="1"/>
    <col min="519" max="519" width="18.7109375" style="172" bestFit="1" customWidth="1"/>
    <col min="520" max="520" width="17.5703125" style="172" customWidth="1"/>
    <col min="521" max="521" width="15.5703125" style="172" bestFit="1" customWidth="1"/>
    <col min="522" max="522" width="13.5703125" style="172" customWidth="1"/>
    <col min="523" max="523" width="20.5703125" style="172" customWidth="1"/>
    <col min="524" max="524" width="12.42578125" style="172" bestFit="1" customWidth="1"/>
    <col min="525" max="768" width="9.140625" style="172"/>
    <col min="769" max="769" width="23" style="172" customWidth="1"/>
    <col min="770" max="770" width="41.140625" style="172" customWidth="1"/>
    <col min="771" max="771" width="54.7109375" style="172" customWidth="1"/>
    <col min="772" max="772" width="17.28515625" style="172" bestFit="1" customWidth="1"/>
    <col min="773" max="773" width="20.140625" style="172" bestFit="1" customWidth="1"/>
    <col min="774" max="774" width="16.5703125" style="172" customWidth="1"/>
    <col min="775" max="775" width="18.7109375" style="172" bestFit="1" customWidth="1"/>
    <col min="776" max="776" width="17.5703125" style="172" customWidth="1"/>
    <col min="777" max="777" width="15.5703125" style="172" bestFit="1" customWidth="1"/>
    <col min="778" max="778" width="13.5703125" style="172" customWidth="1"/>
    <col min="779" max="779" width="20.5703125" style="172" customWidth="1"/>
    <col min="780" max="780" width="12.42578125" style="172" bestFit="1" customWidth="1"/>
    <col min="781" max="1024" width="9.140625" style="172"/>
    <col min="1025" max="1025" width="23" style="172" customWidth="1"/>
    <col min="1026" max="1026" width="41.140625" style="172" customWidth="1"/>
    <col min="1027" max="1027" width="54.7109375" style="172" customWidth="1"/>
    <col min="1028" max="1028" width="17.28515625" style="172" bestFit="1" customWidth="1"/>
    <col min="1029" max="1029" width="20.140625" style="172" bestFit="1" customWidth="1"/>
    <col min="1030" max="1030" width="16.5703125" style="172" customWidth="1"/>
    <col min="1031" max="1031" width="18.7109375" style="172" bestFit="1" customWidth="1"/>
    <col min="1032" max="1032" width="17.5703125" style="172" customWidth="1"/>
    <col min="1033" max="1033" width="15.5703125" style="172" bestFit="1" customWidth="1"/>
    <col min="1034" max="1034" width="13.5703125" style="172" customWidth="1"/>
    <col min="1035" max="1035" width="20.5703125" style="172" customWidth="1"/>
    <col min="1036" max="1036" width="12.42578125" style="172" bestFit="1" customWidth="1"/>
    <col min="1037" max="1280" width="9.140625" style="172"/>
    <col min="1281" max="1281" width="23" style="172" customWidth="1"/>
    <col min="1282" max="1282" width="41.140625" style="172" customWidth="1"/>
    <col min="1283" max="1283" width="54.7109375" style="172" customWidth="1"/>
    <col min="1284" max="1284" width="17.28515625" style="172" bestFit="1" customWidth="1"/>
    <col min="1285" max="1285" width="20.140625" style="172" bestFit="1" customWidth="1"/>
    <col min="1286" max="1286" width="16.5703125" style="172" customWidth="1"/>
    <col min="1287" max="1287" width="18.7109375" style="172" bestFit="1" customWidth="1"/>
    <col min="1288" max="1288" width="17.5703125" style="172" customWidth="1"/>
    <col min="1289" max="1289" width="15.5703125" style="172" bestFit="1" customWidth="1"/>
    <col min="1290" max="1290" width="13.5703125" style="172" customWidth="1"/>
    <col min="1291" max="1291" width="20.5703125" style="172" customWidth="1"/>
    <col min="1292" max="1292" width="12.42578125" style="172" bestFit="1" customWidth="1"/>
    <col min="1293" max="1536" width="9.140625" style="172"/>
    <col min="1537" max="1537" width="23" style="172" customWidth="1"/>
    <col min="1538" max="1538" width="41.140625" style="172" customWidth="1"/>
    <col min="1539" max="1539" width="54.7109375" style="172" customWidth="1"/>
    <col min="1540" max="1540" width="17.28515625" style="172" bestFit="1" customWidth="1"/>
    <col min="1541" max="1541" width="20.140625" style="172" bestFit="1" customWidth="1"/>
    <col min="1542" max="1542" width="16.5703125" style="172" customWidth="1"/>
    <col min="1543" max="1543" width="18.7109375" style="172" bestFit="1" customWidth="1"/>
    <col min="1544" max="1544" width="17.5703125" style="172" customWidth="1"/>
    <col min="1545" max="1545" width="15.5703125" style="172" bestFit="1" customWidth="1"/>
    <col min="1546" max="1546" width="13.5703125" style="172" customWidth="1"/>
    <col min="1547" max="1547" width="20.5703125" style="172" customWidth="1"/>
    <col min="1548" max="1548" width="12.42578125" style="172" bestFit="1" customWidth="1"/>
    <col min="1549" max="1792" width="9.140625" style="172"/>
    <col min="1793" max="1793" width="23" style="172" customWidth="1"/>
    <col min="1794" max="1794" width="41.140625" style="172" customWidth="1"/>
    <col min="1795" max="1795" width="54.7109375" style="172" customWidth="1"/>
    <col min="1796" max="1796" width="17.28515625" style="172" bestFit="1" customWidth="1"/>
    <col min="1797" max="1797" width="20.140625" style="172" bestFit="1" customWidth="1"/>
    <col min="1798" max="1798" width="16.5703125" style="172" customWidth="1"/>
    <col min="1799" max="1799" width="18.7109375" style="172" bestFit="1" customWidth="1"/>
    <col min="1800" max="1800" width="17.5703125" style="172" customWidth="1"/>
    <col min="1801" max="1801" width="15.5703125" style="172" bestFit="1" customWidth="1"/>
    <col min="1802" max="1802" width="13.5703125" style="172" customWidth="1"/>
    <col min="1803" max="1803" width="20.5703125" style="172" customWidth="1"/>
    <col min="1804" max="1804" width="12.42578125" style="172" bestFit="1" customWidth="1"/>
    <col min="1805" max="2048" width="9.140625" style="172"/>
    <col min="2049" max="2049" width="23" style="172" customWidth="1"/>
    <col min="2050" max="2050" width="41.140625" style="172" customWidth="1"/>
    <col min="2051" max="2051" width="54.7109375" style="172" customWidth="1"/>
    <col min="2052" max="2052" width="17.28515625" style="172" bestFit="1" customWidth="1"/>
    <col min="2053" max="2053" width="20.140625" style="172" bestFit="1" customWidth="1"/>
    <col min="2054" max="2054" width="16.5703125" style="172" customWidth="1"/>
    <col min="2055" max="2055" width="18.7109375" style="172" bestFit="1" customWidth="1"/>
    <col min="2056" max="2056" width="17.5703125" style="172" customWidth="1"/>
    <col min="2057" max="2057" width="15.5703125" style="172" bestFit="1" customWidth="1"/>
    <col min="2058" max="2058" width="13.5703125" style="172" customWidth="1"/>
    <col min="2059" max="2059" width="20.5703125" style="172" customWidth="1"/>
    <col min="2060" max="2060" width="12.42578125" style="172" bestFit="1" customWidth="1"/>
    <col min="2061" max="2304" width="9.140625" style="172"/>
    <col min="2305" max="2305" width="23" style="172" customWidth="1"/>
    <col min="2306" max="2306" width="41.140625" style="172" customWidth="1"/>
    <col min="2307" max="2307" width="54.7109375" style="172" customWidth="1"/>
    <col min="2308" max="2308" width="17.28515625" style="172" bestFit="1" customWidth="1"/>
    <col min="2309" max="2309" width="20.140625" style="172" bestFit="1" customWidth="1"/>
    <col min="2310" max="2310" width="16.5703125" style="172" customWidth="1"/>
    <col min="2311" max="2311" width="18.7109375" style="172" bestFit="1" customWidth="1"/>
    <col min="2312" max="2312" width="17.5703125" style="172" customWidth="1"/>
    <col min="2313" max="2313" width="15.5703125" style="172" bestFit="1" customWidth="1"/>
    <col min="2314" max="2314" width="13.5703125" style="172" customWidth="1"/>
    <col min="2315" max="2315" width="20.5703125" style="172" customWidth="1"/>
    <col min="2316" max="2316" width="12.42578125" style="172" bestFit="1" customWidth="1"/>
    <col min="2317" max="2560" width="9.140625" style="172"/>
    <col min="2561" max="2561" width="23" style="172" customWidth="1"/>
    <col min="2562" max="2562" width="41.140625" style="172" customWidth="1"/>
    <col min="2563" max="2563" width="54.7109375" style="172" customWidth="1"/>
    <col min="2564" max="2564" width="17.28515625" style="172" bestFit="1" customWidth="1"/>
    <col min="2565" max="2565" width="20.140625" style="172" bestFit="1" customWidth="1"/>
    <col min="2566" max="2566" width="16.5703125" style="172" customWidth="1"/>
    <col min="2567" max="2567" width="18.7109375" style="172" bestFit="1" customWidth="1"/>
    <col min="2568" max="2568" width="17.5703125" style="172" customWidth="1"/>
    <col min="2569" max="2569" width="15.5703125" style="172" bestFit="1" customWidth="1"/>
    <col min="2570" max="2570" width="13.5703125" style="172" customWidth="1"/>
    <col min="2571" max="2571" width="20.5703125" style="172" customWidth="1"/>
    <col min="2572" max="2572" width="12.42578125" style="172" bestFit="1" customWidth="1"/>
    <col min="2573" max="2816" width="9.140625" style="172"/>
    <col min="2817" max="2817" width="23" style="172" customWidth="1"/>
    <col min="2818" max="2818" width="41.140625" style="172" customWidth="1"/>
    <col min="2819" max="2819" width="54.7109375" style="172" customWidth="1"/>
    <col min="2820" max="2820" width="17.28515625" style="172" bestFit="1" customWidth="1"/>
    <col min="2821" max="2821" width="20.140625" style="172" bestFit="1" customWidth="1"/>
    <col min="2822" max="2822" width="16.5703125" style="172" customWidth="1"/>
    <col min="2823" max="2823" width="18.7109375" style="172" bestFit="1" customWidth="1"/>
    <col min="2824" max="2824" width="17.5703125" style="172" customWidth="1"/>
    <col min="2825" max="2825" width="15.5703125" style="172" bestFit="1" customWidth="1"/>
    <col min="2826" max="2826" width="13.5703125" style="172" customWidth="1"/>
    <col min="2827" max="2827" width="20.5703125" style="172" customWidth="1"/>
    <col min="2828" max="2828" width="12.42578125" style="172" bestFit="1" customWidth="1"/>
    <col min="2829" max="3072" width="9.140625" style="172"/>
    <col min="3073" max="3073" width="23" style="172" customWidth="1"/>
    <col min="3074" max="3074" width="41.140625" style="172" customWidth="1"/>
    <col min="3075" max="3075" width="54.7109375" style="172" customWidth="1"/>
    <col min="3076" max="3076" width="17.28515625" style="172" bestFit="1" customWidth="1"/>
    <col min="3077" max="3077" width="20.140625" style="172" bestFit="1" customWidth="1"/>
    <col min="3078" max="3078" width="16.5703125" style="172" customWidth="1"/>
    <col min="3079" max="3079" width="18.7109375" style="172" bestFit="1" customWidth="1"/>
    <col min="3080" max="3080" width="17.5703125" style="172" customWidth="1"/>
    <col min="3081" max="3081" width="15.5703125" style="172" bestFit="1" customWidth="1"/>
    <col min="3082" max="3082" width="13.5703125" style="172" customWidth="1"/>
    <col min="3083" max="3083" width="20.5703125" style="172" customWidth="1"/>
    <col min="3084" max="3084" width="12.42578125" style="172" bestFit="1" customWidth="1"/>
    <col min="3085" max="3328" width="9.140625" style="172"/>
    <col min="3329" max="3329" width="23" style="172" customWidth="1"/>
    <col min="3330" max="3330" width="41.140625" style="172" customWidth="1"/>
    <col min="3331" max="3331" width="54.7109375" style="172" customWidth="1"/>
    <col min="3332" max="3332" width="17.28515625" style="172" bestFit="1" customWidth="1"/>
    <col min="3333" max="3333" width="20.140625" style="172" bestFit="1" customWidth="1"/>
    <col min="3334" max="3334" width="16.5703125" style="172" customWidth="1"/>
    <col min="3335" max="3335" width="18.7109375" style="172" bestFit="1" customWidth="1"/>
    <col min="3336" max="3336" width="17.5703125" style="172" customWidth="1"/>
    <col min="3337" max="3337" width="15.5703125" style="172" bestFit="1" customWidth="1"/>
    <col min="3338" max="3338" width="13.5703125" style="172" customWidth="1"/>
    <col min="3339" max="3339" width="20.5703125" style="172" customWidth="1"/>
    <col min="3340" max="3340" width="12.42578125" style="172" bestFit="1" customWidth="1"/>
    <col min="3341" max="3584" width="9.140625" style="172"/>
    <col min="3585" max="3585" width="23" style="172" customWidth="1"/>
    <col min="3586" max="3586" width="41.140625" style="172" customWidth="1"/>
    <col min="3587" max="3587" width="54.7109375" style="172" customWidth="1"/>
    <col min="3588" max="3588" width="17.28515625" style="172" bestFit="1" customWidth="1"/>
    <col min="3589" max="3589" width="20.140625" style="172" bestFit="1" customWidth="1"/>
    <col min="3590" max="3590" width="16.5703125" style="172" customWidth="1"/>
    <col min="3591" max="3591" width="18.7109375" style="172" bestFit="1" customWidth="1"/>
    <col min="3592" max="3592" width="17.5703125" style="172" customWidth="1"/>
    <col min="3593" max="3593" width="15.5703125" style="172" bestFit="1" customWidth="1"/>
    <col min="3594" max="3594" width="13.5703125" style="172" customWidth="1"/>
    <col min="3595" max="3595" width="20.5703125" style="172" customWidth="1"/>
    <col min="3596" max="3596" width="12.42578125" style="172" bestFit="1" customWidth="1"/>
    <col min="3597" max="3840" width="9.140625" style="172"/>
    <col min="3841" max="3841" width="23" style="172" customWidth="1"/>
    <col min="3842" max="3842" width="41.140625" style="172" customWidth="1"/>
    <col min="3843" max="3843" width="54.7109375" style="172" customWidth="1"/>
    <col min="3844" max="3844" width="17.28515625" style="172" bestFit="1" customWidth="1"/>
    <col min="3845" max="3845" width="20.140625" style="172" bestFit="1" customWidth="1"/>
    <col min="3846" max="3846" width="16.5703125" style="172" customWidth="1"/>
    <col min="3847" max="3847" width="18.7109375" style="172" bestFit="1" customWidth="1"/>
    <col min="3848" max="3848" width="17.5703125" style="172" customWidth="1"/>
    <col min="3849" max="3849" width="15.5703125" style="172" bestFit="1" customWidth="1"/>
    <col min="3850" max="3850" width="13.5703125" style="172" customWidth="1"/>
    <col min="3851" max="3851" width="20.5703125" style="172" customWidth="1"/>
    <col min="3852" max="3852" width="12.42578125" style="172" bestFit="1" customWidth="1"/>
    <col min="3853" max="4096" width="9.140625" style="172"/>
    <col min="4097" max="4097" width="23" style="172" customWidth="1"/>
    <col min="4098" max="4098" width="41.140625" style="172" customWidth="1"/>
    <col min="4099" max="4099" width="54.7109375" style="172" customWidth="1"/>
    <col min="4100" max="4100" width="17.28515625" style="172" bestFit="1" customWidth="1"/>
    <col min="4101" max="4101" width="20.140625" style="172" bestFit="1" customWidth="1"/>
    <col min="4102" max="4102" width="16.5703125" style="172" customWidth="1"/>
    <col min="4103" max="4103" width="18.7109375" style="172" bestFit="1" customWidth="1"/>
    <col min="4104" max="4104" width="17.5703125" style="172" customWidth="1"/>
    <col min="4105" max="4105" width="15.5703125" style="172" bestFit="1" customWidth="1"/>
    <col min="4106" max="4106" width="13.5703125" style="172" customWidth="1"/>
    <col min="4107" max="4107" width="20.5703125" style="172" customWidth="1"/>
    <col min="4108" max="4108" width="12.42578125" style="172" bestFit="1" customWidth="1"/>
    <col min="4109" max="4352" width="9.140625" style="172"/>
    <col min="4353" max="4353" width="23" style="172" customWidth="1"/>
    <col min="4354" max="4354" width="41.140625" style="172" customWidth="1"/>
    <col min="4355" max="4355" width="54.7109375" style="172" customWidth="1"/>
    <col min="4356" max="4356" width="17.28515625" style="172" bestFit="1" customWidth="1"/>
    <col min="4357" max="4357" width="20.140625" style="172" bestFit="1" customWidth="1"/>
    <col min="4358" max="4358" width="16.5703125" style="172" customWidth="1"/>
    <col min="4359" max="4359" width="18.7109375" style="172" bestFit="1" customWidth="1"/>
    <col min="4360" max="4360" width="17.5703125" style="172" customWidth="1"/>
    <col min="4361" max="4361" width="15.5703125" style="172" bestFit="1" customWidth="1"/>
    <col min="4362" max="4362" width="13.5703125" style="172" customWidth="1"/>
    <col min="4363" max="4363" width="20.5703125" style="172" customWidth="1"/>
    <col min="4364" max="4364" width="12.42578125" style="172" bestFit="1" customWidth="1"/>
    <col min="4365" max="4608" width="9.140625" style="172"/>
    <col min="4609" max="4609" width="23" style="172" customWidth="1"/>
    <col min="4610" max="4610" width="41.140625" style="172" customWidth="1"/>
    <col min="4611" max="4611" width="54.7109375" style="172" customWidth="1"/>
    <col min="4612" max="4612" width="17.28515625" style="172" bestFit="1" customWidth="1"/>
    <col min="4613" max="4613" width="20.140625" style="172" bestFit="1" customWidth="1"/>
    <col min="4614" max="4614" width="16.5703125" style="172" customWidth="1"/>
    <col min="4615" max="4615" width="18.7109375" style="172" bestFit="1" customWidth="1"/>
    <col min="4616" max="4616" width="17.5703125" style="172" customWidth="1"/>
    <col min="4617" max="4617" width="15.5703125" style="172" bestFit="1" customWidth="1"/>
    <col min="4618" max="4618" width="13.5703125" style="172" customWidth="1"/>
    <col min="4619" max="4619" width="20.5703125" style="172" customWidth="1"/>
    <col min="4620" max="4620" width="12.42578125" style="172" bestFit="1" customWidth="1"/>
    <col min="4621" max="4864" width="9.140625" style="172"/>
    <col min="4865" max="4865" width="23" style="172" customWidth="1"/>
    <col min="4866" max="4866" width="41.140625" style="172" customWidth="1"/>
    <col min="4867" max="4867" width="54.7109375" style="172" customWidth="1"/>
    <col min="4868" max="4868" width="17.28515625" style="172" bestFit="1" customWidth="1"/>
    <col min="4869" max="4869" width="20.140625" style="172" bestFit="1" customWidth="1"/>
    <col min="4870" max="4870" width="16.5703125" style="172" customWidth="1"/>
    <col min="4871" max="4871" width="18.7109375" style="172" bestFit="1" customWidth="1"/>
    <col min="4872" max="4872" width="17.5703125" style="172" customWidth="1"/>
    <col min="4873" max="4873" width="15.5703125" style="172" bestFit="1" customWidth="1"/>
    <col min="4874" max="4874" width="13.5703125" style="172" customWidth="1"/>
    <col min="4875" max="4875" width="20.5703125" style="172" customWidth="1"/>
    <col min="4876" max="4876" width="12.42578125" style="172" bestFit="1" customWidth="1"/>
    <col min="4877" max="5120" width="9.140625" style="172"/>
    <col min="5121" max="5121" width="23" style="172" customWidth="1"/>
    <col min="5122" max="5122" width="41.140625" style="172" customWidth="1"/>
    <col min="5123" max="5123" width="54.7109375" style="172" customWidth="1"/>
    <col min="5124" max="5124" width="17.28515625" style="172" bestFit="1" customWidth="1"/>
    <col min="5125" max="5125" width="20.140625" style="172" bestFit="1" customWidth="1"/>
    <col min="5126" max="5126" width="16.5703125" style="172" customWidth="1"/>
    <col min="5127" max="5127" width="18.7109375" style="172" bestFit="1" customWidth="1"/>
    <col min="5128" max="5128" width="17.5703125" style="172" customWidth="1"/>
    <col min="5129" max="5129" width="15.5703125" style="172" bestFit="1" customWidth="1"/>
    <col min="5130" max="5130" width="13.5703125" style="172" customWidth="1"/>
    <col min="5131" max="5131" width="20.5703125" style="172" customWidth="1"/>
    <col min="5132" max="5132" width="12.42578125" style="172" bestFit="1" customWidth="1"/>
    <col min="5133" max="5376" width="9.140625" style="172"/>
    <col min="5377" max="5377" width="23" style="172" customWidth="1"/>
    <col min="5378" max="5378" width="41.140625" style="172" customWidth="1"/>
    <col min="5379" max="5379" width="54.7109375" style="172" customWidth="1"/>
    <col min="5380" max="5380" width="17.28515625" style="172" bestFit="1" customWidth="1"/>
    <col min="5381" max="5381" width="20.140625" style="172" bestFit="1" customWidth="1"/>
    <col min="5382" max="5382" width="16.5703125" style="172" customWidth="1"/>
    <col min="5383" max="5383" width="18.7109375" style="172" bestFit="1" customWidth="1"/>
    <col min="5384" max="5384" width="17.5703125" style="172" customWidth="1"/>
    <col min="5385" max="5385" width="15.5703125" style="172" bestFit="1" customWidth="1"/>
    <col min="5386" max="5386" width="13.5703125" style="172" customWidth="1"/>
    <col min="5387" max="5387" width="20.5703125" style="172" customWidth="1"/>
    <col min="5388" max="5388" width="12.42578125" style="172" bestFit="1" customWidth="1"/>
    <col min="5389" max="5632" width="9.140625" style="172"/>
    <col min="5633" max="5633" width="23" style="172" customWidth="1"/>
    <col min="5634" max="5634" width="41.140625" style="172" customWidth="1"/>
    <col min="5635" max="5635" width="54.7109375" style="172" customWidth="1"/>
    <col min="5636" max="5636" width="17.28515625" style="172" bestFit="1" customWidth="1"/>
    <col min="5637" max="5637" width="20.140625" style="172" bestFit="1" customWidth="1"/>
    <col min="5638" max="5638" width="16.5703125" style="172" customWidth="1"/>
    <col min="5639" max="5639" width="18.7109375" style="172" bestFit="1" customWidth="1"/>
    <col min="5640" max="5640" width="17.5703125" style="172" customWidth="1"/>
    <col min="5641" max="5641" width="15.5703125" style="172" bestFit="1" customWidth="1"/>
    <col min="5642" max="5642" width="13.5703125" style="172" customWidth="1"/>
    <col min="5643" max="5643" width="20.5703125" style="172" customWidth="1"/>
    <col min="5644" max="5644" width="12.42578125" style="172" bestFit="1" customWidth="1"/>
    <col min="5645" max="5888" width="9.140625" style="172"/>
    <col min="5889" max="5889" width="23" style="172" customWidth="1"/>
    <col min="5890" max="5890" width="41.140625" style="172" customWidth="1"/>
    <col min="5891" max="5891" width="54.7109375" style="172" customWidth="1"/>
    <col min="5892" max="5892" width="17.28515625" style="172" bestFit="1" customWidth="1"/>
    <col min="5893" max="5893" width="20.140625" style="172" bestFit="1" customWidth="1"/>
    <col min="5894" max="5894" width="16.5703125" style="172" customWidth="1"/>
    <col min="5895" max="5895" width="18.7109375" style="172" bestFit="1" customWidth="1"/>
    <col min="5896" max="5896" width="17.5703125" style="172" customWidth="1"/>
    <col min="5897" max="5897" width="15.5703125" style="172" bestFit="1" customWidth="1"/>
    <col min="5898" max="5898" width="13.5703125" style="172" customWidth="1"/>
    <col min="5899" max="5899" width="20.5703125" style="172" customWidth="1"/>
    <col min="5900" max="5900" width="12.42578125" style="172" bestFit="1" customWidth="1"/>
    <col min="5901" max="6144" width="9.140625" style="172"/>
    <col min="6145" max="6145" width="23" style="172" customWidth="1"/>
    <col min="6146" max="6146" width="41.140625" style="172" customWidth="1"/>
    <col min="6147" max="6147" width="54.7109375" style="172" customWidth="1"/>
    <col min="6148" max="6148" width="17.28515625" style="172" bestFit="1" customWidth="1"/>
    <col min="6149" max="6149" width="20.140625" style="172" bestFit="1" customWidth="1"/>
    <col min="6150" max="6150" width="16.5703125" style="172" customWidth="1"/>
    <col min="6151" max="6151" width="18.7109375" style="172" bestFit="1" customWidth="1"/>
    <col min="6152" max="6152" width="17.5703125" style="172" customWidth="1"/>
    <col min="6153" max="6153" width="15.5703125" style="172" bestFit="1" customWidth="1"/>
    <col min="6154" max="6154" width="13.5703125" style="172" customWidth="1"/>
    <col min="6155" max="6155" width="20.5703125" style="172" customWidth="1"/>
    <col min="6156" max="6156" width="12.42578125" style="172" bestFit="1" customWidth="1"/>
    <col min="6157" max="6400" width="9.140625" style="172"/>
    <col min="6401" max="6401" width="23" style="172" customWidth="1"/>
    <col min="6402" max="6402" width="41.140625" style="172" customWidth="1"/>
    <col min="6403" max="6403" width="54.7109375" style="172" customWidth="1"/>
    <col min="6404" max="6404" width="17.28515625" style="172" bestFit="1" customWidth="1"/>
    <col min="6405" max="6405" width="20.140625" style="172" bestFit="1" customWidth="1"/>
    <col min="6406" max="6406" width="16.5703125" style="172" customWidth="1"/>
    <col min="6407" max="6407" width="18.7109375" style="172" bestFit="1" customWidth="1"/>
    <col min="6408" max="6408" width="17.5703125" style="172" customWidth="1"/>
    <col min="6409" max="6409" width="15.5703125" style="172" bestFit="1" customWidth="1"/>
    <col min="6410" max="6410" width="13.5703125" style="172" customWidth="1"/>
    <col min="6411" max="6411" width="20.5703125" style="172" customWidth="1"/>
    <col min="6412" max="6412" width="12.42578125" style="172" bestFit="1" customWidth="1"/>
    <col min="6413" max="6656" width="9.140625" style="172"/>
    <col min="6657" max="6657" width="23" style="172" customWidth="1"/>
    <col min="6658" max="6658" width="41.140625" style="172" customWidth="1"/>
    <col min="6659" max="6659" width="54.7109375" style="172" customWidth="1"/>
    <col min="6660" max="6660" width="17.28515625" style="172" bestFit="1" customWidth="1"/>
    <col min="6661" max="6661" width="20.140625" style="172" bestFit="1" customWidth="1"/>
    <col min="6662" max="6662" width="16.5703125" style="172" customWidth="1"/>
    <col min="6663" max="6663" width="18.7109375" style="172" bestFit="1" customWidth="1"/>
    <col min="6664" max="6664" width="17.5703125" style="172" customWidth="1"/>
    <col min="6665" max="6665" width="15.5703125" style="172" bestFit="1" customWidth="1"/>
    <col min="6666" max="6666" width="13.5703125" style="172" customWidth="1"/>
    <col min="6667" max="6667" width="20.5703125" style="172" customWidth="1"/>
    <col min="6668" max="6668" width="12.42578125" style="172" bestFit="1" customWidth="1"/>
    <col min="6669" max="6912" width="9.140625" style="172"/>
    <col min="6913" max="6913" width="23" style="172" customWidth="1"/>
    <col min="6914" max="6914" width="41.140625" style="172" customWidth="1"/>
    <col min="6915" max="6915" width="54.7109375" style="172" customWidth="1"/>
    <col min="6916" max="6916" width="17.28515625" style="172" bestFit="1" customWidth="1"/>
    <col min="6917" max="6917" width="20.140625" style="172" bestFit="1" customWidth="1"/>
    <col min="6918" max="6918" width="16.5703125" style="172" customWidth="1"/>
    <col min="6919" max="6919" width="18.7109375" style="172" bestFit="1" customWidth="1"/>
    <col min="6920" max="6920" width="17.5703125" style="172" customWidth="1"/>
    <col min="6921" max="6921" width="15.5703125" style="172" bestFit="1" customWidth="1"/>
    <col min="6922" max="6922" width="13.5703125" style="172" customWidth="1"/>
    <col min="6923" max="6923" width="20.5703125" style="172" customWidth="1"/>
    <col min="6924" max="6924" width="12.42578125" style="172" bestFit="1" customWidth="1"/>
    <col min="6925" max="7168" width="9.140625" style="172"/>
    <col min="7169" max="7169" width="23" style="172" customWidth="1"/>
    <col min="7170" max="7170" width="41.140625" style="172" customWidth="1"/>
    <col min="7171" max="7171" width="54.7109375" style="172" customWidth="1"/>
    <col min="7172" max="7172" width="17.28515625" style="172" bestFit="1" customWidth="1"/>
    <col min="7173" max="7173" width="20.140625" style="172" bestFit="1" customWidth="1"/>
    <col min="7174" max="7174" width="16.5703125" style="172" customWidth="1"/>
    <col min="7175" max="7175" width="18.7109375" style="172" bestFit="1" customWidth="1"/>
    <col min="7176" max="7176" width="17.5703125" style="172" customWidth="1"/>
    <col min="7177" max="7177" width="15.5703125" style="172" bestFit="1" customWidth="1"/>
    <col min="7178" max="7178" width="13.5703125" style="172" customWidth="1"/>
    <col min="7179" max="7179" width="20.5703125" style="172" customWidth="1"/>
    <col min="7180" max="7180" width="12.42578125" style="172" bestFit="1" customWidth="1"/>
    <col min="7181" max="7424" width="9.140625" style="172"/>
    <col min="7425" max="7425" width="23" style="172" customWidth="1"/>
    <col min="7426" max="7426" width="41.140625" style="172" customWidth="1"/>
    <col min="7427" max="7427" width="54.7109375" style="172" customWidth="1"/>
    <col min="7428" max="7428" width="17.28515625" style="172" bestFit="1" customWidth="1"/>
    <col min="7429" max="7429" width="20.140625" style="172" bestFit="1" customWidth="1"/>
    <col min="7430" max="7430" width="16.5703125" style="172" customWidth="1"/>
    <col min="7431" max="7431" width="18.7109375" style="172" bestFit="1" customWidth="1"/>
    <col min="7432" max="7432" width="17.5703125" style="172" customWidth="1"/>
    <col min="7433" max="7433" width="15.5703125" style="172" bestFit="1" customWidth="1"/>
    <col min="7434" max="7434" width="13.5703125" style="172" customWidth="1"/>
    <col min="7435" max="7435" width="20.5703125" style="172" customWidth="1"/>
    <col min="7436" max="7436" width="12.42578125" style="172" bestFit="1" customWidth="1"/>
    <col min="7437" max="7680" width="9.140625" style="172"/>
    <col min="7681" max="7681" width="23" style="172" customWidth="1"/>
    <col min="7682" max="7682" width="41.140625" style="172" customWidth="1"/>
    <col min="7683" max="7683" width="54.7109375" style="172" customWidth="1"/>
    <col min="7684" max="7684" width="17.28515625" style="172" bestFit="1" customWidth="1"/>
    <col min="7685" max="7685" width="20.140625" style="172" bestFit="1" customWidth="1"/>
    <col min="7686" max="7686" width="16.5703125" style="172" customWidth="1"/>
    <col min="7687" max="7687" width="18.7109375" style="172" bestFit="1" customWidth="1"/>
    <col min="7688" max="7688" width="17.5703125" style="172" customWidth="1"/>
    <col min="7689" max="7689" width="15.5703125" style="172" bestFit="1" customWidth="1"/>
    <col min="7690" max="7690" width="13.5703125" style="172" customWidth="1"/>
    <col min="7691" max="7691" width="20.5703125" style="172" customWidth="1"/>
    <col min="7692" max="7692" width="12.42578125" style="172" bestFit="1" customWidth="1"/>
    <col min="7693" max="7936" width="9.140625" style="172"/>
    <col min="7937" max="7937" width="23" style="172" customWidth="1"/>
    <col min="7938" max="7938" width="41.140625" style="172" customWidth="1"/>
    <col min="7939" max="7939" width="54.7109375" style="172" customWidth="1"/>
    <col min="7940" max="7940" width="17.28515625" style="172" bestFit="1" customWidth="1"/>
    <col min="7941" max="7941" width="20.140625" style="172" bestFit="1" customWidth="1"/>
    <col min="7942" max="7942" width="16.5703125" style="172" customWidth="1"/>
    <col min="7943" max="7943" width="18.7109375" style="172" bestFit="1" customWidth="1"/>
    <col min="7944" max="7944" width="17.5703125" style="172" customWidth="1"/>
    <col min="7945" max="7945" width="15.5703125" style="172" bestFit="1" customWidth="1"/>
    <col min="7946" max="7946" width="13.5703125" style="172" customWidth="1"/>
    <col min="7947" max="7947" width="20.5703125" style="172" customWidth="1"/>
    <col min="7948" max="7948" width="12.42578125" style="172" bestFit="1" customWidth="1"/>
    <col min="7949" max="8192" width="9.140625" style="172"/>
    <col min="8193" max="8193" width="23" style="172" customWidth="1"/>
    <col min="8194" max="8194" width="41.140625" style="172" customWidth="1"/>
    <col min="8195" max="8195" width="54.7109375" style="172" customWidth="1"/>
    <col min="8196" max="8196" width="17.28515625" style="172" bestFit="1" customWidth="1"/>
    <col min="8197" max="8197" width="20.140625" style="172" bestFit="1" customWidth="1"/>
    <col min="8198" max="8198" width="16.5703125" style="172" customWidth="1"/>
    <col min="8199" max="8199" width="18.7109375" style="172" bestFit="1" customWidth="1"/>
    <col min="8200" max="8200" width="17.5703125" style="172" customWidth="1"/>
    <col min="8201" max="8201" width="15.5703125" style="172" bestFit="1" customWidth="1"/>
    <col min="8202" max="8202" width="13.5703125" style="172" customWidth="1"/>
    <col min="8203" max="8203" width="20.5703125" style="172" customWidth="1"/>
    <col min="8204" max="8204" width="12.42578125" style="172" bestFit="1" customWidth="1"/>
    <col min="8205" max="8448" width="9.140625" style="172"/>
    <col min="8449" max="8449" width="23" style="172" customWidth="1"/>
    <col min="8450" max="8450" width="41.140625" style="172" customWidth="1"/>
    <col min="8451" max="8451" width="54.7109375" style="172" customWidth="1"/>
    <col min="8452" max="8452" width="17.28515625" style="172" bestFit="1" customWidth="1"/>
    <col min="8453" max="8453" width="20.140625" style="172" bestFit="1" customWidth="1"/>
    <col min="8454" max="8454" width="16.5703125" style="172" customWidth="1"/>
    <col min="8455" max="8455" width="18.7109375" style="172" bestFit="1" customWidth="1"/>
    <col min="8456" max="8456" width="17.5703125" style="172" customWidth="1"/>
    <col min="8457" max="8457" width="15.5703125" style="172" bestFit="1" customWidth="1"/>
    <col min="8458" max="8458" width="13.5703125" style="172" customWidth="1"/>
    <col min="8459" max="8459" width="20.5703125" style="172" customWidth="1"/>
    <col min="8460" max="8460" width="12.42578125" style="172" bestFit="1" customWidth="1"/>
    <col min="8461" max="8704" width="9.140625" style="172"/>
    <col min="8705" max="8705" width="23" style="172" customWidth="1"/>
    <col min="8706" max="8706" width="41.140625" style="172" customWidth="1"/>
    <col min="8707" max="8707" width="54.7109375" style="172" customWidth="1"/>
    <col min="8708" max="8708" width="17.28515625" style="172" bestFit="1" customWidth="1"/>
    <col min="8709" max="8709" width="20.140625" style="172" bestFit="1" customWidth="1"/>
    <col min="8710" max="8710" width="16.5703125" style="172" customWidth="1"/>
    <col min="8711" max="8711" width="18.7109375" style="172" bestFit="1" customWidth="1"/>
    <col min="8712" max="8712" width="17.5703125" style="172" customWidth="1"/>
    <col min="8713" max="8713" width="15.5703125" style="172" bestFit="1" customWidth="1"/>
    <col min="8714" max="8714" width="13.5703125" style="172" customWidth="1"/>
    <col min="8715" max="8715" width="20.5703125" style="172" customWidth="1"/>
    <col min="8716" max="8716" width="12.42578125" style="172" bestFit="1" customWidth="1"/>
    <col min="8717" max="8960" width="9.140625" style="172"/>
    <col min="8961" max="8961" width="23" style="172" customWidth="1"/>
    <col min="8962" max="8962" width="41.140625" style="172" customWidth="1"/>
    <col min="8963" max="8963" width="54.7109375" style="172" customWidth="1"/>
    <col min="8964" max="8964" width="17.28515625" style="172" bestFit="1" customWidth="1"/>
    <col min="8965" max="8965" width="20.140625" style="172" bestFit="1" customWidth="1"/>
    <col min="8966" max="8966" width="16.5703125" style="172" customWidth="1"/>
    <col min="8967" max="8967" width="18.7109375" style="172" bestFit="1" customWidth="1"/>
    <col min="8968" max="8968" width="17.5703125" style="172" customWidth="1"/>
    <col min="8969" max="8969" width="15.5703125" style="172" bestFit="1" customWidth="1"/>
    <col min="8970" max="8970" width="13.5703125" style="172" customWidth="1"/>
    <col min="8971" max="8971" width="20.5703125" style="172" customWidth="1"/>
    <col min="8972" max="8972" width="12.42578125" style="172" bestFit="1" customWidth="1"/>
    <col min="8973" max="9216" width="9.140625" style="172"/>
    <col min="9217" max="9217" width="23" style="172" customWidth="1"/>
    <col min="9218" max="9218" width="41.140625" style="172" customWidth="1"/>
    <col min="9219" max="9219" width="54.7109375" style="172" customWidth="1"/>
    <col min="9220" max="9220" width="17.28515625" style="172" bestFit="1" customWidth="1"/>
    <col min="9221" max="9221" width="20.140625" style="172" bestFit="1" customWidth="1"/>
    <col min="9222" max="9222" width="16.5703125" style="172" customWidth="1"/>
    <col min="9223" max="9223" width="18.7109375" style="172" bestFit="1" customWidth="1"/>
    <col min="9224" max="9224" width="17.5703125" style="172" customWidth="1"/>
    <col min="9225" max="9225" width="15.5703125" style="172" bestFit="1" customWidth="1"/>
    <col min="9226" max="9226" width="13.5703125" style="172" customWidth="1"/>
    <col min="9227" max="9227" width="20.5703125" style="172" customWidth="1"/>
    <col min="9228" max="9228" width="12.42578125" style="172" bestFit="1" customWidth="1"/>
    <col min="9229" max="9472" width="9.140625" style="172"/>
    <col min="9473" max="9473" width="23" style="172" customWidth="1"/>
    <col min="9474" max="9474" width="41.140625" style="172" customWidth="1"/>
    <col min="9475" max="9475" width="54.7109375" style="172" customWidth="1"/>
    <col min="9476" max="9476" width="17.28515625" style="172" bestFit="1" customWidth="1"/>
    <col min="9477" max="9477" width="20.140625" style="172" bestFit="1" customWidth="1"/>
    <col min="9478" max="9478" width="16.5703125" style="172" customWidth="1"/>
    <col min="9479" max="9479" width="18.7109375" style="172" bestFit="1" customWidth="1"/>
    <col min="9480" max="9480" width="17.5703125" style="172" customWidth="1"/>
    <col min="9481" max="9481" width="15.5703125" style="172" bestFit="1" customWidth="1"/>
    <col min="9482" max="9482" width="13.5703125" style="172" customWidth="1"/>
    <col min="9483" max="9483" width="20.5703125" style="172" customWidth="1"/>
    <col min="9484" max="9484" width="12.42578125" style="172" bestFit="1" customWidth="1"/>
    <col min="9485" max="9728" width="9.140625" style="172"/>
    <col min="9729" max="9729" width="23" style="172" customWidth="1"/>
    <col min="9730" max="9730" width="41.140625" style="172" customWidth="1"/>
    <col min="9731" max="9731" width="54.7109375" style="172" customWidth="1"/>
    <col min="9732" max="9732" width="17.28515625" style="172" bestFit="1" customWidth="1"/>
    <col min="9733" max="9733" width="20.140625" style="172" bestFit="1" customWidth="1"/>
    <col min="9734" max="9734" width="16.5703125" style="172" customWidth="1"/>
    <col min="9735" max="9735" width="18.7109375" style="172" bestFit="1" customWidth="1"/>
    <col min="9736" max="9736" width="17.5703125" style="172" customWidth="1"/>
    <col min="9737" max="9737" width="15.5703125" style="172" bestFit="1" customWidth="1"/>
    <col min="9738" max="9738" width="13.5703125" style="172" customWidth="1"/>
    <col min="9739" max="9739" width="20.5703125" style="172" customWidth="1"/>
    <col min="9740" max="9740" width="12.42578125" style="172" bestFit="1" customWidth="1"/>
    <col min="9741" max="9984" width="9.140625" style="172"/>
    <col min="9985" max="9985" width="23" style="172" customWidth="1"/>
    <col min="9986" max="9986" width="41.140625" style="172" customWidth="1"/>
    <col min="9987" max="9987" width="54.7109375" style="172" customWidth="1"/>
    <col min="9988" max="9988" width="17.28515625" style="172" bestFit="1" customWidth="1"/>
    <col min="9989" max="9989" width="20.140625" style="172" bestFit="1" customWidth="1"/>
    <col min="9990" max="9990" width="16.5703125" style="172" customWidth="1"/>
    <col min="9991" max="9991" width="18.7109375" style="172" bestFit="1" customWidth="1"/>
    <col min="9992" max="9992" width="17.5703125" style="172" customWidth="1"/>
    <col min="9993" max="9993" width="15.5703125" style="172" bestFit="1" customWidth="1"/>
    <col min="9994" max="9994" width="13.5703125" style="172" customWidth="1"/>
    <col min="9995" max="9995" width="20.5703125" style="172" customWidth="1"/>
    <col min="9996" max="9996" width="12.42578125" style="172" bestFit="1" customWidth="1"/>
    <col min="9997" max="10240" width="9.140625" style="172"/>
    <col min="10241" max="10241" width="23" style="172" customWidth="1"/>
    <col min="10242" max="10242" width="41.140625" style="172" customWidth="1"/>
    <col min="10243" max="10243" width="54.7109375" style="172" customWidth="1"/>
    <col min="10244" max="10244" width="17.28515625" style="172" bestFit="1" customWidth="1"/>
    <col min="10245" max="10245" width="20.140625" style="172" bestFit="1" customWidth="1"/>
    <col min="10246" max="10246" width="16.5703125" style="172" customWidth="1"/>
    <col min="10247" max="10247" width="18.7109375" style="172" bestFit="1" customWidth="1"/>
    <col min="10248" max="10248" width="17.5703125" style="172" customWidth="1"/>
    <col min="10249" max="10249" width="15.5703125" style="172" bestFit="1" customWidth="1"/>
    <col min="10250" max="10250" width="13.5703125" style="172" customWidth="1"/>
    <col min="10251" max="10251" width="20.5703125" style="172" customWidth="1"/>
    <col min="10252" max="10252" width="12.42578125" style="172" bestFit="1" customWidth="1"/>
    <col min="10253" max="10496" width="9.140625" style="172"/>
    <col min="10497" max="10497" width="23" style="172" customWidth="1"/>
    <col min="10498" max="10498" width="41.140625" style="172" customWidth="1"/>
    <col min="10499" max="10499" width="54.7109375" style="172" customWidth="1"/>
    <col min="10500" max="10500" width="17.28515625" style="172" bestFit="1" customWidth="1"/>
    <col min="10501" max="10501" width="20.140625" style="172" bestFit="1" customWidth="1"/>
    <col min="10502" max="10502" width="16.5703125" style="172" customWidth="1"/>
    <col min="10503" max="10503" width="18.7109375" style="172" bestFit="1" customWidth="1"/>
    <col min="10504" max="10504" width="17.5703125" style="172" customWidth="1"/>
    <col min="10505" max="10505" width="15.5703125" style="172" bestFit="1" customWidth="1"/>
    <col min="10506" max="10506" width="13.5703125" style="172" customWidth="1"/>
    <col min="10507" max="10507" width="20.5703125" style="172" customWidth="1"/>
    <col min="10508" max="10508" width="12.42578125" style="172" bestFit="1" customWidth="1"/>
    <col min="10509" max="10752" width="9.140625" style="172"/>
    <col min="10753" max="10753" width="23" style="172" customWidth="1"/>
    <col min="10754" max="10754" width="41.140625" style="172" customWidth="1"/>
    <col min="10755" max="10755" width="54.7109375" style="172" customWidth="1"/>
    <col min="10756" max="10756" width="17.28515625" style="172" bestFit="1" customWidth="1"/>
    <col min="10757" max="10757" width="20.140625" style="172" bestFit="1" customWidth="1"/>
    <col min="10758" max="10758" width="16.5703125" style="172" customWidth="1"/>
    <col min="10759" max="10759" width="18.7109375" style="172" bestFit="1" customWidth="1"/>
    <col min="10760" max="10760" width="17.5703125" style="172" customWidth="1"/>
    <col min="10761" max="10761" width="15.5703125" style="172" bestFit="1" customWidth="1"/>
    <col min="10762" max="10762" width="13.5703125" style="172" customWidth="1"/>
    <col min="10763" max="10763" width="20.5703125" style="172" customWidth="1"/>
    <col min="10764" max="10764" width="12.42578125" style="172" bestFit="1" customWidth="1"/>
    <col min="10765" max="11008" width="9.140625" style="172"/>
    <col min="11009" max="11009" width="23" style="172" customWidth="1"/>
    <col min="11010" max="11010" width="41.140625" style="172" customWidth="1"/>
    <col min="11011" max="11011" width="54.7109375" style="172" customWidth="1"/>
    <col min="11012" max="11012" width="17.28515625" style="172" bestFit="1" customWidth="1"/>
    <col min="11013" max="11013" width="20.140625" style="172" bestFit="1" customWidth="1"/>
    <col min="11014" max="11014" width="16.5703125" style="172" customWidth="1"/>
    <col min="11015" max="11015" width="18.7109375" style="172" bestFit="1" customWidth="1"/>
    <col min="11016" max="11016" width="17.5703125" style="172" customWidth="1"/>
    <col min="11017" max="11017" width="15.5703125" style="172" bestFit="1" customWidth="1"/>
    <col min="11018" max="11018" width="13.5703125" style="172" customWidth="1"/>
    <col min="11019" max="11019" width="20.5703125" style="172" customWidth="1"/>
    <col min="11020" max="11020" width="12.42578125" style="172" bestFit="1" customWidth="1"/>
    <col min="11021" max="11264" width="9.140625" style="172"/>
    <col min="11265" max="11265" width="23" style="172" customWidth="1"/>
    <col min="11266" max="11266" width="41.140625" style="172" customWidth="1"/>
    <col min="11267" max="11267" width="54.7109375" style="172" customWidth="1"/>
    <col min="11268" max="11268" width="17.28515625" style="172" bestFit="1" customWidth="1"/>
    <col min="11269" max="11269" width="20.140625" style="172" bestFit="1" customWidth="1"/>
    <col min="11270" max="11270" width="16.5703125" style="172" customWidth="1"/>
    <col min="11271" max="11271" width="18.7109375" style="172" bestFit="1" customWidth="1"/>
    <col min="11272" max="11272" width="17.5703125" style="172" customWidth="1"/>
    <col min="11273" max="11273" width="15.5703125" style="172" bestFit="1" customWidth="1"/>
    <col min="11274" max="11274" width="13.5703125" style="172" customWidth="1"/>
    <col min="11275" max="11275" width="20.5703125" style="172" customWidth="1"/>
    <col min="11276" max="11276" width="12.42578125" style="172" bestFit="1" customWidth="1"/>
    <col min="11277" max="11520" width="9.140625" style="172"/>
    <col min="11521" max="11521" width="23" style="172" customWidth="1"/>
    <col min="11522" max="11522" width="41.140625" style="172" customWidth="1"/>
    <col min="11523" max="11523" width="54.7109375" style="172" customWidth="1"/>
    <col min="11524" max="11524" width="17.28515625" style="172" bestFit="1" customWidth="1"/>
    <col min="11525" max="11525" width="20.140625" style="172" bestFit="1" customWidth="1"/>
    <col min="11526" max="11526" width="16.5703125" style="172" customWidth="1"/>
    <col min="11527" max="11527" width="18.7109375" style="172" bestFit="1" customWidth="1"/>
    <col min="11528" max="11528" width="17.5703125" style="172" customWidth="1"/>
    <col min="11529" max="11529" width="15.5703125" style="172" bestFit="1" customWidth="1"/>
    <col min="11530" max="11530" width="13.5703125" style="172" customWidth="1"/>
    <col min="11531" max="11531" width="20.5703125" style="172" customWidth="1"/>
    <col min="11532" max="11532" width="12.42578125" style="172" bestFit="1" customWidth="1"/>
    <col min="11533" max="11776" width="9.140625" style="172"/>
    <col min="11777" max="11777" width="23" style="172" customWidth="1"/>
    <col min="11778" max="11778" width="41.140625" style="172" customWidth="1"/>
    <col min="11779" max="11779" width="54.7109375" style="172" customWidth="1"/>
    <col min="11780" max="11780" width="17.28515625" style="172" bestFit="1" customWidth="1"/>
    <col min="11781" max="11781" width="20.140625" style="172" bestFit="1" customWidth="1"/>
    <col min="11782" max="11782" width="16.5703125" style="172" customWidth="1"/>
    <col min="11783" max="11783" width="18.7109375" style="172" bestFit="1" customWidth="1"/>
    <col min="11784" max="11784" width="17.5703125" style="172" customWidth="1"/>
    <col min="11785" max="11785" width="15.5703125" style="172" bestFit="1" customWidth="1"/>
    <col min="11786" max="11786" width="13.5703125" style="172" customWidth="1"/>
    <col min="11787" max="11787" width="20.5703125" style="172" customWidth="1"/>
    <col min="11788" max="11788" width="12.42578125" style="172" bestFit="1" customWidth="1"/>
    <col min="11789" max="12032" width="9.140625" style="172"/>
    <col min="12033" max="12033" width="23" style="172" customWidth="1"/>
    <col min="12034" max="12034" width="41.140625" style="172" customWidth="1"/>
    <col min="12035" max="12035" width="54.7109375" style="172" customWidth="1"/>
    <col min="12036" max="12036" width="17.28515625" style="172" bestFit="1" customWidth="1"/>
    <col min="12037" max="12037" width="20.140625" style="172" bestFit="1" customWidth="1"/>
    <col min="12038" max="12038" width="16.5703125" style="172" customWidth="1"/>
    <col min="12039" max="12039" width="18.7109375" style="172" bestFit="1" customWidth="1"/>
    <col min="12040" max="12040" width="17.5703125" style="172" customWidth="1"/>
    <col min="12041" max="12041" width="15.5703125" style="172" bestFit="1" customWidth="1"/>
    <col min="12042" max="12042" width="13.5703125" style="172" customWidth="1"/>
    <col min="12043" max="12043" width="20.5703125" style="172" customWidth="1"/>
    <col min="12044" max="12044" width="12.42578125" style="172" bestFit="1" customWidth="1"/>
    <col min="12045" max="12288" width="9.140625" style="172"/>
    <col min="12289" max="12289" width="23" style="172" customWidth="1"/>
    <col min="12290" max="12290" width="41.140625" style="172" customWidth="1"/>
    <col min="12291" max="12291" width="54.7109375" style="172" customWidth="1"/>
    <col min="12292" max="12292" width="17.28515625" style="172" bestFit="1" customWidth="1"/>
    <col min="12293" max="12293" width="20.140625" style="172" bestFit="1" customWidth="1"/>
    <col min="12294" max="12294" width="16.5703125" style="172" customWidth="1"/>
    <col min="12295" max="12295" width="18.7109375" style="172" bestFit="1" customWidth="1"/>
    <col min="12296" max="12296" width="17.5703125" style="172" customWidth="1"/>
    <col min="12297" max="12297" width="15.5703125" style="172" bestFit="1" customWidth="1"/>
    <col min="12298" max="12298" width="13.5703125" style="172" customWidth="1"/>
    <col min="12299" max="12299" width="20.5703125" style="172" customWidth="1"/>
    <col min="12300" max="12300" width="12.42578125" style="172" bestFit="1" customWidth="1"/>
    <col min="12301" max="12544" width="9.140625" style="172"/>
    <col min="12545" max="12545" width="23" style="172" customWidth="1"/>
    <col min="12546" max="12546" width="41.140625" style="172" customWidth="1"/>
    <col min="12547" max="12547" width="54.7109375" style="172" customWidth="1"/>
    <col min="12548" max="12548" width="17.28515625" style="172" bestFit="1" customWidth="1"/>
    <col min="12549" max="12549" width="20.140625" style="172" bestFit="1" customWidth="1"/>
    <col min="12550" max="12550" width="16.5703125" style="172" customWidth="1"/>
    <col min="12551" max="12551" width="18.7109375" style="172" bestFit="1" customWidth="1"/>
    <col min="12552" max="12552" width="17.5703125" style="172" customWidth="1"/>
    <col min="12553" max="12553" width="15.5703125" style="172" bestFit="1" customWidth="1"/>
    <col min="12554" max="12554" width="13.5703125" style="172" customWidth="1"/>
    <col min="12555" max="12555" width="20.5703125" style="172" customWidth="1"/>
    <col min="12556" max="12556" width="12.42578125" style="172" bestFit="1" customWidth="1"/>
    <col min="12557" max="12800" width="9.140625" style="172"/>
    <col min="12801" max="12801" width="23" style="172" customWidth="1"/>
    <col min="12802" max="12802" width="41.140625" style="172" customWidth="1"/>
    <col min="12803" max="12803" width="54.7109375" style="172" customWidth="1"/>
    <col min="12804" max="12804" width="17.28515625" style="172" bestFit="1" customWidth="1"/>
    <col min="12805" max="12805" width="20.140625" style="172" bestFit="1" customWidth="1"/>
    <col min="12806" max="12806" width="16.5703125" style="172" customWidth="1"/>
    <col min="12807" max="12807" width="18.7109375" style="172" bestFit="1" customWidth="1"/>
    <col min="12808" max="12808" width="17.5703125" style="172" customWidth="1"/>
    <col min="12809" max="12809" width="15.5703125" style="172" bestFit="1" customWidth="1"/>
    <col min="12810" max="12810" width="13.5703125" style="172" customWidth="1"/>
    <col min="12811" max="12811" width="20.5703125" style="172" customWidth="1"/>
    <col min="12812" max="12812" width="12.42578125" style="172" bestFit="1" customWidth="1"/>
    <col min="12813" max="13056" width="9.140625" style="172"/>
    <col min="13057" max="13057" width="23" style="172" customWidth="1"/>
    <col min="13058" max="13058" width="41.140625" style="172" customWidth="1"/>
    <col min="13059" max="13059" width="54.7109375" style="172" customWidth="1"/>
    <col min="13060" max="13060" width="17.28515625" style="172" bestFit="1" customWidth="1"/>
    <col min="13061" max="13061" width="20.140625" style="172" bestFit="1" customWidth="1"/>
    <col min="13062" max="13062" width="16.5703125" style="172" customWidth="1"/>
    <col min="13063" max="13063" width="18.7109375" style="172" bestFit="1" customWidth="1"/>
    <col min="13064" max="13064" width="17.5703125" style="172" customWidth="1"/>
    <col min="13065" max="13065" width="15.5703125" style="172" bestFit="1" customWidth="1"/>
    <col min="13066" max="13066" width="13.5703125" style="172" customWidth="1"/>
    <col min="13067" max="13067" width="20.5703125" style="172" customWidth="1"/>
    <col min="13068" max="13068" width="12.42578125" style="172" bestFit="1" customWidth="1"/>
    <col min="13069" max="13312" width="9.140625" style="172"/>
    <col min="13313" max="13313" width="23" style="172" customWidth="1"/>
    <col min="13314" max="13314" width="41.140625" style="172" customWidth="1"/>
    <col min="13315" max="13315" width="54.7109375" style="172" customWidth="1"/>
    <col min="13316" max="13316" width="17.28515625" style="172" bestFit="1" customWidth="1"/>
    <col min="13317" max="13317" width="20.140625" style="172" bestFit="1" customWidth="1"/>
    <col min="13318" max="13318" width="16.5703125" style="172" customWidth="1"/>
    <col min="13319" max="13319" width="18.7109375" style="172" bestFit="1" customWidth="1"/>
    <col min="13320" max="13320" width="17.5703125" style="172" customWidth="1"/>
    <col min="13321" max="13321" width="15.5703125" style="172" bestFit="1" customWidth="1"/>
    <col min="13322" max="13322" width="13.5703125" style="172" customWidth="1"/>
    <col min="13323" max="13323" width="20.5703125" style="172" customWidth="1"/>
    <col min="13324" max="13324" width="12.42578125" style="172" bestFit="1" customWidth="1"/>
    <col min="13325" max="13568" width="9.140625" style="172"/>
    <col min="13569" max="13569" width="23" style="172" customWidth="1"/>
    <col min="13570" max="13570" width="41.140625" style="172" customWidth="1"/>
    <col min="13571" max="13571" width="54.7109375" style="172" customWidth="1"/>
    <col min="13572" max="13572" width="17.28515625" style="172" bestFit="1" customWidth="1"/>
    <col min="13573" max="13573" width="20.140625" style="172" bestFit="1" customWidth="1"/>
    <col min="13574" max="13574" width="16.5703125" style="172" customWidth="1"/>
    <col min="13575" max="13575" width="18.7109375" style="172" bestFit="1" customWidth="1"/>
    <col min="13576" max="13576" width="17.5703125" style="172" customWidth="1"/>
    <col min="13577" max="13577" width="15.5703125" style="172" bestFit="1" customWidth="1"/>
    <col min="13578" max="13578" width="13.5703125" style="172" customWidth="1"/>
    <col min="13579" max="13579" width="20.5703125" style="172" customWidth="1"/>
    <col min="13580" max="13580" width="12.42578125" style="172" bestFit="1" customWidth="1"/>
    <col min="13581" max="13824" width="9.140625" style="172"/>
    <col min="13825" max="13825" width="23" style="172" customWidth="1"/>
    <col min="13826" max="13826" width="41.140625" style="172" customWidth="1"/>
    <col min="13827" max="13827" width="54.7109375" style="172" customWidth="1"/>
    <col min="13828" max="13828" width="17.28515625" style="172" bestFit="1" customWidth="1"/>
    <col min="13829" max="13829" width="20.140625" style="172" bestFit="1" customWidth="1"/>
    <col min="13830" max="13830" width="16.5703125" style="172" customWidth="1"/>
    <col min="13831" max="13831" width="18.7109375" style="172" bestFit="1" customWidth="1"/>
    <col min="13832" max="13832" width="17.5703125" style="172" customWidth="1"/>
    <col min="13833" max="13833" width="15.5703125" style="172" bestFit="1" customWidth="1"/>
    <col min="13834" max="13834" width="13.5703125" style="172" customWidth="1"/>
    <col min="13835" max="13835" width="20.5703125" style="172" customWidth="1"/>
    <col min="13836" max="13836" width="12.42578125" style="172" bestFit="1" customWidth="1"/>
    <col min="13837" max="14080" width="9.140625" style="172"/>
    <col min="14081" max="14081" width="23" style="172" customWidth="1"/>
    <col min="14082" max="14082" width="41.140625" style="172" customWidth="1"/>
    <col min="14083" max="14083" width="54.7109375" style="172" customWidth="1"/>
    <col min="14084" max="14084" width="17.28515625" style="172" bestFit="1" customWidth="1"/>
    <col min="14085" max="14085" width="20.140625" style="172" bestFit="1" customWidth="1"/>
    <col min="14086" max="14086" width="16.5703125" style="172" customWidth="1"/>
    <col min="14087" max="14087" width="18.7109375" style="172" bestFit="1" customWidth="1"/>
    <col min="14088" max="14088" width="17.5703125" style="172" customWidth="1"/>
    <col min="14089" max="14089" width="15.5703125" style="172" bestFit="1" customWidth="1"/>
    <col min="14090" max="14090" width="13.5703125" style="172" customWidth="1"/>
    <col min="14091" max="14091" width="20.5703125" style="172" customWidth="1"/>
    <col min="14092" max="14092" width="12.42578125" style="172" bestFit="1" customWidth="1"/>
    <col min="14093" max="14336" width="9.140625" style="172"/>
    <col min="14337" max="14337" width="23" style="172" customWidth="1"/>
    <col min="14338" max="14338" width="41.140625" style="172" customWidth="1"/>
    <col min="14339" max="14339" width="54.7109375" style="172" customWidth="1"/>
    <col min="14340" max="14340" width="17.28515625" style="172" bestFit="1" customWidth="1"/>
    <col min="14341" max="14341" width="20.140625" style="172" bestFit="1" customWidth="1"/>
    <col min="14342" max="14342" width="16.5703125" style="172" customWidth="1"/>
    <col min="14343" max="14343" width="18.7109375" style="172" bestFit="1" customWidth="1"/>
    <col min="14344" max="14344" width="17.5703125" style="172" customWidth="1"/>
    <col min="14345" max="14345" width="15.5703125" style="172" bestFit="1" customWidth="1"/>
    <col min="14346" max="14346" width="13.5703125" style="172" customWidth="1"/>
    <col min="14347" max="14347" width="20.5703125" style="172" customWidth="1"/>
    <col min="14348" max="14348" width="12.42578125" style="172" bestFit="1" customWidth="1"/>
    <col min="14349" max="14592" width="9.140625" style="172"/>
    <col min="14593" max="14593" width="23" style="172" customWidth="1"/>
    <col min="14594" max="14594" width="41.140625" style="172" customWidth="1"/>
    <col min="14595" max="14595" width="54.7109375" style="172" customWidth="1"/>
    <col min="14596" max="14596" width="17.28515625" style="172" bestFit="1" customWidth="1"/>
    <col min="14597" max="14597" width="20.140625" style="172" bestFit="1" customWidth="1"/>
    <col min="14598" max="14598" width="16.5703125" style="172" customWidth="1"/>
    <col min="14599" max="14599" width="18.7109375" style="172" bestFit="1" customWidth="1"/>
    <col min="14600" max="14600" width="17.5703125" style="172" customWidth="1"/>
    <col min="14601" max="14601" width="15.5703125" style="172" bestFit="1" customWidth="1"/>
    <col min="14602" max="14602" width="13.5703125" style="172" customWidth="1"/>
    <col min="14603" max="14603" width="20.5703125" style="172" customWidth="1"/>
    <col min="14604" max="14604" width="12.42578125" style="172" bestFit="1" customWidth="1"/>
    <col min="14605" max="14848" width="9.140625" style="172"/>
    <col min="14849" max="14849" width="23" style="172" customWidth="1"/>
    <col min="14850" max="14850" width="41.140625" style="172" customWidth="1"/>
    <col min="14851" max="14851" width="54.7109375" style="172" customWidth="1"/>
    <col min="14852" max="14852" width="17.28515625" style="172" bestFit="1" customWidth="1"/>
    <col min="14853" max="14853" width="20.140625" style="172" bestFit="1" customWidth="1"/>
    <col min="14854" max="14854" width="16.5703125" style="172" customWidth="1"/>
    <col min="14855" max="14855" width="18.7109375" style="172" bestFit="1" customWidth="1"/>
    <col min="14856" max="14856" width="17.5703125" style="172" customWidth="1"/>
    <col min="14857" max="14857" width="15.5703125" style="172" bestFit="1" customWidth="1"/>
    <col min="14858" max="14858" width="13.5703125" style="172" customWidth="1"/>
    <col min="14859" max="14859" width="20.5703125" style="172" customWidth="1"/>
    <col min="14860" max="14860" width="12.42578125" style="172" bestFit="1" customWidth="1"/>
    <col min="14861" max="15104" width="9.140625" style="172"/>
    <col min="15105" max="15105" width="23" style="172" customWidth="1"/>
    <col min="15106" max="15106" width="41.140625" style="172" customWidth="1"/>
    <col min="15107" max="15107" width="54.7109375" style="172" customWidth="1"/>
    <col min="15108" max="15108" width="17.28515625" style="172" bestFit="1" customWidth="1"/>
    <col min="15109" max="15109" width="20.140625" style="172" bestFit="1" customWidth="1"/>
    <col min="15110" max="15110" width="16.5703125" style="172" customWidth="1"/>
    <col min="15111" max="15111" width="18.7109375" style="172" bestFit="1" customWidth="1"/>
    <col min="15112" max="15112" width="17.5703125" style="172" customWidth="1"/>
    <col min="15113" max="15113" width="15.5703125" style="172" bestFit="1" customWidth="1"/>
    <col min="15114" max="15114" width="13.5703125" style="172" customWidth="1"/>
    <col min="15115" max="15115" width="20.5703125" style="172" customWidth="1"/>
    <col min="15116" max="15116" width="12.42578125" style="172" bestFit="1" customWidth="1"/>
    <col min="15117" max="15360" width="9.140625" style="172"/>
    <col min="15361" max="15361" width="23" style="172" customWidth="1"/>
    <col min="15362" max="15362" width="41.140625" style="172" customWidth="1"/>
    <col min="15363" max="15363" width="54.7109375" style="172" customWidth="1"/>
    <col min="15364" max="15364" width="17.28515625" style="172" bestFit="1" customWidth="1"/>
    <col min="15365" max="15365" width="20.140625" style="172" bestFit="1" customWidth="1"/>
    <col min="15366" max="15366" width="16.5703125" style="172" customWidth="1"/>
    <col min="15367" max="15367" width="18.7109375" style="172" bestFit="1" customWidth="1"/>
    <col min="15368" max="15368" width="17.5703125" style="172" customWidth="1"/>
    <col min="15369" max="15369" width="15.5703125" style="172" bestFit="1" customWidth="1"/>
    <col min="15370" max="15370" width="13.5703125" style="172" customWidth="1"/>
    <col min="15371" max="15371" width="20.5703125" style="172" customWidth="1"/>
    <col min="15372" max="15372" width="12.42578125" style="172" bestFit="1" customWidth="1"/>
    <col min="15373" max="15616" width="9.140625" style="172"/>
    <col min="15617" max="15617" width="23" style="172" customWidth="1"/>
    <col min="15618" max="15618" width="41.140625" style="172" customWidth="1"/>
    <col min="15619" max="15619" width="54.7109375" style="172" customWidth="1"/>
    <col min="15620" max="15620" width="17.28515625" style="172" bestFit="1" customWidth="1"/>
    <col min="15621" max="15621" width="20.140625" style="172" bestFit="1" customWidth="1"/>
    <col min="15622" max="15622" width="16.5703125" style="172" customWidth="1"/>
    <col min="15623" max="15623" width="18.7109375" style="172" bestFit="1" customWidth="1"/>
    <col min="15624" max="15624" width="17.5703125" style="172" customWidth="1"/>
    <col min="15625" max="15625" width="15.5703125" style="172" bestFit="1" customWidth="1"/>
    <col min="15626" max="15626" width="13.5703125" style="172" customWidth="1"/>
    <col min="15627" max="15627" width="20.5703125" style="172" customWidth="1"/>
    <col min="15628" max="15628" width="12.42578125" style="172" bestFit="1" customWidth="1"/>
    <col min="15629" max="15872" width="9.140625" style="172"/>
    <col min="15873" max="15873" width="23" style="172" customWidth="1"/>
    <col min="15874" max="15874" width="41.140625" style="172" customWidth="1"/>
    <col min="15875" max="15875" width="54.7109375" style="172" customWidth="1"/>
    <col min="15876" max="15876" width="17.28515625" style="172" bestFit="1" customWidth="1"/>
    <col min="15877" max="15877" width="20.140625" style="172" bestFit="1" customWidth="1"/>
    <col min="15878" max="15878" width="16.5703125" style="172" customWidth="1"/>
    <col min="15879" max="15879" width="18.7109375" style="172" bestFit="1" customWidth="1"/>
    <col min="15880" max="15880" width="17.5703125" style="172" customWidth="1"/>
    <col min="15881" max="15881" width="15.5703125" style="172" bestFit="1" customWidth="1"/>
    <col min="15882" max="15882" width="13.5703125" style="172" customWidth="1"/>
    <col min="15883" max="15883" width="20.5703125" style="172" customWidth="1"/>
    <col min="15884" max="15884" width="12.42578125" style="172" bestFit="1" customWidth="1"/>
    <col min="15885" max="16128" width="9.140625" style="172"/>
    <col min="16129" max="16129" width="23" style="172" customWidth="1"/>
    <col min="16130" max="16130" width="41.140625" style="172" customWidth="1"/>
    <col min="16131" max="16131" width="54.7109375" style="172" customWidth="1"/>
    <col min="16132" max="16132" width="17.28515625" style="172" bestFit="1" customWidth="1"/>
    <col min="16133" max="16133" width="20.140625" style="172" bestFit="1" customWidth="1"/>
    <col min="16134" max="16134" width="16.5703125" style="172" customWidth="1"/>
    <col min="16135" max="16135" width="18.7109375" style="172" bestFit="1" customWidth="1"/>
    <col min="16136" max="16136" width="17.5703125" style="172" customWidth="1"/>
    <col min="16137" max="16137" width="15.5703125" style="172" bestFit="1" customWidth="1"/>
    <col min="16138" max="16138" width="13.5703125" style="172" customWidth="1"/>
    <col min="16139" max="16139" width="20.5703125" style="172" customWidth="1"/>
    <col min="16140" max="16140" width="12.42578125" style="172" bestFit="1" customWidth="1"/>
    <col min="16141" max="16384" width="9.140625" style="172"/>
  </cols>
  <sheetData>
    <row r="1" spans="2:7" x14ac:dyDescent="0.2">
      <c r="G1" s="205" t="s">
        <v>979</v>
      </c>
    </row>
    <row r="2" spans="2:7" x14ac:dyDescent="0.2">
      <c r="B2" s="335" t="s">
        <v>1107</v>
      </c>
      <c r="C2" s="335"/>
      <c r="D2" s="335"/>
      <c r="E2" s="335"/>
      <c r="F2" s="335"/>
      <c r="G2" s="335"/>
    </row>
    <row r="3" spans="2:7" x14ac:dyDescent="0.2">
      <c r="B3" s="335" t="s">
        <v>1108</v>
      </c>
      <c r="C3" s="335"/>
      <c r="D3" s="335"/>
      <c r="E3" s="335"/>
      <c r="F3" s="335"/>
      <c r="G3" s="335"/>
    </row>
    <row r="4" spans="2:7" x14ac:dyDescent="0.2">
      <c r="B4" s="205"/>
      <c r="C4" s="205"/>
      <c r="D4" s="205"/>
      <c r="E4" s="205"/>
      <c r="F4" s="205"/>
      <c r="G4" s="205"/>
    </row>
    <row r="5" spans="2:7" x14ac:dyDescent="0.2">
      <c r="B5" s="335" t="s">
        <v>1109</v>
      </c>
      <c r="C5" s="335"/>
      <c r="D5" s="335"/>
      <c r="E5" s="335"/>
      <c r="F5" s="335"/>
      <c r="G5" s="335"/>
    </row>
    <row r="6" spans="2:7" x14ac:dyDescent="0.2">
      <c r="B6" s="205" t="s">
        <v>1110</v>
      </c>
    </row>
    <row r="8" spans="2:7" ht="25.5" x14ac:dyDescent="0.2">
      <c r="B8" s="206" t="s">
        <v>1111</v>
      </c>
      <c r="C8" s="206" t="s">
        <v>1112</v>
      </c>
      <c r="D8" s="206" t="s">
        <v>1113</v>
      </c>
      <c r="E8" s="207" t="s">
        <v>1114</v>
      </c>
      <c r="F8" s="207" t="s">
        <v>1115</v>
      </c>
      <c r="G8" s="207" t="s">
        <v>1116</v>
      </c>
    </row>
    <row r="9" spans="2:7" x14ac:dyDescent="0.2">
      <c r="B9" s="208" t="s">
        <v>1117</v>
      </c>
      <c r="C9" s="208" t="s">
        <v>919</v>
      </c>
      <c r="D9" s="209" t="s">
        <v>1118</v>
      </c>
      <c r="E9" s="210">
        <v>834.2</v>
      </c>
      <c r="F9" s="211">
        <v>823.65</v>
      </c>
      <c r="G9" s="212">
        <v>92.813871999999989</v>
      </c>
    </row>
    <row r="10" spans="2:7" x14ac:dyDescent="0.2">
      <c r="B10" s="208" t="s">
        <v>1117</v>
      </c>
      <c r="C10" s="208" t="s">
        <v>914</v>
      </c>
      <c r="D10" s="209" t="s">
        <v>1118</v>
      </c>
      <c r="E10" s="210">
        <v>531.92999999999995</v>
      </c>
      <c r="F10" s="211">
        <v>527.79999999999995</v>
      </c>
      <c r="G10" s="212">
        <v>53.032176</v>
      </c>
    </row>
    <row r="11" spans="2:7" x14ac:dyDescent="0.2">
      <c r="B11" s="208" t="s">
        <v>1117</v>
      </c>
      <c r="C11" s="208" t="s">
        <v>915</v>
      </c>
      <c r="D11" s="209" t="s">
        <v>1118</v>
      </c>
      <c r="E11" s="210">
        <v>3078.54</v>
      </c>
      <c r="F11" s="211">
        <v>3102.1</v>
      </c>
      <c r="G11" s="212">
        <v>38.354644999999998</v>
      </c>
    </row>
    <row r="12" spans="2:7" x14ac:dyDescent="0.2">
      <c r="B12" s="208" t="s">
        <v>1117</v>
      </c>
      <c r="C12" s="213" t="s">
        <v>907</v>
      </c>
      <c r="D12" s="209" t="s">
        <v>1118</v>
      </c>
      <c r="E12" s="210">
        <v>451.61</v>
      </c>
      <c r="F12" s="211">
        <v>440.45</v>
      </c>
      <c r="G12" s="212">
        <v>10.4847325</v>
      </c>
    </row>
    <row r="13" spans="2:7" x14ac:dyDescent="0.2">
      <c r="B13" s="208" t="s">
        <v>1117</v>
      </c>
      <c r="C13" s="214" t="s">
        <v>920</v>
      </c>
      <c r="D13" s="209" t="s">
        <v>1118</v>
      </c>
      <c r="E13" s="210">
        <v>6444.22</v>
      </c>
      <c r="F13" s="211">
        <v>6621.9</v>
      </c>
      <c r="G13" s="212">
        <v>87.474405000000004</v>
      </c>
    </row>
    <row r="14" spans="2:7" x14ac:dyDescent="0.2">
      <c r="B14" s="208" t="s">
        <v>1117</v>
      </c>
      <c r="C14" s="214" t="s">
        <v>911</v>
      </c>
      <c r="D14" s="209" t="s">
        <v>1118</v>
      </c>
      <c r="E14" s="210">
        <v>370.72</v>
      </c>
      <c r="F14" s="211">
        <v>377.25</v>
      </c>
      <c r="G14" s="212">
        <v>23.658110400000002</v>
      </c>
    </row>
    <row r="15" spans="2:7" x14ac:dyDescent="0.2">
      <c r="B15" s="208" t="s">
        <v>1117</v>
      </c>
      <c r="C15" s="214" t="s">
        <v>904</v>
      </c>
      <c r="D15" s="209" t="s">
        <v>1118</v>
      </c>
      <c r="E15" s="210">
        <v>85.6</v>
      </c>
      <c r="F15" s="211">
        <v>87.8</v>
      </c>
      <c r="G15" s="212">
        <v>1.9474845000000001</v>
      </c>
    </row>
    <row r="16" spans="2:7" x14ac:dyDescent="0.2">
      <c r="B16" s="208" t="s">
        <v>1117</v>
      </c>
      <c r="C16" s="214" t="s">
        <v>905</v>
      </c>
      <c r="D16" s="209" t="s">
        <v>1118</v>
      </c>
      <c r="E16" s="210">
        <v>2670.51</v>
      </c>
      <c r="F16" s="211">
        <v>2656.45</v>
      </c>
      <c r="G16" s="212">
        <v>7.1840365000000004</v>
      </c>
    </row>
    <row r="17" spans="2:7" x14ac:dyDescent="0.2">
      <c r="B17" s="208" t="s">
        <v>1117</v>
      </c>
      <c r="C17" s="214" t="s">
        <v>922</v>
      </c>
      <c r="D17" s="209" t="s">
        <v>1118</v>
      </c>
      <c r="E17" s="210">
        <v>1607.01</v>
      </c>
      <c r="F17" s="211">
        <v>1632.45</v>
      </c>
      <c r="G17" s="212">
        <v>92.116562799999997</v>
      </c>
    </row>
    <row r="18" spans="2:7" x14ac:dyDescent="0.2">
      <c r="B18" s="208" t="s">
        <v>1117</v>
      </c>
      <c r="C18" s="214" t="s">
        <v>917</v>
      </c>
      <c r="D18" s="209" t="s">
        <v>1118</v>
      </c>
      <c r="E18" s="210">
        <v>901.16</v>
      </c>
      <c r="F18" s="211">
        <v>897.1</v>
      </c>
      <c r="G18" s="212">
        <v>56.455444499999999</v>
      </c>
    </row>
    <row r="19" spans="2:7" x14ac:dyDescent="0.2">
      <c r="B19" s="208" t="s">
        <v>1117</v>
      </c>
      <c r="C19" s="214" t="s">
        <v>910</v>
      </c>
      <c r="D19" s="209" t="s">
        <v>1118</v>
      </c>
      <c r="E19" s="210">
        <v>539.08000000000004</v>
      </c>
      <c r="F19" s="211">
        <v>584.65</v>
      </c>
      <c r="G19" s="212">
        <v>16.3293152</v>
      </c>
    </row>
    <row r="20" spans="2:7" x14ac:dyDescent="0.2">
      <c r="B20" s="208" t="s">
        <v>1117</v>
      </c>
      <c r="C20" s="214" t="s">
        <v>918</v>
      </c>
      <c r="D20" s="209" t="s">
        <v>1118</v>
      </c>
      <c r="E20" s="210">
        <v>1838.6</v>
      </c>
      <c r="F20" s="211">
        <v>1840.15</v>
      </c>
      <c r="G20" s="212">
        <v>68.765433000000002</v>
      </c>
    </row>
    <row r="21" spans="2:7" x14ac:dyDescent="0.2">
      <c r="B21" s="208" t="s">
        <v>1117</v>
      </c>
      <c r="C21" s="214" t="s">
        <v>908</v>
      </c>
      <c r="D21" s="209" t="s">
        <v>1118</v>
      </c>
      <c r="E21" s="210">
        <v>2094.0700000000002</v>
      </c>
      <c r="F21" s="211">
        <v>2100.75</v>
      </c>
      <c r="G21" s="212">
        <v>8.8863903999999998</v>
      </c>
    </row>
    <row r="22" spans="2:7" x14ac:dyDescent="0.2">
      <c r="B22" s="208" t="s">
        <v>1117</v>
      </c>
      <c r="C22" s="214" t="s">
        <v>916</v>
      </c>
      <c r="D22" s="209" t="s">
        <v>1118</v>
      </c>
      <c r="E22" s="210">
        <v>8297.41</v>
      </c>
      <c r="F22" s="211">
        <v>8428.2999999999993</v>
      </c>
      <c r="G22" s="212">
        <v>55.073537999999999</v>
      </c>
    </row>
    <row r="23" spans="2:7" x14ac:dyDescent="0.2">
      <c r="B23" s="208" t="s">
        <v>1117</v>
      </c>
      <c r="C23" s="214" t="s">
        <v>913</v>
      </c>
      <c r="D23" s="209" t="s">
        <v>1118</v>
      </c>
      <c r="E23" s="210">
        <v>2553</v>
      </c>
      <c r="F23" s="211">
        <v>2565.1</v>
      </c>
      <c r="G23" s="212">
        <v>21.511349700000004</v>
      </c>
    </row>
    <row r="24" spans="2:7" x14ac:dyDescent="0.2">
      <c r="B24" s="208" t="s">
        <v>1117</v>
      </c>
      <c r="C24" s="214" t="s">
        <v>912</v>
      </c>
      <c r="D24" s="209" t="s">
        <v>1118</v>
      </c>
      <c r="E24" s="210">
        <v>2817.96</v>
      </c>
      <c r="F24" s="211">
        <v>2845.1</v>
      </c>
      <c r="G24" s="212">
        <v>18.436221700000001</v>
      </c>
    </row>
    <row r="25" spans="2:7" x14ac:dyDescent="0.2">
      <c r="B25" s="215" t="s">
        <v>1117</v>
      </c>
      <c r="C25" s="216" t="s">
        <v>909</v>
      </c>
      <c r="D25" s="209" t="s">
        <v>1118</v>
      </c>
      <c r="E25" s="210">
        <v>382.23</v>
      </c>
      <c r="F25" s="217">
        <v>393.7</v>
      </c>
      <c r="G25" s="212">
        <v>9.4755824999999998</v>
      </c>
    </row>
    <row r="26" spans="2:7" x14ac:dyDescent="0.2">
      <c r="B26" s="215" t="s">
        <v>1117</v>
      </c>
      <c r="C26" s="218" t="s">
        <v>921</v>
      </c>
      <c r="D26" s="209" t="s">
        <v>1118</v>
      </c>
      <c r="E26" s="210">
        <v>243.53</v>
      </c>
      <c r="F26" s="217">
        <v>241.1</v>
      </c>
      <c r="G26" s="212">
        <v>124.2333</v>
      </c>
    </row>
    <row r="27" spans="2:7" x14ac:dyDescent="0.2">
      <c r="B27" s="215" t="s">
        <v>1117</v>
      </c>
      <c r="C27" s="219" t="s">
        <v>906</v>
      </c>
      <c r="D27" s="209" t="s">
        <v>1118</v>
      </c>
      <c r="E27" s="220">
        <v>427.1</v>
      </c>
      <c r="F27" s="220">
        <v>421.7</v>
      </c>
      <c r="G27" s="212">
        <v>8.1733860000000007</v>
      </c>
    </row>
    <row r="28" spans="2:7" x14ac:dyDescent="0.2">
      <c r="B28" s="215"/>
      <c r="C28" s="63"/>
      <c r="D28" s="209"/>
      <c r="E28" s="220"/>
      <c r="F28" s="220"/>
      <c r="G28" s="212"/>
    </row>
    <row r="29" spans="2:7" x14ac:dyDescent="0.2">
      <c r="B29" s="208" t="s">
        <v>776</v>
      </c>
      <c r="C29" s="214" t="s">
        <v>919</v>
      </c>
      <c r="D29" s="209" t="s">
        <v>1118</v>
      </c>
      <c r="E29" s="220">
        <v>821.87</v>
      </c>
      <c r="F29" s="211">
        <v>823.65</v>
      </c>
      <c r="G29" s="212">
        <v>278.44161599999995</v>
      </c>
    </row>
    <row r="30" spans="2:7" x14ac:dyDescent="0.2">
      <c r="B30" s="208" t="s">
        <v>776</v>
      </c>
      <c r="C30" s="214" t="s">
        <v>914</v>
      </c>
      <c r="D30" s="209" t="s">
        <v>1118</v>
      </c>
      <c r="E30" s="220">
        <v>513.04</v>
      </c>
      <c r="F30" s="211">
        <v>527.79999999999995</v>
      </c>
      <c r="G30" s="212">
        <v>36.459620999999999</v>
      </c>
    </row>
    <row r="31" spans="2:7" x14ac:dyDescent="0.2">
      <c r="B31" s="208" t="s">
        <v>776</v>
      </c>
      <c r="C31" s="214" t="s">
        <v>915</v>
      </c>
      <c r="D31" s="209" t="s">
        <v>1118</v>
      </c>
      <c r="E31" s="220">
        <v>3087.63</v>
      </c>
      <c r="F31" s="211">
        <v>3102.1</v>
      </c>
      <c r="G31" s="212">
        <v>167.664591</v>
      </c>
    </row>
    <row r="32" spans="2:7" x14ac:dyDescent="0.2">
      <c r="B32" s="208" t="s">
        <v>776</v>
      </c>
      <c r="C32" s="214" t="s">
        <v>920</v>
      </c>
      <c r="D32" s="209" t="s">
        <v>1118</v>
      </c>
      <c r="E32" s="220">
        <v>6451.86</v>
      </c>
      <c r="F32" s="211">
        <v>6621.9</v>
      </c>
      <c r="G32" s="212">
        <v>171.44983379999999</v>
      </c>
    </row>
    <row r="33" spans="2:8" x14ac:dyDescent="0.2">
      <c r="B33" s="208" t="s">
        <v>776</v>
      </c>
      <c r="C33" s="214" t="s">
        <v>926</v>
      </c>
      <c r="D33" s="209" t="s">
        <v>1118</v>
      </c>
      <c r="E33" s="220">
        <v>812.73</v>
      </c>
      <c r="F33" s="211">
        <v>811.4</v>
      </c>
      <c r="G33" s="212">
        <v>80.195779499999986</v>
      </c>
    </row>
    <row r="34" spans="2:8" x14ac:dyDescent="0.2">
      <c r="B34" s="208" t="s">
        <v>776</v>
      </c>
      <c r="C34" s="214" t="s">
        <v>911</v>
      </c>
      <c r="D34" s="209" t="s">
        <v>1118</v>
      </c>
      <c r="E34" s="220">
        <v>370.88</v>
      </c>
      <c r="F34" s="211">
        <v>377.25</v>
      </c>
      <c r="G34" s="212">
        <v>34.008533700000001</v>
      </c>
    </row>
    <row r="35" spans="2:8" x14ac:dyDescent="0.2">
      <c r="B35" s="208" t="s">
        <v>776</v>
      </c>
      <c r="C35" s="214" t="s">
        <v>925</v>
      </c>
      <c r="D35" s="209" t="s">
        <v>1118</v>
      </c>
      <c r="E35" s="220">
        <v>179.47</v>
      </c>
      <c r="F35" s="211">
        <v>181</v>
      </c>
      <c r="G35" s="212">
        <v>40.496040000000001</v>
      </c>
    </row>
    <row r="36" spans="2:8" x14ac:dyDescent="0.2">
      <c r="B36" s="208" t="s">
        <v>776</v>
      </c>
      <c r="C36" s="214" t="s">
        <v>905</v>
      </c>
      <c r="D36" s="209" t="s">
        <v>1118</v>
      </c>
      <c r="E36" s="220">
        <v>2657.96</v>
      </c>
      <c r="F36" s="211">
        <v>2656.45</v>
      </c>
      <c r="G36" s="212">
        <v>311.78718410000005</v>
      </c>
    </row>
    <row r="37" spans="2:8" x14ac:dyDescent="0.2">
      <c r="B37" s="208" t="s">
        <v>776</v>
      </c>
      <c r="C37" s="214" t="s">
        <v>922</v>
      </c>
      <c r="D37" s="209" t="s">
        <v>1118</v>
      </c>
      <c r="E37" s="220">
        <v>1620.01</v>
      </c>
      <c r="F37" s="211">
        <v>1632.45</v>
      </c>
      <c r="G37" s="212">
        <v>771.87326760000008</v>
      </c>
    </row>
    <row r="38" spans="2:8" x14ac:dyDescent="0.2">
      <c r="B38" s="208" t="s">
        <v>776</v>
      </c>
      <c r="C38" s="214" t="s">
        <v>929</v>
      </c>
      <c r="D38" s="209" t="s">
        <v>1118</v>
      </c>
      <c r="E38" s="220">
        <v>571.34</v>
      </c>
      <c r="F38" s="211">
        <v>570.15</v>
      </c>
      <c r="G38" s="212">
        <v>131.4223326</v>
      </c>
    </row>
    <row r="39" spans="2:8" x14ac:dyDescent="0.2">
      <c r="B39" s="208" t="s">
        <v>776</v>
      </c>
      <c r="C39" s="214" t="s">
        <v>931</v>
      </c>
      <c r="D39" s="209" t="s">
        <v>1118</v>
      </c>
      <c r="E39" s="220">
        <v>449.02</v>
      </c>
      <c r="F39" s="211">
        <v>475.4</v>
      </c>
      <c r="G39" s="212">
        <v>482.85522600000002</v>
      </c>
    </row>
    <row r="40" spans="2:8" x14ac:dyDescent="0.2">
      <c r="B40" s="208" t="s">
        <v>776</v>
      </c>
      <c r="C40" s="214" t="s">
        <v>917</v>
      </c>
      <c r="D40" s="209" t="s">
        <v>1118</v>
      </c>
      <c r="E40" s="220">
        <v>895.05</v>
      </c>
      <c r="F40" s="211">
        <v>897.1</v>
      </c>
      <c r="G40" s="212">
        <v>243.53328999999999</v>
      </c>
      <c r="H40" s="221"/>
    </row>
    <row r="41" spans="2:8" ht="18" customHeight="1" x14ac:dyDescent="0.2">
      <c r="B41" s="208" t="s">
        <v>776</v>
      </c>
      <c r="C41" s="214" t="s">
        <v>932</v>
      </c>
      <c r="D41" s="209" t="s">
        <v>1118</v>
      </c>
      <c r="E41" s="220">
        <v>1516.67</v>
      </c>
      <c r="F41" s="211">
        <v>1517.15</v>
      </c>
      <c r="G41" s="212">
        <v>571.74365400000011</v>
      </c>
      <c r="H41" s="221"/>
    </row>
    <row r="42" spans="2:8" x14ac:dyDescent="0.2">
      <c r="B42" s="208" t="s">
        <v>776</v>
      </c>
      <c r="C42" s="214" t="s">
        <v>918</v>
      </c>
      <c r="D42" s="209" t="s">
        <v>1118</v>
      </c>
      <c r="E42" s="220">
        <v>1816.15</v>
      </c>
      <c r="F42" s="211">
        <v>1840.15</v>
      </c>
      <c r="G42" s="212">
        <v>27.246681000000002</v>
      </c>
      <c r="H42" s="221"/>
    </row>
    <row r="43" spans="2:8" x14ac:dyDescent="0.2">
      <c r="B43" s="208" t="s">
        <v>776</v>
      </c>
      <c r="C43" s="214" t="s">
        <v>916</v>
      </c>
      <c r="D43" s="209" t="s">
        <v>1118</v>
      </c>
      <c r="E43" s="220">
        <v>8401.8700000000008</v>
      </c>
      <c r="F43" s="211">
        <v>8428.2999999999993</v>
      </c>
      <c r="G43" s="212">
        <v>33.656050999999998</v>
      </c>
      <c r="H43" s="221"/>
    </row>
    <row r="44" spans="2:8" x14ac:dyDescent="0.2">
      <c r="B44" s="208" t="s">
        <v>776</v>
      </c>
      <c r="C44" s="214" t="s">
        <v>928</v>
      </c>
      <c r="D44" s="209" t="s">
        <v>1118</v>
      </c>
      <c r="E44" s="220">
        <v>888.02</v>
      </c>
      <c r="F44" s="211">
        <v>882.95</v>
      </c>
      <c r="G44" s="212">
        <v>117.35848300000001</v>
      </c>
      <c r="H44" s="221"/>
    </row>
    <row r="45" spans="2:8" x14ac:dyDescent="0.2">
      <c r="B45" s="208" t="s">
        <v>776</v>
      </c>
      <c r="C45" s="214" t="s">
        <v>933</v>
      </c>
      <c r="D45" s="209" t="s">
        <v>1118</v>
      </c>
      <c r="E45" s="220">
        <v>18138.740000000002</v>
      </c>
      <c r="F45" s="211">
        <v>18206.849999999999</v>
      </c>
      <c r="G45" s="212">
        <v>1075.576425</v>
      </c>
      <c r="H45" s="221"/>
    </row>
    <row r="46" spans="2:8" x14ac:dyDescent="0.2">
      <c r="B46" s="208" t="s">
        <v>776</v>
      </c>
      <c r="C46" s="214" t="s">
        <v>913</v>
      </c>
      <c r="D46" s="209" t="s">
        <v>1118</v>
      </c>
      <c r="E46" s="220">
        <v>2562.86</v>
      </c>
      <c r="F46" s="211">
        <v>2565.1</v>
      </c>
      <c r="G46" s="212">
        <v>169.82644500000001</v>
      </c>
      <c r="H46" s="221"/>
    </row>
    <row r="47" spans="2:8" x14ac:dyDescent="0.2">
      <c r="B47" s="208" t="s">
        <v>776</v>
      </c>
      <c r="C47" s="214" t="s">
        <v>924</v>
      </c>
      <c r="D47" s="209" t="s">
        <v>1118</v>
      </c>
      <c r="E47" s="220">
        <v>1026.98</v>
      </c>
      <c r="F47" s="211">
        <v>1005.7</v>
      </c>
      <c r="G47" s="212">
        <v>18.6552975</v>
      </c>
      <c r="H47" s="221"/>
    </row>
    <row r="48" spans="2:8" x14ac:dyDescent="0.2">
      <c r="B48" s="208" t="s">
        <v>776</v>
      </c>
      <c r="C48" s="214" t="s">
        <v>923</v>
      </c>
      <c r="D48" s="209" t="s">
        <v>1118</v>
      </c>
      <c r="E48" s="220">
        <v>208.65</v>
      </c>
      <c r="F48" s="211">
        <v>209.1</v>
      </c>
      <c r="G48" s="212">
        <v>23.643191600000002</v>
      </c>
      <c r="H48" s="221"/>
    </row>
    <row r="49" spans="2:8" x14ac:dyDescent="0.2">
      <c r="B49" s="208" t="s">
        <v>776</v>
      </c>
      <c r="C49" s="214" t="s">
        <v>930</v>
      </c>
      <c r="D49" s="209" t="s">
        <v>1118</v>
      </c>
      <c r="E49" s="220">
        <v>1019.31</v>
      </c>
      <c r="F49" s="211">
        <v>1021.2</v>
      </c>
      <c r="G49" s="212">
        <v>202.46184</v>
      </c>
      <c r="H49" s="221"/>
    </row>
    <row r="50" spans="2:8" x14ac:dyDescent="0.2">
      <c r="B50" s="208" t="s">
        <v>776</v>
      </c>
      <c r="C50" s="214" t="s">
        <v>927</v>
      </c>
      <c r="D50" s="209" t="s">
        <v>1118</v>
      </c>
      <c r="E50" s="220">
        <v>7030.74</v>
      </c>
      <c r="F50" s="211">
        <v>7008.25</v>
      </c>
      <c r="G50" s="212">
        <v>87.709054800000004</v>
      </c>
      <c r="H50" s="221"/>
    </row>
    <row r="51" spans="2:8" x14ac:dyDescent="0.2">
      <c r="B51" s="208" t="s">
        <v>776</v>
      </c>
      <c r="C51" s="214" t="s">
        <v>921</v>
      </c>
      <c r="D51" s="209" t="s">
        <v>1118</v>
      </c>
      <c r="E51" s="220">
        <v>241.3</v>
      </c>
      <c r="F51" s="211">
        <v>241.1</v>
      </c>
      <c r="G51" s="212">
        <v>99.38664</v>
      </c>
      <c r="H51" s="221"/>
    </row>
    <row r="52" spans="2:8" x14ac:dyDescent="0.2">
      <c r="B52" s="208"/>
      <c r="C52" s="214"/>
      <c r="D52" s="209"/>
      <c r="E52" s="220"/>
      <c r="F52" s="211"/>
      <c r="G52" s="212"/>
      <c r="H52" s="221"/>
    </row>
    <row r="53" spans="2:8" x14ac:dyDescent="0.2">
      <c r="B53" s="208"/>
      <c r="C53" s="222"/>
      <c r="D53" s="209"/>
      <c r="E53" s="211"/>
      <c r="F53" s="211"/>
      <c r="G53" s="223"/>
      <c r="H53" s="224"/>
    </row>
    <row r="54" spans="2:8" x14ac:dyDescent="0.2">
      <c r="B54" s="208" t="s">
        <v>578</v>
      </c>
      <c r="C54" s="48" t="s">
        <v>914</v>
      </c>
      <c r="D54" s="209" t="s">
        <v>1118</v>
      </c>
      <c r="E54" s="220">
        <v>525.16999999999996</v>
      </c>
      <c r="F54" s="211">
        <v>527.79999999999995</v>
      </c>
      <c r="G54" s="223">
        <v>16.572555000000001</v>
      </c>
      <c r="H54" s="224"/>
    </row>
    <row r="55" spans="2:8" x14ac:dyDescent="0.2">
      <c r="B55" s="208" t="s">
        <v>578</v>
      </c>
      <c r="C55" s="48" t="s">
        <v>943</v>
      </c>
      <c r="D55" s="209" t="s">
        <v>1118</v>
      </c>
      <c r="E55" s="220">
        <v>139.97</v>
      </c>
      <c r="F55" s="211">
        <v>144.35</v>
      </c>
      <c r="G55" s="223">
        <v>71.768950000000004</v>
      </c>
      <c r="H55" s="224"/>
    </row>
    <row r="56" spans="2:8" x14ac:dyDescent="0.2">
      <c r="B56" s="208" t="s">
        <v>578</v>
      </c>
      <c r="C56" s="48" t="s">
        <v>915</v>
      </c>
      <c r="D56" s="209" t="s">
        <v>1118</v>
      </c>
      <c r="E56" s="220">
        <v>3077.12</v>
      </c>
      <c r="F56" s="211">
        <v>3102.1</v>
      </c>
      <c r="G56" s="223">
        <v>36.162951</v>
      </c>
      <c r="H56" s="224"/>
    </row>
    <row r="57" spans="2:8" x14ac:dyDescent="0.2">
      <c r="B57" s="208" t="s">
        <v>578</v>
      </c>
      <c r="C57" s="48" t="s">
        <v>944</v>
      </c>
      <c r="D57" s="209" t="s">
        <v>1118</v>
      </c>
      <c r="E57" s="220">
        <v>917.59</v>
      </c>
      <c r="F57" s="211">
        <v>939.65</v>
      </c>
      <c r="G57" s="223">
        <v>65.123936999999998</v>
      </c>
      <c r="H57" s="224"/>
    </row>
    <row r="58" spans="2:8" x14ac:dyDescent="0.2">
      <c r="B58" s="208" t="s">
        <v>578</v>
      </c>
      <c r="C58" s="48" t="s">
        <v>920</v>
      </c>
      <c r="D58" s="209" t="s">
        <v>1118</v>
      </c>
      <c r="E58" s="220">
        <v>6454.55</v>
      </c>
      <c r="F58" s="211">
        <v>6621.9</v>
      </c>
      <c r="G58" s="212">
        <v>183.69625050000002</v>
      </c>
    </row>
    <row r="59" spans="2:8" x14ac:dyDescent="0.2">
      <c r="B59" s="208" t="s">
        <v>578</v>
      </c>
      <c r="C59" s="48" t="s">
        <v>940</v>
      </c>
      <c r="D59" s="209" t="s">
        <v>1118</v>
      </c>
      <c r="E59" s="220">
        <v>172.34</v>
      </c>
      <c r="F59" s="211">
        <v>186.65</v>
      </c>
      <c r="G59" s="212">
        <v>60.801529800000004</v>
      </c>
    </row>
    <row r="60" spans="2:8" x14ac:dyDescent="0.2">
      <c r="B60" s="208" t="s">
        <v>578</v>
      </c>
      <c r="C60" s="48" t="s">
        <v>935</v>
      </c>
      <c r="D60" s="209" t="s">
        <v>1118</v>
      </c>
      <c r="E60" s="220">
        <v>3561.79</v>
      </c>
      <c r="F60" s="211">
        <v>3427.35</v>
      </c>
      <c r="G60" s="212">
        <v>10.8041549</v>
      </c>
    </row>
    <row r="61" spans="2:8" x14ac:dyDescent="0.2">
      <c r="B61" s="208" t="s">
        <v>578</v>
      </c>
      <c r="C61" s="48" t="s">
        <v>905</v>
      </c>
      <c r="D61" s="209" t="s">
        <v>1118</v>
      </c>
      <c r="E61" s="220">
        <v>2649.71</v>
      </c>
      <c r="F61" s="211">
        <v>2656.45</v>
      </c>
      <c r="G61" s="212">
        <v>67.529943100000011</v>
      </c>
    </row>
    <row r="62" spans="2:8" x14ac:dyDescent="0.2">
      <c r="B62" s="208" t="s">
        <v>578</v>
      </c>
      <c r="C62" s="48" t="s">
        <v>922</v>
      </c>
      <c r="D62" s="209" t="s">
        <v>1118</v>
      </c>
      <c r="E62" s="220">
        <v>1614.02</v>
      </c>
      <c r="F62" s="211">
        <v>1632.45</v>
      </c>
      <c r="G62" s="212">
        <v>451.05351439999998</v>
      </c>
    </row>
    <row r="63" spans="2:8" x14ac:dyDescent="0.2">
      <c r="B63" s="208" t="s">
        <v>578</v>
      </c>
      <c r="C63" s="48" t="s">
        <v>929</v>
      </c>
      <c r="D63" s="209" t="s">
        <v>1118</v>
      </c>
      <c r="E63" s="220">
        <v>577.05999999999995</v>
      </c>
      <c r="F63" s="211">
        <v>570.15</v>
      </c>
      <c r="G63" s="212">
        <v>26.958427199999999</v>
      </c>
    </row>
    <row r="64" spans="2:8" x14ac:dyDescent="0.2">
      <c r="B64" s="208" t="s">
        <v>578</v>
      </c>
      <c r="C64" s="48" t="s">
        <v>946</v>
      </c>
      <c r="D64" s="209" t="s">
        <v>1118</v>
      </c>
      <c r="E64" s="220">
        <v>2650.27</v>
      </c>
      <c r="F64" s="211">
        <v>2577</v>
      </c>
      <c r="G64" s="212">
        <v>193.63616999999999</v>
      </c>
    </row>
    <row r="65" spans="2:7" x14ac:dyDescent="0.2">
      <c r="B65" s="208" t="s">
        <v>578</v>
      </c>
      <c r="C65" s="48" t="s">
        <v>934</v>
      </c>
      <c r="D65" s="209" t="s">
        <v>1118</v>
      </c>
      <c r="E65" s="220">
        <v>229.34</v>
      </c>
      <c r="F65" s="211">
        <v>236.05</v>
      </c>
      <c r="G65" s="212">
        <v>5.5265492000000007</v>
      </c>
    </row>
    <row r="66" spans="2:7" x14ac:dyDescent="0.2">
      <c r="B66" s="208" t="s">
        <v>578</v>
      </c>
      <c r="C66" s="48" t="s">
        <v>917</v>
      </c>
      <c r="D66" s="209" t="s">
        <v>1118</v>
      </c>
      <c r="E66" s="220">
        <v>888.45</v>
      </c>
      <c r="F66" s="211">
        <v>897.1</v>
      </c>
      <c r="G66" s="212">
        <v>311.05842949999999</v>
      </c>
    </row>
    <row r="67" spans="2:7" x14ac:dyDescent="0.2">
      <c r="B67" s="208" t="s">
        <v>578</v>
      </c>
      <c r="C67" s="48" t="s">
        <v>932</v>
      </c>
      <c r="D67" s="209" t="s">
        <v>1118</v>
      </c>
      <c r="E67" s="220">
        <v>1517.56</v>
      </c>
      <c r="F67" s="211">
        <v>1517.15</v>
      </c>
      <c r="G67" s="212">
        <v>174.52100300000001</v>
      </c>
    </row>
    <row r="68" spans="2:7" x14ac:dyDescent="0.2">
      <c r="B68" s="208" t="s">
        <v>578</v>
      </c>
      <c r="C68" s="48" t="s">
        <v>936</v>
      </c>
      <c r="D68" s="209" t="s">
        <v>1118</v>
      </c>
      <c r="E68" s="220">
        <v>1251.3900000000001</v>
      </c>
      <c r="F68" s="211">
        <v>1253.3499999999999</v>
      </c>
      <c r="G68" s="212">
        <v>20.100129599999999</v>
      </c>
    </row>
    <row r="69" spans="2:7" x14ac:dyDescent="0.2">
      <c r="B69" s="208" t="s">
        <v>578</v>
      </c>
      <c r="C69" s="48" t="s">
        <v>928</v>
      </c>
      <c r="D69" s="209" t="s">
        <v>1118</v>
      </c>
      <c r="E69" s="220">
        <v>889.56</v>
      </c>
      <c r="F69" s="211">
        <v>882.95</v>
      </c>
      <c r="G69" s="212">
        <v>68.281299199999992</v>
      </c>
    </row>
    <row r="70" spans="2:7" x14ac:dyDescent="0.2">
      <c r="B70" s="208" t="s">
        <v>578</v>
      </c>
      <c r="C70" s="48" t="s">
        <v>939</v>
      </c>
      <c r="D70" s="209" t="s">
        <v>1118</v>
      </c>
      <c r="E70" s="220">
        <v>587.07000000000005</v>
      </c>
      <c r="F70" s="211">
        <v>617.04999999999995</v>
      </c>
      <c r="G70" s="212">
        <v>42.932532500000001</v>
      </c>
    </row>
    <row r="71" spans="2:7" x14ac:dyDescent="0.2">
      <c r="B71" s="208" t="s">
        <v>578</v>
      </c>
      <c r="C71" s="48" t="s">
        <v>937</v>
      </c>
      <c r="D71" s="209" t="s">
        <v>1118</v>
      </c>
      <c r="E71" s="220">
        <v>783.33</v>
      </c>
      <c r="F71" s="211">
        <v>771.15</v>
      </c>
      <c r="G71" s="212">
        <v>29.5056552</v>
      </c>
    </row>
    <row r="72" spans="2:7" x14ac:dyDescent="0.2">
      <c r="B72" s="208" t="s">
        <v>578</v>
      </c>
      <c r="C72" s="48" t="s">
        <v>945</v>
      </c>
      <c r="D72" s="209" t="s">
        <v>1118</v>
      </c>
      <c r="E72" s="220">
        <v>105.09</v>
      </c>
      <c r="F72" s="211">
        <v>113.45</v>
      </c>
      <c r="G72" s="212">
        <v>110.5359649</v>
      </c>
    </row>
    <row r="73" spans="2:7" x14ac:dyDescent="0.2">
      <c r="B73" s="208" t="s">
        <v>578</v>
      </c>
      <c r="C73" s="48" t="s">
        <v>941</v>
      </c>
      <c r="D73" s="209" t="s">
        <v>1118</v>
      </c>
      <c r="E73" s="220">
        <v>3265.39</v>
      </c>
      <c r="F73" s="211">
        <v>3270.15</v>
      </c>
      <c r="G73" s="212">
        <v>46.511828200000004</v>
      </c>
    </row>
    <row r="74" spans="2:7" x14ac:dyDescent="0.2">
      <c r="B74" s="208" t="s">
        <v>578</v>
      </c>
      <c r="C74" s="48" t="s">
        <v>930</v>
      </c>
      <c r="D74" s="209" t="s">
        <v>1118</v>
      </c>
      <c r="E74" s="220">
        <v>1009.4</v>
      </c>
      <c r="F74" s="211">
        <v>1021.2</v>
      </c>
      <c r="G74" s="212">
        <v>263.20039199999997</v>
      </c>
    </row>
    <row r="75" spans="2:7" x14ac:dyDescent="0.2">
      <c r="B75" s="208" t="s">
        <v>578</v>
      </c>
      <c r="C75" s="48" t="s">
        <v>938</v>
      </c>
      <c r="D75" s="209" t="s">
        <v>1118</v>
      </c>
      <c r="E75" s="220">
        <v>2511.96</v>
      </c>
      <c r="F75" s="211">
        <v>2610.65</v>
      </c>
      <c r="G75" s="212">
        <v>34.5258082</v>
      </c>
    </row>
    <row r="76" spans="2:7" x14ac:dyDescent="0.2">
      <c r="B76" s="208" t="s">
        <v>578</v>
      </c>
      <c r="C76" s="48" t="s">
        <v>942</v>
      </c>
      <c r="D76" s="209" t="s">
        <v>1118</v>
      </c>
      <c r="E76" s="220">
        <v>292.58999999999997</v>
      </c>
      <c r="F76" s="211">
        <v>309.95</v>
      </c>
      <c r="G76" s="212">
        <v>81.857519999999994</v>
      </c>
    </row>
    <row r="77" spans="2:7" x14ac:dyDescent="0.2">
      <c r="B77" s="208"/>
      <c r="C77" s="48"/>
      <c r="D77" s="209"/>
      <c r="E77" s="220"/>
      <c r="F77" s="211"/>
      <c r="G77" s="212"/>
    </row>
    <row r="78" spans="2:7" x14ac:dyDescent="0.2">
      <c r="B78" s="208"/>
      <c r="C78" s="185"/>
      <c r="D78" s="209"/>
      <c r="E78" s="225"/>
      <c r="F78" s="226"/>
      <c r="G78" s="212"/>
    </row>
    <row r="79" spans="2:7" hidden="1" x14ac:dyDescent="0.2">
      <c r="B79" s="208"/>
      <c r="C79" s="227"/>
      <c r="D79" s="209"/>
      <c r="E79" s="226"/>
      <c r="F79" s="226"/>
      <c r="G79" s="212"/>
    </row>
    <row r="81" spans="2:12" x14ac:dyDescent="0.2">
      <c r="B81" s="205" t="s">
        <v>1119</v>
      </c>
      <c r="E81" s="228"/>
      <c r="F81" s="228"/>
      <c r="G81" s="228"/>
    </row>
    <row r="83" spans="2:12" x14ac:dyDescent="0.2">
      <c r="B83" s="229" t="s">
        <v>1111</v>
      </c>
      <c r="C83" s="229" t="s">
        <v>1120</v>
      </c>
    </row>
    <row r="84" spans="2:12" x14ac:dyDescent="0.2">
      <c r="B84" s="208" t="s">
        <v>1117</v>
      </c>
      <c r="C84" s="230">
        <v>0.68010000000000004</v>
      </c>
    </row>
    <row r="85" spans="2:12" x14ac:dyDescent="0.2">
      <c r="B85" s="208" t="s">
        <v>776</v>
      </c>
      <c r="C85" s="231">
        <v>0.1933</v>
      </c>
    </row>
    <row r="86" spans="2:12" x14ac:dyDescent="0.2">
      <c r="B86" s="232" t="s">
        <v>578</v>
      </c>
      <c r="C86" s="231">
        <v>0.29409999999999997</v>
      </c>
    </row>
    <row r="88" spans="2:12" x14ac:dyDescent="0.2">
      <c r="B88" s="205" t="s">
        <v>1121</v>
      </c>
    </row>
    <row r="89" spans="2:12" x14ac:dyDescent="0.2">
      <c r="B89" s="205"/>
    </row>
    <row r="90" spans="2:12" ht="63.75" x14ac:dyDescent="0.2">
      <c r="B90" s="206" t="s">
        <v>1111</v>
      </c>
      <c r="C90" s="207" t="s">
        <v>1122</v>
      </c>
      <c r="D90" s="207" t="s">
        <v>1123</v>
      </c>
      <c r="E90" s="207" t="s">
        <v>1124</v>
      </c>
      <c r="F90" s="207" t="s">
        <v>1125</v>
      </c>
      <c r="G90" s="207" t="s">
        <v>1126</v>
      </c>
    </row>
    <row r="91" spans="2:12" ht="15" customHeight="1" x14ac:dyDescent="0.2">
      <c r="B91" s="208" t="s">
        <v>1117</v>
      </c>
      <c r="C91" s="233">
        <f>592+698+1+639+16+681+624+17+465+532+510+583</f>
        <v>5358</v>
      </c>
      <c r="D91" s="233">
        <f>592+666+1+639+16+681+624+17+465+532+470+583</f>
        <v>5286</v>
      </c>
      <c r="E91" s="223">
        <f>4495.99+4695.0754+5.2245+4278.04+119.81+4703.61+4844.3952+97.8796+3811.1272+4172.337+3779.15+4569.11</f>
        <v>39571.748899999999</v>
      </c>
      <c r="F91" s="223">
        <f>4426.35+5092.9764+4.9094+4392.74+112.5+4290.16+4453.2102+99.9323+3799.1367+4254.2162+3731.01+4401.67</f>
        <v>39058.811199999996</v>
      </c>
      <c r="G91" s="234">
        <f t="shared" ref="G91:G98" si="0">+F91-E91</f>
        <v>-512.93770000000222</v>
      </c>
      <c r="H91" s="235"/>
      <c r="I91" s="236"/>
      <c r="J91" s="237"/>
      <c r="K91" s="237"/>
      <c r="L91" s="237"/>
    </row>
    <row r="92" spans="2:12" ht="15" customHeight="1" x14ac:dyDescent="0.2">
      <c r="B92" s="232" t="s">
        <v>176</v>
      </c>
      <c r="C92" s="233">
        <v>700</v>
      </c>
      <c r="D92" s="233">
        <v>700</v>
      </c>
      <c r="E92" s="223">
        <v>5198.2</v>
      </c>
      <c r="F92" s="223">
        <v>5030.8599999999997</v>
      </c>
      <c r="G92" s="234">
        <f t="shared" si="0"/>
        <v>-167.34000000000015</v>
      </c>
      <c r="H92" s="235"/>
      <c r="I92" s="236"/>
      <c r="J92" s="237"/>
      <c r="K92" s="237"/>
      <c r="L92" s="237"/>
    </row>
    <row r="93" spans="2:12" ht="15" customHeight="1" x14ac:dyDescent="0.2">
      <c r="B93" s="208" t="s">
        <v>776</v>
      </c>
      <c r="C93" s="238">
        <f>5061+4765+5303+4783+14+3721+2029+3523+16+4080+35+4498</f>
        <v>37828</v>
      </c>
      <c r="D93" s="238">
        <f>5061+4550+5303+4783+14+3721+2029+3523+16+3960+35+4498</f>
        <v>37493</v>
      </c>
      <c r="E93" s="239">
        <f>34709.76+30322.71973+32163.99+30319.2+120.7204+23543.7228+12022.9249+24953.5394+89.91+29064.8+200.8319+32150.9287</f>
        <v>249663.04783</v>
      </c>
      <c r="F93" s="239">
        <f>35230.27+32213.3015+33286.49+28711.13+122.9396+22575.5819+12508.3733+24331.15496+84.8627+27976.39+193.2501+32746.02869</f>
        <v>249979.77275</v>
      </c>
      <c r="G93" s="234">
        <f t="shared" si="0"/>
        <v>316.72492000000784</v>
      </c>
      <c r="H93" s="235"/>
      <c r="I93" s="236"/>
      <c r="J93" s="237"/>
      <c r="K93" s="237"/>
      <c r="L93" s="237"/>
    </row>
    <row r="94" spans="2:12" ht="15" customHeight="1" x14ac:dyDescent="0.2">
      <c r="B94" s="232" t="s">
        <v>578</v>
      </c>
      <c r="C94" s="233">
        <f>1457+1762+1712+1689+1724+1676+1648+1683+1683</f>
        <v>15034</v>
      </c>
      <c r="D94" s="233">
        <f>1457+1706+1712+1689+1724+1676+1648+1683+1683</f>
        <v>14978</v>
      </c>
      <c r="E94" s="223">
        <f>9647.08+11093.2302+10791.45+11632.472+12255.4536+11958.5765+12114.8082+12360.367+12187.199</f>
        <v>104040.63649999999</v>
      </c>
      <c r="F94" s="223">
        <f>9908.46+11698.9857+11068.64+10789.8388+11655.5599+12071.8268+12000.61615+12143.96+12432.605</f>
        <v>103770.49235</v>
      </c>
      <c r="G94" s="234">
        <f t="shared" si="0"/>
        <v>-270.14414999999281</v>
      </c>
      <c r="H94" s="235"/>
      <c r="I94" s="236"/>
      <c r="J94" s="237"/>
      <c r="K94" s="237"/>
      <c r="L94" s="237"/>
    </row>
    <row r="95" spans="2:12" x14ac:dyDescent="0.2">
      <c r="B95" s="240" t="s">
        <v>733</v>
      </c>
      <c r="C95" s="233">
        <v>500</v>
      </c>
      <c r="D95" s="233">
        <v>500</v>
      </c>
      <c r="E95" s="223">
        <v>2417.11</v>
      </c>
      <c r="F95" s="223">
        <v>2635.38</v>
      </c>
      <c r="G95" s="234">
        <f t="shared" si="0"/>
        <v>218.26999999999998</v>
      </c>
      <c r="H95" s="235"/>
      <c r="I95" s="236"/>
      <c r="J95" s="237"/>
      <c r="K95" s="237"/>
      <c r="L95" s="237"/>
    </row>
    <row r="96" spans="2:12" x14ac:dyDescent="0.2">
      <c r="B96" s="208" t="s">
        <v>772</v>
      </c>
      <c r="C96" s="238">
        <f>50+10+375+220</f>
        <v>655</v>
      </c>
      <c r="D96" s="238">
        <f>50+10+375+220</f>
        <v>655</v>
      </c>
      <c r="E96" s="241">
        <f>344.7+84.0062+1781.484+1522.6445</f>
        <v>3732.8347000000003</v>
      </c>
      <c r="F96" s="239">
        <f>341.7614+85.4046+1779.2769+1492.3994</f>
        <v>3698.8423000000003</v>
      </c>
      <c r="G96" s="234">
        <f t="shared" si="0"/>
        <v>-33.992400000000089</v>
      </c>
      <c r="H96" s="235"/>
      <c r="I96" s="236"/>
      <c r="J96" s="237"/>
      <c r="K96" s="237"/>
      <c r="L96" s="237"/>
    </row>
    <row r="97" spans="2:12" x14ac:dyDescent="0.2">
      <c r="B97" s="208" t="s">
        <v>723</v>
      </c>
      <c r="C97" s="238">
        <f>150+66+105</f>
        <v>321</v>
      </c>
      <c r="D97" s="238">
        <f>150+66+105</f>
        <v>321</v>
      </c>
      <c r="E97" s="241">
        <f>1326.8625+323.069+947.5594</f>
        <v>2597.4908999999998</v>
      </c>
      <c r="F97" s="239">
        <f>1183.76575195+326.42+996.32</f>
        <v>2506.5057519500001</v>
      </c>
      <c r="G97" s="234">
        <f t="shared" si="0"/>
        <v>-90.98514804999968</v>
      </c>
      <c r="H97" s="235"/>
      <c r="I97" s="236"/>
      <c r="J97" s="237"/>
      <c r="K97" s="237"/>
      <c r="L97" s="237"/>
    </row>
    <row r="98" spans="2:12" x14ac:dyDescent="0.2">
      <c r="B98" s="232" t="s">
        <v>737</v>
      </c>
      <c r="C98" s="238">
        <f>150+200+27</f>
        <v>377</v>
      </c>
      <c r="D98" s="238">
        <f>150+200+27</f>
        <v>377</v>
      </c>
      <c r="E98" s="239">
        <f>1326.8625+1452.18+243.6581</f>
        <v>3022.7006000000001</v>
      </c>
      <c r="F98" s="239">
        <f>1182.48949245+1430.3528+256.1581</f>
        <v>2869.0003924500002</v>
      </c>
      <c r="G98" s="242">
        <f t="shared" si="0"/>
        <v>-153.70020754999996</v>
      </c>
      <c r="H98" s="235"/>
      <c r="I98" s="236"/>
      <c r="J98" s="237"/>
    </row>
    <row r="99" spans="2:12" x14ac:dyDescent="0.2">
      <c r="H99" s="235"/>
      <c r="I99" s="236"/>
      <c r="J99" s="237"/>
    </row>
    <row r="100" spans="2:12" ht="15" customHeight="1" x14ac:dyDescent="0.2">
      <c r="E100" s="237"/>
      <c r="F100" s="237"/>
      <c r="H100" s="235"/>
      <c r="I100" s="236"/>
      <c r="J100" s="237"/>
    </row>
    <row r="101" spans="2:12" x14ac:dyDescent="0.2">
      <c r="B101" s="205" t="s">
        <v>1127</v>
      </c>
      <c r="F101" s="237"/>
      <c r="G101" s="236"/>
      <c r="H101" s="235"/>
      <c r="I101" s="236"/>
      <c r="L101" s="235"/>
    </row>
    <row r="102" spans="2:12" x14ac:dyDescent="0.2">
      <c r="H102" s="243"/>
      <c r="L102" s="236"/>
    </row>
    <row r="103" spans="2:12" ht="25.5" x14ac:dyDescent="0.2">
      <c r="B103" s="206" t="s">
        <v>1111</v>
      </c>
      <c r="C103" s="206" t="s">
        <v>1112</v>
      </c>
      <c r="D103" s="206" t="s">
        <v>1113</v>
      </c>
      <c r="E103" s="207" t="s">
        <v>1114</v>
      </c>
      <c r="F103" s="207" t="s">
        <v>1115</v>
      </c>
      <c r="G103" s="207" t="s">
        <v>1128</v>
      </c>
    </row>
    <row r="104" spans="2:12" x14ac:dyDescent="0.2">
      <c r="B104" s="208"/>
      <c r="C104" s="208"/>
      <c r="D104" s="209" t="s">
        <v>1129</v>
      </c>
      <c r="E104" s="226"/>
      <c r="F104" s="220"/>
      <c r="G104" s="212"/>
    </row>
    <row r="105" spans="2:12" x14ac:dyDescent="0.2">
      <c r="B105" s="208"/>
      <c r="C105" s="232"/>
      <c r="D105" s="209" t="s">
        <v>1129</v>
      </c>
      <c r="E105" s="244"/>
      <c r="F105" s="220"/>
      <c r="G105" s="244"/>
      <c r="I105" s="236"/>
    </row>
    <row r="106" spans="2:12" x14ac:dyDescent="0.2">
      <c r="C106" s="245"/>
      <c r="D106" s="246"/>
      <c r="E106" s="247"/>
      <c r="F106" s="248"/>
      <c r="G106" s="248"/>
      <c r="I106" s="236"/>
    </row>
    <row r="107" spans="2:12" x14ac:dyDescent="0.2">
      <c r="B107" s="205" t="s">
        <v>1130</v>
      </c>
      <c r="I107" s="236"/>
    </row>
    <row r="108" spans="2:12" x14ac:dyDescent="0.2">
      <c r="I108" s="236"/>
      <c r="L108" s="237"/>
    </row>
    <row r="109" spans="2:12" x14ac:dyDescent="0.2">
      <c r="B109" s="229" t="s">
        <v>1111</v>
      </c>
      <c r="C109" s="229" t="s">
        <v>1120</v>
      </c>
    </row>
    <row r="110" spans="2:12" x14ac:dyDescent="0.2">
      <c r="B110" s="208"/>
      <c r="C110" s="249"/>
    </row>
    <row r="111" spans="2:12" x14ac:dyDescent="0.2">
      <c r="B111" s="250"/>
      <c r="C111" s="251"/>
    </row>
    <row r="112" spans="2:12" x14ac:dyDescent="0.2">
      <c r="B112" s="205" t="s">
        <v>1131</v>
      </c>
    </row>
    <row r="113" spans="2:9" x14ac:dyDescent="0.2">
      <c r="B113" s="205"/>
    </row>
    <row r="114" spans="2:9" ht="63.75" x14ac:dyDescent="0.2">
      <c r="B114" s="206" t="s">
        <v>1111</v>
      </c>
      <c r="C114" s="207" t="s">
        <v>1122</v>
      </c>
      <c r="D114" s="207" t="s">
        <v>1123</v>
      </c>
      <c r="E114" s="207" t="s">
        <v>1124</v>
      </c>
      <c r="F114" s="207" t="s">
        <v>1132</v>
      </c>
      <c r="G114" s="207" t="s">
        <v>1133</v>
      </c>
    </row>
    <row r="115" spans="2:9" x14ac:dyDescent="0.2">
      <c r="B115" s="208" t="s">
        <v>776</v>
      </c>
      <c r="C115" s="238">
        <f>25+223+229+179+40+120</f>
        <v>816</v>
      </c>
      <c r="D115" s="238">
        <f>25+223+229+179+40+120</f>
        <v>816</v>
      </c>
      <c r="E115" s="239">
        <f>195.9995+1570.23+2027.92+1402.3108+282.3372+925.4074</f>
        <v>6404.2048999999997</v>
      </c>
      <c r="F115" s="239">
        <f>187.8+1773.43+2217.26+1328.3916+273.06+944.82</f>
        <v>6724.7615999999998</v>
      </c>
      <c r="G115" s="252">
        <f t="shared" ref="G115:G122" si="1">+F115-E115</f>
        <v>320.55670000000009</v>
      </c>
      <c r="H115" s="235"/>
      <c r="I115" s="236"/>
    </row>
    <row r="116" spans="2:9" x14ac:dyDescent="0.2">
      <c r="B116" s="232" t="s">
        <v>176</v>
      </c>
      <c r="C116" s="253">
        <f>1890+745+194+394+300+166+37+1204</f>
        <v>4930</v>
      </c>
      <c r="D116" s="253">
        <f>1890+745+194+394+300+166+37+1204</f>
        <v>4930</v>
      </c>
      <c r="E116" s="254">
        <f>11395.37+5551.8216+1627.3139+3130.9363+4421.94+9533.71109</f>
        <v>35661.09289</v>
      </c>
      <c r="F116" s="254">
        <f>12184.88+6524.8294+1592.5863+3425.732+4178.1+9479.694</f>
        <v>37385.8217</v>
      </c>
      <c r="G116" s="252">
        <f t="shared" si="1"/>
        <v>1724.7288100000005</v>
      </c>
      <c r="H116" s="255"/>
      <c r="I116" s="236"/>
    </row>
    <row r="117" spans="2:9" x14ac:dyDescent="0.2">
      <c r="B117" s="232" t="s">
        <v>718</v>
      </c>
      <c r="C117" s="253">
        <f>25+107</f>
        <v>132</v>
      </c>
      <c r="D117" s="253">
        <f>25+107</f>
        <v>132</v>
      </c>
      <c r="E117" s="254">
        <f>286.4909+868.75</f>
        <v>1155.2409</v>
      </c>
      <c r="F117" s="254">
        <f>294.683+930.34</f>
        <v>1225.0230000000001</v>
      </c>
      <c r="G117" s="252">
        <f t="shared" si="1"/>
        <v>69.782100000000128</v>
      </c>
      <c r="I117" s="236"/>
    </row>
    <row r="118" spans="2:9" x14ac:dyDescent="0.2">
      <c r="B118" s="208" t="s">
        <v>723</v>
      </c>
      <c r="C118" s="256">
        <f>95+189</f>
        <v>284</v>
      </c>
      <c r="D118" s="256">
        <f>95+189</f>
        <v>284</v>
      </c>
      <c r="E118" s="254">
        <f>311.711+901.6695</f>
        <v>1213.3805</v>
      </c>
      <c r="F118" s="254">
        <f>267.23+857.28</f>
        <v>1124.51</v>
      </c>
      <c r="G118" s="252">
        <f t="shared" si="1"/>
        <v>-88.870499999999993</v>
      </c>
      <c r="H118" s="257"/>
      <c r="I118" s="236"/>
    </row>
    <row r="119" spans="2:9" x14ac:dyDescent="0.2">
      <c r="B119" s="208" t="s">
        <v>734</v>
      </c>
      <c r="C119" s="238">
        <v>8368</v>
      </c>
      <c r="D119" s="238">
        <v>8368</v>
      </c>
      <c r="E119" s="241">
        <v>75631.650500000003</v>
      </c>
      <c r="F119" s="239">
        <v>72687.448900000003</v>
      </c>
      <c r="G119" s="234">
        <f t="shared" si="1"/>
        <v>-2944.2016000000003</v>
      </c>
      <c r="H119" s="257"/>
      <c r="I119" s="236"/>
    </row>
    <row r="120" spans="2:9" x14ac:dyDescent="0.2">
      <c r="B120" s="208" t="s">
        <v>772</v>
      </c>
      <c r="C120" s="256">
        <f>473+230+298+1389+594+235</f>
        <v>3219</v>
      </c>
      <c r="D120" s="256">
        <f>473+230+298+1389+594+235</f>
        <v>3219</v>
      </c>
      <c r="E120" s="254">
        <f>3005.425+1717.0198+2241.4338+7387.7731+4314.042+1819.599603</f>
        <v>20485.293302999999</v>
      </c>
      <c r="F120" s="254">
        <f>3011.65+2032.6718+2127.4822+7957.6124+4229.146+1850.2725</f>
        <v>21208.834899999998</v>
      </c>
      <c r="G120" s="252">
        <f t="shared" si="1"/>
        <v>723.54159699999946</v>
      </c>
      <c r="H120" s="257"/>
      <c r="I120" s="236"/>
    </row>
    <row r="121" spans="2:9" hidden="1" x14ac:dyDescent="0.2">
      <c r="B121" s="232"/>
      <c r="C121" s="256"/>
      <c r="D121" s="256"/>
      <c r="E121" s="254"/>
      <c r="F121" s="254"/>
      <c r="G121" s="252">
        <f t="shared" si="1"/>
        <v>0</v>
      </c>
      <c r="H121" s="257"/>
      <c r="I121" s="236"/>
    </row>
    <row r="122" spans="2:9" s="205" customFormat="1" hidden="1" x14ac:dyDescent="0.2">
      <c r="B122" s="258"/>
      <c r="C122" s="238"/>
      <c r="D122" s="238"/>
      <c r="E122" s="239"/>
      <c r="F122" s="239"/>
      <c r="G122" s="252">
        <f t="shared" si="1"/>
        <v>0</v>
      </c>
      <c r="H122" s="257"/>
      <c r="I122" s="259"/>
    </row>
    <row r="123" spans="2:9" hidden="1" x14ac:dyDescent="0.2">
      <c r="B123" s="232"/>
      <c r="C123" s="253"/>
      <c r="D123" s="253"/>
      <c r="E123" s="254"/>
      <c r="F123" s="254"/>
      <c r="G123" s="252">
        <f>+F123-E123</f>
        <v>0</v>
      </c>
      <c r="H123" s="255"/>
    </row>
    <row r="124" spans="2:9" hidden="1" x14ac:dyDescent="0.2">
      <c r="B124" s="240"/>
      <c r="C124" s="260"/>
      <c r="D124" s="260"/>
      <c r="E124" s="261"/>
      <c r="F124" s="261"/>
      <c r="G124" s="262">
        <f>+F124-E124</f>
        <v>0</v>
      </c>
      <c r="H124" s="235"/>
      <c r="I124" s="236"/>
    </row>
    <row r="125" spans="2:9" ht="15" customHeight="1" x14ac:dyDescent="0.2">
      <c r="H125" s="235"/>
      <c r="I125" s="236"/>
    </row>
    <row r="126" spans="2:9" x14ac:dyDescent="0.2">
      <c r="B126" s="263"/>
      <c r="C126" s="264"/>
      <c r="D126" s="264"/>
      <c r="E126" s="265"/>
      <c r="F126" s="265"/>
      <c r="G126" s="265"/>
      <c r="H126" s="236"/>
    </row>
    <row r="127" spans="2:9" x14ac:dyDescent="0.2">
      <c r="B127" s="205" t="s">
        <v>1134</v>
      </c>
      <c r="D127" s="266"/>
    </row>
    <row r="129" spans="2:7" ht="25.5" x14ac:dyDescent="0.2">
      <c r="B129" s="207" t="s">
        <v>1111</v>
      </c>
      <c r="C129" s="207" t="s">
        <v>1112</v>
      </c>
      <c r="D129" s="207" t="s">
        <v>1135</v>
      </c>
      <c r="E129" s="207" t="s">
        <v>1136</v>
      </c>
      <c r="F129" s="207" t="s">
        <v>1137</v>
      </c>
      <c r="G129" s="207" t="s">
        <v>1138</v>
      </c>
    </row>
    <row r="130" spans="2:7" x14ac:dyDescent="0.2">
      <c r="B130" s="267" t="s">
        <v>899</v>
      </c>
      <c r="C130" s="267" t="s">
        <v>899</v>
      </c>
      <c r="D130" s="267" t="s">
        <v>899</v>
      </c>
      <c r="E130" s="267" t="s">
        <v>899</v>
      </c>
      <c r="F130" s="267" t="s">
        <v>899</v>
      </c>
      <c r="G130" s="267" t="s">
        <v>899</v>
      </c>
    </row>
    <row r="131" spans="2:7" x14ac:dyDescent="0.2">
      <c r="D131" s="266"/>
      <c r="E131" s="266"/>
      <c r="F131" s="268"/>
      <c r="G131" s="268"/>
    </row>
    <row r="132" spans="2:7" x14ac:dyDescent="0.2">
      <c r="D132" s="266"/>
      <c r="E132" s="266"/>
      <c r="F132" s="268"/>
      <c r="G132" s="268"/>
    </row>
    <row r="133" spans="2:7" x14ac:dyDescent="0.2">
      <c r="B133" s="205" t="s">
        <v>1139</v>
      </c>
      <c r="G133" s="172" t="s">
        <v>1005</v>
      </c>
    </row>
    <row r="134" spans="2:7" x14ac:dyDescent="0.2">
      <c r="B134" s="205"/>
    </row>
    <row r="135" spans="2:7" x14ac:dyDescent="0.2">
      <c r="B135" s="229" t="s">
        <v>1111</v>
      </c>
      <c r="C135" s="229" t="s">
        <v>1120</v>
      </c>
    </row>
    <row r="136" spans="2:7" x14ac:dyDescent="0.2">
      <c r="B136" s="267" t="s">
        <v>899</v>
      </c>
      <c r="C136" s="267" t="s">
        <v>899</v>
      </c>
    </row>
    <row r="137" spans="2:7" x14ac:dyDescent="0.2">
      <c r="C137" s="269"/>
      <c r="D137" s="251"/>
    </row>
    <row r="138" spans="2:7" x14ac:dyDescent="0.2">
      <c r="B138" s="205" t="s">
        <v>1140</v>
      </c>
    </row>
    <row r="140" spans="2:7" ht="38.25" x14ac:dyDescent="0.2">
      <c r="B140" s="206" t="s">
        <v>1111</v>
      </c>
      <c r="C140" s="207" t="s">
        <v>1141</v>
      </c>
      <c r="D140" s="207" t="s">
        <v>1142</v>
      </c>
      <c r="E140" s="207" t="s">
        <v>1143</v>
      </c>
      <c r="F140" s="207" t="s">
        <v>1144</v>
      </c>
    </row>
    <row r="141" spans="2:7" x14ac:dyDescent="0.2">
      <c r="B141" s="270"/>
      <c r="C141" s="267"/>
      <c r="D141" s="271"/>
      <c r="E141" s="252"/>
      <c r="F141" s="252">
        <f>+E141-D141</f>
        <v>0</v>
      </c>
    </row>
    <row r="142" spans="2:7" x14ac:dyDescent="0.2">
      <c r="B142" s="272"/>
      <c r="C142" s="273"/>
      <c r="D142" s="274"/>
      <c r="E142" s="274"/>
      <c r="F142" s="275"/>
    </row>
    <row r="143" spans="2:7" x14ac:dyDescent="0.2">
      <c r="B143" s="272"/>
      <c r="C143" s="273"/>
      <c r="D143" s="274"/>
      <c r="E143" s="274"/>
      <c r="F143" s="275"/>
    </row>
    <row r="145" spans="2:7" x14ac:dyDescent="0.2">
      <c r="B145" s="205" t="s">
        <v>1145</v>
      </c>
    </row>
    <row r="147" spans="2:7" ht="25.5" x14ac:dyDescent="0.2">
      <c r="B147" s="207" t="s">
        <v>1111</v>
      </c>
      <c r="C147" s="207" t="s">
        <v>1112</v>
      </c>
      <c r="D147" s="207" t="s">
        <v>1135</v>
      </c>
      <c r="E147" s="207" t="s">
        <v>1136</v>
      </c>
      <c r="F147" s="207" t="s">
        <v>1137</v>
      </c>
      <c r="G147" s="207" t="s">
        <v>1138</v>
      </c>
    </row>
    <row r="148" spans="2:7" x14ac:dyDescent="0.2">
      <c r="B148" s="208" t="s">
        <v>899</v>
      </c>
      <c r="C148" s="208" t="s">
        <v>899</v>
      </c>
      <c r="D148" s="208" t="s">
        <v>899</v>
      </c>
      <c r="E148" s="208" t="s">
        <v>899</v>
      </c>
      <c r="F148" s="208" t="s">
        <v>899</v>
      </c>
      <c r="G148" s="208" t="s">
        <v>899</v>
      </c>
    </row>
    <row r="149" spans="2:7" x14ac:dyDescent="0.2">
      <c r="C149" s="245"/>
      <c r="D149" s="276"/>
      <c r="E149" s="277"/>
      <c r="F149" s="268"/>
      <c r="G149" s="268"/>
    </row>
    <row r="150" spans="2:7" x14ac:dyDescent="0.2">
      <c r="B150" s="205" t="s">
        <v>1146</v>
      </c>
    </row>
    <row r="151" spans="2:7" x14ac:dyDescent="0.2">
      <c r="B151" s="205"/>
    </row>
    <row r="152" spans="2:7" x14ac:dyDescent="0.2">
      <c r="B152" s="229" t="s">
        <v>1111</v>
      </c>
      <c r="C152" s="229" t="s">
        <v>1120</v>
      </c>
    </row>
    <row r="153" spans="2:7" x14ac:dyDescent="0.2">
      <c r="B153" s="208" t="s">
        <v>899</v>
      </c>
      <c r="C153" s="208" t="s">
        <v>899</v>
      </c>
    </row>
    <row r="154" spans="2:7" x14ac:dyDescent="0.2">
      <c r="B154" s="250"/>
      <c r="C154" s="251"/>
    </row>
    <row r="155" spans="2:7" x14ac:dyDescent="0.2">
      <c r="B155" s="205" t="s">
        <v>1147</v>
      </c>
    </row>
    <row r="157" spans="2:7" ht="38.25" x14ac:dyDescent="0.2">
      <c r="B157" s="206" t="s">
        <v>1111</v>
      </c>
      <c r="C157" s="207" t="s">
        <v>1141</v>
      </c>
      <c r="D157" s="207" t="s">
        <v>1148</v>
      </c>
      <c r="E157" s="207" t="s">
        <v>1149</v>
      </c>
      <c r="F157" s="207" t="s">
        <v>1144</v>
      </c>
    </row>
    <row r="158" spans="2:7" x14ac:dyDescent="0.2">
      <c r="B158" s="208"/>
      <c r="C158" s="267"/>
      <c r="D158" s="271"/>
      <c r="E158" s="267"/>
      <c r="F158" s="267"/>
    </row>
    <row r="159" spans="2:7" x14ac:dyDescent="0.2">
      <c r="G159" s="278"/>
    </row>
    <row r="160" spans="2:7" x14ac:dyDescent="0.2">
      <c r="F160" s="279"/>
      <c r="G160" s="237"/>
    </row>
    <row r="161" spans="2:7" x14ac:dyDescent="0.2">
      <c r="B161" s="205" t="s">
        <v>1150</v>
      </c>
    </row>
    <row r="162" spans="2:7" x14ac:dyDescent="0.2">
      <c r="B162" s="205"/>
    </row>
    <row r="163" spans="2:7" x14ac:dyDescent="0.2">
      <c r="E163" s="237"/>
    </row>
    <row r="164" spans="2:7" x14ac:dyDescent="0.2">
      <c r="B164" s="205" t="s">
        <v>1151</v>
      </c>
      <c r="E164" s="237"/>
    </row>
    <row r="165" spans="2:7" x14ac:dyDescent="0.2">
      <c r="E165" s="237"/>
    </row>
    <row r="166" spans="2:7" ht="25.5" x14ac:dyDescent="0.2">
      <c r="B166" s="206" t="s">
        <v>1111</v>
      </c>
      <c r="C166" s="207" t="s">
        <v>1112</v>
      </c>
      <c r="D166" s="207" t="s">
        <v>1113</v>
      </c>
      <c r="E166" s="207" t="s">
        <v>1152</v>
      </c>
      <c r="F166" s="207" t="s">
        <v>1153</v>
      </c>
      <c r="G166" s="207" t="s">
        <v>1154</v>
      </c>
    </row>
    <row r="167" spans="2:7" x14ac:dyDescent="0.2">
      <c r="B167" s="232" t="s">
        <v>899</v>
      </c>
      <c r="C167" s="258" t="s">
        <v>899</v>
      </c>
      <c r="D167" s="280" t="s">
        <v>899</v>
      </c>
      <c r="E167" s="244" t="s">
        <v>899</v>
      </c>
      <c r="F167" s="244" t="s">
        <v>899</v>
      </c>
      <c r="G167" s="244" t="s">
        <v>899</v>
      </c>
    </row>
    <row r="168" spans="2:7" x14ac:dyDescent="0.2">
      <c r="E168" s="237"/>
    </row>
    <row r="169" spans="2:7" x14ac:dyDescent="0.2">
      <c r="B169" s="205" t="s">
        <v>1155</v>
      </c>
      <c r="E169" s="237"/>
    </row>
    <row r="170" spans="2:7" x14ac:dyDescent="0.2">
      <c r="B170" s="205"/>
      <c r="E170" s="237"/>
    </row>
    <row r="171" spans="2:7" x14ac:dyDescent="0.2">
      <c r="B171" s="229" t="s">
        <v>1111</v>
      </c>
      <c r="C171" s="229" t="s">
        <v>1120</v>
      </c>
      <c r="E171" s="237"/>
    </row>
    <row r="172" spans="2:7" x14ac:dyDescent="0.2">
      <c r="B172" s="267" t="s">
        <v>899</v>
      </c>
      <c r="C172" s="253" t="s">
        <v>899</v>
      </c>
      <c r="E172" s="237"/>
    </row>
    <row r="173" spans="2:7" x14ac:dyDescent="0.2">
      <c r="E173" s="237"/>
    </row>
    <row r="174" spans="2:7" x14ac:dyDescent="0.2">
      <c r="B174" s="205" t="s">
        <v>1156</v>
      </c>
      <c r="E174" s="237"/>
    </row>
    <row r="175" spans="2:7" x14ac:dyDescent="0.2">
      <c r="E175" s="237"/>
    </row>
    <row r="176" spans="2:7" ht="63.75" x14ac:dyDescent="0.2">
      <c r="B176" s="206" t="s">
        <v>1111</v>
      </c>
      <c r="C176" s="207" t="s">
        <v>1122</v>
      </c>
      <c r="D176" s="207" t="s">
        <v>1123</v>
      </c>
      <c r="E176" s="207" t="s">
        <v>1124</v>
      </c>
      <c r="F176" s="207" t="s">
        <v>1125</v>
      </c>
      <c r="G176" s="207" t="s">
        <v>1126</v>
      </c>
    </row>
    <row r="177" spans="2:10" x14ac:dyDescent="0.2">
      <c r="B177" s="253"/>
      <c r="C177" s="253"/>
      <c r="D177" s="233"/>
      <c r="E177" s="281"/>
      <c r="F177" s="282"/>
      <c r="G177" s="283"/>
      <c r="I177" s="236"/>
      <c r="J177" s="237"/>
    </row>
    <row r="178" spans="2:10" x14ac:dyDescent="0.2">
      <c r="E178" s="237"/>
    </row>
    <row r="179" spans="2:10" x14ac:dyDescent="0.2">
      <c r="E179" s="237"/>
    </row>
    <row r="180" spans="2:10" x14ac:dyDescent="0.2">
      <c r="B180" s="205" t="s">
        <v>1157</v>
      </c>
      <c r="E180" s="237"/>
    </row>
    <row r="181" spans="2:10" x14ac:dyDescent="0.2">
      <c r="E181" s="237"/>
    </row>
    <row r="182" spans="2:10" ht="63.75" x14ac:dyDescent="0.2">
      <c r="B182" s="206" t="s">
        <v>1111</v>
      </c>
      <c r="C182" s="207" t="s">
        <v>1122</v>
      </c>
      <c r="D182" s="207" t="s">
        <v>1123</v>
      </c>
      <c r="E182" s="207" t="s">
        <v>1124</v>
      </c>
      <c r="F182" s="207" t="s">
        <v>1125</v>
      </c>
      <c r="G182" s="207" t="s">
        <v>1126</v>
      </c>
    </row>
    <row r="183" spans="2:10" x14ac:dyDescent="0.2">
      <c r="B183" s="209"/>
      <c r="C183" s="267"/>
      <c r="D183" s="267"/>
      <c r="E183" s="284"/>
      <c r="F183" s="284"/>
      <c r="G183" s="284"/>
    </row>
    <row r="184" spans="2:10" x14ac:dyDescent="0.2">
      <c r="E184" s="237"/>
    </row>
    <row r="185" spans="2:10" x14ac:dyDescent="0.2">
      <c r="E185" s="237"/>
    </row>
    <row r="186" spans="2:10" x14ac:dyDescent="0.2">
      <c r="E186" s="237"/>
    </row>
    <row r="187" spans="2:10" x14ac:dyDescent="0.2">
      <c r="B187" s="172" t="s">
        <v>1158</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Index</vt:lpstr>
      <vt:lpstr>CAPEXG</vt:lpstr>
      <vt:lpstr>MIDCAP</vt:lpstr>
      <vt:lpstr>MULTI1</vt:lpstr>
      <vt:lpstr>MULTI2</vt:lpstr>
      <vt:lpstr>MULTIP</vt:lpstr>
      <vt:lpstr>SESCAP1</vt:lpstr>
      <vt:lpstr>SESCAP2</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Bharathi B - Sundaram Mutual</cp:lastModifiedBy>
  <dcterms:created xsi:type="dcterms:W3CDTF">2023-01-02T11:00:50Z</dcterms:created>
  <dcterms:modified xsi:type="dcterms:W3CDTF">2023-02-09T11:03:40Z</dcterms:modified>
</cp:coreProperties>
</file>