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iew\2021-22\6. Sep 2021\"/>
    </mc:Choice>
  </mc:AlternateContent>
  <xr:revisionPtr revIDLastSave="0" documentId="13_ncr:1_{7AE5A712-F7CD-43C6-96DE-048A8CB0C8D4}" xr6:coauthVersionLast="47" xr6:coauthVersionMax="47" xr10:uidLastSave="{00000000-0000-0000-0000-000000000000}"/>
  <bookViews>
    <workbookView xWindow="-120" yWindow="-120" windowWidth="20730" windowHeight="11160" tabRatio="695" xr2:uid="{00000000-000D-0000-FFFF-FFFF00000000}"/>
  </bookViews>
  <sheets>
    <sheet name="Index" sheetId="39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FOCUS" sheetId="17" r:id="rId18"/>
    <sheet name="SLTADV3" sheetId="18" r:id="rId19"/>
    <sheet name="SLTADV4" sheetId="19" r:id="rId20"/>
    <sheet name="SLTAX1" sheetId="20" r:id="rId21"/>
    <sheet name="SLTAX2" sheetId="21" r:id="rId22"/>
    <sheet name="SLTAX3" sheetId="22" r:id="rId23"/>
    <sheet name="SLTAX4" sheetId="23" r:id="rId24"/>
    <sheet name="SLTAX5" sheetId="24" r:id="rId25"/>
    <sheet name="SLTAX6" sheetId="25" r:id="rId26"/>
    <sheet name="SMILE" sheetId="26" r:id="rId27"/>
    <sheet name="SRURAL" sheetId="27" r:id="rId28"/>
    <sheet name="SSFUND" sheetId="28" r:id="rId29"/>
    <sheet name="SSN100" sheetId="29" r:id="rId30"/>
    <sheet name="STAX" sheetId="30" r:id="rId31"/>
    <sheet name="SUNARF" sheetId="31" r:id="rId32"/>
    <sheet name="SUNBAF" sheetId="42" r:id="rId33"/>
    <sheet name="SUNBAL" sheetId="43" r:id="rId34"/>
    <sheet name="SUNBCF" sheetId="32" r:id="rId35"/>
    <sheet name="SUNEQF" sheetId="33" r:id="rId36"/>
    <sheet name="SUNESF" sheetId="34" r:id="rId37"/>
    <sheet name="SUNFOP" sheetId="35" r:id="rId38"/>
    <sheet name="SUNVALF10" sheetId="36" r:id="rId39"/>
    <sheet name="SUNVALF7" sheetId="37" r:id="rId40"/>
    <sheet name="SUNVALF9" sheetId="38" r:id="rId41"/>
    <sheet name="GLOB" sheetId="40" r:id="rId42"/>
  </sheets>
  <definedNames>
    <definedName name="_xlnm._FilterDatabase" localSheetId="1" hidden="1">CAPEXG!$A$4:$H$133</definedName>
    <definedName name="_xlnm._FilterDatabase" localSheetId="0" hidden="1">Index!$A$1:$C$42</definedName>
    <definedName name="_xlnm._FilterDatabase" localSheetId="2" hidden="1">MICAP14!$A$4:$H$819</definedName>
    <definedName name="_xlnm._FilterDatabase" localSheetId="3" hidden="1">MICAP15!$A$4:$H$819</definedName>
    <definedName name="_xlnm._FilterDatabase" localSheetId="4" hidden="1">MICAP16!$A$4:$H$819</definedName>
    <definedName name="_xlnm._FilterDatabase" localSheetId="5" hidden="1">MICAP17!$A$4:$H$819</definedName>
    <definedName name="_xlnm._FilterDatabase" localSheetId="6" hidden="1">MIDCAP!$A$4:$H$819</definedName>
    <definedName name="_xlnm._FilterDatabase" localSheetId="7" hidden="1">MULTI1!$A$4:$H$819</definedName>
    <definedName name="_xlnm._FilterDatabase" localSheetId="8" hidden="1">MULTI2!$A$4:$H$819</definedName>
    <definedName name="_xlnm._FilterDatabase" localSheetId="9" hidden="1">MULTIP!$A$4:$H$819</definedName>
    <definedName name="_xlnm._FilterDatabase" localSheetId="10" hidden="1">SESCAP1!$A$4:$H$819</definedName>
    <definedName name="_xlnm._FilterDatabase" localSheetId="11" hidden="1">SESCAP2!$A$4:$H$819</definedName>
    <definedName name="_xlnm._FilterDatabase" localSheetId="12" hidden="1">SESCAP3!$A$4:$H$819</definedName>
    <definedName name="_xlnm._FilterDatabase" localSheetId="13" hidden="1">SESCAP4!$A$4:$H$819</definedName>
    <definedName name="_xlnm._FilterDatabase" localSheetId="14" hidden="1">SESCAP5!$A$4:$H$819</definedName>
    <definedName name="_xlnm._FilterDatabase" localSheetId="15" hidden="1">SESCAP6!$A$4:$H$819</definedName>
    <definedName name="_xlnm._FilterDatabase" localSheetId="16" hidden="1">SESCAP7!$A$4:$H$819</definedName>
    <definedName name="_xlnm._FilterDatabase" localSheetId="17" hidden="1">SFOCUS!$A$4:$H$819</definedName>
    <definedName name="_xlnm._FilterDatabase" localSheetId="18" hidden="1">SLTADV3!$A$4:$H$819</definedName>
    <definedName name="_xlnm._FilterDatabase" localSheetId="19" hidden="1">SLTADV4!$A$4:$H$819</definedName>
    <definedName name="_xlnm._FilterDatabase" localSheetId="20" hidden="1">SLTAX1!$A$4:$H$819</definedName>
    <definedName name="_xlnm._FilterDatabase" localSheetId="21" hidden="1">SLTAX2!$A$4:$H$819</definedName>
    <definedName name="_xlnm._FilterDatabase" localSheetId="22" hidden="1">SLTAX3!$A$4:$H$819</definedName>
    <definedName name="_xlnm._FilterDatabase" localSheetId="23" hidden="1">SLTAX4!$A$4:$H$819</definedName>
    <definedName name="_xlnm._FilterDatabase" localSheetId="24" hidden="1">SLTAX5!$A$4:$H$819</definedName>
    <definedName name="_xlnm._FilterDatabase" localSheetId="25" hidden="1">SLTAX6!$A$4:$H$819</definedName>
    <definedName name="_xlnm._FilterDatabase" localSheetId="26" hidden="1">SMILE!$A$4:$H$819</definedName>
    <definedName name="_xlnm._FilterDatabase" localSheetId="27" hidden="1">SRURAL!$A$4:$H$819</definedName>
    <definedName name="_xlnm._FilterDatabase" localSheetId="28" hidden="1">SSFUND!$A$4:$H$819</definedName>
    <definedName name="_xlnm._FilterDatabase" localSheetId="29" hidden="1">'SSN100'!$A$4:$H$819</definedName>
    <definedName name="_xlnm._FilterDatabase" localSheetId="30" hidden="1">STAX!$A$4:$H$819</definedName>
    <definedName name="_xlnm._FilterDatabase" localSheetId="31" hidden="1">SUNARF!$A$4:$H$819</definedName>
    <definedName name="_xlnm._FilterDatabase" localSheetId="32" hidden="1">SUNBAF!$A$4:$H$819</definedName>
    <definedName name="_xlnm._FilterDatabase" localSheetId="33" hidden="1">SUNBAL!$A$4:$I$818</definedName>
    <definedName name="_xlnm._FilterDatabase" localSheetId="34" hidden="1">SUNBCF!$A$4:$H$819</definedName>
    <definedName name="_xlnm._FilterDatabase" localSheetId="35" hidden="1">SUNEQF!$A$4:$H$819</definedName>
    <definedName name="_xlnm._FilterDatabase" localSheetId="36" hidden="1">SUNESF!$A$4:$H$819</definedName>
    <definedName name="_xlnm._FilterDatabase" localSheetId="37" hidden="1">SUNFOP!$A$4:$H$819</definedName>
    <definedName name="_xlnm._FilterDatabase" localSheetId="38" hidden="1">SUNVALF10!$A$4:$H$819</definedName>
    <definedName name="_xlnm._FilterDatabase" localSheetId="39" hidden="1">SUNVALF7!$A$4:$H$819</definedName>
    <definedName name="_xlnm._FilterDatabase" localSheetId="40" hidden="1">SUNVALF9!$A$4:$H$819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0" i="9" l="1"/>
  <c r="F16" i="40"/>
  <c r="G16" i="40" s="1"/>
  <c r="F14" i="40"/>
  <c r="G12" i="40"/>
  <c r="G11" i="40"/>
  <c r="G14" i="40" s="1"/>
  <c r="F8" i="40"/>
  <c r="G6" i="40"/>
  <c r="G8" i="40" s="1"/>
  <c r="G18" i="40" l="1"/>
</calcChain>
</file>

<file path=xl/sharedStrings.xml><?xml version="1.0" encoding="utf-8"?>
<sst xmlns="http://schemas.openxmlformats.org/spreadsheetml/2006/main" count="11966" uniqueCount="1090">
  <si>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</si>
  <si>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</si>
  <si>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</si>
  <si>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</si>
  <si>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</si>
  <si>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</si>
  <si>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</si>
  <si>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</si>
  <si>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</si>
  <si>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</si>
  <si>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</si>
  <si>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</si>
  <si>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</si>
  <si>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</si>
  <si>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</si>
  <si>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</si>
  <si>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</si>
  <si>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INE397D01024</t>
  </si>
  <si>
    <t>Bharti Airtel Ltd</t>
  </si>
  <si>
    <t>Telecom - Services</t>
  </si>
  <si>
    <t>INE331A01037</t>
  </si>
  <si>
    <t>The Ramco Cements Ltd</t>
  </si>
  <si>
    <t>INE090A01021</t>
  </si>
  <si>
    <t>ICICI Bank Ltd</t>
  </si>
  <si>
    <t>Banks</t>
  </si>
  <si>
    <t>INE536A01023</t>
  </si>
  <si>
    <t>Grindwell Norton Ltd</t>
  </si>
  <si>
    <t>Industrial Products</t>
  </si>
  <si>
    <t>INE455K01017</t>
  </si>
  <si>
    <t>Polycab India Ltd</t>
  </si>
  <si>
    <t>INE823G01014</t>
  </si>
  <si>
    <t>JK Cement Ltd</t>
  </si>
  <si>
    <t>INE245A01021</t>
  </si>
  <si>
    <t>Tata Power Company Ltd</t>
  </si>
  <si>
    <t>Power</t>
  </si>
  <si>
    <t>INE671A01010</t>
  </si>
  <si>
    <t>Honeywell Automation India Ltd</t>
  </si>
  <si>
    <t>Industrial Capital Goods</t>
  </si>
  <si>
    <t>INE481G01011</t>
  </si>
  <si>
    <t>Ultratech Cement Ltd</t>
  </si>
  <si>
    <t>INE029A01011</t>
  </si>
  <si>
    <t>Bharat Petroleum Corporation Ltd</t>
  </si>
  <si>
    <t>INE284A01012</t>
  </si>
  <si>
    <t>ESAB India Ltd</t>
  </si>
  <si>
    <t>INE999A01015</t>
  </si>
  <si>
    <t>KSB Ltd</t>
  </si>
  <si>
    <t>INE766P01016</t>
  </si>
  <si>
    <t>Mahindra Logistics Ltd</t>
  </si>
  <si>
    <t>Transportation</t>
  </si>
  <si>
    <t>INE371P01015</t>
  </si>
  <si>
    <t>Amber Enterprises India Ltd</t>
  </si>
  <si>
    <t>Consumer Durables</t>
  </si>
  <si>
    <t>INE08ZM01014</t>
  </si>
  <si>
    <t>Green Panel Industries Ltd</t>
  </si>
  <si>
    <t>INE129A01019</t>
  </si>
  <si>
    <t>GAIL (India) Ltd</t>
  </si>
  <si>
    <t>Gas</t>
  </si>
  <si>
    <t>INE114A01011</t>
  </si>
  <si>
    <t>Steel Authority of India Ltd</t>
  </si>
  <si>
    <t>Ferrous Metals</t>
  </si>
  <si>
    <t>INE074A01025</t>
  </si>
  <si>
    <t>Praj Industries Ltd</t>
  </si>
  <si>
    <t>INE541A01023</t>
  </si>
  <si>
    <t>GMM Pfaudler Ltd</t>
  </si>
  <si>
    <t>INE264T01014</t>
  </si>
  <si>
    <t>Capacite Infraprojects Ltd</t>
  </si>
  <si>
    <t>Construction</t>
  </si>
  <si>
    <t>INE213A01029</t>
  </si>
  <si>
    <t>Oil &amp; Natural Gas Corporation Ltd</t>
  </si>
  <si>
    <t>Oil</t>
  </si>
  <si>
    <t>INE858B01029</t>
  </si>
  <si>
    <t>ISGEC Heavy  Engineering Ltd</t>
  </si>
  <si>
    <t>INE298A01020</t>
  </si>
  <si>
    <t>Cummins India Ltd</t>
  </si>
  <si>
    <t>INE791I01019</t>
  </si>
  <si>
    <t>Brigade Enterprises Ltd</t>
  </si>
  <si>
    <t>INE868B01028</t>
  </si>
  <si>
    <t>NCC Ltd</t>
  </si>
  <si>
    <t>INE896L01010</t>
  </si>
  <si>
    <t>Indostar Capital Finance Ltd</t>
  </si>
  <si>
    <t>Finance</t>
  </si>
  <si>
    <t>INE208A01029</t>
  </si>
  <si>
    <t>Ashok Leyland Ltd</t>
  </si>
  <si>
    <t>Auto</t>
  </si>
  <si>
    <t>INE246F01010</t>
  </si>
  <si>
    <t>Gujarat State Petronet Ltd</t>
  </si>
  <si>
    <t>INE347G01014</t>
  </si>
  <si>
    <t>Petronet LNG Ltd</t>
  </si>
  <si>
    <t>INE531A01024</t>
  </si>
  <si>
    <t>Kansai Nerolac Paints Ltd</t>
  </si>
  <si>
    <t>Consumer Non Durables</t>
  </si>
  <si>
    <t>INE513A01014</t>
  </si>
  <si>
    <t>Schaeffler India Ltd</t>
  </si>
  <si>
    <t>INE742F01042</t>
  </si>
  <si>
    <t>Adani Ports and Special Economic Zone Ltd</t>
  </si>
  <si>
    <t>INE811K01011</t>
  </si>
  <si>
    <t>Prestige Estates Projects Ltd</t>
  </si>
  <si>
    <t>INE203G01027</t>
  </si>
  <si>
    <t>Indraprastha Gas Ltd</t>
  </si>
  <si>
    <t>INE324L01013</t>
  </si>
  <si>
    <t>R.P.P. Infra Projects Ltd</t>
  </si>
  <si>
    <t>INE324L20013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</si>
  <si>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</si>
  <si>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</si>
  <si>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</si>
  <si>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</si>
  <si>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</si>
  <si>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</si>
  <si>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</si>
  <si>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</si>
  <si>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IN8397D01015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</si>
  <si>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</si>
  <si>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</si>
  <si>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</si>
  <si>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</si>
  <si>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</si>
  <si>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</si>
  <si>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</si>
  <si>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</si>
  <si>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</si>
  <si>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</si>
  <si>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</si>
  <si>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</si>
  <si>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</si>
  <si>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</si>
  <si>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</si>
  <si>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</si>
  <si>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</si>
  <si>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</si>
  <si>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</si>
  <si>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</si>
  <si>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</si>
  <si>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</si>
  <si>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</si>
  <si>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</si>
  <si>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</si>
  <si>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</si>
  <si>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</si>
  <si>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</si>
  <si>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</si>
  <si>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</si>
  <si>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</si>
  <si>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31/08/2021</t>
  </si>
  <si>
    <t>30/09/2021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</si>
  <si>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</si>
  <si>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</si>
  <si>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</si>
  <si>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</si>
  <si>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</si>
  <si>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</si>
  <si>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</si>
  <si>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INE048G01026</t>
  </si>
  <si>
    <t>Navin Fluorine International Ltd</t>
  </si>
  <si>
    <t>Chemicals</t>
  </si>
  <si>
    <t>INE878B01027</t>
  </si>
  <si>
    <t>KEI Industries Ltd</t>
  </si>
  <si>
    <t>INE732I01013</t>
  </si>
  <si>
    <t>Angel One Ltd</t>
  </si>
  <si>
    <t>INE988K01017</t>
  </si>
  <si>
    <t>Equitas Holdings Ltd</t>
  </si>
  <si>
    <t>INE227C01017</t>
  </si>
  <si>
    <t>MM Forgings Ltd</t>
  </si>
  <si>
    <t>INE04I401011</t>
  </si>
  <si>
    <t>KPIT Technologies Ltd</t>
  </si>
  <si>
    <t>Software</t>
  </si>
  <si>
    <t>INE348B01021</t>
  </si>
  <si>
    <t>Century Plyboards (India) Ltd</t>
  </si>
  <si>
    <t>INE386C01029</t>
  </si>
  <si>
    <t>Astra Microwave Products Ltd</t>
  </si>
  <si>
    <t>INE262H01013</t>
  </si>
  <si>
    <t>Persistent Systems Ltd</t>
  </si>
  <si>
    <t>INE934S01014</t>
  </si>
  <si>
    <t>GNA Axles Ltd</t>
  </si>
  <si>
    <t>Auto Ancillaries</t>
  </si>
  <si>
    <t>INE599M01018</t>
  </si>
  <si>
    <t>Just Dial Ltd</t>
  </si>
  <si>
    <t>INE312H01016</t>
  </si>
  <si>
    <t>INOX Leisure Ltd</t>
  </si>
  <si>
    <t>INE731H01025</t>
  </si>
  <si>
    <t>INE075I01017</t>
  </si>
  <si>
    <t>Healthcare Global Enterprises Ltd</t>
  </si>
  <si>
    <t>Healthcare Services</t>
  </si>
  <si>
    <t>INE00WC01019</t>
  </si>
  <si>
    <t>Affle (India) Ltd</t>
  </si>
  <si>
    <t>INE974X01010</t>
  </si>
  <si>
    <t>Tube Investments of India Ltd</t>
  </si>
  <si>
    <t>INE00FF01017</t>
  </si>
  <si>
    <t>AMI Organics Ltd</t>
  </si>
  <si>
    <t>INE296E01026</t>
  </si>
  <si>
    <t>Rajapalayam Mills Ltd</t>
  </si>
  <si>
    <t>Textiles - Cotton</t>
  </si>
  <si>
    <t>INE578A01017</t>
  </si>
  <si>
    <t>HeidelbergCement India Ltd</t>
  </si>
  <si>
    <t>INE067A01029</t>
  </si>
  <si>
    <t>CG Power and Industrial Solutions Ltd</t>
  </si>
  <si>
    <t>INE976G01028</t>
  </si>
  <si>
    <t>RBL Bank Ltd</t>
  </si>
  <si>
    <t>INE00IN01015</t>
  </si>
  <si>
    <t>Stove Kraft Ltd</t>
  </si>
  <si>
    <t>INE136B01020</t>
  </si>
  <si>
    <t>Cyient Ltd</t>
  </si>
  <si>
    <t>INE477A01020</t>
  </si>
  <si>
    <t>Can Fin Homes Ltd</t>
  </si>
  <si>
    <t>INE481N01025</t>
  </si>
  <si>
    <t>Home First Finance Company Ltd</t>
  </si>
  <si>
    <t>INE873D01024</t>
  </si>
  <si>
    <t>Indoco Remedies Ltd</t>
  </si>
  <si>
    <t>Pharmaceuticals</t>
  </si>
  <si>
    <t>INE02A801020</t>
  </si>
  <si>
    <t>Rossari Biotech Ltd</t>
  </si>
  <si>
    <t>INE220B01022</t>
  </si>
  <si>
    <t>Kalpataru Power Transmission Ltd</t>
  </si>
  <si>
    <t>INE615P01015</t>
  </si>
  <si>
    <t>Quess Corp Ltd</t>
  </si>
  <si>
    <t>INE049A01027</t>
  </si>
  <si>
    <t>Himatsingka Seide Ltd</t>
  </si>
  <si>
    <t>Textile Products</t>
  </si>
  <si>
    <t>INE978A01027</t>
  </si>
  <si>
    <t>Heritage Foods Ltd</t>
  </si>
  <si>
    <t>INE884B01025</t>
  </si>
  <si>
    <t>Kirloskar Ferrous Ind Ltd</t>
  </si>
  <si>
    <t>INE947Q01028</t>
  </si>
  <si>
    <t>Laurus Labs Ltd</t>
  </si>
  <si>
    <t>INE211B01039</t>
  </si>
  <si>
    <t>The Phoenix Mills Ltd</t>
  </si>
  <si>
    <t>INE274F01020</t>
  </si>
  <si>
    <t>Westlife Development Ltd</t>
  </si>
  <si>
    <t>INE442H01029</t>
  </si>
  <si>
    <t>Ashoka Buildcon Ltd</t>
  </si>
  <si>
    <t>INE429E01023</t>
  </si>
  <si>
    <t>Safari Industries (India) Ltd</t>
  </si>
  <si>
    <t>INE782A01015</t>
  </si>
  <si>
    <t>Johnson Controls-Hitachi AirConditioning India Ltd</t>
  </si>
  <si>
    <t>INE864I01014</t>
  </si>
  <si>
    <t>MTAR Technologies Ltd</t>
  </si>
  <si>
    <t>INE325A01013</t>
  </si>
  <si>
    <t>Timken India Ltd</t>
  </si>
  <si>
    <t>INE383A01012</t>
  </si>
  <si>
    <t>The India Cements Ltd</t>
  </si>
  <si>
    <t>INE572A01028</t>
  </si>
  <si>
    <t>JB Chemicals &amp; Pharmaceuticals Ltd</t>
  </si>
  <si>
    <t>INE285J01028</t>
  </si>
  <si>
    <t>SIS Ltd</t>
  </si>
  <si>
    <t>Commercial Services</t>
  </si>
  <si>
    <t>INE060A01024</t>
  </si>
  <si>
    <t>Navneet Education Ltd</t>
  </si>
  <si>
    <t>INE043D01016</t>
  </si>
  <si>
    <t>IDFC Ltd</t>
  </si>
  <si>
    <t>INE113A01013</t>
  </si>
  <si>
    <t>Gujarat Narmada Valley Fertilizers &amp; Chemicals Ltd</t>
  </si>
  <si>
    <t>INE419U01012</t>
  </si>
  <si>
    <t>Happiest Minds Technologies Limited</t>
  </si>
  <si>
    <t>INE126A01031</t>
  </si>
  <si>
    <t>EID Parry India Ltd</t>
  </si>
  <si>
    <t>Fertilisers</t>
  </si>
  <si>
    <t>INE421D01022</t>
  </si>
  <si>
    <t>CCL Products (India) Ltd</t>
  </si>
  <si>
    <t>INE092B01025</t>
  </si>
  <si>
    <t>India Nippon Electricals Ltd</t>
  </si>
  <si>
    <t>INE03QK01018</t>
  </si>
  <si>
    <t>Suven Pharmaceuticals Ltd</t>
  </si>
  <si>
    <t>INE834I01025</t>
  </si>
  <si>
    <t>Khadim India Ltd</t>
  </si>
  <si>
    <t>INE877F01012</t>
  </si>
  <si>
    <t>PTC India Ltd</t>
  </si>
  <si>
    <t>INE056C01010</t>
  </si>
  <si>
    <t>Tata Metaliks Ltd</t>
  </si>
  <si>
    <t>INE745G01035</t>
  </si>
  <si>
    <t>Multi Commodity Exchange of India Ltd</t>
  </si>
  <si>
    <t>INE872J01023</t>
  </si>
  <si>
    <t>Devyani international limited</t>
  </si>
  <si>
    <t>INE586B01026</t>
  </si>
  <si>
    <t>Taj GVK Hotels &amp; Resorts Ltd</t>
  </si>
  <si>
    <t>INE384A01010</t>
  </si>
  <si>
    <t>Rane Holdings Ltd</t>
  </si>
  <si>
    <t>INE290S01011</t>
  </si>
  <si>
    <t>CarTrade Tech Ltd</t>
  </si>
  <si>
    <t>INE435A01028</t>
  </si>
  <si>
    <t>International Paper APPM Ltd</t>
  </si>
  <si>
    <t>Paper</t>
  </si>
  <si>
    <t>INE503A01015</t>
  </si>
  <si>
    <t>DCB Bank Ltd</t>
  </si>
  <si>
    <t>INE199A01012</t>
  </si>
  <si>
    <t>Procter &amp; Gamble Health Ltd</t>
  </si>
  <si>
    <t>INE246B01019</t>
  </si>
  <si>
    <t>Ramco Systems Ltd</t>
  </si>
  <si>
    <t>INE0H5O01029</t>
  </si>
  <si>
    <t>Windlas Biotech Ltd</t>
  </si>
  <si>
    <t>INE565V01010</t>
  </si>
  <si>
    <t>Valiant Organics Ltd</t>
  </si>
  <si>
    <t>INE488A01050</t>
  </si>
  <si>
    <t>Chemplast Sanmar Ltd</t>
  </si>
  <si>
    <t>INE063P01018</t>
  </si>
  <si>
    <t>Equitas Small Finance Bank Ltd</t>
  </si>
  <si>
    <t>INE022I20019</t>
  </si>
  <si>
    <t>Sundaram Select Micro Cap Series XV</t>
  </si>
  <si>
    <t>INE386A01015</t>
  </si>
  <si>
    <t>Vesuvius India Ltd</t>
  </si>
  <si>
    <t>Sundaram Select Micro Cap Series XVI</t>
  </si>
  <si>
    <t>INE201P01022</t>
  </si>
  <si>
    <t>GR Infraprojects Ltd</t>
  </si>
  <si>
    <t>Sundaram Select Micro Cap Series XVII</t>
  </si>
  <si>
    <t>INE045A01017</t>
  </si>
  <si>
    <t>Ador Welding Ltd</t>
  </si>
  <si>
    <t>INE750A01020</t>
  </si>
  <si>
    <t>Oriental Hotels Ltd</t>
  </si>
  <si>
    <t>Sundaram Mid Cap Fund</t>
  </si>
  <si>
    <t>INE018I01017</t>
  </si>
  <si>
    <t>INE180A01020</t>
  </si>
  <si>
    <t>Max Financial Services Ltd</t>
  </si>
  <si>
    <t>INE437A01024</t>
  </si>
  <si>
    <t>Apollo Hospitals Enterprise Ltd</t>
  </si>
  <si>
    <t>INE121A01024</t>
  </si>
  <si>
    <t>Cholamandalam Investment and Finance Company Ltd</t>
  </si>
  <si>
    <t>INE797F01012</t>
  </si>
  <si>
    <t>Jubilant Foodworks Ltd</t>
  </si>
  <si>
    <t>INE647A01010</t>
  </si>
  <si>
    <t>SRF Ltd</t>
  </si>
  <si>
    <t>INE226A01021</t>
  </si>
  <si>
    <t>Voltas Ltd</t>
  </si>
  <si>
    <t>INE603J01030</t>
  </si>
  <si>
    <t>PI Industries Ltd</t>
  </si>
  <si>
    <t>Pesticides</t>
  </si>
  <si>
    <t>INE200M01013</t>
  </si>
  <si>
    <t>Varun Beverages Ltd</t>
  </si>
  <si>
    <t>INE571A01020</t>
  </si>
  <si>
    <t>IPCA Laboratories Ltd</t>
  </si>
  <si>
    <t>INE548C01032</t>
  </si>
  <si>
    <t>Emami Ltd</t>
  </si>
  <si>
    <t>INE263A01024</t>
  </si>
  <si>
    <t>Bharat Electronics Ltd</t>
  </si>
  <si>
    <t>INE949L01017</t>
  </si>
  <si>
    <t>AU Small Finance Bank Ltd</t>
  </si>
  <si>
    <t>INE849A01020</t>
  </si>
  <si>
    <t>Trent Ltd</t>
  </si>
  <si>
    <t>Retailing</t>
  </si>
  <si>
    <t>INE238A01034</t>
  </si>
  <si>
    <t>Axis Bank Ltd</t>
  </si>
  <si>
    <t>INE299U01018</t>
  </si>
  <si>
    <t>Crompton Greaves Consumer Electricals Ltd</t>
  </si>
  <si>
    <t>INE761H01022</t>
  </si>
  <si>
    <t>Page Industries Ltd</t>
  </si>
  <si>
    <t>INE987B01026</t>
  </si>
  <si>
    <t>Natco Pharma Ltd</t>
  </si>
  <si>
    <t>INE171A01029</t>
  </si>
  <si>
    <t>The Federal Bank  Ltd</t>
  </si>
  <si>
    <t>INE068V01023</t>
  </si>
  <si>
    <t>Gland Pharma Ltd</t>
  </si>
  <si>
    <t>INE749A01030</t>
  </si>
  <si>
    <t>Jindal Steel &amp; Power Ltd</t>
  </si>
  <si>
    <t>INE721A01013</t>
  </si>
  <si>
    <t>Shriram Transport Finance Company Ltd</t>
  </si>
  <si>
    <t>INE111A01025</t>
  </si>
  <si>
    <t>Container Corporation of India Ltd</t>
  </si>
  <si>
    <t>INE883A01011</t>
  </si>
  <si>
    <t>MRF Ltd</t>
  </si>
  <si>
    <t>INE010V01017</t>
  </si>
  <si>
    <t>L&amp;T Technology Services Ltd</t>
  </si>
  <si>
    <t>INE763G01038</t>
  </si>
  <si>
    <t>ICICI Securities Ltd</t>
  </si>
  <si>
    <t>INE028A01039</t>
  </si>
  <si>
    <t>Bank of Baroda</t>
  </si>
  <si>
    <t>INE335Y01012</t>
  </si>
  <si>
    <t>Indian Railway Catering &amp; Tourism Corporation Ltd</t>
  </si>
  <si>
    <t>INE465A01025</t>
  </si>
  <si>
    <t>Bharat Forge Ltd</t>
  </si>
  <si>
    <t>INE491A01021</t>
  </si>
  <si>
    <t>City Union Bank Ltd</t>
  </si>
  <si>
    <t>INE860A01027</t>
  </si>
  <si>
    <t>HCL Technologies Ltd</t>
  </si>
  <si>
    <t>INE769A01020</t>
  </si>
  <si>
    <t>Aarti Industries Ltd</t>
  </si>
  <si>
    <t>INE935N01020</t>
  </si>
  <si>
    <t>Dixon Technologies (India) Ltd</t>
  </si>
  <si>
    <t>INE105A01035</t>
  </si>
  <si>
    <t>Sundaram Clayton Ltd</t>
  </si>
  <si>
    <t>INE169A01031</t>
  </si>
  <si>
    <t>Coromandel International Ltd</t>
  </si>
  <si>
    <t>INE303R01014</t>
  </si>
  <si>
    <t>Kalyan Jewellers India Ltd</t>
  </si>
  <si>
    <t>INE998I01010</t>
  </si>
  <si>
    <t>Mahindra Holidays &amp; Resorts India Ltd</t>
  </si>
  <si>
    <t>INE716A01013</t>
  </si>
  <si>
    <t>Whirlpool of India Ltd</t>
  </si>
  <si>
    <t>INE115A01026</t>
  </si>
  <si>
    <t>LIC Housing Finance Ltd</t>
  </si>
  <si>
    <t>INE356A01018</t>
  </si>
  <si>
    <t>MphasiS Ltd</t>
  </si>
  <si>
    <t>INE758T01015</t>
  </si>
  <si>
    <t>Zomato Ltd</t>
  </si>
  <si>
    <t>INE216P01012</t>
  </si>
  <si>
    <t>Aavas Financiers Ltd</t>
  </si>
  <si>
    <t>INE484J01027</t>
  </si>
  <si>
    <t>Godrej Properties Ltd</t>
  </si>
  <si>
    <t>INE918I01018</t>
  </si>
  <si>
    <t>Bajaj Finserv Ltd</t>
  </si>
  <si>
    <t>INE00R701025</t>
  </si>
  <si>
    <t>Dalmia Cement (Bharat) Ltd.</t>
  </si>
  <si>
    <t>INE192A01025</t>
  </si>
  <si>
    <t>TATA Consumer Products Ltd</t>
  </si>
  <si>
    <t>INE405E01023</t>
  </si>
  <si>
    <t>Minda Industries Ltd</t>
  </si>
  <si>
    <t>INE256A01028</t>
  </si>
  <si>
    <t>Zee Entertainment Enterprises Ltd</t>
  </si>
  <si>
    <t>INE647O01011</t>
  </si>
  <si>
    <t>Aditya Birla Fashion and Retail Ltd</t>
  </si>
  <si>
    <t>Institutional Plan - Growth</t>
  </si>
  <si>
    <t>Sundaram Multi Cap Fund Series I</t>
  </si>
  <si>
    <t>INE040A01034</t>
  </si>
  <si>
    <t>HDFC Bank Ltd</t>
  </si>
  <si>
    <t>INE009A01021</t>
  </si>
  <si>
    <t>Infosys Ltd</t>
  </si>
  <si>
    <t>INE001A01036</t>
  </si>
  <si>
    <t>Housing Development Finance Corporation Ltd</t>
  </si>
  <si>
    <t>INE062A01020</t>
  </si>
  <si>
    <t>State Bank of India</t>
  </si>
  <si>
    <t>INE123W01016</t>
  </si>
  <si>
    <t>SBI Life Insurance Company Ltd</t>
  </si>
  <si>
    <t>INE030A01027</t>
  </si>
  <si>
    <t>Hindustan UniLever Ltd</t>
  </si>
  <si>
    <t>INE467B01029</t>
  </si>
  <si>
    <t>Tata Consultancy Services Ltd</t>
  </si>
  <si>
    <t>INE075A01022</t>
  </si>
  <si>
    <t>Wipro Ltd</t>
  </si>
  <si>
    <t>INE044A01036</t>
  </si>
  <si>
    <t>Sun Pharmaceutical Industries Ltd</t>
  </si>
  <si>
    <t>INE101A01026</t>
  </si>
  <si>
    <t>Mahindra &amp; Mahindra Ltd</t>
  </si>
  <si>
    <t>INE038A01020</t>
  </si>
  <si>
    <t>Hindalco Industries Ltd</t>
  </si>
  <si>
    <t>Non - Ferrous Metals</t>
  </si>
  <si>
    <t>INE081A01012</t>
  </si>
  <si>
    <t>Tata Steel Ltd</t>
  </si>
  <si>
    <t>INE361B01024</t>
  </si>
  <si>
    <t>Divi's Laboratories Ltd</t>
  </si>
  <si>
    <t>INE154A01025</t>
  </si>
  <si>
    <t>ITC Ltd</t>
  </si>
  <si>
    <t>INE669C01036</t>
  </si>
  <si>
    <t>Tech Mahindra Ltd</t>
  </si>
  <si>
    <t>INE073K01018</t>
  </si>
  <si>
    <t>Sona BLW Precision Forgings Ltd</t>
  </si>
  <si>
    <t>INE237A01028</t>
  </si>
  <si>
    <t>Kotak Mahindra Bank Ltd</t>
  </si>
  <si>
    <t>INE765G01017</t>
  </si>
  <si>
    <t>ICICI Lombard General Insurance Company Ltd</t>
  </si>
  <si>
    <t>Sundaram Multi Cap Fund -Series II</t>
  </si>
  <si>
    <t>Sundaram Large and Mid Cap Fund</t>
  </si>
  <si>
    <t>INE006I01046</t>
  </si>
  <si>
    <t>Astral Ltd</t>
  </si>
  <si>
    <t>INE149A01033</t>
  </si>
  <si>
    <t>Cholamandalam Financial Holdings Ltd</t>
  </si>
  <si>
    <t>INE059A01026</t>
  </si>
  <si>
    <t>Cipla Ltd</t>
  </si>
  <si>
    <t>INE775A01035</t>
  </si>
  <si>
    <t>Motherson Sumi Systems Ltd</t>
  </si>
  <si>
    <t>Sundaram Emerging Small Cap Series I</t>
  </si>
  <si>
    <t>INE142Z01019</t>
  </si>
  <si>
    <t>Orient Electric Ltd</t>
  </si>
  <si>
    <t>INE717A01029</t>
  </si>
  <si>
    <t>Kennametal India Ltd</t>
  </si>
  <si>
    <t>INE120A01034</t>
  </si>
  <si>
    <t>Carborundum Universal Ltd</t>
  </si>
  <si>
    <t>INE472A01039</t>
  </si>
  <si>
    <t>Blue Star Ltd</t>
  </si>
  <si>
    <t>INE688A01022</t>
  </si>
  <si>
    <t>Transport Corporation of India Ltd</t>
  </si>
  <si>
    <t>INE778U01029</t>
  </si>
  <si>
    <t>TCNS Clothing Co. Ltd</t>
  </si>
  <si>
    <t>INE489L01022</t>
  </si>
  <si>
    <t>IIFL Securities Ltd</t>
  </si>
  <si>
    <t>INE741K01010</t>
  </si>
  <si>
    <t>Creditaccess Grameen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</si>
  <si>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</si>
  <si>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</si>
  <si>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</si>
  <si>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</si>
  <si>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</si>
  <si>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</si>
  <si>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</si>
  <si>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</si>
  <si>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INE287B01021</t>
  </si>
  <si>
    <t>Subros Ltd</t>
  </si>
  <si>
    <t>INE058A01010</t>
  </si>
  <si>
    <t>Sanofi India Ltd</t>
  </si>
  <si>
    <t>INE854D01024</t>
  </si>
  <si>
    <t>United Spirits Ltd</t>
  </si>
  <si>
    <t>INE172A01027</t>
  </si>
  <si>
    <t>Castrol India Ltd</t>
  </si>
  <si>
    <t>INE517F01014</t>
  </si>
  <si>
    <t>Gujarat Pipavav Port Ltd</t>
  </si>
  <si>
    <t>INE182A01018</t>
  </si>
  <si>
    <t>Pfizer Ltd</t>
  </si>
  <si>
    <t>INE179A01014</t>
  </si>
  <si>
    <t>Procter &amp; Gamble Hygiene and Health Care Ltd</t>
  </si>
  <si>
    <t>INE686A01026</t>
  </si>
  <si>
    <t>ITD Cementation India Ltd</t>
  </si>
  <si>
    <t>Sundaram Select Focus</t>
  </si>
  <si>
    <t>INE016A01026</t>
  </si>
  <si>
    <t>Dabur India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</si>
  <si>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</si>
  <si>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</si>
  <si>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</si>
  <si>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</si>
  <si>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</si>
  <si>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INE280A01028</t>
  </si>
  <si>
    <t>Titan Company Ltd</t>
  </si>
  <si>
    <t>INE155A01022</t>
  </si>
  <si>
    <t>Tata Motors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</si>
  <si>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</si>
  <si>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</si>
  <si>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</si>
  <si>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</si>
  <si>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</si>
  <si>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</si>
  <si>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</si>
  <si>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</si>
  <si>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INE679A01013</t>
  </si>
  <si>
    <t>CSB Bank Ltd</t>
  </si>
  <si>
    <t>INE136S01016</t>
  </si>
  <si>
    <t>Neogen Chemicals Ltd</t>
  </si>
  <si>
    <t>INE836A01035</t>
  </si>
  <si>
    <t>Birlasoft Ltd</t>
  </si>
  <si>
    <t>INE119A01028</t>
  </si>
  <si>
    <t>Balrampur Chini Mills Ltd</t>
  </si>
  <si>
    <t>INE389H01022</t>
  </si>
  <si>
    <t>KEC International Ltd</t>
  </si>
  <si>
    <t>INE085A01013</t>
  </si>
  <si>
    <t>Chambal Fertilizers &amp; Chemicals Ltd</t>
  </si>
  <si>
    <t>INE217B01036</t>
  </si>
  <si>
    <t>Kajaria Ceramics Ltd</t>
  </si>
  <si>
    <t>INE743M01012</t>
  </si>
  <si>
    <t>RHI Magnesita India Ltd</t>
  </si>
  <si>
    <t>INE177F01017</t>
  </si>
  <si>
    <t>Kovai Medical Center &amp; Hospital Ltd</t>
  </si>
  <si>
    <t>INE970X01018</t>
  </si>
  <si>
    <t>Lemon Tree Hotels Ltd</t>
  </si>
  <si>
    <t>INE930P01018</t>
  </si>
  <si>
    <t>Anupam Rasayan India Ltd</t>
  </si>
  <si>
    <t>INE702C01027</t>
  </si>
  <si>
    <t>APL Apollo Tubes Ltd</t>
  </si>
  <si>
    <t>INE355A01028</t>
  </si>
  <si>
    <t>Somany Ceramics Ltd</t>
  </si>
  <si>
    <t>INE146L01010</t>
  </si>
  <si>
    <t>Kirloskar Oil Engines Ltd</t>
  </si>
  <si>
    <t>INE596I01012</t>
  </si>
  <si>
    <t>Computer Age Management Services Ltd</t>
  </si>
  <si>
    <t>INE562A01011</t>
  </si>
  <si>
    <t>Indian Bank</t>
  </si>
  <si>
    <t>INE418L01021</t>
  </si>
  <si>
    <t>Nazara Technologies Ltd</t>
  </si>
  <si>
    <t>INE00LO01017</t>
  </si>
  <si>
    <t>Craftsman Automation Ltd</t>
  </si>
  <si>
    <t>INE094J01016</t>
  </si>
  <si>
    <t>UTI Asset Management Co Ltd</t>
  </si>
  <si>
    <t>INE026A01025</t>
  </si>
  <si>
    <t>Gujarat State Fertilizers &amp; Chemicals Ltd</t>
  </si>
  <si>
    <t>INE690A01010</t>
  </si>
  <si>
    <t>TTK Prestige Ltd</t>
  </si>
  <si>
    <t>Sundaram Rural and Consumption Fund</t>
  </si>
  <si>
    <t>INE021A01026</t>
  </si>
  <si>
    <t>Asian Paints Ltd</t>
  </si>
  <si>
    <t>INE296A01024</t>
  </si>
  <si>
    <t>Bajaj Finance Ltd</t>
  </si>
  <si>
    <t>INE585B01010</t>
  </si>
  <si>
    <t>Maruti Suzuki India Ltd</t>
  </si>
  <si>
    <t>INE239A01016</t>
  </si>
  <si>
    <t>Nestle India Ltd</t>
  </si>
  <si>
    <t>INE176A01028</t>
  </si>
  <si>
    <t>Bata India Ltd</t>
  </si>
  <si>
    <t>INE951I01027</t>
  </si>
  <si>
    <t>V-Guard Industries Ltd</t>
  </si>
  <si>
    <t>INE196A01026</t>
  </si>
  <si>
    <t>Marico Ltd</t>
  </si>
  <si>
    <t>INE054A01027</t>
  </si>
  <si>
    <t>VIP Industries Ltd</t>
  </si>
  <si>
    <t>INE917I01010</t>
  </si>
  <si>
    <t>Bajaj Auto Ltd</t>
  </si>
  <si>
    <t>INE544R01013</t>
  </si>
  <si>
    <t>Greenlam Industries Ltd</t>
  </si>
  <si>
    <t>Sundaram Services Fund</t>
  </si>
  <si>
    <t>INE670A01012</t>
  </si>
  <si>
    <t>Tata Elxsi Ltd</t>
  </si>
  <si>
    <t>INE07T201019</t>
  </si>
  <si>
    <t>Burger King India Ltd</t>
  </si>
  <si>
    <t>INE933S01016</t>
  </si>
  <si>
    <t>Indiamart Intermesh Ltd</t>
  </si>
  <si>
    <t>INE07O001018</t>
  </si>
  <si>
    <t>Easy Trip Planners Ltd</t>
  </si>
  <si>
    <t>INE663F01024</t>
  </si>
  <si>
    <t>Info Edge (India) Ltd</t>
  </si>
  <si>
    <t>INE795G01014</t>
  </si>
  <si>
    <t>HDFC Life Insurance Company Ltd</t>
  </si>
  <si>
    <t>INE192R01011</t>
  </si>
  <si>
    <t>Avenue Supermarts Ltd</t>
  </si>
  <si>
    <t>INE112L01020</t>
  </si>
  <si>
    <t>Metropolis Healthcare Ltd</t>
  </si>
  <si>
    <t>MU0295S00016</t>
  </si>
  <si>
    <t>Make My Trip Ltd (USD)</t>
  </si>
  <si>
    <t>Sundaram Smart NIFTY 100 Equal Weight Fund</t>
  </si>
  <si>
    <t>INE271C01023</t>
  </si>
  <si>
    <t>DLF Ltd</t>
  </si>
  <si>
    <t>INE214T01019</t>
  </si>
  <si>
    <t>Larsen &amp; Toubro Infotech Ltd</t>
  </si>
  <si>
    <t>INE176B01034</t>
  </si>
  <si>
    <t>Havells India Ltd</t>
  </si>
  <si>
    <t>INE118A01012</t>
  </si>
  <si>
    <t>Bajaj Holdings &amp; Investment Ltd</t>
  </si>
  <si>
    <t>INE931S01010</t>
  </si>
  <si>
    <t>Adani Transmission Ltd</t>
  </si>
  <si>
    <t>INE540L01014</t>
  </si>
  <si>
    <t>Alkem Laboratories Ltd</t>
  </si>
  <si>
    <t>INE121J01017</t>
  </si>
  <si>
    <t>Indus Towers Ltd (Prev Bharti Infratel Ltd)</t>
  </si>
  <si>
    <t>INE522F01014</t>
  </si>
  <si>
    <t>Coal India Ltd</t>
  </si>
  <si>
    <t>Minerals/Mining</t>
  </si>
  <si>
    <t>INE358A01014</t>
  </si>
  <si>
    <t>Abbott India Ltd</t>
  </si>
  <si>
    <t>INE733E01010</t>
  </si>
  <si>
    <t>NTPC Ltd</t>
  </si>
  <si>
    <t>INE102D01028</t>
  </si>
  <si>
    <t>Godrej Consumer Products Ltd</t>
  </si>
  <si>
    <t>INE646L01027</t>
  </si>
  <si>
    <t>Interglobe Aviation Ltd</t>
  </si>
  <si>
    <t>INE079A01024</t>
  </si>
  <si>
    <t>Ambuja Cements Ltd</t>
  </si>
  <si>
    <t>INE686F01025</t>
  </si>
  <si>
    <t>United Breweries Ltd</t>
  </si>
  <si>
    <t>INE242A01010</t>
  </si>
  <si>
    <t>Indian Oil Corporation Ltd</t>
  </si>
  <si>
    <t>INE318A01026</t>
  </si>
  <si>
    <t>Pidilite Industries Ltd</t>
  </si>
  <si>
    <t>INE012A01025</t>
  </si>
  <si>
    <t>ACC Ltd</t>
  </si>
  <si>
    <t>INE047A01021</t>
  </si>
  <si>
    <t>Grasim Industries Ltd</t>
  </si>
  <si>
    <t>INE752E01010</t>
  </si>
  <si>
    <t>Power Grid Corporation of India Ltd</t>
  </si>
  <si>
    <t>INE205A01025</t>
  </si>
  <si>
    <t>Vedanta Ltd</t>
  </si>
  <si>
    <t>INE095A01012</t>
  </si>
  <si>
    <t>IndusInd Bank Ltd</t>
  </si>
  <si>
    <t>INE726G01019</t>
  </si>
  <si>
    <t>ICICI Prudential Life Insurance Company Ltd</t>
  </si>
  <si>
    <t>INE216A01030</t>
  </si>
  <si>
    <t>Britannia Industries Ltd</t>
  </si>
  <si>
    <t>INE685A01028</t>
  </si>
  <si>
    <t>Torrent Pharmaceuticals Ltd</t>
  </si>
  <si>
    <t>INE140A01024</t>
  </si>
  <si>
    <t>Piramal Enterprises Ltd</t>
  </si>
  <si>
    <t>INE018E01016</t>
  </si>
  <si>
    <t>SBI Cards and Payment Services Ltd</t>
  </si>
  <si>
    <t>INE003A01024</t>
  </si>
  <si>
    <t>Siemens Ltd</t>
  </si>
  <si>
    <t>INE066A01021</t>
  </si>
  <si>
    <t>Eicher Motors Ltd</t>
  </si>
  <si>
    <t>INE323A01026</t>
  </si>
  <si>
    <t>Bosch Ltd</t>
  </si>
  <si>
    <t>INE094A01015</t>
  </si>
  <si>
    <t>Hindustan Petroleum Corporation Ltd</t>
  </si>
  <si>
    <t>INE070A01015</t>
  </si>
  <si>
    <t>Shree Cement Ltd</t>
  </si>
  <si>
    <t>INE463A01038</t>
  </si>
  <si>
    <t>Berger Paints (I) Ltd</t>
  </si>
  <si>
    <t>INE259A01022</t>
  </si>
  <si>
    <t>Colgate Palmolive (India) Ltd</t>
  </si>
  <si>
    <t>INE364U01010</t>
  </si>
  <si>
    <t>Adani Green Energy Ltd</t>
  </si>
  <si>
    <t>INE414G01012</t>
  </si>
  <si>
    <t>Muthoot Finance Ltd</t>
  </si>
  <si>
    <t>INE127D01025</t>
  </si>
  <si>
    <t>HDFC Asset Management Company Ltd</t>
  </si>
  <si>
    <t>INE019A01038</t>
  </si>
  <si>
    <t>JSW Steel Ltd</t>
  </si>
  <si>
    <t>INE158A01026</t>
  </si>
  <si>
    <t>Hero MotoCorp Ltd</t>
  </si>
  <si>
    <t>INE423A01024</t>
  </si>
  <si>
    <t>Adani Enterprises</t>
  </si>
  <si>
    <t>INE160A01022</t>
  </si>
  <si>
    <t>Punjab National Bank</t>
  </si>
  <si>
    <t>INE528G01035</t>
  </si>
  <si>
    <t>Yes Bank Ltd</t>
  </si>
  <si>
    <t>INE376G01013</t>
  </si>
  <si>
    <t>Biocon Ltd</t>
  </si>
  <si>
    <t>INE089A01023</t>
  </si>
  <si>
    <t>Dr. Reddy's Laboratories Ltd</t>
  </si>
  <si>
    <t>INE010B01027</t>
  </si>
  <si>
    <t>Cadila Healthcare Ltd</t>
  </si>
  <si>
    <t>INE628A01036</t>
  </si>
  <si>
    <t>UPL Ltd</t>
  </si>
  <si>
    <t>INE545U01014</t>
  </si>
  <si>
    <t>Bandhan Bank Ltd</t>
  </si>
  <si>
    <t>INE326A01037</t>
  </si>
  <si>
    <t>Lupin Ltd</t>
  </si>
  <si>
    <t>INE584A01023</t>
  </si>
  <si>
    <t>NMDC Ltd</t>
  </si>
  <si>
    <t>INE406A01037</t>
  </si>
  <si>
    <t>Aurobindo Pharma Ltd</t>
  </si>
  <si>
    <t>INE216A08027</t>
  </si>
  <si>
    <t>Britannia Industries Ltd - 5.5% - 03/06/2024**</t>
  </si>
  <si>
    <t xml:space="preserve"> CRISIL AAA </t>
  </si>
  <si>
    <t>** Thinly traded / Non Traded Securities</t>
  </si>
  <si>
    <t>Sundaram Diversified Equity</t>
  </si>
  <si>
    <t>Sundaram Arbitrage Fund</t>
  </si>
  <si>
    <t>INE476A01014</t>
  </si>
  <si>
    <t>Canara Bank</t>
  </si>
  <si>
    <t>Stock Future</t>
  </si>
  <si>
    <t>INF903J01QF2</t>
  </si>
  <si>
    <t>Margin Money For Derivatives</t>
  </si>
  <si>
    <t>Sundaram Bluechip Fund</t>
  </si>
  <si>
    <t>Sundaram Equity Fund</t>
  </si>
  <si>
    <t>INE093I01010</t>
  </si>
  <si>
    <t>Oberoi Realty Ltd</t>
  </si>
  <si>
    <t>INE944F01028</t>
  </si>
  <si>
    <t>Radico Khaitan Ltd</t>
  </si>
  <si>
    <t>INE470A01017</t>
  </si>
  <si>
    <t>3M India Ltd</t>
  </si>
  <si>
    <t>INE269B01029</t>
  </si>
  <si>
    <t>Lakshmi Machine Works Ltd</t>
  </si>
  <si>
    <t>INE342J01019</t>
  </si>
  <si>
    <t>Wabco India Ltd</t>
  </si>
  <si>
    <t>Sundaram Equity Savings Fund</t>
  </si>
  <si>
    <t>INE424H01027</t>
  </si>
  <si>
    <t>SUN TV Network Ltd</t>
  </si>
  <si>
    <t>Index Future</t>
  </si>
  <si>
    <t>INE020B08BF0</t>
  </si>
  <si>
    <t>REC Ltd - 8.45% - 22/03/2022</t>
  </si>
  <si>
    <t>INE001A07RS3</t>
  </si>
  <si>
    <t>Housing Development Finance Corporation Ltd - 8.58% - 18/03/2022**</t>
  </si>
  <si>
    <t>INE020B08AT3</t>
  </si>
  <si>
    <t>REC Ltd - 7.99% - 23/02/2023**</t>
  </si>
  <si>
    <t>IN0020200112</t>
  </si>
  <si>
    <t>Sovereign</t>
  </si>
  <si>
    <t>IN0020180488</t>
  </si>
  <si>
    <t>Sundaram Financial Services Opportunities Fund</t>
  </si>
  <si>
    <t>INE674K01013</t>
  </si>
  <si>
    <t>Aditya Birla Capital Ltd</t>
  </si>
  <si>
    <t>INE780C01023</t>
  </si>
  <si>
    <t>JM Financial Ltd</t>
  </si>
  <si>
    <t>INE774D01024</t>
  </si>
  <si>
    <t>Mahindra &amp; Mahindra Financial Services Ltd</t>
  </si>
  <si>
    <t>Sundaram Value Fund Series X</t>
  </si>
  <si>
    <t>INE825A01012</t>
  </si>
  <si>
    <t>Vardhman Textiles Ltd</t>
  </si>
  <si>
    <t>INE008A01015</t>
  </si>
  <si>
    <t>IDBI Bank Ltd</t>
  </si>
  <si>
    <t>Sundaram Value Fund Series VII</t>
  </si>
  <si>
    <t>Sundaram Value Fund Series IX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</si>
  <si>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</si>
  <si>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</si>
  <si>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</si>
  <si>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</si>
  <si>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</si>
  <si>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</si>
  <si>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</si>
  <si>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</si>
  <si>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</si>
  <si>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</si>
  <si>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</si>
  <si>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</si>
  <si>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</si>
  <si>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</si>
  <si>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</si>
  <si>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</si>
  <si>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</si>
  <si>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</si>
  <si>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</si>
  <si>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</si>
  <si>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</si>
  <si>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SFOCUS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</si>
  <si>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</si>
  <si>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</si>
  <si>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</si>
  <si>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</si>
  <si>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</si>
  <si>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</si>
  <si>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</si>
  <si>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</si>
  <si>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</si>
  <si>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</si>
  <si>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</si>
  <si>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</si>
  <si>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</si>
  <si>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SRURAL</t>
  </si>
  <si>
    <t>Sundaram Rural And Consumption Fund</t>
  </si>
  <si>
    <t>SSFUND</t>
  </si>
  <si>
    <t>Sundaram Service Fund</t>
  </si>
  <si>
    <t>SSN100</t>
  </si>
  <si>
    <t>Sundaram Smart Nifty 100 Equity Weight Fund</t>
  </si>
  <si>
    <t>STAX</t>
  </si>
  <si>
    <t>SUNARF</t>
  </si>
  <si>
    <t>SUNBAF</t>
  </si>
  <si>
    <t>Sundaram Balanced Advantage Fund</t>
  </si>
  <si>
    <t>SUNBAL</t>
  </si>
  <si>
    <t>Sundaram Equity Hybrid Fund</t>
  </si>
  <si>
    <t>SUNBCF</t>
  </si>
  <si>
    <t>SUNEQF</t>
  </si>
  <si>
    <t>SUNESF</t>
  </si>
  <si>
    <t>SUNFOP</t>
  </si>
  <si>
    <t>SUNVALF10</t>
  </si>
  <si>
    <t>SUNVALF7</t>
  </si>
  <si>
    <t>SUNVALF9</t>
  </si>
  <si>
    <t>GLOB</t>
  </si>
  <si>
    <t>Sundaram Global Brand Fund</t>
  </si>
  <si>
    <t>SUNDARAM GLOBAL BRAND FUND</t>
  </si>
  <si>
    <t>Monthly Portfolio Statement for the period ended 30 Sep 2021</t>
  </si>
  <si>
    <t>S.NO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</si>
  <si>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</si>
  <si>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</si>
  <si>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</si>
  <si>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</si>
  <si>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</si>
  <si>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</si>
  <si>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</si>
  <si>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</si>
  <si>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</si>
  <si>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</si>
  <si>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 Repo</t>
  </si>
  <si>
    <t>Cash and Other Net Curent Assets</t>
  </si>
  <si>
    <t>a) Total securities below investment grade or default  - Nil</t>
  </si>
  <si>
    <t>b) Total value and percentage of illiquid equity shares - Nil</t>
  </si>
  <si>
    <t xml:space="preserve"> </t>
  </si>
  <si>
    <t>Options</t>
  </si>
  <si>
    <t>Direct Plan - IDCW ^^</t>
  </si>
  <si>
    <t>Regular Plan - IDCW ^^</t>
  </si>
  <si>
    <t>^^ IDCW means Income distribution cum capital withdrawal (Payout/Reinvestment/Transfer)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</si>
  <si>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</si>
  <si>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</si>
  <si>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8,762.51 lacs</t>
  </si>
  <si>
    <t>g) Repo in Corporate Debt - Nil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</si>
  <si>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</si>
  <si>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</si>
  <si>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</si>
  <si>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</si>
  <si>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</si>
  <si>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</si>
  <si>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</si>
  <si>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</si>
  <si>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</si>
  <si>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</si>
  <si>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</si>
  <si>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</si>
  <si>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</si>
  <si>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INE092A01019</t>
  </si>
  <si>
    <t>Tata Chemicals Ltd</t>
  </si>
  <si>
    <t>INE257A01026</t>
  </si>
  <si>
    <t>Bharat Heavy Electricals Ltd</t>
  </si>
  <si>
    <t>INE042A01014</t>
  </si>
  <si>
    <t>Escorts</t>
  </si>
  <si>
    <t>INE001A07RU9</t>
  </si>
  <si>
    <t>Housing Development Finance Corporation Ltd - 8.05% - 20/06/2022**</t>
  </si>
  <si>
    <t>INE094A08085</t>
  </si>
  <si>
    <t>Hindustan Petroleum Corporation Ltd - 4.79% - 23/10/2023**</t>
  </si>
  <si>
    <t>INE261F08CA0</t>
  </si>
  <si>
    <t>National Bank for Agricultural &amp; Rural Development - 6.4% - 31/07/2023**</t>
  </si>
  <si>
    <t>INE020B08CN2</t>
  </si>
  <si>
    <t>REC Ltd - 6.8% - 30/06/2023**</t>
  </si>
  <si>
    <t>INE115A07OH1</t>
  </si>
  <si>
    <t>LIC Housing Finance Ltd - 7.6% - 22/11/2022**</t>
  </si>
  <si>
    <t>INE261F08BW6</t>
  </si>
  <si>
    <t>National Bank for Agricultural &amp; Rural Development - 6.72% - 14/04/2023**</t>
  </si>
  <si>
    <t>INE001A07SH4</t>
  </si>
  <si>
    <t>Housing Development Finance Corporation Ltd - 6.99% - 13/02/2023</t>
  </si>
  <si>
    <t>INE020B08DC3</t>
  </si>
  <si>
    <t>REC Ltd - 5.69% - 30/09/2023**</t>
  </si>
  <si>
    <t>INE001A07SQ5</t>
  </si>
  <si>
    <t>Housing Development Finance Corporation Ltd - 4.95% - 09/09/2022</t>
  </si>
  <si>
    <t>INE115A07CY1</t>
  </si>
  <si>
    <t>LIC Housing Finance Ltd - 9.3% - 14/09/2022**</t>
  </si>
  <si>
    <t>INE134E08KJ6</t>
  </si>
  <si>
    <t>Power Finance Corporation Ltd - 7.04% - 14/04/2023**</t>
  </si>
  <si>
    <t>INE020B08CD3</t>
  </si>
  <si>
    <t>REC Ltd - 7.09% - 13/12/2022**</t>
  </si>
  <si>
    <t>INE053F07BZ2</t>
  </si>
  <si>
    <t>Indian Railway Finance Corporation Ltd - 6.59% - 14/04/2023**</t>
  </si>
  <si>
    <t>INE115A14DA5</t>
  </si>
  <si>
    <t>LIC Housing Finance Ltd - 14/02/2022**</t>
  </si>
  <si>
    <t xml:space="preserve"> CRISIL A1+ </t>
  </si>
  <si>
    <t>Cash and Other Net Current Assets^</t>
  </si>
  <si>
    <t>**Non Traded Securities</t>
  </si>
  <si>
    <t>^ Net current assets includes interest accrued on fixed income securities</t>
  </si>
  <si>
    <t>i) Repo in corporate debt</t>
  </si>
  <si>
    <t>INE001A07SD3</t>
  </si>
  <si>
    <t>Housing Development Finance Corporation Ltd - 7.21% - 30/12/2022</t>
  </si>
  <si>
    <t>INE134E08KO6</t>
  </si>
  <si>
    <t>Power Finance Corporation Ltd - 6.83% - 24/04/2023**</t>
  </si>
  <si>
    <t>INE062A08157</t>
  </si>
  <si>
    <t xml:space="preserve"> CRISIL AA+ </t>
  </si>
  <si>
    <t>INE020B08DR1</t>
  </si>
  <si>
    <t>REC Ltd - 5.74% - 20/06/2024</t>
  </si>
  <si>
    <t>INE261F08CS2</t>
  </si>
  <si>
    <t>National Bank for Agricultural &amp; Rural Development - 4.6% - 29/07/2022</t>
  </si>
  <si>
    <t>INE040A08377</t>
  </si>
  <si>
    <t>INE514E08FL5</t>
  </si>
  <si>
    <t>INE062A08140</t>
  </si>
  <si>
    <t>INE028A08158</t>
  </si>
  <si>
    <t xml:space="preserve"> IND AAA </t>
  </si>
  <si>
    <t>INE557F08FG1</t>
  </si>
  <si>
    <t>National Housing Bank  - 7.05% - 18/12/2024**</t>
  </si>
  <si>
    <t>INE028A08117</t>
  </si>
  <si>
    <t>INE115A07PE5</t>
  </si>
  <si>
    <t>LIC Housing Finance Ltd - 4.545% - 28/03/2022**</t>
  </si>
  <si>
    <t xml:space="preserve"> CARE AAA </t>
  </si>
  <si>
    <t>INE134E08KD9</t>
  </si>
  <si>
    <t>Power Finance Corporation Ltd - 8.1% - 04/06/2024**</t>
  </si>
  <si>
    <t>INE261F08BK1</t>
  </si>
  <si>
    <t>National Bank for Agricultural &amp; Rural Development - 7.69% - 29/05/2024**</t>
  </si>
  <si>
    <t>INE020B08AA3</t>
  </si>
  <si>
    <t>REC Ltd - 7.52% - 07/11/2026**</t>
  </si>
  <si>
    <t>INE115A07OJ7</t>
  </si>
  <si>
    <t>LIC Housing Finance Ltd - 7.445% - 13/01/2023**</t>
  </si>
  <si>
    <t>INE238A08443</t>
  </si>
  <si>
    <t>INE090A08TW2</t>
  </si>
  <si>
    <t>INE134E08LK2</t>
  </si>
  <si>
    <t>Power Finance Corporation Ltd - 6.09% - 27/08/2026</t>
  </si>
  <si>
    <t>INE261F08DI1</t>
  </si>
  <si>
    <t>National Bank for Agricultural &amp; Rural Development - 5.23% - 31/01/2025**</t>
  </si>
  <si>
    <t>INE053F08122</t>
  </si>
  <si>
    <t>Indian Railway Finance Corporation Ltd - 6.92% - 31/08/2031</t>
  </si>
  <si>
    <t>INE020B08641</t>
  </si>
  <si>
    <t>REC Ltd - 9.75% - 11/11/2021**</t>
  </si>
  <si>
    <t>INE001A07SC5</t>
  </si>
  <si>
    <t>Housing Development Finance Corporation Ltd - 6.99% - 25/11/2021**</t>
  </si>
  <si>
    <t>INE001A07TA7</t>
  </si>
  <si>
    <t>Housing Development Finance Corporation Ltd - 4.71% - 07/09/2023**</t>
  </si>
  <si>
    <t>INE528G08246</t>
  </si>
  <si>
    <t>INE895D07487</t>
  </si>
  <si>
    <t>Tata Sons Pvt Ltd - 9.3% - 19/06/2024**</t>
  </si>
  <si>
    <t>IN0020130012</t>
  </si>
  <si>
    <t>IN0020210012</t>
  </si>
  <si>
    <t>Individual &amp; HUF</t>
  </si>
  <si>
    <t>Others</t>
  </si>
  <si>
    <t>Monthly Portfolio Statement for the month ended 30 September 2021</t>
  </si>
  <si>
    <t>Action Construction Equipments Ltd</t>
  </si>
  <si>
    <t>Mind Tree Ltd</t>
  </si>
  <si>
    <t>5.22% Central Government Securities 15/06/2025</t>
  </si>
  <si>
    <t>5.63% Central Government Securities 12/04/2026</t>
  </si>
  <si>
    <t>7.16% Central Government Securities 20/05/2023</t>
  </si>
  <si>
    <t>7.32 % Central Government Securities 28/01/2024</t>
  </si>
  <si>
    <t>Sun TV Network Limited Oct 2021</t>
  </si>
  <si>
    <t>Bharat Petroleum Corporation Ltd Oct 2021</t>
  </si>
  <si>
    <t>Bajaj Auto Ltd Oct 2021</t>
  </si>
  <si>
    <t>Federal Bank Oct 2021</t>
  </si>
  <si>
    <t>ITC Ltd Oct 2021</t>
  </si>
  <si>
    <t>TATA Consumer Products Ltd Oct 2021</t>
  </si>
  <si>
    <t>Jindal Steel &amp; Power Ltd Oct 2021</t>
  </si>
  <si>
    <t>Reliance Industries Ltd Oct 2021</t>
  </si>
  <si>
    <t>Bharti Airtel Ltd Oct 2021</t>
  </si>
  <si>
    <t>United Spirits Ltd Oct 2021</t>
  </si>
  <si>
    <t>ICICI Bank Ltd Oct 2021</t>
  </si>
  <si>
    <t>Tech Mahindra Ltd Oct 2021</t>
  </si>
  <si>
    <t>Housing Development Fin Corp Ltd Oct 2021</t>
  </si>
  <si>
    <t>Hindustan Unilever Ltd Oct 2021</t>
  </si>
  <si>
    <t>Escorts Limited Oct 2021</t>
  </si>
  <si>
    <t>Bharat Heavy Electricals Limited Oct 2021</t>
  </si>
  <si>
    <t>Vedanta Limited Oct 2021</t>
  </si>
  <si>
    <t>Divis Labarotories Ltd Oct 2021</t>
  </si>
  <si>
    <t>Tata Chemicals Limited Oct 2021</t>
  </si>
  <si>
    <t>Tata Motors Ltd Oct 2021</t>
  </si>
  <si>
    <t>Grasim Industries Limited Oct 2021</t>
  </si>
  <si>
    <t>Punjab National Bank Oct 2021</t>
  </si>
  <si>
    <t>Adani Ports &amp; SEZ Ltd Oct 2021</t>
  </si>
  <si>
    <t>Titan Company Limited Oct 2021</t>
  </si>
  <si>
    <t>Axis Bank Ltd Oct 2021</t>
  </si>
  <si>
    <t>Tata Steel Limited Oct 2021</t>
  </si>
  <si>
    <t>Dr.Reddys Laboratories Ltd Oct 2021</t>
  </si>
  <si>
    <t>HDFC Life Insurance Company Ltd Oct 2021</t>
  </si>
  <si>
    <t>TATA Consultancy Services Ltd Oct 2021</t>
  </si>
  <si>
    <t>Pidilite Industries Ltd Oct 2021</t>
  </si>
  <si>
    <t>Marico Ltd Oct 2021</t>
  </si>
  <si>
    <t>State Bank of India Oct 2021</t>
  </si>
  <si>
    <t>Nifty Oct 2021</t>
  </si>
  <si>
    <t>Page Industries Ltd Oct 2021</t>
  </si>
  <si>
    <t>Dabur India Limited Oct 2021</t>
  </si>
  <si>
    <t>Hindalco Industries Ltd Oct 2021</t>
  </si>
  <si>
    <t>Bharat Forge Ltd Oct 2021</t>
  </si>
  <si>
    <t>Ashok Leyland Ltd Oct 2021</t>
  </si>
  <si>
    <t>Canara Bank Oct 2021</t>
  </si>
  <si>
    <t>HDFC Bank Limited Oct 2021</t>
  </si>
  <si>
    <t>Bajaj Finserv Limited Oct 2021</t>
  </si>
  <si>
    <t>Shriram Transport Finance Company Limited Oct 2021</t>
  </si>
  <si>
    <t>Apollo Hospitals Enterprise Limited Oct 2021</t>
  </si>
  <si>
    <t>Indraprastha Gas Ltd Oct 2021</t>
  </si>
  <si>
    <t>LIC Housing Finance Ltd Oct 2021</t>
  </si>
  <si>
    <t>INE041025011</t>
  </si>
  <si>
    <t>Embassy Office Parks(REIT)</t>
  </si>
  <si>
    <t>INE0GGX23010</t>
  </si>
  <si>
    <t>Power Grid Infrastructure Investment Trust(InvIT)</t>
  </si>
  <si>
    <t>INE001A13049</t>
  </si>
  <si>
    <t>Housing Development Finance
Corporation Ltd</t>
  </si>
  <si>
    <t>Hindustan Dorr-Oliver Ltd @</t>
  </si>
  <si>
    <t>0.00 / #</t>
  </si>
  <si>
    <t>b) Total value and percentage of illiquid equity shares @</t>
  </si>
  <si>
    <t>-</t>
  </si>
  <si>
    <t>Sundaram Money Fund - Direct Growth @@</t>
  </si>
  <si>
    <t xml:space="preserve"> @@ Placed as margin for derivatives</t>
  </si>
  <si>
    <t>Bharti Airtel Ltd - Rights Entitlement</t>
  </si>
  <si>
    <t>Asian Granito India Ltd - Rights Entitlement</t>
  </si>
  <si>
    <t>R.P.P. Infra Projects Ltd - Rights Entitlement</t>
  </si>
  <si>
    <t>Rs.723.88 Lacs</t>
  </si>
  <si>
    <t>j) Portfolio Turnover Ratio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</si>
  <si>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</si>
  <si>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</si>
  <si>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</si>
  <si>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</si>
  <si>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% to AUM as on 30.09.2021</t>
  </si>
  <si>
    <t xml:space="preserve"> ICRA AAA </t>
  </si>
  <si>
    <t xml:space="preserve"> ICRA AA+ </t>
  </si>
  <si>
    <t xml:space="preserve"> ICRA BBB </t>
  </si>
  <si>
    <t>Yes Bank Ltd - 9.9% - 31/10/2022** (Tier II bond under Basel II)</t>
  </si>
  <si>
    <t>Bank of Baroda - 8.65% - Call Dt 11/08/2022**  (Perpetual Bond under Basel III)</t>
  </si>
  <si>
    <t>State Bank of India - 8.15% - Call Dt 02/08/2022** (Perpetual Bond under Basel III)</t>
  </si>
  <si>
    <t>HDFC Bank Ltd - 8.85% - Call Dt 12/05/2022** (Perpetual Bond under Basel III)</t>
  </si>
  <si>
    <t>Export Import Bank of India - 8.6% - Call Dt 31/03/2022** (Perpetual Bond under Basel III)</t>
  </si>
  <si>
    <t>State Bank of India - 8.39% - Call Dt 25/10/2021** (Perpetual Bond under Basel III)</t>
  </si>
  <si>
    <t>Bank of Baroda - 8.55% - Call Dt 14-Feb-2024 (Tier II Bond under Basel III)**</t>
  </si>
  <si>
    <t>Axis Bank Ltd - 8.75% - Call Dt 28/06/2022** (Perpetual Bond under Basel III)</t>
  </si>
  <si>
    <t>ICICI Bank Ltd - 9.2% - Call Dt 17/03/2022** (Perpetual Bond under Basel III)</t>
  </si>
  <si>
    <t>Yield to call date %</t>
  </si>
  <si>
    <t>Direct Plan - IDCW^^</t>
  </si>
  <si>
    <t>Regular Plan - IDCW^^</t>
  </si>
  <si>
    <t>d) IDCW^^ declared during the period (Rupees per unit)</t>
  </si>
  <si>
    <t>Institutional Plan - IDCW^^</t>
  </si>
  <si>
    <t>Cement &amp; Cement Products</t>
  </si>
  <si>
    <t>Capital Markets</t>
  </si>
  <si>
    <t>Aerospace &amp; Defense</t>
  </si>
  <si>
    <t>Entertainment</t>
  </si>
  <si>
    <t>Other Services</t>
  </si>
  <si>
    <t>Leisure Services</t>
  </si>
  <si>
    <t>Printing &amp; Publication</t>
  </si>
  <si>
    <t>Insurance</t>
  </si>
  <si>
    <t>Scheme Riskometer</t>
  </si>
  <si>
    <t>Benchmark Riskometer - NIFTY Infrastructure TRI</t>
  </si>
  <si>
    <t>Benchmark Riskometer - S&amp;P BSE Small Cap TRI</t>
  </si>
  <si>
    <t>Benchmark Riskometer - Nifty MidCap 100 TRI</t>
  </si>
  <si>
    <t>Benchmark Riskometer - S&amp;P BSE 500 TRI</t>
  </si>
  <si>
    <t>Benchmark Riskometer - Nifty Large Mid Cap 250 TRI</t>
  </si>
  <si>
    <t>Benchmark Riskometer - S&amp;P BSE 250 SmallCap TRI</t>
  </si>
  <si>
    <t>Benchmark Riskometer - Nifty 50 TRI</t>
  </si>
  <si>
    <t>Benchmark Riskometer - Nifty Small Cap 100 TRI</t>
  </si>
  <si>
    <t>Benchmark Riskometer - Nifty India Consumption TRI</t>
  </si>
  <si>
    <t>Benchmark Riskometer - S&amp;P BSE 200 TRI</t>
  </si>
  <si>
    <t>Benchmark Riskometer - Nifty 100 Equal Weighted TRI</t>
  </si>
  <si>
    <t>Benchmark Riskometer - NIFTY 50 Arbitrage TRI</t>
  </si>
  <si>
    <t>Benchmark Riskometer - CRISIL Hybrid 50+50 - Moderate Index</t>
  </si>
  <si>
    <t>Benchmark Riskometer - CRISIL Hybrid 35+65 - Aggressive Index</t>
  </si>
  <si>
    <t>Benchmark Riskometer - Nifty 100 TRI</t>
  </si>
  <si>
    <t>Benchmark Riskometer - Nifty 500 MultiCap 50:25:25 TRI</t>
  </si>
  <si>
    <t>Benchmark Riskometer - Nifty Equity Savings TRI</t>
  </si>
  <si>
    <t>Benchmark Riskometer - Nifty Financial Services TRI</t>
  </si>
  <si>
    <t>Benchmark Riskometer - Dow Jones Industrial Average TRI</t>
  </si>
  <si>
    <t>i) Pursuant to SEBI Circular no. CIR/IMD/DF/11/2010 dated August 18, 2010, the disclosure for investments in derivative instruments is as mentioned below</t>
  </si>
  <si>
    <t>A. Hedging Positions through Futures as on 30th September 2021 : Nil</t>
  </si>
  <si>
    <t>For the period 01st April 2021 to 30th September 2021, following hedging transactions through futures have been squared off/expired : Nil</t>
  </si>
  <si>
    <t>B. Other than Hedging Positions through Futures as on 30th September 2021 : Nil</t>
  </si>
  <si>
    <t>For the period 01st April 2021 to 30th September 2021, following non-hedging transactions through futures have been squared off/expired</t>
  </si>
  <si>
    <t>Total Number of contracts where futures were Bought</t>
  </si>
  <si>
    <t>C. Hedging Position through Put Option as on 30th September 2021 : Nil</t>
  </si>
  <si>
    <t>For the period 01st April 2021 to 30th September 2021, hedging transactions through options which have been exercised/expired : Nil</t>
  </si>
  <si>
    <t>D. Other than Hedging Positions through Options as on 30th September 2021 : Nil</t>
  </si>
  <si>
    <t>For the period 01st April 2021 to 30th September 2021, non-hedging transactions through options have been exercised/expired : Nil</t>
  </si>
  <si>
    <t>E. Hedging Positions through Swaps as on30th September 2021: Nil</t>
  </si>
  <si>
    <t>For the period 01st April 2021 to 30th September 2021, hedging transactions through Swaps which have been squared off/expired : Nil</t>
  </si>
  <si>
    <t>F. Hedging/Other than Hedging Positions Positions through Interest Rate Futures as on September 30,2021:</t>
  </si>
  <si>
    <t>For the period 01st April 2021 to 30th September 2021, hedging/other than hedging transactions through Interest Rate Futures  which have been squared off/expired : Nil</t>
  </si>
  <si>
    <t>For the period 01st April 2021 to 30th September 2021, following hedging transactions through futures have been squared off/expired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</si>
  <si>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</si>
  <si>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</si>
  <si>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</si>
  <si>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</si>
  <si>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Gross Notional value of contracts where futures were sold              (Rs. in Lakhs)</t>
  </si>
  <si>
    <t>Net Profit / (Loss) value on all contracts combined      (Rs. in lakhs)</t>
  </si>
  <si>
    <t>Gross Notional value of contracts where futures were sold      ( Rs. in Lakhs)</t>
  </si>
  <si>
    <t>Rs. 6,340.83 lacs (short Position)</t>
  </si>
  <si>
    <t>A. Hedging Positions through Futures as on 30th September 2021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</si>
  <si>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</si>
  <si>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</si>
  <si>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</si>
  <si>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</si>
  <si>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</si>
  <si>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</si>
  <si>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>For the period 01st April 2021 to 30th September 2021, following non-hedging transactions through futures have been squared off/expired : Nil</t>
  </si>
  <si>
    <t>* Note: Margin maintained denotes security specific margin.</t>
  </si>
  <si>
    <t>Rs. 30,397.81 lacs (short Position)</t>
  </si>
  <si>
    <t>k) Pursuant to SEBI Circular no. CIR/IMD/DF/11/2010 dated August 18, 2010, the disclosure for investments in derivative instruments is as mentioned below</t>
  </si>
  <si>
    <t>A. Hedging Positions through Futures as on 30th September 2021 :</t>
  </si>
  <si>
    <t>k) Exposure to securities classified as below investment grade or default as on Sep 30, 2021:-</t>
  </si>
  <si>
    <t>l) Pursuant to SEBI Circular no. CIR/IMD/DF/11/2010 dated August 18, 2010, the disclosure for investments in derivative instruments is as mentioned below</t>
  </si>
  <si>
    <t>Refer below point (k)</t>
  </si>
  <si>
    <t>Rs. 4,195.08 lacs (short Position)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</si>
</sst>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;\-#,##0.00"/>
    <numFmt numFmtId="169" formatCode="[$-1014009]#,##0.00%"/>
    <numFmt numFmtId="170" formatCode="[$-1014009]#,##0.0000;\-#,##0.0000"/>
    <numFmt numFmtId="171" formatCode="[$-1014009]#,##0.000000;\-#,##0.000000"/>
    <numFmt numFmtId="172" formatCode="0.000"/>
    <numFmt numFmtId="173" formatCode="#,##0.000"/>
    <numFmt numFmtId="174" formatCode="_(* #,##0.00_);_(* \(#,##0.00\);_(* &quot;-&quot;??_);_(@_)"/>
    <numFmt numFmtId="175" formatCode="0.00000"/>
    <numFmt numFmtId="176" formatCode="dd\/mm\/yyyy"/>
    <numFmt numFmtId="177" formatCode="0.0000"/>
    <numFmt numFmtId="178" formatCode="[$-1014009]#.0000"/>
    <numFmt numFmtId="179" formatCode="[$-1014009]#,##0.00;\(#,##0.00\)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>
      <alignment wrapText="1"/>
    </xf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174" fontId="6" fillId="0" borderId="0" applyFont="0" applyFill="0" applyBorder="0" applyAlignment="0" applyProtection="0"/>
    <xf numFmtId="0" fontId="6" fillId="0" borderId="0"/>
    <xf numFmtId="0" fontId="6" fillId="0" borderId="0"/>
    <xf numFmtId="17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6" fillId="0" borderId="0">
      <alignment wrapText="1"/>
    </xf>
    <xf numFmtId="0" fontId="6" fillId="0" borderId="0">
      <alignment wrapText="1"/>
    </xf>
  </cellStyleXfs>
  <cellXfs count="235">
    <xf numFmtId="0" fontId="0" fillId="0" borderId="0" xfId="0">
      <alignment wrapText="1"/>
    </xf>
    <xf numFmtId="0" fontId="3" fillId="2" borderId="4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164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165" fontId="3" fillId="2" borderId="4" xfId="0" applyNumberFormat="1" applyFont="1" applyFill="1" applyBorder="1" applyAlignment="1">
      <alignment horizontal="right" vertical="center" wrapText="1" readingOrder="1"/>
    </xf>
    <xf numFmtId="166" fontId="3" fillId="2" borderId="4" xfId="0" applyNumberFormat="1" applyFont="1" applyFill="1" applyBorder="1" applyAlignment="1">
      <alignment horizontal="right" vertical="center" wrapText="1" readingOrder="1"/>
    </xf>
    <xf numFmtId="167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166" fontId="4" fillId="2" borderId="4" xfId="0" applyNumberFormat="1" applyFont="1" applyFill="1" applyBorder="1" applyAlignment="1">
      <alignment horizontal="right" vertical="center" wrapText="1" readingOrder="1"/>
    </xf>
    <xf numFmtId="167" fontId="4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8" fontId="4" fillId="2" borderId="4" xfId="0" applyNumberFormat="1" applyFont="1" applyFill="1" applyBorder="1" applyAlignment="1">
      <alignment horizontal="right" vertical="center" wrapText="1" readingOrder="1"/>
    </xf>
    <xf numFmtId="169" fontId="4" fillId="2" borderId="4" xfId="0" applyNumberFormat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5" fillId="2" borderId="6" xfId="0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right" vertical="top" wrapText="1" readingOrder="1"/>
    </xf>
    <xf numFmtId="170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center" wrapText="1" readingOrder="1"/>
    </xf>
    <xf numFmtId="0" fontId="0" fillId="2" borderId="0" xfId="0" applyFill="1" applyBorder="1" applyAlignment="1">
      <alignment horizontal="center" vertical="top" readingOrder="1"/>
    </xf>
    <xf numFmtId="0" fontId="3" fillId="2" borderId="5" xfId="0" applyFont="1" applyFill="1" applyBorder="1" applyAlignment="1">
      <alignment horizontal="right" vertical="top" wrapText="1" readingOrder="1"/>
    </xf>
    <xf numFmtId="169" fontId="4" fillId="2" borderId="4" xfId="0" applyNumberFormat="1" applyFont="1" applyFill="1" applyBorder="1" applyAlignment="1">
      <alignment horizontal="left" vertical="center" wrapText="1" readingOrder="1"/>
    </xf>
    <xf numFmtId="0" fontId="8" fillId="0" borderId="7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1" fillId="0" borderId="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0" fillId="0" borderId="7" xfId="2" applyFont="1" applyBorder="1" applyAlignment="1">
      <alignment vertical="center"/>
    </xf>
    <xf numFmtId="0" fontId="1" fillId="0" borderId="0" xfId="3"/>
    <xf numFmtId="0" fontId="12" fillId="0" borderId="7" xfId="4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 readingOrder="1"/>
    </xf>
    <xf numFmtId="0" fontId="13" fillId="0" borderId="7" xfId="2" applyFont="1" applyBorder="1" applyProtection="1">
      <protection locked="0"/>
    </xf>
    <xf numFmtId="0" fontId="14" fillId="0" borderId="7" xfId="2" applyFont="1" applyBorder="1" applyAlignment="1" applyProtection="1">
      <alignment wrapText="1"/>
      <protection locked="0"/>
    </xf>
    <xf numFmtId="0" fontId="13" fillId="0" borderId="7" xfId="2" applyFont="1" applyBorder="1" applyAlignment="1">
      <alignment horizontal="right"/>
    </xf>
    <xf numFmtId="0" fontId="1" fillId="0" borderId="7" xfId="3" applyBorder="1"/>
    <xf numFmtId="0" fontId="13" fillId="0" borderId="7" xfId="2" applyFont="1" applyBorder="1" applyAlignment="1" applyProtection="1">
      <alignment wrapText="1"/>
      <protection locked="0"/>
    </xf>
    <xf numFmtId="172" fontId="13" fillId="0" borderId="7" xfId="2" applyNumberFormat="1" applyFont="1" applyBorder="1" applyProtection="1">
      <protection locked="0"/>
    </xf>
    <xf numFmtId="43" fontId="13" fillId="0" borderId="7" xfId="1" applyFont="1" applyFill="1" applyBorder="1" applyAlignment="1">
      <alignment horizontal="right"/>
    </xf>
    <xf numFmtId="2" fontId="13" fillId="0" borderId="7" xfId="2" applyNumberFormat="1" applyFont="1" applyBorder="1" applyAlignment="1">
      <alignment horizontal="right"/>
    </xf>
    <xf numFmtId="43" fontId="1" fillId="0" borderId="0" xfId="3" applyNumberFormat="1"/>
    <xf numFmtId="172" fontId="1" fillId="0" borderId="0" xfId="3" applyNumberFormat="1"/>
    <xf numFmtId="0" fontId="13" fillId="0" borderId="7" xfId="2" applyFont="1" applyBorder="1" applyAlignment="1">
      <alignment horizontal="center"/>
    </xf>
    <xf numFmtId="173" fontId="1" fillId="0" borderId="7" xfId="3" applyNumberFormat="1" applyBorder="1"/>
    <xf numFmtId="0" fontId="13" fillId="0" borderId="7" xfId="2" applyFont="1" applyBorder="1"/>
    <xf numFmtId="0" fontId="14" fillId="0" borderId="7" xfId="4" applyFont="1" applyBorder="1" applyAlignment="1">
      <alignment vertical="center" wrapText="1"/>
    </xf>
    <xf numFmtId="172" fontId="14" fillId="0" borderId="7" xfId="4" applyNumberFormat="1" applyFont="1" applyBorder="1" applyAlignment="1">
      <alignment vertical="center" wrapText="1"/>
    </xf>
    <xf numFmtId="174" fontId="14" fillId="0" borderId="7" xfId="5" applyFont="1" applyFill="1" applyBorder="1" applyAlignment="1">
      <alignment vertical="center" wrapText="1"/>
    </xf>
    <xf numFmtId="43" fontId="14" fillId="0" borderId="7" xfId="1" applyFont="1" applyBorder="1" applyAlignment="1">
      <alignment horizontal="right" vertical="center"/>
    </xf>
    <xf numFmtId="10" fontId="1" fillId="0" borderId="7" xfId="3" applyNumberFormat="1" applyBorder="1"/>
    <xf numFmtId="174" fontId="13" fillId="0" borderId="7" xfId="5" applyFont="1" applyFill="1" applyBorder="1" applyAlignment="1">
      <alignment horizontal="right"/>
    </xf>
    <xf numFmtId="0" fontId="14" fillId="0" borderId="7" xfId="2" applyFont="1" applyBorder="1" applyProtection="1">
      <protection locked="0"/>
    </xf>
    <xf numFmtId="174" fontId="13" fillId="0" borderId="7" xfId="5" applyFont="1" applyFill="1" applyBorder="1" applyAlignment="1" applyProtection="1">
      <alignment horizontal="right"/>
      <protection locked="0"/>
    </xf>
    <xf numFmtId="0" fontId="13" fillId="0" borderId="7" xfId="3" applyFont="1" applyBorder="1"/>
    <xf numFmtId="174" fontId="13" fillId="0" borderId="7" xfId="5" applyFont="1" applyFill="1" applyBorder="1"/>
    <xf numFmtId="43" fontId="15" fillId="0" borderId="7" xfId="3" applyNumberFormat="1" applyFont="1" applyBorder="1"/>
    <xf numFmtId="0" fontId="14" fillId="0" borderId="7" xfId="2" applyFont="1" applyBorder="1"/>
    <xf numFmtId="174" fontId="14" fillId="0" borderId="7" xfId="5" applyFont="1" applyFill="1" applyBorder="1" applyAlignment="1">
      <alignment horizontal="right"/>
    </xf>
    <xf numFmtId="43" fontId="1" fillId="0" borderId="7" xfId="3" applyNumberFormat="1" applyBorder="1"/>
    <xf numFmtId="2" fontId="14" fillId="0" borderId="7" xfId="2" applyNumberFormat="1" applyFont="1" applyBorder="1" applyAlignment="1">
      <alignment horizontal="right"/>
    </xf>
    <xf numFmtId="4" fontId="16" fillId="0" borderId="7" xfId="0" applyNumberFormat="1" applyFont="1" applyBorder="1" applyAlignment="1"/>
    <xf numFmtId="4" fontId="1" fillId="0" borderId="0" xfId="3" applyNumberFormat="1"/>
    <xf numFmtId="175" fontId="1" fillId="0" borderId="0" xfId="3" applyNumberFormat="1"/>
    <xf numFmtId="0" fontId="17" fillId="0" borderId="0" xfId="6" applyFont="1" applyAlignment="1">
      <alignment horizontal="left" vertical="center" wrapText="1"/>
    </xf>
    <xf numFmtId="0" fontId="18" fillId="0" borderId="0" xfId="6" applyFont="1" applyAlignment="1">
      <alignment vertical="center"/>
    </xf>
    <xf numFmtId="43" fontId="18" fillId="0" borderId="0" xfId="6" applyNumberFormat="1" applyFont="1" applyAlignment="1">
      <alignment vertical="center"/>
    </xf>
    <xf numFmtId="4" fontId="19" fillId="0" borderId="0" xfId="3" applyNumberFormat="1" applyFont="1"/>
    <xf numFmtId="2" fontId="18" fillId="0" borderId="0" xfId="6" applyNumberFormat="1" applyFont="1" applyAlignment="1">
      <alignment vertical="center"/>
    </xf>
    <xf numFmtId="0" fontId="13" fillId="0" borderId="0" xfId="7" applyFont="1" applyAlignment="1">
      <alignment vertical="center"/>
    </xf>
    <xf numFmtId="0" fontId="18" fillId="0" borderId="0" xfId="6" applyFont="1" applyAlignment="1">
      <alignment horizontal="left" vertical="center"/>
    </xf>
    <xf numFmtId="0" fontId="18" fillId="0" borderId="7" xfId="6" applyFont="1" applyBorder="1" applyAlignment="1">
      <alignment vertical="center"/>
    </xf>
    <xf numFmtId="0" fontId="14" fillId="0" borderId="7" xfId="7" applyFont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4" fillId="0" borderId="7" xfId="7" applyFont="1" applyBorder="1" applyAlignment="1">
      <alignment vertical="center"/>
    </xf>
    <xf numFmtId="176" fontId="17" fillId="0" borderId="7" xfId="6" applyNumberFormat="1" applyFont="1" applyBorder="1" applyAlignment="1">
      <alignment horizontal="center"/>
    </xf>
    <xf numFmtId="14" fontId="17" fillId="0" borderId="0" xfId="6" applyNumberFormat="1" applyFont="1" applyAlignment="1">
      <alignment horizontal="center"/>
    </xf>
    <xf numFmtId="0" fontId="15" fillId="0" borderId="0" xfId="3" applyFont="1"/>
    <xf numFmtId="0" fontId="18" fillId="0" borderId="7" xfId="6" applyFont="1" applyBorder="1" applyAlignment="1">
      <alignment horizontal="left" vertical="center"/>
    </xf>
    <xf numFmtId="177" fontId="15" fillId="0" borderId="7" xfId="3" applyNumberFormat="1" applyFont="1" applyBorder="1"/>
    <xf numFmtId="177" fontId="15" fillId="0" borderId="0" xfId="3" applyNumberFormat="1" applyFont="1"/>
    <xf numFmtId="0" fontId="3" fillId="0" borderId="4" xfId="0" applyFont="1" applyBorder="1" applyAlignment="1">
      <alignment horizontal="left" vertical="center" wrapText="1" readingOrder="1"/>
    </xf>
    <xf numFmtId="0" fontId="3" fillId="0" borderId="0" xfId="0" applyFont="1" applyAlignment="1">
      <alignment vertical="center" readingOrder="1"/>
    </xf>
    <xf numFmtId="0" fontId="3" fillId="0" borderId="0" xfId="0" applyFont="1" applyAlignment="1">
      <alignment vertical="center" wrapText="1" readingOrder="1"/>
    </xf>
    <xf numFmtId="0" fontId="13" fillId="0" borderId="0" xfId="6" applyFont="1" applyAlignment="1">
      <alignment horizontal="center" vertical="center"/>
    </xf>
    <xf numFmtId="0" fontId="18" fillId="0" borderId="0" xfId="6" quotePrefix="1" applyFont="1" applyAlignment="1">
      <alignment vertical="center"/>
    </xf>
    <xf numFmtId="0" fontId="13" fillId="0" borderId="0" xfId="3" applyFont="1" applyAlignment="1">
      <alignment vertical="center" wrapText="1"/>
    </xf>
    <xf numFmtId="0" fontId="6" fillId="0" borderId="0" xfId="10">
      <alignment wrapText="1"/>
    </xf>
    <xf numFmtId="0" fontId="3" fillId="2" borderId="4" xfId="10" applyFont="1" applyFill="1" applyBorder="1" applyAlignment="1">
      <alignment horizontal="right" vertical="top" wrapText="1" readingOrder="1"/>
    </xf>
    <xf numFmtId="0" fontId="4" fillId="2" borderId="4" xfId="10" applyFont="1" applyFill="1" applyBorder="1" applyAlignment="1">
      <alignment horizontal="left" vertical="center" wrapText="1" readingOrder="1"/>
    </xf>
    <xf numFmtId="164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4" xfId="10" applyFont="1" applyFill="1" applyBorder="1" applyAlignment="1">
      <alignment horizontal="left" vertical="center" wrapText="1" readingOrder="1"/>
    </xf>
    <xf numFmtId="165" fontId="3" fillId="2" borderId="4" xfId="10" applyNumberFormat="1" applyFont="1" applyFill="1" applyBorder="1" applyAlignment="1">
      <alignment horizontal="right" vertical="center" wrapText="1" readingOrder="1"/>
    </xf>
    <xf numFmtId="166" fontId="3" fillId="2" borderId="4" xfId="10" applyNumberFormat="1" applyFont="1" applyFill="1" applyBorder="1" applyAlignment="1">
      <alignment horizontal="right" vertical="center" wrapText="1" readingOrder="1"/>
    </xf>
    <xf numFmtId="166" fontId="4" fillId="2" borderId="4" xfId="10" applyNumberFormat="1" applyFont="1" applyFill="1" applyBorder="1" applyAlignment="1">
      <alignment horizontal="right" vertical="center" wrapText="1" readingOrder="1"/>
    </xf>
    <xf numFmtId="0" fontId="5" fillId="2" borderId="4" xfId="10" applyFont="1" applyFill="1" applyBorder="1" applyAlignment="1">
      <alignment horizontal="left" vertical="center" wrapText="1" readingOrder="1"/>
    </xf>
    <xf numFmtId="0" fontId="5" fillId="2" borderId="4" xfId="10" applyFont="1" applyFill="1" applyBorder="1" applyAlignment="1">
      <alignment horizontal="right" vertical="center" wrapText="1" readingOrder="1"/>
    </xf>
    <xf numFmtId="168" fontId="4" fillId="2" borderId="4" xfId="10" applyNumberFormat="1" applyFont="1" applyFill="1" applyBorder="1" applyAlignment="1">
      <alignment horizontal="right" vertical="center" wrapText="1" readingOrder="1"/>
    </xf>
    <xf numFmtId="0" fontId="3" fillId="2" borderId="4" xfId="10" applyFont="1" applyFill="1" applyBorder="1" applyAlignment="1">
      <alignment horizontal="right" vertical="center" wrapText="1" readingOrder="1"/>
    </xf>
    <xf numFmtId="0" fontId="5" fillId="2" borderId="5" xfId="10" applyFont="1" applyFill="1" applyBorder="1" applyAlignment="1">
      <alignment horizontal="left" vertical="center" wrapText="1" readingOrder="1"/>
    </xf>
    <xf numFmtId="0" fontId="5" fillId="2" borderId="5" xfId="10" applyFont="1" applyFill="1" applyBorder="1" applyAlignment="1">
      <alignment horizontal="right" vertical="center" wrapText="1" readingOrder="1"/>
    </xf>
    <xf numFmtId="0" fontId="5" fillId="2" borderId="0" xfId="10" applyFont="1" applyFill="1" applyAlignment="1">
      <alignment horizontal="left" vertical="center" wrapText="1" readingOrder="1"/>
    </xf>
    <xf numFmtId="0" fontId="5" fillId="2" borderId="0" xfId="10" applyFont="1" applyFill="1" applyAlignment="1">
      <alignment horizontal="right" vertical="center" wrapText="1" readingOrder="1"/>
    </xf>
    <xf numFmtId="0" fontId="5" fillId="2" borderId="6" xfId="10" applyFont="1" applyFill="1" applyBorder="1" applyAlignment="1">
      <alignment horizontal="right" vertical="center" wrapText="1" readingOrder="1"/>
    </xf>
    <xf numFmtId="0" fontId="3" fillId="2" borderId="0" xfId="10" applyFont="1" applyFill="1" applyAlignment="1">
      <alignment horizontal="right" vertical="top" wrapText="1" readingOrder="1"/>
    </xf>
    <xf numFmtId="0" fontId="4" fillId="2" borderId="4" xfId="10" applyFont="1" applyFill="1" applyBorder="1" applyAlignment="1">
      <alignment horizontal="right" vertical="top" wrapText="1" readingOrder="1"/>
    </xf>
    <xf numFmtId="0" fontId="4" fillId="2" borderId="4" xfId="10" applyFont="1" applyFill="1" applyBorder="1" applyAlignment="1">
      <alignment horizontal="left" vertical="top" wrapText="1" readingOrder="1"/>
    </xf>
    <xf numFmtId="178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0" xfId="10" applyFont="1" applyFill="1" applyAlignment="1">
      <alignment horizontal="left" vertical="center" wrapText="1" readingOrder="1"/>
    </xf>
    <xf numFmtId="0" fontId="3" fillId="2" borderId="0" xfId="10" applyFont="1" applyFill="1" applyAlignment="1">
      <alignment horizontal="right" vertical="center" wrapText="1" readingOrder="1"/>
    </xf>
    <xf numFmtId="0" fontId="6" fillId="2" borderId="0" xfId="10" applyFill="1" applyAlignment="1">
      <alignment horizontal="center" vertical="top" readingOrder="1"/>
    </xf>
    <xf numFmtId="0" fontId="3" fillId="2" borderId="6" xfId="10" applyFont="1" applyFill="1" applyBorder="1" applyAlignment="1">
      <alignment horizontal="right" vertical="top" wrapText="1" readingOrder="1"/>
    </xf>
    <xf numFmtId="179" fontId="4" fillId="2" borderId="4" xfId="10" applyNumberFormat="1" applyFont="1" applyFill="1" applyBorder="1" applyAlignment="1">
      <alignment horizontal="left" vertical="center" wrapText="1" readingOrder="1"/>
    </xf>
    <xf numFmtId="169" fontId="4" fillId="2" borderId="4" xfId="10" applyNumberFormat="1" applyFont="1" applyFill="1" applyBorder="1" applyAlignment="1">
      <alignment horizontal="left" vertical="center" wrapText="1" readingOrder="1"/>
    </xf>
    <xf numFmtId="0" fontId="21" fillId="2" borderId="4" xfId="10" applyFont="1" applyFill="1" applyBorder="1" applyAlignment="1">
      <alignment horizontal="left" vertical="center" wrapText="1" readingOrder="1"/>
    </xf>
    <xf numFmtId="0" fontId="21" fillId="2" borderId="4" xfId="10" applyFont="1" applyFill="1" applyBorder="1" applyAlignment="1">
      <alignment horizontal="right" vertical="center" wrapText="1" readingOrder="1"/>
    </xf>
    <xf numFmtId="171" fontId="3" fillId="2" borderId="4" xfId="10" applyNumberFormat="1" applyFont="1" applyFill="1" applyBorder="1" applyAlignment="1">
      <alignment horizontal="right" vertical="center" wrapText="1" readingOrder="1"/>
    </xf>
    <xf numFmtId="0" fontId="3" fillId="2" borderId="5" xfId="10" applyFont="1" applyFill="1" applyBorder="1" applyAlignment="1">
      <alignment horizontal="left" vertical="center" wrapText="1" readingOrder="1"/>
    </xf>
    <xf numFmtId="0" fontId="4" fillId="2" borderId="5" xfId="10" applyFont="1" applyFill="1" applyBorder="1" applyAlignment="1">
      <alignment horizontal="left" vertical="center" wrapText="1" readingOrder="1"/>
    </xf>
    <xf numFmtId="0" fontId="0" fillId="0" borderId="0" xfId="0" applyAlignment="1"/>
    <xf numFmtId="0" fontId="6" fillId="0" borderId="0" xfId="0" applyFont="1">
      <alignment wrapText="1"/>
    </xf>
    <xf numFmtId="164" fontId="3" fillId="0" borderId="4" xfId="0" applyNumberFormat="1" applyFont="1" applyBorder="1" applyAlignment="1">
      <alignment horizontal="right" vertical="center" wrapText="1" readingOrder="1"/>
    </xf>
    <xf numFmtId="165" fontId="3" fillId="0" borderId="4" xfId="0" applyNumberFormat="1" applyFont="1" applyBorder="1" applyAlignment="1">
      <alignment horizontal="right" vertical="center" wrapText="1" readingOrder="1"/>
    </xf>
    <xf numFmtId="166" fontId="3" fillId="0" borderId="4" xfId="0" applyNumberFormat="1" applyFont="1" applyBorder="1" applyAlignment="1">
      <alignment horizontal="right" vertical="center" wrapText="1" readingOrder="1"/>
    </xf>
    <xf numFmtId="0" fontId="22" fillId="0" borderId="0" xfId="0" applyFont="1">
      <alignment wrapText="1"/>
    </xf>
    <xf numFmtId="0" fontId="1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vertical="top" readingOrder="1"/>
    </xf>
    <xf numFmtId="179" fontId="4" fillId="2" borderId="4" xfId="10" applyNumberFormat="1" applyFont="1" applyFill="1" applyBorder="1" applyAlignment="1">
      <alignment horizontal="left" vertical="top" wrapText="1" readingOrder="1"/>
    </xf>
    <xf numFmtId="0" fontId="9" fillId="0" borderId="7" xfId="3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167" fontId="3" fillId="2" borderId="1" xfId="0" applyNumberFormat="1" applyFont="1" applyFill="1" applyBorder="1" applyAlignment="1">
      <alignment horizontal="right" vertical="center" wrapText="1" readingOrder="1"/>
    </xf>
    <xf numFmtId="167" fontId="4" fillId="2" borderId="1" xfId="0" applyNumberFormat="1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169" fontId="4" fillId="2" borderId="1" xfId="0" applyNumberFormat="1" applyFont="1" applyFill="1" applyBorder="1" applyAlignment="1">
      <alignment horizontal="right" vertical="center" wrapText="1" readingOrder="1"/>
    </xf>
    <xf numFmtId="0" fontId="0" fillId="0" borderId="7" xfId="0" applyBorder="1">
      <alignment wrapText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2" borderId="1" xfId="10" applyFont="1" applyFill="1" applyBorder="1" applyAlignment="1">
      <alignment horizontal="right" vertical="top" wrapText="1" readingOrder="1"/>
    </xf>
    <xf numFmtId="167" fontId="3" fillId="2" borderId="1" xfId="10" applyNumberFormat="1" applyFont="1" applyFill="1" applyBorder="1" applyAlignment="1">
      <alignment horizontal="right" vertical="center" wrapText="1" readingOrder="1"/>
    </xf>
    <xf numFmtId="167" fontId="4" fillId="2" borderId="1" xfId="10" applyNumberFormat="1" applyFont="1" applyFill="1" applyBorder="1" applyAlignment="1">
      <alignment horizontal="right" vertical="center" wrapText="1" readingOrder="1"/>
    </xf>
    <xf numFmtId="0" fontId="5" fillId="2" borderId="1" xfId="10" applyFont="1" applyFill="1" applyBorder="1" applyAlignment="1">
      <alignment horizontal="right" vertical="center" wrapText="1" readingOrder="1"/>
    </xf>
    <xf numFmtId="169" fontId="4" fillId="2" borderId="1" xfId="10" applyNumberFormat="1" applyFont="1" applyFill="1" applyBorder="1" applyAlignment="1">
      <alignment horizontal="right" vertical="center" wrapText="1" readingOrder="1"/>
    </xf>
    <xf numFmtId="0" fontId="3" fillId="2" borderId="1" xfId="10" applyFont="1" applyFill="1" applyBorder="1" applyAlignment="1">
      <alignment horizontal="right" vertical="center" wrapText="1" readingOrder="1"/>
    </xf>
    <xf numFmtId="167" fontId="3" fillId="0" borderId="1" xfId="10" applyNumberFormat="1" applyFont="1" applyBorder="1" applyAlignment="1">
      <alignment horizontal="right" vertical="center" wrapText="1" readingOrder="1"/>
    </xf>
    <xf numFmtId="43" fontId="15" fillId="0" borderId="7" xfId="3" applyNumberFormat="1" applyFont="1" applyBorder="1" applyAlignment="1">
      <alignment horizontal="center" vertical="center"/>
    </xf>
    <xf numFmtId="43" fontId="15" fillId="0" borderId="7" xfId="3" applyNumberFormat="1" applyFont="1" applyBorder="1" applyAlignment="1">
      <alignment vertical="center"/>
    </xf>
    <xf numFmtId="0" fontId="15" fillId="0" borderId="7" xfId="2" applyFont="1" applyBorder="1" applyAlignment="1">
      <alignment wrapText="1"/>
    </xf>
    <xf numFmtId="0" fontId="6" fillId="0" borderId="0" xfId="10" applyAlignment="1">
      <alignment vertical="center" wrapText="1"/>
    </xf>
    <xf numFmtId="0" fontId="9" fillId="0" borderId="11" xfId="0" applyFont="1" applyBorder="1" applyAlignment="1">
      <alignment horizontal="center" vertical="center" wrapText="1" readingOrder="1"/>
    </xf>
    <xf numFmtId="0" fontId="3" fillId="2" borderId="0" xfId="10" applyFont="1" applyFill="1" applyBorder="1" applyAlignment="1">
      <alignment horizontal="left" vertical="center" wrapText="1" readingOrder="1"/>
    </xf>
    <xf numFmtId="171" fontId="3" fillId="2" borderId="0" xfId="10" applyNumberFormat="1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" fillId="0" borderId="0" xfId="3" applyAlignment="1">
      <alignment horizontal="center" vertical="center"/>
    </xf>
    <xf numFmtId="0" fontId="2" fillId="2" borderId="4" xfId="10" applyFont="1" applyFill="1" applyBorder="1" applyAlignment="1">
      <alignment horizontal="center" vertical="center" wrapText="1" readingOrder="1"/>
    </xf>
    <xf numFmtId="0" fontId="6" fillId="0" borderId="0" xfId="10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3" fillId="0" borderId="0" xfId="0" applyFont="1" applyAlignment="1"/>
    <xf numFmtId="0" fontId="14" fillId="0" borderId="7" xfId="0" applyFont="1" applyBorder="1" applyAlignment="1">
      <alignment horizontal="center" vertical="top" wrapText="1"/>
    </xf>
    <xf numFmtId="0" fontId="13" fillId="0" borderId="7" xfId="8" applyNumberFormat="1" applyFont="1" applyFill="1" applyBorder="1" applyAlignment="1">
      <alignment horizontal="center"/>
    </xf>
    <xf numFmtId="37" fontId="13" fillId="0" borderId="7" xfId="8" applyNumberFormat="1" applyFont="1" applyFill="1" applyBorder="1" applyAlignment="1">
      <alignment horizontal="center"/>
    </xf>
    <xf numFmtId="1" fontId="13" fillId="0" borderId="7" xfId="0" applyNumberFormat="1" applyFont="1" applyBorder="1" applyAlignment="1">
      <alignment horizontal="center"/>
    </xf>
    <xf numFmtId="4" fontId="13" fillId="0" borderId="7" xfId="0" applyNumberFormat="1" applyFont="1" applyBorder="1" applyAlignment="1"/>
    <xf numFmtId="174" fontId="13" fillId="0" borderId="7" xfId="8" applyFont="1" applyFill="1" applyBorder="1"/>
    <xf numFmtId="2" fontId="13" fillId="0" borderId="7" xfId="0" applyNumberFormat="1" applyFont="1" applyBorder="1" applyAlignment="1">
      <alignment horizontal="right"/>
    </xf>
    <xf numFmtId="174" fontId="13" fillId="0" borderId="7" xfId="8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4" fontId="13" fillId="0" borderId="7" xfId="8" applyNumberFormat="1" applyFont="1" applyFill="1" applyBorder="1"/>
    <xf numFmtId="0" fontId="13" fillId="0" borderId="0" xfId="8" applyNumberFormat="1" applyFont="1" applyFill="1" applyBorder="1" applyAlignment="1">
      <alignment horizontal="center"/>
    </xf>
    <xf numFmtId="4" fontId="13" fillId="0" borderId="0" xfId="8" applyNumberFormat="1" applyFont="1" applyFill="1" applyBorder="1"/>
    <xf numFmtId="174" fontId="13" fillId="0" borderId="0" xfId="8" applyFont="1" applyFill="1" applyBorder="1"/>
    <xf numFmtId="0" fontId="13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179" fontId="3" fillId="2" borderId="4" xfId="0" applyNumberFormat="1" applyFont="1" applyFill="1" applyBorder="1" applyAlignment="1">
      <alignment horizontal="right" vertical="center" readingOrder="1"/>
    </xf>
    <xf numFmtId="2" fontId="13" fillId="0" borderId="7" xfId="0" applyNumberFormat="1" applyFont="1" applyBorder="1" applyAlignment="1">
      <alignment horizontal="right" vertical="top" wrapText="1"/>
    </xf>
    <xf numFmtId="0" fontId="3" fillId="2" borderId="12" xfId="0" applyFont="1" applyFill="1" applyBorder="1" applyAlignment="1">
      <alignment horizontal="left" vertical="center" wrapText="1" readingOrder="1"/>
    </xf>
    <xf numFmtId="0" fontId="3" fillId="2" borderId="7" xfId="0" applyFont="1" applyFill="1" applyBorder="1" applyAlignment="1">
      <alignment horizontal="left" vertical="center" wrapText="1" readingOrder="1"/>
    </xf>
    <xf numFmtId="0" fontId="3" fillId="2" borderId="8" xfId="0" applyFont="1" applyFill="1" applyBorder="1" applyAlignment="1">
      <alignment horizontal="left" vertical="center" wrapText="1" readingOrder="1"/>
    </xf>
    <xf numFmtId="37" fontId="13" fillId="0" borderId="0" xfId="8" applyNumberFormat="1" applyFont="1" applyFill="1" applyBorder="1" applyAlignment="1">
      <alignment horizontal="center"/>
    </xf>
    <xf numFmtId="4" fontId="13" fillId="0" borderId="0" xfId="0" applyNumberFormat="1" applyFont="1" applyAlignment="1"/>
    <xf numFmtId="0" fontId="23" fillId="0" borderId="8" xfId="4" applyFont="1" applyBorder="1" applyAlignment="1">
      <alignment vertical="center" wrapText="1"/>
    </xf>
    <xf numFmtId="0" fontId="14" fillId="0" borderId="0" xfId="0" applyFont="1" applyAlignment="1">
      <alignment horizontal="center" vertical="top"/>
    </xf>
    <xf numFmtId="0" fontId="15" fillId="0" borderId="7" xfId="2" applyFont="1" applyBorder="1"/>
    <xf numFmtId="0" fontId="24" fillId="0" borderId="7" xfId="2" applyFont="1" applyBorder="1" applyAlignment="1">
      <alignment horizontal="center" vertical="center" wrapText="1"/>
    </xf>
    <xf numFmtId="0" fontId="24" fillId="0" borderId="7" xfId="2" applyFont="1" applyBorder="1" applyAlignment="1">
      <alignment horizontal="center"/>
    </xf>
    <xf numFmtId="0" fontId="15" fillId="0" borderId="7" xfId="2" applyFont="1" applyBorder="1" applyAlignment="1">
      <alignment horizontal="left" vertical="center"/>
    </xf>
    <xf numFmtId="0" fontId="15" fillId="0" borderId="7" xfId="2" applyFont="1" applyBorder="1" applyAlignment="1">
      <alignment vertical="center" wrapText="1"/>
    </xf>
    <xf numFmtId="2" fontId="15" fillId="0" borderId="7" xfId="2" applyNumberFormat="1" applyFont="1" applyBorder="1" applyAlignment="1">
      <alignment horizontal="right" vertical="center" wrapText="1"/>
    </xf>
    <xf numFmtId="174" fontId="15" fillId="0" borderId="7" xfId="8" applyFont="1" applyBorder="1" applyAlignment="1">
      <alignment horizontal="right" vertical="center" wrapText="1"/>
    </xf>
    <xf numFmtId="4" fontId="15" fillId="0" borderId="7" xfId="2" applyNumberFormat="1" applyFont="1" applyBorder="1" applyAlignment="1">
      <alignment horizontal="right" vertical="center"/>
    </xf>
    <xf numFmtId="10" fontId="15" fillId="0" borderId="7" xfId="9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12" fillId="0" borderId="0" xfId="11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3" fillId="2" borderId="0" xfId="10" applyFont="1" applyFill="1" applyAlignment="1">
      <alignment horizontal="left" vertical="center" wrapText="1" readingOrder="1"/>
    </xf>
    <xf numFmtId="0" fontId="3" fillId="2" borderId="1" xfId="10" applyFont="1" applyFill="1" applyBorder="1" applyAlignment="1">
      <alignment horizontal="left" vertical="center" wrapText="1" readingOrder="1"/>
    </xf>
    <xf numFmtId="0" fontId="3" fillId="2" borderId="3" xfId="10" applyFont="1" applyFill="1" applyBorder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4" fillId="2" borderId="1" xfId="10" applyFont="1" applyFill="1" applyBorder="1" applyAlignment="1">
      <alignment horizontal="left" vertical="center" wrapText="1" readingOrder="1"/>
    </xf>
    <xf numFmtId="0" fontId="4" fillId="2" borderId="2" xfId="10" applyFont="1" applyFill="1" applyBorder="1" applyAlignment="1">
      <alignment horizontal="left" vertical="center" wrapText="1" readingOrder="1"/>
    </xf>
    <xf numFmtId="0" fontId="4" fillId="2" borderId="3" xfId="10" applyFont="1" applyFill="1" applyBorder="1" applyAlignment="1">
      <alignment horizontal="left" vertical="center" wrapText="1" readingOrder="1"/>
    </xf>
    <xf numFmtId="0" fontId="15" fillId="0" borderId="7" xfId="2" applyFont="1" applyBorder="1" applyAlignment="1">
      <alignment horizontal="center"/>
    </xf>
    <xf numFmtId="0" fontId="3" fillId="0" borderId="1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13" fillId="2" borderId="13" xfId="0" applyFont="1" applyFill="1" applyBorder="1" applyAlignment="1">
      <alignment horizontal="left" vertical="top" readingOrder="1"/>
    </xf>
    <xf numFmtId="0" fontId="15" fillId="0" borderId="7" xfId="2" applyFont="1" applyBorder="1" applyAlignment="1">
      <alignment horizontal="left" wrapText="1"/>
    </xf>
    <xf numFmtId="0" fontId="15" fillId="0" borderId="7" xfId="2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 readingOrder="1"/>
    </xf>
    <xf numFmtId="0" fontId="24" fillId="0" borderId="7" xfId="2" applyFont="1" applyBorder="1" applyAlignment="1">
      <alignment horizontal="center"/>
    </xf>
    <xf numFmtId="0" fontId="24" fillId="0" borderId="7" xfId="2" applyFont="1" applyBorder="1" applyAlignment="1">
      <alignment horizontal="center" vertical="center"/>
    </xf>
    <xf numFmtId="0" fontId="24" fillId="0" borderId="7" xfId="2" applyFont="1" applyBorder="1" applyAlignment="1">
      <alignment horizontal="center" wrapText="1"/>
    </xf>
    <xf numFmtId="0" fontId="18" fillId="0" borderId="0" xfId="6" applyFont="1" applyAlignment="1">
      <alignment horizontal="left" vertical="center"/>
    </xf>
    <xf numFmtId="0" fontId="15" fillId="0" borderId="0" xfId="3" applyFont="1" applyAlignment="1">
      <alignment horizontal="left"/>
    </xf>
    <xf numFmtId="0" fontId="7" fillId="0" borderId="7" xfId="3" applyFont="1" applyBorder="1" applyAlignment="1">
      <alignment horizontal="center"/>
    </xf>
    <xf numFmtId="0" fontId="12" fillId="0" borderId="7" xfId="4" applyFont="1" applyBorder="1" applyAlignment="1">
      <alignment horizontal="center" vertical="center"/>
    </xf>
    <xf numFmtId="0" fontId="9" fillId="3" borderId="7" xfId="4" applyFont="1" applyFill="1" applyBorder="1" applyAlignment="1">
      <alignment horizontal="center" vertical="center" wrapText="1"/>
    </xf>
    <xf numFmtId="0" fontId="18" fillId="0" borderId="0" xfId="6" applyFont="1" applyAlignment="1">
      <alignment horizontal="left"/>
    </xf>
  </cellXfs>
  <cellStyles count="12">
    <cellStyle name="Comma" xfId="1" builtinId="3"/>
    <cellStyle name="Comma 10" xfId="5" xr:uid="{3AFA99D4-55D8-4B2E-99E4-D6B5C3802B78}"/>
    <cellStyle name="Comma 2 2" xfId="8" xr:uid="{A0ED8457-3C74-4FB1-9DC1-644C96118BFA}"/>
    <cellStyle name="Normal" xfId="0" builtinId="0"/>
    <cellStyle name="Normal 2" xfId="10" xr:uid="{3672362F-EBCC-4B42-8142-333F76A0974D}"/>
    <cellStyle name="Normal 2 2 3" xfId="2" xr:uid="{9E76ACCB-DB2E-4A86-888F-12836B5306D6}"/>
    <cellStyle name="Normal 3" xfId="11" xr:uid="{9C002EEA-8D8F-49C8-98E2-A04DA178218C}"/>
    <cellStyle name="Normal 4" xfId="3" xr:uid="{F9397117-9124-46DA-B9F7-7821B5993124}"/>
    <cellStyle name="Normal_Bonsaverportfolio 2 2" xfId="4" xr:uid="{EB06DAEB-43CB-4BA9-A0EA-55DBCFDD2320}"/>
    <cellStyle name="Normal_Halfyearly_Debtholdings_30092011 2" xfId="6" xr:uid="{7E05876F-F3EE-4967-B6AD-6025EC96C5C6}"/>
    <cellStyle name="Normal_Holdingotherschemes new" xfId="7" xr:uid="{13B4A685-7042-42FB-B4FE-0CF78E695B3E}"/>
    <cellStyle name="Percent 2" xfId="9" xr:uid="{0F4C88C7-DE37-49F5-BFE4-7E3C8045E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652B04-FCB1-401B-BEF7-D6D35AE42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184853-E84E-46B3-ABFF-4C3E5BC13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718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35E24D-12EA-4812-B0B3-55B04730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04B231-89FE-4F00-9384-E815A1E1B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B42D7E-54A1-4F1F-B1DC-E5E7008E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EC89E4-9A4C-45A2-A9C1-E84C589A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3FA98D-D288-475D-B89A-B5E506E8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3A283-5660-4BBA-A1B3-33F12F6E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0395D8-0620-4559-8050-FCE612F98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FB848C-F4F1-4C2E-86DF-DCC4F691A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F50FA6-A70B-45B9-A185-79DA41EC0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909FFE-29D0-4B47-864D-D700C8FCA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53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30D668-DB89-4045-8073-D395B20B0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7A375B-FED0-40F7-8A98-4EC2E0D6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53FFEC-E76C-4325-9379-AB47B413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A762A-43A5-4788-9C43-DF03CF17E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12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06DF4D-2D02-4EA6-950A-8D2C4FC26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238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50716C-59F0-4FA7-8424-80BDA6528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A7CE7A-690A-4CEA-A80D-D69886290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EFBF9-A6E7-40CD-9654-205F537F5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D25C6A-AD68-4D4E-B93B-1BF2C2A3E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31965-45FF-4DE7-89A0-4060FADE0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B69FE4-AAFC-431B-A4BD-BF6EC7886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4B2F3A-5D5F-4D67-9100-93DF38BB8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CEBE8B-5C6B-4EA1-B652-5C3898E1F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25</xdr:row>
      <xdr:rowOff>266698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B42DEE-BF7E-42AB-B747-EAC783371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BA41C6-5F6F-4ACD-99B0-43CF7343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AEA657-88BA-453F-9380-0ADD8276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B08DEC-D038-49A4-9FD1-0A4E589E8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711A81-7D2E-4964-BC75-F2B260F9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75F00E-F5E1-4D4F-AC74-00BA56DED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DDE75D-E048-4712-9288-817712DB6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AE38B2-8251-4C68-8291-02E8BC7B9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60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442857-C6D0-403C-B001-FA425F269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0605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B80B33-EF52-46FF-AC00-70E40A3FF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5F3369-29F7-4BDB-BB11-5D2AFB5C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F2E04F-4F62-4460-99A8-DD9AA8F90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57F8C1-D450-4B4B-9DC7-EDBD0E5F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CE88AC-C1E9-43BF-8D6D-55D07B305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7AEA1B-0332-4AEE-B0A0-11255117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3F37F-797C-442A-B46F-0926466FE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70B1C1-3FA7-4639-BF42-03FA73482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90DE1-3FC1-4322-B568-6389DBA53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EC1BD8-7BD3-4E38-A9FF-1E3095E8F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C5CF5-BBB5-4685-ABC8-78D0590C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1C65DF-089A-4DC6-AE60-803DCA1B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EA99A-002C-49CB-B5B0-D44C387AC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F5911C-6BE0-456E-B69F-FE2509D4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BC3E52-270F-4372-B9AB-3F601B627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6A416E-580D-45B0-B457-D82732840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13961-D086-4AFF-9582-03AC3012F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0875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266698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E98022-2CAA-407B-900A-2D00DBE9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10875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258DA9-7F85-4BD4-B5E5-F00EDDAAF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209550</xdr:rowOff>
    </xdr:from>
    <xdr:to>
      <xdr:col>14</xdr:col>
      <xdr:colOff>225721</xdr:colOff>
      <xdr:row>21</xdr:row>
      <xdr:rowOff>152398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C4EF96-88B2-4300-99B8-F1614E3E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956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C253C9-74A0-43D7-B0ED-F96DBC346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58D599-3B32-4CA7-8DF7-6A7B9A628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E796C6-5A61-4F63-B4FC-F50739C1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534C33-7B99-4416-87BE-C6B4A9D24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086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E8FCE9-D4C6-4F51-985F-C98D05C6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CB7FC4-782E-41FD-AE59-9F8FE5CBC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AE7C12-E87F-4C07-93C6-CAFFB29A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571500"/>
          <a:ext cx="3179167" cy="2019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374530</xdr:colOff>
      <xdr:row>28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07E408-EF3B-4D85-A6A6-0F619911B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700" y="3248025"/>
          <a:ext cx="3422530" cy="19716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276225</xdr:colOff>
      <xdr:row>12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AD3CC8-7C24-43F8-ABE6-CCE76BB84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571500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324928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EBD10-9FA0-4371-8EB7-23060EAF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3248025"/>
          <a:ext cx="3372928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15</xdr:col>
      <xdr:colOff>57151</xdr:colOff>
      <xdr:row>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B6718B-2571-41AD-A8A1-5D4AB3247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1850" y="571500"/>
          <a:ext cx="3105151" cy="2000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81BF7E-28CF-4354-A411-2C258986E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99185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2122C4-59AB-4C50-A03A-C4DA74782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6EEA89-4B0F-4F56-9EAF-4A973DDDA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90FBA-4607-4A20-95B4-9408000B2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835414-0BA2-4291-B74A-6DE04F1A7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226417</xdr:colOff>
      <xdr:row>11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490F31-1EF9-43BA-924A-8A70A8AA5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571500"/>
          <a:ext cx="3274417" cy="20955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374530</xdr:colOff>
      <xdr:row>26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80C14B-3B92-41AA-B83E-764B295B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3543300"/>
          <a:ext cx="342253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9EADC0-8BA5-496C-B5F6-7F3288A7B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618DAA-191A-4467-B782-9C4421631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53675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4E0147-CFE3-4D8B-B85A-F4C9D808A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F38825-7281-45AA-86CE-0930A8EB2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57151</xdr:colOff>
      <xdr:row>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C41CB-52BD-49F6-A310-F9B35F146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105151" cy="20002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C6BDA5-D59F-470E-B3C7-A3C3B8591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A258DC-4C61-4871-A444-EB019F5A6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CC1D02-FF4A-4305-B7A0-2AD19E7A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9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140692</xdr:colOff>
      <xdr:row>10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E9A3D1-34C5-4699-9FE3-B8D60EAD2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130471</xdr:colOff>
      <xdr:row>24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DCCE3D-34CB-46DB-8374-1B5A0437F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62975" y="3467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CB0A-C45C-41DD-8C56-AF1BFF9F6BD9}">
  <dimension ref="A1:C42"/>
  <sheetViews>
    <sheetView tabSelected="1" workbookViewId="0">
      <pane ySplit="1" topLeftCell="A2" activePane="bottomLeft" state="frozen"/>
      <selection activeCell="K16" sqref="K16"/>
      <selection pane="bottomLeft"/>
    </sheetView>
  </sheetViews>
  <sheetFormatPr defaultColWidth="8.85546875" defaultRowHeight="15" x14ac:dyDescent="0.2"/>
  <cols>
    <col min="1" max="1" width="6" style="31" bestFit="1" customWidth="1"/>
    <col min="2" max="2" width="11.140625" style="34" bestFit="1" customWidth="1"/>
    <col min="3" max="3" width="56.42578125" style="34" bestFit="1" customWidth="1"/>
    <col min="4" max="16384" width="8.85546875" style="34"/>
  </cols>
  <sheetData>
    <row r="1" spans="1:3" s="31" customFormat="1" x14ac:dyDescent="0.2">
      <c r="A1" s="29" t="s">
        <v>748</v>
      </c>
      <c r="B1" s="30" t="s">
        <v>749</v>
      </c>
      <c r="C1" s="30" t="s">
        <v>750</v>
      </c>
    </row>
    <row r="2" spans="1:3" x14ac:dyDescent="0.2">
      <c r="A2" s="32">
        <v>1</v>
      </c>
      <c r="B2" s="33" t="s">
        <v>751</v>
      </c>
      <c r="C2" s="33" t="s">
        <v>1</v>
      </c>
    </row>
    <row r="3" spans="1:3" x14ac:dyDescent="0.2">
      <c r="A3" s="32">
        <v>2</v>
      </c>
      <c r="B3" s="33" t="s">
        <v>752</v>
      </c>
      <c r="C3" s="33" t="s">
        <v>150</v>
      </c>
    </row>
    <row r="4" spans="1:3" x14ac:dyDescent="0.2">
      <c r="A4" s="32">
        <v>3</v>
      </c>
      <c r="B4" s="33" t="s">
        <v>753</v>
      </c>
      <c r="C4" s="33" t="s">
        <v>295</v>
      </c>
    </row>
    <row r="5" spans="1:3" x14ac:dyDescent="0.2">
      <c r="A5" s="32">
        <v>4</v>
      </c>
      <c r="B5" s="33" t="s">
        <v>754</v>
      </c>
      <c r="C5" s="35" t="s">
        <v>298</v>
      </c>
    </row>
    <row r="6" spans="1:3" x14ac:dyDescent="0.2">
      <c r="A6" s="32">
        <v>5</v>
      </c>
      <c r="B6" s="33" t="s">
        <v>755</v>
      </c>
      <c r="C6" s="35" t="s">
        <v>301</v>
      </c>
    </row>
    <row r="7" spans="1:3" x14ac:dyDescent="0.2">
      <c r="A7" s="32">
        <v>6</v>
      </c>
      <c r="B7" s="33" t="s">
        <v>756</v>
      </c>
      <c r="C7" s="33" t="s">
        <v>306</v>
      </c>
    </row>
    <row r="8" spans="1:3" x14ac:dyDescent="0.2">
      <c r="A8" s="32">
        <v>7</v>
      </c>
      <c r="B8" s="33" t="s">
        <v>757</v>
      </c>
      <c r="C8" s="33" t="s">
        <v>407</v>
      </c>
    </row>
    <row r="9" spans="1:3" x14ac:dyDescent="0.2">
      <c r="A9" s="32">
        <v>8</v>
      </c>
      <c r="B9" s="33" t="s">
        <v>758</v>
      </c>
      <c r="C9" s="33" t="s">
        <v>759</v>
      </c>
    </row>
    <row r="10" spans="1:3" x14ac:dyDescent="0.2">
      <c r="A10" s="32">
        <v>9</v>
      </c>
      <c r="B10" s="33" t="s">
        <v>760</v>
      </c>
      <c r="C10" s="33" t="s">
        <v>761</v>
      </c>
    </row>
    <row r="11" spans="1:3" x14ac:dyDescent="0.2">
      <c r="A11" s="32">
        <v>10</v>
      </c>
      <c r="B11" s="33" t="s">
        <v>762</v>
      </c>
      <c r="C11" s="33" t="s">
        <v>455</v>
      </c>
    </row>
    <row r="12" spans="1:3" x14ac:dyDescent="0.2">
      <c r="A12" s="32">
        <v>11</v>
      </c>
      <c r="B12" s="33" t="s">
        <v>763</v>
      </c>
      <c r="C12" s="33" t="s">
        <v>472</v>
      </c>
    </row>
    <row r="13" spans="1:3" x14ac:dyDescent="0.2">
      <c r="A13" s="32">
        <v>12</v>
      </c>
      <c r="B13" s="33" t="s">
        <v>764</v>
      </c>
      <c r="C13" s="33" t="s">
        <v>473</v>
      </c>
    </row>
    <row r="14" spans="1:3" x14ac:dyDescent="0.2">
      <c r="A14" s="32">
        <v>13</v>
      </c>
      <c r="B14" s="33" t="s">
        <v>765</v>
      </c>
      <c r="C14" s="33" t="s">
        <v>476</v>
      </c>
    </row>
    <row r="15" spans="1:3" x14ac:dyDescent="0.2">
      <c r="A15" s="32">
        <v>14</v>
      </c>
      <c r="B15" s="33" t="s">
        <v>766</v>
      </c>
      <c r="C15" s="33" t="s">
        <v>477</v>
      </c>
    </row>
    <row r="16" spans="1:3" x14ac:dyDescent="0.2">
      <c r="A16" s="32">
        <v>15</v>
      </c>
      <c r="B16" s="35" t="s">
        <v>767</v>
      </c>
      <c r="C16" s="35" t="s">
        <v>478</v>
      </c>
    </row>
    <row r="17" spans="1:3" x14ac:dyDescent="0.2">
      <c r="A17" s="32">
        <v>16</v>
      </c>
      <c r="B17" s="35" t="s">
        <v>768</v>
      </c>
      <c r="C17" s="35" t="s">
        <v>479</v>
      </c>
    </row>
    <row r="18" spans="1:3" x14ac:dyDescent="0.2">
      <c r="A18" s="32">
        <v>17</v>
      </c>
      <c r="B18" s="35" t="s">
        <v>769</v>
      </c>
      <c r="C18" s="35" t="s">
        <v>496</v>
      </c>
    </row>
    <row r="19" spans="1:3" x14ac:dyDescent="0.2">
      <c r="A19" s="32">
        <v>18</v>
      </c>
      <c r="B19" s="35" t="s">
        <v>770</v>
      </c>
      <c r="C19" s="35" t="s">
        <v>771</v>
      </c>
    </row>
    <row r="20" spans="1:3" x14ac:dyDescent="0.2">
      <c r="A20" s="32">
        <v>19</v>
      </c>
      <c r="B20" s="35" t="s">
        <v>772</v>
      </c>
      <c r="C20" s="35" t="s">
        <v>773</v>
      </c>
    </row>
    <row r="21" spans="1:3" x14ac:dyDescent="0.2">
      <c r="A21" s="32">
        <v>20</v>
      </c>
      <c r="B21" s="35" t="s">
        <v>774</v>
      </c>
      <c r="C21" s="35" t="s">
        <v>775</v>
      </c>
    </row>
    <row r="22" spans="1:3" x14ac:dyDescent="0.2">
      <c r="A22" s="32">
        <v>21</v>
      </c>
      <c r="B22" s="35" t="s">
        <v>776</v>
      </c>
      <c r="C22" s="35" t="s">
        <v>777</v>
      </c>
    </row>
    <row r="23" spans="1:3" x14ac:dyDescent="0.2">
      <c r="A23" s="32">
        <v>22</v>
      </c>
      <c r="B23" s="35" t="s">
        <v>778</v>
      </c>
      <c r="C23" s="35" t="s">
        <v>509</v>
      </c>
    </row>
    <row r="24" spans="1:3" x14ac:dyDescent="0.2">
      <c r="A24" s="32">
        <v>23</v>
      </c>
      <c r="B24" s="35" t="s">
        <v>779</v>
      </c>
      <c r="C24" s="35" t="s">
        <v>510</v>
      </c>
    </row>
    <row r="25" spans="1:3" x14ac:dyDescent="0.2">
      <c r="A25" s="32">
        <v>24</v>
      </c>
      <c r="B25" s="35" t="s">
        <v>780</v>
      </c>
      <c r="C25" s="35" t="s">
        <v>511</v>
      </c>
    </row>
    <row r="26" spans="1:3" x14ac:dyDescent="0.2">
      <c r="A26" s="32">
        <v>25</v>
      </c>
      <c r="B26" s="35" t="s">
        <v>781</v>
      </c>
      <c r="C26" s="35" t="s">
        <v>512</v>
      </c>
    </row>
    <row r="27" spans="1:3" x14ac:dyDescent="0.2">
      <c r="A27" s="32">
        <v>26</v>
      </c>
      <c r="B27" s="35" t="s">
        <v>782</v>
      </c>
      <c r="C27" s="35" t="s">
        <v>513</v>
      </c>
    </row>
    <row r="28" spans="1:3" x14ac:dyDescent="0.2">
      <c r="A28" s="32">
        <v>27</v>
      </c>
      <c r="B28" s="35" t="s">
        <v>783</v>
      </c>
      <c r="C28" s="35" t="s">
        <v>784</v>
      </c>
    </row>
    <row r="29" spans="1:3" x14ac:dyDescent="0.2">
      <c r="A29" s="32">
        <v>28</v>
      </c>
      <c r="B29" s="35" t="s">
        <v>785</v>
      </c>
      <c r="C29" s="35" t="s">
        <v>786</v>
      </c>
    </row>
    <row r="30" spans="1:3" x14ac:dyDescent="0.2">
      <c r="A30" s="32">
        <v>29</v>
      </c>
      <c r="B30" s="35" t="s">
        <v>787</v>
      </c>
      <c r="C30" s="35" t="s">
        <v>788</v>
      </c>
    </row>
    <row r="31" spans="1:3" x14ac:dyDescent="0.2">
      <c r="A31" s="32">
        <v>30</v>
      </c>
      <c r="B31" s="35" t="s">
        <v>789</v>
      </c>
      <c r="C31" s="35" t="s">
        <v>702</v>
      </c>
    </row>
    <row r="32" spans="1:3" x14ac:dyDescent="0.2">
      <c r="A32" s="32">
        <v>31</v>
      </c>
      <c r="B32" s="35" t="s">
        <v>790</v>
      </c>
      <c r="C32" s="35" t="s">
        <v>703</v>
      </c>
    </row>
    <row r="33" spans="1:3" x14ac:dyDescent="0.2">
      <c r="A33" s="32">
        <v>32</v>
      </c>
      <c r="B33" s="35" t="s">
        <v>791</v>
      </c>
      <c r="C33" s="35" t="s">
        <v>792</v>
      </c>
    </row>
    <row r="34" spans="1:3" x14ac:dyDescent="0.2">
      <c r="A34" s="32">
        <v>33</v>
      </c>
      <c r="B34" s="35" t="s">
        <v>793</v>
      </c>
      <c r="C34" s="35" t="s">
        <v>794</v>
      </c>
    </row>
    <row r="35" spans="1:3" x14ac:dyDescent="0.2">
      <c r="A35" s="32">
        <v>34</v>
      </c>
      <c r="B35" s="35" t="s">
        <v>795</v>
      </c>
      <c r="C35" s="35" t="s">
        <v>709</v>
      </c>
    </row>
    <row r="36" spans="1:3" x14ac:dyDescent="0.2">
      <c r="A36" s="32">
        <v>35</v>
      </c>
      <c r="B36" s="35" t="s">
        <v>796</v>
      </c>
      <c r="C36" s="35" t="s">
        <v>710</v>
      </c>
    </row>
    <row r="37" spans="1:3" x14ac:dyDescent="0.2">
      <c r="A37" s="32">
        <v>36</v>
      </c>
      <c r="B37" s="35" t="s">
        <v>797</v>
      </c>
      <c r="C37" s="35" t="s">
        <v>721</v>
      </c>
    </row>
    <row r="38" spans="1:3" x14ac:dyDescent="0.2">
      <c r="A38" s="32">
        <v>37</v>
      </c>
      <c r="B38" s="35" t="s">
        <v>798</v>
      </c>
      <c r="C38" s="35" t="s">
        <v>734</v>
      </c>
    </row>
    <row r="39" spans="1:3" x14ac:dyDescent="0.2">
      <c r="A39" s="32">
        <v>38</v>
      </c>
      <c r="B39" s="35" t="s">
        <v>799</v>
      </c>
      <c r="C39" s="35" t="s">
        <v>741</v>
      </c>
    </row>
    <row r="40" spans="1:3" x14ac:dyDescent="0.2">
      <c r="A40" s="32">
        <v>39</v>
      </c>
      <c r="B40" s="35" t="s">
        <v>800</v>
      </c>
      <c r="C40" s="35" t="s">
        <v>746</v>
      </c>
    </row>
    <row r="41" spans="1:3" x14ac:dyDescent="0.2">
      <c r="A41" s="32">
        <v>40</v>
      </c>
      <c r="B41" s="35" t="s">
        <v>801</v>
      </c>
      <c r="C41" s="35" t="s">
        <v>747</v>
      </c>
    </row>
    <row r="42" spans="1:3" x14ac:dyDescent="0.2">
      <c r="A42" s="32">
        <v>41</v>
      </c>
      <c r="B42" s="35" t="s">
        <v>802</v>
      </c>
      <c r="C42" s="35" t="s">
        <v>803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1"/>
  <sheetViews>
    <sheetView showGridLines="0" zoomScaleNormal="10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customHeight="1" x14ac:dyDescent="0.2">
      <c r="A2" s="207" t="s">
        <v>1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351301</v>
      </c>
      <c r="F7" s="6">
        <v>5982.4803794999998</v>
      </c>
      <c r="G7" s="138">
        <v>9.4999777999999993E-2</v>
      </c>
      <c r="H7" s="142"/>
    </row>
    <row r="8" spans="1:14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216047</v>
      </c>
      <c r="F8" s="6">
        <v>5442.7640474999998</v>
      </c>
      <c r="G8" s="138">
        <v>8.6429264000000006E-2</v>
      </c>
      <c r="H8" s="142"/>
    </row>
    <row r="9" spans="1:14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551604</v>
      </c>
      <c r="F9" s="6">
        <v>3796.6903320000001</v>
      </c>
      <c r="G9" s="138">
        <v>6.0290166999999999E-2</v>
      </c>
      <c r="H9" s="142"/>
    </row>
    <row r="10" spans="1:14" ht="25.5" x14ac:dyDescent="0.2">
      <c r="A10" s="3">
        <v>4</v>
      </c>
      <c r="B10" s="4" t="s">
        <v>20</v>
      </c>
      <c r="C10" s="4" t="s">
        <v>21</v>
      </c>
      <c r="D10" s="4" t="s">
        <v>1023</v>
      </c>
      <c r="E10" s="5">
        <v>362486</v>
      </c>
      <c r="F10" s="6">
        <v>3569.2183989999999</v>
      </c>
      <c r="G10" s="138">
        <v>5.6677988999999998E-2</v>
      </c>
      <c r="H10" s="142"/>
    </row>
    <row r="11" spans="1:14" x14ac:dyDescent="0.2">
      <c r="A11" s="3">
        <v>5</v>
      </c>
      <c r="B11" s="4" t="s">
        <v>22</v>
      </c>
      <c r="C11" s="4" t="s">
        <v>23</v>
      </c>
      <c r="D11" s="4" t="s">
        <v>24</v>
      </c>
      <c r="E11" s="5">
        <v>498729</v>
      </c>
      <c r="F11" s="6">
        <v>3495.3421964999998</v>
      </c>
      <c r="G11" s="138">
        <v>5.5504860000000003E-2</v>
      </c>
      <c r="H11" s="142"/>
    </row>
    <row r="12" spans="1:14" x14ac:dyDescent="0.2">
      <c r="A12" s="3">
        <v>6</v>
      </c>
      <c r="B12" s="4" t="s">
        <v>25</v>
      </c>
      <c r="C12" s="4" t="s">
        <v>26</v>
      </c>
      <c r="D12" s="4" t="s">
        <v>27</v>
      </c>
      <c r="E12" s="5">
        <v>232062</v>
      </c>
      <c r="F12" s="6">
        <v>3185.3990429999999</v>
      </c>
      <c r="G12" s="138">
        <v>5.0583067000000002E-2</v>
      </c>
      <c r="H12" s="142"/>
    </row>
    <row r="13" spans="1:14" x14ac:dyDescent="0.2">
      <c r="A13" s="3">
        <v>7</v>
      </c>
      <c r="B13" s="4" t="s">
        <v>28</v>
      </c>
      <c r="C13" s="4" t="s">
        <v>29</v>
      </c>
      <c r="D13" s="4" t="s">
        <v>27</v>
      </c>
      <c r="E13" s="5">
        <v>118332</v>
      </c>
      <c r="F13" s="6">
        <v>2826.9514800000002</v>
      </c>
      <c r="G13" s="138">
        <v>4.489104E-2</v>
      </c>
      <c r="H13" s="142"/>
    </row>
    <row r="14" spans="1:14" ht="25.5" x14ac:dyDescent="0.2">
      <c r="A14" s="3">
        <v>8</v>
      </c>
      <c r="B14" s="4" t="s">
        <v>30</v>
      </c>
      <c r="C14" s="4" t="s">
        <v>31</v>
      </c>
      <c r="D14" s="4" t="s">
        <v>1023</v>
      </c>
      <c r="E14" s="5">
        <v>70820</v>
      </c>
      <c r="F14" s="6">
        <v>2200.9085500000001</v>
      </c>
      <c r="G14" s="138">
        <v>3.4949688E-2</v>
      </c>
      <c r="H14" s="142"/>
    </row>
    <row r="15" spans="1:14" ht="15" x14ac:dyDescent="0.2">
      <c r="A15" s="3">
        <v>9</v>
      </c>
      <c r="B15" s="4" t="s">
        <v>32</v>
      </c>
      <c r="C15" s="4" t="s">
        <v>33</v>
      </c>
      <c r="D15" s="4" t="s">
        <v>34</v>
      </c>
      <c r="E15" s="5">
        <v>1356087</v>
      </c>
      <c r="F15" s="6">
        <v>2152.7881124999999</v>
      </c>
      <c r="G15" s="138">
        <v>3.4185552000000001E-2</v>
      </c>
      <c r="H15" s="142"/>
      <c r="J15" s="163" t="s">
        <v>1032</v>
      </c>
    </row>
    <row r="16" spans="1:14" ht="25.5" x14ac:dyDescent="0.2">
      <c r="A16" s="3">
        <v>10</v>
      </c>
      <c r="B16" s="4" t="s">
        <v>35</v>
      </c>
      <c r="C16" s="4" t="s">
        <v>36</v>
      </c>
      <c r="D16" s="4" t="s">
        <v>37</v>
      </c>
      <c r="E16" s="5">
        <v>4685</v>
      </c>
      <c r="F16" s="6">
        <v>2141.7243250000001</v>
      </c>
      <c r="G16" s="138">
        <v>3.4009863000000001E-2</v>
      </c>
      <c r="H16" s="142"/>
    </row>
    <row r="17" spans="1:8" ht="25.5" x14ac:dyDescent="0.2">
      <c r="A17" s="3">
        <v>11</v>
      </c>
      <c r="B17" s="4" t="s">
        <v>38</v>
      </c>
      <c r="C17" s="4" t="s">
        <v>39</v>
      </c>
      <c r="D17" s="4" t="s">
        <v>1023</v>
      </c>
      <c r="E17" s="5">
        <v>28500</v>
      </c>
      <c r="F17" s="6">
        <v>2107.8885</v>
      </c>
      <c r="G17" s="138">
        <v>3.3472560999999998E-2</v>
      </c>
      <c r="H17" s="142"/>
    </row>
    <row r="18" spans="1:8" x14ac:dyDescent="0.2">
      <c r="A18" s="3">
        <v>12</v>
      </c>
      <c r="B18" s="4" t="s">
        <v>40</v>
      </c>
      <c r="C18" s="4" t="s">
        <v>41</v>
      </c>
      <c r="D18" s="4" t="s">
        <v>16</v>
      </c>
      <c r="E18" s="5">
        <v>456285</v>
      </c>
      <c r="F18" s="6">
        <v>1972.06377</v>
      </c>
      <c r="G18" s="138">
        <v>3.1315709999999997E-2</v>
      </c>
      <c r="H18" s="142"/>
    </row>
    <row r="19" spans="1:8" x14ac:dyDescent="0.2">
      <c r="A19" s="3">
        <v>13</v>
      </c>
      <c r="B19" s="4" t="s">
        <v>42</v>
      </c>
      <c r="C19" s="4" t="s">
        <v>43</v>
      </c>
      <c r="D19" s="4" t="s">
        <v>27</v>
      </c>
      <c r="E19" s="5">
        <v>87472</v>
      </c>
      <c r="F19" s="6">
        <v>1921.278744</v>
      </c>
      <c r="G19" s="138">
        <v>3.0509260999999999E-2</v>
      </c>
      <c r="H19" s="142"/>
    </row>
    <row r="20" spans="1:8" x14ac:dyDescent="0.2">
      <c r="A20" s="3">
        <v>14</v>
      </c>
      <c r="B20" s="4" t="s">
        <v>44</v>
      </c>
      <c r="C20" s="4" t="s">
        <v>45</v>
      </c>
      <c r="D20" s="4" t="s">
        <v>27</v>
      </c>
      <c r="E20" s="5">
        <v>152664</v>
      </c>
      <c r="F20" s="6">
        <v>1864.332768</v>
      </c>
      <c r="G20" s="138">
        <v>2.9604978000000001E-2</v>
      </c>
      <c r="H20" s="142"/>
    </row>
    <row r="21" spans="1:8" x14ac:dyDescent="0.2">
      <c r="A21" s="3">
        <v>15</v>
      </c>
      <c r="B21" s="4" t="s">
        <v>46</v>
      </c>
      <c r="C21" s="4" t="s">
        <v>47</v>
      </c>
      <c r="D21" s="4" t="s">
        <v>48</v>
      </c>
      <c r="E21" s="5">
        <v>208993</v>
      </c>
      <c r="F21" s="6">
        <v>1530.7692285000001</v>
      </c>
      <c r="G21" s="138">
        <v>2.4308100999999999E-2</v>
      </c>
      <c r="H21" s="142"/>
    </row>
    <row r="22" spans="1:8" x14ac:dyDescent="0.2">
      <c r="A22" s="3">
        <v>16</v>
      </c>
      <c r="B22" s="4" t="s">
        <v>49</v>
      </c>
      <c r="C22" s="4" t="s">
        <v>50</v>
      </c>
      <c r="D22" s="4" t="s">
        <v>51</v>
      </c>
      <c r="E22" s="5">
        <v>39548</v>
      </c>
      <c r="F22" s="6">
        <v>1290.7280760000001</v>
      </c>
      <c r="G22" s="138">
        <v>2.0496328000000001E-2</v>
      </c>
      <c r="H22" s="142"/>
    </row>
    <row r="23" spans="1:8" x14ac:dyDescent="0.2">
      <c r="A23" s="3">
        <v>17</v>
      </c>
      <c r="B23" s="4" t="s">
        <v>52</v>
      </c>
      <c r="C23" s="4" t="s">
        <v>53</v>
      </c>
      <c r="D23" s="4" t="s">
        <v>51</v>
      </c>
      <c r="E23" s="5">
        <v>380216</v>
      </c>
      <c r="F23" s="6">
        <v>1177.3388440000001</v>
      </c>
      <c r="G23" s="138">
        <v>1.8695745E-2</v>
      </c>
      <c r="H23" s="142"/>
    </row>
    <row r="24" spans="1:8" x14ac:dyDescent="0.2">
      <c r="A24" s="3">
        <v>18</v>
      </c>
      <c r="B24" s="4" t="s">
        <v>54</v>
      </c>
      <c r="C24" s="4" t="s">
        <v>55</v>
      </c>
      <c r="D24" s="4" t="s">
        <v>56</v>
      </c>
      <c r="E24" s="5">
        <v>716249</v>
      </c>
      <c r="F24" s="6">
        <v>1137.7615364999999</v>
      </c>
      <c r="G24" s="138">
        <v>1.8067270999999999E-2</v>
      </c>
      <c r="H24" s="142"/>
    </row>
    <row r="25" spans="1:8" x14ac:dyDescent="0.2">
      <c r="A25" s="3">
        <v>19</v>
      </c>
      <c r="B25" s="4" t="s">
        <v>57</v>
      </c>
      <c r="C25" s="4" t="s">
        <v>58</v>
      </c>
      <c r="D25" s="4" t="s">
        <v>59</v>
      </c>
      <c r="E25" s="5">
        <v>1000000</v>
      </c>
      <c r="F25" s="6">
        <v>1136.5</v>
      </c>
      <c r="G25" s="138">
        <v>1.8047238E-2</v>
      </c>
      <c r="H25" s="142"/>
    </row>
    <row r="26" spans="1:8" ht="25.5" x14ac:dyDescent="0.2">
      <c r="A26" s="3">
        <v>20</v>
      </c>
      <c r="B26" s="4" t="s">
        <v>60</v>
      </c>
      <c r="C26" s="4" t="s">
        <v>61</v>
      </c>
      <c r="D26" s="4" t="s">
        <v>37</v>
      </c>
      <c r="E26" s="5">
        <v>315302</v>
      </c>
      <c r="F26" s="6">
        <v>1112.070154</v>
      </c>
      <c r="G26" s="138">
        <v>1.7659299999999999E-2</v>
      </c>
      <c r="H26" s="142"/>
    </row>
    <row r="27" spans="1:8" ht="25.5" x14ac:dyDescent="0.2">
      <c r="A27" s="3">
        <v>21</v>
      </c>
      <c r="B27" s="4" t="s">
        <v>62</v>
      </c>
      <c r="C27" s="4" t="s">
        <v>63</v>
      </c>
      <c r="D27" s="4" t="s">
        <v>37</v>
      </c>
      <c r="E27" s="5">
        <v>23847</v>
      </c>
      <c r="F27" s="6">
        <v>1053.7273889999999</v>
      </c>
      <c r="G27" s="138">
        <v>1.6732837E-2</v>
      </c>
      <c r="H27" s="142"/>
    </row>
    <row r="28" spans="1:8" x14ac:dyDescent="0.2">
      <c r="A28" s="3">
        <v>22</v>
      </c>
      <c r="B28" s="4" t="s">
        <v>64</v>
      </c>
      <c r="C28" s="4" t="s">
        <v>65</v>
      </c>
      <c r="D28" s="4" t="s">
        <v>66</v>
      </c>
      <c r="E28" s="5">
        <v>637568</v>
      </c>
      <c r="F28" s="6">
        <v>1037.323136</v>
      </c>
      <c r="G28" s="138">
        <v>1.6472343E-2</v>
      </c>
      <c r="H28" s="142"/>
    </row>
    <row r="29" spans="1:8" x14ac:dyDescent="0.2">
      <c r="A29" s="3">
        <v>23</v>
      </c>
      <c r="B29" s="4" t="s">
        <v>67</v>
      </c>
      <c r="C29" s="4" t="s">
        <v>68</v>
      </c>
      <c r="D29" s="4" t="s">
        <v>69</v>
      </c>
      <c r="E29" s="5">
        <v>716100</v>
      </c>
      <c r="F29" s="6">
        <v>1034.7645</v>
      </c>
      <c r="G29" s="138">
        <v>1.6431713000000001E-2</v>
      </c>
      <c r="H29" s="142"/>
    </row>
    <row r="30" spans="1:8" ht="25.5" x14ac:dyDescent="0.2">
      <c r="A30" s="3">
        <v>24</v>
      </c>
      <c r="B30" s="4" t="s">
        <v>70</v>
      </c>
      <c r="C30" s="4" t="s">
        <v>71</v>
      </c>
      <c r="D30" s="4" t="s">
        <v>37</v>
      </c>
      <c r="E30" s="5">
        <v>135211</v>
      </c>
      <c r="F30" s="6">
        <v>973.58680549999997</v>
      </c>
      <c r="G30" s="138">
        <v>1.5460231E-2</v>
      </c>
      <c r="H30" s="142"/>
    </row>
    <row r="31" spans="1:8" x14ac:dyDescent="0.2">
      <c r="A31" s="3">
        <v>25</v>
      </c>
      <c r="B31" s="4" t="s">
        <v>72</v>
      </c>
      <c r="C31" s="4" t="s">
        <v>73</v>
      </c>
      <c r="D31" s="4" t="s">
        <v>27</v>
      </c>
      <c r="E31" s="5">
        <v>94317</v>
      </c>
      <c r="F31" s="6">
        <v>935.57748149999998</v>
      </c>
      <c r="G31" s="138">
        <v>1.4856655999999999E-2</v>
      </c>
      <c r="H31" s="142"/>
    </row>
    <row r="32" spans="1:8" x14ac:dyDescent="0.2">
      <c r="A32" s="3">
        <v>26</v>
      </c>
      <c r="B32" s="4" t="s">
        <v>74</v>
      </c>
      <c r="C32" s="4" t="s">
        <v>75</v>
      </c>
      <c r="D32" s="4" t="s">
        <v>66</v>
      </c>
      <c r="E32" s="5">
        <v>222845</v>
      </c>
      <c r="F32" s="6">
        <v>913.66449999999998</v>
      </c>
      <c r="G32" s="138">
        <v>1.4508685E-2</v>
      </c>
      <c r="H32" s="142"/>
    </row>
    <row r="33" spans="1:8" x14ac:dyDescent="0.2">
      <c r="A33" s="3">
        <v>27</v>
      </c>
      <c r="B33" s="4" t="s">
        <v>76</v>
      </c>
      <c r="C33" s="4" t="s">
        <v>77</v>
      </c>
      <c r="D33" s="4" t="s">
        <v>13</v>
      </c>
      <c r="E33" s="5">
        <v>978673</v>
      </c>
      <c r="F33" s="6">
        <v>806.91588850000005</v>
      </c>
      <c r="G33" s="138">
        <v>1.2813553E-2</v>
      </c>
      <c r="H33" s="142"/>
    </row>
    <row r="34" spans="1:8" x14ac:dyDescent="0.2">
      <c r="A34" s="3">
        <v>28</v>
      </c>
      <c r="B34" s="4" t="s">
        <v>78</v>
      </c>
      <c r="C34" s="4" t="s">
        <v>79</v>
      </c>
      <c r="D34" s="4" t="s">
        <v>80</v>
      </c>
      <c r="E34" s="5">
        <v>240000</v>
      </c>
      <c r="F34" s="6">
        <v>686.52</v>
      </c>
      <c r="G34" s="138">
        <v>1.0901707E-2</v>
      </c>
      <c r="H34" s="142"/>
    </row>
    <row r="35" spans="1:8" x14ac:dyDescent="0.2">
      <c r="A35" s="3">
        <v>29</v>
      </c>
      <c r="B35" s="4" t="s">
        <v>81</v>
      </c>
      <c r="C35" s="4" t="s">
        <v>82</v>
      </c>
      <c r="D35" s="4" t="s">
        <v>83</v>
      </c>
      <c r="E35" s="5">
        <v>494783</v>
      </c>
      <c r="F35" s="6">
        <v>662.01965399999995</v>
      </c>
      <c r="G35" s="138">
        <v>1.051265E-2</v>
      </c>
      <c r="H35" s="142"/>
    </row>
    <row r="36" spans="1:8" x14ac:dyDescent="0.2">
      <c r="A36" s="3">
        <v>30</v>
      </c>
      <c r="B36" s="4" t="s">
        <v>84</v>
      </c>
      <c r="C36" s="4" t="s">
        <v>85</v>
      </c>
      <c r="D36" s="4" t="s">
        <v>56</v>
      </c>
      <c r="E36" s="5">
        <v>153124</v>
      </c>
      <c r="F36" s="6">
        <v>483.87184000000002</v>
      </c>
      <c r="G36" s="138">
        <v>7.6837219999999996E-3</v>
      </c>
      <c r="H36" s="142"/>
    </row>
    <row r="37" spans="1:8" x14ac:dyDescent="0.2">
      <c r="A37" s="3">
        <v>31</v>
      </c>
      <c r="B37" s="4" t="s">
        <v>86</v>
      </c>
      <c r="C37" s="4" t="s">
        <v>87</v>
      </c>
      <c r="D37" s="4" t="s">
        <v>56</v>
      </c>
      <c r="E37" s="5">
        <v>199331</v>
      </c>
      <c r="F37" s="6">
        <v>475.50410049999999</v>
      </c>
      <c r="G37" s="138">
        <v>7.5508449999999996E-3</v>
      </c>
      <c r="H37" s="142"/>
    </row>
    <row r="38" spans="1:8" ht="25.5" x14ac:dyDescent="0.2">
      <c r="A38" s="3">
        <v>32</v>
      </c>
      <c r="B38" s="4" t="s">
        <v>88</v>
      </c>
      <c r="C38" s="4" t="s">
        <v>89</v>
      </c>
      <c r="D38" s="4" t="s">
        <v>90</v>
      </c>
      <c r="E38" s="5">
        <v>74319</v>
      </c>
      <c r="F38" s="6">
        <v>470.6250675</v>
      </c>
      <c r="G38" s="138">
        <v>7.4733680000000002E-3</v>
      </c>
      <c r="H38" s="142"/>
    </row>
    <row r="39" spans="1:8" x14ac:dyDescent="0.2">
      <c r="A39" s="3">
        <v>33</v>
      </c>
      <c r="B39" s="4" t="s">
        <v>91</v>
      </c>
      <c r="C39" s="4" t="s">
        <v>92</v>
      </c>
      <c r="D39" s="4" t="s">
        <v>27</v>
      </c>
      <c r="E39" s="5">
        <v>5649</v>
      </c>
      <c r="F39" s="6">
        <v>426.98248949999999</v>
      </c>
      <c r="G39" s="138">
        <v>6.7803380000000003E-3</v>
      </c>
      <c r="H39" s="142"/>
    </row>
    <row r="40" spans="1:8" ht="25.5" x14ac:dyDescent="0.2">
      <c r="A40" s="3">
        <v>34</v>
      </c>
      <c r="B40" s="4" t="s">
        <v>93</v>
      </c>
      <c r="C40" s="4" t="s">
        <v>94</v>
      </c>
      <c r="D40" s="4" t="s">
        <v>48</v>
      </c>
      <c r="E40" s="5">
        <v>57455</v>
      </c>
      <c r="F40" s="6">
        <v>423.96044499999999</v>
      </c>
      <c r="G40" s="138">
        <v>6.7323490000000003E-3</v>
      </c>
      <c r="H40" s="142"/>
    </row>
    <row r="41" spans="1:8" x14ac:dyDescent="0.2">
      <c r="A41" s="3">
        <v>35</v>
      </c>
      <c r="B41" s="4" t="s">
        <v>95</v>
      </c>
      <c r="C41" s="4" t="s">
        <v>96</v>
      </c>
      <c r="D41" s="4" t="s">
        <v>66</v>
      </c>
      <c r="E41" s="5">
        <v>83965</v>
      </c>
      <c r="F41" s="6">
        <v>412.1422025</v>
      </c>
      <c r="G41" s="138">
        <v>6.5446799999999998E-3</v>
      </c>
      <c r="H41" s="142"/>
    </row>
    <row r="42" spans="1:8" x14ac:dyDescent="0.2">
      <c r="A42" s="3">
        <v>36</v>
      </c>
      <c r="B42" s="4" t="s">
        <v>97</v>
      </c>
      <c r="C42" s="4" t="s">
        <v>98</v>
      </c>
      <c r="D42" s="4" t="s">
        <v>56</v>
      </c>
      <c r="E42" s="5">
        <v>61081</v>
      </c>
      <c r="F42" s="6">
        <v>325.62281100000001</v>
      </c>
      <c r="G42" s="138">
        <v>5.1707810000000002E-3</v>
      </c>
      <c r="H42" s="142"/>
    </row>
    <row r="43" spans="1:8" x14ac:dyDescent="0.2">
      <c r="A43" s="3">
        <v>37</v>
      </c>
      <c r="B43" s="4" t="s">
        <v>99</v>
      </c>
      <c r="C43" s="4" t="s">
        <v>100</v>
      </c>
      <c r="D43" s="4" t="s">
        <v>66</v>
      </c>
      <c r="E43" s="5">
        <v>397500</v>
      </c>
      <c r="F43" s="6">
        <v>263.54250000000002</v>
      </c>
      <c r="G43" s="138">
        <v>4.184966E-3</v>
      </c>
      <c r="H43" s="142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9">
        <v>61431.349296500004</v>
      </c>
      <c r="G44" s="139">
        <v>0.97550918499999983</v>
      </c>
      <c r="H44" s="142"/>
    </row>
    <row r="45" spans="1:8" x14ac:dyDescent="0.2">
      <c r="A45" s="1"/>
      <c r="B45" s="1"/>
      <c r="C45" s="11"/>
      <c r="D45" s="1"/>
      <c r="E45" s="1"/>
      <c r="F45" s="12"/>
      <c r="G45" s="140"/>
      <c r="H45" s="142"/>
    </row>
    <row r="46" spans="1:8" x14ac:dyDescent="0.2">
      <c r="A46" s="1"/>
      <c r="B46" s="1"/>
      <c r="C46" s="2" t="s">
        <v>107</v>
      </c>
      <c r="D46" s="1"/>
      <c r="E46" s="1"/>
      <c r="F46" s="1"/>
      <c r="G46" s="137"/>
      <c r="H46" s="142"/>
    </row>
    <row r="47" spans="1:8" x14ac:dyDescent="0.2">
      <c r="A47" s="1"/>
      <c r="B47" s="1"/>
      <c r="C47" s="2" t="s">
        <v>105</v>
      </c>
      <c r="D47" s="1"/>
      <c r="E47" s="1" t="s">
        <v>106</v>
      </c>
      <c r="F47" s="13">
        <v>0</v>
      </c>
      <c r="G47" s="141">
        <v>0</v>
      </c>
      <c r="H47" s="142"/>
    </row>
    <row r="48" spans="1:8" x14ac:dyDescent="0.2">
      <c r="A48" s="1"/>
      <c r="B48" s="1"/>
      <c r="C48" s="11"/>
      <c r="D48" s="1"/>
      <c r="E48" s="1"/>
      <c r="F48" s="12"/>
      <c r="G48" s="140"/>
      <c r="H48" s="142"/>
    </row>
    <row r="49" spans="1:8" x14ac:dyDescent="0.2">
      <c r="A49" s="1"/>
      <c r="B49" s="1"/>
      <c r="C49" s="2" t="s">
        <v>108</v>
      </c>
      <c r="D49" s="1"/>
      <c r="E49" s="1"/>
      <c r="F49" s="1"/>
      <c r="G49" s="137"/>
      <c r="H49" s="142"/>
    </row>
    <row r="50" spans="1:8" x14ac:dyDescent="0.2">
      <c r="A50" s="3">
        <v>1</v>
      </c>
      <c r="B50" s="4" t="s">
        <v>102</v>
      </c>
      <c r="C50" s="4" t="s">
        <v>990</v>
      </c>
      <c r="D50" s="4" t="s">
        <v>103</v>
      </c>
      <c r="E50" s="5">
        <v>559425</v>
      </c>
      <c r="F50" s="6">
        <v>1.1189000000000001E-5</v>
      </c>
      <c r="G50" s="143" t="s">
        <v>104</v>
      </c>
      <c r="H50" s="142"/>
    </row>
    <row r="51" spans="1:8" x14ac:dyDescent="0.2">
      <c r="A51" s="1"/>
      <c r="B51" s="1"/>
      <c r="C51" s="2" t="s">
        <v>105</v>
      </c>
      <c r="D51" s="1"/>
      <c r="E51" s="1" t="s">
        <v>106</v>
      </c>
      <c r="F51" s="13">
        <v>0</v>
      </c>
      <c r="G51" s="141">
        <v>0</v>
      </c>
      <c r="H51" s="142"/>
    </row>
    <row r="52" spans="1:8" x14ac:dyDescent="0.2">
      <c r="A52" s="1"/>
      <c r="B52" s="1"/>
      <c r="C52" s="11"/>
      <c r="D52" s="1"/>
      <c r="E52" s="1"/>
      <c r="F52" s="12"/>
      <c r="G52" s="140"/>
      <c r="H52" s="142"/>
    </row>
    <row r="53" spans="1:8" x14ac:dyDescent="0.2">
      <c r="A53" s="1"/>
      <c r="B53" s="1"/>
      <c r="C53" s="2" t="s">
        <v>109</v>
      </c>
      <c r="D53" s="1"/>
      <c r="E53" s="1"/>
      <c r="F53" s="1"/>
      <c r="G53" s="137"/>
      <c r="H53" s="142"/>
    </row>
    <row r="54" spans="1:8" x14ac:dyDescent="0.2">
      <c r="A54" s="3">
        <v>1</v>
      </c>
      <c r="B54" s="4" t="s">
        <v>110</v>
      </c>
      <c r="C54" s="4" t="s">
        <v>996</v>
      </c>
      <c r="D54" s="4" t="s">
        <v>19</v>
      </c>
      <c r="E54" s="5">
        <v>39400</v>
      </c>
      <c r="F54" s="6">
        <v>60.400199999999998</v>
      </c>
      <c r="G54" s="138">
        <v>9.5913499999999996E-4</v>
      </c>
      <c r="H54" s="142"/>
    </row>
    <row r="55" spans="1:8" ht="25.5" x14ac:dyDescent="0.2">
      <c r="A55" s="3">
        <v>2</v>
      </c>
      <c r="B55" s="4" t="s">
        <v>101</v>
      </c>
      <c r="C55" s="4" t="s">
        <v>998</v>
      </c>
      <c r="D55" s="4" t="s">
        <v>66</v>
      </c>
      <c r="E55" s="5">
        <v>238500</v>
      </c>
      <c r="F55" s="6">
        <v>60.221249999999998</v>
      </c>
      <c r="G55" s="138">
        <v>9.5629299999999999E-4</v>
      </c>
      <c r="H55" s="142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9">
        <v>120.62145</v>
      </c>
      <c r="G56" s="139">
        <v>1.9154279999999998E-3</v>
      </c>
      <c r="H56" s="142"/>
    </row>
    <row r="57" spans="1:8" x14ac:dyDescent="0.2">
      <c r="A57" s="1"/>
      <c r="B57" s="1"/>
      <c r="C57" s="11"/>
      <c r="D57" s="1"/>
      <c r="E57" s="1"/>
      <c r="F57" s="12"/>
      <c r="G57" s="140"/>
      <c r="H57" s="142"/>
    </row>
    <row r="58" spans="1:8" x14ac:dyDescent="0.2">
      <c r="A58" s="1"/>
      <c r="B58" s="1"/>
      <c r="C58" s="2" t="s">
        <v>111</v>
      </c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1">
        <v>0</v>
      </c>
      <c r="H59" s="142"/>
    </row>
    <row r="60" spans="1:8" x14ac:dyDescent="0.2">
      <c r="A60" s="1"/>
      <c r="B60" s="1"/>
      <c r="C60" s="11"/>
      <c r="D60" s="1"/>
      <c r="E60" s="1"/>
      <c r="F60" s="12"/>
      <c r="G60" s="140"/>
      <c r="H60" s="142"/>
    </row>
    <row r="61" spans="1:8" x14ac:dyDescent="0.2">
      <c r="A61" s="1"/>
      <c r="B61" s="1"/>
      <c r="C61" s="2" t="s">
        <v>112</v>
      </c>
      <c r="D61" s="1"/>
      <c r="E61" s="1"/>
      <c r="F61" s="12"/>
      <c r="G61" s="140"/>
      <c r="H61" s="142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1">
        <v>0</v>
      </c>
      <c r="H62" s="142"/>
    </row>
    <row r="63" spans="1:8" x14ac:dyDescent="0.2">
      <c r="A63" s="1"/>
      <c r="B63" s="1"/>
      <c r="C63" s="11"/>
      <c r="D63" s="1"/>
      <c r="E63" s="1"/>
      <c r="F63" s="12"/>
      <c r="G63" s="140"/>
      <c r="H63" s="142"/>
    </row>
    <row r="64" spans="1:8" x14ac:dyDescent="0.2">
      <c r="A64" s="1"/>
      <c r="B64" s="1"/>
      <c r="C64" s="2" t="s">
        <v>113</v>
      </c>
      <c r="D64" s="1"/>
      <c r="E64" s="1"/>
      <c r="F64" s="9">
        <v>61551.970757689</v>
      </c>
      <c r="G64" s="139">
        <v>0.97742461300000005</v>
      </c>
      <c r="H64" s="142"/>
    </row>
    <row r="65" spans="1:8" x14ac:dyDescent="0.2">
      <c r="A65" s="1"/>
      <c r="B65" s="1"/>
      <c r="C65" s="11"/>
      <c r="D65" s="1"/>
      <c r="E65" s="1"/>
      <c r="F65" s="12"/>
      <c r="G65" s="140"/>
      <c r="H65" s="142"/>
    </row>
    <row r="66" spans="1:8" x14ac:dyDescent="0.2">
      <c r="A66" s="1"/>
      <c r="B66" s="1"/>
      <c r="C66" s="2" t="s">
        <v>114</v>
      </c>
      <c r="D66" s="1"/>
      <c r="E66" s="1"/>
      <c r="F66" s="12"/>
      <c r="G66" s="140"/>
      <c r="H66" s="142"/>
    </row>
    <row r="67" spans="1:8" ht="25.5" x14ac:dyDescent="0.2">
      <c r="A67" s="1"/>
      <c r="B67" s="1"/>
      <c r="C67" s="2" t="s">
        <v>10</v>
      </c>
      <c r="D67" s="1"/>
      <c r="E67" s="1"/>
      <c r="F67" s="12"/>
      <c r="G67" s="140"/>
      <c r="H67" s="142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1">
        <v>0</v>
      </c>
      <c r="H68" s="142"/>
    </row>
    <row r="69" spans="1:8" x14ac:dyDescent="0.2">
      <c r="A69" s="1"/>
      <c r="B69" s="1"/>
      <c r="C69" s="11"/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115</v>
      </c>
      <c r="D70" s="1"/>
      <c r="E70" s="1"/>
      <c r="F70" s="1"/>
      <c r="G70" s="137"/>
      <c r="H70" s="142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1">
        <v>0</v>
      </c>
      <c r="H71" s="142"/>
    </row>
    <row r="72" spans="1:8" x14ac:dyDescent="0.2">
      <c r="A72" s="1"/>
      <c r="B72" s="1"/>
      <c r="C72" s="11"/>
      <c r="D72" s="1"/>
      <c r="E72" s="1"/>
      <c r="F72" s="12"/>
      <c r="G72" s="140"/>
      <c r="H72" s="142"/>
    </row>
    <row r="73" spans="1:8" x14ac:dyDescent="0.2">
      <c r="A73" s="1"/>
      <c r="B73" s="1"/>
      <c r="C73" s="2" t="s">
        <v>116</v>
      </c>
      <c r="D73" s="1"/>
      <c r="E73" s="1"/>
      <c r="F73" s="1"/>
      <c r="G73" s="137"/>
      <c r="H73" s="142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1">
        <v>0</v>
      </c>
      <c r="H74" s="142"/>
    </row>
    <row r="75" spans="1:8" x14ac:dyDescent="0.2">
      <c r="A75" s="1"/>
      <c r="B75" s="1"/>
      <c r="C75" s="11"/>
      <c r="D75" s="1"/>
      <c r="E75" s="1"/>
      <c r="F75" s="12"/>
      <c r="G75" s="140"/>
      <c r="H75" s="142"/>
    </row>
    <row r="76" spans="1:8" x14ac:dyDescent="0.2">
      <c r="A76" s="1"/>
      <c r="B76" s="1"/>
      <c r="C76" s="2" t="s">
        <v>117</v>
      </c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1">
        <v>0</v>
      </c>
      <c r="H77" s="142"/>
    </row>
    <row r="78" spans="1:8" x14ac:dyDescent="0.2">
      <c r="A78" s="1"/>
      <c r="B78" s="1"/>
      <c r="C78" s="11"/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118</v>
      </c>
      <c r="D79" s="1"/>
      <c r="E79" s="1"/>
      <c r="F79" s="9">
        <v>0</v>
      </c>
      <c r="G79" s="139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119</v>
      </c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120</v>
      </c>
      <c r="D82" s="1"/>
      <c r="E82" s="1"/>
      <c r="F82" s="12"/>
      <c r="G82" s="140"/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1">
        <v>0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121</v>
      </c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122</v>
      </c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123</v>
      </c>
      <c r="D91" s="1"/>
      <c r="E91" s="1"/>
      <c r="F91" s="12"/>
      <c r="G91" s="140"/>
      <c r="H91" s="142"/>
    </row>
    <row r="92" spans="1:8" x14ac:dyDescent="0.2">
      <c r="A92" s="3">
        <v>1</v>
      </c>
      <c r="B92" s="4"/>
      <c r="C92" s="4" t="s">
        <v>124</v>
      </c>
      <c r="D92" s="4"/>
      <c r="E92" s="8"/>
      <c r="F92" s="6">
        <v>533.28929619999997</v>
      </c>
      <c r="G92" s="138">
        <v>8.4684549999999997E-3</v>
      </c>
      <c r="H92" s="152">
        <v>3.3197683930276081</v>
      </c>
    </row>
    <row r="93" spans="1:8" x14ac:dyDescent="0.2">
      <c r="A93" s="1"/>
      <c r="B93" s="1"/>
      <c r="C93" s="2" t="s">
        <v>105</v>
      </c>
      <c r="D93" s="1"/>
      <c r="E93" s="1" t="s">
        <v>106</v>
      </c>
      <c r="F93" s="9">
        <v>533.28929619999997</v>
      </c>
      <c r="G93" s="139">
        <v>8.4684549999999997E-3</v>
      </c>
      <c r="H93" s="142"/>
    </row>
    <row r="94" spans="1:8" x14ac:dyDescent="0.2">
      <c r="A94" s="1"/>
      <c r="B94" s="1"/>
      <c r="C94" s="11"/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125</v>
      </c>
      <c r="D95" s="1"/>
      <c r="E95" s="1"/>
      <c r="F95" s="9">
        <v>533.28929619999997</v>
      </c>
      <c r="G95" s="139">
        <v>8.4684549999999997E-3</v>
      </c>
      <c r="H95" s="142"/>
    </row>
    <row r="96" spans="1:8" x14ac:dyDescent="0.2">
      <c r="A96" s="1"/>
      <c r="B96" s="1"/>
      <c r="C96" s="12"/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126</v>
      </c>
      <c r="D97" s="1"/>
      <c r="E97" s="1"/>
      <c r="F97" s="1"/>
      <c r="G97" s="137"/>
      <c r="H97" s="142"/>
    </row>
    <row r="98" spans="1:8" x14ac:dyDescent="0.2">
      <c r="A98" s="1"/>
      <c r="B98" s="1"/>
      <c r="C98" s="2" t="s">
        <v>127</v>
      </c>
      <c r="D98" s="1"/>
      <c r="E98" s="1"/>
      <c r="F98" s="1"/>
      <c r="G98" s="137"/>
      <c r="H98" s="142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1">
        <v>0</v>
      </c>
      <c r="H99" s="142"/>
    </row>
    <row r="100" spans="1:8" x14ac:dyDescent="0.2">
      <c r="A100" s="1"/>
      <c r="B100" s="1"/>
      <c r="C100" s="11"/>
      <c r="D100" s="1"/>
      <c r="E100" s="1"/>
      <c r="F100" s="12"/>
      <c r="G100" s="140"/>
      <c r="H100" s="142"/>
    </row>
    <row r="101" spans="1:8" x14ac:dyDescent="0.2">
      <c r="A101" s="1"/>
      <c r="B101" s="1"/>
      <c r="C101" s="2" t="s">
        <v>128</v>
      </c>
      <c r="D101" s="1"/>
      <c r="E101" s="1"/>
      <c r="F101" s="1"/>
      <c r="G101" s="137"/>
      <c r="H101" s="142"/>
    </row>
    <row r="102" spans="1:8" x14ac:dyDescent="0.2">
      <c r="A102" s="1"/>
      <c r="B102" s="1"/>
      <c r="C102" s="2" t="s">
        <v>129</v>
      </c>
      <c r="D102" s="1"/>
      <c r="E102" s="1"/>
      <c r="F102" s="1"/>
      <c r="G102" s="137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ht="25.5" x14ac:dyDescent="0.2">
      <c r="A106" s="1"/>
      <c r="B106" s="1"/>
      <c r="C106" s="2" t="s">
        <v>130</v>
      </c>
      <c r="D106" s="1"/>
      <c r="E106" s="1"/>
      <c r="F106" s="12"/>
      <c r="G106" s="140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4"/>
      <c r="C109" s="4"/>
      <c r="D109" s="2"/>
      <c r="E109" s="1"/>
      <c r="F109" s="4"/>
      <c r="G109" s="143"/>
      <c r="H109" s="142"/>
    </row>
    <row r="110" spans="1:8" x14ac:dyDescent="0.2">
      <c r="A110" s="8"/>
      <c r="B110" s="4"/>
      <c r="C110" s="4" t="s">
        <v>131</v>
      </c>
      <c r="D110" s="4"/>
      <c r="E110" s="8"/>
      <c r="F110" s="6">
        <v>888.36449076999997</v>
      </c>
      <c r="G110" s="138">
        <v>1.410693E-2</v>
      </c>
      <c r="H110" s="142"/>
    </row>
    <row r="111" spans="1:8" x14ac:dyDescent="0.2">
      <c r="A111" s="11"/>
      <c r="B111" s="11"/>
      <c r="C111" s="2" t="s">
        <v>132</v>
      </c>
      <c r="D111" s="15"/>
      <c r="E111" s="15"/>
      <c r="F111" s="9">
        <v>62973.624544658996</v>
      </c>
      <c r="G111" s="139">
        <v>0.99999999800000006</v>
      </c>
      <c r="H111" s="142"/>
    </row>
    <row r="112" spans="1:8" ht="14.1" customHeight="1" x14ac:dyDescent="0.2">
      <c r="A112" s="16"/>
      <c r="B112" s="16"/>
      <c r="C112" s="16"/>
      <c r="D112" s="17"/>
      <c r="E112" s="17"/>
      <c r="F112" s="17"/>
      <c r="G112" s="17"/>
    </row>
    <row r="113" spans="1:7" ht="17.100000000000001" customHeight="1" x14ac:dyDescent="0.2">
      <c r="A113" s="18"/>
      <c r="B113" s="205" t="s">
        <v>133</v>
      </c>
      <c r="C113" s="205"/>
      <c r="D113" s="205"/>
      <c r="E113" s="205"/>
      <c r="F113" s="205"/>
      <c r="G113" s="20"/>
    </row>
    <row r="114" spans="1:7" ht="14.1" customHeight="1" x14ac:dyDescent="0.2">
      <c r="A114" s="18"/>
      <c r="B114" s="18"/>
      <c r="C114" s="18"/>
      <c r="D114" s="20"/>
      <c r="E114" s="20"/>
      <c r="F114" s="20"/>
      <c r="G114" s="20"/>
    </row>
    <row r="115" spans="1:7" ht="14.1" customHeight="1" x14ac:dyDescent="0.2">
      <c r="A115" s="18"/>
      <c r="B115" s="203" t="s">
        <v>134</v>
      </c>
      <c r="C115" s="204"/>
      <c r="D115" s="12" t="s">
        <v>106</v>
      </c>
      <c r="E115" s="21"/>
      <c r="F115" s="20"/>
      <c r="G115" s="20"/>
    </row>
    <row r="116" spans="1:7" ht="29.1" customHeight="1" x14ac:dyDescent="0.2">
      <c r="A116" s="18"/>
      <c r="B116" s="199" t="s">
        <v>135</v>
      </c>
      <c r="C116" s="200"/>
      <c r="D116" s="2" t="s">
        <v>136</v>
      </c>
      <c r="E116" s="21"/>
      <c r="F116" s="20"/>
      <c r="G116" s="20"/>
    </row>
    <row r="117" spans="1:7" ht="17.100000000000001" customHeight="1" x14ac:dyDescent="0.2">
      <c r="A117" s="18"/>
      <c r="B117" s="199" t="s">
        <v>992</v>
      </c>
      <c r="C117" s="200"/>
      <c r="D117" s="134" t="s">
        <v>991</v>
      </c>
      <c r="E117" s="21"/>
      <c r="F117" s="20"/>
      <c r="G117" s="20"/>
    </row>
    <row r="118" spans="1:7" ht="17.100000000000001" customHeight="1" x14ac:dyDescent="0.2">
      <c r="A118" s="18"/>
      <c r="B118" s="199" t="s">
        <v>138</v>
      </c>
      <c r="C118" s="200"/>
      <c r="D118" s="12" t="s">
        <v>106</v>
      </c>
      <c r="E118" s="21"/>
      <c r="F118" s="20"/>
      <c r="G118" s="20"/>
    </row>
    <row r="119" spans="1:7" ht="24" customHeight="1" x14ac:dyDescent="0.2">
      <c r="A119" s="22"/>
      <c r="B119" s="23" t="s">
        <v>106</v>
      </c>
      <c r="C119" s="23" t="s">
        <v>139</v>
      </c>
      <c r="D119" s="23" t="s">
        <v>140</v>
      </c>
      <c r="E119" s="22"/>
      <c r="F119" s="22"/>
      <c r="G119" s="22"/>
    </row>
    <row r="120" spans="1:7" ht="18" customHeight="1" x14ac:dyDescent="0.2">
      <c r="A120" s="22"/>
      <c r="B120" s="23" t="s">
        <v>141</v>
      </c>
      <c r="C120" s="23" t="s">
        <v>142</v>
      </c>
      <c r="D120" s="23" t="s">
        <v>143</v>
      </c>
      <c r="E120" s="22"/>
      <c r="F120" s="22"/>
      <c r="G120" s="22"/>
    </row>
    <row r="121" spans="1:7" x14ac:dyDescent="0.2">
      <c r="A121" s="22"/>
      <c r="B121" s="4" t="s">
        <v>144</v>
      </c>
      <c r="C121" s="24">
        <v>49.5259</v>
      </c>
      <c r="D121" s="24">
        <v>51.939399999999999</v>
      </c>
      <c r="E121" s="22"/>
      <c r="F121" s="19"/>
      <c r="G121" s="25"/>
    </row>
    <row r="122" spans="1:7" x14ac:dyDescent="0.2">
      <c r="A122" s="22"/>
      <c r="B122" s="4" t="s">
        <v>1019</v>
      </c>
      <c r="C122" s="24">
        <v>38.210799999999999</v>
      </c>
      <c r="D122" s="24">
        <v>40.072899999999997</v>
      </c>
      <c r="E122" s="22"/>
      <c r="F122" s="19"/>
      <c r="G122" s="25"/>
    </row>
    <row r="123" spans="1:7" x14ac:dyDescent="0.2">
      <c r="A123" s="22"/>
      <c r="B123" s="4" t="s">
        <v>145</v>
      </c>
      <c r="C123" s="24">
        <v>47.351100000000002</v>
      </c>
      <c r="D123" s="24">
        <v>49.638399999999997</v>
      </c>
      <c r="E123" s="22"/>
      <c r="F123" s="19"/>
      <c r="G123" s="25"/>
    </row>
    <row r="124" spans="1:7" x14ac:dyDescent="0.2">
      <c r="A124" s="22"/>
      <c r="B124" s="4" t="s">
        <v>1020</v>
      </c>
      <c r="C124" s="24">
        <v>36.348100000000002</v>
      </c>
      <c r="D124" s="24">
        <v>38.103999999999999</v>
      </c>
      <c r="E124" s="22"/>
      <c r="F124" s="19"/>
      <c r="G124" s="25"/>
    </row>
    <row r="125" spans="1:7" ht="14.1" customHeight="1" x14ac:dyDescent="0.2">
      <c r="A125" s="22"/>
      <c r="B125" s="22"/>
      <c r="C125" s="22"/>
      <c r="D125" s="22"/>
      <c r="E125" s="22"/>
      <c r="F125" s="22"/>
      <c r="G125" s="22"/>
    </row>
    <row r="126" spans="1:7" ht="17.100000000000001" customHeight="1" x14ac:dyDescent="0.2">
      <c r="A126" s="22"/>
      <c r="B126" s="199" t="s">
        <v>1021</v>
      </c>
      <c r="C126" s="200"/>
      <c r="D126" s="2" t="s">
        <v>136</v>
      </c>
      <c r="E126" s="22"/>
      <c r="F126" s="22"/>
      <c r="G126" s="22"/>
    </row>
    <row r="127" spans="1:7" ht="18" customHeight="1" x14ac:dyDescent="0.2">
      <c r="A127" s="22"/>
      <c r="B127" s="26"/>
      <c r="C127" s="26"/>
      <c r="D127" s="27"/>
      <c r="E127" s="22"/>
      <c r="F127" s="22"/>
      <c r="G127" s="22"/>
    </row>
    <row r="128" spans="1:7" s="125" customFormat="1" x14ac:dyDescent="0.2">
      <c r="B128" s="201" t="s">
        <v>825</v>
      </c>
      <c r="C128" s="201"/>
      <c r="D128" s="201"/>
      <c r="E128" s="201"/>
      <c r="F128" s="201"/>
    </row>
    <row r="129" spans="1:7" ht="14.1" customHeight="1" x14ac:dyDescent="0.2">
      <c r="A129" s="22"/>
      <c r="B129" s="19"/>
      <c r="C129" s="19"/>
      <c r="D129" s="22"/>
      <c r="E129" s="22"/>
      <c r="F129" s="22"/>
      <c r="G129" s="22"/>
    </row>
    <row r="130" spans="1:7" ht="29.1" customHeight="1" x14ac:dyDescent="0.2">
      <c r="A130" s="22"/>
      <c r="B130" s="199" t="s">
        <v>146</v>
      </c>
      <c r="C130" s="200"/>
      <c r="D130" s="2" t="s">
        <v>136</v>
      </c>
      <c r="E130" s="22"/>
      <c r="F130" s="22"/>
      <c r="G130" s="22"/>
    </row>
    <row r="131" spans="1:7" ht="29.1" customHeight="1" x14ac:dyDescent="0.2">
      <c r="A131" s="22"/>
      <c r="B131" s="199" t="s">
        <v>147</v>
      </c>
      <c r="C131" s="200"/>
      <c r="D131" s="2" t="s">
        <v>136</v>
      </c>
      <c r="E131" s="22"/>
      <c r="F131" s="22"/>
      <c r="G131" s="22"/>
    </row>
    <row r="132" spans="1:7" ht="17.100000000000001" customHeight="1" x14ac:dyDescent="0.2">
      <c r="A132" s="22"/>
      <c r="B132" s="199" t="s">
        <v>148</v>
      </c>
      <c r="C132" s="200"/>
      <c r="D132" s="28">
        <v>0.35807559838884917</v>
      </c>
      <c r="E132" s="22"/>
      <c r="F132" s="19"/>
      <c r="G132" s="25"/>
    </row>
    <row r="133" spans="1:7" ht="17.100000000000001" customHeight="1" x14ac:dyDescent="0.2">
      <c r="A133" s="22"/>
      <c r="B133" s="199" t="s">
        <v>149</v>
      </c>
      <c r="C133" s="200"/>
      <c r="D133" s="2" t="s">
        <v>136</v>
      </c>
      <c r="E133" s="22"/>
      <c r="F133" s="22"/>
      <c r="G133" s="22"/>
    </row>
    <row r="135" spans="1:7" x14ac:dyDescent="0.2">
      <c r="B135" s="164" t="s">
        <v>1051</v>
      </c>
    </row>
    <row r="137" spans="1:7" x14ac:dyDescent="0.2">
      <c r="B137" s="164" t="s">
        <v>1052</v>
      </c>
      <c r="C137" s="173"/>
      <c r="D137" s="173"/>
      <c r="E137" s="173"/>
      <c r="F137" s="173"/>
    </row>
    <row r="138" spans="1:7" x14ac:dyDescent="0.2">
      <c r="B138" s="164"/>
      <c r="C138" s="173"/>
      <c r="D138" s="173"/>
      <c r="E138" s="173"/>
      <c r="F138" s="173"/>
    </row>
    <row r="139" spans="1:7" x14ac:dyDescent="0.2">
      <c r="B139" s="164" t="s">
        <v>1053</v>
      </c>
      <c r="C139" s="173"/>
      <c r="D139" s="173"/>
      <c r="E139" s="173"/>
      <c r="F139" s="173"/>
    </row>
    <row r="140" spans="1:7" x14ac:dyDescent="0.2">
      <c r="B140" s="164"/>
      <c r="C140" s="173"/>
      <c r="D140" s="173"/>
      <c r="E140" s="173"/>
      <c r="F140" s="173"/>
    </row>
    <row r="141" spans="1:7" x14ac:dyDescent="0.2">
      <c r="B141" s="164" t="s">
        <v>1054</v>
      </c>
    </row>
    <row r="142" spans="1:7" x14ac:dyDescent="0.2">
      <c r="B142" s="164"/>
    </row>
    <row r="143" spans="1:7" x14ac:dyDescent="0.2">
      <c r="B143" s="164" t="s">
        <v>1055</v>
      </c>
    </row>
    <row r="144" spans="1:7" ht="63.75" x14ac:dyDescent="0.2">
      <c r="B144" s="165" t="s">
        <v>1056</v>
      </c>
      <c r="C144" s="165" t="s">
        <v>1066</v>
      </c>
      <c r="D144" s="165" t="s">
        <v>1067</v>
      </c>
      <c r="E144" s="165" t="s">
        <v>1070</v>
      </c>
      <c r="F144" s="165" t="s">
        <v>1071</v>
      </c>
    </row>
    <row r="145" spans="2:6" x14ac:dyDescent="0.2">
      <c r="B145" s="166">
        <v>186</v>
      </c>
      <c r="C145" s="166">
        <v>186</v>
      </c>
      <c r="D145" s="174">
        <v>1514.4937</v>
      </c>
      <c r="E145" s="174">
        <v>1546.2087999999999</v>
      </c>
      <c r="F145" s="172">
        <v>31.715099999999893</v>
      </c>
    </row>
    <row r="146" spans="2:6" x14ac:dyDescent="0.2">
      <c r="B146" s="164"/>
    </row>
    <row r="147" spans="2:6" x14ac:dyDescent="0.2">
      <c r="B147" s="164" t="s">
        <v>1057</v>
      </c>
    </row>
    <row r="148" spans="2:6" x14ac:dyDescent="0.2">
      <c r="B148" s="164"/>
    </row>
    <row r="149" spans="2:6" x14ac:dyDescent="0.2">
      <c r="B149" s="164" t="s">
        <v>1058</v>
      </c>
    </row>
    <row r="150" spans="2:6" x14ac:dyDescent="0.2">
      <c r="B150" s="164"/>
    </row>
    <row r="151" spans="2:6" x14ac:dyDescent="0.2">
      <c r="B151" s="164" t="s">
        <v>1059</v>
      </c>
    </row>
    <row r="152" spans="2:6" x14ac:dyDescent="0.2">
      <c r="B152" s="164"/>
    </row>
    <row r="153" spans="2:6" x14ac:dyDescent="0.2">
      <c r="B153" s="164" t="s">
        <v>1060</v>
      </c>
    </row>
    <row r="154" spans="2:6" x14ac:dyDescent="0.2">
      <c r="B154" s="164"/>
    </row>
    <row r="155" spans="2:6" x14ac:dyDescent="0.2">
      <c r="B155" s="164" t="s">
        <v>1061</v>
      </c>
    </row>
    <row r="156" spans="2:6" x14ac:dyDescent="0.2">
      <c r="B156" s="164"/>
    </row>
    <row r="157" spans="2:6" x14ac:dyDescent="0.2">
      <c r="B157" s="164" t="s">
        <v>1062</v>
      </c>
    </row>
    <row r="159" spans="2:6" x14ac:dyDescent="0.2">
      <c r="B159" s="164" t="s">
        <v>1063</v>
      </c>
    </row>
    <row r="161" spans="2:2" x14ac:dyDescent="0.2">
      <c r="B161" s="164" t="s">
        <v>1064</v>
      </c>
    </row>
  </sheetData>
  <mergeCells count="15">
    <mergeCell ref="J2:N2"/>
    <mergeCell ref="B115:C115"/>
    <mergeCell ref="B113:F113"/>
    <mergeCell ref="A1:H1"/>
    <mergeCell ref="A2:H2"/>
    <mergeCell ref="A3:H3"/>
    <mergeCell ref="B132:C132"/>
    <mergeCell ref="B133:C133"/>
    <mergeCell ref="B116:C116"/>
    <mergeCell ref="B117:C117"/>
    <mergeCell ref="B118:C118"/>
    <mergeCell ref="B126:C126"/>
    <mergeCell ref="B130:C130"/>
    <mergeCell ref="B131:C131"/>
    <mergeCell ref="B128:F12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7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150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50189</v>
      </c>
      <c r="F7" s="6">
        <v>688.91930850000006</v>
      </c>
      <c r="G7" s="138">
        <v>3.2558049999999998E-2</v>
      </c>
      <c r="H7" s="142"/>
    </row>
    <row r="8" spans="1:14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16130</v>
      </c>
      <c r="F8" s="6">
        <v>594.35017500000004</v>
      </c>
      <c r="G8" s="138">
        <v>2.8088750999999999E-2</v>
      </c>
      <c r="H8" s="142"/>
    </row>
    <row r="9" spans="1:14" x14ac:dyDescent="0.2">
      <c r="A9" s="3">
        <v>3</v>
      </c>
      <c r="B9" s="4" t="s">
        <v>154</v>
      </c>
      <c r="C9" s="4" t="s">
        <v>155</v>
      </c>
      <c r="D9" s="4" t="s">
        <v>27</v>
      </c>
      <c r="E9" s="5">
        <v>62322</v>
      </c>
      <c r="F9" s="6">
        <v>577.78726200000006</v>
      </c>
      <c r="G9" s="138">
        <v>2.7305994E-2</v>
      </c>
      <c r="H9" s="142"/>
    </row>
    <row r="10" spans="1:14" x14ac:dyDescent="0.2">
      <c r="A10" s="3">
        <v>4</v>
      </c>
      <c r="B10" s="4" t="s">
        <v>156</v>
      </c>
      <c r="C10" s="4" t="s">
        <v>157</v>
      </c>
      <c r="D10" s="4" t="s">
        <v>1024</v>
      </c>
      <c r="E10" s="5">
        <v>38759</v>
      </c>
      <c r="F10" s="6">
        <v>512.68467250000003</v>
      </c>
      <c r="G10" s="138">
        <v>2.4229272E-2</v>
      </c>
      <c r="H10" s="142"/>
    </row>
    <row r="11" spans="1:14" x14ac:dyDescent="0.2">
      <c r="A11" s="3">
        <v>5</v>
      </c>
      <c r="B11" s="4" t="s">
        <v>158</v>
      </c>
      <c r="C11" s="4" t="s">
        <v>159</v>
      </c>
      <c r="D11" s="4" t="s">
        <v>80</v>
      </c>
      <c r="E11" s="5">
        <v>410407</v>
      </c>
      <c r="F11" s="6">
        <v>496.59246999999999</v>
      </c>
      <c r="G11" s="138">
        <v>2.3468761000000001E-2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60020</v>
      </c>
      <c r="F12" s="6">
        <v>478.41942</v>
      </c>
      <c r="G12" s="138">
        <v>2.260991E-2</v>
      </c>
      <c r="H12" s="142"/>
    </row>
    <row r="13" spans="1:14" x14ac:dyDescent="0.2">
      <c r="A13" s="3">
        <v>7</v>
      </c>
      <c r="B13" s="4" t="s">
        <v>162</v>
      </c>
      <c r="C13" s="4" t="s">
        <v>163</v>
      </c>
      <c r="D13" s="4" t="s">
        <v>164</v>
      </c>
      <c r="E13" s="5">
        <v>129554</v>
      </c>
      <c r="F13" s="6">
        <v>442.75079499999998</v>
      </c>
      <c r="G13" s="138">
        <v>2.0924225000000001E-2</v>
      </c>
      <c r="H13" s="142"/>
    </row>
    <row r="14" spans="1:14" x14ac:dyDescent="0.2">
      <c r="A14" s="3">
        <v>8</v>
      </c>
      <c r="B14" s="4" t="s">
        <v>52</v>
      </c>
      <c r="C14" s="4" t="s">
        <v>53</v>
      </c>
      <c r="D14" s="4" t="s">
        <v>51</v>
      </c>
      <c r="E14" s="5">
        <v>139766</v>
      </c>
      <c r="F14" s="6">
        <v>432.78541899999999</v>
      </c>
      <c r="G14" s="138">
        <v>2.0453265000000002E-2</v>
      </c>
      <c r="H14" s="142"/>
    </row>
    <row r="15" spans="1:14" ht="15" x14ac:dyDescent="0.2">
      <c r="A15" s="3">
        <v>9</v>
      </c>
      <c r="B15" s="4" t="s">
        <v>165</v>
      </c>
      <c r="C15" s="4" t="s">
        <v>166</v>
      </c>
      <c r="D15" s="4" t="s">
        <v>51</v>
      </c>
      <c r="E15" s="5">
        <v>87154</v>
      </c>
      <c r="F15" s="6">
        <v>411.933381</v>
      </c>
      <c r="G15" s="138">
        <v>1.9467806000000001E-2</v>
      </c>
      <c r="H15" s="142"/>
      <c r="J15" s="163" t="s">
        <v>1033</v>
      </c>
    </row>
    <row r="16" spans="1:14" x14ac:dyDescent="0.2">
      <c r="A16" s="3">
        <v>10</v>
      </c>
      <c r="B16" s="4" t="s">
        <v>167</v>
      </c>
      <c r="C16" s="4" t="s">
        <v>168</v>
      </c>
      <c r="D16" s="4" t="s">
        <v>1025</v>
      </c>
      <c r="E16" s="5">
        <v>197665</v>
      </c>
      <c r="F16" s="6">
        <v>405.01558499999999</v>
      </c>
      <c r="G16" s="138">
        <v>1.9140873999999999E-2</v>
      </c>
      <c r="H16" s="142"/>
    </row>
    <row r="17" spans="1:8" x14ac:dyDescent="0.2">
      <c r="A17" s="3">
        <v>11</v>
      </c>
      <c r="B17" s="4" t="s">
        <v>169</v>
      </c>
      <c r="C17" s="4" t="s">
        <v>170</v>
      </c>
      <c r="D17" s="4" t="s">
        <v>164</v>
      </c>
      <c r="E17" s="5">
        <v>10880</v>
      </c>
      <c r="F17" s="6">
        <v>404.33344</v>
      </c>
      <c r="G17" s="138">
        <v>1.9108635999999998E-2</v>
      </c>
      <c r="H17" s="142"/>
    </row>
    <row r="18" spans="1:8" x14ac:dyDescent="0.2">
      <c r="A18" s="3">
        <v>12</v>
      </c>
      <c r="B18" s="4" t="s">
        <v>171</v>
      </c>
      <c r="C18" s="4" t="s">
        <v>172</v>
      </c>
      <c r="D18" s="4" t="s">
        <v>173</v>
      </c>
      <c r="E18" s="5">
        <v>42728</v>
      </c>
      <c r="F18" s="6">
        <v>403.11731600000002</v>
      </c>
      <c r="G18" s="138">
        <v>1.9051162999999999E-2</v>
      </c>
      <c r="H18" s="142"/>
    </row>
    <row r="19" spans="1:8" ht="25.5" x14ac:dyDescent="0.2">
      <c r="A19" s="3">
        <v>13</v>
      </c>
      <c r="B19" s="4" t="s">
        <v>30</v>
      </c>
      <c r="C19" s="4" t="s">
        <v>31</v>
      </c>
      <c r="D19" s="4" t="s">
        <v>1023</v>
      </c>
      <c r="E19" s="5">
        <v>12014</v>
      </c>
      <c r="F19" s="6">
        <v>373.36508500000002</v>
      </c>
      <c r="G19" s="138">
        <v>1.7645083999999998E-2</v>
      </c>
      <c r="H19" s="142"/>
    </row>
    <row r="20" spans="1:8" x14ac:dyDescent="0.2">
      <c r="A20" s="3">
        <v>14</v>
      </c>
      <c r="B20" s="4" t="s">
        <v>174</v>
      </c>
      <c r="C20" s="4" t="s">
        <v>175</v>
      </c>
      <c r="D20" s="4" t="s">
        <v>335</v>
      </c>
      <c r="E20" s="5">
        <v>37086</v>
      </c>
      <c r="F20" s="6">
        <v>366.85471200000001</v>
      </c>
      <c r="G20" s="138">
        <v>1.7337406999999999E-2</v>
      </c>
      <c r="H20" s="142"/>
    </row>
    <row r="21" spans="1:8" x14ac:dyDescent="0.2">
      <c r="A21" s="3">
        <v>15</v>
      </c>
      <c r="B21" s="4" t="s">
        <v>176</v>
      </c>
      <c r="C21" s="4" t="s">
        <v>177</v>
      </c>
      <c r="D21" s="4" t="s">
        <v>1026</v>
      </c>
      <c r="E21" s="5">
        <v>92489</v>
      </c>
      <c r="F21" s="6">
        <v>363.71299249999998</v>
      </c>
      <c r="G21" s="138">
        <v>1.7188930000000002E-2</v>
      </c>
      <c r="H21" s="142"/>
    </row>
    <row r="22" spans="1:8" ht="25.5" x14ac:dyDescent="0.2">
      <c r="A22" s="3">
        <v>16</v>
      </c>
      <c r="B22" s="4" t="s">
        <v>178</v>
      </c>
      <c r="C22" s="4" t="s">
        <v>933</v>
      </c>
      <c r="D22" s="4" t="s">
        <v>37</v>
      </c>
      <c r="E22" s="5">
        <v>134093</v>
      </c>
      <c r="F22" s="6">
        <v>346.16107950000003</v>
      </c>
      <c r="G22" s="138">
        <v>1.6359433999999999E-2</v>
      </c>
      <c r="H22" s="142"/>
    </row>
    <row r="23" spans="1:8" x14ac:dyDescent="0.2">
      <c r="A23" s="3">
        <v>17</v>
      </c>
      <c r="B23" s="4" t="s">
        <v>179</v>
      </c>
      <c r="C23" s="4" t="s">
        <v>180</v>
      </c>
      <c r="D23" s="4" t="s">
        <v>181</v>
      </c>
      <c r="E23" s="5">
        <v>137606</v>
      </c>
      <c r="F23" s="6">
        <v>340.43724400000002</v>
      </c>
      <c r="G23" s="138">
        <v>1.6088927999999999E-2</v>
      </c>
      <c r="H23" s="142"/>
    </row>
    <row r="24" spans="1:8" x14ac:dyDescent="0.2">
      <c r="A24" s="3">
        <v>18</v>
      </c>
      <c r="B24" s="4" t="s">
        <v>182</v>
      </c>
      <c r="C24" s="4" t="s">
        <v>183</v>
      </c>
      <c r="D24" s="4" t="s">
        <v>164</v>
      </c>
      <c r="E24" s="5">
        <v>6366</v>
      </c>
      <c r="F24" s="6">
        <v>340.227687</v>
      </c>
      <c r="G24" s="138">
        <v>1.6079024000000001E-2</v>
      </c>
      <c r="H24" s="142"/>
    </row>
    <row r="25" spans="1:8" x14ac:dyDescent="0.2">
      <c r="A25" s="3">
        <v>19</v>
      </c>
      <c r="B25" s="4" t="s">
        <v>184</v>
      </c>
      <c r="C25" s="4" t="s">
        <v>185</v>
      </c>
      <c r="D25" s="4" t="s">
        <v>173</v>
      </c>
      <c r="E25" s="5">
        <v>24077</v>
      </c>
      <c r="F25" s="6">
        <v>336.31957449999999</v>
      </c>
      <c r="G25" s="138">
        <v>1.5894327999999999E-2</v>
      </c>
      <c r="H25" s="142"/>
    </row>
    <row r="26" spans="1:8" x14ac:dyDescent="0.2">
      <c r="A26" s="3">
        <v>20</v>
      </c>
      <c r="B26" s="4" t="s">
        <v>186</v>
      </c>
      <c r="C26" s="4" t="s">
        <v>187</v>
      </c>
      <c r="D26" s="4" t="s">
        <v>207</v>
      </c>
      <c r="E26" s="5">
        <v>25992</v>
      </c>
      <c r="F26" s="6">
        <v>333.41237999999998</v>
      </c>
      <c r="G26" s="138">
        <v>1.5756935E-2</v>
      </c>
      <c r="H26" s="142"/>
    </row>
    <row r="27" spans="1:8" x14ac:dyDescent="0.2">
      <c r="A27" s="3">
        <v>21</v>
      </c>
      <c r="B27" s="4" t="s">
        <v>188</v>
      </c>
      <c r="C27" s="4" t="s">
        <v>189</v>
      </c>
      <c r="D27" s="4" t="s">
        <v>190</v>
      </c>
      <c r="E27" s="5">
        <v>32673</v>
      </c>
      <c r="F27" s="6">
        <v>325.37407050000002</v>
      </c>
      <c r="G27" s="138">
        <v>1.5377048000000001E-2</v>
      </c>
      <c r="H27" s="142"/>
    </row>
    <row r="28" spans="1:8" x14ac:dyDescent="0.2">
      <c r="A28" s="3">
        <v>22</v>
      </c>
      <c r="B28" s="4" t="s">
        <v>44</v>
      </c>
      <c r="C28" s="4" t="s">
        <v>45</v>
      </c>
      <c r="D28" s="4" t="s">
        <v>27</v>
      </c>
      <c r="E28" s="5">
        <v>26435</v>
      </c>
      <c r="F28" s="6">
        <v>322.82422000000003</v>
      </c>
      <c r="G28" s="138">
        <v>1.5256542999999999E-2</v>
      </c>
      <c r="H28" s="142"/>
    </row>
    <row r="29" spans="1:8" ht="25.5" x14ac:dyDescent="0.2">
      <c r="A29" s="3">
        <v>23</v>
      </c>
      <c r="B29" s="4" t="s">
        <v>191</v>
      </c>
      <c r="C29" s="4" t="s">
        <v>192</v>
      </c>
      <c r="D29" s="4" t="s">
        <v>1023</v>
      </c>
      <c r="E29" s="5">
        <v>125135</v>
      </c>
      <c r="F29" s="6">
        <v>321.34667999999999</v>
      </c>
      <c r="G29" s="138">
        <v>1.5186715E-2</v>
      </c>
      <c r="H29" s="142"/>
    </row>
    <row r="30" spans="1:8" ht="25.5" x14ac:dyDescent="0.2">
      <c r="A30" s="3">
        <v>24</v>
      </c>
      <c r="B30" s="4" t="s">
        <v>193</v>
      </c>
      <c r="C30" s="4" t="s">
        <v>194</v>
      </c>
      <c r="D30" s="4" t="s">
        <v>37</v>
      </c>
      <c r="E30" s="5">
        <v>260091</v>
      </c>
      <c r="F30" s="6">
        <v>319.78188449999999</v>
      </c>
      <c r="G30" s="138">
        <v>1.5112764000000001E-2</v>
      </c>
      <c r="H30" s="142"/>
    </row>
    <row r="31" spans="1:8" x14ac:dyDescent="0.2">
      <c r="A31" s="3">
        <v>25</v>
      </c>
      <c r="B31" s="4" t="s">
        <v>195</v>
      </c>
      <c r="C31" s="4" t="s">
        <v>196</v>
      </c>
      <c r="D31" s="4" t="s">
        <v>24</v>
      </c>
      <c r="E31" s="5">
        <v>165949</v>
      </c>
      <c r="F31" s="6">
        <v>316.79664100000002</v>
      </c>
      <c r="G31" s="138">
        <v>1.4971682E-2</v>
      </c>
      <c r="H31" s="142"/>
    </row>
    <row r="32" spans="1:8" x14ac:dyDescent="0.2">
      <c r="A32" s="3">
        <v>26</v>
      </c>
      <c r="B32" s="4" t="s">
        <v>197</v>
      </c>
      <c r="C32" s="4" t="s">
        <v>198</v>
      </c>
      <c r="D32" s="4" t="s">
        <v>51</v>
      </c>
      <c r="E32" s="5">
        <v>30856</v>
      </c>
      <c r="F32" s="6">
        <v>316.47456399999999</v>
      </c>
      <c r="G32" s="138">
        <v>1.4956461000000001E-2</v>
      </c>
      <c r="H32" s="142"/>
    </row>
    <row r="33" spans="1:8" x14ac:dyDescent="0.2">
      <c r="A33" s="3">
        <v>27</v>
      </c>
      <c r="B33" s="4" t="s">
        <v>199</v>
      </c>
      <c r="C33" s="4" t="s">
        <v>200</v>
      </c>
      <c r="D33" s="4" t="s">
        <v>164</v>
      </c>
      <c r="E33" s="5">
        <v>29067</v>
      </c>
      <c r="F33" s="6">
        <v>308.90954249999999</v>
      </c>
      <c r="G33" s="138">
        <v>1.4598941000000001E-2</v>
      </c>
      <c r="H33" s="142"/>
    </row>
    <row r="34" spans="1:8" x14ac:dyDescent="0.2">
      <c r="A34" s="3">
        <v>28</v>
      </c>
      <c r="B34" s="4" t="s">
        <v>201</v>
      </c>
      <c r="C34" s="4" t="s">
        <v>202</v>
      </c>
      <c r="D34" s="4" t="s">
        <v>80</v>
      </c>
      <c r="E34" s="5">
        <v>44944</v>
      </c>
      <c r="F34" s="6">
        <v>308.67539199999999</v>
      </c>
      <c r="G34" s="138">
        <v>1.4587875E-2</v>
      </c>
      <c r="H34" s="142"/>
    </row>
    <row r="35" spans="1:8" x14ac:dyDescent="0.2">
      <c r="A35" s="3">
        <v>29</v>
      </c>
      <c r="B35" s="4" t="s">
        <v>203</v>
      </c>
      <c r="C35" s="4" t="s">
        <v>204</v>
      </c>
      <c r="D35" s="4" t="s">
        <v>80</v>
      </c>
      <c r="E35" s="5">
        <v>52269</v>
      </c>
      <c r="F35" s="6">
        <v>308.439369</v>
      </c>
      <c r="G35" s="138">
        <v>1.4576721000000001E-2</v>
      </c>
      <c r="H35" s="142"/>
    </row>
    <row r="36" spans="1:8" x14ac:dyDescent="0.2">
      <c r="A36" s="3">
        <v>30</v>
      </c>
      <c r="B36" s="4" t="s">
        <v>74</v>
      </c>
      <c r="C36" s="4" t="s">
        <v>75</v>
      </c>
      <c r="D36" s="4" t="s">
        <v>66</v>
      </c>
      <c r="E36" s="5">
        <v>74785</v>
      </c>
      <c r="F36" s="6">
        <v>306.61849999999998</v>
      </c>
      <c r="G36" s="138">
        <v>1.4490667E-2</v>
      </c>
      <c r="H36" s="142"/>
    </row>
    <row r="37" spans="1:8" x14ac:dyDescent="0.2">
      <c r="A37" s="3">
        <v>31</v>
      </c>
      <c r="B37" s="4" t="s">
        <v>205</v>
      </c>
      <c r="C37" s="4" t="s">
        <v>206</v>
      </c>
      <c r="D37" s="4" t="s">
        <v>207</v>
      </c>
      <c r="E37" s="5">
        <v>66638</v>
      </c>
      <c r="F37" s="6">
        <v>299.37121500000001</v>
      </c>
      <c r="G37" s="138">
        <v>1.4148164E-2</v>
      </c>
      <c r="H37" s="142"/>
    </row>
    <row r="38" spans="1:8" x14ac:dyDescent="0.2">
      <c r="A38" s="3">
        <v>32</v>
      </c>
      <c r="B38" s="4" t="s">
        <v>208</v>
      </c>
      <c r="C38" s="4" t="s">
        <v>209</v>
      </c>
      <c r="D38" s="4" t="s">
        <v>153</v>
      </c>
      <c r="E38" s="5">
        <v>20627</v>
      </c>
      <c r="F38" s="6">
        <v>299.34933749999999</v>
      </c>
      <c r="G38" s="138">
        <v>1.4147130000000001E-2</v>
      </c>
      <c r="H38" s="142"/>
    </row>
    <row r="39" spans="1:8" x14ac:dyDescent="0.2">
      <c r="A39" s="3">
        <v>33</v>
      </c>
      <c r="B39" s="4" t="s">
        <v>210</v>
      </c>
      <c r="C39" s="4" t="s">
        <v>211</v>
      </c>
      <c r="D39" s="4" t="s">
        <v>34</v>
      </c>
      <c r="E39" s="5">
        <v>73119</v>
      </c>
      <c r="F39" s="6">
        <v>295.54699799999997</v>
      </c>
      <c r="G39" s="138">
        <v>1.3967433E-2</v>
      </c>
      <c r="H39" s="142"/>
    </row>
    <row r="40" spans="1:8" x14ac:dyDescent="0.2">
      <c r="A40" s="3">
        <v>34</v>
      </c>
      <c r="B40" s="4" t="s">
        <v>212</v>
      </c>
      <c r="C40" s="4" t="s">
        <v>213</v>
      </c>
      <c r="D40" s="4" t="s">
        <v>1027</v>
      </c>
      <c r="E40" s="5">
        <v>31000</v>
      </c>
      <c r="F40" s="6">
        <v>284.02199999999999</v>
      </c>
      <c r="G40" s="138">
        <v>1.3422765999999999E-2</v>
      </c>
      <c r="H40" s="142"/>
    </row>
    <row r="41" spans="1:8" x14ac:dyDescent="0.2">
      <c r="A41" s="3">
        <v>35</v>
      </c>
      <c r="B41" s="4" t="s">
        <v>214</v>
      </c>
      <c r="C41" s="4" t="s">
        <v>215</v>
      </c>
      <c r="D41" s="4" t="s">
        <v>216</v>
      </c>
      <c r="E41" s="5">
        <v>103185</v>
      </c>
      <c r="F41" s="6">
        <v>281.02434749999998</v>
      </c>
      <c r="G41" s="138">
        <v>1.3281098E-2</v>
      </c>
      <c r="H41" s="142"/>
    </row>
    <row r="42" spans="1:8" ht="25.5" x14ac:dyDescent="0.2">
      <c r="A42" s="3">
        <v>36</v>
      </c>
      <c r="B42" s="4" t="s">
        <v>217</v>
      </c>
      <c r="C42" s="4" t="s">
        <v>218</v>
      </c>
      <c r="D42" s="4" t="s">
        <v>90</v>
      </c>
      <c r="E42" s="5">
        <v>59268</v>
      </c>
      <c r="F42" s="6">
        <v>270.588054</v>
      </c>
      <c r="G42" s="138">
        <v>1.2787883E-2</v>
      </c>
      <c r="H42" s="142"/>
    </row>
    <row r="43" spans="1:8" x14ac:dyDescent="0.2">
      <c r="A43" s="3">
        <v>37</v>
      </c>
      <c r="B43" s="4" t="s">
        <v>219</v>
      </c>
      <c r="C43" s="4" t="s">
        <v>220</v>
      </c>
      <c r="D43" s="4" t="s">
        <v>59</v>
      </c>
      <c r="E43" s="5">
        <v>104712</v>
      </c>
      <c r="F43" s="6">
        <v>253.92660000000001</v>
      </c>
      <c r="G43" s="138">
        <v>1.2000469E-2</v>
      </c>
      <c r="H43" s="142"/>
    </row>
    <row r="44" spans="1:8" x14ac:dyDescent="0.2">
      <c r="A44" s="3">
        <v>38</v>
      </c>
      <c r="B44" s="4" t="s">
        <v>221</v>
      </c>
      <c r="C44" s="4" t="s">
        <v>222</v>
      </c>
      <c r="D44" s="4" t="s">
        <v>207</v>
      </c>
      <c r="E44" s="5">
        <v>40455</v>
      </c>
      <c r="F44" s="6">
        <v>249.38484750000001</v>
      </c>
      <c r="G44" s="138">
        <v>1.1785828E-2</v>
      </c>
      <c r="H44" s="142"/>
    </row>
    <row r="45" spans="1:8" x14ac:dyDescent="0.2">
      <c r="A45" s="3">
        <v>39</v>
      </c>
      <c r="B45" s="4" t="s">
        <v>223</v>
      </c>
      <c r="C45" s="4" t="s">
        <v>224</v>
      </c>
      <c r="D45" s="4" t="s">
        <v>66</v>
      </c>
      <c r="E45" s="5">
        <v>25501</v>
      </c>
      <c r="F45" s="6">
        <v>244.4143345</v>
      </c>
      <c r="G45" s="138">
        <v>1.1550922999999999E-2</v>
      </c>
      <c r="H45" s="142"/>
    </row>
    <row r="46" spans="1:8" x14ac:dyDescent="0.2">
      <c r="A46" s="3">
        <v>40</v>
      </c>
      <c r="B46" s="4" t="s">
        <v>225</v>
      </c>
      <c r="C46" s="4" t="s">
        <v>226</v>
      </c>
      <c r="D46" s="4" t="s">
        <v>1028</v>
      </c>
      <c r="E46" s="5">
        <v>42797</v>
      </c>
      <c r="F46" s="6">
        <v>242.35941099999999</v>
      </c>
      <c r="G46" s="138">
        <v>1.1453809000000001E-2</v>
      </c>
      <c r="H46" s="142"/>
    </row>
    <row r="47" spans="1:8" x14ac:dyDescent="0.2">
      <c r="A47" s="3">
        <v>41</v>
      </c>
      <c r="B47" s="4" t="s">
        <v>227</v>
      </c>
      <c r="C47" s="4" t="s">
        <v>228</v>
      </c>
      <c r="D47" s="4" t="s">
        <v>66</v>
      </c>
      <c r="E47" s="5">
        <v>234660</v>
      </c>
      <c r="F47" s="6">
        <v>231.02277000000001</v>
      </c>
      <c r="G47" s="138">
        <v>1.0918044E-2</v>
      </c>
      <c r="H47" s="142"/>
    </row>
    <row r="48" spans="1:8" x14ac:dyDescent="0.2">
      <c r="A48" s="3">
        <v>42</v>
      </c>
      <c r="B48" s="4" t="s">
        <v>229</v>
      </c>
      <c r="C48" s="4" t="s">
        <v>230</v>
      </c>
      <c r="D48" s="4" t="s">
        <v>51</v>
      </c>
      <c r="E48" s="5">
        <v>26372</v>
      </c>
      <c r="F48" s="6">
        <v>229.17268000000001</v>
      </c>
      <c r="G48" s="138">
        <v>1.0830609E-2</v>
      </c>
      <c r="H48" s="142"/>
    </row>
    <row r="49" spans="1:8" ht="25.5" x14ac:dyDescent="0.2">
      <c r="A49" s="3">
        <v>43</v>
      </c>
      <c r="B49" s="4" t="s">
        <v>231</v>
      </c>
      <c r="C49" s="4" t="s">
        <v>232</v>
      </c>
      <c r="D49" s="4" t="s">
        <v>51</v>
      </c>
      <c r="E49" s="5">
        <v>10523</v>
      </c>
      <c r="F49" s="6">
        <v>225.59733550000001</v>
      </c>
      <c r="G49" s="138">
        <v>1.066164E-2</v>
      </c>
      <c r="H49" s="142"/>
    </row>
    <row r="50" spans="1:8" x14ac:dyDescent="0.2">
      <c r="A50" s="3">
        <v>44</v>
      </c>
      <c r="B50" s="4" t="s">
        <v>233</v>
      </c>
      <c r="C50" s="4" t="s">
        <v>234</v>
      </c>
      <c r="D50" s="4" t="s">
        <v>1025</v>
      </c>
      <c r="E50" s="5">
        <v>15202</v>
      </c>
      <c r="F50" s="6">
        <v>222.20003299999999</v>
      </c>
      <c r="G50" s="138">
        <v>1.0501085E-2</v>
      </c>
      <c r="H50" s="142"/>
    </row>
    <row r="51" spans="1:8" x14ac:dyDescent="0.2">
      <c r="A51" s="3">
        <v>45</v>
      </c>
      <c r="B51" s="4" t="s">
        <v>235</v>
      </c>
      <c r="C51" s="4" t="s">
        <v>236</v>
      </c>
      <c r="D51" s="4" t="s">
        <v>27</v>
      </c>
      <c r="E51" s="5">
        <v>13087</v>
      </c>
      <c r="F51" s="6">
        <v>221.8181065</v>
      </c>
      <c r="G51" s="138">
        <v>1.0483035E-2</v>
      </c>
      <c r="H51" s="142"/>
    </row>
    <row r="52" spans="1:8" ht="25.5" x14ac:dyDescent="0.2">
      <c r="A52" s="3">
        <v>46</v>
      </c>
      <c r="B52" s="4" t="s">
        <v>237</v>
      </c>
      <c r="C52" s="4" t="s">
        <v>238</v>
      </c>
      <c r="D52" s="4" t="s">
        <v>1023</v>
      </c>
      <c r="E52" s="5">
        <v>110156</v>
      </c>
      <c r="F52" s="6">
        <v>220.64246800000001</v>
      </c>
      <c r="G52" s="138">
        <v>1.0427475E-2</v>
      </c>
      <c r="H52" s="142"/>
    </row>
    <row r="53" spans="1:8" x14ac:dyDescent="0.2">
      <c r="A53" s="3">
        <v>47</v>
      </c>
      <c r="B53" s="4" t="s">
        <v>239</v>
      </c>
      <c r="C53" s="4" t="s">
        <v>240</v>
      </c>
      <c r="D53" s="4" t="s">
        <v>207</v>
      </c>
      <c r="E53" s="5">
        <v>11356</v>
      </c>
      <c r="F53" s="6">
        <v>212.010842</v>
      </c>
      <c r="G53" s="138">
        <v>1.0019547E-2</v>
      </c>
      <c r="H53" s="142"/>
    </row>
    <row r="54" spans="1:8" x14ac:dyDescent="0.2">
      <c r="A54" s="3">
        <v>48</v>
      </c>
      <c r="B54" s="4" t="s">
        <v>241</v>
      </c>
      <c r="C54" s="4" t="s">
        <v>242</v>
      </c>
      <c r="D54" s="4" t="s">
        <v>243</v>
      </c>
      <c r="E54" s="5">
        <v>41913</v>
      </c>
      <c r="F54" s="6">
        <v>207.55317600000001</v>
      </c>
      <c r="G54" s="138">
        <v>9.8088800000000007E-3</v>
      </c>
      <c r="H54" s="142"/>
    </row>
    <row r="55" spans="1:8" ht="25.5" x14ac:dyDescent="0.2">
      <c r="A55" s="3">
        <v>49</v>
      </c>
      <c r="B55" s="4" t="s">
        <v>244</v>
      </c>
      <c r="C55" s="4" t="s">
        <v>245</v>
      </c>
      <c r="D55" s="4" t="s">
        <v>1029</v>
      </c>
      <c r="E55" s="5">
        <v>185657</v>
      </c>
      <c r="F55" s="6">
        <v>207.28604050000001</v>
      </c>
      <c r="G55" s="138">
        <v>9.7962550000000002E-3</v>
      </c>
      <c r="H55" s="142"/>
    </row>
    <row r="56" spans="1:8" x14ac:dyDescent="0.2">
      <c r="A56" s="3">
        <v>50</v>
      </c>
      <c r="B56" s="4" t="s">
        <v>246</v>
      </c>
      <c r="C56" s="4" t="s">
        <v>247</v>
      </c>
      <c r="D56" s="4" t="s">
        <v>80</v>
      </c>
      <c r="E56" s="5">
        <v>369714</v>
      </c>
      <c r="F56" s="6">
        <v>203.15784300000001</v>
      </c>
      <c r="G56" s="138">
        <v>9.6011580000000003E-3</v>
      </c>
      <c r="H56" s="142"/>
    </row>
    <row r="57" spans="1:8" ht="25.5" x14ac:dyDescent="0.2">
      <c r="A57" s="3">
        <v>51</v>
      </c>
      <c r="B57" s="4" t="s">
        <v>248</v>
      </c>
      <c r="C57" s="4" t="s">
        <v>249</v>
      </c>
      <c r="D57" s="4" t="s">
        <v>153</v>
      </c>
      <c r="E57" s="5">
        <v>46362</v>
      </c>
      <c r="F57" s="6">
        <v>201.32698500000001</v>
      </c>
      <c r="G57" s="138">
        <v>9.5146329999999998E-3</v>
      </c>
      <c r="H57" s="142"/>
    </row>
    <row r="58" spans="1:8" x14ac:dyDescent="0.2">
      <c r="A58" s="3">
        <v>52</v>
      </c>
      <c r="B58" s="4" t="s">
        <v>250</v>
      </c>
      <c r="C58" s="4" t="s">
        <v>251</v>
      </c>
      <c r="D58" s="4" t="s">
        <v>164</v>
      </c>
      <c r="E58" s="5">
        <v>14091</v>
      </c>
      <c r="F58" s="6">
        <v>194.44875450000001</v>
      </c>
      <c r="G58" s="138">
        <v>9.1895699999999993E-3</v>
      </c>
      <c r="H58" s="142"/>
    </row>
    <row r="59" spans="1:8" ht="25.5" x14ac:dyDescent="0.2">
      <c r="A59" s="3">
        <v>53</v>
      </c>
      <c r="B59" s="4" t="s">
        <v>252</v>
      </c>
      <c r="C59" s="4" t="s">
        <v>253</v>
      </c>
      <c r="D59" s="4" t="s">
        <v>90</v>
      </c>
      <c r="E59" s="5">
        <v>46200</v>
      </c>
      <c r="F59" s="6">
        <v>194.36340000000001</v>
      </c>
      <c r="G59" s="138">
        <v>9.1855359999999994E-3</v>
      </c>
      <c r="H59" s="142"/>
    </row>
    <row r="60" spans="1:8" x14ac:dyDescent="0.2">
      <c r="A60" s="3">
        <v>54</v>
      </c>
      <c r="B60" s="4" t="s">
        <v>49</v>
      </c>
      <c r="C60" s="4" t="s">
        <v>50</v>
      </c>
      <c r="D60" s="4" t="s">
        <v>51</v>
      </c>
      <c r="E60" s="5">
        <v>5800</v>
      </c>
      <c r="F60" s="6">
        <v>189.2946</v>
      </c>
      <c r="G60" s="138">
        <v>8.9459870000000007E-3</v>
      </c>
      <c r="H60" s="142"/>
    </row>
    <row r="61" spans="1:8" ht="25.5" x14ac:dyDescent="0.2">
      <c r="A61" s="3">
        <v>55</v>
      </c>
      <c r="B61" s="4" t="s">
        <v>255</v>
      </c>
      <c r="C61" s="4" t="s">
        <v>256</v>
      </c>
      <c r="D61" s="4" t="s">
        <v>90</v>
      </c>
      <c r="E61" s="5">
        <v>48460</v>
      </c>
      <c r="F61" s="6">
        <v>186.35292999999999</v>
      </c>
      <c r="G61" s="138">
        <v>8.8069649999999999E-3</v>
      </c>
      <c r="H61" s="142"/>
    </row>
    <row r="62" spans="1:8" x14ac:dyDescent="0.2">
      <c r="A62" s="3">
        <v>56</v>
      </c>
      <c r="B62" s="4" t="s">
        <v>257</v>
      </c>
      <c r="C62" s="4" t="s">
        <v>258</v>
      </c>
      <c r="D62" s="4" t="s">
        <v>173</v>
      </c>
      <c r="E62" s="5">
        <v>51255</v>
      </c>
      <c r="F62" s="6">
        <v>179.39250000000001</v>
      </c>
      <c r="G62" s="138">
        <v>8.4780180000000004E-3</v>
      </c>
      <c r="H62" s="142"/>
    </row>
    <row r="63" spans="1:8" x14ac:dyDescent="0.2">
      <c r="A63" s="3">
        <v>57</v>
      </c>
      <c r="B63" s="4" t="s">
        <v>259</v>
      </c>
      <c r="C63" s="4" t="s">
        <v>260</v>
      </c>
      <c r="D63" s="4" t="s">
        <v>207</v>
      </c>
      <c r="E63" s="5">
        <v>33629</v>
      </c>
      <c r="F63" s="6">
        <v>177.64519250000001</v>
      </c>
      <c r="G63" s="138">
        <v>8.395441E-3</v>
      </c>
      <c r="H63" s="142"/>
    </row>
    <row r="64" spans="1:8" x14ac:dyDescent="0.2">
      <c r="A64" s="3">
        <v>58</v>
      </c>
      <c r="B64" s="4" t="s">
        <v>261</v>
      </c>
      <c r="C64" s="4" t="s">
        <v>262</v>
      </c>
      <c r="D64" s="4" t="s">
        <v>51</v>
      </c>
      <c r="E64" s="5">
        <v>76732</v>
      </c>
      <c r="F64" s="6">
        <v>170.498504</v>
      </c>
      <c r="G64" s="138">
        <v>8.0576910000000005E-3</v>
      </c>
      <c r="H64" s="142"/>
    </row>
    <row r="65" spans="1:8" x14ac:dyDescent="0.2">
      <c r="A65" s="3">
        <v>59</v>
      </c>
      <c r="B65" s="4" t="s">
        <v>263</v>
      </c>
      <c r="C65" s="4" t="s">
        <v>264</v>
      </c>
      <c r="D65" s="4" t="s">
        <v>34</v>
      </c>
      <c r="E65" s="5">
        <v>143614</v>
      </c>
      <c r="F65" s="6">
        <v>166.37681900000001</v>
      </c>
      <c r="G65" s="138">
        <v>7.8629019999999997E-3</v>
      </c>
      <c r="H65" s="142"/>
    </row>
    <row r="66" spans="1:8" x14ac:dyDescent="0.2">
      <c r="A66" s="3">
        <v>60</v>
      </c>
      <c r="B66" s="4" t="s">
        <v>265</v>
      </c>
      <c r="C66" s="4" t="s">
        <v>266</v>
      </c>
      <c r="D66" s="4" t="s">
        <v>59</v>
      </c>
      <c r="E66" s="5">
        <v>15808</v>
      </c>
      <c r="F66" s="6">
        <v>163.49423999999999</v>
      </c>
      <c r="G66" s="138">
        <v>7.7266720000000004E-3</v>
      </c>
      <c r="H66" s="142"/>
    </row>
    <row r="67" spans="1:8" x14ac:dyDescent="0.2">
      <c r="A67" s="3">
        <v>61</v>
      </c>
      <c r="B67" s="4" t="s">
        <v>267</v>
      </c>
      <c r="C67" s="4" t="s">
        <v>268</v>
      </c>
      <c r="D67" s="4" t="s">
        <v>1024</v>
      </c>
      <c r="E67" s="5">
        <v>9769</v>
      </c>
      <c r="F67" s="6">
        <v>162.03351850000001</v>
      </c>
      <c r="G67" s="138">
        <v>7.6576389999999999E-3</v>
      </c>
      <c r="H67" s="142"/>
    </row>
    <row r="68" spans="1:8" x14ac:dyDescent="0.2">
      <c r="A68" s="3">
        <v>62</v>
      </c>
      <c r="B68" s="4" t="s">
        <v>269</v>
      </c>
      <c r="C68" s="4" t="s">
        <v>270</v>
      </c>
      <c r="D68" s="4" t="s">
        <v>1028</v>
      </c>
      <c r="E68" s="5">
        <v>128054</v>
      </c>
      <c r="F68" s="6">
        <v>148.28653199999999</v>
      </c>
      <c r="G68" s="138">
        <v>7.0079620000000004E-3</v>
      </c>
      <c r="H68" s="142"/>
    </row>
    <row r="69" spans="1:8" x14ac:dyDescent="0.2">
      <c r="A69" s="3">
        <v>63</v>
      </c>
      <c r="B69" s="4" t="s">
        <v>271</v>
      </c>
      <c r="C69" s="4" t="s">
        <v>272</v>
      </c>
      <c r="D69" s="4" t="s">
        <v>1028</v>
      </c>
      <c r="E69" s="5">
        <v>96898</v>
      </c>
      <c r="F69" s="6">
        <v>140.79279399999999</v>
      </c>
      <c r="G69" s="138">
        <v>6.6538109999999999E-3</v>
      </c>
      <c r="H69" s="142"/>
    </row>
    <row r="70" spans="1:8" x14ac:dyDescent="0.2">
      <c r="A70" s="3">
        <v>64</v>
      </c>
      <c r="B70" s="4" t="s">
        <v>273</v>
      </c>
      <c r="C70" s="4" t="s">
        <v>274</v>
      </c>
      <c r="D70" s="4" t="s">
        <v>173</v>
      </c>
      <c r="E70" s="5">
        <v>23266</v>
      </c>
      <c r="F70" s="6">
        <v>139.40987200000001</v>
      </c>
      <c r="G70" s="138">
        <v>6.588455E-3</v>
      </c>
      <c r="H70" s="142"/>
    </row>
    <row r="71" spans="1:8" x14ac:dyDescent="0.2">
      <c r="A71" s="3">
        <v>65</v>
      </c>
      <c r="B71" s="4" t="s">
        <v>275</v>
      </c>
      <c r="C71" s="4" t="s">
        <v>276</v>
      </c>
      <c r="D71" s="4" t="s">
        <v>335</v>
      </c>
      <c r="E71" s="5">
        <v>11119</v>
      </c>
      <c r="F71" s="6">
        <v>137.441959</v>
      </c>
      <c r="G71" s="138">
        <v>6.4954519999999996E-3</v>
      </c>
      <c r="H71" s="142"/>
    </row>
    <row r="72" spans="1:8" x14ac:dyDescent="0.2">
      <c r="A72" s="3">
        <v>66</v>
      </c>
      <c r="B72" s="4" t="s">
        <v>277</v>
      </c>
      <c r="C72" s="4" t="s">
        <v>278</v>
      </c>
      <c r="D72" s="4" t="s">
        <v>279</v>
      </c>
      <c r="E72" s="5">
        <v>56338</v>
      </c>
      <c r="F72" s="6">
        <v>130.59148400000001</v>
      </c>
      <c r="G72" s="138">
        <v>6.1717009999999999E-3</v>
      </c>
      <c r="H72" s="142"/>
    </row>
    <row r="73" spans="1:8" x14ac:dyDescent="0.2">
      <c r="A73" s="3">
        <v>67</v>
      </c>
      <c r="B73" s="4" t="s">
        <v>280</v>
      </c>
      <c r="C73" s="4" t="s">
        <v>281</v>
      </c>
      <c r="D73" s="4" t="s">
        <v>24</v>
      </c>
      <c r="E73" s="5">
        <v>139624</v>
      </c>
      <c r="F73" s="6">
        <v>127.05784</v>
      </c>
      <c r="G73" s="138">
        <v>6.0047030000000001E-3</v>
      </c>
      <c r="H73" s="142"/>
    </row>
    <row r="74" spans="1:8" x14ac:dyDescent="0.2">
      <c r="A74" s="3">
        <v>68</v>
      </c>
      <c r="B74" s="4" t="s">
        <v>282</v>
      </c>
      <c r="C74" s="4" t="s">
        <v>283</v>
      </c>
      <c r="D74" s="4" t="s">
        <v>207</v>
      </c>
      <c r="E74" s="5">
        <v>2332</v>
      </c>
      <c r="F74" s="6">
        <v>126.01195199999999</v>
      </c>
      <c r="G74" s="138">
        <v>5.955274E-3</v>
      </c>
      <c r="H74" s="142"/>
    </row>
    <row r="75" spans="1:8" x14ac:dyDescent="0.2">
      <c r="A75" s="3">
        <v>69</v>
      </c>
      <c r="B75" s="4" t="s">
        <v>284</v>
      </c>
      <c r="C75" s="4" t="s">
        <v>285</v>
      </c>
      <c r="D75" s="4" t="s">
        <v>164</v>
      </c>
      <c r="E75" s="5">
        <v>22041</v>
      </c>
      <c r="F75" s="6">
        <v>105.80782050000001</v>
      </c>
      <c r="G75" s="138">
        <v>5.0004350000000001E-3</v>
      </c>
      <c r="H75" s="142"/>
    </row>
    <row r="76" spans="1:8" x14ac:dyDescent="0.2">
      <c r="A76" s="3">
        <v>70</v>
      </c>
      <c r="B76" s="4" t="s">
        <v>286</v>
      </c>
      <c r="C76" s="4" t="s">
        <v>287</v>
      </c>
      <c r="D76" s="4" t="s">
        <v>207</v>
      </c>
      <c r="E76" s="5">
        <v>27599</v>
      </c>
      <c r="F76" s="6">
        <v>99.646189500000006</v>
      </c>
      <c r="G76" s="138">
        <v>4.7092389999999996E-3</v>
      </c>
      <c r="H76" s="142"/>
    </row>
    <row r="77" spans="1:8" x14ac:dyDescent="0.2">
      <c r="A77" s="3">
        <v>71</v>
      </c>
      <c r="B77" s="4" t="s">
        <v>288</v>
      </c>
      <c r="C77" s="4" t="s">
        <v>289</v>
      </c>
      <c r="D77" s="4" t="s">
        <v>153</v>
      </c>
      <c r="E77" s="5">
        <v>6312</v>
      </c>
      <c r="F77" s="6">
        <v>88.112363999999999</v>
      </c>
      <c r="G77" s="138">
        <v>4.1641550000000001E-3</v>
      </c>
      <c r="H77" s="142"/>
    </row>
    <row r="78" spans="1:8" ht="25.5" x14ac:dyDescent="0.2">
      <c r="A78" s="3">
        <v>72</v>
      </c>
      <c r="B78" s="4" t="s">
        <v>70</v>
      </c>
      <c r="C78" s="4" t="s">
        <v>71</v>
      </c>
      <c r="D78" s="4" t="s">
        <v>37</v>
      </c>
      <c r="E78" s="5">
        <v>12141</v>
      </c>
      <c r="F78" s="6">
        <v>87.421270500000006</v>
      </c>
      <c r="G78" s="138">
        <v>4.1314940000000003E-3</v>
      </c>
      <c r="H78" s="142"/>
    </row>
    <row r="79" spans="1:8" x14ac:dyDescent="0.2">
      <c r="A79" s="3">
        <v>73</v>
      </c>
      <c r="B79" s="4" t="s">
        <v>64</v>
      </c>
      <c r="C79" s="4" t="s">
        <v>65</v>
      </c>
      <c r="D79" s="4" t="s">
        <v>66</v>
      </c>
      <c r="E79" s="5">
        <v>45310</v>
      </c>
      <c r="F79" s="6">
        <v>73.719369999999998</v>
      </c>
      <c r="G79" s="138">
        <v>3.4839480000000002E-3</v>
      </c>
      <c r="H79" s="142"/>
    </row>
    <row r="80" spans="1:8" x14ac:dyDescent="0.2">
      <c r="A80" s="3">
        <v>74</v>
      </c>
      <c r="B80" s="4" t="s">
        <v>290</v>
      </c>
      <c r="C80" s="4" t="s">
        <v>291</v>
      </c>
      <c r="D80" s="4" t="s">
        <v>153</v>
      </c>
      <c r="E80" s="5">
        <v>4210</v>
      </c>
      <c r="F80" s="6">
        <v>25.784144999999999</v>
      </c>
      <c r="G80" s="138">
        <v>1.2185480000000001E-3</v>
      </c>
      <c r="H80" s="142"/>
    </row>
    <row r="81" spans="1:8" x14ac:dyDescent="0.2">
      <c r="A81" s="3">
        <v>75</v>
      </c>
      <c r="B81" s="4" t="s">
        <v>292</v>
      </c>
      <c r="C81" s="4" t="s">
        <v>293</v>
      </c>
      <c r="D81" s="4" t="s">
        <v>24</v>
      </c>
      <c r="E81" s="5">
        <v>38410</v>
      </c>
      <c r="F81" s="6">
        <v>23.891020000000001</v>
      </c>
      <c r="G81" s="138">
        <v>1.12908E-3</v>
      </c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20144.071357500001</v>
      </c>
      <c r="G82" s="139">
        <v>0.95200073600000001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107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108</v>
      </c>
      <c r="D87" s="1"/>
      <c r="E87" s="1"/>
      <c r="F87" s="1"/>
      <c r="G87" s="137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109</v>
      </c>
      <c r="D90" s="1"/>
      <c r="E90" s="1"/>
      <c r="F90" s="1"/>
      <c r="G90" s="137"/>
      <c r="H90" s="142"/>
    </row>
    <row r="91" spans="1:8" ht="25.5" x14ac:dyDescent="0.2">
      <c r="A91" s="3">
        <v>1</v>
      </c>
      <c r="B91" s="4" t="s">
        <v>294</v>
      </c>
      <c r="C91" s="4" t="s">
        <v>997</v>
      </c>
      <c r="D91" s="4" t="s">
        <v>66</v>
      </c>
      <c r="E91" s="5">
        <v>79149</v>
      </c>
      <c r="F91" s="6">
        <v>29.4038535</v>
      </c>
      <c r="G91" s="138">
        <v>1.389614E-3</v>
      </c>
      <c r="H91" s="14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9">
        <v>29.4038535</v>
      </c>
      <c r="G92" s="139">
        <v>1.389614E-3</v>
      </c>
      <c r="H92" s="142"/>
    </row>
    <row r="93" spans="1:8" x14ac:dyDescent="0.2">
      <c r="A93" s="1"/>
      <c r="B93" s="1"/>
      <c r="C93" s="11"/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111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112</v>
      </c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113</v>
      </c>
      <c r="D100" s="1"/>
      <c r="E100" s="1"/>
      <c r="F100" s="9">
        <v>20173.475211000001</v>
      </c>
      <c r="G100" s="139">
        <v>0.95339035000000005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114</v>
      </c>
      <c r="D102" s="1"/>
      <c r="E102" s="1"/>
      <c r="F102" s="12"/>
      <c r="G102" s="140"/>
      <c r="H102" s="142"/>
    </row>
    <row r="103" spans="1:8" ht="25.5" x14ac:dyDescent="0.2">
      <c r="A103" s="1"/>
      <c r="B103" s="1"/>
      <c r="C103" s="2" t="s">
        <v>10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115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116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117</v>
      </c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118</v>
      </c>
      <c r="D115" s="1"/>
      <c r="E115" s="1"/>
      <c r="F115" s="9">
        <v>0</v>
      </c>
      <c r="G115" s="139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119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120</v>
      </c>
      <c r="D118" s="1"/>
      <c r="E118" s="1"/>
      <c r="F118" s="12"/>
      <c r="G118" s="140"/>
      <c r="H118" s="142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1">
        <v>0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121</v>
      </c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1">
        <v>0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122</v>
      </c>
      <c r="D124" s="1"/>
      <c r="E124" s="1"/>
      <c r="F124" s="12"/>
      <c r="G124" s="140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123</v>
      </c>
      <c r="D127" s="1"/>
      <c r="E127" s="1"/>
      <c r="F127" s="12"/>
      <c r="G127" s="140"/>
      <c r="H127" s="142"/>
    </row>
    <row r="128" spans="1:8" x14ac:dyDescent="0.2">
      <c r="A128" s="3">
        <v>1</v>
      </c>
      <c r="B128" s="4"/>
      <c r="C128" s="4" t="s">
        <v>124</v>
      </c>
      <c r="D128" s="4"/>
      <c r="E128" s="8"/>
      <c r="F128" s="6">
        <v>863.83713209999996</v>
      </c>
      <c r="G128" s="138">
        <v>4.0824596999999997E-2</v>
      </c>
      <c r="H128" s="152">
        <v>3.3197683930276081</v>
      </c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9">
        <v>863.83713209999996</v>
      </c>
      <c r="G129" s="139">
        <v>4.0824596999999997E-2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2" t="s">
        <v>125</v>
      </c>
      <c r="D131" s="1"/>
      <c r="E131" s="1"/>
      <c r="F131" s="9">
        <v>863.83713209999996</v>
      </c>
      <c r="G131" s="139">
        <v>4.0824596999999997E-2</v>
      </c>
      <c r="H131" s="142"/>
    </row>
    <row r="132" spans="1:8" x14ac:dyDescent="0.2">
      <c r="A132" s="1"/>
      <c r="B132" s="1"/>
      <c r="C132" s="12"/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126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127</v>
      </c>
      <c r="D134" s="1"/>
      <c r="E134" s="1"/>
      <c r="F134" s="1"/>
      <c r="G134" s="137"/>
      <c r="H134" s="142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1">
        <v>0</v>
      </c>
      <c r="H135" s="142"/>
    </row>
    <row r="136" spans="1:8" x14ac:dyDescent="0.2">
      <c r="A136" s="1"/>
      <c r="B136" s="1"/>
      <c r="C136" s="11"/>
      <c r="D136" s="1"/>
      <c r="E136" s="1"/>
      <c r="F136" s="12"/>
      <c r="G136" s="140"/>
      <c r="H136" s="142"/>
    </row>
    <row r="137" spans="1:8" x14ac:dyDescent="0.2">
      <c r="A137" s="1"/>
      <c r="B137" s="1"/>
      <c r="C137" s="2" t="s">
        <v>128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129</v>
      </c>
      <c r="D138" s="1"/>
      <c r="E138" s="1"/>
      <c r="F138" s="1"/>
      <c r="G138" s="137"/>
      <c r="H138" s="142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1">
        <v>0</v>
      </c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x14ac:dyDescent="0.2">
      <c r="A141" s="1"/>
      <c r="B141" s="1"/>
      <c r="C141" s="11"/>
      <c r="D141" s="1"/>
      <c r="E141" s="1"/>
      <c r="F141" s="12"/>
      <c r="G141" s="140"/>
      <c r="H141" s="142"/>
    </row>
    <row r="142" spans="1:8" ht="25.5" x14ac:dyDescent="0.2">
      <c r="A142" s="1"/>
      <c r="B142" s="1"/>
      <c r="C142" s="2" t="s">
        <v>130</v>
      </c>
      <c r="D142" s="1"/>
      <c r="E142" s="1"/>
      <c r="F142" s="12"/>
      <c r="G142" s="140"/>
      <c r="H142" s="142"/>
    </row>
    <row r="143" spans="1:8" x14ac:dyDescent="0.2">
      <c r="A143" s="1"/>
      <c r="B143" s="1"/>
      <c r="C143" s="2" t="s">
        <v>105</v>
      </c>
      <c r="D143" s="1"/>
      <c r="E143" s="1" t="s">
        <v>106</v>
      </c>
      <c r="F143" s="13">
        <v>0</v>
      </c>
      <c r="G143" s="141">
        <v>0</v>
      </c>
      <c r="H143" s="142"/>
    </row>
    <row r="144" spans="1:8" x14ac:dyDescent="0.2">
      <c r="A144" s="1"/>
      <c r="B144" s="1"/>
      <c r="C144" s="11"/>
      <c r="D144" s="1"/>
      <c r="E144" s="1"/>
      <c r="F144" s="12"/>
      <c r="G144" s="140"/>
      <c r="H144" s="142"/>
    </row>
    <row r="145" spans="1:8" x14ac:dyDescent="0.2">
      <c r="A145" s="1"/>
      <c r="B145" s="4"/>
      <c r="C145" s="4"/>
      <c r="D145" s="2"/>
      <c r="E145" s="1"/>
      <c r="F145" s="4"/>
      <c r="G145" s="143"/>
      <c r="H145" s="142"/>
    </row>
    <row r="146" spans="1:8" x14ac:dyDescent="0.2">
      <c r="A146" s="8"/>
      <c r="B146" s="4"/>
      <c r="C146" s="4" t="s">
        <v>131</v>
      </c>
      <c r="D146" s="4"/>
      <c r="E146" s="8"/>
      <c r="F146" s="6">
        <v>122.41004701</v>
      </c>
      <c r="G146" s="138">
        <v>5.7850499999999999E-3</v>
      </c>
      <c r="H146" s="142"/>
    </row>
    <row r="147" spans="1:8" x14ac:dyDescent="0.2">
      <c r="A147" s="11"/>
      <c r="B147" s="11"/>
      <c r="C147" s="2" t="s">
        <v>132</v>
      </c>
      <c r="D147" s="15"/>
      <c r="E147" s="15"/>
      <c r="F147" s="9">
        <v>21159.722390110001</v>
      </c>
      <c r="G147" s="139">
        <v>0.99999999699999997</v>
      </c>
      <c r="H147" s="142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205" t="s">
        <v>106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205" t="s">
        <v>106</v>
      </c>
      <c r="C150" s="205"/>
      <c r="D150" s="205"/>
      <c r="E150" s="205"/>
      <c r="F150" s="205"/>
      <c r="G150" s="20"/>
    </row>
    <row r="151" spans="1:8" ht="14.1" customHeight="1" x14ac:dyDescent="0.2">
      <c r="A151" s="18"/>
      <c r="B151" s="18"/>
      <c r="C151" s="18"/>
      <c r="D151" s="20"/>
      <c r="E151" s="20"/>
      <c r="F151" s="20"/>
      <c r="G151" s="20"/>
    </row>
    <row r="152" spans="1:8" ht="14.1" customHeight="1" x14ac:dyDescent="0.2">
      <c r="A152" s="18"/>
      <c r="B152" s="203" t="s">
        <v>134</v>
      </c>
      <c r="C152" s="204"/>
      <c r="D152" s="12" t="s">
        <v>106</v>
      </c>
      <c r="E152" s="21"/>
      <c r="F152" s="20"/>
      <c r="G152" s="20"/>
    </row>
    <row r="153" spans="1:8" ht="29.1" customHeight="1" x14ac:dyDescent="0.2">
      <c r="A153" s="18"/>
      <c r="B153" s="199" t="s">
        <v>135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137</v>
      </c>
      <c r="C154" s="200"/>
      <c r="D154" s="2" t="s">
        <v>136</v>
      </c>
      <c r="E154" s="21"/>
      <c r="F154" s="20"/>
      <c r="G154" s="20"/>
    </row>
    <row r="155" spans="1:8" ht="17.100000000000001" customHeight="1" x14ac:dyDescent="0.2">
      <c r="A155" s="18"/>
      <c r="B155" s="199" t="s">
        <v>138</v>
      </c>
      <c r="C155" s="200"/>
      <c r="D155" s="12" t="s">
        <v>106</v>
      </c>
      <c r="E155" s="21"/>
      <c r="F155" s="20"/>
      <c r="G155" s="20"/>
    </row>
    <row r="156" spans="1:8" ht="24" customHeight="1" x14ac:dyDescent="0.2">
      <c r="A156" s="22"/>
      <c r="B156" s="23" t="s">
        <v>106</v>
      </c>
      <c r="C156" s="23" t="s">
        <v>139</v>
      </c>
      <c r="D156" s="23" t="s">
        <v>140</v>
      </c>
      <c r="E156" s="22"/>
      <c r="F156" s="22"/>
      <c r="G156" s="22"/>
    </row>
    <row r="157" spans="1:8" ht="18" customHeight="1" x14ac:dyDescent="0.2">
      <c r="A157" s="22"/>
      <c r="B157" s="23" t="s">
        <v>141</v>
      </c>
      <c r="C157" s="23" t="s">
        <v>142</v>
      </c>
      <c r="D157" s="23" t="s">
        <v>143</v>
      </c>
      <c r="E157" s="22"/>
      <c r="F157" s="22"/>
      <c r="G157" s="22"/>
    </row>
    <row r="158" spans="1:8" x14ac:dyDescent="0.2">
      <c r="A158" s="22"/>
      <c r="B158" s="4" t="s">
        <v>144</v>
      </c>
      <c r="C158" s="24">
        <v>15.2677</v>
      </c>
      <c r="D158" s="24">
        <v>16.369800000000001</v>
      </c>
      <c r="E158" s="22"/>
      <c r="F158" s="19"/>
      <c r="G158" s="25"/>
    </row>
    <row r="159" spans="1:8" x14ac:dyDescent="0.2">
      <c r="A159" s="22"/>
      <c r="B159" s="4" t="s">
        <v>1019</v>
      </c>
      <c r="C159" s="24">
        <v>15.2677</v>
      </c>
      <c r="D159" s="24">
        <v>16.369800000000001</v>
      </c>
      <c r="E159" s="22"/>
      <c r="F159" s="19"/>
      <c r="G159" s="25"/>
    </row>
    <row r="160" spans="1:8" x14ac:dyDescent="0.2">
      <c r="A160" s="22"/>
      <c r="B160" s="4" t="s">
        <v>145</v>
      </c>
      <c r="C160" s="24">
        <v>14.8614</v>
      </c>
      <c r="D160" s="24">
        <v>15.926</v>
      </c>
      <c r="E160" s="22"/>
      <c r="F160" s="19"/>
      <c r="G160" s="25"/>
    </row>
    <row r="161" spans="1:7" x14ac:dyDescent="0.2">
      <c r="A161" s="22"/>
      <c r="B161" s="4" t="s">
        <v>1020</v>
      </c>
      <c r="C161" s="24">
        <v>14.8614</v>
      </c>
      <c r="D161" s="24">
        <v>15.926</v>
      </c>
      <c r="E161" s="22"/>
      <c r="F161" s="19"/>
      <c r="G161" s="25"/>
    </row>
    <row r="162" spans="1:7" ht="14.1" customHeight="1" x14ac:dyDescent="0.2">
      <c r="A162" s="22"/>
      <c r="B162" s="22"/>
      <c r="C162" s="22"/>
      <c r="D162" s="22"/>
      <c r="E162" s="22"/>
      <c r="F162" s="22"/>
      <c r="G162" s="22"/>
    </row>
    <row r="163" spans="1:7" ht="17.100000000000001" customHeight="1" x14ac:dyDescent="0.2">
      <c r="A163" s="22"/>
      <c r="B163" s="199" t="s">
        <v>1021</v>
      </c>
      <c r="C163" s="200"/>
      <c r="D163" s="2" t="s">
        <v>136</v>
      </c>
      <c r="E163" s="22"/>
      <c r="F163" s="22"/>
      <c r="G163" s="22"/>
    </row>
    <row r="164" spans="1:7" ht="18" customHeight="1" x14ac:dyDescent="0.2">
      <c r="A164" s="22"/>
      <c r="B164" s="26"/>
      <c r="C164" s="26"/>
      <c r="D164" s="27"/>
      <c r="E164" s="22"/>
      <c r="F164" s="22"/>
      <c r="G164" s="22"/>
    </row>
    <row r="165" spans="1:7" s="125" customFormat="1" x14ac:dyDescent="0.2">
      <c r="B165" s="201" t="s">
        <v>825</v>
      </c>
      <c r="C165" s="201"/>
      <c r="D165" s="201"/>
      <c r="E165" s="201"/>
      <c r="F165" s="201"/>
    </row>
    <row r="166" spans="1:7" ht="14.1" customHeight="1" x14ac:dyDescent="0.2">
      <c r="A166" s="22"/>
      <c r="B166" s="19"/>
      <c r="C166" s="19"/>
      <c r="D166" s="22"/>
      <c r="E166" s="22"/>
      <c r="F166" s="22"/>
      <c r="G166" s="22"/>
    </row>
    <row r="167" spans="1:7" ht="29.1" customHeight="1" x14ac:dyDescent="0.2">
      <c r="A167" s="22"/>
      <c r="B167" s="199" t="s">
        <v>146</v>
      </c>
      <c r="C167" s="200"/>
      <c r="D167" s="2" t="s">
        <v>136</v>
      </c>
      <c r="E167" s="22"/>
      <c r="F167" s="22"/>
      <c r="G167" s="22"/>
    </row>
    <row r="168" spans="1:7" ht="29.1" customHeight="1" x14ac:dyDescent="0.2">
      <c r="A168" s="22"/>
      <c r="B168" s="199" t="s">
        <v>147</v>
      </c>
      <c r="C168" s="200"/>
      <c r="D168" s="2" t="s">
        <v>136</v>
      </c>
      <c r="E168" s="22"/>
      <c r="F168" s="22"/>
      <c r="G168" s="22"/>
    </row>
    <row r="169" spans="1:7" ht="17.100000000000001" customHeight="1" x14ac:dyDescent="0.2">
      <c r="A169" s="22"/>
      <c r="B169" s="199" t="s">
        <v>148</v>
      </c>
      <c r="C169" s="200"/>
      <c r="D169" s="28">
        <v>0.50427602449429365</v>
      </c>
      <c r="E169" s="22"/>
      <c r="F169" s="19"/>
      <c r="G169" s="25"/>
    </row>
    <row r="170" spans="1:7" ht="17.100000000000001" customHeight="1" x14ac:dyDescent="0.2">
      <c r="A170" s="22"/>
      <c r="B170" s="199" t="s">
        <v>149</v>
      </c>
      <c r="C170" s="200"/>
      <c r="D170" s="2" t="s">
        <v>136</v>
      </c>
      <c r="E170" s="22"/>
      <c r="F170" s="22"/>
      <c r="G170" s="22"/>
    </row>
  </sheetData>
  <mergeCells count="16">
    <mergeCell ref="J2:N2"/>
    <mergeCell ref="B152:C152"/>
    <mergeCell ref="B149:F149"/>
    <mergeCell ref="B150:F150"/>
    <mergeCell ref="A1:H1"/>
    <mergeCell ref="A2:H2"/>
    <mergeCell ref="A3:H3"/>
    <mergeCell ref="B169:C169"/>
    <mergeCell ref="B170:C170"/>
    <mergeCell ref="B153:C153"/>
    <mergeCell ref="B154:C154"/>
    <mergeCell ref="B155:C155"/>
    <mergeCell ref="B163:C163"/>
    <mergeCell ref="B167:C167"/>
    <mergeCell ref="B168:C168"/>
    <mergeCell ref="B165:F16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69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customHeight="1" x14ac:dyDescent="0.2">
      <c r="A2" s="207" t="s">
        <v>295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48045</v>
      </c>
      <c r="F7" s="6">
        <v>659.48969250000005</v>
      </c>
      <c r="G7" s="138">
        <v>3.2490594999999997E-2</v>
      </c>
      <c r="H7" s="142"/>
    </row>
    <row r="8" spans="1:14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15430</v>
      </c>
      <c r="F8" s="6">
        <v>568.55692499999998</v>
      </c>
      <c r="G8" s="138">
        <v>2.8010677000000001E-2</v>
      </c>
      <c r="H8" s="142"/>
    </row>
    <row r="9" spans="1:14" x14ac:dyDescent="0.2">
      <c r="A9" s="3">
        <v>3</v>
      </c>
      <c r="B9" s="4" t="s">
        <v>154</v>
      </c>
      <c r="C9" s="4" t="s">
        <v>155</v>
      </c>
      <c r="D9" s="4" t="s">
        <v>27</v>
      </c>
      <c r="E9" s="5">
        <v>61203</v>
      </c>
      <c r="F9" s="6">
        <v>567.41301299999998</v>
      </c>
      <c r="G9" s="138">
        <v>2.7954321000000001E-2</v>
      </c>
      <c r="H9" s="142"/>
    </row>
    <row r="10" spans="1:14" x14ac:dyDescent="0.2">
      <c r="A10" s="3">
        <v>4</v>
      </c>
      <c r="B10" s="4" t="s">
        <v>156</v>
      </c>
      <c r="C10" s="4" t="s">
        <v>157</v>
      </c>
      <c r="D10" s="4" t="s">
        <v>1024</v>
      </c>
      <c r="E10" s="5">
        <v>37436</v>
      </c>
      <c r="F10" s="6">
        <v>495.18468999999999</v>
      </c>
      <c r="G10" s="138">
        <v>2.4395901000000001E-2</v>
      </c>
      <c r="H10" s="142"/>
    </row>
    <row r="11" spans="1:14" x14ac:dyDescent="0.2">
      <c r="A11" s="3">
        <v>5</v>
      </c>
      <c r="B11" s="4" t="s">
        <v>158</v>
      </c>
      <c r="C11" s="4" t="s">
        <v>159</v>
      </c>
      <c r="D11" s="4" t="s">
        <v>80</v>
      </c>
      <c r="E11" s="5">
        <v>393994</v>
      </c>
      <c r="F11" s="6">
        <v>476.73273999999998</v>
      </c>
      <c r="G11" s="138">
        <v>2.3486843E-2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58313</v>
      </c>
      <c r="F12" s="6">
        <v>464.81292300000001</v>
      </c>
      <c r="G12" s="138">
        <v>2.2899598E-2</v>
      </c>
      <c r="H12" s="142"/>
    </row>
    <row r="13" spans="1:14" x14ac:dyDescent="0.2">
      <c r="A13" s="3">
        <v>7</v>
      </c>
      <c r="B13" s="4" t="s">
        <v>162</v>
      </c>
      <c r="C13" s="4" t="s">
        <v>163</v>
      </c>
      <c r="D13" s="4" t="s">
        <v>164</v>
      </c>
      <c r="E13" s="5">
        <v>125031</v>
      </c>
      <c r="F13" s="6">
        <v>427.29344250000003</v>
      </c>
      <c r="G13" s="138">
        <v>2.1051153E-2</v>
      </c>
      <c r="H13" s="142"/>
    </row>
    <row r="14" spans="1:14" x14ac:dyDescent="0.2">
      <c r="A14" s="3">
        <v>8</v>
      </c>
      <c r="B14" s="4" t="s">
        <v>52</v>
      </c>
      <c r="C14" s="4" t="s">
        <v>53</v>
      </c>
      <c r="D14" s="4" t="s">
        <v>51</v>
      </c>
      <c r="E14" s="5">
        <v>133887</v>
      </c>
      <c r="F14" s="6">
        <v>414.5810955</v>
      </c>
      <c r="G14" s="138">
        <v>2.0424863000000001E-2</v>
      </c>
      <c r="H14" s="142"/>
    </row>
    <row r="15" spans="1:14" x14ac:dyDescent="0.2">
      <c r="A15" s="3">
        <v>9</v>
      </c>
      <c r="B15" s="4" t="s">
        <v>167</v>
      </c>
      <c r="C15" s="4" t="s">
        <v>168</v>
      </c>
      <c r="D15" s="4" t="s">
        <v>1025</v>
      </c>
      <c r="E15" s="5">
        <v>200701</v>
      </c>
      <c r="F15" s="6">
        <v>411.23634900000002</v>
      </c>
      <c r="G15" s="138">
        <v>2.026008E-2</v>
      </c>
      <c r="H15" s="142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51</v>
      </c>
      <c r="E16" s="5">
        <v>84039</v>
      </c>
      <c r="F16" s="6">
        <v>397.21033349999999</v>
      </c>
      <c r="G16" s="138">
        <v>1.9569070000000001E-2</v>
      </c>
      <c r="H16" s="142"/>
      <c r="J16" s="163" t="s">
        <v>1033</v>
      </c>
    </row>
    <row r="17" spans="1:8" x14ac:dyDescent="0.2">
      <c r="A17" s="3">
        <v>11</v>
      </c>
      <c r="B17" s="4" t="s">
        <v>171</v>
      </c>
      <c r="C17" s="4" t="s">
        <v>172</v>
      </c>
      <c r="D17" s="4" t="s">
        <v>173</v>
      </c>
      <c r="E17" s="5">
        <v>41650</v>
      </c>
      <c r="F17" s="6">
        <v>392.94692500000002</v>
      </c>
      <c r="G17" s="138">
        <v>1.9359028E-2</v>
      </c>
      <c r="H17" s="142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164</v>
      </c>
      <c r="E18" s="5">
        <v>10499</v>
      </c>
      <c r="F18" s="6">
        <v>390.17433699999998</v>
      </c>
      <c r="G18" s="138">
        <v>1.9222433000000001E-2</v>
      </c>
      <c r="H18" s="142"/>
    </row>
    <row r="19" spans="1:8" x14ac:dyDescent="0.2">
      <c r="A19" s="3">
        <v>13</v>
      </c>
      <c r="B19" s="4" t="s">
        <v>208</v>
      </c>
      <c r="C19" s="4" t="s">
        <v>209</v>
      </c>
      <c r="D19" s="4" t="s">
        <v>153</v>
      </c>
      <c r="E19" s="5">
        <v>26053</v>
      </c>
      <c r="F19" s="6">
        <v>378.09416249999998</v>
      </c>
      <c r="G19" s="138">
        <v>1.8627287999999999E-2</v>
      </c>
      <c r="H19" s="142"/>
    </row>
    <row r="20" spans="1:8" ht="25.5" x14ac:dyDescent="0.2">
      <c r="A20" s="3">
        <v>14</v>
      </c>
      <c r="B20" s="4" t="s">
        <v>30</v>
      </c>
      <c r="C20" s="4" t="s">
        <v>31</v>
      </c>
      <c r="D20" s="4" t="s">
        <v>1023</v>
      </c>
      <c r="E20" s="5">
        <v>11486</v>
      </c>
      <c r="F20" s="6">
        <v>356.956165</v>
      </c>
      <c r="G20" s="138">
        <v>1.7585897999999999E-2</v>
      </c>
      <c r="H20" s="142"/>
    </row>
    <row r="21" spans="1:8" x14ac:dyDescent="0.2">
      <c r="A21" s="3">
        <v>15</v>
      </c>
      <c r="B21" s="4" t="s">
        <v>174</v>
      </c>
      <c r="C21" s="4" t="s">
        <v>175</v>
      </c>
      <c r="D21" s="4" t="s">
        <v>335</v>
      </c>
      <c r="E21" s="5">
        <v>35499</v>
      </c>
      <c r="F21" s="6">
        <v>351.15610800000002</v>
      </c>
      <c r="G21" s="138">
        <v>1.7300151E-2</v>
      </c>
      <c r="H21" s="142"/>
    </row>
    <row r="22" spans="1:8" x14ac:dyDescent="0.2">
      <c r="A22" s="3">
        <v>16</v>
      </c>
      <c r="B22" s="4" t="s">
        <v>176</v>
      </c>
      <c r="C22" s="4" t="s">
        <v>177</v>
      </c>
      <c r="D22" s="4" t="s">
        <v>1026</v>
      </c>
      <c r="E22" s="5">
        <v>88565</v>
      </c>
      <c r="F22" s="6">
        <v>348.28186249999999</v>
      </c>
      <c r="G22" s="138">
        <v>1.7158547E-2</v>
      </c>
      <c r="H22" s="142"/>
    </row>
    <row r="23" spans="1:8" x14ac:dyDescent="0.2">
      <c r="A23" s="3">
        <v>17</v>
      </c>
      <c r="B23" s="4" t="s">
        <v>214</v>
      </c>
      <c r="C23" s="4" t="s">
        <v>215</v>
      </c>
      <c r="D23" s="4" t="s">
        <v>216</v>
      </c>
      <c r="E23" s="5">
        <v>125377</v>
      </c>
      <c r="F23" s="6">
        <v>341.46425950000003</v>
      </c>
      <c r="G23" s="138">
        <v>1.6822668999999998E-2</v>
      </c>
      <c r="H23" s="142"/>
    </row>
    <row r="24" spans="1:8" x14ac:dyDescent="0.2">
      <c r="A24" s="3">
        <v>18</v>
      </c>
      <c r="B24" s="4" t="s">
        <v>182</v>
      </c>
      <c r="C24" s="4" t="s">
        <v>183</v>
      </c>
      <c r="D24" s="4" t="s">
        <v>164</v>
      </c>
      <c r="E24" s="5">
        <v>6240</v>
      </c>
      <c r="F24" s="6">
        <v>333.49367999999998</v>
      </c>
      <c r="G24" s="138">
        <v>1.6429988999999999E-2</v>
      </c>
      <c r="H24" s="142"/>
    </row>
    <row r="25" spans="1:8" ht="25.5" x14ac:dyDescent="0.2">
      <c r="A25" s="3">
        <v>19</v>
      </c>
      <c r="B25" s="4" t="s">
        <v>178</v>
      </c>
      <c r="C25" s="4" t="s">
        <v>933</v>
      </c>
      <c r="D25" s="4" t="s">
        <v>37</v>
      </c>
      <c r="E25" s="5">
        <v>128577</v>
      </c>
      <c r="F25" s="6">
        <v>331.92152549999997</v>
      </c>
      <c r="G25" s="138">
        <v>1.6352535000000001E-2</v>
      </c>
      <c r="H25" s="142"/>
    </row>
    <row r="26" spans="1:8" x14ac:dyDescent="0.2">
      <c r="A26" s="3">
        <v>20</v>
      </c>
      <c r="B26" s="4" t="s">
        <v>179</v>
      </c>
      <c r="C26" s="4" t="s">
        <v>180</v>
      </c>
      <c r="D26" s="4" t="s">
        <v>181</v>
      </c>
      <c r="E26" s="5">
        <v>132103</v>
      </c>
      <c r="F26" s="6">
        <v>326.82282199999997</v>
      </c>
      <c r="G26" s="138">
        <v>1.6101339999999999E-2</v>
      </c>
      <c r="H26" s="142"/>
    </row>
    <row r="27" spans="1:8" x14ac:dyDescent="0.2">
      <c r="A27" s="3">
        <v>21</v>
      </c>
      <c r="B27" s="4" t="s">
        <v>184</v>
      </c>
      <c r="C27" s="4" t="s">
        <v>185</v>
      </c>
      <c r="D27" s="4" t="s">
        <v>173</v>
      </c>
      <c r="E27" s="5">
        <v>23138</v>
      </c>
      <c r="F27" s="6">
        <v>323.20315299999999</v>
      </c>
      <c r="G27" s="138">
        <v>1.5923013E-2</v>
      </c>
      <c r="H27" s="142"/>
    </row>
    <row r="28" spans="1:8" x14ac:dyDescent="0.2">
      <c r="A28" s="3">
        <v>22</v>
      </c>
      <c r="B28" s="4" t="s">
        <v>186</v>
      </c>
      <c r="C28" s="4" t="s">
        <v>187</v>
      </c>
      <c r="D28" s="4" t="s">
        <v>207</v>
      </c>
      <c r="E28" s="5">
        <v>24864</v>
      </c>
      <c r="F28" s="6">
        <v>318.94296000000003</v>
      </c>
      <c r="G28" s="138">
        <v>1.5713128999999999E-2</v>
      </c>
      <c r="H28" s="142"/>
    </row>
    <row r="29" spans="1:8" x14ac:dyDescent="0.2">
      <c r="A29" s="3">
        <v>23</v>
      </c>
      <c r="B29" s="4" t="s">
        <v>188</v>
      </c>
      <c r="C29" s="4" t="s">
        <v>189</v>
      </c>
      <c r="D29" s="4" t="s">
        <v>190</v>
      </c>
      <c r="E29" s="5">
        <v>31547</v>
      </c>
      <c r="F29" s="6">
        <v>314.1607995</v>
      </c>
      <c r="G29" s="138">
        <v>1.547753E-2</v>
      </c>
      <c r="H29" s="142"/>
    </row>
    <row r="30" spans="1:8" ht="25.5" x14ac:dyDescent="0.2">
      <c r="A30" s="3">
        <v>24</v>
      </c>
      <c r="B30" s="4" t="s">
        <v>191</v>
      </c>
      <c r="C30" s="4" t="s">
        <v>192</v>
      </c>
      <c r="D30" s="4" t="s">
        <v>1023</v>
      </c>
      <c r="E30" s="5">
        <v>120862</v>
      </c>
      <c r="F30" s="6">
        <v>310.37361600000003</v>
      </c>
      <c r="G30" s="138">
        <v>1.5290949E-2</v>
      </c>
      <c r="H30" s="142"/>
    </row>
    <row r="31" spans="1:8" x14ac:dyDescent="0.2">
      <c r="A31" s="3">
        <v>25</v>
      </c>
      <c r="B31" s="4" t="s">
        <v>44</v>
      </c>
      <c r="C31" s="4" t="s">
        <v>45</v>
      </c>
      <c r="D31" s="4" t="s">
        <v>27</v>
      </c>
      <c r="E31" s="5">
        <v>25282</v>
      </c>
      <c r="F31" s="6">
        <v>308.74378400000001</v>
      </c>
      <c r="G31" s="138">
        <v>1.5210654000000001E-2</v>
      </c>
      <c r="H31" s="142"/>
    </row>
    <row r="32" spans="1:8" ht="25.5" x14ac:dyDescent="0.2">
      <c r="A32" s="3">
        <v>26</v>
      </c>
      <c r="B32" s="4" t="s">
        <v>193</v>
      </c>
      <c r="C32" s="4" t="s">
        <v>194</v>
      </c>
      <c r="D32" s="4" t="s">
        <v>37</v>
      </c>
      <c r="E32" s="5">
        <v>249487</v>
      </c>
      <c r="F32" s="6">
        <v>306.74426649999998</v>
      </c>
      <c r="G32" s="138">
        <v>1.5112145E-2</v>
      </c>
      <c r="H32" s="142"/>
    </row>
    <row r="33" spans="1:8" x14ac:dyDescent="0.2">
      <c r="A33" s="3">
        <v>27</v>
      </c>
      <c r="B33" s="4" t="s">
        <v>197</v>
      </c>
      <c r="C33" s="4" t="s">
        <v>198</v>
      </c>
      <c r="D33" s="4" t="s">
        <v>51</v>
      </c>
      <c r="E33" s="5">
        <v>29640</v>
      </c>
      <c r="F33" s="6">
        <v>304.00265999999999</v>
      </c>
      <c r="G33" s="138">
        <v>1.4977076000000001E-2</v>
      </c>
      <c r="H33" s="142"/>
    </row>
    <row r="34" spans="1:8" x14ac:dyDescent="0.2">
      <c r="A34" s="3">
        <v>28</v>
      </c>
      <c r="B34" s="4" t="s">
        <v>195</v>
      </c>
      <c r="C34" s="4" t="s">
        <v>196</v>
      </c>
      <c r="D34" s="4" t="s">
        <v>24</v>
      </c>
      <c r="E34" s="5">
        <v>159098</v>
      </c>
      <c r="F34" s="6">
        <v>303.71808199999998</v>
      </c>
      <c r="G34" s="138">
        <v>1.4963056000000001E-2</v>
      </c>
      <c r="H34" s="142"/>
    </row>
    <row r="35" spans="1:8" x14ac:dyDescent="0.2">
      <c r="A35" s="3">
        <v>29</v>
      </c>
      <c r="B35" s="4" t="s">
        <v>199</v>
      </c>
      <c r="C35" s="4" t="s">
        <v>200</v>
      </c>
      <c r="D35" s="4" t="s">
        <v>164</v>
      </c>
      <c r="E35" s="5">
        <v>27880</v>
      </c>
      <c r="F35" s="6">
        <v>296.29469999999998</v>
      </c>
      <c r="G35" s="138">
        <v>1.4597334E-2</v>
      </c>
      <c r="H35" s="142"/>
    </row>
    <row r="36" spans="1:8" x14ac:dyDescent="0.2">
      <c r="A36" s="3">
        <v>30</v>
      </c>
      <c r="B36" s="4" t="s">
        <v>201</v>
      </c>
      <c r="C36" s="4" t="s">
        <v>202</v>
      </c>
      <c r="D36" s="4" t="s">
        <v>80</v>
      </c>
      <c r="E36" s="5">
        <v>43018</v>
      </c>
      <c r="F36" s="6">
        <v>295.44762400000002</v>
      </c>
      <c r="G36" s="138">
        <v>1.4555602000000001E-2</v>
      </c>
      <c r="H36" s="142"/>
    </row>
    <row r="37" spans="1:8" x14ac:dyDescent="0.2">
      <c r="A37" s="3">
        <v>31</v>
      </c>
      <c r="B37" s="4" t="s">
        <v>203</v>
      </c>
      <c r="C37" s="4" t="s">
        <v>204</v>
      </c>
      <c r="D37" s="4" t="s">
        <v>80</v>
      </c>
      <c r="E37" s="5">
        <v>50003</v>
      </c>
      <c r="F37" s="6">
        <v>295.06770299999999</v>
      </c>
      <c r="G37" s="138">
        <v>1.4536884E-2</v>
      </c>
      <c r="H37" s="142"/>
    </row>
    <row r="38" spans="1:8" x14ac:dyDescent="0.2">
      <c r="A38" s="3">
        <v>32</v>
      </c>
      <c r="B38" s="4" t="s">
        <v>233</v>
      </c>
      <c r="C38" s="4" t="s">
        <v>234</v>
      </c>
      <c r="D38" s="4" t="s">
        <v>1025</v>
      </c>
      <c r="E38" s="5">
        <v>20147</v>
      </c>
      <c r="F38" s="6">
        <v>294.47862550000002</v>
      </c>
      <c r="G38" s="138">
        <v>1.4507862999999999E-2</v>
      </c>
      <c r="H38" s="142"/>
    </row>
    <row r="39" spans="1:8" x14ac:dyDescent="0.2">
      <c r="A39" s="3">
        <v>33</v>
      </c>
      <c r="B39" s="4" t="s">
        <v>205</v>
      </c>
      <c r="C39" s="4" t="s">
        <v>206</v>
      </c>
      <c r="D39" s="4" t="s">
        <v>207</v>
      </c>
      <c r="E39" s="5">
        <v>64323</v>
      </c>
      <c r="F39" s="6">
        <v>288.97107749999998</v>
      </c>
      <c r="G39" s="138">
        <v>1.4236525999999999E-2</v>
      </c>
      <c r="H39" s="142"/>
    </row>
    <row r="40" spans="1:8" x14ac:dyDescent="0.2">
      <c r="A40" s="3">
        <v>34</v>
      </c>
      <c r="B40" s="4" t="s">
        <v>210</v>
      </c>
      <c r="C40" s="4" t="s">
        <v>211</v>
      </c>
      <c r="D40" s="4" t="s">
        <v>34</v>
      </c>
      <c r="E40" s="5">
        <v>70480</v>
      </c>
      <c r="F40" s="6">
        <v>284.88015999999999</v>
      </c>
      <c r="G40" s="138">
        <v>1.4034982E-2</v>
      </c>
      <c r="H40" s="142"/>
    </row>
    <row r="41" spans="1:8" x14ac:dyDescent="0.2">
      <c r="A41" s="3">
        <v>35</v>
      </c>
      <c r="B41" s="4" t="s">
        <v>74</v>
      </c>
      <c r="C41" s="4" t="s">
        <v>75</v>
      </c>
      <c r="D41" s="4" t="s">
        <v>66</v>
      </c>
      <c r="E41" s="5">
        <v>68767</v>
      </c>
      <c r="F41" s="6">
        <v>281.94470000000001</v>
      </c>
      <c r="G41" s="138">
        <v>1.3890362999999999E-2</v>
      </c>
      <c r="H41" s="142"/>
    </row>
    <row r="42" spans="1:8" x14ac:dyDescent="0.2">
      <c r="A42" s="3">
        <v>36</v>
      </c>
      <c r="B42" s="4" t="s">
        <v>212</v>
      </c>
      <c r="C42" s="4" t="s">
        <v>213</v>
      </c>
      <c r="D42" s="4" t="s">
        <v>1027</v>
      </c>
      <c r="E42" s="5">
        <v>30000</v>
      </c>
      <c r="F42" s="6">
        <v>274.86</v>
      </c>
      <c r="G42" s="138">
        <v>1.3541325999999999E-2</v>
      </c>
      <c r="H42" s="142"/>
    </row>
    <row r="43" spans="1:8" ht="25.5" x14ac:dyDescent="0.2">
      <c r="A43" s="3">
        <v>37</v>
      </c>
      <c r="B43" s="4" t="s">
        <v>217</v>
      </c>
      <c r="C43" s="4" t="s">
        <v>218</v>
      </c>
      <c r="D43" s="4" t="s">
        <v>90</v>
      </c>
      <c r="E43" s="5">
        <v>57162</v>
      </c>
      <c r="F43" s="6">
        <v>260.97311100000002</v>
      </c>
      <c r="G43" s="138">
        <v>1.2857171000000001E-2</v>
      </c>
      <c r="H43" s="142"/>
    </row>
    <row r="44" spans="1:8" x14ac:dyDescent="0.2">
      <c r="A44" s="3">
        <v>38</v>
      </c>
      <c r="B44" s="4" t="s">
        <v>223</v>
      </c>
      <c r="C44" s="4" t="s">
        <v>224</v>
      </c>
      <c r="D44" s="4" t="s">
        <v>66</v>
      </c>
      <c r="E44" s="5">
        <v>25533</v>
      </c>
      <c r="F44" s="6">
        <v>244.72103849999999</v>
      </c>
      <c r="G44" s="138">
        <v>1.2056492E-2</v>
      </c>
      <c r="H44" s="142"/>
    </row>
    <row r="45" spans="1:8" x14ac:dyDescent="0.2">
      <c r="A45" s="3">
        <v>39</v>
      </c>
      <c r="B45" s="4" t="s">
        <v>221</v>
      </c>
      <c r="C45" s="4" t="s">
        <v>222</v>
      </c>
      <c r="D45" s="4" t="s">
        <v>207</v>
      </c>
      <c r="E45" s="5">
        <v>38836</v>
      </c>
      <c r="F45" s="6">
        <v>239.40452199999999</v>
      </c>
      <c r="G45" s="138">
        <v>1.1794567000000001E-2</v>
      </c>
      <c r="H45" s="142"/>
    </row>
    <row r="46" spans="1:8" x14ac:dyDescent="0.2">
      <c r="A46" s="3">
        <v>40</v>
      </c>
      <c r="B46" s="4" t="s">
        <v>225</v>
      </c>
      <c r="C46" s="4" t="s">
        <v>226</v>
      </c>
      <c r="D46" s="4" t="s">
        <v>1028</v>
      </c>
      <c r="E46" s="5">
        <v>41009</v>
      </c>
      <c r="F46" s="6">
        <v>232.23396700000001</v>
      </c>
      <c r="G46" s="138">
        <v>1.1441300999999999E-2</v>
      </c>
      <c r="H46" s="142"/>
    </row>
    <row r="47" spans="1:8" x14ac:dyDescent="0.2">
      <c r="A47" s="3">
        <v>41</v>
      </c>
      <c r="B47" s="4" t="s">
        <v>227</v>
      </c>
      <c r="C47" s="4" t="s">
        <v>228</v>
      </c>
      <c r="D47" s="4" t="s">
        <v>66</v>
      </c>
      <c r="E47" s="5">
        <v>234585</v>
      </c>
      <c r="F47" s="6">
        <v>230.94893250000001</v>
      </c>
      <c r="G47" s="138">
        <v>1.1377992E-2</v>
      </c>
      <c r="H47" s="142"/>
    </row>
    <row r="48" spans="1:8" ht="25.5" x14ac:dyDescent="0.2">
      <c r="A48" s="3">
        <v>42</v>
      </c>
      <c r="B48" s="4" t="s">
        <v>231</v>
      </c>
      <c r="C48" s="4" t="s">
        <v>232</v>
      </c>
      <c r="D48" s="4" t="s">
        <v>51</v>
      </c>
      <c r="E48" s="5">
        <v>10136</v>
      </c>
      <c r="F48" s="6">
        <v>217.300636</v>
      </c>
      <c r="G48" s="138">
        <v>1.0705591E-2</v>
      </c>
      <c r="H48" s="142"/>
    </row>
    <row r="49" spans="1:8" x14ac:dyDescent="0.2">
      <c r="A49" s="3">
        <v>43</v>
      </c>
      <c r="B49" s="4" t="s">
        <v>235</v>
      </c>
      <c r="C49" s="4" t="s">
        <v>236</v>
      </c>
      <c r="D49" s="4" t="s">
        <v>27</v>
      </c>
      <c r="E49" s="5">
        <v>12546</v>
      </c>
      <c r="F49" s="6">
        <v>212.648427</v>
      </c>
      <c r="G49" s="138">
        <v>1.0476394E-2</v>
      </c>
      <c r="H49" s="142"/>
    </row>
    <row r="50" spans="1:8" ht="25.5" x14ac:dyDescent="0.2">
      <c r="A50" s="3">
        <v>44</v>
      </c>
      <c r="B50" s="4" t="s">
        <v>244</v>
      </c>
      <c r="C50" s="4" t="s">
        <v>245</v>
      </c>
      <c r="D50" s="4" t="s">
        <v>1029</v>
      </c>
      <c r="E50" s="5">
        <v>183660</v>
      </c>
      <c r="F50" s="6">
        <v>205.05638999999999</v>
      </c>
      <c r="G50" s="138">
        <v>1.0102363E-2</v>
      </c>
      <c r="H50" s="142"/>
    </row>
    <row r="51" spans="1:8" x14ac:dyDescent="0.2">
      <c r="A51" s="3">
        <v>45</v>
      </c>
      <c r="B51" s="4" t="s">
        <v>239</v>
      </c>
      <c r="C51" s="4" t="s">
        <v>240</v>
      </c>
      <c r="D51" s="4" t="s">
        <v>207</v>
      </c>
      <c r="E51" s="5">
        <v>10907</v>
      </c>
      <c r="F51" s="6">
        <v>203.62823650000001</v>
      </c>
      <c r="G51" s="138">
        <v>1.0032002999999999E-2</v>
      </c>
      <c r="H51" s="142"/>
    </row>
    <row r="52" spans="1:8" x14ac:dyDescent="0.2">
      <c r="A52" s="3">
        <v>46</v>
      </c>
      <c r="B52" s="4" t="s">
        <v>241</v>
      </c>
      <c r="C52" s="4" t="s">
        <v>242</v>
      </c>
      <c r="D52" s="4" t="s">
        <v>243</v>
      </c>
      <c r="E52" s="5">
        <v>40158</v>
      </c>
      <c r="F52" s="6">
        <v>198.862416</v>
      </c>
      <c r="G52" s="138">
        <v>9.7972089999999994E-3</v>
      </c>
      <c r="H52" s="142"/>
    </row>
    <row r="53" spans="1:8" x14ac:dyDescent="0.2">
      <c r="A53" s="3">
        <v>47</v>
      </c>
      <c r="B53" s="4" t="s">
        <v>246</v>
      </c>
      <c r="C53" s="4" t="s">
        <v>247</v>
      </c>
      <c r="D53" s="4" t="s">
        <v>80</v>
      </c>
      <c r="E53" s="5">
        <v>355896</v>
      </c>
      <c r="F53" s="6">
        <v>195.564852</v>
      </c>
      <c r="G53" s="138">
        <v>9.6347499999999992E-3</v>
      </c>
      <c r="H53" s="142"/>
    </row>
    <row r="54" spans="1:8" ht="25.5" x14ac:dyDescent="0.2">
      <c r="A54" s="3">
        <v>48</v>
      </c>
      <c r="B54" s="4" t="s">
        <v>237</v>
      </c>
      <c r="C54" s="4" t="s">
        <v>238</v>
      </c>
      <c r="D54" s="4" t="s">
        <v>1023</v>
      </c>
      <c r="E54" s="5">
        <v>96599</v>
      </c>
      <c r="F54" s="6">
        <v>193.487797</v>
      </c>
      <c r="G54" s="138">
        <v>9.5324209999999993E-3</v>
      </c>
      <c r="H54" s="142"/>
    </row>
    <row r="55" spans="1:8" ht="25.5" x14ac:dyDescent="0.2">
      <c r="A55" s="3">
        <v>49</v>
      </c>
      <c r="B55" s="4" t="s">
        <v>248</v>
      </c>
      <c r="C55" s="4" t="s">
        <v>249</v>
      </c>
      <c r="D55" s="4" t="s">
        <v>153</v>
      </c>
      <c r="E55" s="5">
        <v>44330</v>
      </c>
      <c r="F55" s="6">
        <v>192.50302500000001</v>
      </c>
      <c r="G55" s="138">
        <v>9.4839050000000008E-3</v>
      </c>
      <c r="H55" s="142"/>
    </row>
    <row r="56" spans="1:8" ht="25.5" x14ac:dyDescent="0.2">
      <c r="A56" s="3">
        <v>50</v>
      </c>
      <c r="B56" s="4" t="s">
        <v>252</v>
      </c>
      <c r="C56" s="4" t="s">
        <v>253</v>
      </c>
      <c r="D56" s="4" t="s">
        <v>90</v>
      </c>
      <c r="E56" s="5">
        <v>44258</v>
      </c>
      <c r="F56" s="6">
        <v>186.19340600000001</v>
      </c>
      <c r="G56" s="138">
        <v>9.1730539999999999E-3</v>
      </c>
      <c r="H56" s="142"/>
    </row>
    <row r="57" spans="1:8" x14ac:dyDescent="0.2">
      <c r="A57" s="3">
        <v>51</v>
      </c>
      <c r="B57" s="4" t="s">
        <v>250</v>
      </c>
      <c r="C57" s="4" t="s">
        <v>251</v>
      </c>
      <c r="D57" s="4" t="s">
        <v>164</v>
      </c>
      <c r="E57" s="5">
        <v>13480</v>
      </c>
      <c r="F57" s="6">
        <v>186.01725999999999</v>
      </c>
      <c r="G57" s="138">
        <v>9.1643760000000001E-3</v>
      </c>
      <c r="H57" s="142"/>
    </row>
    <row r="58" spans="1:8" x14ac:dyDescent="0.2">
      <c r="A58" s="3">
        <v>52</v>
      </c>
      <c r="B58" s="4" t="s">
        <v>49</v>
      </c>
      <c r="C58" s="4" t="s">
        <v>50</v>
      </c>
      <c r="D58" s="4" t="s">
        <v>51</v>
      </c>
      <c r="E58" s="5">
        <v>5600</v>
      </c>
      <c r="F58" s="6">
        <v>182.7672</v>
      </c>
      <c r="G58" s="138">
        <v>9.0042579999999994E-3</v>
      </c>
      <c r="H58" s="142"/>
    </row>
    <row r="59" spans="1:8" ht="25.5" x14ac:dyDescent="0.2">
      <c r="A59" s="3">
        <v>53</v>
      </c>
      <c r="B59" s="4" t="s">
        <v>255</v>
      </c>
      <c r="C59" s="4" t="s">
        <v>256</v>
      </c>
      <c r="D59" s="4" t="s">
        <v>90</v>
      </c>
      <c r="E59" s="5">
        <v>46339</v>
      </c>
      <c r="F59" s="6">
        <v>178.19662450000001</v>
      </c>
      <c r="G59" s="138">
        <v>8.7790820000000006E-3</v>
      </c>
      <c r="H59" s="142"/>
    </row>
    <row r="60" spans="1:8" x14ac:dyDescent="0.2">
      <c r="A60" s="3">
        <v>54</v>
      </c>
      <c r="B60" s="4" t="s">
        <v>257</v>
      </c>
      <c r="C60" s="4" t="s">
        <v>258</v>
      </c>
      <c r="D60" s="4" t="s">
        <v>173</v>
      </c>
      <c r="E60" s="5">
        <v>49282</v>
      </c>
      <c r="F60" s="6">
        <v>172.48699999999999</v>
      </c>
      <c r="G60" s="138">
        <v>8.4977909999999993E-3</v>
      </c>
      <c r="H60" s="142"/>
    </row>
    <row r="61" spans="1:8" x14ac:dyDescent="0.2">
      <c r="A61" s="3">
        <v>55</v>
      </c>
      <c r="B61" s="4" t="s">
        <v>259</v>
      </c>
      <c r="C61" s="4" t="s">
        <v>260</v>
      </c>
      <c r="D61" s="4" t="s">
        <v>207</v>
      </c>
      <c r="E61" s="5">
        <v>32168</v>
      </c>
      <c r="F61" s="6">
        <v>169.92746</v>
      </c>
      <c r="G61" s="138">
        <v>8.371692E-3</v>
      </c>
      <c r="H61" s="142"/>
    </row>
    <row r="62" spans="1:8" x14ac:dyDescent="0.2">
      <c r="A62" s="3">
        <v>56</v>
      </c>
      <c r="B62" s="4" t="s">
        <v>263</v>
      </c>
      <c r="C62" s="4" t="s">
        <v>264</v>
      </c>
      <c r="D62" s="4" t="s">
        <v>34</v>
      </c>
      <c r="E62" s="5">
        <v>142112</v>
      </c>
      <c r="F62" s="6">
        <v>164.636752</v>
      </c>
      <c r="G62" s="138">
        <v>8.1110379999999992E-3</v>
      </c>
      <c r="H62" s="142"/>
    </row>
    <row r="63" spans="1:8" x14ac:dyDescent="0.2">
      <c r="A63" s="3">
        <v>57</v>
      </c>
      <c r="B63" s="4" t="s">
        <v>261</v>
      </c>
      <c r="C63" s="4" t="s">
        <v>262</v>
      </c>
      <c r="D63" s="4" t="s">
        <v>51</v>
      </c>
      <c r="E63" s="5">
        <v>73734</v>
      </c>
      <c r="F63" s="6">
        <v>163.83694800000001</v>
      </c>
      <c r="G63" s="138">
        <v>8.0716350000000006E-3</v>
      </c>
      <c r="H63" s="142"/>
    </row>
    <row r="64" spans="1:8" x14ac:dyDescent="0.2">
      <c r="A64" s="3">
        <v>58</v>
      </c>
      <c r="B64" s="4" t="s">
        <v>265</v>
      </c>
      <c r="C64" s="4" t="s">
        <v>266</v>
      </c>
      <c r="D64" s="4" t="s">
        <v>59</v>
      </c>
      <c r="E64" s="5">
        <v>15128</v>
      </c>
      <c r="F64" s="6">
        <v>156.46134000000001</v>
      </c>
      <c r="G64" s="138">
        <v>7.7082660000000001E-3</v>
      </c>
      <c r="H64" s="142"/>
    </row>
    <row r="65" spans="1:8" x14ac:dyDescent="0.2">
      <c r="A65" s="3">
        <v>59</v>
      </c>
      <c r="B65" s="4" t="s">
        <v>267</v>
      </c>
      <c r="C65" s="4" t="s">
        <v>268</v>
      </c>
      <c r="D65" s="4" t="s">
        <v>1024</v>
      </c>
      <c r="E65" s="5">
        <v>9356</v>
      </c>
      <c r="F65" s="6">
        <v>155.18329399999999</v>
      </c>
      <c r="G65" s="138">
        <v>7.6453019999999997E-3</v>
      </c>
      <c r="H65" s="142"/>
    </row>
    <row r="66" spans="1:8" x14ac:dyDescent="0.2">
      <c r="A66" s="3">
        <v>60</v>
      </c>
      <c r="B66" s="4" t="s">
        <v>269</v>
      </c>
      <c r="C66" s="4" t="s">
        <v>270</v>
      </c>
      <c r="D66" s="4" t="s">
        <v>1028</v>
      </c>
      <c r="E66" s="5">
        <v>122464</v>
      </c>
      <c r="F66" s="6">
        <v>141.813312</v>
      </c>
      <c r="G66" s="138">
        <v>6.986613E-3</v>
      </c>
      <c r="H66" s="142"/>
    </row>
    <row r="67" spans="1:8" x14ac:dyDescent="0.2">
      <c r="A67" s="3">
        <v>61</v>
      </c>
      <c r="B67" s="4" t="s">
        <v>271</v>
      </c>
      <c r="C67" s="4" t="s">
        <v>272</v>
      </c>
      <c r="D67" s="4" t="s">
        <v>1028</v>
      </c>
      <c r="E67" s="5">
        <v>92831</v>
      </c>
      <c r="F67" s="6">
        <v>134.883443</v>
      </c>
      <c r="G67" s="138">
        <v>6.645204E-3</v>
      </c>
      <c r="H67" s="142"/>
    </row>
    <row r="68" spans="1:8" x14ac:dyDescent="0.2">
      <c r="A68" s="3">
        <v>62</v>
      </c>
      <c r="B68" s="4" t="s">
        <v>273</v>
      </c>
      <c r="C68" s="4" t="s">
        <v>274</v>
      </c>
      <c r="D68" s="4" t="s">
        <v>173</v>
      </c>
      <c r="E68" s="5">
        <v>22382</v>
      </c>
      <c r="F68" s="6">
        <v>134.112944</v>
      </c>
      <c r="G68" s="138">
        <v>6.607244E-3</v>
      </c>
      <c r="H68" s="142"/>
    </row>
    <row r="69" spans="1:8" x14ac:dyDescent="0.2">
      <c r="A69" s="3">
        <v>63</v>
      </c>
      <c r="B69" s="4" t="s">
        <v>275</v>
      </c>
      <c r="C69" s="4" t="s">
        <v>276</v>
      </c>
      <c r="D69" s="4" t="s">
        <v>335</v>
      </c>
      <c r="E69" s="5">
        <v>10640</v>
      </c>
      <c r="F69" s="6">
        <v>131.52104</v>
      </c>
      <c r="G69" s="138">
        <v>6.4795510000000001E-3</v>
      </c>
      <c r="H69" s="142"/>
    </row>
    <row r="70" spans="1:8" x14ac:dyDescent="0.2">
      <c r="A70" s="3">
        <v>64</v>
      </c>
      <c r="B70" s="4" t="s">
        <v>277</v>
      </c>
      <c r="C70" s="4" t="s">
        <v>278</v>
      </c>
      <c r="D70" s="4" t="s">
        <v>279</v>
      </c>
      <c r="E70" s="5">
        <v>54097</v>
      </c>
      <c r="F70" s="6">
        <v>125.396846</v>
      </c>
      <c r="G70" s="138">
        <v>6.1778349999999996E-3</v>
      </c>
      <c r="H70" s="142"/>
    </row>
    <row r="71" spans="1:8" x14ac:dyDescent="0.2">
      <c r="A71" s="3">
        <v>65</v>
      </c>
      <c r="B71" s="4" t="s">
        <v>280</v>
      </c>
      <c r="C71" s="4" t="s">
        <v>281</v>
      </c>
      <c r="D71" s="4" t="s">
        <v>24</v>
      </c>
      <c r="E71" s="5">
        <v>135178</v>
      </c>
      <c r="F71" s="6">
        <v>123.01197999999999</v>
      </c>
      <c r="G71" s="138">
        <v>6.0603410000000003E-3</v>
      </c>
      <c r="H71" s="142"/>
    </row>
    <row r="72" spans="1:8" x14ac:dyDescent="0.2">
      <c r="A72" s="3">
        <v>66</v>
      </c>
      <c r="B72" s="4" t="s">
        <v>282</v>
      </c>
      <c r="C72" s="4" t="s">
        <v>283</v>
      </c>
      <c r="D72" s="4" t="s">
        <v>207</v>
      </c>
      <c r="E72" s="5">
        <v>2229</v>
      </c>
      <c r="F72" s="6">
        <v>120.44624399999999</v>
      </c>
      <c r="G72" s="138">
        <v>5.9339370000000002E-3</v>
      </c>
      <c r="H72" s="142"/>
    </row>
    <row r="73" spans="1:8" x14ac:dyDescent="0.2">
      <c r="A73" s="3">
        <v>67</v>
      </c>
      <c r="B73" s="4" t="s">
        <v>296</v>
      </c>
      <c r="C73" s="4" t="s">
        <v>297</v>
      </c>
      <c r="D73" s="4" t="s">
        <v>27</v>
      </c>
      <c r="E73" s="5">
        <v>9729</v>
      </c>
      <c r="F73" s="6">
        <v>119.044044</v>
      </c>
      <c r="G73" s="138">
        <v>5.8648559999999999E-3</v>
      </c>
      <c r="H73" s="142"/>
    </row>
    <row r="74" spans="1:8" x14ac:dyDescent="0.2">
      <c r="A74" s="3">
        <v>68</v>
      </c>
      <c r="B74" s="4" t="s">
        <v>284</v>
      </c>
      <c r="C74" s="4" t="s">
        <v>285</v>
      </c>
      <c r="D74" s="4" t="s">
        <v>164</v>
      </c>
      <c r="E74" s="5">
        <v>21071</v>
      </c>
      <c r="F74" s="6">
        <v>101.1513355</v>
      </c>
      <c r="G74" s="138">
        <v>4.9833489999999998E-3</v>
      </c>
      <c r="H74" s="142"/>
    </row>
    <row r="75" spans="1:8" x14ac:dyDescent="0.2">
      <c r="A75" s="3">
        <v>69</v>
      </c>
      <c r="B75" s="4" t="s">
        <v>286</v>
      </c>
      <c r="C75" s="4" t="s">
        <v>287</v>
      </c>
      <c r="D75" s="4" t="s">
        <v>207</v>
      </c>
      <c r="E75" s="5">
        <v>26441</v>
      </c>
      <c r="F75" s="6">
        <v>95.465230500000004</v>
      </c>
      <c r="G75" s="138">
        <v>4.7032159999999996E-3</v>
      </c>
      <c r="H75" s="142"/>
    </row>
    <row r="76" spans="1:8" x14ac:dyDescent="0.2">
      <c r="A76" s="3">
        <v>70</v>
      </c>
      <c r="B76" s="4" t="s">
        <v>288</v>
      </c>
      <c r="C76" s="4" t="s">
        <v>289</v>
      </c>
      <c r="D76" s="4" t="s">
        <v>153</v>
      </c>
      <c r="E76" s="5">
        <v>6090</v>
      </c>
      <c r="F76" s="6">
        <v>85.013355000000004</v>
      </c>
      <c r="G76" s="138">
        <v>4.1882910000000002E-3</v>
      </c>
      <c r="H76" s="142"/>
    </row>
    <row r="77" spans="1:8" ht="25.5" x14ac:dyDescent="0.2">
      <c r="A77" s="3">
        <v>71</v>
      </c>
      <c r="B77" s="4" t="s">
        <v>70</v>
      </c>
      <c r="C77" s="4" t="s">
        <v>71</v>
      </c>
      <c r="D77" s="4" t="s">
        <v>37</v>
      </c>
      <c r="E77" s="5">
        <v>11635</v>
      </c>
      <c r="F77" s="6">
        <v>83.777817499999998</v>
      </c>
      <c r="G77" s="138">
        <v>4.1274199999999997E-3</v>
      </c>
      <c r="H77" s="142"/>
    </row>
    <row r="78" spans="1:8" x14ac:dyDescent="0.2">
      <c r="A78" s="3">
        <v>72</v>
      </c>
      <c r="B78" s="4" t="s">
        <v>64</v>
      </c>
      <c r="C78" s="4" t="s">
        <v>65</v>
      </c>
      <c r="D78" s="4" t="s">
        <v>66</v>
      </c>
      <c r="E78" s="5">
        <v>44443</v>
      </c>
      <c r="F78" s="6">
        <v>72.308761000000004</v>
      </c>
      <c r="G78" s="138">
        <v>3.5623830000000001E-3</v>
      </c>
      <c r="H78" s="142"/>
    </row>
    <row r="79" spans="1:8" x14ac:dyDescent="0.2">
      <c r="A79" s="3">
        <v>73</v>
      </c>
      <c r="B79" s="4" t="s">
        <v>290</v>
      </c>
      <c r="C79" s="4" t="s">
        <v>291</v>
      </c>
      <c r="D79" s="4" t="s">
        <v>153</v>
      </c>
      <c r="E79" s="5">
        <v>4038</v>
      </c>
      <c r="F79" s="6">
        <v>24.730730999999999</v>
      </c>
      <c r="G79" s="138">
        <v>1.2183910000000001E-3</v>
      </c>
      <c r="H79" s="142"/>
    </row>
    <row r="80" spans="1:8" x14ac:dyDescent="0.2">
      <c r="A80" s="3">
        <v>74</v>
      </c>
      <c r="B80" s="4" t="s">
        <v>292</v>
      </c>
      <c r="C80" s="4" t="s">
        <v>293</v>
      </c>
      <c r="D80" s="4" t="s">
        <v>24</v>
      </c>
      <c r="E80" s="5">
        <v>36797</v>
      </c>
      <c r="F80" s="6">
        <v>22.887733999999998</v>
      </c>
      <c r="G80" s="138">
        <v>1.1275930000000001E-3</v>
      </c>
      <c r="H80" s="142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19294.262414500001</v>
      </c>
      <c r="G81" s="139">
        <v>0.95055628800000003</v>
      </c>
      <c r="H81" s="142"/>
    </row>
    <row r="82" spans="1:8" x14ac:dyDescent="0.2">
      <c r="A82" s="1"/>
      <c r="B82" s="1"/>
      <c r="C82" s="11"/>
      <c r="D82" s="1"/>
      <c r="E82" s="1"/>
      <c r="F82" s="12"/>
      <c r="G82" s="140"/>
      <c r="H82" s="142"/>
    </row>
    <row r="83" spans="1:8" x14ac:dyDescent="0.2">
      <c r="A83" s="1"/>
      <c r="B83" s="1"/>
      <c r="C83" s="2" t="s">
        <v>107</v>
      </c>
      <c r="D83" s="1"/>
      <c r="E83" s="1"/>
      <c r="F83" s="1"/>
      <c r="G83" s="137"/>
      <c r="H83" s="142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1">
        <v>0</v>
      </c>
      <c r="H84" s="142"/>
    </row>
    <row r="85" spans="1:8" x14ac:dyDescent="0.2">
      <c r="A85" s="1"/>
      <c r="B85" s="1"/>
      <c r="C85" s="11"/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108</v>
      </c>
      <c r="D86" s="1"/>
      <c r="E86" s="1"/>
      <c r="F86" s="1"/>
      <c r="G86" s="137"/>
      <c r="H86" s="142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1">
        <v>0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109</v>
      </c>
      <c r="D89" s="1"/>
      <c r="E89" s="1"/>
      <c r="F89" s="1"/>
      <c r="G89" s="137"/>
      <c r="H89" s="142"/>
    </row>
    <row r="90" spans="1:8" ht="25.5" x14ac:dyDescent="0.2">
      <c r="A90" s="3">
        <v>1</v>
      </c>
      <c r="B90" s="4" t="s">
        <v>294</v>
      </c>
      <c r="C90" s="4" t="s">
        <v>997</v>
      </c>
      <c r="D90" s="4" t="s">
        <v>66</v>
      </c>
      <c r="E90" s="5">
        <v>79149</v>
      </c>
      <c r="F90" s="6">
        <v>29.4038535</v>
      </c>
      <c r="G90" s="138">
        <v>1.448618E-3</v>
      </c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9">
        <v>29.4038535</v>
      </c>
      <c r="G91" s="139">
        <v>1.448618E-3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111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112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113</v>
      </c>
      <c r="D99" s="1"/>
      <c r="E99" s="1"/>
      <c r="F99" s="9">
        <v>19323.666268000001</v>
      </c>
      <c r="G99" s="139">
        <v>0.95200490599999998</v>
      </c>
      <c r="H99" s="142"/>
    </row>
    <row r="100" spans="1:8" x14ac:dyDescent="0.2">
      <c r="A100" s="1"/>
      <c r="B100" s="1"/>
      <c r="C100" s="11"/>
      <c r="D100" s="1"/>
      <c r="E100" s="1"/>
      <c r="F100" s="12"/>
      <c r="G100" s="140"/>
      <c r="H100" s="142"/>
    </row>
    <row r="101" spans="1:8" x14ac:dyDescent="0.2">
      <c r="A101" s="1"/>
      <c r="B101" s="1"/>
      <c r="C101" s="2" t="s">
        <v>114</v>
      </c>
      <c r="D101" s="1"/>
      <c r="E101" s="1"/>
      <c r="F101" s="12"/>
      <c r="G101" s="140"/>
      <c r="H101" s="142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115</v>
      </c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1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116</v>
      </c>
      <c r="D108" s="1"/>
      <c r="E108" s="1"/>
      <c r="F108" s="1"/>
      <c r="G108" s="137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117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118</v>
      </c>
      <c r="D114" s="1"/>
      <c r="E114" s="1"/>
      <c r="F114" s="9">
        <v>0</v>
      </c>
      <c r="G114" s="139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120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1"/>
      <c r="C120" s="2" t="s">
        <v>121</v>
      </c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1">
        <v>0</v>
      </c>
      <c r="H121" s="142"/>
    </row>
    <row r="122" spans="1:8" x14ac:dyDescent="0.2">
      <c r="A122" s="1"/>
      <c r="B122" s="1"/>
      <c r="C122" s="11"/>
      <c r="D122" s="1"/>
      <c r="E122" s="1"/>
      <c r="F122" s="12"/>
      <c r="G122" s="140"/>
      <c r="H122" s="142"/>
    </row>
    <row r="123" spans="1:8" x14ac:dyDescent="0.2">
      <c r="A123" s="1"/>
      <c r="B123" s="1"/>
      <c r="C123" s="2" t="s">
        <v>122</v>
      </c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1">
        <v>0</v>
      </c>
      <c r="H124" s="142"/>
    </row>
    <row r="125" spans="1:8" x14ac:dyDescent="0.2">
      <c r="A125" s="1"/>
      <c r="B125" s="1"/>
      <c r="C125" s="11"/>
      <c r="D125" s="1"/>
      <c r="E125" s="1"/>
      <c r="F125" s="12"/>
      <c r="G125" s="140"/>
      <c r="H125" s="142"/>
    </row>
    <row r="126" spans="1:8" x14ac:dyDescent="0.2">
      <c r="A126" s="1"/>
      <c r="B126" s="1"/>
      <c r="C126" s="2" t="s">
        <v>123</v>
      </c>
      <c r="D126" s="1"/>
      <c r="E126" s="1"/>
      <c r="F126" s="12"/>
      <c r="G126" s="140"/>
      <c r="H126" s="142"/>
    </row>
    <row r="127" spans="1:8" x14ac:dyDescent="0.2">
      <c r="A127" s="3">
        <v>1</v>
      </c>
      <c r="B127" s="4"/>
      <c r="C127" s="4" t="s">
        <v>124</v>
      </c>
      <c r="D127" s="4"/>
      <c r="E127" s="8"/>
      <c r="F127" s="6">
        <v>850.08298290000005</v>
      </c>
      <c r="G127" s="138">
        <v>4.1880414999999997E-2</v>
      </c>
      <c r="H127" s="152">
        <v>3.3197683930276081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850.08298290000005</v>
      </c>
      <c r="G128" s="139">
        <v>4.1880414999999997E-2</v>
      </c>
      <c r="H128" s="142"/>
    </row>
    <row r="129" spans="1:8" x14ac:dyDescent="0.2">
      <c r="A129" s="1"/>
      <c r="B129" s="1"/>
      <c r="C129" s="11"/>
      <c r="D129" s="1"/>
      <c r="E129" s="1"/>
      <c r="F129" s="12"/>
      <c r="G129" s="140"/>
      <c r="H129" s="142"/>
    </row>
    <row r="130" spans="1:8" x14ac:dyDescent="0.2">
      <c r="A130" s="1"/>
      <c r="B130" s="1"/>
      <c r="C130" s="2" t="s">
        <v>125</v>
      </c>
      <c r="D130" s="1"/>
      <c r="E130" s="1"/>
      <c r="F130" s="9">
        <v>850.08298290000005</v>
      </c>
      <c r="G130" s="139">
        <v>4.1880414999999997E-2</v>
      </c>
      <c r="H130" s="142"/>
    </row>
    <row r="131" spans="1:8" x14ac:dyDescent="0.2">
      <c r="A131" s="1"/>
      <c r="B131" s="1"/>
      <c r="C131" s="12"/>
      <c r="D131" s="1"/>
      <c r="E131" s="1"/>
      <c r="F131" s="1"/>
      <c r="G131" s="137"/>
      <c r="H131" s="142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1">
        <v>0</v>
      </c>
      <c r="H134" s="142"/>
    </row>
    <row r="135" spans="1:8" x14ac:dyDescent="0.2">
      <c r="A135" s="1"/>
      <c r="B135" s="1"/>
      <c r="C135" s="11"/>
      <c r="D135" s="1"/>
      <c r="E135" s="1"/>
      <c r="F135" s="12"/>
      <c r="G135" s="140"/>
      <c r="H135" s="142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37"/>
      <c r="H136" s="142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1">
        <v>0</v>
      </c>
      <c r="H138" s="142"/>
    </row>
    <row r="139" spans="1:8" x14ac:dyDescent="0.2">
      <c r="A139" s="1"/>
      <c r="B139" s="1"/>
      <c r="C139" s="11"/>
      <c r="D139" s="1"/>
      <c r="E139" s="1"/>
      <c r="F139" s="12"/>
      <c r="G139" s="140"/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40"/>
      <c r="H141" s="142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1">
        <v>0</v>
      </c>
      <c r="H142" s="142"/>
    </row>
    <row r="143" spans="1:8" x14ac:dyDescent="0.2">
      <c r="A143" s="1"/>
      <c r="B143" s="1"/>
      <c r="C143" s="11"/>
      <c r="D143" s="1"/>
      <c r="E143" s="1"/>
      <c r="F143" s="12"/>
      <c r="G143" s="140"/>
      <c r="H143" s="142"/>
    </row>
    <row r="144" spans="1:8" x14ac:dyDescent="0.2">
      <c r="A144" s="1"/>
      <c r="B144" s="4"/>
      <c r="C144" s="4"/>
      <c r="D144" s="2"/>
      <c r="E144" s="1"/>
      <c r="F144" s="4"/>
      <c r="G144" s="143"/>
      <c r="H144" s="142"/>
    </row>
    <row r="145" spans="1:8" x14ac:dyDescent="0.2">
      <c r="A145" s="8"/>
      <c r="B145" s="4"/>
      <c r="C145" s="4" t="s">
        <v>131</v>
      </c>
      <c r="D145" s="4"/>
      <c r="E145" s="8"/>
      <c r="F145" s="6">
        <v>124.11496431</v>
      </c>
      <c r="G145" s="138">
        <v>6.1146810000000003E-3</v>
      </c>
      <c r="H145" s="142"/>
    </row>
    <row r="146" spans="1:8" x14ac:dyDescent="0.2">
      <c r="A146" s="11"/>
      <c r="B146" s="11"/>
      <c r="C146" s="2" t="s">
        <v>132</v>
      </c>
      <c r="D146" s="15"/>
      <c r="E146" s="15"/>
      <c r="F146" s="9">
        <v>20297.86421521</v>
      </c>
      <c r="G146" s="139">
        <v>1.0000000019999999</v>
      </c>
      <c r="H146" s="142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205" t="s">
        <v>106</v>
      </c>
      <c r="C148" s="205"/>
      <c r="D148" s="205"/>
      <c r="E148" s="205"/>
      <c r="F148" s="205"/>
      <c r="G148" s="20"/>
    </row>
    <row r="149" spans="1:8" ht="14.1" customHeight="1" x14ac:dyDescent="0.2">
      <c r="A149" s="18"/>
      <c r="B149" s="205" t="s">
        <v>106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203" t="s">
        <v>134</v>
      </c>
      <c r="C151" s="204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99" t="s">
        <v>135</v>
      </c>
      <c r="C152" s="200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99" t="s">
        <v>137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138</v>
      </c>
      <c r="C154" s="200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x14ac:dyDescent="0.2">
      <c r="A157" s="22"/>
      <c r="B157" s="4" t="s">
        <v>144</v>
      </c>
      <c r="C157" s="24">
        <v>14.67</v>
      </c>
      <c r="D157" s="24">
        <v>15.7582</v>
      </c>
      <c r="E157" s="22"/>
      <c r="F157" s="19"/>
      <c r="G157" s="25"/>
    </row>
    <row r="158" spans="1:8" x14ac:dyDescent="0.2">
      <c r="A158" s="22"/>
      <c r="B158" s="4" t="s">
        <v>1019</v>
      </c>
      <c r="C158" s="24">
        <v>14.6699</v>
      </c>
      <c r="D158" s="24">
        <v>15.758100000000001</v>
      </c>
      <c r="E158" s="22"/>
      <c r="F158" s="19"/>
      <c r="G158" s="25"/>
    </row>
    <row r="159" spans="1:8" x14ac:dyDescent="0.2">
      <c r="A159" s="22"/>
      <c r="B159" s="4" t="s">
        <v>145</v>
      </c>
      <c r="C159" s="24">
        <v>14.1693</v>
      </c>
      <c r="D159" s="24">
        <v>15.212199999999999</v>
      </c>
      <c r="E159" s="22"/>
      <c r="F159" s="19"/>
      <c r="G159" s="25"/>
    </row>
    <row r="160" spans="1:8" x14ac:dyDescent="0.2">
      <c r="A160" s="22"/>
      <c r="B160" s="4" t="s">
        <v>1020</v>
      </c>
      <c r="C160" s="24">
        <v>14.1693</v>
      </c>
      <c r="D160" s="24">
        <v>15.212199999999999</v>
      </c>
      <c r="E160" s="22"/>
      <c r="F160" s="19"/>
      <c r="G160" s="25"/>
    </row>
    <row r="161" spans="1:7" ht="14.1" customHeight="1" x14ac:dyDescent="0.2">
      <c r="A161" s="22"/>
      <c r="B161" s="22"/>
      <c r="C161" s="22"/>
      <c r="D161" s="22"/>
      <c r="E161" s="22"/>
      <c r="F161" s="22"/>
      <c r="G161" s="22"/>
    </row>
    <row r="162" spans="1:7" ht="17.100000000000001" customHeight="1" x14ac:dyDescent="0.2">
      <c r="A162" s="22"/>
      <c r="B162" s="199" t="s">
        <v>1021</v>
      </c>
      <c r="C162" s="200"/>
      <c r="D162" s="2" t="s">
        <v>136</v>
      </c>
      <c r="E162" s="22"/>
      <c r="F162" s="22"/>
      <c r="G162" s="22"/>
    </row>
    <row r="163" spans="1:7" ht="18" customHeight="1" x14ac:dyDescent="0.2">
      <c r="A163" s="22"/>
      <c r="B163" s="26"/>
      <c r="C163" s="26"/>
      <c r="D163" s="27"/>
      <c r="E163" s="22"/>
      <c r="F163" s="22"/>
      <c r="G163" s="22"/>
    </row>
    <row r="164" spans="1:7" s="125" customFormat="1" x14ac:dyDescent="0.2">
      <c r="B164" s="201" t="s">
        <v>825</v>
      </c>
      <c r="C164" s="201"/>
      <c r="D164" s="201"/>
      <c r="E164" s="201"/>
      <c r="F164" s="201"/>
    </row>
    <row r="165" spans="1:7" ht="14.1" customHeight="1" x14ac:dyDescent="0.2">
      <c r="A165" s="22"/>
      <c r="B165" s="19"/>
      <c r="C165" s="19"/>
      <c r="D165" s="22"/>
      <c r="E165" s="22"/>
      <c r="F165" s="22"/>
      <c r="G165" s="22"/>
    </row>
    <row r="166" spans="1:7" ht="29.1" customHeight="1" x14ac:dyDescent="0.2">
      <c r="A166" s="22"/>
      <c r="B166" s="199" t="s">
        <v>146</v>
      </c>
      <c r="C166" s="200"/>
      <c r="D166" s="2" t="s">
        <v>136</v>
      </c>
      <c r="E166" s="22"/>
      <c r="F166" s="22"/>
      <c r="G166" s="22"/>
    </row>
    <row r="167" spans="1:7" ht="29.1" customHeight="1" x14ac:dyDescent="0.2">
      <c r="A167" s="22"/>
      <c r="B167" s="199" t="s">
        <v>147</v>
      </c>
      <c r="C167" s="200"/>
      <c r="D167" s="2" t="s">
        <v>136</v>
      </c>
      <c r="E167" s="22"/>
      <c r="F167" s="22"/>
      <c r="G167" s="22"/>
    </row>
    <row r="168" spans="1:7" ht="17.100000000000001" customHeight="1" x14ac:dyDescent="0.2">
      <c r="A168" s="22"/>
      <c r="B168" s="199" t="s">
        <v>148</v>
      </c>
      <c r="C168" s="200"/>
      <c r="D168" s="28">
        <v>0.48301117878379429</v>
      </c>
      <c r="E168" s="22"/>
      <c r="F168" s="19"/>
      <c r="G168" s="25"/>
    </row>
    <row r="169" spans="1:7" ht="17.100000000000001" customHeight="1" x14ac:dyDescent="0.2">
      <c r="A169" s="22"/>
      <c r="B169" s="199" t="s">
        <v>149</v>
      </c>
      <c r="C169" s="200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7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298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31951</v>
      </c>
      <c r="F7" s="6">
        <v>438.5754015</v>
      </c>
      <c r="G7" s="138">
        <v>3.2323715000000003E-2</v>
      </c>
      <c r="H7" s="142"/>
    </row>
    <row r="8" spans="1:14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10290</v>
      </c>
      <c r="F8" s="6">
        <v>379.160775</v>
      </c>
      <c r="G8" s="138">
        <v>2.7944760999999999E-2</v>
      </c>
      <c r="H8" s="142"/>
    </row>
    <row r="9" spans="1:14" x14ac:dyDescent="0.2">
      <c r="A9" s="3">
        <v>3</v>
      </c>
      <c r="B9" s="4" t="s">
        <v>154</v>
      </c>
      <c r="C9" s="4" t="s">
        <v>155</v>
      </c>
      <c r="D9" s="4" t="s">
        <v>27</v>
      </c>
      <c r="E9" s="5">
        <v>38777</v>
      </c>
      <c r="F9" s="6">
        <v>359.50156700000002</v>
      </c>
      <c r="G9" s="138">
        <v>2.6495846E-2</v>
      </c>
      <c r="H9" s="142"/>
    </row>
    <row r="10" spans="1:14" x14ac:dyDescent="0.2">
      <c r="A10" s="3">
        <v>4</v>
      </c>
      <c r="B10" s="4" t="s">
        <v>156</v>
      </c>
      <c r="C10" s="4" t="s">
        <v>157</v>
      </c>
      <c r="D10" s="4" t="s">
        <v>1024</v>
      </c>
      <c r="E10" s="5">
        <v>24353</v>
      </c>
      <c r="F10" s="6">
        <v>322.12930749999998</v>
      </c>
      <c r="G10" s="138">
        <v>2.3741450000000001E-2</v>
      </c>
      <c r="H10" s="142"/>
    </row>
    <row r="11" spans="1:14" x14ac:dyDescent="0.2">
      <c r="A11" s="3">
        <v>5</v>
      </c>
      <c r="B11" s="4" t="s">
        <v>158</v>
      </c>
      <c r="C11" s="4" t="s">
        <v>159</v>
      </c>
      <c r="D11" s="4" t="s">
        <v>80</v>
      </c>
      <c r="E11" s="5">
        <v>261586</v>
      </c>
      <c r="F11" s="6">
        <v>316.51906000000002</v>
      </c>
      <c r="G11" s="138">
        <v>2.3327964999999999E-2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38591</v>
      </c>
      <c r="F12" s="6">
        <v>307.60886099999999</v>
      </c>
      <c r="G12" s="138">
        <v>2.2671269000000001E-2</v>
      </c>
      <c r="H12" s="142"/>
    </row>
    <row r="13" spans="1:14" x14ac:dyDescent="0.2">
      <c r="A13" s="3">
        <v>7</v>
      </c>
      <c r="B13" s="4" t="s">
        <v>299</v>
      </c>
      <c r="C13" s="4" t="s">
        <v>300</v>
      </c>
      <c r="D13" s="4" t="s">
        <v>66</v>
      </c>
      <c r="E13" s="5">
        <v>15135</v>
      </c>
      <c r="F13" s="6">
        <v>282.51747749999998</v>
      </c>
      <c r="G13" s="138">
        <v>2.0821994E-2</v>
      </c>
      <c r="H13" s="142"/>
    </row>
    <row r="14" spans="1:14" x14ac:dyDescent="0.2">
      <c r="A14" s="3">
        <v>8</v>
      </c>
      <c r="B14" s="4" t="s">
        <v>162</v>
      </c>
      <c r="C14" s="4" t="s">
        <v>163</v>
      </c>
      <c r="D14" s="4" t="s">
        <v>164</v>
      </c>
      <c r="E14" s="5">
        <v>81496</v>
      </c>
      <c r="F14" s="6">
        <v>278.51258000000001</v>
      </c>
      <c r="G14" s="138">
        <v>2.0526827000000001E-2</v>
      </c>
      <c r="H14" s="142"/>
    </row>
    <row r="15" spans="1:14" x14ac:dyDescent="0.2">
      <c r="A15" s="3">
        <v>9</v>
      </c>
      <c r="B15" s="4" t="s">
        <v>52</v>
      </c>
      <c r="C15" s="4" t="s">
        <v>53</v>
      </c>
      <c r="D15" s="4" t="s">
        <v>51</v>
      </c>
      <c r="E15" s="5">
        <v>89318</v>
      </c>
      <c r="F15" s="6">
        <v>276.57318700000002</v>
      </c>
      <c r="G15" s="138">
        <v>2.0383890000000002E-2</v>
      </c>
      <c r="H15" s="142"/>
    </row>
    <row r="16" spans="1:14" ht="15" x14ac:dyDescent="0.2">
      <c r="A16" s="3">
        <v>10</v>
      </c>
      <c r="B16" s="4" t="s">
        <v>208</v>
      </c>
      <c r="C16" s="4" t="s">
        <v>209</v>
      </c>
      <c r="D16" s="4" t="s">
        <v>153</v>
      </c>
      <c r="E16" s="5">
        <v>18450</v>
      </c>
      <c r="F16" s="6">
        <v>267.75562500000001</v>
      </c>
      <c r="G16" s="138">
        <v>1.9734022E-2</v>
      </c>
      <c r="H16" s="142"/>
      <c r="J16" s="163" t="s">
        <v>1033</v>
      </c>
    </row>
    <row r="17" spans="1:8" x14ac:dyDescent="0.2">
      <c r="A17" s="3">
        <v>11</v>
      </c>
      <c r="B17" s="4" t="s">
        <v>165</v>
      </c>
      <c r="C17" s="4" t="s">
        <v>166</v>
      </c>
      <c r="D17" s="4" t="s">
        <v>51</v>
      </c>
      <c r="E17" s="5">
        <v>54740</v>
      </c>
      <c r="F17" s="6">
        <v>258.72861</v>
      </c>
      <c r="G17" s="138">
        <v>1.9068715999999999E-2</v>
      </c>
      <c r="H17" s="142"/>
    </row>
    <row r="18" spans="1:8" x14ac:dyDescent="0.2">
      <c r="A18" s="3">
        <v>12</v>
      </c>
      <c r="B18" s="4" t="s">
        <v>171</v>
      </c>
      <c r="C18" s="4" t="s">
        <v>172</v>
      </c>
      <c r="D18" s="4" t="s">
        <v>173</v>
      </c>
      <c r="E18" s="5">
        <v>27177</v>
      </c>
      <c r="F18" s="6">
        <v>256.40140650000001</v>
      </c>
      <c r="G18" s="138">
        <v>1.8897197000000001E-2</v>
      </c>
      <c r="H18" s="142"/>
    </row>
    <row r="19" spans="1:8" x14ac:dyDescent="0.2">
      <c r="A19" s="3">
        <v>13</v>
      </c>
      <c r="B19" s="4" t="s">
        <v>169</v>
      </c>
      <c r="C19" s="4" t="s">
        <v>170</v>
      </c>
      <c r="D19" s="4" t="s">
        <v>164</v>
      </c>
      <c r="E19" s="5">
        <v>6844</v>
      </c>
      <c r="F19" s="6">
        <v>254.34357199999999</v>
      </c>
      <c r="G19" s="138">
        <v>1.8745531999999999E-2</v>
      </c>
      <c r="H19" s="142"/>
    </row>
    <row r="20" spans="1:8" ht="25.5" x14ac:dyDescent="0.2">
      <c r="A20" s="3">
        <v>14</v>
      </c>
      <c r="B20" s="4" t="s">
        <v>30</v>
      </c>
      <c r="C20" s="4" t="s">
        <v>31</v>
      </c>
      <c r="D20" s="4" t="s">
        <v>1023</v>
      </c>
      <c r="E20" s="5">
        <v>7660</v>
      </c>
      <c r="F20" s="6">
        <v>238.05365</v>
      </c>
      <c r="G20" s="138">
        <v>1.7544938E-2</v>
      </c>
      <c r="H20" s="142"/>
    </row>
    <row r="21" spans="1:8" x14ac:dyDescent="0.2">
      <c r="A21" s="3">
        <v>15</v>
      </c>
      <c r="B21" s="4" t="s">
        <v>174</v>
      </c>
      <c r="C21" s="4" t="s">
        <v>175</v>
      </c>
      <c r="D21" s="4" t="s">
        <v>335</v>
      </c>
      <c r="E21" s="5">
        <v>23590</v>
      </c>
      <c r="F21" s="6">
        <v>233.35228000000001</v>
      </c>
      <c r="G21" s="138">
        <v>1.7198439999999999E-2</v>
      </c>
      <c r="H21" s="142"/>
    </row>
    <row r="22" spans="1:8" x14ac:dyDescent="0.2">
      <c r="A22" s="3">
        <v>16</v>
      </c>
      <c r="B22" s="4" t="s">
        <v>176</v>
      </c>
      <c r="C22" s="4" t="s">
        <v>177</v>
      </c>
      <c r="D22" s="4" t="s">
        <v>1026</v>
      </c>
      <c r="E22" s="5">
        <v>58726</v>
      </c>
      <c r="F22" s="6">
        <v>230.93999500000001</v>
      </c>
      <c r="G22" s="138">
        <v>1.7020649999999998E-2</v>
      </c>
      <c r="H22" s="142"/>
    </row>
    <row r="23" spans="1:8" ht="25.5" x14ac:dyDescent="0.2">
      <c r="A23" s="3">
        <v>17</v>
      </c>
      <c r="B23" s="4" t="s">
        <v>178</v>
      </c>
      <c r="C23" s="4" t="s">
        <v>933</v>
      </c>
      <c r="D23" s="4" t="s">
        <v>37</v>
      </c>
      <c r="E23" s="5">
        <v>85861</v>
      </c>
      <c r="F23" s="6">
        <v>221.6501715</v>
      </c>
      <c r="G23" s="138">
        <v>1.6335974999999999E-2</v>
      </c>
      <c r="H23" s="142"/>
    </row>
    <row r="24" spans="1:8" x14ac:dyDescent="0.2">
      <c r="A24" s="3">
        <v>18</v>
      </c>
      <c r="B24" s="4" t="s">
        <v>179</v>
      </c>
      <c r="C24" s="4" t="s">
        <v>180</v>
      </c>
      <c r="D24" s="4" t="s">
        <v>181</v>
      </c>
      <c r="E24" s="5">
        <v>86836</v>
      </c>
      <c r="F24" s="6">
        <v>214.83226400000001</v>
      </c>
      <c r="G24" s="138">
        <v>1.5833485000000001E-2</v>
      </c>
      <c r="H24" s="142"/>
    </row>
    <row r="25" spans="1:8" x14ac:dyDescent="0.2">
      <c r="A25" s="3">
        <v>19</v>
      </c>
      <c r="B25" s="4" t="s">
        <v>186</v>
      </c>
      <c r="C25" s="4" t="s">
        <v>187</v>
      </c>
      <c r="D25" s="4" t="s">
        <v>207</v>
      </c>
      <c r="E25" s="5">
        <v>16656</v>
      </c>
      <c r="F25" s="6">
        <v>213.65484000000001</v>
      </c>
      <c r="G25" s="138">
        <v>1.5746705999999999E-2</v>
      </c>
      <c r="H25" s="142"/>
    </row>
    <row r="26" spans="1:8" x14ac:dyDescent="0.2">
      <c r="A26" s="3">
        <v>20</v>
      </c>
      <c r="B26" s="4" t="s">
        <v>182</v>
      </c>
      <c r="C26" s="4" t="s">
        <v>183</v>
      </c>
      <c r="D26" s="4" t="s">
        <v>164</v>
      </c>
      <c r="E26" s="5">
        <v>3989</v>
      </c>
      <c r="F26" s="6">
        <v>213.1901105</v>
      </c>
      <c r="G26" s="138">
        <v>1.5712455E-2</v>
      </c>
      <c r="H26" s="142"/>
    </row>
    <row r="27" spans="1:8" x14ac:dyDescent="0.2">
      <c r="A27" s="3">
        <v>21</v>
      </c>
      <c r="B27" s="4" t="s">
        <v>210</v>
      </c>
      <c r="C27" s="4" t="s">
        <v>211</v>
      </c>
      <c r="D27" s="4" t="s">
        <v>34</v>
      </c>
      <c r="E27" s="5">
        <v>51485</v>
      </c>
      <c r="F27" s="6">
        <v>208.10237000000001</v>
      </c>
      <c r="G27" s="138">
        <v>1.5337480000000001E-2</v>
      </c>
      <c r="H27" s="142"/>
    </row>
    <row r="28" spans="1:8" x14ac:dyDescent="0.2">
      <c r="A28" s="3">
        <v>22</v>
      </c>
      <c r="B28" s="4" t="s">
        <v>44</v>
      </c>
      <c r="C28" s="4" t="s">
        <v>45</v>
      </c>
      <c r="D28" s="4" t="s">
        <v>27</v>
      </c>
      <c r="E28" s="5">
        <v>16846</v>
      </c>
      <c r="F28" s="6">
        <v>205.72335200000001</v>
      </c>
      <c r="G28" s="138">
        <v>1.5162142999999999E-2</v>
      </c>
      <c r="H28" s="142"/>
    </row>
    <row r="29" spans="1:8" x14ac:dyDescent="0.2">
      <c r="A29" s="3">
        <v>23</v>
      </c>
      <c r="B29" s="4" t="s">
        <v>184</v>
      </c>
      <c r="C29" s="4" t="s">
        <v>185</v>
      </c>
      <c r="D29" s="4" t="s">
        <v>173</v>
      </c>
      <c r="E29" s="5">
        <v>14694</v>
      </c>
      <c r="F29" s="6">
        <v>205.253139</v>
      </c>
      <c r="G29" s="138">
        <v>1.5127488E-2</v>
      </c>
      <c r="H29" s="142"/>
    </row>
    <row r="30" spans="1:8" x14ac:dyDescent="0.2">
      <c r="A30" s="3">
        <v>24</v>
      </c>
      <c r="B30" s="4" t="s">
        <v>195</v>
      </c>
      <c r="C30" s="4" t="s">
        <v>196</v>
      </c>
      <c r="D30" s="4" t="s">
        <v>24</v>
      </c>
      <c r="E30" s="5">
        <v>106392</v>
      </c>
      <c r="F30" s="6">
        <v>203.102328</v>
      </c>
      <c r="G30" s="138">
        <v>1.4968969E-2</v>
      </c>
      <c r="H30" s="142"/>
    </row>
    <row r="31" spans="1:8" ht="25.5" x14ac:dyDescent="0.2">
      <c r="A31" s="3">
        <v>25</v>
      </c>
      <c r="B31" s="4" t="s">
        <v>191</v>
      </c>
      <c r="C31" s="4" t="s">
        <v>192</v>
      </c>
      <c r="D31" s="4" t="s">
        <v>1023</v>
      </c>
      <c r="E31" s="5">
        <v>78693</v>
      </c>
      <c r="F31" s="6">
        <v>202.08362399999999</v>
      </c>
      <c r="G31" s="138">
        <v>1.4893889E-2</v>
      </c>
      <c r="H31" s="142"/>
    </row>
    <row r="32" spans="1:8" ht="25.5" x14ac:dyDescent="0.2">
      <c r="A32" s="3">
        <v>26</v>
      </c>
      <c r="B32" s="4" t="s">
        <v>193</v>
      </c>
      <c r="C32" s="4" t="s">
        <v>194</v>
      </c>
      <c r="D32" s="4" t="s">
        <v>37</v>
      </c>
      <c r="E32" s="5">
        <v>164348</v>
      </c>
      <c r="F32" s="6">
        <v>202.065866</v>
      </c>
      <c r="G32" s="138">
        <v>1.4892580000000001E-2</v>
      </c>
      <c r="H32" s="142"/>
    </row>
    <row r="33" spans="1:8" x14ac:dyDescent="0.2">
      <c r="A33" s="3">
        <v>27</v>
      </c>
      <c r="B33" s="4" t="s">
        <v>197</v>
      </c>
      <c r="C33" s="4" t="s">
        <v>198</v>
      </c>
      <c r="D33" s="4" t="s">
        <v>51</v>
      </c>
      <c r="E33" s="5">
        <v>19380</v>
      </c>
      <c r="F33" s="6">
        <v>198.77097000000001</v>
      </c>
      <c r="G33" s="138">
        <v>1.4649741000000001E-2</v>
      </c>
      <c r="H33" s="142"/>
    </row>
    <row r="34" spans="1:8" x14ac:dyDescent="0.2">
      <c r="A34" s="3">
        <v>28</v>
      </c>
      <c r="B34" s="4" t="s">
        <v>201</v>
      </c>
      <c r="C34" s="4" t="s">
        <v>202</v>
      </c>
      <c r="D34" s="4" t="s">
        <v>80</v>
      </c>
      <c r="E34" s="5">
        <v>28818</v>
      </c>
      <c r="F34" s="6">
        <v>197.92202399999999</v>
      </c>
      <c r="G34" s="138">
        <v>1.4587173E-2</v>
      </c>
      <c r="H34" s="142"/>
    </row>
    <row r="35" spans="1:8" x14ac:dyDescent="0.2">
      <c r="A35" s="3">
        <v>29</v>
      </c>
      <c r="B35" s="4" t="s">
        <v>203</v>
      </c>
      <c r="C35" s="4" t="s">
        <v>204</v>
      </c>
      <c r="D35" s="4" t="s">
        <v>80</v>
      </c>
      <c r="E35" s="5">
        <v>33472</v>
      </c>
      <c r="F35" s="6">
        <v>197.518272</v>
      </c>
      <c r="G35" s="138">
        <v>1.4557415000000001E-2</v>
      </c>
      <c r="H35" s="142"/>
    </row>
    <row r="36" spans="1:8" x14ac:dyDescent="0.2">
      <c r="A36" s="3">
        <v>30</v>
      </c>
      <c r="B36" s="4" t="s">
        <v>199</v>
      </c>
      <c r="C36" s="4" t="s">
        <v>200</v>
      </c>
      <c r="D36" s="4" t="s">
        <v>164</v>
      </c>
      <c r="E36" s="5">
        <v>18324</v>
      </c>
      <c r="F36" s="6">
        <v>194.73831000000001</v>
      </c>
      <c r="G36" s="138">
        <v>1.4352528E-2</v>
      </c>
      <c r="H36" s="142"/>
    </row>
    <row r="37" spans="1:8" x14ac:dyDescent="0.2">
      <c r="A37" s="3">
        <v>31</v>
      </c>
      <c r="B37" s="4" t="s">
        <v>233</v>
      </c>
      <c r="C37" s="4" t="s">
        <v>234</v>
      </c>
      <c r="D37" s="4" t="s">
        <v>1025</v>
      </c>
      <c r="E37" s="5">
        <v>13303</v>
      </c>
      <c r="F37" s="6">
        <v>194.44329949999999</v>
      </c>
      <c r="G37" s="138">
        <v>1.4330785E-2</v>
      </c>
      <c r="H37" s="142"/>
    </row>
    <row r="38" spans="1:8" x14ac:dyDescent="0.2">
      <c r="A38" s="3">
        <v>32</v>
      </c>
      <c r="B38" s="4" t="s">
        <v>74</v>
      </c>
      <c r="C38" s="4" t="s">
        <v>75</v>
      </c>
      <c r="D38" s="4" t="s">
        <v>66</v>
      </c>
      <c r="E38" s="5">
        <v>46942</v>
      </c>
      <c r="F38" s="6">
        <v>192.4622</v>
      </c>
      <c r="G38" s="138">
        <v>1.4184775E-2</v>
      </c>
      <c r="H38" s="142"/>
    </row>
    <row r="39" spans="1:8" x14ac:dyDescent="0.2">
      <c r="A39" s="3">
        <v>33</v>
      </c>
      <c r="B39" s="4" t="s">
        <v>205</v>
      </c>
      <c r="C39" s="4" t="s">
        <v>206</v>
      </c>
      <c r="D39" s="4" t="s">
        <v>207</v>
      </c>
      <c r="E39" s="5">
        <v>41878</v>
      </c>
      <c r="F39" s="6">
        <v>188.13691499999999</v>
      </c>
      <c r="G39" s="138">
        <v>1.3865994E-2</v>
      </c>
      <c r="H39" s="142"/>
    </row>
    <row r="40" spans="1:8" x14ac:dyDescent="0.2">
      <c r="A40" s="3">
        <v>34</v>
      </c>
      <c r="B40" s="4" t="s">
        <v>212</v>
      </c>
      <c r="C40" s="4" t="s">
        <v>213</v>
      </c>
      <c r="D40" s="4" t="s">
        <v>1027</v>
      </c>
      <c r="E40" s="5">
        <v>20000</v>
      </c>
      <c r="F40" s="6">
        <v>183.24</v>
      </c>
      <c r="G40" s="138">
        <v>1.3505084000000001E-2</v>
      </c>
      <c r="H40" s="142"/>
    </row>
    <row r="41" spans="1:8" x14ac:dyDescent="0.2">
      <c r="A41" s="3">
        <v>35</v>
      </c>
      <c r="B41" s="4" t="s">
        <v>214</v>
      </c>
      <c r="C41" s="4" t="s">
        <v>215</v>
      </c>
      <c r="D41" s="4" t="s">
        <v>216</v>
      </c>
      <c r="E41" s="5">
        <v>67193</v>
      </c>
      <c r="F41" s="6">
        <v>183.0001355</v>
      </c>
      <c r="G41" s="138">
        <v>1.3487404999999999E-2</v>
      </c>
      <c r="H41" s="142"/>
    </row>
    <row r="42" spans="1:8" x14ac:dyDescent="0.2">
      <c r="A42" s="3">
        <v>36</v>
      </c>
      <c r="B42" s="4" t="s">
        <v>296</v>
      </c>
      <c r="C42" s="4" t="s">
        <v>297</v>
      </c>
      <c r="D42" s="4" t="s">
        <v>27</v>
      </c>
      <c r="E42" s="5">
        <v>14769</v>
      </c>
      <c r="F42" s="6">
        <v>180.71348399999999</v>
      </c>
      <c r="G42" s="138">
        <v>1.3318875000000001E-2</v>
      </c>
      <c r="H42" s="142"/>
    </row>
    <row r="43" spans="1:8" x14ac:dyDescent="0.2">
      <c r="A43" s="3">
        <v>37</v>
      </c>
      <c r="B43" s="4" t="s">
        <v>219</v>
      </c>
      <c r="C43" s="4" t="s">
        <v>220</v>
      </c>
      <c r="D43" s="4" t="s">
        <v>59</v>
      </c>
      <c r="E43" s="5">
        <v>71613</v>
      </c>
      <c r="F43" s="6">
        <v>173.66152500000001</v>
      </c>
      <c r="G43" s="138">
        <v>1.2799135E-2</v>
      </c>
      <c r="H43" s="142"/>
    </row>
    <row r="44" spans="1:8" ht="25.5" x14ac:dyDescent="0.2">
      <c r="A44" s="3">
        <v>38</v>
      </c>
      <c r="B44" s="4" t="s">
        <v>217</v>
      </c>
      <c r="C44" s="4" t="s">
        <v>218</v>
      </c>
      <c r="D44" s="4" t="s">
        <v>90</v>
      </c>
      <c r="E44" s="5">
        <v>37245</v>
      </c>
      <c r="F44" s="6">
        <v>170.0420475</v>
      </c>
      <c r="G44" s="138">
        <v>1.2532372999999999E-2</v>
      </c>
      <c r="H44" s="142"/>
    </row>
    <row r="45" spans="1:8" x14ac:dyDescent="0.2">
      <c r="A45" s="3">
        <v>39</v>
      </c>
      <c r="B45" s="4" t="s">
        <v>223</v>
      </c>
      <c r="C45" s="4" t="s">
        <v>224</v>
      </c>
      <c r="D45" s="4" t="s">
        <v>66</v>
      </c>
      <c r="E45" s="5">
        <v>16637</v>
      </c>
      <c r="F45" s="6">
        <v>159.45732649999999</v>
      </c>
      <c r="G45" s="138">
        <v>1.1752261999999999E-2</v>
      </c>
      <c r="H45" s="142"/>
    </row>
    <row r="46" spans="1:8" x14ac:dyDescent="0.2">
      <c r="A46" s="3">
        <v>40</v>
      </c>
      <c r="B46" s="4" t="s">
        <v>221</v>
      </c>
      <c r="C46" s="4" t="s">
        <v>222</v>
      </c>
      <c r="D46" s="4" t="s">
        <v>207</v>
      </c>
      <c r="E46" s="5">
        <v>25404</v>
      </c>
      <c r="F46" s="6">
        <v>156.602958</v>
      </c>
      <c r="G46" s="138">
        <v>1.1541891E-2</v>
      </c>
      <c r="H46" s="142"/>
    </row>
    <row r="47" spans="1:8" x14ac:dyDescent="0.2">
      <c r="A47" s="3">
        <v>41</v>
      </c>
      <c r="B47" s="4" t="s">
        <v>225</v>
      </c>
      <c r="C47" s="4" t="s">
        <v>226</v>
      </c>
      <c r="D47" s="4" t="s">
        <v>1028</v>
      </c>
      <c r="E47" s="5">
        <v>27373</v>
      </c>
      <c r="F47" s="6">
        <v>155.01329899999999</v>
      </c>
      <c r="G47" s="138">
        <v>1.1424729999999999E-2</v>
      </c>
      <c r="H47" s="142"/>
    </row>
    <row r="48" spans="1:8" x14ac:dyDescent="0.2">
      <c r="A48" s="3">
        <v>42</v>
      </c>
      <c r="B48" s="4" t="s">
        <v>227</v>
      </c>
      <c r="C48" s="4" t="s">
        <v>228</v>
      </c>
      <c r="D48" s="4" t="s">
        <v>66</v>
      </c>
      <c r="E48" s="5">
        <v>155009</v>
      </c>
      <c r="F48" s="6">
        <v>152.60636049999999</v>
      </c>
      <c r="G48" s="138">
        <v>1.1247335000000001E-2</v>
      </c>
      <c r="H48" s="142"/>
    </row>
    <row r="49" spans="1:8" ht="25.5" x14ac:dyDescent="0.2">
      <c r="A49" s="3">
        <v>43</v>
      </c>
      <c r="B49" s="4" t="s">
        <v>237</v>
      </c>
      <c r="C49" s="4" t="s">
        <v>238</v>
      </c>
      <c r="D49" s="4" t="s">
        <v>1023</v>
      </c>
      <c r="E49" s="5">
        <v>75946</v>
      </c>
      <c r="F49" s="6">
        <v>152.11983799999999</v>
      </c>
      <c r="G49" s="138">
        <v>1.1211478E-2</v>
      </c>
      <c r="H49" s="142"/>
    </row>
    <row r="50" spans="1:8" x14ac:dyDescent="0.2">
      <c r="A50" s="3">
        <v>44</v>
      </c>
      <c r="B50" s="4" t="s">
        <v>235</v>
      </c>
      <c r="C50" s="4" t="s">
        <v>236</v>
      </c>
      <c r="D50" s="4" t="s">
        <v>27</v>
      </c>
      <c r="E50" s="5">
        <v>8337</v>
      </c>
      <c r="F50" s="6">
        <v>141.30798150000001</v>
      </c>
      <c r="G50" s="138">
        <v>1.0414626E-2</v>
      </c>
      <c r="H50" s="142"/>
    </row>
    <row r="51" spans="1:8" ht="25.5" x14ac:dyDescent="0.2">
      <c r="A51" s="3">
        <v>45</v>
      </c>
      <c r="B51" s="4" t="s">
        <v>231</v>
      </c>
      <c r="C51" s="4" t="s">
        <v>232</v>
      </c>
      <c r="D51" s="4" t="s">
        <v>51</v>
      </c>
      <c r="E51" s="5">
        <v>6492</v>
      </c>
      <c r="F51" s="6">
        <v>139.178742</v>
      </c>
      <c r="G51" s="138">
        <v>1.0257698000000001E-2</v>
      </c>
      <c r="H51" s="142"/>
    </row>
    <row r="52" spans="1:8" x14ac:dyDescent="0.2">
      <c r="A52" s="3">
        <v>46</v>
      </c>
      <c r="B52" s="4" t="s">
        <v>239</v>
      </c>
      <c r="C52" s="4" t="s">
        <v>240</v>
      </c>
      <c r="D52" s="4" t="s">
        <v>207</v>
      </c>
      <c r="E52" s="5">
        <v>7157</v>
      </c>
      <c r="F52" s="6">
        <v>133.61761150000001</v>
      </c>
      <c r="G52" s="138">
        <v>9.8478339999999998E-3</v>
      </c>
      <c r="H52" s="142"/>
    </row>
    <row r="53" spans="1:8" ht="25.5" x14ac:dyDescent="0.2">
      <c r="A53" s="3">
        <v>47</v>
      </c>
      <c r="B53" s="4" t="s">
        <v>244</v>
      </c>
      <c r="C53" s="4" t="s">
        <v>245</v>
      </c>
      <c r="D53" s="4" t="s">
        <v>1029</v>
      </c>
      <c r="E53" s="5">
        <v>118261</v>
      </c>
      <c r="F53" s="6">
        <v>132.03840650000001</v>
      </c>
      <c r="G53" s="138">
        <v>9.7314440000000006E-3</v>
      </c>
      <c r="H53" s="142"/>
    </row>
    <row r="54" spans="1:8" x14ac:dyDescent="0.2">
      <c r="A54" s="3">
        <v>48</v>
      </c>
      <c r="B54" s="4" t="s">
        <v>241</v>
      </c>
      <c r="C54" s="4" t="s">
        <v>242</v>
      </c>
      <c r="D54" s="4" t="s">
        <v>243</v>
      </c>
      <c r="E54" s="5">
        <v>26600</v>
      </c>
      <c r="F54" s="6">
        <v>131.72319999999999</v>
      </c>
      <c r="G54" s="138">
        <v>9.7082120000000008E-3</v>
      </c>
      <c r="H54" s="142"/>
    </row>
    <row r="55" spans="1:8" x14ac:dyDescent="0.2">
      <c r="A55" s="3">
        <v>49</v>
      </c>
      <c r="B55" s="4" t="s">
        <v>250</v>
      </c>
      <c r="C55" s="4" t="s">
        <v>251</v>
      </c>
      <c r="D55" s="4" t="s">
        <v>164</v>
      </c>
      <c r="E55" s="5">
        <v>9462</v>
      </c>
      <c r="F55" s="6">
        <v>130.57086899999999</v>
      </c>
      <c r="G55" s="138">
        <v>9.6232839999999993E-3</v>
      </c>
      <c r="H55" s="142"/>
    </row>
    <row r="56" spans="1:8" ht="25.5" x14ac:dyDescent="0.2">
      <c r="A56" s="3">
        <v>50</v>
      </c>
      <c r="B56" s="4" t="s">
        <v>248</v>
      </c>
      <c r="C56" s="4" t="s">
        <v>249</v>
      </c>
      <c r="D56" s="4" t="s">
        <v>153</v>
      </c>
      <c r="E56" s="5">
        <v>29589</v>
      </c>
      <c r="F56" s="6">
        <v>128.49023249999999</v>
      </c>
      <c r="G56" s="138">
        <v>9.4699369999999995E-3</v>
      </c>
      <c r="H56" s="142"/>
    </row>
    <row r="57" spans="1:8" x14ac:dyDescent="0.2">
      <c r="A57" s="3">
        <v>51</v>
      </c>
      <c r="B57" s="4" t="s">
        <v>246</v>
      </c>
      <c r="C57" s="4" t="s">
        <v>247</v>
      </c>
      <c r="D57" s="4" t="s">
        <v>80</v>
      </c>
      <c r="E57" s="5">
        <v>233311</v>
      </c>
      <c r="F57" s="6">
        <v>128.20439450000001</v>
      </c>
      <c r="G57" s="138">
        <v>9.4488709999999993E-3</v>
      </c>
      <c r="H57" s="142"/>
    </row>
    <row r="58" spans="1:8" ht="25.5" x14ac:dyDescent="0.2">
      <c r="A58" s="3">
        <v>52</v>
      </c>
      <c r="B58" s="4" t="s">
        <v>252</v>
      </c>
      <c r="C58" s="4" t="s">
        <v>253</v>
      </c>
      <c r="D58" s="4" t="s">
        <v>90</v>
      </c>
      <c r="E58" s="5">
        <v>29335</v>
      </c>
      <c r="F58" s="6">
        <v>123.412345</v>
      </c>
      <c r="G58" s="138">
        <v>9.0956890000000006E-3</v>
      </c>
      <c r="H58" s="142"/>
    </row>
    <row r="59" spans="1:8" x14ac:dyDescent="0.2">
      <c r="A59" s="3">
        <v>53</v>
      </c>
      <c r="B59" s="4" t="s">
        <v>167</v>
      </c>
      <c r="C59" s="4" t="s">
        <v>168</v>
      </c>
      <c r="D59" s="4" t="s">
        <v>1025</v>
      </c>
      <c r="E59" s="5">
        <v>57967</v>
      </c>
      <c r="F59" s="6">
        <v>118.774383</v>
      </c>
      <c r="G59" s="138">
        <v>8.7538640000000001E-3</v>
      </c>
      <c r="H59" s="142"/>
    </row>
    <row r="60" spans="1:8" ht="25.5" x14ac:dyDescent="0.2">
      <c r="A60" s="3">
        <v>54</v>
      </c>
      <c r="B60" s="4" t="s">
        <v>255</v>
      </c>
      <c r="C60" s="4" t="s">
        <v>256</v>
      </c>
      <c r="D60" s="4" t="s">
        <v>90</v>
      </c>
      <c r="E60" s="5">
        <v>30826</v>
      </c>
      <c r="F60" s="6">
        <v>118.541383</v>
      </c>
      <c r="G60" s="138">
        <v>8.7366909999999996E-3</v>
      </c>
      <c r="H60" s="142"/>
    </row>
    <row r="61" spans="1:8" x14ac:dyDescent="0.2">
      <c r="A61" s="3">
        <v>55</v>
      </c>
      <c r="B61" s="4" t="s">
        <v>49</v>
      </c>
      <c r="C61" s="4" t="s">
        <v>50</v>
      </c>
      <c r="D61" s="4" t="s">
        <v>51</v>
      </c>
      <c r="E61" s="5">
        <v>3600</v>
      </c>
      <c r="F61" s="6">
        <v>117.4932</v>
      </c>
      <c r="G61" s="138">
        <v>8.6594380000000002E-3</v>
      </c>
      <c r="H61" s="142"/>
    </row>
    <row r="62" spans="1:8" x14ac:dyDescent="0.2">
      <c r="A62" s="3">
        <v>56</v>
      </c>
      <c r="B62" s="4" t="s">
        <v>259</v>
      </c>
      <c r="C62" s="4" t="s">
        <v>260</v>
      </c>
      <c r="D62" s="4" t="s">
        <v>207</v>
      </c>
      <c r="E62" s="5">
        <v>21563</v>
      </c>
      <c r="F62" s="6">
        <v>113.9065475</v>
      </c>
      <c r="G62" s="138">
        <v>8.3950959999999995E-3</v>
      </c>
      <c r="H62" s="142"/>
    </row>
    <row r="63" spans="1:8" x14ac:dyDescent="0.2">
      <c r="A63" s="3">
        <v>57</v>
      </c>
      <c r="B63" s="4" t="s">
        <v>257</v>
      </c>
      <c r="C63" s="4" t="s">
        <v>258</v>
      </c>
      <c r="D63" s="4" t="s">
        <v>173</v>
      </c>
      <c r="E63" s="5">
        <v>32351</v>
      </c>
      <c r="F63" s="6">
        <v>113.2285</v>
      </c>
      <c r="G63" s="138">
        <v>8.3451229999999994E-3</v>
      </c>
      <c r="H63" s="142"/>
    </row>
    <row r="64" spans="1:8" x14ac:dyDescent="0.2">
      <c r="A64" s="3">
        <v>58</v>
      </c>
      <c r="B64" s="4" t="s">
        <v>261</v>
      </c>
      <c r="C64" s="4" t="s">
        <v>262</v>
      </c>
      <c r="D64" s="4" t="s">
        <v>51</v>
      </c>
      <c r="E64" s="5">
        <v>48497</v>
      </c>
      <c r="F64" s="6">
        <v>107.760334</v>
      </c>
      <c r="G64" s="138">
        <v>7.942111E-3</v>
      </c>
      <c r="H64" s="142"/>
    </row>
    <row r="65" spans="1:8" x14ac:dyDescent="0.2">
      <c r="A65" s="3">
        <v>59</v>
      </c>
      <c r="B65" s="4" t="s">
        <v>263</v>
      </c>
      <c r="C65" s="4" t="s">
        <v>264</v>
      </c>
      <c r="D65" s="4" t="s">
        <v>34</v>
      </c>
      <c r="E65" s="5">
        <v>90749</v>
      </c>
      <c r="F65" s="6">
        <v>105.1327165</v>
      </c>
      <c r="G65" s="138">
        <v>7.7484509999999999E-3</v>
      </c>
      <c r="H65" s="142"/>
    </row>
    <row r="66" spans="1:8" x14ac:dyDescent="0.2">
      <c r="A66" s="3">
        <v>60</v>
      </c>
      <c r="B66" s="4" t="s">
        <v>267</v>
      </c>
      <c r="C66" s="4" t="s">
        <v>268</v>
      </c>
      <c r="D66" s="4" t="s">
        <v>1024</v>
      </c>
      <c r="E66" s="5">
        <v>6259</v>
      </c>
      <c r="F66" s="6">
        <v>103.8149035</v>
      </c>
      <c r="G66" s="138">
        <v>7.651326E-3</v>
      </c>
      <c r="H66" s="142"/>
    </row>
    <row r="67" spans="1:8" x14ac:dyDescent="0.2">
      <c r="A67" s="3">
        <v>61</v>
      </c>
      <c r="B67" s="4" t="s">
        <v>265</v>
      </c>
      <c r="C67" s="4" t="s">
        <v>266</v>
      </c>
      <c r="D67" s="4" t="s">
        <v>59</v>
      </c>
      <c r="E67" s="5">
        <v>9967</v>
      </c>
      <c r="F67" s="6">
        <v>103.0836975</v>
      </c>
      <c r="G67" s="138">
        <v>7.5974349999999996E-3</v>
      </c>
      <c r="H67" s="142"/>
    </row>
    <row r="68" spans="1:8" x14ac:dyDescent="0.2">
      <c r="A68" s="3">
        <v>62</v>
      </c>
      <c r="B68" s="4" t="s">
        <v>269</v>
      </c>
      <c r="C68" s="4" t="s">
        <v>270</v>
      </c>
      <c r="D68" s="4" t="s">
        <v>1028</v>
      </c>
      <c r="E68" s="5">
        <v>81988</v>
      </c>
      <c r="F68" s="6">
        <v>94.942104</v>
      </c>
      <c r="G68" s="138">
        <v>6.9973860000000004E-3</v>
      </c>
      <c r="H68" s="142"/>
    </row>
    <row r="69" spans="1:8" x14ac:dyDescent="0.2">
      <c r="A69" s="3">
        <v>63</v>
      </c>
      <c r="B69" s="4" t="s">
        <v>275</v>
      </c>
      <c r="C69" s="4" t="s">
        <v>276</v>
      </c>
      <c r="D69" s="4" t="s">
        <v>335</v>
      </c>
      <c r="E69" s="5">
        <v>7119</v>
      </c>
      <c r="F69" s="6">
        <v>87.997958999999994</v>
      </c>
      <c r="G69" s="138">
        <v>6.4855920000000001E-3</v>
      </c>
      <c r="H69" s="142"/>
    </row>
    <row r="70" spans="1:8" x14ac:dyDescent="0.2">
      <c r="A70" s="3">
        <v>64</v>
      </c>
      <c r="B70" s="4" t="s">
        <v>273</v>
      </c>
      <c r="C70" s="4" t="s">
        <v>274</v>
      </c>
      <c r="D70" s="4" t="s">
        <v>173</v>
      </c>
      <c r="E70" s="5">
        <v>14660</v>
      </c>
      <c r="F70" s="6">
        <v>87.84272</v>
      </c>
      <c r="G70" s="138">
        <v>6.4741499999999997E-3</v>
      </c>
      <c r="H70" s="142"/>
    </row>
    <row r="71" spans="1:8" x14ac:dyDescent="0.2">
      <c r="A71" s="3">
        <v>65</v>
      </c>
      <c r="B71" s="4" t="s">
        <v>277</v>
      </c>
      <c r="C71" s="4" t="s">
        <v>278</v>
      </c>
      <c r="D71" s="4" t="s">
        <v>279</v>
      </c>
      <c r="E71" s="5">
        <v>35518</v>
      </c>
      <c r="F71" s="6">
        <v>82.330724000000004</v>
      </c>
      <c r="G71" s="138">
        <v>6.067907E-3</v>
      </c>
      <c r="H71" s="142"/>
    </row>
    <row r="72" spans="1:8" x14ac:dyDescent="0.2">
      <c r="A72" s="3">
        <v>66</v>
      </c>
      <c r="B72" s="4" t="s">
        <v>282</v>
      </c>
      <c r="C72" s="4" t="s">
        <v>283</v>
      </c>
      <c r="D72" s="4" t="s">
        <v>207</v>
      </c>
      <c r="E72" s="5">
        <v>1484</v>
      </c>
      <c r="F72" s="6">
        <v>80.189424000000002</v>
      </c>
      <c r="G72" s="138">
        <v>5.9100899999999998E-3</v>
      </c>
      <c r="H72" s="142"/>
    </row>
    <row r="73" spans="1:8" x14ac:dyDescent="0.2">
      <c r="A73" s="3">
        <v>67</v>
      </c>
      <c r="B73" s="4" t="s">
        <v>280</v>
      </c>
      <c r="C73" s="4" t="s">
        <v>281</v>
      </c>
      <c r="D73" s="4" t="s">
        <v>24</v>
      </c>
      <c r="E73" s="5">
        <v>86786</v>
      </c>
      <c r="F73" s="6">
        <v>78.975260000000006</v>
      </c>
      <c r="G73" s="138">
        <v>5.8206040000000001E-3</v>
      </c>
      <c r="H73" s="142"/>
    </row>
    <row r="74" spans="1:8" x14ac:dyDescent="0.2">
      <c r="A74" s="3">
        <v>68</v>
      </c>
      <c r="B74" s="4" t="s">
        <v>271</v>
      </c>
      <c r="C74" s="4" t="s">
        <v>272</v>
      </c>
      <c r="D74" s="4" t="s">
        <v>1028</v>
      </c>
      <c r="E74" s="5">
        <v>50412</v>
      </c>
      <c r="F74" s="6">
        <v>73.248636000000005</v>
      </c>
      <c r="G74" s="138">
        <v>5.3985429999999996E-3</v>
      </c>
      <c r="H74" s="142"/>
    </row>
    <row r="75" spans="1:8" x14ac:dyDescent="0.2">
      <c r="A75" s="3">
        <v>69</v>
      </c>
      <c r="B75" s="4" t="s">
        <v>284</v>
      </c>
      <c r="C75" s="4" t="s">
        <v>285</v>
      </c>
      <c r="D75" s="4" t="s">
        <v>164</v>
      </c>
      <c r="E75" s="5">
        <v>14056</v>
      </c>
      <c r="F75" s="6">
        <v>67.475828000000007</v>
      </c>
      <c r="G75" s="138">
        <v>4.9730770000000002E-3</v>
      </c>
      <c r="H75" s="142"/>
    </row>
    <row r="76" spans="1:8" x14ac:dyDescent="0.2">
      <c r="A76" s="3">
        <v>70</v>
      </c>
      <c r="B76" s="4" t="s">
        <v>286</v>
      </c>
      <c r="C76" s="4" t="s">
        <v>287</v>
      </c>
      <c r="D76" s="4" t="s">
        <v>207</v>
      </c>
      <c r="E76" s="5">
        <v>17716</v>
      </c>
      <c r="F76" s="6">
        <v>63.963617999999997</v>
      </c>
      <c r="G76" s="138">
        <v>4.7142219999999997E-3</v>
      </c>
      <c r="H76" s="142"/>
    </row>
    <row r="77" spans="1:8" ht="25.5" x14ac:dyDescent="0.2">
      <c r="A77" s="3">
        <v>71</v>
      </c>
      <c r="B77" s="4" t="s">
        <v>70</v>
      </c>
      <c r="C77" s="4" t="s">
        <v>71</v>
      </c>
      <c r="D77" s="4" t="s">
        <v>37</v>
      </c>
      <c r="E77" s="5">
        <v>7764</v>
      </c>
      <c r="F77" s="6">
        <v>55.904682000000001</v>
      </c>
      <c r="G77" s="138">
        <v>4.1202649999999997E-3</v>
      </c>
      <c r="H77" s="142"/>
    </row>
    <row r="78" spans="1:8" x14ac:dyDescent="0.2">
      <c r="A78" s="3">
        <v>72</v>
      </c>
      <c r="B78" s="4" t="s">
        <v>288</v>
      </c>
      <c r="C78" s="4" t="s">
        <v>289</v>
      </c>
      <c r="D78" s="4" t="s">
        <v>153</v>
      </c>
      <c r="E78" s="5">
        <v>3966</v>
      </c>
      <c r="F78" s="6">
        <v>55.363377</v>
      </c>
      <c r="G78" s="138">
        <v>4.0803699999999998E-3</v>
      </c>
      <c r="H78" s="142"/>
    </row>
    <row r="79" spans="1:8" x14ac:dyDescent="0.2">
      <c r="A79" s="3">
        <v>73</v>
      </c>
      <c r="B79" s="4" t="s">
        <v>64</v>
      </c>
      <c r="C79" s="4" t="s">
        <v>65</v>
      </c>
      <c r="D79" s="4" t="s">
        <v>66</v>
      </c>
      <c r="E79" s="5">
        <v>27635</v>
      </c>
      <c r="F79" s="6">
        <v>44.962145</v>
      </c>
      <c r="G79" s="138">
        <v>3.3137829999999998E-3</v>
      </c>
      <c r="H79" s="142"/>
    </row>
    <row r="80" spans="1:8" x14ac:dyDescent="0.2">
      <c r="A80" s="3">
        <v>74</v>
      </c>
      <c r="B80" s="4" t="s">
        <v>290</v>
      </c>
      <c r="C80" s="4" t="s">
        <v>291</v>
      </c>
      <c r="D80" s="4" t="s">
        <v>153</v>
      </c>
      <c r="E80" s="5">
        <v>2703</v>
      </c>
      <c r="F80" s="6">
        <v>16.554523499999998</v>
      </c>
      <c r="G80" s="138">
        <v>1.220095E-3</v>
      </c>
      <c r="H80" s="142"/>
    </row>
    <row r="81" spans="1:8" x14ac:dyDescent="0.2">
      <c r="A81" s="3">
        <v>75</v>
      </c>
      <c r="B81" s="4" t="s">
        <v>292</v>
      </c>
      <c r="C81" s="4" t="s">
        <v>293</v>
      </c>
      <c r="D81" s="4" t="s">
        <v>24</v>
      </c>
      <c r="E81" s="5">
        <v>24572</v>
      </c>
      <c r="F81" s="6">
        <v>15.283784000000001</v>
      </c>
      <c r="G81" s="138">
        <v>1.12644E-3</v>
      </c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12916.0946165</v>
      </c>
      <c r="G82" s="139">
        <v>0.95193701500000005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107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108</v>
      </c>
      <c r="D87" s="1"/>
      <c r="E87" s="1"/>
      <c r="F87" s="1"/>
      <c r="G87" s="137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109</v>
      </c>
      <c r="D90" s="1"/>
      <c r="E90" s="1"/>
      <c r="F90" s="1"/>
      <c r="G90" s="137"/>
      <c r="H90" s="142"/>
    </row>
    <row r="91" spans="1:8" ht="25.5" x14ac:dyDescent="0.2">
      <c r="A91" s="3">
        <v>1</v>
      </c>
      <c r="B91" s="4" t="s">
        <v>294</v>
      </c>
      <c r="C91" s="4" t="s">
        <v>997</v>
      </c>
      <c r="D91" s="4" t="s">
        <v>66</v>
      </c>
      <c r="E91" s="5">
        <v>48706</v>
      </c>
      <c r="F91" s="6">
        <v>18.094279</v>
      </c>
      <c r="G91" s="138">
        <v>1.333578E-3</v>
      </c>
      <c r="H91" s="14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9">
        <v>18.094279</v>
      </c>
      <c r="G92" s="139">
        <v>1.333578E-3</v>
      </c>
      <c r="H92" s="142"/>
    </row>
    <row r="93" spans="1:8" x14ac:dyDescent="0.2">
      <c r="A93" s="1"/>
      <c r="B93" s="1"/>
      <c r="C93" s="11"/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111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112</v>
      </c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113</v>
      </c>
      <c r="D100" s="1"/>
      <c r="E100" s="1"/>
      <c r="F100" s="9">
        <v>12934.188895499999</v>
      </c>
      <c r="G100" s="139">
        <v>0.95327059300000005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114</v>
      </c>
      <c r="D102" s="1"/>
      <c r="E102" s="1"/>
      <c r="F102" s="12"/>
      <c r="G102" s="140"/>
      <c r="H102" s="142"/>
    </row>
    <row r="103" spans="1:8" ht="25.5" x14ac:dyDescent="0.2">
      <c r="A103" s="1"/>
      <c r="B103" s="1"/>
      <c r="C103" s="2" t="s">
        <v>10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115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116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117</v>
      </c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118</v>
      </c>
      <c r="D115" s="1"/>
      <c r="E115" s="1"/>
      <c r="F115" s="9">
        <v>0</v>
      </c>
      <c r="G115" s="139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119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120</v>
      </c>
      <c r="D118" s="1"/>
      <c r="E118" s="1"/>
      <c r="F118" s="12"/>
      <c r="G118" s="140"/>
      <c r="H118" s="142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1">
        <v>0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121</v>
      </c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1">
        <v>0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122</v>
      </c>
      <c r="D124" s="1"/>
      <c r="E124" s="1"/>
      <c r="F124" s="12"/>
      <c r="G124" s="140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123</v>
      </c>
      <c r="D127" s="1"/>
      <c r="E127" s="1"/>
      <c r="F127" s="12"/>
      <c r="G127" s="140"/>
      <c r="H127" s="142"/>
    </row>
    <row r="128" spans="1:8" x14ac:dyDescent="0.2">
      <c r="A128" s="3">
        <v>1</v>
      </c>
      <c r="B128" s="4"/>
      <c r="C128" s="4" t="s">
        <v>124</v>
      </c>
      <c r="D128" s="4"/>
      <c r="E128" s="8"/>
      <c r="F128" s="6">
        <v>556.15271680000001</v>
      </c>
      <c r="G128" s="138">
        <v>4.0989352999999999E-2</v>
      </c>
      <c r="H128" s="152">
        <v>3.3197683930276081</v>
      </c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9">
        <v>556.15271680000001</v>
      </c>
      <c r="G129" s="139">
        <v>4.0989352999999999E-2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2" t="s">
        <v>125</v>
      </c>
      <c r="D131" s="1"/>
      <c r="E131" s="1"/>
      <c r="F131" s="9">
        <v>556.15271680000001</v>
      </c>
      <c r="G131" s="139">
        <v>4.0989352999999999E-2</v>
      </c>
      <c r="H131" s="142"/>
    </row>
    <row r="132" spans="1:8" x14ac:dyDescent="0.2">
      <c r="A132" s="1"/>
      <c r="B132" s="1"/>
      <c r="C132" s="12"/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126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127</v>
      </c>
      <c r="D134" s="1"/>
      <c r="E134" s="1"/>
      <c r="F134" s="1"/>
      <c r="G134" s="137"/>
      <c r="H134" s="142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1">
        <v>0</v>
      </c>
      <c r="H135" s="142"/>
    </row>
    <row r="136" spans="1:8" x14ac:dyDescent="0.2">
      <c r="A136" s="1"/>
      <c r="B136" s="1"/>
      <c r="C136" s="11"/>
      <c r="D136" s="1"/>
      <c r="E136" s="1"/>
      <c r="F136" s="12"/>
      <c r="G136" s="140"/>
      <c r="H136" s="142"/>
    </row>
    <row r="137" spans="1:8" x14ac:dyDescent="0.2">
      <c r="A137" s="1"/>
      <c r="B137" s="1"/>
      <c r="C137" s="2" t="s">
        <v>128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129</v>
      </c>
      <c r="D138" s="1"/>
      <c r="E138" s="1"/>
      <c r="F138" s="1"/>
      <c r="G138" s="137"/>
      <c r="H138" s="142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1">
        <v>0</v>
      </c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x14ac:dyDescent="0.2">
      <c r="A141" s="1"/>
      <c r="B141" s="1"/>
      <c r="C141" s="11"/>
      <c r="D141" s="1"/>
      <c r="E141" s="1"/>
      <c r="F141" s="12"/>
      <c r="G141" s="140"/>
      <c r="H141" s="142"/>
    </row>
    <row r="142" spans="1:8" ht="25.5" x14ac:dyDescent="0.2">
      <c r="A142" s="1"/>
      <c r="B142" s="1"/>
      <c r="C142" s="2" t="s">
        <v>130</v>
      </c>
      <c r="D142" s="1"/>
      <c r="E142" s="1"/>
      <c r="F142" s="12"/>
      <c r="G142" s="140"/>
      <c r="H142" s="142"/>
    </row>
    <row r="143" spans="1:8" x14ac:dyDescent="0.2">
      <c r="A143" s="1"/>
      <c r="B143" s="1"/>
      <c r="C143" s="2" t="s">
        <v>105</v>
      </c>
      <c r="D143" s="1"/>
      <c r="E143" s="1" t="s">
        <v>106</v>
      </c>
      <c r="F143" s="13">
        <v>0</v>
      </c>
      <c r="G143" s="141">
        <v>0</v>
      </c>
      <c r="H143" s="142"/>
    </row>
    <row r="144" spans="1:8" x14ac:dyDescent="0.2">
      <c r="A144" s="1"/>
      <c r="B144" s="1"/>
      <c r="C144" s="11"/>
      <c r="D144" s="1"/>
      <c r="E144" s="1"/>
      <c r="F144" s="12"/>
      <c r="G144" s="140"/>
      <c r="H144" s="142"/>
    </row>
    <row r="145" spans="1:8" x14ac:dyDescent="0.2">
      <c r="A145" s="1"/>
      <c r="B145" s="4"/>
      <c r="C145" s="4"/>
      <c r="D145" s="2"/>
      <c r="E145" s="1"/>
      <c r="F145" s="4"/>
      <c r="G145" s="143"/>
      <c r="H145" s="142"/>
    </row>
    <row r="146" spans="1:8" x14ac:dyDescent="0.2">
      <c r="A146" s="8"/>
      <c r="B146" s="4"/>
      <c r="C146" s="4" t="s">
        <v>131</v>
      </c>
      <c r="D146" s="4"/>
      <c r="E146" s="8"/>
      <c r="F146" s="6">
        <v>77.882338619999999</v>
      </c>
      <c r="G146" s="138">
        <v>5.7400539999999996E-3</v>
      </c>
      <c r="H146" s="142"/>
    </row>
    <row r="147" spans="1:8" x14ac:dyDescent="0.2">
      <c r="A147" s="11"/>
      <c r="B147" s="11"/>
      <c r="C147" s="2" t="s">
        <v>132</v>
      </c>
      <c r="D147" s="15"/>
      <c r="E147" s="15"/>
      <c r="F147" s="9">
        <v>13568.223950920001</v>
      </c>
      <c r="G147" s="139">
        <v>1</v>
      </c>
      <c r="H147" s="142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205" t="s">
        <v>106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205" t="s">
        <v>106</v>
      </c>
      <c r="C150" s="205"/>
      <c r="D150" s="205"/>
      <c r="E150" s="205"/>
      <c r="F150" s="205"/>
      <c r="G150" s="20"/>
    </row>
    <row r="151" spans="1:8" ht="14.1" customHeight="1" x14ac:dyDescent="0.2">
      <c r="A151" s="18"/>
      <c r="B151" s="18"/>
      <c r="C151" s="18"/>
      <c r="D151" s="20"/>
      <c r="E151" s="20"/>
      <c r="F151" s="20"/>
      <c r="G151" s="20"/>
    </row>
    <row r="152" spans="1:8" ht="14.1" customHeight="1" x14ac:dyDescent="0.2">
      <c r="A152" s="18"/>
      <c r="B152" s="203" t="s">
        <v>134</v>
      </c>
      <c r="C152" s="204"/>
      <c r="D152" s="12" t="s">
        <v>106</v>
      </c>
      <c r="E152" s="21"/>
      <c r="F152" s="20"/>
      <c r="G152" s="20"/>
    </row>
    <row r="153" spans="1:8" ht="29.1" customHeight="1" x14ac:dyDescent="0.2">
      <c r="A153" s="18"/>
      <c r="B153" s="199" t="s">
        <v>135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137</v>
      </c>
      <c r="C154" s="200"/>
      <c r="D154" s="2" t="s">
        <v>136</v>
      </c>
      <c r="E154" s="21"/>
      <c r="F154" s="20"/>
      <c r="G154" s="20"/>
    </row>
    <row r="155" spans="1:8" ht="17.100000000000001" customHeight="1" x14ac:dyDescent="0.2">
      <c r="A155" s="18"/>
      <c r="B155" s="199" t="s">
        <v>138</v>
      </c>
      <c r="C155" s="200"/>
      <c r="D155" s="12" t="s">
        <v>106</v>
      </c>
      <c r="E155" s="21"/>
      <c r="F155" s="20"/>
      <c r="G155" s="20"/>
    </row>
    <row r="156" spans="1:8" ht="24" customHeight="1" x14ac:dyDescent="0.2">
      <c r="A156" s="22"/>
      <c r="B156" s="23" t="s">
        <v>106</v>
      </c>
      <c r="C156" s="23" t="s">
        <v>139</v>
      </c>
      <c r="D156" s="23" t="s">
        <v>140</v>
      </c>
      <c r="E156" s="22"/>
      <c r="F156" s="22"/>
      <c r="G156" s="22"/>
    </row>
    <row r="157" spans="1:8" ht="18" customHeight="1" x14ac:dyDescent="0.2">
      <c r="A157" s="22"/>
      <c r="B157" s="23" t="s">
        <v>141</v>
      </c>
      <c r="C157" s="23" t="s">
        <v>142</v>
      </c>
      <c r="D157" s="23" t="s">
        <v>143</v>
      </c>
      <c r="E157" s="22"/>
      <c r="F157" s="22"/>
      <c r="G157" s="22"/>
    </row>
    <row r="158" spans="1:8" x14ac:dyDescent="0.2">
      <c r="A158" s="22"/>
      <c r="B158" s="4" t="s">
        <v>144</v>
      </c>
      <c r="C158" s="24">
        <v>14.248900000000001</v>
      </c>
      <c r="D158" s="24">
        <v>15.2836</v>
      </c>
      <c r="E158" s="22"/>
      <c r="F158" s="19"/>
      <c r="G158" s="25"/>
    </row>
    <row r="159" spans="1:8" x14ac:dyDescent="0.2">
      <c r="A159" s="22"/>
      <c r="B159" s="4" t="s">
        <v>1019</v>
      </c>
      <c r="C159" s="24">
        <v>14.248900000000001</v>
      </c>
      <c r="D159" s="24">
        <v>15.2836</v>
      </c>
      <c r="E159" s="22"/>
      <c r="F159" s="19"/>
      <c r="G159" s="25"/>
    </row>
    <row r="160" spans="1:8" x14ac:dyDescent="0.2">
      <c r="A160" s="22"/>
      <c r="B160" s="4" t="s">
        <v>145</v>
      </c>
      <c r="C160" s="24">
        <v>13.9192</v>
      </c>
      <c r="D160" s="24">
        <v>14.922800000000001</v>
      </c>
      <c r="E160" s="22"/>
      <c r="F160" s="19"/>
      <c r="G160" s="25"/>
    </row>
    <row r="161" spans="1:7" x14ac:dyDescent="0.2">
      <c r="A161" s="22"/>
      <c r="B161" s="4" t="s">
        <v>1020</v>
      </c>
      <c r="C161" s="24">
        <v>13.9192</v>
      </c>
      <c r="D161" s="24">
        <v>14.922800000000001</v>
      </c>
      <c r="E161" s="22"/>
      <c r="F161" s="19"/>
      <c r="G161" s="25"/>
    </row>
    <row r="162" spans="1:7" ht="14.1" customHeight="1" x14ac:dyDescent="0.2">
      <c r="A162" s="22"/>
      <c r="B162" s="22"/>
      <c r="C162" s="22"/>
      <c r="D162" s="22"/>
      <c r="E162" s="22"/>
      <c r="F162" s="22"/>
      <c r="G162" s="22"/>
    </row>
    <row r="163" spans="1:7" ht="17.100000000000001" customHeight="1" x14ac:dyDescent="0.2">
      <c r="A163" s="22"/>
      <c r="B163" s="199" t="s">
        <v>1021</v>
      </c>
      <c r="C163" s="200"/>
      <c r="D163" s="2" t="s">
        <v>136</v>
      </c>
      <c r="E163" s="22"/>
      <c r="F163" s="22"/>
      <c r="G163" s="22"/>
    </row>
    <row r="164" spans="1:7" ht="18" customHeight="1" x14ac:dyDescent="0.2">
      <c r="A164" s="22"/>
      <c r="B164" s="26"/>
      <c r="C164" s="26"/>
      <c r="D164" s="27"/>
      <c r="E164" s="22"/>
      <c r="F164" s="22"/>
      <c r="G164" s="22"/>
    </row>
    <row r="165" spans="1:7" s="125" customFormat="1" x14ac:dyDescent="0.2">
      <c r="B165" s="201" t="s">
        <v>825</v>
      </c>
      <c r="C165" s="201"/>
      <c r="D165" s="201"/>
      <c r="E165" s="201"/>
      <c r="F165" s="201"/>
    </row>
    <row r="166" spans="1:7" ht="14.1" customHeight="1" x14ac:dyDescent="0.2">
      <c r="A166" s="22"/>
      <c r="B166" s="19"/>
      <c r="C166" s="19"/>
      <c r="D166" s="22"/>
      <c r="E166" s="22"/>
      <c r="F166" s="22"/>
      <c r="G166" s="22"/>
    </row>
    <row r="167" spans="1:7" ht="29.1" customHeight="1" x14ac:dyDescent="0.2">
      <c r="A167" s="22"/>
      <c r="B167" s="199" t="s">
        <v>146</v>
      </c>
      <c r="C167" s="200"/>
      <c r="D167" s="2" t="s">
        <v>136</v>
      </c>
      <c r="E167" s="22"/>
      <c r="F167" s="22"/>
      <c r="G167" s="22"/>
    </row>
    <row r="168" spans="1:7" ht="29.1" customHeight="1" x14ac:dyDescent="0.2">
      <c r="A168" s="22"/>
      <c r="B168" s="199" t="s">
        <v>147</v>
      </c>
      <c r="C168" s="200"/>
      <c r="D168" s="2" t="s">
        <v>136</v>
      </c>
      <c r="E168" s="22"/>
      <c r="F168" s="22"/>
      <c r="G168" s="22"/>
    </row>
    <row r="169" spans="1:7" ht="17.100000000000001" customHeight="1" x14ac:dyDescent="0.2">
      <c r="A169" s="22"/>
      <c r="B169" s="199" t="s">
        <v>148</v>
      </c>
      <c r="C169" s="200"/>
      <c r="D169" s="28">
        <v>0.49303273450230883</v>
      </c>
      <c r="E169" s="22"/>
      <c r="F169" s="19"/>
      <c r="G169" s="25"/>
    </row>
    <row r="170" spans="1:7" ht="17.100000000000001" customHeight="1" x14ac:dyDescent="0.2">
      <c r="A170" s="22"/>
      <c r="B170" s="199" t="s">
        <v>149</v>
      </c>
      <c r="C170" s="200"/>
      <c r="D170" s="2" t="s">
        <v>136</v>
      </c>
      <c r="E170" s="22"/>
      <c r="F170" s="22"/>
      <c r="G170" s="22"/>
    </row>
  </sheetData>
  <mergeCells count="16">
    <mergeCell ref="J2:N2"/>
    <mergeCell ref="B152:C152"/>
    <mergeCell ref="B149:F149"/>
    <mergeCell ref="B150:F150"/>
    <mergeCell ref="A1:H1"/>
    <mergeCell ref="A2:H2"/>
    <mergeCell ref="A3:H3"/>
    <mergeCell ref="B169:C169"/>
    <mergeCell ref="B170:C170"/>
    <mergeCell ref="B153:C153"/>
    <mergeCell ref="B154:C154"/>
    <mergeCell ref="B155:C155"/>
    <mergeCell ref="B163:C163"/>
    <mergeCell ref="B167:C167"/>
    <mergeCell ref="B168:C168"/>
    <mergeCell ref="B165:F16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71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301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26959</v>
      </c>
      <c r="F7" s="6">
        <v>370.05271349999998</v>
      </c>
      <c r="G7" s="138">
        <v>3.2339277999999999E-2</v>
      </c>
      <c r="H7" s="142"/>
    </row>
    <row r="8" spans="1:14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8708</v>
      </c>
      <c r="F8" s="6">
        <v>320.86802999999998</v>
      </c>
      <c r="G8" s="138">
        <v>2.8040979000000001E-2</v>
      </c>
      <c r="H8" s="142"/>
    </row>
    <row r="9" spans="1:14" x14ac:dyDescent="0.2">
      <c r="A9" s="3">
        <v>3</v>
      </c>
      <c r="B9" s="4" t="s">
        <v>154</v>
      </c>
      <c r="C9" s="4" t="s">
        <v>155</v>
      </c>
      <c r="D9" s="4" t="s">
        <v>27</v>
      </c>
      <c r="E9" s="5">
        <v>32056</v>
      </c>
      <c r="F9" s="6">
        <v>297.19117599999998</v>
      </c>
      <c r="G9" s="138">
        <v>2.5971834999999999E-2</v>
      </c>
      <c r="H9" s="142"/>
    </row>
    <row r="10" spans="1:14" x14ac:dyDescent="0.2">
      <c r="A10" s="3">
        <v>4</v>
      </c>
      <c r="B10" s="4" t="s">
        <v>156</v>
      </c>
      <c r="C10" s="4" t="s">
        <v>157</v>
      </c>
      <c r="D10" s="4" t="s">
        <v>1024</v>
      </c>
      <c r="E10" s="5">
        <v>20482</v>
      </c>
      <c r="F10" s="6">
        <v>270.92565500000001</v>
      </c>
      <c r="G10" s="138">
        <v>2.3676465000000001E-2</v>
      </c>
      <c r="H10" s="142"/>
    </row>
    <row r="11" spans="1:14" x14ac:dyDescent="0.2">
      <c r="A11" s="3">
        <v>5</v>
      </c>
      <c r="B11" s="4" t="s">
        <v>158</v>
      </c>
      <c r="C11" s="4" t="s">
        <v>159</v>
      </c>
      <c r="D11" s="4" t="s">
        <v>80</v>
      </c>
      <c r="E11" s="5">
        <v>219932</v>
      </c>
      <c r="F11" s="6">
        <v>266.11772000000002</v>
      </c>
      <c r="G11" s="138">
        <v>2.3256295E-2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32433</v>
      </c>
      <c r="F12" s="6">
        <v>258.52344299999999</v>
      </c>
      <c r="G12" s="138">
        <v>2.2592622999999999E-2</v>
      </c>
      <c r="H12" s="142"/>
    </row>
    <row r="13" spans="1:14" x14ac:dyDescent="0.2">
      <c r="A13" s="3">
        <v>7</v>
      </c>
      <c r="B13" s="4" t="s">
        <v>299</v>
      </c>
      <c r="C13" s="4" t="s">
        <v>300</v>
      </c>
      <c r="D13" s="4" t="s">
        <v>66</v>
      </c>
      <c r="E13" s="5">
        <v>12753</v>
      </c>
      <c r="F13" s="6">
        <v>238.05387450000001</v>
      </c>
      <c r="G13" s="138">
        <v>2.0803767000000001E-2</v>
      </c>
      <c r="H13" s="142"/>
    </row>
    <row r="14" spans="1:14" x14ac:dyDescent="0.2">
      <c r="A14" s="3">
        <v>8</v>
      </c>
      <c r="B14" s="4" t="s">
        <v>52</v>
      </c>
      <c r="C14" s="4" t="s">
        <v>53</v>
      </c>
      <c r="D14" s="4" t="s">
        <v>51</v>
      </c>
      <c r="E14" s="5">
        <v>75453</v>
      </c>
      <c r="F14" s="6">
        <v>233.64021450000001</v>
      </c>
      <c r="G14" s="138">
        <v>2.0418052999999999E-2</v>
      </c>
      <c r="H14" s="142"/>
    </row>
    <row r="15" spans="1:14" x14ac:dyDescent="0.2">
      <c r="A15" s="3">
        <v>9</v>
      </c>
      <c r="B15" s="4" t="s">
        <v>162</v>
      </c>
      <c r="C15" s="4" t="s">
        <v>163</v>
      </c>
      <c r="D15" s="4" t="s">
        <v>164</v>
      </c>
      <c r="E15" s="5">
        <v>68359</v>
      </c>
      <c r="F15" s="6">
        <v>233.6168825</v>
      </c>
      <c r="G15" s="138">
        <v>2.0416014E-2</v>
      </c>
      <c r="H15" s="142"/>
    </row>
    <row r="16" spans="1:14" ht="15" x14ac:dyDescent="0.2">
      <c r="A16" s="3">
        <v>10</v>
      </c>
      <c r="B16" s="4" t="s">
        <v>208</v>
      </c>
      <c r="C16" s="4" t="s">
        <v>209</v>
      </c>
      <c r="D16" s="4" t="s">
        <v>153</v>
      </c>
      <c r="E16" s="5">
        <v>16091</v>
      </c>
      <c r="F16" s="6">
        <v>233.52063749999999</v>
      </c>
      <c r="G16" s="138">
        <v>2.0407603E-2</v>
      </c>
      <c r="H16" s="142"/>
      <c r="J16" s="163" t="s">
        <v>1033</v>
      </c>
    </row>
    <row r="17" spans="1:8" x14ac:dyDescent="0.2">
      <c r="A17" s="3">
        <v>11</v>
      </c>
      <c r="B17" s="4" t="s">
        <v>165</v>
      </c>
      <c r="C17" s="4" t="s">
        <v>166</v>
      </c>
      <c r="D17" s="4" t="s">
        <v>51</v>
      </c>
      <c r="E17" s="5">
        <v>45924</v>
      </c>
      <c r="F17" s="6">
        <v>217.059786</v>
      </c>
      <c r="G17" s="138">
        <v>1.8969072999999999E-2</v>
      </c>
      <c r="H17" s="142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164</v>
      </c>
      <c r="E18" s="5">
        <v>5738</v>
      </c>
      <c r="F18" s="6">
        <v>213.24129400000001</v>
      </c>
      <c r="G18" s="138">
        <v>1.8635371000000001E-2</v>
      </c>
      <c r="H18" s="142"/>
    </row>
    <row r="19" spans="1:8" ht="25.5" x14ac:dyDescent="0.2">
      <c r="A19" s="3">
        <v>13</v>
      </c>
      <c r="B19" s="4" t="s">
        <v>30</v>
      </c>
      <c r="C19" s="4" t="s">
        <v>31</v>
      </c>
      <c r="D19" s="4" t="s">
        <v>1023</v>
      </c>
      <c r="E19" s="5">
        <v>6481</v>
      </c>
      <c r="F19" s="6">
        <v>201.41327749999999</v>
      </c>
      <c r="G19" s="138">
        <v>1.7601709E-2</v>
      </c>
      <c r="H19" s="142"/>
    </row>
    <row r="20" spans="1:8" x14ac:dyDescent="0.2">
      <c r="A20" s="3">
        <v>14</v>
      </c>
      <c r="B20" s="4" t="s">
        <v>174</v>
      </c>
      <c r="C20" s="4" t="s">
        <v>175</v>
      </c>
      <c r="D20" s="4" t="s">
        <v>335</v>
      </c>
      <c r="E20" s="5">
        <v>19956</v>
      </c>
      <c r="F20" s="6">
        <v>197.404752</v>
      </c>
      <c r="G20" s="138">
        <v>1.7251399000000001E-2</v>
      </c>
      <c r="H20" s="142"/>
    </row>
    <row r="21" spans="1:8" x14ac:dyDescent="0.2">
      <c r="A21" s="3">
        <v>15</v>
      </c>
      <c r="B21" s="4" t="s">
        <v>176</v>
      </c>
      <c r="C21" s="4" t="s">
        <v>177</v>
      </c>
      <c r="D21" s="4" t="s">
        <v>1026</v>
      </c>
      <c r="E21" s="5">
        <v>49783</v>
      </c>
      <c r="F21" s="6">
        <v>195.7716475</v>
      </c>
      <c r="G21" s="138">
        <v>1.7108681000000001E-2</v>
      </c>
      <c r="H21" s="142"/>
    </row>
    <row r="22" spans="1:8" x14ac:dyDescent="0.2">
      <c r="A22" s="3">
        <v>16</v>
      </c>
      <c r="B22" s="4" t="s">
        <v>171</v>
      </c>
      <c r="C22" s="4" t="s">
        <v>172</v>
      </c>
      <c r="D22" s="4" t="s">
        <v>173</v>
      </c>
      <c r="E22" s="5">
        <v>20028</v>
      </c>
      <c r="F22" s="6">
        <v>188.95416599999999</v>
      </c>
      <c r="G22" s="138">
        <v>1.6512894E-2</v>
      </c>
      <c r="H22" s="142"/>
    </row>
    <row r="23" spans="1:8" ht="25.5" x14ac:dyDescent="0.2">
      <c r="A23" s="3">
        <v>17</v>
      </c>
      <c r="B23" s="4" t="s">
        <v>178</v>
      </c>
      <c r="C23" s="4" t="s">
        <v>933</v>
      </c>
      <c r="D23" s="4" t="s">
        <v>37</v>
      </c>
      <c r="E23" s="5">
        <v>72461</v>
      </c>
      <c r="F23" s="6">
        <v>187.05807150000001</v>
      </c>
      <c r="G23" s="138">
        <v>1.6347192999999999E-2</v>
      </c>
      <c r="H23" s="142"/>
    </row>
    <row r="24" spans="1:8" x14ac:dyDescent="0.2">
      <c r="A24" s="3">
        <v>18</v>
      </c>
      <c r="B24" s="4" t="s">
        <v>186</v>
      </c>
      <c r="C24" s="4" t="s">
        <v>187</v>
      </c>
      <c r="D24" s="4" t="s">
        <v>207</v>
      </c>
      <c r="E24" s="5">
        <v>14088</v>
      </c>
      <c r="F24" s="6">
        <v>180.71382</v>
      </c>
      <c r="G24" s="138">
        <v>1.5792761999999998E-2</v>
      </c>
      <c r="H24" s="142"/>
    </row>
    <row r="25" spans="1:8" x14ac:dyDescent="0.2">
      <c r="A25" s="3">
        <v>19</v>
      </c>
      <c r="B25" s="4" t="s">
        <v>179</v>
      </c>
      <c r="C25" s="4" t="s">
        <v>180</v>
      </c>
      <c r="D25" s="4" t="s">
        <v>181</v>
      </c>
      <c r="E25" s="5">
        <v>72801</v>
      </c>
      <c r="F25" s="6">
        <v>180.10967400000001</v>
      </c>
      <c r="G25" s="138">
        <v>1.5739965000000002E-2</v>
      </c>
      <c r="H25" s="142"/>
    </row>
    <row r="26" spans="1:8" x14ac:dyDescent="0.2">
      <c r="A26" s="3">
        <v>20</v>
      </c>
      <c r="B26" s="4" t="s">
        <v>182</v>
      </c>
      <c r="C26" s="4" t="s">
        <v>183</v>
      </c>
      <c r="D26" s="4" t="s">
        <v>164</v>
      </c>
      <c r="E26" s="5">
        <v>3348</v>
      </c>
      <c r="F26" s="6">
        <v>178.932186</v>
      </c>
      <c r="G26" s="138">
        <v>1.5637063E-2</v>
      </c>
      <c r="H26" s="142"/>
    </row>
    <row r="27" spans="1:8" x14ac:dyDescent="0.2">
      <c r="A27" s="3">
        <v>21</v>
      </c>
      <c r="B27" s="4" t="s">
        <v>44</v>
      </c>
      <c r="C27" s="4" t="s">
        <v>45</v>
      </c>
      <c r="D27" s="4" t="s">
        <v>27</v>
      </c>
      <c r="E27" s="5">
        <v>14186</v>
      </c>
      <c r="F27" s="6">
        <v>173.23943199999999</v>
      </c>
      <c r="G27" s="138">
        <v>1.5139568000000001E-2</v>
      </c>
      <c r="H27" s="142"/>
    </row>
    <row r="28" spans="1:8" x14ac:dyDescent="0.2">
      <c r="A28" s="3">
        <v>22</v>
      </c>
      <c r="B28" s="4" t="s">
        <v>184</v>
      </c>
      <c r="C28" s="4" t="s">
        <v>185</v>
      </c>
      <c r="D28" s="4" t="s">
        <v>173</v>
      </c>
      <c r="E28" s="5">
        <v>12373</v>
      </c>
      <c r="F28" s="6">
        <v>172.83225049999999</v>
      </c>
      <c r="G28" s="138">
        <v>1.5103984000000001E-2</v>
      </c>
      <c r="H28" s="142"/>
    </row>
    <row r="29" spans="1:8" x14ac:dyDescent="0.2">
      <c r="A29" s="3">
        <v>23</v>
      </c>
      <c r="B29" s="4" t="s">
        <v>195</v>
      </c>
      <c r="C29" s="4" t="s">
        <v>196</v>
      </c>
      <c r="D29" s="4" t="s">
        <v>24</v>
      </c>
      <c r="E29" s="5">
        <v>89800</v>
      </c>
      <c r="F29" s="6">
        <v>171.4282</v>
      </c>
      <c r="G29" s="138">
        <v>1.4981283E-2</v>
      </c>
      <c r="H29" s="142"/>
    </row>
    <row r="30" spans="1:8" ht="25.5" x14ac:dyDescent="0.2">
      <c r="A30" s="3">
        <v>24</v>
      </c>
      <c r="B30" s="4" t="s">
        <v>191</v>
      </c>
      <c r="C30" s="4" t="s">
        <v>192</v>
      </c>
      <c r="D30" s="4" t="s">
        <v>1023</v>
      </c>
      <c r="E30" s="5">
        <v>66035</v>
      </c>
      <c r="F30" s="6">
        <v>169.57787999999999</v>
      </c>
      <c r="G30" s="138">
        <v>1.4819581E-2</v>
      </c>
      <c r="H30" s="142"/>
    </row>
    <row r="31" spans="1:8" ht="25.5" x14ac:dyDescent="0.2">
      <c r="A31" s="3">
        <v>25</v>
      </c>
      <c r="B31" s="4" t="s">
        <v>193</v>
      </c>
      <c r="C31" s="4" t="s">
        <v>194</v>
      </c>
      <c r="D31" s="4" t="s">
        <v>37</v>
      </c>
      <c r="E31" s="5">
        <v>137334</v>
      </c>
      <c r="F31" s="6">
        <v>168.85215299999999</v>
      </c>
      <c r="G31" s="138">
        <v>1.4756159E-2</v>
      </c>
      <c r="H31" s="142"/>
    </row>
    <row r="32" spans="1:8" x14ac:dyDescent="0.2">
      <c r="A32" s="3">
        <v>26</v>
      </c>
      <c r="B32" s="4" t="s">
        <v>201</v>
      </c>
      <c r="C32" s="4" t="s">
        <v>202</v>
      </c>
      <c r="D32" s="4" t="s">
        <v>80</v>
      </c>
      <c r="E32" s="5">
        <v>24381</v>
      </c>
      <c r="F32" s="6">
        <v>167.44870800000001</v>
      </c>
      <c r="G32" s="138">
        <v>1.4633511E-2</v>
      </c>
      <c r="H32" s="142"/>
    </row>
    <row r="33" spans="1:8" x14ac:dyDescent="0.2">
      <c r="A33" s="3">
        <v>27</v>
      </c>
      <c r="B33" s="4" t="s">
        <v>203</v>
      </c>
      <c r="C33" s="4" t="s">
        <v>204</v>
      </c>
      <c r="D33" s="4" t="s">
        <v>80</v>
      </c>
      <c r="E33" s="5">
        <v>28306</v>
      </c>
      <c r="F33" s="6">
        <v>167.033706</v>
      </c>
      <c r="G33" s="138">
        <v>1.4597242999999999E-2</v>
      </c>
      <c r="H33" s="142"/>
    </row>
    <row r="34" spans="1:8" x14ac:dyDescent="0.2">
      <c r="A34" s="3">
        <v>28</v>
      </c>
      <c r="B34" s="4" t="s">
        <v>214</v>
      </c>
      <c r="C34" s="4" t="s">
        <v>215</v>
      </c>
      <c r="D34" s="4" t="s">
        <v>216</v>
      </c>
      <c r="E34" s="5">
        <v>61316</v>
      </c>
      <c r="F34" s="6">
        <v>166.99412599999999</v>
      </c>
      <c r="G34" s="138">
        <v>1.4593784E-2</v>
      </c>
      <c r="H34" s="142"/>
    </row>
    <row r="35" spans="1:8" x14ac:dyDescent="0.2">
      <c r="A35" s="3">
        <v>29</v>
      </c>
      <c r="B35" s="4" t="s">
        <v>197</v>
      </c>
      <c r="C35" s="4" t="s">
        <v>198</v>
      </c>
      <c r="D35" s="4" t="s">
        <v>51</v>
      </c>
      <c r="E35" s="5">
        <v>16226</v>
      </c>
      <c r="F35" s="6">
        <v>166.42196899999999</v>
      </c>
      <c r="G35" s="138">
        <v>1.4543782999999999E-2</v>
      </c>
      <c r="H35" s="142"/>
    </row>
    <row r="36" spans="1:8" x14ac:dyDescent="0.2">
      <c r="A36" s="3">
        <v>30</v>
      </c>
      <c r="B36" s="4" t="s">
        <v>302</v>
      </c>
      <c r="C36" s="4" t="s">
        <v>303</v>
      </c>
      <c r="D36" s="4" t="s">
        <v>27</v>
      </c>
      <c r="E36" s="5">
        <v>23981</v>
      </c>
      <c r="F36" s="6">
        <v>163.214686</v>
      </c>
      <c r="G36" s="138">
        <v>1.4263494999999999E-2</v>
      </c>
      <c r="H36" s="142"/>
    </row>
    <row r="37" spans="1:8" x14ac:dyDescent="0.2">
      <c r="A37" s="3">
        <v>31</v>
      </c>
      <c r="B37" s="4" t="s">
        <v>199</v>
      </c>
      <c r="C37" s="4" t="s">
        <v>200</v>
      </c>
      <c r="D37" s="4" t="s">
        <v>164</v>
      </c>
      <c r="E37" s="5">
        <v>15313</v>
      </c>
      <c r="F37" s="6">
        <v>162.73890750000001</v>
      </c>
      <c r="G37" s="138">
        <v>1.4221917000000001E-2</v>
      </c>
      <c r="H37" s="142"/>
    </row>
    <row r="38" spans="1:8" x14ac:dyDescent="0.2">
      <c r="A38" s="3">
        <v>32</v>
      </c>
      <c r="B38" s="4" t="s">
        <v>210</v>
      </c>
      <c r="C38" s="4" t="s">
        <v>211</v>
      </c>
      <c r="D38" s="4" t="s">
        <v>34</v>
      </c>
      <c r="E38" s="5">
        <v>40089</v>
      </c>
      <c r="F38" s="6">
        <v>162.039738</v>
      </c>
      <c r="G38" s="138">
        <v>1.4160815E-2</v>
      </c>
      <c r="H38" s="142"/>
    </row>
    <row r="39" spans="1:8" x14ac:dyDescent="0.2">
      <c r="A39" s="3">
        <v>33</v>
      </c>
      <c r="B39" s="4" t="s">
        <v>74</v>
      </c>
      <c r="C39" s="4" t="s">
        <v>75</v>
      </c>
      <c r="D39" s="4" t="s">
        <v>66</v>
      </c>
      <c r="E39" s="5">
        <v>39179</v>
      </c>
      <c r="F39" s="6">
        <v>160.63390000000001</v>
      </c>
      <c r="G39" s="138">
        <v>1.4037958E-2</v>
      </c>
      <c r="H39" s="142"/>
    </row>
    <row r="40" spans="1:8" x14ac:dyDescent="0.2">
      <c r="A40" s="3">
        <v>34</v>
      </c>
      <c r="B40" s="4" t="s">
        <v>205</v>
      </c>
      <c r="C40" s="4" t="s">
        <v>206</v>
      </c>
      <c r="D40" s="4" t="s">
        <v>207</v>
      </c>
      <c r="E40" s="5">
        <v>35139</v>
      </c>
      <c r="F40" s="6">
        <v>157.86195749999999</v>
      </c>
      <c r="G40" s="138">
        <v>1.3795715E-2</v>
      </c>
      <c r="H40" s="142"/>
    </row>
    <row r="41" spans="1:8" x14ac:dyDescent="0.2">
      <c r="A41" s="3">
        <v>35</v>
      </c>
      <c r="B41" s="4" t="s">
        <v>296</v>
      </c>
      <c r="C41" s="4" t="s">
        <v>297</v>
      </c>
      <c r="D41" s="4" t="s">
        <v>27</v>
      </c>
      <c r="E41" s="5">
        <v>12647</v>
      </c>
      <c r="F41" s="6">
        <v>154.74869200000001</v>
      </c>
      <c r="G41" s="138">
        <v>1.3523644E-2</v>
      </c>
      <c r="H41" s="142"/>
    </row>
    <row r="42" spans="1:8" x14ac:dyDescent="0.2">
      <c r="A42" s="3">
        <v>36</v>
      </c>
      <c r="B42" s="4" t="s">
        <v>212</v>
      </c>
      <c r="C42" s="4" t="s">
        <v>213</v>
      </c>
      <c r="D42" s="4" t="s">
        <v>1027</v>
      </c>
      <c r="E42" s="5">
        <v>16000</v>
      </c>
      <c r="F42" s="6">
        <v>146.59200000000001</v>
      </c>
      <c r="G42" s="138">
        <v>1.2810821999999999E-2</v>
      </c>
      <c r="H42" s="142"/>
    </row>
    <row r="43" spans="1:8" x14ac:dyDescent="0.2">
      <c r="A43" s="3">
        <v>37</v>
      </c>
      <c r="B43" s="4" t="s">
        <v>219</v>
      </c>
      <c r="C43" s="4" t="s">
        <v>220</v>
      </c>
      <c r="D43" s="4" t="s">
        <v>59</v>
      </c>
      <c r="E43" s="5">
        <v>59601</v>
      </c>
      <c r="F43" s="6">
        <v>144.53242499999999</v>
      </c>
      <c r="G43" s="138">
        <v>1.2630834000000001E-2</v>
      </c>
      <c r="H43" s="142"/>
    </row>
    <row r="44" spans="1:8" ht="25.5" x14ac:dyDescent="0.2">
      <c r="A44" s="3">
        <v>38</v>
      </c>
      <c r="B44" s="4" t="s">
        <v>217</v>
      </c>
      <c r="C44" s="4" t="s">
        <v>218</v>
      </c>
      <c r="D44" s="4" t="s">
        <v>90</v>
      </c>
      <c r="E44" s="5">
        <v>31242</v>
      </c>
      <c r="F44" s="6">
        <v>142.63535100000001</v>
      </c>
      <c r="G44" s="138">
        <v>1.2465047E-2</v>
      </c>
      <c r="H44" s="142"/>
    </row>
    <row r="45" spans="1:8" x14ac:dyDescent="0.2">
      <c r="A45" s="3">
        <v>39</v>
      </c>
      <c r="B45" s="4" t="s">
        <v>233</v>
      </c>
      <c r="C45" s="4" t="s">
        <v>234</v>
      </c>
      <c r="D45" s="4" t="s">
        <v>1025</v>
      </c>
      <c r="E45" s="5">
        <v>9205</v>
      </c>
      <c r="F45" s="6">
        <v>134.5448825</v>
      </c>
      <c r="G45" s="138">
        <v>1.1758012E-2</v>
      </c>
      <c r="H45" s="142"/>
    </row>
    <row r="46" spans="1:8" x14ac:dyDescent="0.2">
      <c r="A46" s="3">
        <v>40</v>
      </c>
      <c r="B46" s="4" t="s">
        <v>223</v>
      </c>
      <c r="C46" s="4" t="s">
        <v>224</v>
      </c>
      <c r="D46" s="4" t="s">
        <v>66</v>
      </c>
      <c r="E46" s="5">
        <v>13938</v>
      </c>
      <c r="F46" s="6">
        <v>133.58876100000001</v>
      </c>
      <c r="G46" s="138">
        <v>1.1674456E-2</v>
      </c>
      <c r="H46" s="142"/>
    </row>
    <row r="47" spans="1:8" x14ac:dyDescent="0.2">
      <c r="A47" s="3">
        <v>41</v>
      </c>
      <c r="B47" s="4" t="s">
        <v>221</v>
      </c>
      <c r="C47" s="4" t="s">
        <v>222</v>
      </c>
      <c r="D47" s="4" t="s">
        <v>207</v>
      </c>
      <c r="E47" s="5">
        <v>21308</v>
      </c>
      <c r="F47" s="6">
        <v>131.35316599999999</v>
      </c>
      <c r="G47" s="138">
        <v>1.1479085E-2</v>
      </c>
      <c r="H47" s="142"/>
    </row>
    <row r="48" spans="1:8" x14ac:dyDescent="0.2">
      <c r="A48" s="3">
        <v>42</v>
      </c>
      <c r="B48" s="4" t="s">
        <v>225</v>
      </c>
      <c r="C48" s="4" t="s">
        <v>226</v>
      </c>
      <c r="D48" s="4" t="s">
        <v>1028</v>
      </c>
      <c r="E48" s="5">
        <v>23112</v>
      </c>
      <c r="F48" s="6">
        <v>130.88325599999999</v>
      </c>
      <c r="G48" s="138">
        <v>1.1438019000000001E-2</v>
      </c>
      <c r="H48" s="142"/>
    </row>
    <row r="49" spans="1:8" x14ac:dyDescent="0.2">
      <c r="A49" s="3">
        <v>43</v>
      </c>
      <c r="B49" s="4" t="s">
        <v>227</v>
      </c>
      <c r="C49" s="4" t="s">
        <v>228</v>
      </c>
      <c r="D49" s="4" t="s">
        <v>66</v>
      </c>
      <c r="E49" s="5">
        <v>128038</v>
      </c>
      <c r="F49" s="6">
        <v>126.053411</v>
      </c>
      <c r="G49" s="138">
        <v>1.1015934E-2</v>
      </c>
      <c r="H49" s="142"/>
    </row>
    <row r="50" spans="1:8" x14ac:dyDescent="0.2">
      <c r="A50" s="3">
        <v>44</v>
      </c>
      <c r="B50" s="4" t="s">
        <v>235</v>
      </c>
      <c r="C50" s="4" t="s">
        <v>236</v>
      </c>
      <c r="D50" s="4" t="s">
        <v>27</v>
      </c>
      <c r="E50" s="5">
        <v>7016</v>
      </c>
      <c r="F50" s="6">
        <v>118.917692</v>
      </c>
      <c r="G50" s="138">
        <v>1.0392337E-2</v>
      </c>
      <c r="H50" s="142"/>
    </row>
    <row r="51" spans="1:8" ht="25.5" x14ac:dyDescent="0.2">
      <c r="A51" s="3">
        <v>45</v>
      </c>
      <c r="B51" s="4" t="s">
        <v>244</v>
      </c>
      <c r="C51" s="4" t="s">
        <v>245</v>
      </c>
      <c r="D51" s="4" t="s">
        <v>1029</v>
      </c>
      <c r="E51" s="5">
        <v>100256</v>
      </c>
      <c r="F51" s="6">
        <v>111.935824</v>
      </c>
      <c r="G51" s="138">
        <v>9.7821839999999993E-3</v>
      </c>
      <c r="H51" s="142"/>
    </row>
    <row r="52" spans="1:8" x14ac:dyDescent="0.2">
      <c r="A52" s="3">
        <v>46</v>
      </c>
      <c r="B52" s="4" t="s">
        <v>239</v>
      </c>
      <c r="C52" s="4" t="s">
        <v>240</v>
      </c>
      <c r="D52" s="4" t="s">
        <v>207</v>
      </c>
      <c r="E52" s="5">
        <v>5980</v>
      </c>
      <c r="F52" s="6">
        <v>111.64361</v>
      </c>
      <c r="G52" s="138">
        <v>9.7566470000000002E-3</v>
      </c>
      <c r="H52" s="142"/>
    </row>
    <row r="53" spans="1:8" x14ac:dyDescent="0.2">
      <c r="A53" s="3">
        <v>47</v>
      </c>
      <c r="B53" s="4" t="s">
        <v>241</v>
      </c>
      <c r="C53" s="4" t="s">
        <v>242</v>
      </c>
      <c r="D53" s="4" t="s">
        <v>243</v>
      </c>
      <c r="E53" s="5">
        <v>22498</v>
      </c>
      <c r="F53" s="6">
        <v>111.410096</v>
      </c>
      <c r="G53" s="138">
        <v>9.7362400000000002E-3</v>
      </c>
      <c r="H53" s="142"/>
    </row>
    <row r="54" spans="1:8" ht="25.5" x14ac:dyDescent="0.2">
      <c r="A54" s="3">
        <v>48</v>
      </c>
      <c r="B54" s="4" t="s">
        <v>248</v>
      </c>
      <c r="C54" s="4" t="s">
        <v>249</v>
      </c>
      <c r="D54" s="4" t="s">
        <v>153</v>
      </c>
      <c r="E54" s="5">
        <v>24937</v>
      </c>
      <c r="F54" s="6">
        <v>108.2889225</v>
      </c>
      <c r="G54" s="138">
        <v>9.4634780000000009E-3</v>
      </c>
      <c r="H54" s="142"/>
    </row>
    <row r="55" spans="1:8" x14ac:dyDescent="0.2">
      <c r="A55" s="3">
        <v>49</v>
      </c>
      <c r="B55" s="4" t="s">
        <v>246</v>
      </c>
      <c r="C55" s="4" t="s">
        <v>247</v>
      </c>
      <c r="D55" s="4" t="s">
        <v>80</v>
      </c>
      <c r="E55" s="5">
        <v>195431</v>
      </c>
      <c r="F55" s="6">
        <v>107.3893345</v>
      </c>
      <c r="G55" s="138">
        <v>9.3848620000000008E-3</v>
      </c>
      <c r="H55" s="142"/>
    </row>
    <row r="56" spans="1:8" ht="25.5" x14ac:dyDescent="0.2">
      <c r="A56" s="3">
        <v>50</v>
      </c>
      <c r="B56" s="4" t="s">
        <v>252</v>
      </c>
      <c r="C56" s="4" t="s">
        <v>253</v>
      </c>
      <c r="D56" s="4" t="s">
        <v>90</v>
      </c>
      <c r="E56" s="5">
        <v>24808</v>
      </c>
      <c r="F56" s="6">
        <v>104.367256</v>
      </c>
      <c r="G56" s="138">
        <v>9.1207590000000009E-3</v>
      </c>
      <c r="H56" s="142"/>
    </row>
    <row r="57" spans="1:8" x14ac:dyDescent="0.2">
      <c r="A57" s="3">
        <v>51</v>
      </c>
      <c r="B57" s="4" t="s">
        <v>304</v>
      </c>
      <c r="C57" s="4" t="s">
        <v>305</v>
      </c>
      <c r="D57" s="4" t="s">
        <v>1028</v>
      </c>
      <c r="E57" s="5">
        <v>270455</v>
      </c>
      <c r="F57" s="6">
        <v>104.125175</v>
      </c>
      <c r="G57" s="138">
        <v>9.0996040000000007E-3</v>
      </c>
      <c r="H57" s="142"/>
    </row>
    <row r="58" spans="1:8" x14ac:dyDescent="0.2">
      <c r="A58" s="3">
        <v>52</v>
      </c>
      <c r="B58" s="4" t="s">
        <v>250</v>
      </c>
      <c r="C58" s="4" t="s">
        <v>251</v>
      </c>
      <c r="D58" s="4" t="s">
        <v>164</v>
      </c>
      <c r="E58" s="5">
        <v>7480</v>
      </c>
      <c r="F58" s="6">
        <v>103.22026</v>
      </c>
      <c r="G58" s="138">
        <v>9.0205219999999996E-3</v>
      </c>
      <c r="H58" s="142"/>
    </row>
    <row r="59" spans="1:8" x14ac:dyDescent="0.2">
      <c r="A59" s="3">
        <v>53</v>
      </c>
      <c r="B59" s="4" t="s">
        <v>167</v>
      </c>
      <c r="C59" s="4" t="s">
        <v>168</v>
      </c>
      <c r="D59" s="4" t="s">
        <v>1025</v>
      </c>
      <c r="E59" s="5">
        <v>50262</v>
      </c>
      <c r="F59" s="6">
        <v>102.98683800000001</v>
      </c>
      <c r="G59" s="138">
        <v>9.0001230000000005E-3</v>
      </c>
      <c r="H59" s="142"/>
    </row>
    <row r="60" spans="1:8" ht="25.5" x14ac:dyDescent="0.2">
      <c r="A60" s="3">
        <v>54</v>
      </c>
      <c r="B60" s="4" t="s">
        <v>255</v>
      </c>
      <c r="C60" s="4" t="s">
        <v>256</v>
      </c>
      <c r="D60" s="4" t="s">
        <v>90</v>
      </c>
      <c r="E60" s="5">
        <v>25988</v>
      </c>
      <c r="F60" s="6">
        <v>99.936853999999997</v>
      </c>
      <c r="G60" s="138">
        <v>8.7335820000000002E-3</v>
      </c>
      <c r="H60" s="142"/>
    </row>
    <row r="61" spans="1:8" ht="25.5" x14ac:dyDescent="0.2">
      <c r="A61" s="3">
        <v>55</v>
      </c>
      <c r="B61" s="4" t="s">
        <v>231</v>
      </c>
      <c r="C61" s="4" t="s">
        <v>232</v>
      </c>
      <c r="D61" s="4" t="s">
        <v>51</v>
      </c>
      <c r="E61" s="5">
        <v>4600</v>
      </c>
      <c r="F61" s="6">
        <v>98.617099999999994</v>
      </c>
      <c r="G61" s="138">
        <v>8.6182470000000008E-3</v>
      </c>
      <c r="H61" s="142"/>
    </row>
    <row r="62" spans="1:8" x14ac:dyDescent="0.2">
      <c r="A62" s="3">
        <v>56</v>
      </c>
      <c r="B62" s="4" t="s">
        <v>49</v>
      </c>
      <c r="C62" s="4" t="s">
        <v>50</v>
      </c>
      <c r="D62" s="4" t="s">
        <v>51</v>
      </c>
      <c r="E62" s="5">
        <v>3000</v>
      </c>
      <c r="F62" s="6">
        <v>97.911000000000001</v>
      </c>
      <c r="G62" s="138">
        <v>8.5565410000000008E-3</v>
      </c>
      <c r="H62" s="142"/>
    </row>
    <row r="63" spans="1:8" x14ac:dyDescent="0.2">
      <c r="A63" s="3">
        <v>57</v>
      </c>
      <c r="B63" s="4" t="s">
        <v>259</v>
      </c>
      <c r="C63" s="4" t="s">
        <v>260</v>
      </c>
      <c r="D63" s="4" t="s">
        <v>207</v>
      </c>
      <c r="E63" s="5">
        <v>18233</v>
      </c>
      <c r="F63" s="6">
        <v>96.315822499999996</v>
      </c>
      <c r="G63" s="138">
        <v>8.4171360000000004E-3</v>
      </c>
      <c r="H63" s="142"/>
    </row>
    <row r="64" spans="1:8" x14ac:dyDescent="0.2">
      <c r="A64" s="3">
        <v>58</v>
      </c>
      <c r="B64" s="4" t="s">
        <v>257</v>
      </c>
      <c r="C64" s="4" t="s">
        <v>258</v>
      </c>
      <c r="D64" s="4" t="s">
        <v>173</v>
      </c>
      <c r="E64" s="5">
        <v>27074</v>
      </c>
      <c r="F64" s="6">
        <v>94.759</v>
      </c>
      <c r="G64" s="138">
        <v>8.2810839999999993E-3</v>
      </c>
      <c r="H64" s="142"/>
    </row>
    <row r="65" spans="1:8" x14ac:dyDescent="0.2">
      <c r="A65" s="3">
        <v>59</v>
      </c>
      <c r="B65" s="4" t="s">
        <v>261</v>
      </c>
      <c r="C65" s="4" t="s">
        <v>262</v>
      </c>
      <c r="D65" s="4" t="s">
        <v>51</v>
      </c>
      <c r="E65" s="5">
        <v>40563</v>
      </c>
      <c r="F65" s="6">
        <v>90.130985999999993</v>
      </c>
      <c r="G65" s="138">
        <v>7.8766370000000006E-3</v>
      </c>
      <c r="H65" s="142"/>
    </row>
    <row r="66" spans="1:8" x14ac:dyDescent="0.2">
      <c r="A66" s="3">
        <v>60</v>
      </c>
      <c r="B66" s="4" t="s">
        <v>263</v>
      </c>
      <c r="C66" s="4" t="s">
        <v>264</v>
      </c>
      <c r="D66" s="4" t="s">
        <v>34</v>
      </c>
      <c r="E66" s="5">
        <v>76703</v>
      </c>
      <c r="F66" s="6">
        <v>88.860425500000005</v>
      </c>
      <c r="G66" s="138">
        <v>7.7656019999999999E-3</v>
      </c>
      <c r="H66" s="142"/>
    </row>
    <row r="67" spans="1:8" x14ac:dyDescent="0.2">
      <c r="A67" s="3">
        <v>61</v>
      </c>
      <c r="B67" s="4" t="s">
        <v>267</v>
      </c>
      <c r="C67" s="4" t="s">
        <v>268</v>
      </c>
      <c r="D67" s="4" t="s">
        <v>1024</v>
      </c>
      <c r="E67" s="5">
        <v>5291</v>
      </c>
      <c r="F67" s="6">
        <v>87.759171499999994</v>
      </c>
      <c r="G67" s="138">
        <v>7.6693619999999999E-3</v>
      </c>
      <c r="H67" s="142"/>
    </row>
    <row r="68" spans="1:8" x14ac:dyDescent="0.2">
      <c r="A68" s="3">
        <v>62</v>
      </c>
      <c r="B68" s="4" t="s">
        <v>265</v>
      </c>
      <c r="C68" s="4" t="s">
        <v>266</v>
      </c>
      <c r="D68" s="4" t="s">
        <v>59</v>
      </c>
      <c r="E68" s="5">
        <v>8427</v>
      </c>
      <c r="F68" s="6">
        <v>87.156247500000006</v>
      </c>
      <c r="G68" s="138">
        <v>7.6166719999999997E-3</v>
      </c>
      <c r="H68" s="142"/>
    </row>
    <row r="69" spans="1:8" x14ac:dyDescent="0.2">
      <c r="A69" s="3">
        <v>63</v>
      </c>
      <c r="B69" s="4" t="s">
        <v>269</v>
      </c>
      <c r="C69" s="4" t="s">
        <v>270</v>
      </c>
      <c r="D69" s="4" t="s">
        <v>1028</v>
      </c>
      <c r="E69" s="5">
        <v>69298</v>
      </c>
      <c r="F69" s="6">
        <v>80.247084000000001</v>
      </c>
      <c r="G69" s="138">
        <v>7.0128730000000002E-3</v>
      </c>
      <c r="H69" s="142"/>
    </row>
    <row r="70" spans="1:8" x14ac:dyDescent="0.2">
      <c r="A70" s="3">
        <v>64</v>
      </c>
      <c r="B70" s="4" t="s">
        <v>275</v>
      </c>
      <c r="C70" s="4" t="s">
        <v>276</v>
      </c>
      <c r="D70" s="4" t="s">
        <v>335</v>
      </c>
      <c r="E70" s="5">
        <v>6019</v>
      </c>
      <c r="F70" s="6">
        <v>74.400858999999997</v>
      </c>
      <c r="G70" s="138">
        <v>6.5019659999999996E-3</v>
      </c>
      <c r="H70" s="142"/>
    </row>
    <row r="71" spans="1:8" x14ac:dyDescent="0.2">
      <c r="A71" s="3">
        <v>65</v>
      </c>
      <c r="B71" s="4" t="s">
        <v>273</v>
      </c>
      <c r="C71" s="4" t="s">
        <v>274</v>
      </c>
      <c r="D71" s="4" t="s">
        <v>173</v>
      </c>
      <c r="E71" s="5">
        <v>12261</v>
      </c>
      <c r="F71" s="6">
        <v>73.467911999999998</v>
      </c>
      <c r="G71" s="138">
        <v>6.4204350000000004E-3</v>
      </c>
      <c r="H71" s="142"/>
    </row>
    <row r="72" spans="1:8" x14ac:dyDescent="0.2">
      <c r="A72" s="3">
        <v>66</v>
      </c>
      <c r="B72" s="4" t="s">
        <v>277</v>
      </c>
      <c r="C72" s="4" t="s">
        <v>278</v>
      </c>
      <c r="D72" s="4" t="s">
        <v>279</v>
      </c>
      <c r="E72" s="5">
        <v>29657</v>
      </c>
      <c r="F72" s="6">
        <v>68.744926000000007</v>
      </c>
      <c r="G72" s="138">
        <v>6.0076879999999997E-3</v>
      </c>
      <c r="H72" s="142"/>
    </row>
    <row r="73" spans="1:8" x14ac:dyDescent="0.2">
      <c r="A73" s="3">
        <v>67</v>
      </c>
      <c r="B73" s="4" t="s">
        <v>282</v>
      </c>
      <c r="C73" s="4" t="s">
        <v>283</v>
      </c>
      <c r="D73" s="4" t="s">
        <v>207</v>
      </c>
      <c r="E73" s="5">
        <v>1256</v>
      </c>
      <c r="F73" s="6">
        <v>67.869215999999994</v>
      </c>
      <c r="G73" s="138">
        <v>5.9311590000000001E-3</v>
      </c>
      <c r="H73" s="142"/>
    </row>
    <row r="74" spans="1:8" x14ac:dyDescent="0.2">
      <c r="A74" s="3">
        <v>68</v>
      </c>
      <c r="B74" s="4" t="s">
        <v>280</v>
      </c>
      <c r="C74" s="4" t="s">
        <v>281</v>
      </c>
      <c r="D74" s="4" t="s">
        <v>24</v>
      </c>
      <c r="E74" s="5">
        <v>71994</v>
      </c>
      <c r="F74" s="6">
        <v>65.514539999999997</v>
      </c>
      <c r="G74" s="138">
        <v>5.7253809999999999E-3</v>
      </c>
      <c r="H74" s="142"/>
    </row>
    <row r="75" spans="1:8" x14ac:dyDescent="0.2">
      <c r="A75" s="3">
        <v>69</v>
      </c>
      <c r="B75" s="4" t="s">
        <v>271</v>
      </c>
      <c r="C75" s="4" t="s">
        <v>272</v>
      </c>
      <c r="D75" s="4" t="s">
        <v>1028</v>
      </c>
      <c r="E75" s="5">
        <v>42305</v>
      </c>
      <c r="F75" s="6">
        <v>61.469164999999997</v>
      </c>
      <c r="G75" s="138">
        <v>5.3718519999999999E-3</v>
      </c>
      <c r="H75" s="142"/>
    </row>
    <row r="76" spans="1:8" x14ac:dyDescent="0.2">
      <c r="A76" s="3">
        <v>70</v>
      </c>
      <c r="B76" s="4" t="s">
        <v>284</v>
      </c>
      <c r="C76" s="4" t="s">
        <v>285</v>
      </c>
      <c r="D76" s="4" t="s">
        <v>164</v>
      </c>
      <c r="E76" s="5">
        <v>11841</v>
      </c>
      <c r="F76" s="6">
        <v>56.842720499999999</v>
      </c>
      <c r="G76" s="138">
        <v>4.9675420000000001E-3</v>
      </c>
      <c r="H76" s="142"/>
    </row>
    <row r="77" spans="1:8" x14ac:dyDescent="0.2">
      <c r="A77" s="3">
        <v>71</v>
      </c>
      <c r="B77" s="4" t="s">
        <v>286</v>
      </c>
      <c r="C77" s="4" t="s">
        <v>287</v>
      </c>
      <c r="D77" s="4" t="s">
        <v>207</v>
      </c>
      <c r="E77" s="5">
        <v>14986</v>
      </c>
      <c r="F77" s="6">
        <v>54.106952999999997</v>
      </c>
      <c r="G77" s="138">
        <v>4.7284609999999998E-3</v>
      </c>
      <c r="H77" s="142"/>
    </row>
    <row r="78" spans="1:8" ht="25.5" x14ac:dyDescent="0.2">
      <c r="A78" s="3">
        <v>72</v>
      </c>
      <c r="B78" s="4" t="s">
        <v>70</v>
      </c>
      <c r="C78" s="4" t="s">
        <v>71</v>
      </c>
      <c r="D78" s="4" t="s">
        <v>37</v>
      </c>
      <c r="E78" s="5">
        <v>6556</v>
      </c>
      <c r="F78" s="6">
        <v>47.206477999999997</v>
      </c>
      <c r="G78" s="138">
        <v>4.1254220000000001E-3</v>
      </c>
      <c r="H78" s="142"/>
    </row>
    <row r="79" spans="1:8" x14ac:dyDescent="0.2">
      <c r="A79" s="3">
        <v>73</v>
      </c>
      <c r="B79" s="4" t="s">
        <v>288</v>
      </c>
      <c r="C79" s="4" t="s">
        <v>289</v>
      </c>
      <c r="D79" s="4" t="s">
        <v>153</v>
      </c>
      <c r="E79" s="5">
        <v>3329</v>
      </c>
      <c r="F79" s="6">
        <v>46.471175500000001</v>
      </c>
      <c r="G79" s="138">
        <v>4.0611629999999996E-3</v>
      </c>
      <c r="H79" s="142"/>
    </row>
    <row r="80" spans="1:8" x14ac:dyDescent="0.2">
      <c r="A80" s="3">
        <v>74</v>
      </c>
      <c r="B80" s="4" t="s">
        <v>64</v>
      </c>
      <c r="C80" s="4" t="s">
        <v>65</v>
      </c>
      <c r="D80" s="4" t="s">
        <v>66</v>
      </c>
      <c r="E80" s="5">
        <v>24117</v>
      </c>
      <c r="F80" s="6">
        <v>39.238359000000003</v>
      </c>
      <c r="G80" s="138">
        <v>3.4290800000000001E-3</v>
      </c>
      <c r="H80" s="142"/>
    </row>
    <row r="81" spans="1:8" x14ac:dyDescent="0.2">
      <c r="A81" s="3">
        <v>75</v>
      </c>
      <c r="B81" s="4" t="s">
        <v>290</v>
      </c>
      <c r="C81" s="4" t="s">
        <v>291</v>
      </c>
      <c r="D81" s="4" t="s">
        <v>153</v>
      </c>
      <c r="E81" s="5">
        <v>2283</v>
      </c>
      <c r="F81" s="6">
        <v>13.9822335</v>
      </c>
      <c r="G81" s="138">
        <v>1.2219209999999999E-3</v>
      </c>
      <c r="H81" s="142"/>
    </row>
    <row r="82" spans="1:8" x14ac:dyDescent="0.2">
      <c r="A82" s="3">
        <v>76</v>
      </c>
      <c r="B82" s="4" t="s">
        <v>292</v>
      </c>
      <c r="C82" s="4" t="s">
        <v>293</v>
      </c>
      <c r="D82" s="4" t="s">
        <v>24</v>
      </c>
      <c r="E82" s="5">
        <v>20745</v>
      </c>
      <c r="F82" s="6">
        <v>12.90339</v>
      </c>
      <c r="G82" s="138">
        <v>1.1276400000000001E-3</v>
      </c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9">
        <v>10926.6152055</v>
      </c>
      <c r="G83" s="139">
        <v>0.954887873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107</v>
      </c>
      <c r="D85" s="1"/>
      <c r="E85" s="1"/>
      <c r="F85" s="1"/>
      <c r="G85" s="137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108</v>
      </c>
      <c r="D88" s="1"/>
      <c r="E88" s="1"/>
      <c r="F88" s="1"/>
      <c r="G88" s="137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109</v>
      </c>
      <c r="D91" s="1"/>
      <c r="E91" s="1"/>
      <c r="F91" s="1"/>
      <c r="G91" s="137"/>
      <c r="H91" s="142"/>
    </row>
    <row r="92" spans="1:8" ht="25.5" x14ac:dyDescent="0.2">
      <c r="A92" s="3">
        <v>1</v>
      </c>
      <c r="B92" s="4" t="s">
        <v>294</v>
      </c>
      <c r="C92" s="4" t="s">
        <v>997</v>
      </c>
      <c r="D92" s="4" t="s">
        <v>66</v>
      </c>
      <c r="E92" s="5">
        <v>41400</v>
      </c>
      <c r="F92" s="6">
        <v>15.380100000000001</v>
      </c>
      <c r="G92" s="138">
        <v>1.3440819999999999E-3</v>
      </c>
      <c r="H92" s="142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9">
        <v>15.380100000000001</v>
      </c>
      <c r="G93" s="139">
        <v>1.3440819999999999E-3</v>
      </c>
      <c r="H93" s="142"/>
    </row>
    <row r="94" spans="1:8" x14ac:dyDescent="0.2">
      <c r="A94" s="1"/>
      <c r="B94" s="1"/>
      <c r="C94" s="11"/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111</v>
      </c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1">
        <v>0</v>
      </c>
      <c r="H96" s="142"/>
    </row>
    <row r="97" spans="1:8" x14ac:dyDescent="0.2">
      <c r="A97" s="1"/>
      <c r="B97" s="1"/>
      <c r="C97" s="11"/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112</v>
      </c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1">
        <v>0</v>
      </c>
      <c r="H99" s="142"/>
    </row>
    <row r="100" spans="1:8" x14ac:dyDescent="0.2">
      <c r="A100" s="1"/>
      <c r="B100" s="1"/>
      <c r="C100" s="11"/>
      <c r="D100" s="1"/>
      <c r="E100" s="1"/>
      <c r="F100" s="12"/>
      <c r="G100" s="140"/>
      <c r="H100" s="142"/>
    </row>
    <row r="101" spans="1:8" x14ac:dyDescent="0.2">
      <c r="A101" s="1"/>
      <c r="B101" s="1"/>
      <c r="C101" s="2" t="s">
        <v>113</v>
      </c>
      <c r="D101" s="1"/>
      <c r="E101" s="1"/>
      <c r="F101" s="9">
        <v>10941.995305500001</v>
      </c>
      <c r="G101" s="139">
        <v>0.95623195500000002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114</v>
      </c>
      <c r="D103" s="1"/>
      <c r="E103" s="1"/>
      <c r="F103" s="12"/>
      <c r="G103" s="140"/>
      <c r="H103" s="142"/>
    </row>
    <row r="104" spans="1:8" ht="25.5" x14ac:dyDescent="0.2">
      <c r="A104" s="1"/>
      <c r="B104" s="1"/>
      <c r="C104" s="2" t="s">
        <v>10</v>
      </c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1">
        <v>0</v>
      </c>
      <c r="H105" s="142"/>
    </row>
    <row r="106" spans="1:8" x14ac:dyDescent="0.2">
      <c r="A106" s="1"/>
      <c r="B106" s="1"/>
      <c r="C106" s="11"/>
      <c r="D106" s="1"/>
      <c r="E106" s="1"/>
      <c r="F106" s="12"/>
      <c r="G106" s="140"/>
      <c r="H106" s="142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37"/>
      <c r="H107" s="142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1">
        <v>0</v>
      </c>
      <c r="H108" s="142"/>
    </row>
    <row r="109" spans="1:8" x14ac:dyDescent="0.2">
      <c r="A109" s="1"/>
      <c r="B109" s="1"/>
      <c r="C109" s="11"/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116</v>
      </c>
      <c r="D110" s="1"/>
      <c r="E110" s="1"/>
      <c r="F110" s="1"/>
      <c r="G110" s="137"/>
      <c r="H110" s="142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1">
        <v>0</v>
      </c>
      <c r="H111" s="142"/>
    </row>
    <row r="112" spans="1:8" x14ac:dyDescent="0.2">
      <c r="A112" s="1"/>
      <c r="B112" s="1"/>
      <c r="C112" s="11"/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117</v>
      </c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1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118</v>
      </c>
      <c r="D116" s="1"/>
      <c r="E116" s="1"/>
      <c r="F116" s="9">
        <v>0</v>
      </c>
      <c r="G116" s="139">
        <v>0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119</v>
      </c>
      <c r="D118" s="1"/>
      <c r="E118" s="1"/>
      <c r="F118" s="12"/>
      <c r="G118" s="140"/>
      <c r="H118" s="142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40"/>
      <c r="H119" s="142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1">
        <v>0</v>
      </c>
      <c r="H120" s="142"/>
    </row>
    <row r="121" spans="1:8" x14ac:dyDescent="0.2">
      <c r="A121" s="1"/>
      <c r="B121" s="1"/>
      <c r="C121" s="11"/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40"/>
      <c r="H122" s="142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1">
        <v>0</v>
      </c>
      <c r="H123" s="142"/>
    </row>
    <row r="124" spans="1:8" x14ac:dyDescent="0.2">
      <c r="A124" s="1"/>
      <c r="B124" s="1"/>
      <c r="C124" s="11"/>
      <c r="D124" s="1"/>
      <c r="E124" s="1"/>
      <c r="F124" s="12"/>
      <c r="G124" s="140"/>
      <c r="H124" s="142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40"/>
      <c r="H125" s="142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1">
        <v>0</v>
      </c>
      <c r="H126" s="142"/>
    </row>
    <row r="127" spans="1:8" x14ac:dyDescent="0.2">
      <c r="A127" s="1"/>
      <c r="B127" s="1"/>
      <c r="C127" s="11"/>
      <c r="D127" s="1"/>
      <c r="E127" s="1"/>
      <c r="F127" s="12"/>
      <c r="G127" s="140"/>
      <c r="H127" s="142"/>
    </row>
    <row r="128" spans="1:8" x14ac:dyDescent="0.2">
      <c r="A128" s="1"/>
      <c r="B128" s="1"/>
      <c r="C128" s="2" t="s">
        <v>123</v>
      </c>
      <c r="D128" s="1"/>
      <c r="E128" s="1"/>
      <c r="F128" s="12"/>
      <c r="G128" s="140"/>
      <c r="H128" s="142"/>
    </row>
    <row r="129" spans="1:8" x14ac:dyDescent="0.2">
      <c r="A129" s="3">
        <v>1</v>
      </c>
      <c r="B129" s="4"/>
      <c r="C129" s="4" t="s">
        <v>124</v>
      </c>
      <c r="D129" s="4"/>
      <c r="E129" s="8"/>
      <c r="F129" s="6">
        <v>439.77010180000002</v>
      </c>
      <c r="G129" s="138">
        <v>3.8431950999999999E-2</v>
      </c>
      <c r="H129" s="152">
        <v>3.3197683930276081</v>
      </c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9">
        <v>439.77010180000002</v>
      </c>
      <c r="G130" s="139">
        <v>3.8431950999999999E-2</v>
      </c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x14ac:dyDescent="0.2">
      <c r="A132" s="1"/>
      <c r="B132" s="1"/>
      <c r="C132" s="2" t="s">
        <v>125</v>
      </c>
      <c r="D132" s="1"/>
      <c r="E132" s="1"/>
      <c r="F132" s="9">
        <v>439.77010180000002</v>
      </c>
      <c r="G132" s="139">
        <v>3.8431950999999999E-2</v>
      </c>
      <c r="H132" s="142"/>
    </row>
    <row r="133" spans="1:8" x14ac:dyDescent="0.2">
      <c r="A133" s="1"/>
      <c r="B133" s="1"/>
      <c r="C133" s="12"/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126</v>
      </c>
      <c r="D134" s="1"/>
      <c r="E134" s="1"/>
      <c r="F134" s="1"/>
      <c r="G134" s="137"/>
      <c r="H134" s="142"/>
    </row>
    <row r="135" spans="1:8" x14ac:dyDescent="0.2">
      <c r="A135" s="1"/>
      <c r="B135" s="1"/>
      <c r="C135" s="2" t="s">
        <v>127</v>
      </c>
      <c r="D135" s="1"/>
      <c r="E135" s="1"/>
      <c r="F135" s="1"/>
      <c r="G135" s="137"/>
      <c r="H135" s="142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1">
        <v>0</v>
      </c>
      <c r="H136" s="142"/>
    </row>
    <row r="137" spans="1:8" x14ac:dyDescent="0.2">
      <c r="A137" s="1"/>
      <c r="B137" s="1"/>
      <c r="C137" s="11"/>
      <c r="D137" s="1"/>
      <c r="E137" s="1"/>
      <c r="F137" s="12"/>
      <c r="G137" s="140"/>
      <c r="H137" s="142"/>
    </row>
    <row r="138" spans="1:8" x14ac:dyDescent="0.2">
      <c r="A138" s="1"/>
      <c r="B138" s="1"/>
      <c r="C138" s="2" t="s">
        <v>128</v>
      </c>
      <c r="D138" s="1"/>
      <c r="E138" s="1"/>
      <c r="F138" s="1"/>
      <c r="G138" s="137"/>
      <c r="H138" s="142"/>
    </row>
    <row r="139" spans="1:8" x14ac:dyDescent="0.2">
      <c r="A139" s="1"/>
      <c r="B139" s="1"/>
      <c r="C139" s="2" t="s">
        <v>129</v>
      </c>
      <c r="D139" s="1"/>
      <c r="E139" s="1"/>
      <c r="F139" s="1"/>
      <c r="G139" s="137"/>
      <c r="H139" s="142"/>
    </row>
    <row r="140" spans="1:8" x14ac:dyDescent="0.2">
      <c r="A140" s="1"/>
      <c r="B140" s="1"/>
      <c r="C140" s="2" t="s">
        <v>105</v>
      </c>
      <c r="D140" s="1"/>
      <c r="E140" s="1" t="s">
        <v>106</v>
      </c>
      <c r="F140" s="13">
        <v>0</v>
      </c>
      <c r="G140" s="141">
        <v>0</v>
      </c>
      <c r="H140" s="142"/>
    </row>
    <row r="141" spans="1:8" x14ac:dyDescent="0.2">
      <c r="A141" s="1"/>
      <c r="B141" s="1"/>
      <c r="C141" s="11"/>
      <c r="D141" s="1"/>
      <c r="E141" s="1"/>
      <c r="F141" s="12"/>
      <c r="G141" s="140"/>
      <c r="H141" s="142"/>
    </row>
    <row r="142" spans="1:8" x14ac:dyDescent="0.2">
      <c r="A142" s="1"/>
      <c r="B142" s="1"/>
      <c r="C142" s="11"/>
      <c r="D142" s="1"/>
      <c r="E142" s="1"/>
      <c r="F142" s="12"/>
      <c r="G142" s="140"/>
      <c r="H142" s="142"/>
    </row>
    <row r="143" spans="1:8" ht="25.5" x14ac:dyDescent="0.2">
      <c r="A143" s="1"/>
      <c r="B143" s="1"/>
      <c r="C143" s="2" t="s">
        <v>130</v>
      </c>
      <c r="D143" s="1"/>
      <c r="E143" s="1"/>
      <c r="F143" s="12"/>
      <c r="G143" s="140"/>
      <c r="H143" s="142"/>
    </row>
    <row r="144" spans="1:8" x14ac:dyDescent="0.2">
      <c r="A144" s="1"/>
      <c r="B144" s="1"/>
      <c r="C144" s="2" t="s">
        <v>105</v>
      </c>
      <c r="D144" s="1"/>
      <c r="E144" s="1" t="s">
        <v>106</v>
      </c>
      <c r="F144" s="13">
        <v>0</v>
      </c>
      <c r="G144" s="141">
        <v>0</v>
      </c>
      <c r="H144" s="142"/>
    </row>
    <row r="145" spans="1:8" x14ac:dyDescent="0.2">
      <c r="A145" s="1"/>
      <c r="B145" s="1"/>
      <c r="C145" s="11"/>
      <c r="D145" s="1"/>
      <c r="E145" s="1"/>
      <c r="F145" s="12"/>
      <c r="G145" s="140"/>
      <c r="H145" s="142"/>
    </row>
    <row r="146" spans="1:8" x14ac:dyDescent="0.2">
      <c r="A146" s="1"/>
      <c r="B146" s="4"/>
      <c r="C146" s="4"/>
      <c r="D146" s="2"/>
      <c r="E146" s="1"/>
      <c r="F146" s="4"/>
      <c r="G146" s="143"/>
      <c r="H146" s="142"/>
    </row>
    <row r="147" spans="1:8" x14ac:dyDescent="0.2">
      <c r="A147" s="8"/>
      <c r="B147" s="4"/>
      <c r="C147" s="4" t="s">
        <v>131</v>
      </c>
      <c r="D147" s="4"/>
      <c r="E147" s="8"/>
      <c r="F147" s="6">
        <v>61.0599816</v>
      </c>
      <c r="G147" s="138">
        <v>5.3360930000000001E-3</v>
      </c>
      <c r="H147" s="142"/>
    </row>
    <row r="148" spans="1:8" x14ac:dyDescent="0.2">
      <c r="A148" s="11"/>
      <c r="B148" s="11"/>
      <c r="C148" s="2" t="s">
        <v>132</v>
      </c>
      <c r="D148" s="15"/>
      <c r="E148" s="15"/>
      <c r="F148" s="9">
        <v>11442.825388900001</v>
      </c>
      <c r="G148" s="139">
        <v>0.99999999900000003</v>
      </c>
      <c r="H148" s="142"/>
    </row>
    <row r="149" spans="1:8" ht="14.1" customHeight="1" x14ac:dyDescent="0.2">
      <c r="A149" s="16"/>
      <c r="B149" s="16"/>
      <c r="C149" s="16"/>
      <c r="D149" s="17"/>
      <c r="E149" s="17"/>
      <c r="F149" s="17"/>
      <c r="G149" s="17"/>
    </row>
    <row r="150" spans="1:8" ht="14.1" customHeight="1" x14ac:dyDescent="0.2">
      <c r="A150" s="18"/>
      <c r="B150" s="205" t="s">
        <v>106</v>
      </c>
      <c r="C150" s="205"/>
      <c r="D150" s="205"/>
      <c r="E150" s="205"/>
      <c r="F150" s="205"/>
      <c r="G150" s="20"/>
    </row>
    <row r="151" spans="1:8" ht="14.1" customHeight="1" x14ac:dyDescent="0.2">
      <c r="A151" s="18"/>
      <c r="B151" s="205" t="s">
        <v>106</v>
      </c>
      <c r="C151" s="205"/>
      <c r="D151" s="205"/>
      <c r="E151" s="205"/>
      <c r="F151" s="205"/>
      <c r="G151" s="20"/>
    </row>
    <row r="152" spans="1:8" ht="14.1" customHeight="1" x14ac:dyDescent="0.2">
      <c r="A152" s="18"/>
      <c r="B152" s="18"/>
      <c r="C152" s="18"/>
      <c r="D152" s="20"/>
      <c r="E152" s="20"/>
      <c r="F152" s="20"/>
      <c r="G152" s="20"/>
    </row>
    <row r="153" spans="1:8" ht="14.1" customHeight="1" x14ac:dyDescent="0.2">
      <c r="A153" s="18"/>
      <c r="B153" s="203" t="s">
        <v>134</v>
      </c>
      <c r="C153" s="204"/>
      <c r="D153" s="12" t="s">
        <v>106</v>
      </c>
      <c r="E153" s="21"/>
      <c r="F153" s="20"/>
      <c r="G153" s="20"/>
    </row>
    <row r="154" spans="1:8" ht="29.1" customHeight="1" x14ac:dyDescent="0.2">
      <c r="A154" s="18"/>
      <c r="B154" s="199" t="s">
        <v>135</v>
      </c>
      <c r="C154" s="200"/>
      <c r="D154" s="2" t="s">
        <v>136</v>
      </c>
      <c r="E154" s="21"/>
      <c r="F154" s="20"/>
      <c r="G154" s="20"/>
    </row>
    <row r="155" spans="1:8" ht="17.100000000000001" customHeight="1" x14ac:dyDescent="0.2">
      <c r="A155" s="18"/>
      <c r="B155" s="199" t="s">
        <v>137</v>
      </c>
      <c r="C155" s="200"/>
      <c r="D155" s="2" t="s">
        <v>136</v>
      </c>
      <c r="E155" s="21"/>
      <c r="F155" s="20"/>
      <c r="G155" s="20"/>
    </row>
    <row r="156" spans="1:8" ht="17.100000000000001" customHeight="1" x14ac:dyDescent="0.2">
      <c r="A156" s="18"/>
      <c r="B156" s="199" t="s">
        <v>138</v>
      </c>
      <c r="C156" s="200"/>
      <c r="D156" s="12" t="s">
        <v>106</v>
      </c>
      <c r="E156" s="21"/>
      <c r="F156" s="20"/>
      <c r="G156" s="20"/>
    </row>
    <row r="157" spans="1:8" ht="24" customHeight="1" x14ac:dyDescent="0.2">
      <c r="A157" s="22"/>
      <c r="B157" s="23" t="s">
        <v>106</v>
      </c>
      <c r="C157" s="23" t="s">
        <v>139</v>
      </c>
      <c r="D157" s="23" t="s">
        <v>140</v>
      </c>
      <c r="E157" s="22"/>
      <c r="F157" s="22"/>
      <c r="G157" s="22"/>
    </row>
    <row r="158" spans="1:8" ht="18" customHeight="1" x14ac:dyDescent="0.2">
      <c r="A158" s="22"/>
      <c r="B158" s="23" t="s">
        <v>141</v>
      </c>
      <c r="C158" s="23" t="s">
        <v>142</v>
      </c>
      <c r="D158" s="23" t="s">
        <v>143</v>
      </c>
      <c r="E158" s="22"/>
      <c r="F158" s="22"/>
      <c r="G158" s="22"/>
    </row>
    <row r="159" spans="1:8" x14ac:dyDescent="0.2">
      <c r="A159" s="22"/>
      <c r="B159" s="4" t="s">
        <v>144</v>
      </c>
      <c r="C159" s="24">
        <v>13.724</v>
      </c>
      <c r="D159" s="24">
        <v>14.6775</v>
      </c>
      <c r="E159" s="22"/>
      <c r="F159" s="19"/>
      <c r="G159" s="25"/>
    </row>
    <row r="160" spans="1:8" x14ac:dyDescent="0.2">
      <c r="A160" s="22"/>
      <c r="B160" s="4" t="s">
        <v>1019</v>
      </c>
      <c r="C160" s="24">
        <v>13.724</v>
      </c>
      <c r="D160" s="24">
        <v>14.6774</v>
      </c>
      <c r="E160" s="22"/>
      <c r="F160" s="19"/>
      <c r="G160" s="25"/>
    </row>
    <row r="161" spans="1:7" x14ac:dyDescent="0.2">
      <c r="A161" s="22"/>
      <c r="B161" s="4" t="s">
        <v>145</v>
      </c>
      <c r="C161" s="24">
        <v>13.229200000000001</v>
      </c>
      <c r="D161" s="24">
        <v>14.141999999999999</v>
      </c>
      <c r="E161" s="22"/>
      <c r="F161" s="19"/>
      <c r="G161" s="25"/>
    </row>
    <row r="162" spans="1:7" x14ac:dyDescent="0.2">
      <c r="A162" s="22"/>
      <c r="B162" s="4" t="s">
        <v>1020</v>
      </c>
      <c r="C162" s="24">
        <v>13.229100000000001</v>
      </c>
      <c r="D162" s="24">
        <v>14.141999999999999</v>
      </c>
      <c r="E162" s="22"/>
      <c r="F162" s="19"/>
      <c r="G162" s="25"/>
    </row>
    <row r="163" spans="1:7" ht="14.1" customHeight="1" x14ac:dyDescent="0.2">
      <c r="A163" s="22"/>
      <c r="B163" s="22"/>
      <c r="C163" s="22"/>
      <c r="D163" s="22"/>
      <c r="E163" s="22"/>
      <c r="F163" s="22"/>
      <c r="G163" s="22"/>
    </row>
    <row r="164" spans="1:7" ht="17.100000000000001" customHeight="1" x14ac:dyDescent="0.2">
      <c r="A164" s="22"/>
      <c r="B164" s="199" t="s">
        <v>1021</v>
      </c>
      <c r="C164" s="200"/>
      <c r="D164" s="2" t="s">
        <v>136</v>
      </c>
      <c r="E164" s="22"/>
      <c r="F164" s="22"/>
      <c r="G164" s="22"/>
    </row>
    <row r="165" spans="1:7" ht="18" customHeight="1" x14ac:dyDescent="0.2">
      <c r="A165" s="22"/>
      <c r="B165" s="26"/>
      <c r="C165" s="26"/>
      <c r="D165" s="27"/>
      <c r="E165" s="22"/>
      <c r="F165" s="22"/>
      <c r="G165" s="22"/>
    </row>
    <row r="166" spans="1:7" s="125" customFormat="1" x14ac:dyDescent="0.2">
      <c r="B166" s="201" t="s">
        <v>825</v>
      </c>
      <c r="C166" s="201"/>
      <c r="D166" s="201"/>
      <c r="E166" s="201"/>
      <c r="F166" s="201"/>
    </row>
    <row r="167" spans="1:7" ht="14.1" customHeight="1" x14ac:dyDescent="0.2">
      <c r="A167" s="22"/>
      <c r="B167" s="19"/>
      <c r="C167" s="19"/>
      <c r="D167" s="22"/>
      <c r="E167" s="22"/>
      <c r="F167" s="22"/>
      <c r="G167" s="22"/>
    </row>
    <row r="168" spans="1:7" ht="29.1" customHeight="1" x14ac:dyDescent="0.2">
      <c r="A168" s="22"/>
      <c r="B168" s="199" t="s">
        <v>146</v>
      </c>
      <c r="C168" s="200"/>
      <c r="D168" s="2" t="s">
        <v>136</v>
      </c>
      <c r="E168" s="22"/>
      <c r="F168" s="22"/>
      <c r="G168" s="22"/>
    </row>
    <row r="169" spans="1:7" ht="29.1" customHeight="1" x14ac:dyDescent="0.2">
      <c r="A169" s="22"/>
      <c r="B169" s="199" t="s">
        <v>147</v>
      </c>
      <c r="C169" s="200"/>
      <c r="D169" s="2" t="s">
        <v>136</v>
      </c>
      <c r="E169" s="22"/>
      <c r="F169" s="22"/>
      <c r="G169" s="22"/>
    </row>
    <row r="170" spans="1:7" ht="17.100000000000001" customHeight="1" x14ac:dyDescent="0.2">
      <c r="A170" s="22"/>
      <c r="B170" s="199" t="s">
        <v>148</v>
      </c>
      <c r="C170" s="200"/>
      <c r="D170" s="28">
        <v>0.50213763772531839</v>
      </c>
      <c r="E170" s="22"/>
      <c r="F170" s="19"/>
      <c r="G170" s="25"/>
    </row>
    <row r="171" spans="1:7" ht="17.100000000000001" customHeight="1" x14ac:dyDescent="0.2">
      <c r="A171" s="22"/>
      <c r="B171" s="199" t="s">
        <v>149</v>
      </c>
      <c r="C171" s="200"/>
      <c r="D171" s="2" t="s">
        <v>136</v>
      </c>
      <c r="E171" s="22"/>
      <c r="F171" s="22"/>
      <c r="G171" s="22"/>
    </row>
  </sheetData>
  <mergeCells count="16">
    <mergeCell ref="J2:N2"/>
    <mergeCell ref="B153:C153"/>
    <mergeCell ref="B150:F150"/>
    <mergeCell ref="B151:F151"/>
    <mergeCell ref="A1:H1"/>
    <mergeCell ref="A2:H2"/>
    <mergeCell ref="A3:H3"/>
    <mergeCell ref="B170:C170"/>
    <mergeCell ref="B171:C171"/>
    <mergeCell ref="B154:C154"/>
    <mergeCell ref="B155:C155"/>
    <mergeCell ref="B156:C156"/>
    <mergeCell ref="B164:C164"/>
    <mergeCell ref="B168:C168"/>
    <mergeCell ref="B169:C169"/>
    <mergeCell ref="B166:F16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8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6.285156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306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307</v>
      </c>
      <c r="C7" s="4" t="s">
        <v>934</v>
      </c>
      <c r="D7" s="4" t="s">
        <v>164</v>
      </c>
      <c r="E7" s="5">
        <v>656559</v>
      </c>
      <c r="F7" s="6">
        <v>27576.134558999998</v>
      </c>
      <c r="G7" s="138">
        <v>3.9353508000000002E-2</v>
      </c>
      <c r="H7" s="142"/>
    </row>
    <row r="8" spans="1:14" x14ac:dyDescent="0.2">
      <c r="A8" s="3">
        <v>2</v>
      </c>
      <c r="B8" s="4" t="s">
        <v>308</v>
      </c>
      <c r="C8" s="4" t="s">
        <v>309</v>
      </c>
      <c r="D8" s="4" t="s">
        <v>1030</v>
      </c>
      <c r="E8" s="5">
        <v>2027701</v>
      </c>
      <c r="F8" s="6">
        <v>20566.971243</v>
      </c>
      <c r="G8" s="138">
        <v>2.9350831000000001E-2</v>
      </c>
      <c r="H8" s="142"/>
    </row>
    <row r="9" spans="1:14" x14ac:dyDescent="0.2">
      <c r="A9" s="3">
        <v>3</v>
      </c>
      <c r="B9" s="4" t="s">
        <v>25</v>
      </c>
      <c r="C9" s="4" t="s">
        <v>26</v>
      </c>
      <c r="D9" s="4" t="s">
        <v>27</v>
      </c>
      <c r="E9" s="5">
        <v>1454927</v>
      </c>
      <c r="F9" s="6">
        <v>19971.055465500001</v>
      </c>
      <c r="G9" s="138">
        <v>2.8500408000000001E-2</v>
      </c>
      <c r="H9" s="142"/>
    </row>
    <row r="10" spans="1:14" x14ac:dyDescent="0.2">
      <c r="A10" s="3">
        <v>4</v>
      </c>
      <c r="B10" s="4" t="s">
        <v>72</v>
      </c>
      <c r="C10" s="4" t="s">
        <v>73</v>
      </c>
      <c r="D10" s="4" t="s">
        <v>27</v>
      </c>
      <c r="E10" s="5">
        <v>2005149</v>
      </c>
      <c r="F10" s="6">
        <v>19890.075505500001</v>
      </c>
      <c r="G10" s="138">
        <v>2.8384843E-2</v>
      </c>
      <c r="H10" s="142"/>
    </row>
    <row r="11" spans="1:14" x14ac:dyDescent="0.2">
      <c r="A11" s="3">
        <v>5</v>
      </c>
      <c r="B11" s="4" t="s">
        <v>310</v>
      </c>
      <c r="C11" s="4" t="s">
        <v>311</v>
      </c>
      <c r="D11" s="4" t="s">
        <v>181</v>
      </c>
      <c r="E11" s="5">
        <v>428389</v>
      </c>
      <c r="F11" s="6">
        <v>19198.681423999999</v>
      </c>
      <c r="G11" s="138">
        <v>2.7398163999999999E-2</v>
      </c>
      <c r="H11" s="142"/>
    </row>
    <row r="12" spans="1:14" ht="25.5" x14ac:dyDescent="0.2">
      <c r="A12" s="3">
        <v>6</v>
      </c>
      <c r="B12" s="4" t="s">
        <v>312</v>
      </c>
      <c r="C12" s="4" t="s">
        <v>313</v>
      </c>
      <c r="D12" s="4" t="s">
        <v>80</v>
      </c>
      <c r="E12" s="5">
        <v>3220000</v>
      </c>
      <c r="F12" s="6">
        <v>18168.849999999999</v>
      </c>
      <c r="G12" s="138">
        <v>2.5928506E-2</v>
      </c>
      <c r="H12" s="142"/>
    </row>
    <row r="13" spans="1:14" x14ac:dyDescent="0.2">
      <c r="A13" s="3">
        <v>7</v>
      </c>
      <c r="B13" s="4" t="s">
        <v>91</v>
      </c>
      <c r="C13" s="4" t="s">
        <v>92</v>
      </c>
      <c r="D13" s="4" t="s">
        <v>27</v>
      </c>
      <c r="E13" s="5">
        <v>237000</v>
      </c>
      <c r="F13" s="6">
        <v>17913.763500000001</v>
      </c>
      <c r="G13" s="138">
        <v>2.5564475999999999E-2</v>
      </c>
      <c r="H13" s="142"/>
    </row>
    <row r="14" spans="1:14" x14ac:dyDescent="0.2">
      <c r="A14" s="3">
        <v>8</v>
      </c>
      <c r="B14" s="4" t="s">
        <v>314</v>
      </c>
      <c r="C14" s="4" t="s">
        <v>315</v>
      </c>
      <c r="D14" s="4" t="s">
        <v>1028</v>
      </c>
      <c r="E14" s="5">
        <v>429478</v>
      </c>
      <c r="F14" s="6">
        <v>17354.776502000001</v>
      </c>
      <c r="G14" s="138">
        <v>2.4766753999999998E-2</v>
      </c>
      <c r="H14" s="142"/>
    </row>
    <row r="15" spans="1:14" ht="15" x14ac:dyDescent="0.2">
      <c r="A15" s="3">
        <v>9</v>
      </c>
      <c r="B15" s="4" t="s">
        <v>316</v>
      </c>
      <c r="C15" s="4" t="s">
        <v>317</v>
      </c>
      <c r="D15" s="4" t="s">
        <v>153</v>
      </c>
      <c r="E15" s="5">
        <v>153518</v>
      </c>
      <c r="F15" s="6">
        <v>17315.448737999999</v>
      </c>
      <c r="G15" s="138">
        <v>2.4710630000000001E-2</v>
      </c>
      <c r="H15" s="142"/>
      <c r="J15" s="163" t="s">
        <v>1034</v>
      </c>
    </row>
    <row r="16" spans="1:14" x14ac:dyDescent="0.2">
      <c r="A16" s="3">
        <v>10</v>
      </c>
      <c r="B16" s="4" t="s">
        <v>318</v>
      </c>
      <c r="C16" s="4" t="s">
        <v>319</v>
      </c>
      <c r="D16" s="4" t="s">
        <v>51</v>
      </c>
      <c r="E16" s="5">
        <v>1386681</v>
      </c>
      <c r="F16" s="6">
        <v>16890.467920499999</v>
      </c>
      <c r="G16" s="138">
        <v>2.4104146E-2</v>
      </c>
      <c r="H16" s="142"/>
    </row>
    <row r="17" spans="1:8" ht="25.5" x14ac:dyDescent="0.2">
      <c r="A17" s="3">
        <v>11</v>
      </c>
      <c r="B17" s="4" t="s">
        <v>20</v>
      </c>
      <c r="C17" s="4" t="s">
        <v>21</v>
      </c>
      <c r="D17" s="4" t="s">
        <v>1023</v>
      </c>
      <c r="E17" s="5">
        <v>1698863</v>
      </c>
      <c r="F17" s="6">
        <v>16727.8545295</v>
      </c>
      <c r="G17" s="138">
        <v>2.3872081999999999E-2</v>
      </c>
      <c r="H17" s="142"/>
    </row>
    <row r="18" spans="1:8" x14ac:dyDescent="0.2">
      <c r="A18" s="3">
        <v>12</v>
      </c>
      <c r="B18" s="4" t="s">
        <v>151</v>
      </c>
      <c r="C18" s="4" t="s">
        <v>152</v>
      </c>
      <c r="D18" s="4" t="s">
        <v>153</v>
      </c>
      <c r="E18" s="5">
        <v>445000</v>
      </c>
      <c r="F18" s="6">
        <v>16397.137500000001</v>
      </c>
      <c r="G18" s="138">
        <v>2.3400120999999999E-2</v>
      </c>
      <c r="H18" s="142"/>
    </row>
    <row r="19" spans="1:8" x14ac:dyDescent="0.2">
      <c r="A19" s="3">
        <v>13</v>
      </c>
      <c r="B19" s="4" t="s">
        <v>320</v>
      </c>
      <c r="C19" s="4" t="s">
        <v>321</v>
      </c>
      <c r="D19" s="4" t="s">
        <v>322</v>
      </c>
      <c r="E19" s="5">
        <v>452166</v>
      </c>
      <c r="F19" s="6">
        <v>14371.418061</v>
      </c>
      <c r="G19" s="138">
        <v>2.0509244999999999E-2</v>
      </c>
      <c r="H19" s="142"/>
    </row>
    <row r="20" spans="1:8" ht="25.5" x14ac:dyDescent="0.2">
      <c r="A20" s="3">
        <v>14</v>
      </c>
      <c r="B20" s="4" t="s">
        <v>323</v>
      </c>
      <c r="C20" s="4" t="s">
        <v>324</v>
      </c>
      <c r="D20" s="4" t="s">
        <v>90</v>
      </c>
      <c r="E20" s="5">
        <v>1593553</v>
      </c>
      <c r="F20" s="6">
        <v>14303.731728000001</v>
      </c>
      <c r="G20" s="138">
        <v>2.0412651E-2</v>
      </c>
      <c r="H20" s="142"/>
    </row>
    <row r="21" spans="1:8" x14ac:dyDescent="0.2">
      <c r="A21" s="3">
        <v>15</v>
      </c>
      <c r="B21" s="4" t="s">
        <v>325</v>
      </c>
      <c r="C21" s="4" t="s">
        <v>326</v>
      </c>
      <c r="D21" s="4" t="s">
        <v>207</v>
      </c>
      <c r="E21" s="5">
        <v>587800</v>
      </c>
      <c r="F21" s="6">
        <v>14173.915300000001</v>
      </c>
      <c r="G21" s="138">
        <v>2.0227392E-2</v>
      </c>
      <c r="H21" s="142"/>
    </row>
    <row r="22" spans="1:8" ht="25.5" x14ac:dyDescent="0.2">
      <c r="A22" s="3">
        <v>16</v>
      </c>
      <c r="B22" s="4" t="s">
        <v>327</v>
      </c>
      <c r="C22" s="4" t="s">
        <v>328</v>
      </c>
      <c r="D22" s="4" t="s">
        <v>90</v>
      </c>
      <c r="E22" s="5">
        <v>2403433</v>
      </c>
      <c r="F22" s="6">
        <v>13795.70542</v>
      </c>
      <c r="G22" s="138">
        <v>1.9687653999999999E-2</v>
      </c>
      <c r="H22" s="142"/>
    </row>
    <row r="23" spans="1:8" x14ac:dyDescent="0.2">
      <c r="A23" s="3">
        <v>17</v>
      </c>
      <c r="B23" s="4" t="s">
        <v>329</v>
      </c>
      <c r="C23" s="4" t="s">
        <v>330</v>
      </c>
      <c r="D23" s="4" t="s">
        <v>1025</v>
      </c>
      <c r="E23" s="5">
        <v>6642899</v>
      </c>
      <c r="F23" s="6">
        <v>13481.763520500001</v>
      </c>
      <c r="G23" s="138">
        <v>1.9239632E-2</v>
      </c>
      <c r="H23" s="142"/>
    </row>
    <row r="24" spans="1:8" x14ac:dyDescent="0.2">
      <c r="A24" s="3">
        <v>18</v>
      </c>
      <c r="B24" s="4" t="s">
        <v>331</v>
      </c>
      <c r="C24" s="4" t="s">
        <v>332</v>
      </c>
      <c r="D24" s="4" t="s">
        <v>24</v>
      </c>
      <c r="E24" s="5">
        <v>1149155</v>
      </c>
      <c r="F24" s="6">
        <v>13379.037087500001</v>
      </c>
      <c r="G24" s="138">
        <v>1.9093032999999999E-2</v>
      </c>
      <c r="H24" s="142"/>
    </row>
    <row r="25" spans="1:8" x14ac:dyDescent="0.2">
      <c r="A25" s="3">
        <v>19</v>
      </c>
      <c r="B25" s="4" t="s">
        <v>333</v>
      </c>
      <c r="C25" s="4" t="s">
        <v>334</v>
      </c>
      <c r="D25" s="4" t="s">
        <v>335</v>
      </c>
      <c r="E25" s="5">
        <v>1300000</v>
      </c>
      <c r="F25" s="6">
        <v>13336.05</v>
      </c>
      <c r="G25" s="138">
        <v>1.9031685999999999E-2</v>
      </c>
      <c r="H25" s="142"/>
    </row>
    <row r="26" spans="1:8" x14ac:dyDescent="0.2">
      <c r="A26" s="3">
        <v>20</v>
      </c>
      <c r="B26" s="4" t="s">
        <v>336</v>
      </c>
      <c r="C26" s="4" t="s">
        <v>337</v>
      </c>
      <c r="D26" s="4" t="s">
        <v>24</v>
      </c>
      <c r="E26" s="5">
        <v>1734329</v>
      </c>
      <c r="F26" s="6">
        <v>13294.498949500001</v>
      </c>
      <c r="G26" s="138">
        <v>1.8972389999999999E-2</v>
      </c>
      <c r="H26" s="142"/>
    </row>
    <row r="27" spans="1:8" ht="25.5" x14ac:dyDescent="0.2">
      <c r="A27" s="3">
        <v>21</v>
      </c>
      <c r="B27" s="4" t="s">
        <v>338</v>
      </c>
      <c r="C27" s="4" t="s">
        <v>339</v>
      </c>
      <c r="D27" s="4" t="s">
        <v>51</v>
      </c>
      <c r="E27" s="5">
        <v>2769006</v>
      </c>
      <c r="F27" s="6">
        <v>13260.769734</v>
      </c>
      <c r="G27" s="138">
        <v>1.8924255000000001E-2</v>
      </c>
      <c r="H27" s="142"/>
    </row>
    <row r="28" spans="1:8" x14ac:dyDescent="0.2">
      <c r="A28" s="3">
        <v>22</v>
      </c>
      <c r="B28" s="4" t="s">
        <v>340</v>
      </c>
      <c r="C28" s="4" t="s">
        <v>341</v>
      </c>
      <c r="D28" s="4" t="s">
        <v>216</v>
      </c>
      <c r="E28" s="5">
        <v>41292</v>
      </c>
      <c r="F28" s="6">
        <v>13091.587308</v>
      </c>
      <c r="G28" s="138">
        <v>1.8682817000000001E-2</v>
      </c>
      <c r="H28" s="142"/>
    </row>
    <row r="29" spans="1:8" x14ac:dyDescent="0.2">
      <c r="A29" s="3">
        <v>23</v>
      </c>
      <c r="B29" s="4" t="s">
        <v>342</v>
      </c>
      <c r="C29" s="4" t="s">
        <v>343</v>
      </c>
      <c r="D29" s="4" t="s">
        <v>207</v>
      </c>
      <c r="E29" s="5">
        <v>1454822</v>
      </c>
      <c r="F29" s="6">
        <v>12970.465541</v>
      </c>
      <c r="G29" s="138">
        <v>1.8509965999999999E-2</v>
      </c>
      <c r="H29" s="142"/>
    </row>
    <row r="30" spans="1:8" x14ac:dyDescent="0.2">
      <c r="A30" s="3">
        <v>24</v>
      </c>
      <c r="B30" s="4" t="s">
        <v>212</v>
      </c>
      <c r="C30" s="4" t="s">
        <v>213</v>
      </c>
      <c r="D30" s="4" t="s">
        <v>1027</v>
      </c>
      <c r="E30" s="5">
        <v>1410000</v>
      </c>
      <c r="F30" s="6">
        <v>12918.42</v>
      </c>
      <c r="G30" s="138">
        <v>1.8435693E-2</v>
      </c>
      <c r="H30" s="142"/>
    </row>
    <row r="31" spans="1:8" x14ac:dyDescent="0.2">
      <c r="A31" s="3">
        <v>25</v>
      </c>
      <c r="B31" s="4" t="s">
        <v>344</v>
      </c>
      <c r="C31" s="4" t="s">
        <v>345</v>
      </c>
      <c r="D31" s="4" t="s">
        <v>24</v>
      </c>
      <c r="E31" s="5">
        <v>14804336</v>
      </c>
      <c r="F31" s="6">
        <v>12480.055248000001</v>
      </c>
      <c r="G31" s="138">
        <v>1.7810109000000001E-2</v>
      </c>
      <c r="H31" s="142"/>
    </row>
    <row r="32" spans="1:8" x14ac:dyDescent="0.2">
      <c r="A32" s="3">
        <v>26</v>
      </c>
      <c r="B32" s="4" t="s">
        <v>346</v>
      </c>
      <c r="C32" s="4" t="s">
        <v>347</v>
      </c>
      <c r="D32" s="4" t="s">
        <v>207</v>
      </c>
      <c r="E32" s="5">
        <v>329843</v>
      </c>
      <c r="F32" s="6">
        <v>12269.829757</v>
      </c>
      <c r="G32" s="138">
        <v>1.7510099000000001E-2</v>
      </c>
      <c r="H32" s="142"/>
    </row>
    <row r="33" spans="1:8" x14ac:dyDescent="0.2">
      <c r="A33" s="3">
        <v>27</v>
      </c>
      <c r="B33" s="4" t="s">
        <v>348</v>
      </c>
      <c r="C33" s="4" t="s">
        <v>349</v>
      </c>
      <c r="D33" s="4" t="s">
        <v>59</v>
      </c>
      <c r="E33" s="5">
        <v>3005217</v>
      </c>
      <c r="F33" s="6">
        <v>11697.807172500001</v>
      </c>
      <c r="G33" s="138">
        <v>1.6693774000000002E-2</v>
      </c>
      <c r="H33" s="142"/>
    </row>
    <row r="34" spans="1:8" x14ac:dyDescent="0.2">
      <c r="A34" s="3">
        <v>28</v>
      </c>
      <c r="B34" s="4" t="s">
        <v>350</v>
      </c>
      <c r="C34" s="4" t="s">
        <v>351</v>
      </c>
      <c r="D34" s="4" t="s">
        <v>80</v>
      </c>
      <c r="E34" s="5">
        <v>887988</v>
      </c>
      <c r="F34" s="6">
        <v>11533.632138000001</v>
      </c>
      <c r="G34" s="138">
        <v>1.6459482000000001E-2</v>
      </c>
      <c r="H34" s="142"/>
    </row>
    <row r="35" spans="1:8" x14ac:dyDescent="0.2">
      <c r="A35" s="3">
        <v>29</v>
      </c>
      <c r="B35" s="4" t="s">
        <v>97</v>
      </c>
      <c r="C35" s="4" t="s">
        <v>98</v>
      </c>
      <c r="D35" s="4" t="s">
        <v>56</v>
      </c>
      <c r="E35" s="5">
        <v>2155766</v>
      </c>
      <c r="F35" s="6">
        <v>11492.388546</v>
      </c>
      <c r="G35" s="138">
        <v>1.6400623999999999E-2</v>
      </c>
      <c r="H35" s="142"/>
    </row>
    <row r="36" spans="1:8" x14ac:dyDescent="0.2">
      <c r="A36" s="3">
        <v>30</v>
      </c>
      <c r="B36" s="4" t="s">
        <v>352</v>
      </c>
      <c r="C36" s="4" t="s">
        <v>353</v>
      </c>
      <c r="D36" s="4" t="s">
        <v>48</v>
      </c>
      <c r="E36" s="5">
        <v>1629770</v>
      </c>
      <c r="F36" s="6">
        <v>11478.47011</v>
      </c>
      <c r="G36" s="138">
        <v>1.6380761000000001E-2</v>
      </c>
      <c r="H36" s="142"/>
    </row>
    <row r="37" spans="1:8" x14ac:dyDescent="0.2">
      <c r="A37" s="3">
        <v>31</v>
      </c>
      <c r="B37" s="4" t="s">
        <v>354</v>
      </c>
      <c r="C37" s="4" t="s">
        <v>355</v>
      </c>
      <c r="D37" s="4" t="s">
        <v>173</v>
      </c>
      <c r="E37" s="5">
        <v>13981</v>
      </c>
      <c r="F37" s="6">
        <v>11097.495645499999</v>
      </c>
      <c r="G37" s="138">
        <v>1.5837078000000001E-2</v>
      </c>
      <c r="H37" s="142"/>
    </row>
    <row r="38" spans="1:8" x14ac:dyDescent="0.2">
      <c r="A38" s="3">
        <v>32</v>
      </c>
      <c r="B38" s="4" t="s">
        <v>356</v>
      </c>
      <c r="C38" s="4" t="s">
        <v>357</v>
      </c>
      <c r="D38" s="4" t="s">
        <v>164</v>
      </c>
      <c r="E38" s="5">
        <v>236000</v>
      </c>
      <c r="F38" s="6">
        <v>11086.218000000001</v>
      </c>
      <c r="G38" s="138">
        <v>1.5820983E-2</v>
      </c>
      <c r="H38" s="142"/>
    </row>
    <row r="39" spans="1:8" x14ac:dyDescent="0.2">
      <c r="A39" s="3">
        <v>33</v>
      </c>
      <c r="B39" s="4" t="s">
        <v>358</v>
      </c>
      <c r="C39" s="4" t="s">
        <v>359</v>
      </c>
      <c r="D39" s="4" t="s">
        <v>1024</v>
      </c>
      <c r="E39" s="5">
        <v>1444067</v>
      </c>
      <c r="F39" s="6">
        <v>10951.0820945</v>
      </c>
      <c r="G39" s="138">
        <v>1.5628132999999999E-2</v>
      </c>
      <c r="H39" s="142"/>
    </row>
    <row r="40" spans="1:8" x14ac:dyDescent="0.2">
      <c r="A40" s="3">
        <v>34</v>
      </c>
      <c r="B40" s="4" t="s">
        <v>360</v>
      </c>
      <c r="C40" s="4" t="s">
        <v>361</v>
      </c>
      <c r="D40" s="4" t="s">
        <v>24</v>
      </c>
      <c r="E40" s="5">
        <v>13175360</v>
      </c>
      <c r="F40" s="6">
        <v>10770.8568</v>
      </c>
      <c r="G40" s="138">
        <v>1.5370936E-2</v>
      </c>
      <c r="H40" s="142"/>
    </row>
    <row r="41" spans="1:8" x14ac:dyDescent="0.2">
      <c r="A41" s="3">
        <v>35</v>
      </c>
      <c r="B41" s="4" t="s">
        <v>81</v>
      </c>
      <c r="C41" s="4" t="s">
        <v>82</v>
      </c>
      <c r="D41" s="4" t="s">
        <v>83</v>
      </c>
      <c r="E41" s="5">
        <v>7942374</v>
      </c>
      <c r="F41" s="6">
        <v>10626.896412</v>
      </c>
      <c r="G41" s="138">
        <v>1.5165491999999999E-2</v>
      </c>
      <c r="H41" s="142"/>
    </row>
    <row r="42" spans="1:8" ht="25.5" x14ac:dyDescent="0.2">
      <c r="A42" s="3">
        <v>36</v>
      </c>
      <c r="B42" s="4" t="s">
        <v>362</v>
      </c>
      <c r="C42" s="4" t="s">
        <v>363</v>
      </c>
      <c r="D42" s="4" t="s">
        <v>48</v>
      </c>
      <c r="E42" s="5">
        <v>278020</v>
      </c>
      <c r="F42" s="6">
        <v>10560.5897</v>
      </c>
      <c r="G42" s="138">
        <v>1.5070867E-2</v>
      </c>
      <c r="H42" s="142"/>
    </row>
    <row r="43" spans="1:8" x14ac:dyDescent="0.2">
      <c r="A43" s="3">
        <v>37</v>
      </c>
      <c r="B43" s="4" t="s">
        <v>364</v>
      </c>
      <c r="C43" s="4" t="s">
        <v>365</v>
      </c>
      <c r="D43" s="4" t="s">
        <v>27</v>
      </c>
      <c r="E43" s="5">
        <v>1410000</v>
      </c>
      <c r="F43" s="6">
        <v>10398.045</v>
      </c>
      <c r="G43" s="138">
        <v>1.4838901999999999E-2</v>
      </c>
      <c r="H43" s="142"/>
    </row>
    <row r="44" spans="1:8" x14ac:dyDescent="0.2">
      <c r="A44" s="3">
        <v>38</v>
      </c>
      <c r="B44" s="4" t="s">
        <v>366</v>
      </c>
      <c r="C44" s="4" t="s">
        <v>367</v>
      </c>
      <c r="D44" s="4" t="s">
        <v>24</v>
      </c>
      <c r="E44" s="5">
        <v>6263179</v>
      </c>
      <c r="F44" s="6">
        <v>9873.9016935</v>
      </c>
      <c r="G44" s="138">
        <v>1.4090904E-2</v>
      </c>
      <c r="H44" s="142"/>
    </row>
    <row r="45" spans="1:8" ht="25.5" x14ac:dyDescent="0.2">
      <c r="A45" s="3">
        <v>39</v>
      </c>
      <c r="B45" s="4" t="s">
        <v>35</v>
      </c>
      <c r="C45" s="4" t="s">
        <v>36</v>
      </c>
      <c r="D45" s="4" t="s">
        <v>37</v>
      </c>
      <c r="E45" s="5">
        <v>21198</v>
      </c>
      <c r="F45" s="6">
        <v>9690.5597099999995</v>
      </c>
      <c r="G45" s="138">
        <v>1.3829259E-2</v>
      </c>
      <c r="H45" s="142"/>
    </row>
    <row r="46" spans="1:8" x14ac:dyDescent="0.2">
      <c r="A46" s="3">
        <v>40</v>
      </c>
      <c r="B46" s="4" t="s">
        <v>368</v>
      </c>
      <c r="C46" s="4" t="s">
        <v>369</v>
      </c>
      <c r="D46" s="4" t="s">
        <v>164</v>
      </c>
      <c r="E46" s="5">
        <v>745534</v>
      </c>
      <c r="F46" s="6">
        <v>9539.4802970000001</v>
      </c>
      <c r="G46" s="138">
        <v>1.3613656E-2</v>
      </c>
      <c r="H46" s="142"/>
    </row>
    <row r="47" spans="1:8" x14ac:dyDescent="0.2">
      <c r="A47" s="3">
        <v>41</v>
      </c>
      <c r="B47" s="4" t="s">
        <v>370</v>
      </c>
      <c r="C47" s="4" t="s">
        <v>371</v>
      </c>
      <c r="D47" s="4" t="s">
        <v>153</v>
      </c>
      <c r="E47" s="5">
        <v>980640</v>
      </c>
      <c r="F47" s="6">
        <v>9118.4810400000006</v>
      </c>
      <c r="G47" s="138">
        <v>1.3012854000000001E-2</v>
      </c>
      <c r="H47" s="142"/>
    </row>
    <row r="48" spans="1:8" x14ac:dyDescent="0.2">
      <c r="A48" s="3">
        <v>42</v>
      </c>
      <c r="B48" s="4" t="s">
        <v>372</v>
      </c>
      <c r="C48" s="4" t="s">
        <v>373</v>
      </c>
      <c r="D48" s="4" t="s">
        <v>51</v>
      </c>
      <c r="E48" s="5">
        <v>197110</v>
      </c>
      <c r="F48" s="6">
        <v>9090.5160899999992</v>
      </c>
      <c r="G48" s="138">
        <v>1.2972946000000001E-2</v>
      </c>
      <c r="H48" s="142"/>
    </row>
    <row r="49" spans="1:8" x14ac:dyDescent="0.2">
      <c r="A49" s="3">
        <v>43</v>
      </c>
      <c r="B49" s="4" t="s">
        <v>374</v>
      </c>
      <c r="C49" s="4" t="s">
        <v>375</v>
      </c>
      <c r="D49" s="4" t="s">
        <v>173</v>
      </c>
      <c r="E49" s="5">
        <v>257480</v>
      </c>
      <c r="F49" s="6">
        <v>8809.8069400000004</v>
      </c>
      <c r="G49" s="138">
        <v>1.2572349999999999E-2</v>
      </c>
      <c r="H49" s="142"/>
    </row>
    <row r="50" spans="1:8" x14ac:dyDescent="0.2">
      <c r="A50" s="3">
        <v>44</v>
      </c>
      <c r="B50" s="4" t="s">
        <v>376</v>
      </c>
      <c r="C50" s="4" t="s">
        <v>377</v>
      </c>
      <c r="D50" s="4" t="s">
        <v>254</v>
      </c>
      <c r="E50" s="5">
        <v>1000000</v>
      </c>
      <c r="F50" s="6">
        <v>7944.5</v>
      </c>
      <c r="G50" s="138">
        <v>1.1337481999999999E-2</v>
      </c>
      <c r="H50" s="142"/>
    </row>
    <row r="51" spans="1:8" x14ac:dyDescent="0.2">
      <c r="A51" s="3">
        <v>45</v>
      </c>
      <c r="B51" s="4" t="s">
        <v>378</v>
      </c>
      <c r="C51" s="4" t="s">
        <v>379</v>
      </c>
      <c r="D51" s="4" t="s">
        <v>51</v>
      </c>
      <c r="E51" s="5">
        <v>10436498</v>
      </c>
      <c r="F51" s="6">
        <v>7608.207042</v>
      </c>
      <c r="G51" s="138">
        <v>1.0857564E-2</v>
      </c>
      <c r="H51" s="142"/>
    </row>
    <row r="52" spans="1:8" x14ac:dyDescent="0.2">
      <c r="A52" s="3">
        <v>46</v>
      </c>
      <c r="B52" s="4" t="s">
        <v>380</v>
      </c>
      <c r="C52" s="4" t="s">
        <v>381</v>
      </c>
      <c r="D52" s="4" t="s">
        <v>1028</v>
      </c>
      <c r="E52" s="5">
        <v>2876935</v>
      </c>
      <c r="F52" s="6">
        <v>7071.50623</v>
      </c>
      <c r="G52" s="138">
        <v>1.0091645999999999E-2</v>
      </c>
      <c r="H52" s="142"/>
    </row>
    <row r="53" spans="1:8" x14ac:dyDescent="0.2">
      <c r="A53" s="3">
        <v>47</v>
      </c>
      <c r="B53" s="4" t="s">
        <v>382</v>
      </c>
      <c r="C53" s="4" t="s">
        <v>383</v>
      </c>
      <c r="D53" s="4" t="s">
        <v>51</v>
      </c>
      <c r="E53" s="5">
        <v>303770</v>
      </c>
      <c r="F53" s="6">
        <v>6940.9926150000001</v>
      </c>
      <c r="G53" s="138">
        <v>9.9053909999999995E-3</v>
      </c>
      <c r="H53" s="142"/>
    </row>
    <row r="54" spans="1:8" x14ac:dyDescent="0.2">
      <c r="A54" s="3">
        <v>48</v>
      </c>
      <c r="B54" s="4" t="s">
        <v>384</v>
      </c>
      <c r="C54" s="4" t="s">
        <v>385</v>
      </c>
      <c r="D54" s="4" t="s">
        <v>80</v>
      </c>
      <c r="E54" s="5">
        <v>1534714</v>
      </c>
      <c r="F54" s="6">
        <v>6553.9961370000001</v>
      </c>
      <c r="G54" s="138">
        <v>9.3531139999999992E-3</v>
      </c>
      <c r="H54" s="142"/>
    </row>
    <row r="55" spans="1:8" x14ac:dyDescent="0.2">
      <c r="A55" s="3">
        <v>49</v>
      </c>
      <c r="B55" s="4" t="s">
        <v>386</v>
      </c>
      <c r="C55" s="4" t="s">
        <v>387</v>
      </c>
      <c r="D55" s="4" t="s">
        <v>164</v>
      </c>
      <c r="E55" s="5">
        <v>210807</v>
      </c>
      <c r="F55" s="6">
        <v>6544.2925080000005</v>
      </c>
      <c r="G55" s="138">
        <v>9.3392660000000006E-3</v>
      </c>
      <c r="H55" s="142"/>
    </row>
    <row r="56" spans="1:8" x14ac:dyDescent="0.2">
      <c r="A56" s="3">
        <v>50</v>
      </c>
      <c r="B56" s="4" t="s">
        <v>388</v>
      </c>
      <c r="C56" s="4" t="s">
        <v>389</v>
      </c>
      <c r="D56" s="4" t="s">
        <v>335</v>
      </c>
      <c r="E56" s="5">
        <v>4701405</v>
      </c>
      <c r="F56" s="6">
        <v>6422.1192300000002</v>
      </c>
      <c r="G56" s="138">
        <v>9.1649149999999992E-3</v>
      </c>
      <c r="H56" s="142"/>
    </row>
    <row r="57" spans="1:8" x14ac:dyDescent="0.2">
      <c r="A57" s="3">
        <v>51</v>
      </c>
      <c r="B57" s="4" t="s">
        <v>390</v>
      </c>
      <c r="C57" s="4" t="s">
        <v>391</v>
      </c>
      <c r="D57" s="4" t="s">
        <v>80</v>
      </c>
      <c r="E57" s="5">
        <v>236361</v>
      </c>
      <c r="F57" s="6">
        <v>6050.8415999999997</v>
      </c>
      <c r="G57" s="138">
        <v>8.6350699999999999E-3</v>
      </c>
      <c r="H57" s="142"/>
    </row>
    <row r="58" spans="1:8" x14ac:dyDescent="0.2">
      <c r="A58" s="3">
        <v>52</v>
      </c>
      <c r="B58" s="4" t="s">
        <v>392</v>
      </c>
      <c r="C58" s="4" t="s">
        <v>393</v>
      </c>
      <c r="D58" s="4" t="s">
        <v>66</v>
      </c>
      <c r="E58" s="5">
        <v>258586</v>
      </c>
      <c r="F58" s="6">
        <v>5978.249734</v>
      </c>
      <c r="G58" s="138">
        <v>8.5314750000000002E-3</v>
      </c>
      <c r="H58" s="142"/>
    </row>
    <row r="59" spans="1:8" x14ac:dyDescent="0.2">
      <c r="A59" s="3">
        <v>53</v>
      </c>
      <c r="B59" s="4" t="s">
        <v>394</v>
      </c>
      <c r="C59" s="4" t="s">
        <v>395</v>
      </c>
      <c r="D59" s="4" t="s">
        <v>1030</v>
      </c>
      <c r="E59" s="5">
        <v>33061</v>
      </c>
      <c r="F59" s="6">
        <v>5880.4774175000002</v>
      </c>
      <c r="G59" s="138">
        <v>8.3919449999999996E-3</v>
      </c>
      <c r="H59" s="142"/>
    </row>
    <row r="60" spans="1:8" x14ac:dyDescent="0.2">
      <c r="A60" s="3">
        <v>54</v>
      </c>
      <c r="B60" s="4" t="s">
        <v>84</v>
      </c>
      <c r="C60" s="4" t="s">
        <v>85</v>
      </c>
      <c r="D60" s="4" t="s">
        <v>56</v>
      </c>
      <c r="E60" s="5">
        <v>1693103</v>
      </c>
      <c r="F60" s="6">
        <v>5350.2054799999996</v>
      </c>
      <c r="G60" s="138">
        <v>7.6352019999999998E-3</v>
      </c>
      <c r="H60" s="142"/>
    </row>
    <row r="61" spans="1:8" ht="25.5" x14ac:dyDescent="0.2">
      <c r="A61" s="3">
        <v>55</v>
      </c>
      <c r="B61" s="4" t="s">
        <v>396</v>
      </c>
      <c r="C61" s="4" t="s">
        <v>397</v>
      </c>
      <c r="D61" s="4" t="s">
        <v>1023</v>
      </c>
      <c r="E61" s="5">
        <v>250213</v>
      </c>
      <c r="F61" s="6">
        <v>5268.8602474999998</v>
      </c>
      <c r="G61" s="138">
        <v>7.5191149999999998E-3</v>
      </c>
      <c r="H61" s="142"/>
    </row>
    <row r="62" spans="1:8" ht="25.5" x14ac:dyDescent="0.2">
      <c r="A62" s="3">
        <v>56</v>
      </c>
      <c r="B62" s="4" t="s">
        <v>398</v>
      </c>
      <c r="C62" s="4" t="s">
        <v>399</v>
      </c>
      <c r="D62" s="4" t="s">
        <v>90</v>
      </c>
      <c r="E62" s="5">
        <v>585994</v>
      </c>
      <c r="F62" s="6">
        <v>4767.6471840000004</v>
      </c>
      <c r="G62" s="138">
        <v>6.8038409999999997E-3</v>
      </c>
      <c r="H62" s="142"/>
    </row>
    <row r="63" spans="1:8" x14ac:dyDescent="0.2">
      <c r="A63" s="3">
        <v>57</v>
      </c>
      <c r="B63" s="4" t="s">
        <v>184</v>
      </c>
      <c r="C63" s="4" t="s">
        <v>185</v>
      </c>
      <c r="D63" s="4" t="s">
        <v>173</v>
      </c>
      <c r="E63" s="5">
        <v>278514</v>
      </c>
      <c r="F63" s="6">
        <v>3890.4228090000001</v>
      </c>
      <c r="G63" s="138">
        <v>5.5519669999999997E-3</v>
      </c>
      <c r="H63" s="142"/>
    </row>
    <row r="64" spans="1:8" x14ac:dyDescent="0.2">
      <c r="A64" s="3">
        <v>58</v>
      </c>
      <c r="B64" s="4" t="s">
        <v>221</v>
      </c>
      <c r="C64" s="4" t="s">
        <v>222</v>
      </c>
      <c r="D64" s="4" t="s">
        <v>207</v>
      </c>
      <c r="E64" s="5">
        <v>621793</v>
      </c>
      <c r="F64" s="6">
        <v>3833.0429485</v>
      </c>
      <c r="G64" s="138">
        <v>5.4700809999999999E-3</v>
      </c>
      <c r="H64" s="142"/>
    </row>
    <row r="65" spans="1:8" x14ac:dyDescent="0.2">
      <c r="A65" s="3">
        <v>59</v>
      </c>
      <c r="B65" s="4" t="s">
        <v>400</v>
      </c>
      <c r="C65" s="4" t="s">
        <v>401</v>
      </c>
      <c r="D65" s="4" t="s">
        <v>173</v>
      </c>
      <c r="E65" s="5">
        <v>513728</v>
      </c>
      <c r="F65" s="6">
        <v>3794.9087359999999</v>
      </c>
      <c r="G65" s="138">
        <v>5.4156600000000001E-3</v>
      </c>
      <c r="H65" s="142"/>
    </row>
    <row r="66" spans="1:8" x14ac:dyDescent="0.2">
      <c r="A66" s="3">
        <v>60</v>
      </c>
      <c r="B66" s="4" t="s">
        <v>402</v>
      </c>
      <c r="C66" s="4" t="s">
        <v>403</v>
      </c>
      <c r="D66" s="4" t="s">
        <v>1026</v>
      </c>
      <c r="E66" s="5">
        <v>1200000</v>
      </c>
      <c r="F66" s="6">
        <v>3638.4</v>
      </c>
      <c r="G66" s="138">
        <v>5.192309E-3</v>
      </c>
      <c r="H66" s="142"/>
    </row>
    <row r="67" spans="1:8" x14ac:dyDescent="0.2">
      <c r="A67" s="3">
        <v>61</v>
      </c>
      <c r="B67" s="4" t="s">
        <v>404</v>
      </c>
      <c r="C67" s="4" t="s">
        <v>405</v>
      </c>
      <c r="D67" s="4" t="s">
        <v>335</v>
      </c>
      <c r="E67" s="5">
        <v>988403</v>
      </c>
      <c r="F67" s="6">
        <v>2434.9307905000001</v>
      </c>
      <c r="G67" s="138">
        <v>3.4748549999999998E-3</v>
      </c>
      <c r="H67" s="142"/>
    </row>
    <row r="68" spans="1:8" x14ac:dyDescent="0.2">
      <c r="A68" s="3">
        <v>62</v>
      </c>
      <c r="B68" s="4" t="s">
        <v>32</v>
      </c>
      <c r="C68" s="4" t="s">
        <v>33</v>
      </c>
      <c r="D68" s="4" t="s">
        <v>34</v>
      </c>
      <c r="E68" s="5">
        <v>1300000</v>
      </c>
      <c r="F68" s="6">
        <v>2063.75</v>
      </c>
      <c r="G68" s="138">
        <v>2.9451479999999999E-3</v>
      </c>
      <c r="H68" s="142"/>
    </row>
    <row r="69" spans="1:8" x14ac:dyDescent="0.2">
      <c r="A69" s="3">
        <v>63</v>
      </c>
      <c r="B69" s="4" t="s">
        <v>28</v>
      </c>
      <c r="C69" s="4" t="s">
        <v>29</v>
      </c>
      <c r="D69" s="4" t="s">
        <v>27</v>
      </c>
      <c r="E69" s="5">
        <v>6329</v>
      </c>
      <c r="F69" s="6">
        <v>151.19981000000001</v>
      </c>
      <c r="G69" s="138">
        <v>2.15775E-4</v>
      </c>
      <c r="H69" s="14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9">
        <v>695103.24244950002</v>
      </c>
      <c r="G70" s="139">
        <v>0.99197191299999998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107</v>
      </c>
      <c r="D72" s="1"/>
      <c r="E72" s="1"/>
      <c r="F72" s="1"/>
      <c r="G72" s="137"/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1">
        <v>0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108</v>
      </c>
      <c r="D75" s="1"/>
      <c r="E75" s="1"/>
      <c r="F75" s="1"/>
      <c r="G75" s="137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109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111</v>
      </c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112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113</v>
      </c>
      <c r="D87" s="1"/>
      <c r="E87" s="1"/>
      <c r="F87" s="9">
        <v>695103.24244950002</v>
      </c>
      <c r="G87" s="139">
        <v>0.99197191299999998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114</v>
      </c>
      <c r="D89" s="1"/>
      <c r="E89" s="1"/>
      <c r="F89" s="12"/>
      <c r="G89" s="140"/>
      <c r="H89" s="142"/>
    </row>
    <row r="90" spans="1:8" ht="25.5" x14ac:dyDescent="0.2">
      <c r="A90" s="1"/>
      <c r="B90" s="1"/>
      <c r="C90" s="2" t="s">
        <v>10</v>
      </c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115</v>
      </c>
      <c r="D93" s="1"/>
      <c r="E93" s="1"/>
      <c r="F93" s="1"/>
      <c r="G93" s="137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116</v>
      </c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117</v>
      </c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118</v>
      </c>
      <c r="D102" s="1"/>
      <c r="E102" s="1"/>
      <c r="F102" s="9">
        <v>0</v>
      </c>
      <c r="G102" s="139">
        <v>0</v>
      </c>
      <c r="H102" s="142"/>
    </row>
    <row r="103" spans="1:8" x14ac:dyDescent="0.2">
      <c r="A103" s="1"/>
      <c r="B103" s="1"/>
      <c r="C103" s="11"/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119</v>
      </c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120</v>
      </c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1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121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122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123</v>
      </c>
      <c r="D114" s="1"/>
      <c r="E114" s="1"/>
      <c r="F114" s="12"/>
      <c r="G114" s="140"/>
      <c r="H114" s="142"/>
    </row>
    <row r="115" spans="1:8" x14ac:dyDescent="0.2">
      <c r="A115" s="3">
        <v>1</v>
      </c>
      <c r="B115" s="4"/>
      <c r="C115" s="4" t="s">
        <v>124</v>
      </c>
      <c r="D115" s="4"/>
      <c r="E115" s="8"/>
      <c r="F115" s="6">
        <v>3864.5899069000002</v>
      </c>
      <c r="G115" s="138">
        <v>5.5151009999999997E-3</v>
      </c>
      <c r="H115" s="152">
        <v>3.3197683930276081</v>
      </c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9">
        <v>3864.5899069000002</v>
      </c>
      <c r="G116" s="139">
        <v>5.5151009999999997E-3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125</v>
      </c>
      <c r="D118" s="1"/>
      <c r="E118" s="1"/>
      <c r="F118" s="9">
        <v>3864.5899069000002</v>
      </c>
      <c r="G118" s="139">
        <v>5.5151009999999997E-3</v>
      </c>
      <c r="H118" s="142"/>
    </row>
    <row r="119" spans="1:8" x14ac:dyDescent="0.2">
      <c r="A119" s="1"/>
      <c r="B119" s="1"/>
      <c r="C119" s="12"/>
      <c r="D119" s="1"/>
      <c r="E119" s="1"/>
      <c r="F119" s="1"/>
      <c r="G119" s="137"/>
      <c r="H119" s="142"/>
    </row>
    <row r="120" spans="1:8" x14ac:dyDescent="0.2">
      <c r="A120" s="1"/>
      <c r="B120" s="1"/>
      <c r="C120" s="2" t="s">
        <v>126</v>
      </c>
      <c r="D120" s="1"/>
      <c r="E120" s="1"/>
      <c r="F120" s="1"/>
      <c r="G120" s="137"/>
      <c r="H120" s="142"/>
    </row>
    <row r="121" spans="1:8" x14ac:dyDescent="0.2">
      <c r="A121" s="1"/>
      <c r="B121" s="1"/>
      <c r="C121" s="2" t="s">
        <v>127</v>
      </c>
      <c r="D121" s="1"/>
      <c r="E121" s="1"/>
      <c r="F121" s="1"/>
      <c r="G121" s="137"/>
      <c r="H121" s="142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1">
        <v>0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128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129</v>
      </c>
      <c r="D125" s="1"/>
      <c r="E125" s="1"/>
      <c r="F125" s="1"/>
      <c r="G125" s="137"/>
      <c r="H125" s="142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1">
        <v>0</v>
      </c>
      <c r="H126" s="142"/>
    </row>
    <row r="127" spans="1:8" x14ac:dyDescent="0.2">
      <c r="A127" s="1"/>
      <c r="B127" s="1"/>
      <c r="C127" s="11"/>
      <c r="D127" s="1"/>
      <c r="E127" s="1"/>
      <c r="F127" s="12"/>
      <c r="G127" s="140"/>
      <c r="H127" s="142"/>
    </row>
    <row r="128" spans="1:8" x14ac:dyDescent="0.2">
      <c r="A128" s="1"/>
      <c r="B128" s="1"/>
      <c r="C128" s="11"/>
      <c r="D128" s="1"/>
      <c r="E128" s="1"/>
      <c r="F128" s="12"/>
      <c r="G128" s="140"/>
      <c r="H128" s="142"/>
    </row>
    <row r="129" spans="1:8" ht="25.5" x14ac:dyDescent="0.2">
      <c r="A129" s="1"/>
      <c r="B129" s="1"/>
      <c r="C129" s="2" t="s">
        <v>130</v>
      </c>
      <c r="D129" s="1"/>
      <c r="E129" s="1"/>
      <c r="F129" s="12"/>
      <c r="G129" s="140"/>
      <c r="H129" s="142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1">
        <v>0</v>
      </c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x14ac:dyDescent="0.2">
      <c r="A132" s="1"/>
      <c r="B132" s="4"/>
      <c r="C132" s="4"/>
      <c r="D132" s="2"/>
      <c r="E132" s="1"/>
      <c r="F132" s="4"/>
      <c r="G132" s="143"/>
      <c r="H132" s="142"/>
    </row>
    <row r="133" spans="1:8" x14ac:dyDescent="0.2">
      <c r="A133" s="8"/>
      <c r="B133" s="4"/>
      <c r="C133" s="4" t="s">
        <v>131</v>
      </c>
      <c r="D133" s="4"/>
      <c r="E133" s="8"/>
      <c r="F133" s="6">
        <v>1760.9239121800056</v>
      </c>
      <c r="G133" s="138">
        <v>2.512989364896375E-3</v>
      </c>
      <c r="H133" s="142"/>
    </row>
    <row r="134" spans="1:8" x14ac:dyDescent="0.2">
      <c r="A134" s="11"/>
      <c r="B134" s="11"/>
      <c r="C134" s="2" t="s">
        <v>132</v>
      </c>
      <c r="D134" s="15"/>
      <c r="E134" s="15"/>
      <c r="F134" s="9">
        <v>700728.75626857998</v>
      </c>
      <c r="G134" s="139">
        <v>1.0000000033648964</v>
      </c>
      <c r="H134" s="142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205" t="s">
        <v>106</v>
      </c>
      <c r="C136" s="205"/>
      <c r="D136" s="205"/>
      <c r="E136" s="205"/>
      <c r="F136" s="205"/>
      <c r="G136" s="20"/>
    </row>
    <row r="137" spans="1:8" ht="14.1" customHeight="1" x14ac:dyDescent="0.2">
      <c r="A137" s="18"/>
      <c r="B137" s="205" t="s">
        <v>106</v>
      </c>
      <c r="C137" s="205"/>
      <c r="D137" s="205"/>
      <c r="E137" s="205"/>
      <c r="F137" s="205"/>
      <c r="G137" s="20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203" t="s">
        <v>134</v>
      </c>
      <c r="C139" s="204"/>
      <c r="D139" s="12" t="s">
        <v>106</v>
      </c>
      <c r="E139" s="21"/>
      <c r="F139" s="20"/>
      <c r="G139" s="20"/>
    </row>
    <row r="140" spans="1:8" ht="29.1" customHeight="1" x14ac:dyDescent="0.2">
      <c r="A140" s="18"/>
      <c r="B140" s="199" t="s">
        <v>135</v>
      </c>
      <c r="C140" s="200"/>
      <c r="D140" s="2" t="s">
        <v>136</v>
      </c>
      <c r="E140" s="21"/>
      <c r="F140" s="20"/>
      <c r="G140" s="20"/>
    </row>
    <row r="141" spans="1:8" ht="17.100000000000001" customHeight="1" x14ac:dyDescent="0.2">
      <c r="A141" s="18"/>
      <c r="B141" s="199" t="s">
        <v>137</v>
      </c>
      <c r="C141" s="200"/>
      <c r="D141" s="2" t="s">
        <v>136</v>
      </c>
      <c r="E141" s="21"/>
      <c r="F141" s="20"/>
      <c r="G141" s="20"/>
    </row>
    <row r="142" spans="1:8" ht="17.100000000000001" customHeight="1" x14ac:dyDescent="0.2">
      <c r="A142" s="18"/>
      <c r="B142" s="199" t="s">
        <v>138</v>
      </c>
      <c r="C142" s="200"/>
      <c r="D142" s="12" t="s">
        <v>106</v>
      </c>
      <c r="E142" s="21"/>
      <c r="F142" s="20"/>
      <c r="G142" s="20"/>
    </row>
    <row r="143" spans="1:8" ht="24" customHeight="1" x14ac:dyDescent="0.2">
      <c r="A143" s="22"/>
      <c r="B143" s="23" t="s">
        <v>106</v>
      </c>
      <c r="C143" s="23" t="s">
        <v>139</v>
      </c>
      <c r="D143" s="23" t="s">
        <v>140</v>
      </c>
      <c r="E143" s="22"/>
      <c r="F143" s="22"/>
      <c r="G143" s="22"/>
    </row>
    <row r="144" spans="1:8" ht="18" customHeight="1" x14ac:dyDescent="0.2">
      <c r="A144" s="22"/>
      <c r="B144" s="23" t="s">
        <v>141</v>
      </c>
      <c r="C144" s="23" t="s">
        <v>142</v>
      </c>
      <c r="D144" s="23" t="s">
        <v>143</v>
      </c>
      <c r="E144" s="22"/>
      <c r="F144" s="22"/>
      <c r="G144" s="22"/>
    </row>
    <row r="145" spans="1:7" x14ac:dyDescent="0.2">
      <c r="A145" s="22"/>
      <c r="B145" s="4" t="s">
        <v>144</v>
      </c>
      <c r="C145" s="24">
        <v>724.79449999999997</v>
      </c>
      <c r="D145" s="24">
        <v>745.35410000000002</v>
      </c>
      <c r="E145" s="22"/>
      <c r="F145" s="19"/>
      <c r="G145" s="25"/>
    </row>
    <row r="146" spans="1:7" x14ac:dyDescent="0.2">
      <c r="A146" s="22"/>
      <c r="B146" s="4" t="s">
        <v>1019</v>
      </c>
      <c r="C146" s="24">
        <v>45.472200000000001</v>
      </c>
      <c r="D146" s="24">
        <v>46.762099999999997</v>
      </c>
      <c r="E146" s="22"/>
      <c r="F146" s="19"/>
      <c r="G146" s="25"/>
    </row>
    <row r="147" spans="1:7" x14ac:dyDescent="0.2">
      <c r="A147" s="22"/>
      <c r="B147" s="4" t="s">
        <v>406</v>
      </c>
      <c r="C147" s="24">
        <v>739.79179999999997</v>
      </c>
      <c r="D147" s="24">
        <v>760.77679999999998</v>
      </c>
      <c r="E147" s="22"/>
      <c r="F147" s="19"/>
      <c r="G147" s="25"/>
    </row>
    <row r="148" spans="1:7" x14ac:dyDescent="0.2">
      <c r="A148" s="22"/>
      <c r="B148" s="4" t="s">
        <v>1022</v>
      </c>
      <c r="C148" s="24">
        <v>39.190800000000003</v>
      </c>
      <c r="D148" s="24">
        <v>40.302100000000003</v>
      </c>
      <c r="E148" s="22"/>
      <c r="F148" s="19"/>
      <c r="G148" s="25"/>
    </row>
    <row r="149" spans="1:7" x14ac:dyDescent="0.2">
      <c r="A149" s="22"/>
      <c r="B149" s="4" t="s">
        <v>145</v>
      </c>
      <c r="C149" s="24">
        <v>686.17700000000002</v>
      </c>
      <c r="D149" s="24">
        <v>705.21259999999995</v>
      </c>
      <c r="E149" s="22"/>
      <c r="F149" s="19"/>
      <c r="G149" s="25"/>
    </row>
    <row r="150" spans="1:7" x14ac:dyDescent="0.2">
      <c r="A150" s="22"/>
      <c r="B150" s="4" t="s">
        <v>1020</v>
      </c>
      <c r="C150" s="24">
        <v>42.447800000000001</v>
      </c>
      <c r="D150" s="24">
        <v>43.625399999999999</v>
      </c>
      <c r="E150" s="22"/>
      <c r="F150" s="19"/>
      <c r="G150" s="25"/>
    </row>
    <row r="151" spans="1:7" ht="14.1" customHeight="1" x14ac:dyDescent="0.2">
      <c r="A151" s="22"/>
      <c r="B151" s="22"/>
      <c r="C151" s="22"/>
      <c r="D151" s="22"/>
      <c r="E151" s="22"/>
      <c r="F151" s="22"/>
      <c r="G151" s="22"/>
    </row>
    <row r="152" spans="1:7" ht="17.100000000000001" customHeight="1" x14ac:dyDescent="0.2">
      <c r="A152" s="22"/>
      <c r="B152" s="199" t="s">
        <v>1021</v>
      </c>
      <c r="C152" s="200"/>
      <c r="D152" s="2" t="s">
        <v>136</v>
      </c>
      <c r="E152" s="22"/>
      <c r="F152" s="22"/>
      <c r="G152" s="22"/>
    </row>
    <row r="153" spans="1:7" ht="18" customHeight="1" x14ac:dyDescent="0.2">
      <c r="A153" s="22"/>
      <c r="B153" s="26"/>
      <c r="C153" s="26"/>
      <c r="D153" s="27"/>
      <c r="E153" s="22"/>
      <c r="F153" s="22"/>
      <c r="G153" s="22"/>
    </row>
    <row r="154" spans="1:7" s="125" customFormat="1" x14ac:dyDescent="0.2">
      <c r="B154" s="201" t="s">
        <v>825</v>
      </c>
      <c r="C154" s="201"/>
      <c r="D154" s="201"/>
      <c r="E154" s="201"/>
      <c r="F154" s="201"/>
    </row>
    <row r="155" spans="1:7" ht="14.1" customHeight="1" x14ac:dyDescent="0.2">
      <c r="A155" s="22"/>
      <c r="B155" s="19"/>
      <c r="C155" s="19"/>
      <c r="D155" s="22"/>
      <c r="E155" s="22"/>
      <c r="F155" s="22"/>
      <c r="G155" s="22"/>
    </row>
    <row r="156" spans="1:7" ht="29.1" customHeight="1" x14ac:dyDescent="0.2">
      <c r="A156" s="22"/>
      <c r="B156" s="199" t="s">
        <v>146</v>
      </c>
      <c r="C156" s="200"/>
      <c r="D156" s="2" t="s">
        <v>136</v>
      </c>
      <c r="E156" s="22"/>
      <c r="F156" s="22"/>
      <c r="G156" s="22"/>
    </row>
    <row r="157" spans="1:7" ht="29.1" customHeight="1" x14ac:dyDescent="0.2">
      <c r="A157" s="22"/>
      <c r="B157" s="199" t="s">
        <v>147</v>
      </c>
      <c r="C157" s="200"/>
      <c r="D157" s="2" t="s">
        <v>136</v>
      </c>
      <c r="E157" s="22"/>
      <c r="F157" s="22"/>
      <c r="G157" s="22"/>
    </row>
    <row r="158" spans="1:7" ht="17.100000000000001" customHeight="1" x14ac:dyDescent="0.2">
      <c r="A158" s="22"/>
      <c r="B158" s="199" t="s">
        <v>148</v>
      </c>
      <c r="C158" s="200"/>
      <c r="D158" s="28">
        <v>0.40631323315173462</v>
      </c>
      <c r="E158" s="22"/>
      <c r="F158" s="19"/>
      <c r="G158" s="25"/>
    </row>
    <row r="159" spans="1:7" ht="17.100000000000001" customHeight="1" x14ac:dyDescent="0.2">
      <c r="A159" s="22"/>
      <c r="B159" s="199" t="s">
        <v>149</v>
      </c>
      <c r="C159" s="200"/>
      <c r="D159" s="2" t="s">
        <v>136</v>
      </c>
      <c r="E159" s="22"/>
      <c r="F159" s="22"/>
      <c r="G159" s="22"/>
    </row>
    <row r="161" spans="2:6" x14ac:dyDescent="0.2">
      <c r="B161" s="164" t="s">
        <v>1051</v>
      </c>
    </row>
    <row r="163" spans="2:6" x14ac:dyDescent="0.2">
      <c r="B163" s="164" t="s">
        <v>1052</v>
      </c>
    </row>
    <row r="164" spans="2:6" x14ac:dyDescent="0.2">
      <c r="B164" s="164"/>
    </row>
    <row r="165" spans="2:6" x14ac:dyDescent="0.2">
      <c r="B165" s="164" t="s">
        <v>1053</v>
      </c>
    </row>
    <row r="166" spans="2:6" x14ac:dyDescent="0.2">
      <c r="B166" s="164"/>
    </row>
    <row r="167" spans="2:6" x14ac:dyDescent="0.2">
      <c r="B167" s="164" t="s">
        <v>1054</v>
      </c>
    </row>
    <row r="168" spans="2:6" x14ac:dyDescent="0.2">
      <c r="B168" s="164"/>
    </row>
    <row r="169" spans="2:6" x14ac:dyDescent="0.2">
      <c r="B169" s="164" t="s">
        <v>1055</v>
      </c>
    </row>
    <row r="170" spans="2:6" ht="63.75" x14ac:dyDescent="0.2">
      <c r="B170" s="165" t="s">
        <v>1056</v>
      </c>
      <c r="C170" s="165" t="s">
        <v>1066</v>
      </c>
      <c r="D170" s="165" t="s">
        <v>1067</v>
      </c>
      <c r="E170" s="165" t="s">
        <v>1068</v>
      </c>
      <c r="F170" s="165" t="s">
        <v>1069</v>
      </c>
    </row>
    <row r="171" spans="2:6" x14ac:dyDescent="0.2">
      <c r="B171" s="167">
        <v>150</v>
      </c>
      <c r="C171" s="167">
        <v>150</v>
      </c>
      <c r="D171" s="169">
        <v>974.16041050000001</v>
      </c>
      <c r="E171" s="169">
        <v>953.35225989999992</v>
      </c>
      <c r="F171" s="170">
        <v>-20.80815060000009</v>
      </c>
    </row>
    <row r="172" spans="2:6" x14ac:dyDescent="0.2">
      <c r="B172" s="164"/>
    </row>
    <row r="173" spans="2:6" x14ac:dyDescent="0.2">
      <c r="B173" s="164" t="s">
        <v>1057</v>
      </c>
    </row>
    <row r="174" spans="2:6" x14ac:dyDescent="0.2">
      <c r="B174" s="164"/>
    </row>
    <row r="175" spans="2:6" x14ac:dyDescent="0.2">
      <c r="B175" s="164" t="s">
        <v>1058</v>
      </c>
    </row>
    <row r="176" spans="2:6" x14ac:dyDescent="0.2">
      <c r="B176" s="164"/>
    </row>
    <row r="177" spans="2:2" x14ac:dyDescent="0.2">
      <c r="B177" s="164" t="s">
        <v>1059</v>
      </c>
    </row>
    <row r="178" spans="2:2" x14ac:dyDescent="0.2">
      <c r="B178" s="164"/>
    </row>
    <row r="179" spans="2:2" x14ac:dyDescent="0.2">
      <c r="B179" s="164" t="s">
        <v>1060</v>
      </c>
    </row>
    <row r="180" spans="2:2" x14ac:dyDescent="0.2">
      <c r="B180" s="164"/>
    </row>
    <row r="181" spans="2:2" x14ac:dyDescent="0.2">
      <c r="B181" s="164" t="s">
        <v>1061</v>
      </c>
    </row>
    <row r="182" spans="2:2" x14ac:dyDescent="0.2">
      <c r="B182" s="164"/>
    </row>
    <row r="183" spans="2:2" x14ac:dyDescent="0.2">
      <c r="B183" s="164" t="s">
        <v>1062</v>
      </c>
    </row>
    <row r="185" spans="2:2" x14ac:dyDescent="0.2">
      <c r="B185" s="164" t="s">
        <v>1063</v>
      </c>
    </row>
    <row r="187" spans="2:2" x14ac:dyDescent="0.2">
      <c r="B187" s="164" t="s">
        <v>1064</v>
      </c>
    </row>
  </sheetData>
  <mergeCells count="16">
    <mergeCell ref="J2:N2"/>
    <mergeCell ref="B139:C139"/>
    <mergeCell ref="B136:F136"/>
    <mergeCell ref="B137:F137"/>
    <mergeCell ref="A1:H1"/>
    <mergeCell ref="A2:H2"/>
    <mergeCell ref="A3:H3"/>
    <mergeCell ref="B158:C158"/>
    <mergeCell ref="B159:C159"/>
    <mergeCell ref="B140:C140"/>
    <mergeCell ref="B141:C141"/>
    <mergeCell ref="B142:C142"/>
    <mergeCell ref="B152:C152"/>
    <mergeCell ref="B156:C156"/>
    <mergeCell ref="B157:C157"/>
    <mergeCell ref="B154:F15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45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407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37364</v>
      </c>
      <c r="F7" s="6">
        <v>941.29256999999996</v>
      </c>
      <c r="G7" s="138">
        <v>6.5300403000000007E-2</v>
      </c>
      <c r="H7" s="142"/>
    </row>
    <row r="8" spans="1:14" x14ac:dyDescent="0.2">
      <c r="A8" s="3">
        <v>2</v>
      </c>
      <c r="B8" s="4" t="s">
        <v>22</v>
      </c>
      <c r="C8" s="4" t="s">
        <v>23</v>
      </c>
      <c r="D8" s="4" t="s">
        <v>24</v>
      </c>
      <c r="E8" s="5">
        <v>129309</v>
      </c>
      <c r="F8" s="6">
        <v>906.26212650000002</v>
      </c>
      <c r="G8" s="138">
        <v>6.2870231999999998E-2</v>
      </c>
      <c r="H8" s="142"/>
    </row>
    <row r="9" spans="1:14" x14ac:dyDescent="0.2">
      <c r="A9" s="3">
        <v>3</v>
      </c>
      <c r="B9" s="4" t="s">
        <v>408</v>
      </c>
      <c r="C9" s="4" t="s">
        <v>409</v>
      </c>
      <c r="D9" s="4" t="s">
        <v>24</v>
      </c>
      <c r="E9" s="5">
        <v>56172</v>
      </c>
      <c r="F9" s="6">
        <v>895.91531399999997</v>
      </c>
      <c r="G9" s="138">
        <v>6.2152441000000003E-2</v>
      </c>
      <c r="H9" s="142"/>
    </row>
    <row r="10" spans="1:14" x14ac:dyDescent="0.2">
      <c r="A10" s="3">
        <v>4</v>
      </c>
      <c r="B10" s="4" t="s">
        <v>410</v>
      </c>
      <c r="C10" s="4" t="s">
        <v>411</v>
      </c>
      <c r="D10" s="4" t="s">
        <v>164</v>
      </c>
      <c r="E10" s="5">
        <v>41823</v>
      </c>
      <c r="F10" s="6">
        <v>700.61889599999995</v>
      </c>
      <c r="G10" s="138">
        <v>4.8604119000000001E-2</v>
      </c>
      <c r="H10" s="142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80</v>
      </c>
      <c r="E11" s="5">
        <v>22294</v>
      </c>
      <c r="F11" s="6">
        <v>614.04364199999998</v>
      </c>
      <c r="G11" s="138">
        <v>4.2598124000000001E-2</v>
      </c>
      <c r="H11" s="142"/>
    </row>
    <row r="12" spans="1:14" x14ac:dyDescent="0.2">
      <c r="A12" s="3">
        <v>6</v>
      </c>
      <c r="B12" s="4" t="s">
        <v>336</v>
      </c>
      <c r="C12" s="4" t="s">
        <v>337</v>
      </c>
      <c r="D12" s="4" t="s">
        <v>24</v>
      </c>
      <c r="E12" s="5">
        <v>61331</v>
      </c>
      <c r="F12" s="6">
        <v>470.13278050000002</v>
      </c>
      <c r="G12" s="138">
        <v>3.2614577999999998E-2</v>
      </c>
      <c r="H12" s="142"/>
    </row>
    <row r="13" spans="1:14" x14ac:dyDescent="0.2">
      <c r="A13" s="3">
        <v>7</v>
      </c>
      <c r="B13" s="4" t="s">
        <v>414</v>
      </c>
      <c r="C13" s="4" t="s">
        <v>415</v>
      </c>
      <c r="D13" s="4" t="s">
        <v>24</v>
      </c>
      <c r="E13" s="5">
        <v>99454</v>
      </c>
      <c r="F13" s="6">
        <v>450.52661999999998</v>
      </c>
      <c r="G13" s="138">
        <v>3.1254438000000002E-2</v>
      </c>
      <c r="H13" s="142"/>
    </row>
    <row r="14" spans="1:14" x14ac:dyDescent="0.2">
      <c r="A14" s="3">
        <v>8</v>
      </c>
      <c r="B14" s="4" t="s">
        <v>25</v>
      </c>
      <c r="C14" s="4" t="s">
        <v>26</v>
      </c>
      <c r="D14" s="4" t="s">
        <v>27</v>
      </c>
      <c r="E14" s="5">
        <v>31150</v>
      </c>
      <c r="F14" s="6">
        <v>427.58047499999998</v>
      </c>
      <c r="G14" s="138">
        <v>2.9662592000000002E-2</v>
      </c>
      <c r="H14" s="142"/>
    </row>
    <row r="15" spans="1:14" ht="25.5" x14ac:dyDescent="0.2">
      <c r="A15" s="3">
        <v>9</v>
      </c>
      <c r="B15" s="4" t="s">
        <v>323</v>
      </c>
      <c r="C15" s="4" t="s">
        <v>324</v>
      </c>
      <c r="D15" s="4" t="s">
        <v>90</v>
      </c>
      <c r="E15" s="5">
        <v>46412</v>
      </c>
      <c r="F15" s="6">
        <v>416.594112</v>
      </c>
      <c r="G15" s="138">
        <v>2.8900433999999999E-2</v>
      </c>
      <c r="H15" s="142"/>
      <c r="J15" s="163" t="s">
        <v>1035</v>
      </c>
    </row>
    <row r="16" spans="1:14" x14ac:dyDescent="0.2">
      <c r="A16" s="3">
        <v>10</v>
      </c>
      <c r="B16" s="4" t="s">
        <v>151</v>
      </c>
      <c r="C16" s="4" t="s">
        <v>152</v>
      </c>
      <c r="D16" s="4" t="s">
        <v>153</v>
      </c>
      <c r="E16" s="5">
        <v>11196</v>
      </c>
      <c r="F16" s="6">
        <v>412.54460999999998</v>
      </c>
      <c r="G16" s="138">
        <v>2.8619506999999999E-2</v>
      </c>
      <c r="H16" s="142"/>
    </row>
    <row r="17" spans="1:8" x14ac:dyDescent="0.2">
      <c r="A17" s="3">
        <v>11</v>
      </c>
      <c r="B17" s="4" t="s">
        <v>358</v>
      </c>
      <c r="C17" s="4" t="s">
        <v>359</v>
      </c>
      <c r="D17" s="4" t="s">
        <v>1024</v>
      </c>
      <c r="E17" s="5">
        <v>50010</v>
      </c>
      <c r="F17" s="6">
        <v>379.250835</v>
      </c>
      <c r="G17" s="138">
        <v>2.6309814000000001E-2</v>
      </c>
      <c r="H17" s="142"/>
    </row>
    <row r="18" spans="1:8" x14ac:dyDescent="0.2">
      <c r="A18" s="3">
        <v>12</v>
      </c>
      <c r="B18" s="4" t="s">
        <v>314</v>
      </c>
      <c r="C18" s="4" t="s">
        <v>315</v>
      </c>
      <c r="D18" s="4" t="s">
        <v>1028</v>
      </c>
      <c r="E18" s="5">
        <v>9189</v>
      </c>
      <c r="F18" s="6">
        <v>371.31830100000002</v>
      </c>
      <c r="G18" s="138">
        <v>2.5759509E-2</v>
      </c>
      <c r="H18" s="142"/>
    </row>
    <row r="19" spans="1:8" x14ac:dyDescent="0.2">
      <c r="A19" s="3">
        <v>13</v>
      </c>
      <c r="B19" s="4" t="s">
        <v>416</v>
      </c>
      <c r="C19" s="4" t="s">
        <v>417</v>
      </c>
      <c r="D19" s="4" t="s">
        <v>1030</v>
      </c>
      <c r="E19" s="5">
        <v>30074</v>
      </c>
      <c r="F19" s="6">
        <v>365.42917399999999</v>
      </c>
      <c r="G19" s="138">
        <v>2.5350962000000001E-2</v>
      </c>
      <c r="H19" s="142"/>
    </row>
    <row r="20" spans="1:8" x14ac:dyDescent="0.2">
      <c r="A20" s="3">
        <v>14</v>
      </c>
      <c r="B20" s="4" t="s">
        <v>11</v>
      </c>
      <c r="C20" s="4" t="s">
        <v>12</v>
      </c>
      <c r="D20" s="4" t="s">
        <v>13</v>
      </c>
      <c r="E20" s="5">
        <v>21149</v>
      </c>
      <c r="F20" s="6">
        <v>360.15689550000002</v>
      </c>
      <c r="G20" s="138">
        <v>2.4985207999999998E-2</v>
      </c>
      <c r="H20" s="142"/>
    </row>
    <row r="21" spans="1:8" ht="25.5" x14ac:dyDescent="0.2">
      <c r="A21" s="3">
        <v>15</v>
      </c>
      <c r="B21" s="4" t="s">
        <v>418</v>
      </c>
      <c r="C21" s="4" t="s">
        <v>419</v>
      </c>
      <c r="D21" s="4" t="s">
        <v>90</v>
      </c>
      <c r="E21" s="5">
        <v>12738</v>
      </c>
      <c r="F21" s="6">
        <v>344.15528399999999</v>
      </c>
      <c r="G21" s="138">
        <v>2.3875126E-2</v>
      </c>
      <c r="H21" s="142"/>
    </row>
    <row r="22" spans="1:8" x14ac:dyDescent="0.2">
      <c r="A22" s="3">
        <v>16</v>
      </c>
      <c r="B22" s="4" t="s">
        <v>17</v>
      </c>
      <c r="C22" s="4" t="s">
        <v>18</v>
      </c>
      <c r="D22" s="4" t="s">
        <v>19</v>
      </c>
      <c r="E22" s="5">
        <v>45416</v>
      </c>
      <c r="F22" s="6">
        <v>312.59832799999998</v>
      </c>
      <c r="G22" s="138">
        <v>2.1685922E-2</v>
      </c>
      <c r="H22" s="142"/>
    </row>
    <row r="23" spans="1:8" x14ac:dyDescent="0.2">
      <c r="A23" s="3">
        <v>17</v>
      </c>
      <c r="B23" s="4" t="s">
        <v>290</v>
      </c>
      <c r="C23" s="4" t="s">
        <v>291</v>
      </c>
      <c r="D23" s="4" t="s">
        <v>153</v>
      </c>
      <c r="E23" s="5">
        <v>50652</v>
      </c>
      <c r="F23" s="6">
        <v>310.21817399999998</v>
      </c>
      <c r="G23" s="138">
        <v>2.1520803000000002E-2</v>
      </c>
      <c r="H23" s="142"/>
    </row>
    <row r="24" spans="1:8" ht="25.5" x14ac:dyDescent="0.2">
      <c r="A24" s="3">
        <v>18</v>
      </c>
      <c r="B24" s="4" t="s">
        <v>338</v>
      </c>
      <c r="C24" s="4" t="s">
        <v>339</v>
      </c>
      <c r="D24" s="4" t="s">
        <v>51</v>
      </c>
      <c r="E24" s="5">
        <v>62892</v>
      </c>
      <c r="F24" s="6">
        <v>301.18978800000002</v>
      </c>
      <c r="G24" s="138">
        <v>2.0894474999999999E-2</v>
      </c>
      <c r="H24" s="142"/>
    </row>
    <row r="25" spans="1:8" x14ac:dyDescent="0.2">
      <c r="A25" s="3">
        <v>19</v>
      </c>
      <c r="B25" s="4" t="s">
        <v>212</v>
      </c>
      <c r="C25" s="4" t="s">
        <v>213</v>
      </c>
      <c r="D25" s="4" t="s">
        <v>1027</v>
      </c>
      <c r="E25" s="5">
        <v>32477</v>
      </c>
      <c r="F25" s="6">
        <v>297.55427400000002</v>
      </c>
      <c r="G25" s="138">
        <v>2.0642269000000001E-2</v>
      </c>
      <c r="H25" s="142"/>
    </row>
    <row r="26" spans="1:8" x14ac:dyDescent="0.2">
      <c r="A26" s="3">
        <v>20</v>
      </c>
      <c r="B26" s="4" t="s">
        <v>420</v>
      </c>
      <c r="C26" s="4" t="s">
        <v>421</v>
      </c>
      <c r="D26" s="4" t="s">
        <v>164</v>
      </c>
      <c r="E26" s="5">
        <v>7306</v>
      </c>
      <c r="F26" s="6">
        <v>275.84168299999999</v>
      </c>
      <c r="G26" s="138">
        <v>1.9135998000000001E-2</v>
      </c>
      <c r="H26" s="142"/>
    </row>
    <row r="27" spans="1:8" ht="25.5" x14ac:dyDescent="0.2">
      <c r="A27" s="3">
        <v>21</v>
      </c>
      <c r="B27" s="4" t="s">
        <v>38</v>
      </c>
      <c r="C27" s="4" t="s">
        <v>39</v>
      </c>
      <c r="D27" s="4" t="s">
        <v>1023</v>
      </c>
      <c r="E27" s="5">
        <v>3567</v>
      </c>
      <c r="F27" s="6">
        <v>263.81888700000002</v>
      </c>
      <c r="G27" s="138">
        <v>1.8301939E-2</v>
      </c>
      <c r="H27" s="142"/>
    </row>
    <row r="28" spans="1:8" x14ac:dyDescent="0.2">
      <c r="A28" s="3">
        <v>22</v>
      </c>
      <c r="B28" s="4" t="s">
        <v>422</v>
      </c>
      <c r="C28" s="4" t="s">
        <v>423</v>
      </c>
      <c r="D28" s="4" t="s">
        <v>164</v>
      </c>
      <c r="E28" s="5">
        <v>39000</v>
      </c>
      <c r="F28" s="6">
        <v>247.29900000000001</v>
      </c>
      <c r="G28" s="138">
        <v>1.7155903E-2</v>
      </c>
      <c r="H28" s="142"/>
    </row>
    <row r="29" spans="1:8" x14ac:dyDescent="0.2">
      <c r="A29" s="3">
        <v>23</v>
      </c>
      <c r="B29" s="4" t="s">
        <v>424</v>
      </c>
      <c r="C29" s="4" t="s">
        <v>425</v>
      </c>
      <c r="D29" s="4" t="s">
        <v>207</v>
      </c>
      <c r="E29" s="5">
        <v>30197</v>
      </c>
      <c r="F29" s="6">
        <v>247.0869525</v>
      </c>
      <c r="G29" s="138">
        <v>1.7141192999999999E-2</v>
      </c>
      <c r="H29" s="142"/>
    </row>
    <row r="30" spans="1:8" x14ac:dyDescent="0.2">
      <c r="A30" s="3">
        <v>24</v>
      </c>
      <c r="B30" s="4" t="s">
        <v>368</v>
      </c>
      <c r="C30" s="4" t="s">
        <v>369</v>
      </c>
      <c r="D30" s="4" t="s">
        <v>164</v>
      </c>
      <c r="E30" s="5">
        <v>18271</v>
      </c>
      <c r="F30" s="6">
        <v>233.78658050000001</v>
      </c>
      <c r="G30" s="138">
        <v>1.6218505000000001E-2</v>
      </c>
      <c r="H30" s="142"/>
    </row>
    <row r="31" spans="1:8" x14ac:dyDescent="0.2">
      <c r="A31" s="3">
        <v>25</v>
      </c>
      <c r="B31" s="4" t="s">
        <v>184</v>
      </c>
      <c r="C31" s="4" t="s">
        <v>185</v>
      </c>
      <c r="D31" s="4" t="s">
        <v>173</v>
      </c>
      <c r="E31" s="5">
        <v>16000</v>
      </c>
      <c r="F31" s="6">
        <v>223.49600000000001</v>
      </c>
      <c r="G31" s="138">
        <v>1.5504614999999999E-2</v>
      </c>
      <c r="H31" s="142"/>
    </row>
    <row r="32" spans="1:8" x14ac:dyDescent="0.2">
      <c r="A32" s="3">
        <v>26</v>
      </c>
      <c r="B32" s="4" t="s">
        <v>72</v>
      </c>
      <c r="C32" s="4" t="s">
        <v>73</v>
      </c>
      <c r="D32" s="4" t="s">
        <v>27</v>
      </c>
      <c r="E32" s="5">
        <v>21905</v>
      </c>
      <c r="F32" s="6">
        <v>217.28664749999999</v>
      </c>
      <c r="G32" s="138">
        <v>1.5073853E-2</v>
      </c>
      <c r="H32" s="142"/>
    </row>
    <row r="33" spans="1:8" ht="25.5" x14ac:dyDescent="0.2">
      <c r="A33" s="3">
        <v>27</v>
      </c>
      <c r="B33" s="4" t="s">
        <v>231</v>
      </c>
      <c r="C33" s="4" t="s">
        <v>232</v>
      </c>
      <c r="D33" s="4" t="s">
        <v>51</v>
      </c>
      <c r="E33" s="5">
        <v>10000</v>
      </c>
      <c r="F33" s="6">
        <v>214.38499999999999</v>
      </c>
      <c r="G33" s="138">
        <v>1.4872556E-2</v>
      </c>
      <c r="H33" s="142"/>
    </row>
    <row r="34" spans="1:8" x14ac:dyDescent="0.2">
      <c r="A34" s="3">
        <v>28</v>
      </c>
      <c r="B34" s="4" t="s">
        <v>333</v>
      </c>
      <c r="C34" s="4" t="s">
        <v>334</v>
      </c>
      <c r="D34" s="4" t="s">
        <v>335</v>
      </c>
      <c r="E34" s="5">
        <v>19336</v>
      </c>
      <c r="F34" s="6">
        <v>198.35835599999999</v>
      </c>
      <c r="G34" s="138">
        <v>1.3760738E-2</v>
      </c>
      <c r="H34" s="142"/>
    </row>
    <row r="35" spans="1:8" x14ac:dyDescent="0.2">
      <c r="A35" s="3">
        <v>29</v>
      </c>
      <c r="B35" s="4" t="s">
        <v>426</v>
      </c>
      <c r="C35" s="4" t="s">
        <v>427</v>
      </c>
      <c r="D35" s="4" t="s">
        <v>83</v>
      </c>
      <c r="E35" s="5">
        <v>24448</v>
      </c>
      <c r="F35" s="6">
        <v>196.32966400000001</v>
      </c>
      <c r="G35" s="138">
        <v>1.3620001E-2</v>
      </c>
      <c r="H35" s="142"/>
    </row>
    <row r="36" spans="1:8" x14ac:dyDescent="0.2">
      <c r="A36" s="3">
        <v>30</v>
      </c>
      <c r="B36" s="4" t="s">
        <v>428</v>
      </c>
      <c r="C36" s="4" t="s">
        <v>429</v>
      </c>
      <c r="D36" s="4" t="s">
        <v>430</v>
      </c>
      <c r="E36" s="5">
        <v>37242</v>
      </c>
      <c r="F36" s="6">
        <v>181.72233900000001</v>
      </c>
      <c r="G36" s="138">
        <v>1.2606646000000001E-2</v>
      </c>
      <c r="H36" s="142"/>
    </row>
    <row r="37" spans="1:8" x14ac:dyDescent="0.2">
      <c r="A37" s="3">
        <v>31</v>
      </c>
      <c r="B37" s="4" t="s">
        <v>431</v>
      </c>
      <c r="C37" s="4" t="s">
        <v>432</v>
      </c>
      <c r="D37" s="4" t="s">
        <v>59</v>
      </c>
      <c r="E37" s="5">
        <v>12976</v>
      </c>
      <c r="F37" s="6">
        <v>167.24766399999999</v>
      </c>
      <c r="G37" s="138">
        <v>1.1602492000000001E-2</v>
      </c>
      <c r="H37" s="142"/>
    </row>
    <row r="38" spans="1:8" x14ac:dyDescent="0.2">
      <c r="A38" s="3">
        <v>32</v>
      </c>
      <c r="B38" s="4" t="s">
        <v>433</v>
      </c>
      <c r="C38" s="4" t="s">
        <v>434</v>
      </c>
      <c r="D38" s="4" t="s">
        <v>207</v>
      </c>
      <c r="E38" s="5">
        <v>3376</v>
      </c>
      <c r="F38" s="6">
        <v>162.00411199999999</v>
      </c>
      <c r="G38" s="138">
        <v>1.1238731E-2</v>
      </c>
      <c r="H38" s="142"/>
    </row>
    <row r="39" spans="1:8" x14ac:dyDescent="0.2">
      <c r="A39" s="3">
        <v>33</v>
      </c>
      <c r="B39" s="4" t="s">
        <v>40</v>
      </c>
      <c r="C39" s="4" t="s">
        <v>41</v>
      </c>
      <c r="D39" s="4" t="s">
        <v>16</v>
      </c>
      <c r="E39" s="5">
        <v>37123</v>
      </c>
      <c r="F39" s="6">
        <v>160.445606</v>
      </c>
      <c r="G39" s="138">
        <v>1.1130612E-2</v>
      </c>
      <c r="H39" s="142"/>
    </row>
    <row r="40" spans="1:8" x14ac:dyDescent="0.2">
      <c r="A40" s="3">
        <v>34</v>
      </c>
      <c r="B40" s="4" t="s">
        <v>346</v>
      </c>
      <c r="C40" s="4" t="s">
        <v>347</v>
      </c>
      <c r="D40" s="4" t="s">
        <v>207</v>
      </c>
      <c r="E40" s="5">
        <v>4108</v>
      </c>
      <c r="F40" s="6">
        <v>152.813492</v>
      </c>
      <c r="G40" s="138">
        <v>1.0601149000000001E-2</v>
      </c>
      <c r="H40" s="142"/>
    </row>
    <row r="41" spans="1:8" x14ac:dyDescent="0.2">
      <c r="A41" s="3">
        <v>35</v>
      </c>
      <c r="B41" s="4" t="s">
        <v>340</v>
      </c>
      <c r="C41" s="4" t="s">
        <v>341</v>
      </c>
      <c r="D41" s="4" t="s">
        <v>216</v>
      </c>
      <c r="E41" s="5">
        <v>443</v>
      </c>
      <c r="F41" s="6">
        <v>140.452707</v>
      </c>
      <c r="G41" s="138">
        <v>9.7436429999999997E-3</v>
      </c>
      <c r="H41" s="142"/>
    </row>
    <row r="42" spans="1:8" x14ac:dyDescent="0.2">
      <c r="A42" s="3">
        <v>36</v>
      </c>
      <c r="B42" s="4" t="s">
        <v>354</v>
      </c>
      <c r="C42" s="4" t="s">
        <v>355</v>
      </c>
      <c r="D42" s="4" t="s">
        <v>173</v>
      </c>
      <c r="E42" s="5">
        <v>175</v>
      </c>
      <c r="F42" s="6">
        <v>138.90721250000001</v>
      </c>
      <c r="G42" s="138">
        <v>9.6364269999999995E-3</v>
      </c>
      <c r="H42" s="142"/>
    </row>
    <row r="43" spans="1:8" x14ac:dyDescent="0.2">
      <c r="A43" s="3">
        <v>37</v>
      </c>
      <c r="B43" s="4" t="s">
        <v>352</v>
      </c>
      <c r="C43" s="4" t="s">
        <v>353</v>
      </c>
      <c r="D43" s="4" t="s">
        <v>48</v>
      </c>
      <c r="E43" s="5">
        <v>18750</v>
      </c>
      <c r="F43" s="6">
        <v>132.05625000000001</v>
      </c>
      <c r="G43" s="138">
        <v>9.1611539999999995E-3</v>
      </c>
      <c r="H43" s="142"/>
    </row>
    <row r="44" spans="1:8" x14ac:dyDescent="0.2">
      <c r="A44" s="3">
        <v>38</v>
      </c>
      <c r="B44" s="4" t="s">
        <v>360</v>
      </c>
      <c r="C44" s="4" t="s">
        <v>361</v>
      </c>
      <c r="D44" s="4" t="s">
        <v>24</v>
      </c>
      <c r="E44" s="5">
        <v>160000</v>
      </c>
      <c r="F44" s="6">
        <v>130.80000000000001</v>
      </c>
      <c r="G44" s="138">
        <v>9.0740040000000001E-3</v>
      </c>
      <c r="H44" s="142"/>
    </row>
    <row r="45" spans="1:8" x14ac:dyDescent="0.2">
      <c r="A45" s="3">
        <v>39</v>
      </c>
      <c r="B45" s="4" t="s">
        <v>376</v>
      </c>
      <c r="C45" s="4" t="s">
        <v>377</v>
      </c>
      <c r="D45" s="4" t="s">
        <v>254</v>
      </c>
      <c r="E45" s="5">
        <v>16000</v>
      </c>
      <c r="F45" s="6">
        <v>127.11199999999999</v>
      </c>
      <c r="G45" s="138">
        <v>8.8181560000000006E-3</v>
      </c>
      <c r="H45" s="142"/>
    </row>
    <row r="46" spans="1:8" ht="25.5" x14ac:dyDescent="0.2">
      <c r="A46" s="3">
        <v>40</v>
      </c>
      <c r="B46" s="4" t="s">
        <v>435</v>
      </c>
      <c r="C46" s="4" t="s">
        <v>436</v>
      </c>
      <c r="D46" s="4" t="s">
        <v>90</v>
      </c>
      <c r="E46" s="5">
        <v>53592</v>
      </c>
      <c r="F46" s="6">
        <v>126.557508</v>
      </c>
      <c r="G46" s="138">
        <v>8.7796890000000002E-3</v>
      </c>
      <c r="H46" s="142"/>
    </row>
    <row r="47" spans="1:8" x14ac:dyDescent="0.2">
      <c r="A47" s="3">
        <v>41</v>
      </c>
      <c r="B47" s="4" t="s">
        <v>91</v>
      </c>
      <c r="C47" s="4" t="s">
        <v>92</v>
      </c>
      <c r="D47" s="4" t="s">
        <v>27</v>
      </c>
      <c r="E47" s="5">
        <v>1626</v>
      </c>
      <c r="F47" s="6">
        <v>122.902023</v>
      </c>
      <c r="G47" s="138">
        <v>8.5260969999999998E-3</v>
      </c>
      <c r="H47" s="142"/>
    </row>
    <row r="48" spans="1:8" x14ac:dyDescent="0.2">
      <c r="A48" s="3">
        <v>42</v>
      </c>
      <c r="B48" s="4" t="s">
        <v>437</v>
      </c>
      <c r="C48" s="4" t="s">
        <v>438</v>
      </c>
      <c r="D48" s="4" t="s">
        <v>164</v>
      </c>
      <c r="E48" s="5">
        <v>8795</v>
      </c>
      <c r="F48" s="6">
        <v>121.42377</v>
      </c>
      <c r="G48" s="138">
        <v>8.4235460000000005E-3</v>
      </c>
      <c r="H48" s="142"/>
    </row>
    <row r="49" spans="1:8" x14ac:dyDescent="0.2">
      <c r="A49" s="3">
        <v>43</v>
      </c>
      <c r="B49" s="4" t="s">
        <v>439</v>
      </c>
      <c r="C49" s="4" t="s">
        <v>440</v>
      </c>
      <c r="D49" s="4" t="s">
        <v>173</v>
      </c>
      <c r="E49" s="5">
        <v>19492</v>
      </c>
      <c r="F49" s="6">
        <v>108.346282</v>
      </c>
      <c r="G49" s="138">
        <v>7.5163199999999999E-3</v>
      </c>
      <c r="H49" s="142"/>
    </row>
    <row r="50" spans="1:8" x14ac:dyDescent="0.2">
      <c r="A50" s="3">
        <v>44</v>
      </c>
      <c r="B50" s="4" t="s">
        <v>308</v>
      </c>
      <c r="C50" s="4" t="s">
        <v>309</v>
      </c>
      <c r="D50" s="4" t="s">
        <v>1030</v>
      </c>
      <c r="E50" s="5">
        <v>10058</v>
      </c>
      <c r="F50" s="6">
        <v>102.018294</v>
      </c>
      <c r="G50" s="138">
        <v>7.0773269999999996E-3</v>
      </c>
      <c r="H50" s="142"/>
    </row>
    <row r="51" spans="1:8" x14ac:dyDescent="0.2">
      <c r="A51" s="3">
        <v>45</v>
      </c>
      <c r="B51" s="4" t="s">
        <v>348</v>
      </c>
      <c r="C51" s="4" t="s">
        <v>349</v>
      </c>
      <c r="D51" s="4" t="s">
        <v>59</v>
      </c>
      <c r="E51" s="5">
        <v>26000</v>
      </c>
      <c r="F51" s="6">
        <v>101.205</v>
      </c>
      <c r="G51" s="138">
        <v>7.0209069999999998E-3</v>
      </c>
      <c r="H51" s="142"/>
    </row>
    <row r="52" spans="1:8" x14ac:dyDescent="0.2">
      <c r="A52" s="3">
        <v>46</v>
      </c>
      <c r="B52" s="4" t="s">
        <v>441</v>
      </c>
      <c r="C52" s="4" t="s">
        <v>442</v>
      </c>
      <c r="D52" s="4" t="s">
        <v>24</v>
      </c>
      <c r="E52" s="5">
        <v>4709</v>
      </c>
      <c r="F52" s="6">
        <v>94.438995000000006</v>
      </c>
      <c r="G52" s="138">
        <v>6.551528E-3</v>
      </c>
      <c r="H52" s="142"/>
    </row>
    <row r="53" spans="1:8" ht="25.5" x14ac:dyDescent="0.2">
      <c r="A53" s="3">
        <v>47</v>
      </c>
      <c r="B53" s="4" t="s">
        <v>178</v>
      </c>
      <c r="C53" s="4" t="s">
        <v>933</v>
      </c>
      <c r="D53" s="4" t="s">
        <v>37</v>
      </c>
      <c r="E53" s="5">
        <v>36162</v>
      </c>
      <c r="F53" s="6">
        <v>93.352203000000003</v>
      </c>
      <c r="G53" s="138">
        <v>6.4761339999999997E-3</v>
      </c>
      <c r="H53" s="142"/>
    </row>
    <row r="54" spans="1:8" x14ac:dyDescent="0.2">
      <c r="A54" s="3">
        <v>48</v>
      </c>
      <c r="B54" s="4" t="s">
        <v>273</v>
      </c>
      <c r="C54" s="4" t="s">
        <v>274</v>
      </c>
      <c r="D54" s="4" t="s">
        <v>173</v>
      </c>
      <c r="E54" s="5">
        <v>14000</v>
      </c>
      <c r="F54" s="6">
        <v>83.888000000000005</v>
      </c>
      <c r="G54" s="138">
        <v>5.8195720000000003E-3</v>
      </c>
      <c r="H54" s="142"/>
    </row>
    <row r="55" spans="1:8" x14ac:dyDescent="0.2">
      <c r="A55" s="3">
        <v>49</v>
      </c>
      <c r="B55" s="4" t="s">
        <v>378</v>
      </c>
      <c r="C55" s="4" t="s">
        <v>379</v>
      </c>
      <c r="D55" s="4" t="s">
        <v>51</v>
      </c>
      <c r="E55" s="5">
        <v>100655</v>
      </c>
      <c r="F55" s="6">
        <v>73.377494999999996</v>
      </c>
      <c r="G55" s="138">
        <v>5.0904260000000003E-3</v>
      </c>
      <c r="H55" s="142"/>
    </row>
    <row r="56" spans="1:8" ht="25.5" x14ac:dyDescent="0.2">
      <c r="A56" s="3">
        <v>50</v>
      </c>
      <c r="B56" s="4" t="s">
        <v>443</v>
      </c>
      <c r="C56" s="4" t="s">
        <v>444</v>
      </c>
      <c r="D56" s="4" t="s">
        <v>1030</v>
      </c>
      <c r="E56" s="5">
        <v>4332</v>
      </c>
      <c r="F56" s="6">
        <v>68.857140000000001</v>
      </c>
      <c r="G56" s="138">
        <v>4.7768350000000001E-3</v>
      </c>
      <c r="H56" s="14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9">
        <v>14184.999062499999</v>
      </c>
      <c r="G57" s="139">
        <v>0.98405765199999995</v>
      </c>
      <c r="H57" s="142"/>
    </row>
    <row r="58" spans="1:8" x14ac:dyDescent="0.2">
      <c r="A58" s="1"/>
      <c r="B58" s="1"/>
      <c r="C58" s="11"/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107</v>
      </c>
      <c r="D59" s="1"/>
      <c r="E59" s="1"/>
      <c r="F59" s="1"/>
      <c r="G59" s="137"/>
      <c r="H59" s="14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1">
        <v>0</v>
      </c>
      <c r="H60" s="142"/>
    </row>
    <row r="61" spans="1:8" x14ac:dyDescent="0.2">
      <c r="A61" s="1"/>
      <c r="B61" s="1"/>
      <c r="C61" s="11"/>
      <c r="D61" s="1"/>
      <c r="E61" s="1"/>
      <c r="F61" s="12"/>
      <c r="G61" s="140"/>
      <c r="H61" s="142"/>
    </row>
    <row r="62" spans="1:8" x14ac:dyDescent="0.2">
      <c r="A62" s="1"/>
      <c r="B62" s="1"/>
      <c r="C62" s="2" t="s">
        <v>108</v>
      </c>
      <c r="D62" s="1"/>
      <c r="E62" s="1"/>
      <c r="F62" s="1"/>
      <c r="G62" s="137"/>
      <c r="H62" s="142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1">
        <v>0</v>
      </c>
      <c r="H63" s="142"/>
    </row>
    <row r="64" spans="1:8" x14ac:dyDescent="0.2">
      <c r="A64" s="1"/>
      <c r="B64" s="1"/>
      <c r="C64" s="11"/>
      <c r="D64" s="1"/>
      <c r="E64" s="1"/>
      <c r="F64" s="12"/>
      <c r="G64" s="140"/>
      <c r="H64" s="142"/>
    </row>
    <row r="65" spans="1:8" x14ac:dyDescent="0.2">
      <c r="A65" s="1"/>
      <c r="B65" s="1"/>
      <c r="C65" s="2" t="s">
        <v>109</v>
      </c>
      <c r="D65" s="1"/>
      <c r="E65" s="1"/>
      <c r="F65" s="1"/>
      <c r="G65" s="137"/>
      <c r="H65" s="142"/>
    </row>
    <row r="66" spans="1:8" x14ac:dyDescent="0.2">
      <c r="A66" s="3">
        <v>1</v>
      </c>
      <c r="B66" s="4" t="s">
        <v>110</v>
      </c>
      <c r="C66" s="4" t="s">
        <v>996</v>
      </c>
      <c r="D66" s="4" t="s">
        <v>19</v>
      </c>
      <c r="E66" s="5">
        <v>3244</v>
      </c>
      <c r="F66" s="6">
        <v>4.973052</v>
      </c>
      <c r="G66" s="138">
        <v>3.4499599999999997E-4</v>
      </c>
      <c r="H66" s="142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9">
        <v>4.973052</v>
      </c>
      <c r="G67" s="139">
        <v>3.4499599999999997E-4</v>
      </c>
      <c r="H67" s="142"/>
    </row>
    <row r="68" spans="1:8" x14ac:dyDescent="0.2">
      <c r="A68" s="1"/>
      <c r="B68" s="1"/>
      <c r="C68" s="11"/>
      <c r="D68" s="1"/>
      <c r="E68" s="1"/>
      <c r="F68" s="12"/>
      <c r="G68" s="140"/>
      <c r="H68" s="142"/>
    </row>
    <row r="69" spans="1:8" x14ac:dyDescent="0.2">
      <c r="A69" s="1"/>
      <c r="B69" s="1"/>
      <c r="C69" s="2" t="s">
        <v>111</v>
      </c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1">
        <v>0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112</v>
      </c>
      <c r="D72" s="1"/>
      <c r="E72" s="1"/>
      <c r="F72" s="12"/>
      <c r="G72" s="140"/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1">
        <v>0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113</v>
      </c>
      <c r="D75" s="1"/>
      <c r="E75" s="1"/>
      <c r="F75" s="9">
        <v>14189.9721145</v>
      </c>
      <c r="G75" s="139">
        <v>0.98440264799999999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114</v>
      </c>
      <c r="D77" s="1"/>
      <c r="E77" s="1"/>
      <c r="F77" s="12"/>
      <c r="G77" s="140"/>
      <c r="H77" s="142"/>
    </row>
    <row r="78" spans="1:8" ht="25.5" x14ac:dyDescent="0.2">
      <c r="A78" s="1"/>
      <c r="B78" s="1"/>
      <c r="C78" s="2" t="s">
        <v>10</v>
      </c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115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116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117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118</v>
      </c>
      <c r="D90" s="1"/>
      <c r="E90" s="1"/>
      <c r="F90" s="9">
        <v>0</v>
      </c>
      <c r="G90" s="139">
        <v>0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119</v>
      </c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120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121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122</v>
      </c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123</v>
      </c>
      <c r="D102" s="1"/>
      <c r="E102" s="1"/>
      <c r="F102" s="12"/>
      <c r="G102" s="140"/>
      <c r="H102" s="142"/>
    </row>
    <row r="103" spans="1:8" x14ac:dyDescent="0.2">
      <c r="A103" s="3">
        <v>1</v>
      </c>
      <c r="B103" s="4"/>
      <c r="C103" s="4" t="s">
        <v>124</v>
      </c>
      <c r="D103" s="4"/>
      <c r="E103" s="8"/>
      <c r="F103" s="6">
        <v>215.6947821</v>
      </c>
      <c r="G103" s="138">
        <v>1.496342E-2</v>
      </c>
      <c r="H103" s="152">
        <v>3.3197683930276081</v>
      </c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9">
        <v>215.6947821</v>
      </c>
      <c r="G104" s="139">
        <v>1.496342E-2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125</v>
      </c>
      <c r="D106" s="1"/>
      <c r="E106" s="1"/>
      <c r="F106" s="9">
        <v>215.6947821</v>
      </c>
      <c r="G106" s="139">
        <v>1.496342E-2</v>
      </c>
      <c r="H106" s="142"/>
    </row>
    <row r="107" spans="1:8" x14ac:dyDescent="0.2">
      <c r="A107" s="1"/>
      <c r="B107" s="1"/>
      <c r="C107" s="12"/>
      <c r="D107" s="1"/>
      <c r="E107" s="1"/>
      <c r="F107" s="1"/>
      <c r="G107" s="137"/>
      <c r="H107" s="142"/>
    </row>
    <row r="108" spans="1:8" x14ac:dyDescent="0.2">
      <c r="A108" s="1"/>
      <c r="B108" s="1"/>
      <c r="C108" s="2" t="s">
        <v>126</v>
      </c>
      <c r="D108" s="1"/>
      <c r="E108" s="1"/>
      <c r="F108" s="1"/>
      <c r="G108" s="137"/>
      <c r="H108" s="142"/>
    </row>
    <row r="109" spans="1:8" x14ac:dyDescent="0.2">
      <c r="A109" s="1"/>
      <c r="B109" s="1"/>
      <c r="C109" s="2" t="s">
        <v>127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128</v>
      </c>
      <c r="D112" s="1"/>
      <c r="E112" s="1"/>
      <c r="F112" s="1"/>
      <c r="G112" s="137"/>
      <c r="H112" s="142"/>
    </row>
    <row r="113" spans="1:8" x14ac:dyDescent="0.2">
      <c r="A113" s="1"/>
      <c r="B113" s="1"/>
      <c r="C113" s="2" t="s">
        <v>129</v>
      </c>
      <c r="D113" s="1"/>
      <c r="E113" s="1"/>
      <c r="F113" s="1"/>
      <c r="G113" s="137"/>
      <c r="H113" s="142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1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ht="25.5" x14ac:dyDescent="0.2">
      <c r="A117" s="1"/>
      <c r="B117" s="1"/>
      <c r="C117" s="2" t="s">
        <v>130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4"/>
      <c r="C120" s="4"/>
      <c r="D120" s="2"/>
      <c r="E120" s="1"/>
      <c r="F120" s="4"/>
      <c r="G120" s="143"/>
      <c r="H120" s="142"/>
    </row>
    <row r="121" spans="1:8" x14ac:dyDescent="0.2">
      <c r="A121" s="8"/>
      <c r="B121" s="4"/>
      <c r="C121" s="4" t="s">
        <v>131</v>
      </c>
      <c r="D121" s="4"/>
      <c r="E121" s="8"/>
      <c r="F121" s="6">
        <v>9.1380262999999999</v>
      </c>
      <c r="G121" s="138">
        <v>6.3393300000000004E-4</v>
      </c>
      <c r="H121" s="142"/>
    </row>
    <row r="122" spans="1:8" x14ac:dyDescent="0.2">
      <c r="A122" s="11"/>
      <c r="B122" s="11"/>
      <c r="C122" s="2" t="s">
        <v>132</v>
      </c>
      <c r="D122" s="15"/>
      <c r="E122" s="15"/>
      <c r="F122" s="9">
        <v>14414.804922900001</v>
      </c>
      <c r="G122" s="139">
        <v>1.0000000010000001</v>
      </c>
      <c r="H122" s="142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205" t="s">
        <v>106</v>
      </c>
      <c r="C124" s="205"/>
      <c r="D124" s="205"/>
      <c r="E124" s="205"/>
      <c r="F124" s="205"/>
      <c r="G124" s="20"/>
    </row>
    <row r="125" spans="1:8" ht="14.1" customHeight="1" x14ac:dyDescent="0.2">
      <c r="A125" s="18"/>
      <c r="B125" s="205" t="s">
        <v>106</v>
      </c>
      <c r="C125" s="205"/>
      <c r="D125" s="205"/>
      <c r="E125" s="205"/>
      <c r="F125" s="205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203" t="s">
        <v>134</v>
      </c>
      <c r="C127" s="204"/>
      <c r="D127" s="12" t="s">
        <v>106</v>
      </c>
      <c r="E127" s="21"/>
      <c r="F127" s="20"/>
      <c r="G127" s="20"/>
    </row>
    <row r="128" spans="1:8" ht="29.1" customHeight="1" x14ac:dyDescent="0.2">
      <c r="A128" s="18"/>
      <c r="B128" s="199" t="s">
        <v>135</v>
      </c>
      <c r="C128" s="200"/>
      <c r="D128" s="2" t="s">
        <v>136</v>
      </c>
      <c r="E128" s="21"/>
      <c r="F128" s="20"/>
      <c r="G128" s="20"/>
    </row>
    <row r="129" spans="1:7" ht="17.100000000000001" customHeight="1" x14ac:dyDescent="0.2">
      <c r="A129" s="18"/>
      <c r="B129" s="199" t="s">
        <v>137</v>
      </c>
      <c r="C129" s="200"/>
      <c r="D129" s="2" t="s">
        <v>136</v>
      </c>
      <c r="E129" s="21"/>
      <c r="F129" s="20"/>
      <c r="G129" s="20"/>
    </row>
    <row r="130" spans="1:7" ht="17.100000000000001" customHeight="1" x14ac:dyDescent="0.2">
      <c r="A130" s="18"/>
      <c r="B130" s="199" t="s">
        <v>138</v>
      </c>
      <c r="C130" s="200"/>
      <c r="D130" s="12" t="s">
        <v>106</v>
      </c>
      <c r="E130" s="21"/>
      <c r="F130" s="20"/>
      <c r="G130" s="20"/>
    </row>
    <row r="131" spans="1:7" ht="24" customHeight="1" x14ac:dyDescent="0.2">
      <c r="A131" s="22"/>
      <c r="B131" s="23" t="s">
        <v>106</v>
      </c>
      <c r="C131" s="23" t="s">
        <v>139</v>
      </c>
      <c r="D131" s="23" t="s">
        <v>140</v>
      </c>
      <c r="E131" s="22"/>
      <c r="F131" s="22"/>
      <c r="G131" s="22"/>
    </row>
    <row r="132" spans="1:7" ht="18" customHeight="1" x14ac:dyDescent="0.2">
      <c r="A132" s="22"/>
      <c r="B132" s="23" t="s">
        <v>141</v>
      </c>
      <c r="C132" s="23" t="s">
        <v>142</v>
      </c>
      <c r="D132" s="23" t="s">
        <v>143</v>
      </c>
      <c r="E132" s="22"/>
      <c r="F132" s="22"/>
      <c r="G132" s="22"/>
    </row>
    <row r="133" spans="1:7" x14ac:dyDescent="0.2">
      <c r="A133" s="22"/>
      <c r="B133" s="4" t="s">
        <v>144</v>
      </c>
      <c r="C133" s="24">
        <v>17.0886</v>
      </c>
      <c r="D133" s="24">
        <v>17.323699999999999</v>
      </c>
      <c r="E133" s="22"/>
      <c r="F133" s="19"/>
      <c r="G133" s="25"/>
    </row>
    <row r="134" spans="1:7" x14ac:dyDescent="0.2">
      <c r="A134" s="22"/>
      <c r="B134" s="4" t="s">
        <v>1019</v>
      </c>
      <c r="C134" s="24">
        <v>16.253699999999998</v>
      </c>
      <c r="D134" s="24">
        <v>16.477399999999999</v>
      </c>
      <c r="E134" s="22"/>
      <c r="F134" s="19"/>
      <c r="G134" s="25"/>
    </row>
    <row r="135" spans="1:7" x14ac:dyDescent="0.2">
      <c r="A135" s="22"/>
      <c r="B135" s="4" t="s">
        <v>145</v>
      </c>
      <c r="C135" s="24">
        <v>16.776499999999999</v>
      </c>
      <c r="D135" s="24">
        <v>16.999400000000001</v>
      </c>
      <c r="E135" s="22"/>
      <c r="F135" s="19"/>
      <c r="G135" s="25"/>
    </row>
    <row r="136" spans="1:7" x14ac:dyDescent="0.2">
      <c r="A136" s="22"/>
      <c r="B136" s="4" t="s">
        <v>1020</v>
      </c>
      <c r="C136" s="24">
        <v>16.14</v>
      </c>
      <c r="D136" s="24">
        <v>16.354500000000002</v>
      </c>
      <c r="E136" s="22"/>
      <c r="F136" s="19"/>
      <c r="G136" s="25"/>
    </row>
    <row r="137" spans="1:7" ht="14.1" customHeight="1" x14ac:dyDescent="0.2">
      <c r="A137" s="22"/>
      <c r="B137" s="22"/>
      <c r="C137" s="22"/>
      <c r="D137" s="22"/>
      <c r="E137" s="22"/>
      <c r="F137" s="22"/>
      <c r="G137" s="22"/>
    </row>
    <row r="138" spans="1:7" ht="17.100000000000001" customHeight="1" x14ac:dyDescent="0.2">
      <c r="A138" s="22"/>
      <c r="B138" s="199" t="s">
        <v>1021</v>
      </c>
      <c r="C138" s="200"/>
      <c r="D138" s="2" t="s">
        <v>136</v>
      </c>
      <c r="E138" s="22"/>
      <c r="F138" s="22"/>
      <c r="G138" s="22"/>
    </row>
    <row r="139" spans="1:7" ht="18" customHeight="1" x14ac:dyDescent="0.2">
      <c r="A139" s="22"/>
      <c r="B139" s="26"/>
      <c r="C139" s="26"/>
      <c r="D139" s="27"/>
      <c r="E139" s="22"/>
      <c r="F139" s="22"/>
      <c r="G139" s="22"/>
    </row>
    <row r="140" spans="1:7" s="125" customFormat="1" x14ac:dyDescent="0.2">
      <c r="B140" s="201" t="s">
        <v>825</v>
      </c>
      <c r="C140" s="201"/>
      <c r="D140" s="201"/>
      <c r="E140" s="201"/>
      <c r="F140" s="201"/>
    </row>
    <row r="141" spans="1:7" ht="14.1" customHeight="1" x14ac:dyDescent="0.2">
      <c r="A141" s="22"/>
      <c r="B141" s="19"/>
      <c r="C141" s="19"/>
      <c r="D141" s="22"/>
      <c r="E141" s="22"/>
      <c r="F141" s="22"/>
      <c r="G141" s="22"/>
    </row>
    <row r="142" spans="1:7" ht="29.1" customHeight="1" x14ac:dyDescent="0.2">
      <c r="A142" s="22"/>
      <c r="B142" s="199" t="s">
        <v>146</v>
      </c>
      <c r="C142" s="200"/>
      <c r="D142" s="2" t="s">
        <v>136</v>
      </c>
      <c r="E142" s="22"/>
      <c r="F142" s="22"/>
      <c r="G142" s="22"/>
    </row>
    <row r="143" spans="1:7" ht="29.1" customHeight="1" x14ac:dyDescent="0.2">
      <c r="A143" s="22"/>
      <c r="B143" s="199" t="s">
        <v>147</v>
      </c>
      <c r="C143" s="200"/>
      <c r="D143" s="2" t="s">
        <v>136</v>
      </c>
      <c r="E143" s="22"/>
      <c r="F143" s="22"/>
      <c r="G143" s="22"/>
    </row>
    <row r="144" spans="1:7" ht="17.100000000000001" customHeight="1" x14ac:dyDescent="0.2">
      <c r="A144" s="22"/>
      <c r="B144" s="199" t="s">
        <v>148</v>
      </c>
      <c r="C144" s="200"/>
      <c r="D144" s="28">
        <v>0.37676622600535664</v>
      </c>
      <c r="E144" s="22"/>
      <c r="F144" s="19"/>
      <c r="G144" s="25"/>
    </row>
    <row r="145" spans="1:7" ht="17.100000000000001" customHeight="1" x14ac:dyDescent="0.2">
      <c r="A145" s="22"/>
      <c r="B145" s="199" t="s">
        <v>149</v>
      </c>
      <c r="C145" s="200"/>
      <c r="D145" s="2" t="s">
        <v>136</v>
      </c>
      <c r="E145" s="22"/>
      <c r="F145" s="22"/>
      <c r="G145" s="22"/>
    </row>
  </sheetData>
  <mergeCells count="16">
    <mergeCell ref="J2:N2"/>
    <mergeCell ref="B127:C127"/>
    <mergeCell ref="B124:F124"/>
    <mergeCell ref="B125:F125"/>
    <mergeCell ref="A1:H1"/>
    <mergeCell ref="A2:H2"/>
    <mergeCell ref="A3:H3"/>
    <mergeCell ref="B144:C144"/>
    <mergeCell ref="B145:C145"/>
    <mergeCell ref="B128:C128"/>
    <mergeCell ref="B129:C129"/>
    <mergeCell ref="B130:C130"/>
    <mergeCell ref="B138:C138"/>
    <mergeCell ref="B142:C142"/>
    <mergeCell ref="B143:C143"/>
    <mergeCell ref="B140:F14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145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445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22017</v>
      </c>
      <c r="F7" s="6">
        <v>554.66327249999995</v>
      </c>
      <c r="G7" s="138">
        <v>6.5435396000000007E-2</v>
      </c>
      <c r="H7" s="142"/>
    </row>
    <row r="8" spans="1:14" x14ac:dyDescent="0.2">
      <c r="A8" s="3">
        <v>2</v>
      </c>
      <c r="B8" s="4" t="s">
        <v>22</v>
      </c>
      <c r="C8" s="4" t="s">
        <v>23</v>
      </c>
      <c r="D8" s="4" t="s">
        <v>24</v>
      </c>
      <c r="E8" s="5">
        <v>75948</v>
      </c>
      <c r="F8" s="6">
        <v>532.28155800000002</v>
      </c>
      <c r="G8" s="138">
        <v>6.2794953000000001E-2</v>
      </c>
      <c r="H8" s="142"/>
    </row>
    <row r="9" spans="1:14" x14ac:dyDescent="0.2">
      <c r="A9" s="3">
        <v>3</v>
      </c>
      <c r="B9" s="4" t="s">
        <v>408</v>
      </c>
      <c r="C9" s="4" t="s">
        <v>409</v>
      </c>
      <c r="D9" s="4" t="s">
        <v>24</v>
      </c>
      <c r="E9" s="5">
        <v>33012</v>
      </c>
      <c r="F9" s="6">
        <v>526.52489400000002</v>
      </c>
      <c r="G9" s="138">
        <v>6.2115821000000002E-2</v>
      </c>
      <c r="H9" s="142"/>
    </row>
    <row r="10" spans="1:14" x14ac:dyDescent="0.2">
      <c r="A10" s="3">
        <v>4</v>
      </c>
      <c r="B10" s="4" t="s">
        <v>410</v>
      </c>
      <c r="C10" s="4" t="s">
        <v>411</v>
      </c>
      <c r="D10" s="4" t="s">
        <v>164</v>
      </c>
      <c r="E10" s="5">
        <v>24647</v>
      </c>
      <c r="F10" s="6">
        <v>412.88654400000001</v>
      </c>
      <c r="G10" s="138">
        <v>4.8709543000000001E-2</v>
      </c>
      <c r="H10" s="142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80</v>
      </c>
      <c r="E11" s="5">
        <v>13157</v>
      </c>
      <c r="F11" s="6">
        <v>362.38325099999997</v>
      </c>
      <c r="G11" s="138">
        <v>4.2751508000000001E-2</v>
      </c>
      <c r="H11" s="142"/>
    </row>
    <row r="12" spans="1:14" x14ac:dyDescent="0.2">
      <c r="A12" s="3">
        <v>6</v>
      </c>
      <c r="B12" s="4" t="s">
        <v>336</v>
      </c>
      <c r="C12" s="4" t="s">
        <v>337</v>
      </c>
      <c r="D12" s="4" t="s">
        <v>24</v>
      </c>
      <c r="E12" s="5">
        <v>35977</v>
      </c>
      <c r="F12" s="6">
        <v>275.78169350000002</v>
      </c>
      <c r="G12" s="138">
        <v>3.2534845999999999E-2</v>
      </c>
      <c r="H12" s="142"/>
    </row>
    <row r="13" spans="1:14" x14ac:dyDescent="0.2">
      <c r="A13" s="3">
        <v>7</v>
      </c>
      <c r="B13" s="4" t="s">
        <v>414</v>
      </c>
      <c r="C13" s="4" t="s">
        <v>415</v>
      </c>
      <c r="D13" s="4" t="s">
        <v>24</v>
      </c>
      <c r="E13" s="5">
        <v>58550</v>
      </c>
      <c r="F13" s="6">
        <v>265.23149999999998</v>
      </c>
      <c r="G13" s="138">
        <v>3.1290206000000001E-2</v>
      </c>
      <c r="H13" s="142"/>
    </row>
    <row r="14" spans="1:14" x14ac:dyDescent="0.2">
      <c r="A14" s="3">
        <v>8</v>
      </c>
      <c r="B14" s="4" t="s">
        <v>25</v>
      </c>
      <c r="C14" s="4" t="s">
        <v>26</v>
      </c>
      <c r="D14" s="4" t="s">
        <v>27</v>
      </c>
      <c r="E14" s="5">
        <v>18316</v>
      </c>
      <c r="F14" s="6">
        <v>251.41457399999999</v>
      </c>
      <c r="G14" s="138">
        <v>2.9660178999999998E-2</v>
      </c>
      <c r="H14" s="142"/>
    </row>
    <row r="15" spans="1:14" ht="25.5" x14ac:dyDescent="0.2">
      <c r="A15" s="3">
        <v>9</v>
      </c>
      <c r="B15" s="4" t="s">
        <v>323</v>
      </c>
      <c r="C15" s="4" t="s">
        <v>324</v>
      </c>
      <c r="D15" s="4" t="s">
        <v>90</v>
      </c>
      <c r="E15" s="5">
        <v>27323</v>
      </c>
      <c r="F15" s="6">
        <v>245.251248</v>
      </c>
      <c r="G15" s="138">
        <v>2.8933072000000001E-2</v>
      </c>
      <c r="H15" s="142"/>
      <c r="J15" s="163" t="s">
        <v>1035</v>
      </c>
    </row>
    <row r="16" spans="1:14" x14ac:dyDescent="0.2">
      <c r="A16" s="3">
        <v>10</v>
      </c>
      <c r="B16" s="4" t="s">
        <v>151</v>
      </c>
      <c r="C16" s="4" t="s">
        <v>152</v>
      </c>
      <c r="D16" s="4" t="s">
        <v>153</v>
      </c>
      <c r="E16" s="5">
        <v>6585</v>
      </c>
      <c r="F16" s="6">
        <v>242.64078749999999</v>
      </c>
      <c r="G16" s="138">
        <v>2.8625108E-2</v>
      </c>
      <c r="H16" s="142"/>
    </row>
    <row r="17" spans="1:8" x14ac:dyDescent="0.2">
      <c r="A17" s="3">
        <v>11</v>
      </c>
      <c r="B17" s="4" t="s">
        <v>358</v>
      </c>
      <c r="C17" s="4" t="s">
        <v>359</v>
      </c>
      <c r="D17" s="4" t="s">
        <v>1024</v>
      </c>
      <c r="E17" s="5">
        <v>29796</v>
      </c>
      <c r="F17" s="6">
        <v>225.957966</v>
      </c>
      <c r="G17" s="138">
        <v>2.6656981999999999E-2</v>
      </c>
      <c r="H17" s="142"/>
    </row>
    <row r="18" spans="1:8" x14ac:dyDescent="0.2">
      <c r="A18" s="3">
        <v>12</v>
      </c>
      <c r="B18" s="4" t="s">
        <v>314</v>
      </c>
      <c r="C18" s="4" t="s">
        <v>315</v>
      </c>
      <c r="D18" s="4" t="s">
        <v>1028</v>
      </c>
      <c r="E18" s="5">
        <v>5403</v>
      </c>
      <c r="F18" s="6">
        <v>218.32982699999999</v>
      </c>
      <c r="G18" s="138">
        <v>2.5757065999999999E-2</v>
      </c>
      <c r="H18" s="142"/>
    </row>
    <row r="19" spans="1:8" x14ac:dyDescent="0.2">
      <c r="A19" s="3">
        <v>13</v>
      </c>
      <c r="B19" s="4" t="s">
        <v>416</v>
      </c>
      <c r="C19" s="4" t="s">
        <v>417</v>
      </c>
      <c r="D19" s="4" t="s">
        <v>1030</v>
      </c>
      <c r="E19" s="5">
        <v>17710</v>
      </c>
      <c r="F19" s="6">
        <v>215.19421</v>
      </c>
      <c r="G19" s="138">
        <v>2.5387146999999999E-2</v>
      </c>
      <c r="H19" s="142"/>
    </row>
    <row r="20" spans="1:8" x14ac:dyDescent="0.2">
      <c r="A20" s="3">
        <v>14</v>
      </c>
      <c r="B20" s="4" t="s">
        <v>11</v>
      </c>
      <c r="C20" s="4" t="s">
        <v>12</v>
      </c>
      <c r="D20" s="4" t="s">
        <v>13</v>
      </c>
      <c r="E20" s="5">
        <v>12437</v>
      </c>
      <c r="F20" s="6">
        <v>211.79589150000001</v>
      </c>
      <c r="G20" s="138">
        <v>2.4986237000000001E-2</v>
      </c>
      <c r="H20" s="142"/>
    </row>
    <row r="21" spans="1:8" ht="25.5" x14ac:dyDescent="0.2">
      <c r="A21" s="3">
        <v>15</v>
      </c>
      <c r="B21" s="4" t="s">
        <v>418</v>
      </c>
      <c r="C21" s="4" t="s">
        <v>419</v>
      </c>
      <c r="D21" s="4" t="s">
        <v>90</v>
      </c>
      <c r="E21" s="5">
        <v>7532</v>
      </c>
      <c r="F21" s="6">
        <v>203.49957599999999</v>
      </c>
      <c r="G21" s="138">
        <v>2.4007494000000001E-2</v>
      </c>
      <c r="H21" s="142"/>
    </row>
    <row r="22" spans="1:8" x14ac:dyDescent="0.2">
      <c r="A22" s="3">
        <v>16</v>
      </c>
      <c r="B22" s="4" t="s">
        <v>17</v>
      </c>
      <c r="C22" s="4" t="s">
        <v>18</v>
      </c>
      <c r="D22" s="4" t="s">
        <v>19</v>
      </c>
      <c r="E22" s="5">
        <v>26720</v>
      </c>
      <c r="F22" s="6">
        <v>183.91376</v>
      </c>
      <c r="G22" s="138">
        <v>2.1696892999999998E-2</v>
      </c>
      <c r="H22" s="142"/>
    </row>
    <row r="23" spans="1:8" x14ac:dyDescent="0.2">
      <c r="A23" s="3">
        <v>17</v>
      </c>
      <c r="B23" s="4" t="s">
        <v>290</v>
      </c>
      <c r="C23" s="4" t="s">
        <v>291</v>
      </c>
      <c r="D23" s="4" t="s">
        <v>153</v>
      </c>
      <c r="E23" s="5">
        <v>29565</v>
      </c>
      <c r="F23" s="6">
        <v>181.0708425</v>
      </c>
      <c r="G23" s="138">
        <v>2.1361504999999999E-2</v>
      </c>
      <c r="H23" s="142"/>
    </row>
    <row r="24" spans="1:8" x14ac:dyDescent="0.2">
      <c r="A24" s="3">
        <v>18</v>
      </c>
      <c r="B24" s="4" t="s">
        <v>212</v>
      </c>
      <c r="C24" s="4" t="s">
        <v>213</v>
      </c>
      <c r="D24" s="4" t="s">
        <v>1027</v>
      </c>
      <c r="E24" s="5">
        <v>19626</v>
      </c>
      <c r="F24" s="6">
        <v>179.813412</v>
      </c>
      <c r="G24" s="138">
        <v>2.1213162000000001E-2</v>
      </c>
      <c r="H24" s="142"/>
    </row>
    <row r="25" spans="1:8" ht="25.5" x14ac:dyDescent="0.2">
      <c r="A25" s="3">
        <v>19</v>
      </c>
      <c r="B25" s="4" t="s">
        <v>338</v>
      </c>
      <c r="C25" s="4" t="s">
        <v>339</v>
      </c>
      <c r="D25" s="4" t="s">
        <v>51</v>
      </c>
      <c r="E25" s="5">
        <v>37015</v>
      </c>
      <c r="F25" s="6">
        <v>177.26483500000001</v>
      </c>
      <c r="G25" s="138">
        <v>2.0912498000000002E-2</v>
      </c>
      <c r="H25" s="142"/>
    </row>
    <row r="26" spans="1:8" x14ac:dyDescent="0.2">
      <c r="A26" s="3">
        <v>20</v>
      </c>
      <c r="B26" s="4" t="s">
        <v>420</v>
      </c>
      <c r="C26" s="4" t="s">
        <v>421</v>
      </c>
      <c r="D26" s="4" t="s">
        <v>164</v>
      </c>
      <c r="E26" s="5">
        <v>4304</v>
      </c>
      <c r="F26" s="6">
        <v>162.499672</v>
      </c>
      <c r="G26" s="138">
        <v>1.9170605E-2</v>
      </c>
      <c r="H26" s="142"/>
    </row>
    <row r="27" spans="1:8" ht="25.5" x14ac:dyDescent="0.2">
      <c r="A27" s="3">
        <v>21</v>
      </c>
      <c r="B27" s="4" t="s">
        <v>38</v>
      </c>
      <c r="C27" s="4" t="s">
        <v>39</v>
      </c>
      <c r="D27" s="4" t="s">
        <v>1023</v>
      </c>
      <c r="E27" s="5">
        <v>2097</v>
      </c>
      <c r="F27" s="6">
        <v>155.096217</v>
      </c>
      <c r="G27" s="138">
        <v>1.8297194999999999E-2</v>
      </c>
      <c r="H27" s="142"/>
    </row>
    <row r="28" spans="1:8" x14ac:dyDescent="0.2">
      <c r="A28" s="3">
        <v>22</v>
      </c>
      <c r="B28" s="4" t="s">
        <v>422</v>
      </c>
      <c r="C28" s="4" t="s">
        <v>423</v>
      </c>
      <c r="D28" s="4" t="s">
        <v>164</v>
      </c>
      <c r="E28" s="5">
        <v>23000</v>
      </c>
      <c r="F28" s="6">
        <v>145.84299999999999</v>
      </c>
      <c r="G28" s="138">
        <v>1.7205564E-2</v>
      </c>
      <c r="H28" s="142"/>
    </row>
    <row r="29" spans="1:8" x14ac:dyDescent="0.2">
      <c r="A29" s="3">
        <v>23</v>
      </c>
      <c r="B29" s="4" t="s">
        <v>424</v>
      </c>
      <c r="C29" s="4" t="s">
        <v>425</v>
      </c>
      <c r="D29" s="4" t="s">
        <v>207</v>
      </c>
      <c r="E29" s="5">
        <v>17804</v>
      </c>
      <c r="F29" s="6">
        <v>145.68123</v>
      </c>
      <c r="G29" s="138">
        <v>1.7186479000000001E-2</v>
      </c>
      <c r="H29" s="142"/>
    </row>
    <row r="30" spans="1:8" x14ac:dyDescent="0.2">
      <c r="A30" s="3">
        <v>24</v>
      </c>
      <c r="B30" s="4" t="s">
        <v>368</v>
      </c>
      <c r="C30" s="4" t="s">
        <v>369</v>
      </c>
      <c r="D30" s="4" t="s">
        <v>164</v>
      </c>
      <c r="E30" s="5">
        <v>10771</v>
      </c>
      <c r="F30" s="6">
        <v>137.82033050000001</v>
      </c>
      <c r="G30" s="138">
        <v>1.6259104E-2</v>
      </c>
      <c r="H30" s="142"/>
    </row>
    <row r="31" spans="1:8" x14ac:dyDescent="0.2">
      <c r="A31" s="3">
        <v>25</v>
      </c>
      <c r="B31" s="4" t="s">
        <v>184</v>
      </c>
      <c r="C31" s="4" t="s">
        <v>185</v>
      </c>
      <c r="D31" s="4" t="s">
        <v>173</v>
      </c>
      <c r="E31" s="5">
        <v>9500</v>
      </c>
      <c r="F31" s="6">
        <v>132.70075</v>
      </c>
      <c r="G31" s="138">
        <v>1.5655130999999999E-2</v>
      </c>
      <c r="H31" s="142"/>
    </row>
    <row r="32" spans="1:8" ht="25.5" x14ac:dyDescent="0.2">
      <c r="A32" s="3">
        <v>26</v>
      </c>
      <c r="B32" s="4" t="s">
        <v>231</v>
      </c>
      <c r="C32" s="4" t="s">
        <v>232</v>
      </c>
      <c r="D32" s="4" t="s">
        <v>51</v>
      </c>
      <c r="E32" s="5">
        <v>6000</v>
      </c>
      <c r="F32" s="6">
        <v>128.631</v>
      </c>
      <c r="G32" s="138">
        <v>1.5175009E-2</v>
      </c>
      <c r="H32" s="142"/>
    </row>
    <row r="33" spans="1:8" x14ac:dyDescent="0.2">
      <c r="A33" s="3">
        <v>27</v>
      </c>
      <c r="B33" s="4" t="s">
        <v>72</v>
      </c>
      <c r="C33" s="4" t="s">
        <v>73</v>
      </c>
      <c r="D33" s="4" t="s">
        <v>27</v>
      </c>
      <c r="E33" s="5">
        <v>12888</v>
      </c>
      <c r="F33" s="6">
        <v>127.842516</v>
      </c>
      <c r="G33" s="138">
        <v>1.5081989000000001E-2</v>
      </c>
      <c r="H33" s="142"/>
    </row>
    <row r="34" spans="1:8" x14ac:dyDescent="0.2">
      <c r="A34" s="3">
        <v>28</v>
      </c>
      <c r="B34" s="4" t="s">
        <v>333</v>
      </c>
      <c r="C34" s="4" t="s">
        <v>334</v>
      </c>
      <c r="D34" s="4" t="s">
        <v>335</v>
      </c>
      <c r="E34" s="5">
        <v>11381</v>
      </c>
      <c r="F34" s="6">
        <v>116.7519885</v>
      </c>
      <c r="G34" s="138">
        <v>1.3773605E-2</v>
      </c>
      <c r="H34" s="142"/>
    </row>
    <row r="35" spans="1:8" x14ac:dyDescent="0.2">
      <c r="A35" s="3">
        <v>29</v>
      </c>
      <c r="B35" s="4" t="s">
        <v>426</v>
      </c>
      <c r="C35" s="4" t="s">
        <v>427</v>
      </c>
      <c r="D35" s="4" t="s">
        <v>83</v>
      </c>
      <c r="E35" s="5">
        <v>14328</v>
      </c>
      <c r="F35" s="6">
        <v>115.061004</v>
      </c>
      <c r="G35" s="138">
        <v>1.3574114E-2</v>
      </c>
      <c r="H35" s="142"/>
    </row>
    <row r="36" spans="1:8" x14ac:dyDescent="0.2">
      <c r="A36" s="3">
        <v>30</v>
      </c>
      <c r="B36" s="4" t="s">
        <v>428</v>
      </c>
      <c r="C36" s="4" t="s">
        <v>429</v>
      </c>
      <c r="D36" s="4" t="s">
        <v>430</v>
      </c>
      <c r="E36" s="5">
        <v>22227</v>
      </c>
      <c r="F36" s="6">
        <v>108.45664650000001</v>
      </c>
      <c r="G36" s="138">
        <v>1.2794977000000001E-2</v>
      </c>
      <c r="H36" s="142"/>
    </row>
    <row r="37" spans="1:8" x14ac:dyDescent="0.2">
      <c r="A37" s="3">
        <v>31</v>
      </c>
      <c r="B37" s="4" t="s">
        <v>431</v>
      </c>
      <c r="C37" s="4" t="s">
        <v>432</v>
      </c>
      <c r="D37" s="4" t="s">
        <v>59</v>
      </c>
      <c r="E37" s="5">
        <v>7635</v>
      </c>
      <c r="F37" s="6">
        <v>98.407515000000004</v>
      </c>
      <c r="G37" s="138">
        <v>1.1609448E-2</v>
      </c>
      <c r="H37" s="142"/>
    </row>
    <row r="38" spans="1:8" x14ac:dyDescent="0.2">
      <c r="A38" s="3">
        <v>32</v>
      </c>
      <c r="B38" s="4" t="s">
        <v>433</v>
      </c>
      <c r="C38" s="4" t="s">
        <v>434</v>
      </c>
      <c r="D38" s="4" t="s">
        <v>207</v>
      </c>
      <c r="E38" s="5">
        <v>1992</v>
      </c>
      <c r="F38" s="6">
        <v>95.590103999999997</v>
      </c>
      <c r="G38" s="138">
        <v>1.1277069000000001E-2</v>
      </c>
      <c r="H38" s="142"/>
    </row>
    <row r="39" spans="1:8" x14ac:dyDescent="0.2">
      <c r="A39" s="3">
        <v>33</v>
      </c>
      <c r="B39" s="4" t="s">
        <v>40</v>
      </c>
      <c r="C39" s="4" t="s">
        <v>41</v>
      </c>
      <c r="D39" s="4" t="s">
        <v>16</v>
      </c>
      <c r="E39" s="5">
        <v>21882</v>
      </c>
      <c r="F39" s="6">
        <v>94.574004000000002</v>
      </c>
      <c r="G39" s="138">
        <v>1.1157197000000001E-2</v>
      </c>
      <c r="H39" s="142"/>
    </row>
    <row r="40" spans="1:8" x14ac:dyDescent="0.2">
      <c r="A40" s="3">
        <v>34</v>
      </c>
      <c r="B40" s="4" t="s">
        <v>346</v>
      </c>
      <c r="C40" s="4" t="s">
        <v>347</v>
      </c>
      <c r="D40" s="4" t="s">
        <v>207</v>
      </c>
      <c r="E40" s="5">
        <v>2422</v>
      </c>
      <c r="F40" s="6">
        <v>90.095978000000002</v>
      </c>
      <c r="G40" s="138">
        <v>1.062891E-2</v>
      </c>
      <c r="H40" s="142"/>
    </row>
    <row r="41" spans="1:8" x14ac:dyDescent="0.2">
      <c r="A41" s="3">
        <v>35</v>
      </c>
      <c r="B41" s="4" t="s">
        <v>354</v>
      </c>
      <c r="C41" s="4" t="s">
        <v>355</v>
      </c>
      <c r="D41" s="4" t="s">
        <v>173</v>
      </c>
      <c r="E41" s="5">
        <v>104</v>
      </c>
      <c r="F41" s="6">
        <v>82.550572000000003</v>
      </c>
      <c r="G41" s="138">
        <v>9.7387540000000005E-3</v>
      </c>
      <c r="H41" s="142"/>
    </row>
    <row r="42" spans="1:8" x14ac:dyDescent="0.2">
      <c r="A42" s="3">
        <v>36</v>
      </c>
      <c r="B42" s="4" t="s">
        <v>340</v>
      </c>
      <c r="C42" s="4" t="s">
        <v>341</v>
      </c>
      <c r="D42" s="4" t="s">
        <v>216</v>
      </c>
      <c r="E42" s="5">
        <v>260</v>
      </c>
      <c r="F42" s="6">
        <v>82.432739999999995</v>
      </c>
      <c r="G42" s="138">
        <v>9.7248530000000003E-3</v>
      </c>
      <c r="H42" s="142"/>
    </row>
    <row r="43" spans="1:8" x14ac:dyDescent="0.2">
      <c r="A43" s="3">
        <v>37</v>
      </c>
      <c r="B43" s="4" t="s">
        <v>360</v>
      </c>
      <c r="C43" s="4" t="s">
        <v>361</v>
      </c>
      <c r="D43" s="4" t="s">
        <v>24</v>
      </c>
      <c r="E43" s="5">
        <v>96000</v>
      </c>
      <c r="F43" s="6">
        <v>78.48</v>
      </c>
      <c r="G43" s="138">
        <v>9.2585359999999995E-3</v>
      </c>
      <c r="H43" s="142"/>
    </row>
    <row r="44" spans="1:8" x14ac:dyDescent="0.2">
      <c r="A44" s="3">
        <v>38</v>
      </c>
      <c r="B44" s="4" t="s">
        <v>352</v>
      </c>
      <c r="C44" s="4" t="s">
        <v>353</v>
      </c>
      <c r="D44" s="4" t="s">
        <v>48</v>
      </c>
      <c r="E44" s="5">
        <v>11000</v>
      </c>
      <c r="F44" s="6">
        <v>77.472999999999999</v>
      </c>
      <c r="G44" s="138">
        <v>9.1397370000000002E-3</v>
      </c>
      <c r="H44" s="142"/>
    </row>
    <row r="45" spans="1:8" x14ac:dyDescent="0.2">
      <c r="A45" s="3">
        <v>39</v>
      </c>
      <c r="B45" s="4" t="s">
        <v>376</v>
      </c>
      <c r="C45" s="4" t="s">
        <v>377</v>
      </c>
      <c r="D45" s="4" t="s">
        <v>254</v>
      </c>
      <c r="E45" s="5">
        <v>9400</v>
      </c>
      <c r="F45" s="6">
        <v>74.678299999999993</v>
      </c>
      <c r="G45" s="138">
        <v>8.8100369999999997E-3</v>
      </c>
      <c r="H45" s="142"/>
    </row>
    <row r="46" spans="1:8" ht="25.5" x14ac:dyDescent="0.2">
      <c r="A46" s="3">
        <v>40</v>
      </c>
      <c r="B46" s="4" t="s">
        <v>435</v>
      </c>
      <c r="C46" s="4" t="s">
        <v>436</v>
      </c>
      <c r="D46" s="4" t="s">
        <v>90</v>
      </c>
      <c r="E46" s="5">
        <v>31300</v>
      </c>
      <c r="F46" s="6">
        <v>73.914950000000005</v>
      </c>
      <c r="G46" s="138">
        <v>8.7199819999999994E-3</v>
      </c>
      <c r="H46" s="142"/>
    </row>
    <row r="47" spans="1:8" x14ac:dyDescent="0.2">
      <c r="A47" s="3">
        <v>41</v>
      </c>
      <c r="B47" s="4" t="s">
        <v>91</v>
      </c>
      <c r="C47" s="4" t="s">
        <v>92</v>
      </c>
      <c r="D47" s="4" t="s">
        <v>27</v>
      </c>
      <c r="E47" s="5">
        <v>956</v>
      </c>
      <c r="F47" s="6">
        <v>72.259737999999999</v>
      </c>
      <c r="G47" s="138">
        <v>8.5247120000000003E-3</v>
      </c>
      <c r="H47" s="142"/>
    </row>
    <row r="48" spans="1:8" x14ac:dyDescent="0.2">
      <c r="A48" s="3">
        <v>42</v>
      </c>
      <c r="B48" s="4" t="s">
        <v>439</v>
      </c>
      <c r="C48" s="4" t="s">
        <v>440</v>
      </c>
      <c r="D48" s="4" t="s">
        <v>173</v>
      </c>
      <c r="E48" s="5">
        <v>12994</v>
      </c>
      <c r="F48" s="6">
        <v>72.227148999999997</v>
      </c>
      <c r="G48" s="138">
        <v>8.5208669999999997E-3</v>
      </c>
      <c r="H48" s="142"/>
    </row>
    <row r="49" spans="1:8" x14ac:dyDescent="0.2">
      <c r="A49" s="3">
        <v>43</v>
      </c>
      <c r="B49" s="4" t="s">
        <v>437</v>
      </c>
      <c r="C49" s="4" t="s">
        <v>438</v>
      </c>
      <c r="D49" s="4" t="s">
        <v>164</v>
      </c>
      <c r="E49" s="5">
        <v>5144</v>
      </c>
      <c r="F49" s="6">
        <v>71.018063999999995</v>
      </c>
      <c r="G49" s="138">
        <v>8.3782279999999997E-3</v>
      </c>
      <c r="H49" s="142"/>
    </row>
    <row r="50" spans="1:8" x14ac:dyDescent="0.2">
      <c r="A50" s="3">
        <v>44</v>
      </c>
      <c r="B50" s="4" t="s">
        <v>308</v>
      </c>
      <c r="C50" s="4" t="s">
        <v>309</v>
      </c>
      <c r="D50" s="4" t="s">
        <v>1030</v>
      </c>
      <c r="E50" s="5">
        <v>5927</v>
      </c>
      <c r="F50" s="6">
        <v>60.117561000000002</v>
      </c>
      <c r="G50" s="138">
        <v>7.0922600000000004E-3</v>
      </c>
      <c r="H50" s="142"/>
    </row>
    <row r="51" spans="1:8" x14ac:dyDescent="0.2">
      <c r="A51" s="3">
        <v>45</v>
      </c>
      <c r="B51" s="4" t="s">
        <v>348</v>
      </c>
      <c r="C51" s="4" t="s">
        <v>349</v>
      </c>
      <c r="D51" s="4" t="s">
        <v>59</v>
      </c>
      <c r="E51" s="5">
        <v>15000</v>
      </c>
      <c r="F51" s="6">
        <v>58.387500000000003</v>
      </c>
      <c r="G51" s="138">
        <v>6.8881599999999999E-3</v>
      </c>
      <c r="H51" s="142"/>
    </row>
    <row r="52" spans="1:8" x14ac:dyDescent="0.2">
      <c r="A52" s="3">
        <v>46</v>
      </c>
      <c r="B52" s="4" t="s">
        <v>441</v>
      </c>
      <c r="C52" s="4" t="s">
        <v>442</v>
      </c>
      <c r="D52" s="4" t="s">
        <v>24</v>
      </c>
      <c r="E52" s="5">
        <v>2804</v>
      </c>
      <c r="F52" s="6">
        <v>56.234220000000001</v>
      </c>
      <c r="G52" s="138">
        <v>6.6341300000000002E-3</v>
      </c>
      <c r="H52" s="142"/>
    </row>
    <row r="53" spans="1:8" ht="25.5" x14ac:dyDescent="0.2">
      <c r="A53" s="3">
        <v>47</v>
      </c>
      <c r="B53" s="4" t="s">
        <v>178</v>
      </c>
      <c r="C53" s="4" t="s">
        <v>933</v>
      </c>
      <c r="D53" s="4" t="s">
        <v>37</v>
      </c>
      <c r="E53" s="5">
        <v>21287</v>
      </c>
      <c r="F53" s="6">
        <v>54.9523905</v>
      </c>
      <c r="G53" s="138">
        <v>6.4829090000000002E-3</v>
      </c>
      <c r="H53" s="142"/>
    </row>
    <row r="54" spans="1:8" x14ac:dyDescent="0.2">
      <c r="A54" s="3">
        <v>48</v>
      </c>
      <c r="B54" s="4" t="s">
        <v>273</v>
      </c>
      <c r="C54" s="4" t="s">
        <v>274</v>
      </c>
      <c r="D54" s="4" t="s">
        <v>173</v>
      </c>
      <c r="E54" s="5">
        <v>8000</v>
      </c>
      <c r="F54" s="6">
        <v>47.936</v>
      </c>
      <c r="G54" s="138">
        <v>5.6551630000000004E-3</v>
      </c>
      <c r="H54" s="142"/>
    </row>
    <row r="55" spans="1:8" x14ac:dyDescent="0.2">
      <c r="A55" s="3">
        <v>49</v>
      </c>
      <c r="B55" s="4" t="s">
        <v>378</v>
      </c>
      <c r="C55" s="4" t="s">
        <v>379</v>
      </c>
      <c r="D55" s="4" t="s">
        <v>51</v>
      </c>
      <c r="E55" s="5">
        <v>59307</v>
      </c>
      <c r="F55" s="6">
        <v>43.234802999999999</v>
      </c>
      <c r="G55" s="138">
        <v>5.1005479999999999E-3</v>
      </c>
      <c r="H55" s="142"/>
    </row>
    <row r="56" spans="1:8" ht="25.5" x14ac:dyDescent="0.2">
      <c r="A56" s="3">
        <v>50</v>
      </c>
      <c r="B56" s="4" t="s">
        <v>443</v>
      </c>
      <c r="C56" s="4" t="s">
        <v>444</v>
      </c>
      <c r="D56" s="4" t="s">
        <v>1030</v>
      </c>
      <c r="E56" s="5">
        <v>2580</v>
      </c>
      <c r="F56" s="6">
        <v>41.009099999999997</v>
      </c>
      <c r="G56" s="138">
        <v>4.8379740000000001E-3</v>
      </c>
      <c r="H56" s="14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9">
        <v>8367.8576854999992</v>
      </c>
      <c r="G57" s="139">
        <v>0.98718286200000005</v>
      </c>
      <c r="H57" s="142"/>
    </row>
    <row r="58" spans="1:8" x14ac:dyDescent="0.2">
      <c r="A58" s="1"/>
      <c r="B58" s="1"/>
      <c r="C58" s="11"/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107</v>
      </c>
      <c r="D59" s="1"/>
      <c r="E59" s="1"/>
      <c r="F59" s="1"/>
      <c r="G59" s="137"/>
      <c r="H59" s="14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1">
        <v>0</v>
      </c>
      <c r="H60" s="142"/>
    </row>
    <row r="61" spans="1:8" x14ac:dyDescent="0.2">
      <c r="A61" s="1"/>
      <c r="B61" s="1"/>
      <c r="C61" s="11"/>
      <c r="D61" s="1"/>
      <c r="E61" s="1"/>
      <c r="F61" s="12"/>
      <c r="G61" s="140"/>
      <c r="H61" s="142"/>
    </row>
    <row r="62" spans="1:8" x14ac:dyDescent="0.2">
      <c r="A62" s="1"/>
      <c r="B62" s="1"/>
      <c r="C62" s="2" t="s">
        <v>108</v>
      </c>
      <c r="D62" s="1"/>
      <c r="E62" s="1"/>
      <c r="F62" s="1"/>
      <c r="G62" s="137"/>
      <c r="H62" s="142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1">
        <v>0</v>
      </c>
      <c r="H63" s="142"/>
    </row>
    <row r="64" spans="1:8" x14ac:dyDescent="0.2">
      <c r="A64" s="1"/>
      <c r="B64" s="1"/>
      <c r="C64" s="11"/>
      <c r="D64" s="1"/>
      <c r="E64" s="1"/>
      <c r="F64" s="12"/>
      <c r="G64" s="140"/>
      <c r="H64" s="142"/>
    </row>
    <row r="65" spans="1:8" x14ac:dyDescent="0.2">
      <c r="A65" s="1"/>
      <c r="B65" s="1"/>
      <c r="C65" s="2" t="s">
        <v>109</v>
      </c>
      <c r="D65" s="1"/>
      <c r="E65" s="1"/>
      <c r="F65" s="1"/>
      <c r="G65" s="137"/>
      <c r="H65" s="142"/>
    </row>
    <row r="66" spans="1:8" x14ac:dyDescent="0.2">
      <c r="A66" s="3">
        <v>1</v>
      </c>
      <c r="B66" s="4" t="s">
        <v>110</v>
      </c>
      <c r="C66" s="4" t="s">
        <v>996</v>
      </c>
      <c r="D66" s="4" t="s">
        <v>19</v>
      </c>
      <c r="E66" s="5">
        <v>1908</v>
      </c>
      <c r="F66" s="6">
        <v>2.9249640000000001</v>
      </c>
      <c r="G66" s="138">
        <v>3.4506700000000001E-4</v>
      </c>
      <c r="H66" s="142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9">
        <v>2.9249640000000001</v>
      </c>
      <c r="G67" s="139">
        <v>3.4506700000000001E-4</v>
      </c>
      <c r="H67" s="142"/>
    </row>
    <row r="68" spans="1:8" x14ac:dyDescent="0.2">
      <c r="A68" s="1"/>
      <c r="B68" s="1"/>
      <c r="C68" s="11"/>
      <c r="D68" s="1"/>
      <c r="E68" s="1"/>
      <c r="F68" s="12"/>
      <c r="G68" s="140"/>
      <c r="H68" s="142"/>
    </row>
    <row r="69" spans="1:8" x14ac:dyDescent="0.2">
      <c r="A69" s="1"/>
      <c r="B69" s="1"/>
      <c r="C69" s="2" t="s">
        <v>111</v>
      </c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1">
        <v>0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112</v>
      </c>
      <c r="D72" s="1"/>
      <c r="E72" s="1"/>
      <c r="F72" s="12"/>
      <c r="G72" s="140"/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1">
        <v>0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113</v>
      </c>
      <c r="D75" s="1"/>
      <c r="E75" s="1"/>
      <c r="F75" s="9">
        <v>8370.7826495000008</v>
      </c>
      <c r="G75" s="139">
        <v>0.98752792899999997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114</v>
      </c>
      <c r="D77" s="1"/>
      <c r="E77" s="1"/>
      <c r="F77" s="12"/>
      <c r="G77" s="140"/>
      <c r="H77" s="142"/>
    </row>
    <row r="78" spans="1:8" ht="25.5" x14ac:dyDescent="0.2">
      <c r="A78" s="1"/>
      <c r="B78" s="1"/>
      <c r="C78" s="2" t="s">
        <v>10</v>
      </c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115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116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117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118</v>
      </c>
      <c r="D90" s="1"/>
      <c r="E90" s="1"/>
      <c r="F90" s="9">
        <v>0</v>
      </c>
      <c r="G90" s="139">
        <v>0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119</v>
      </c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120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121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122</v>
      </c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123</v>
      </c>
      <c r="D102" s="1"/>
      <c r="E102" s="1"/>
      <c r="F102" s="12"/>
      <c r="G102" s="140"/>
      <c r="H102" s="142"/>
    </row>
    <row r="103" spans="1:8" x14ac:dyDescent="0.2">
      <c r="A103" s="3">
        <v>1</v>
      </c>
      <c r="B103" s="4"/>
      <c r="C103" s="4" t="s">
        <v>124</v>
      </c>
      <c r="D103" s="4"/>
      <c r="E103" s="8"/>
      <c r="F103" s="6">
        <v>99.425156900000005</v>
      </c>
      <c r="G103" s="138">
        <v>1.1729503E-2</v>
      </c>
      <c r="H103" s="152">
        <v>3.3197683930276081</v>
      </c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9">
        <v>99.425156900000005</v>
      </c>
      <c r="G104" s="139">
        <v>1.1729503E-2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125</v>
      </c>
      <c r="D106" s="1"/>
      <c r="E106" s="1"/>
      <c r="F106" s="9">
        <v>99.425156900000005</v>
      </c>
      <c r="G106" s="139">
        <v>1.1729503E-2</v>
      </c>
      <c r="H106" s="142"/>
    </row>
    <row r="107" spans="1:8" x14ac:dyDescent="0.2">
      <c r="A107" s="1"/>
      <c r="B107" s="1"/>
      <c r="C107" s="12"/>
      <c r="D107" s="1"/>
      <c r="E107" s="1"/>
      <c r="F107" s="1"/>
      <c r="G107" s="137"/>
      <c r="H107" s="142"/>
    </row>
    <row r="108" spans="1:8" x14ac:dyDescent="0.2">
      <c r="A108" s="1"/>
      <c r="B108" s="1"/>
      <c r="C108" s="2" t="s">
        <v>126</v>
      </c>
      <c r="D108" s="1"/>
      <c r="E108" s="1"/>
      <c r="F108" s="1"/>
      <c r="G108" s="137"/>
      <c r="H108" s="142"/>
    </row>
    <row r="109" spans="1:8" x14ac:dyDescent="0.2">
      <c r="A109" s="1"/>
      <c r="B109" s="1"/>
      <c r="C109" s="2" t="s">
        <v>127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128</v>
      </c>
      <c r="D112" s="1"/>
      <c r="E112" s="1"/>
      <c r="F112" s="1"/>
      <c r="G112" s="137"/>
      <c r="H112" s="142"/>
    </row>
    <row r="113" spans="1:8" x14ac:dyDescent="0.2">
      <c r="A113" s="1"/>
      <c r="B113" s="1"/>
      <c r="C113" s="2" t="s">
        <v>129</v>
      </c>
      <c r="D113" s="1"/>
      <c r="E113" s="1"/>
      <c r="F113" s="1"/>
      <c r="G113" s="137"/>
      <c r="H113" s="142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1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ht="25.5" x14ac:dyDescent="0.2">
      <c r="A117" s="1"/>
      <c r="B117" s="1"/>
      <c r="C117" s="2" t="s">
        <v>130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4"/>
      <c r="C120" s="4"/>
      <c r="D120" s="2"/>
      <c r="E120" s="1"/>
      <c r="F120" s="4"/>
      <c r="G120" s="143"/>
      <c r="H120" s="142"/>
    </row>
    <row r="121" spans="1:8" x14ac:dyDescent="0.2">
      <c r="A121" s="8"/>
      <c r="B121" s="4"/>
      <c r="C121" s="4" t="s">
        <v>131</v>
      </c>
      <c r="D121" s="4"/>
      <c r="E121" s="8"/>
      <c r="F121" s="6">
        <v>6.2943584000000001</v>
      </c>
      <c r="G121" s="138">
        <v>7.4256599999999995E-4</v>
      </c>
      <c r="H121" s="142"/>
    </row>
    <row r="122" spans="1:8" x14ac:dyDescent="0.2">
      <c r="A122" s="11"/>
      <c r="B122" s="11"/>
      <c r="C122" s="2" t="s">
        <v>132</v>
      </c>
      <c r="D122" s="15"/>
      <c r="E122" s="15"/>
      <c r="F122" s="9">
        <v>8476.5021648000002</v>
      </c>
      <c r="G122" s="139">
        <v>0.99999999799999995</v>
      </c>
      <c r="H122" s="142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205" t="s">
        <v>106</v>
      </c>
      <c r="C124" s="205"/>
      <c r="D124" s="205"/>
      <c r="E124" s="205"/>
      <c r="F124" s="205"/>
      <c r="G124" s="20"/>
    </row>
    <row r="125" spans="1:8" ht="14.1" customHeight="1" x14ac:dyDescent="0.2">
      <c r="A125" s="18"/>
      <c r="B125" s="205" t="s">
        <v>106</v>
      </c>
      <c r="C125" s="205"/>
      <c r="D125" s="205"/>
      <c r="E125" s="205"/>
      <c r="F125" s="205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203" t="s">
        <v>134</v>
      </c>
      <c r="C127" s="204"/>
      <c r="D127" s="12" t="s">
        <v>106</v>
      </c>
      <c r="E127" s="21"/>
      <c r="F127" s="20"/>
      <c r="G127" s="20"/>
    </row>
    <row r="128" spans="1:8" ht="29.1" customHeight="1" x14ac:dyDescent="0.2">
      <c r="A128" s="18"/>
      <c r="B128" s="199" t="s">
        <v>135</v>
      </c>
      <c r="C128" s="200"/>
      <c r="D128" s="2" t="s">
        <v>136</v>
      </c>
      <c r="E128" s="21"/>
      <c r="F128" s="20"/>
      <c r="G128" s="20"/>
    </row>
    <row r="129" spans="1:7" ht="17.100000000000001" customHeight="1" x14ac:dyDescent="0.2">
      <c r="A129" s="18"/>
      <c r="B129" s="199" t="s">
        <v>137</v>
      </c>
      <c r="C129" s="200"/>
      <c r="D129" s="2" t="s">
        <v>136</v>
      </c>
      <c r="E129" s="21"/>
      <c r="F129" s="20"/>
      <c r="G129" s="20"/>
    </row>
    <row r="130" spans="1:7" ht="17.100000000000001" customHeight="1" x14ac:dyDescent="0.2">
      <c r="A130" s="18"/>
      <c r="B130" s="199" t="s">
        <v>138</v>
      </c>
      <c r="C130" s="200"/>
      <c r="D130" s="12" t="s">
        <v>106</v>
      </c>
      <c r="E130" s="21"/>
      <c r="F130" s="20"/>
      <c r="G130" s="20"/>
    </row>
    <row r="131" spans="1:7" ht="24" customHeight="1" x14ac:dyDescent="0.2">
      <c r="A131" s="22"/>
      <c r="B131" s="23" t="s">
        <v>106</v>
      </c>
      <c r="C131" s="23" t="s">
        <v>139</v>
      </c>
      <c r="D131" s="23" t="s">
        <v>140</v>
      </c>
      <c r="E131" s="22"/>
      <c r="F131" s="22"/>
      <c r="G131" s="22"/>
    </row>
    <row r="132" spans="1:7" ht="18" customHeight="1" x14ac:dyDescent="0.2">
      <c r="A132" s="22"/>
      <c r="B132" s="23" t="s">
        <v>141</v>
      </c>
      <c r="C132" s="23" t="s">
        <v>142</v>
      </c>
      <c r="D132" s="23" t="s">
        <v>143</v>
      </c>
      <c r="E132" s="22"/>
      <c r="F132" s="22"/>
      <c r="G132" s="22"/>
    </row>
    <row r="133" spans="1:7" x14ac:dyDescent="0.2">
      <c r="A133" s="22"/>
      <c r="B133" s="4" t="s">
        <v>144</v>
      </c>
      <c r="C133" s="24">
        <v>17.079899999999999</v>
      </c>
      <c r="D133" s="24">
        <v>17.3184</v>
      </c>
      <c r="E133" s="22"/>
      <c r="F133" s="19"/>
      <c r="G133" s="25"/>
    </row>
    <row r="134" spans="1:7" x14ac:dyDescent="0.2">
      <c r="A134" s="22"/>
      <c r="B134" s="4" t="s">
        <v>1019</v>
      </c>
      <c r="C134" s="24">
        <v>16.255700000000001</v>
      </c>
      <c r="D134" s="24">
        <v>16.482600000000001</v>
      </c>
      <c r="E134" s="22"/>
      <c r="F134" s="19"/>
      <c r="G134" s="25"/>
    </row>
    <row r="135" spans="1:7" x14ac:dyDescent="0.2">
      <c r="A135" s="22"/>
      <c r="B135" s="4" t="s">
        <v>145</v>
      </c>
      <c r="C135" s="24">
        <v>16.7563</v>
      </c>
      <c r="D135" s="24">
        <v>16.982399999999998</v>
      </c>
      <c r="E135" s="22"/>
      <c r="F135" s="19"/>
      <c r="G135" s="25"/>
    </row>
    <row r="136" spans="1:7" x14ac:dyDescent="0.2">
      <c r="A136" s="22"/>
      <c r="B136" s="4" t="s">
        <v>1020</v>
      </c>
      <c r="C136" s="24">
        <v>16.130600000000001</v>
      </c>
      <c r="D136" s="24">
        <v>16.348199999999999</v>
      </c>
      <c r="E136" s="22"/>
      <c r="F136" s="19"/>
      <c r="G136" s="25"/>
    </row>
    <row r="137" spans="1:7" ht="14.1" customHeight="1" x14ac:dyDescent="0.2">
      <c r="A137" s="22"/>
      <c r="B137" s="22"/>
      <c r="C137" s="22"/>
      <c r="D137" s="22"/>
      <c r="E137" s="22"/>
      <c r="F137" s="22"/>
      <c r="G137" s="22"/>
    </row>
    <row r="138" spans="1:7" ht="17.100000000000001" customHeight="1" x14ac:dyDescent="0.2">
      <c r="A138" s="22"/>
      <c r="B138" s="199" t="s">
        <v>1021</v>
      </c>
      <c r="C138" s="200"/>
      <c r="D138" s="2" t="s">
        <v>136</v>
      </c>
      <c r="E138" s="22"/>
      <c r="F138" s="22"/>
      <c r="G138" s="22"/>
    </row>
    <row r="139" spans="1:7" ht="18" customHeight="1" x14ac:dyDescent="0.2">
      <c r="A139" s="22"/>
      <c r="B139" s="26"/>
      <c r="C139" s="26"/>
      <c r="D139" s="27"/>
      <c r="E139" s="22"/>
      <c r="F139" s="22"/>
      <c r="G139" s="22"/>
    </row>
    <row r="140" spans="1:7" s="125" customFormat="1" x14ac:dyDescent="0.2">
      <c r="B140" s="201" t="s">
        <v>825</v>
      </c>
      <c r="C140" s="201"/>
      <c r="D140" s="201"/>
      <c r="E140" s="201"/>
      <c r="F140" s="201"/>
    </row>
    <row r="141" spans="1:7" ht="14.1" customHeight="1" x14ac:dyDescent="0.2">
      <c r="A141" s="22"/>
      <c r="B141" s="19"/>
      <c r="C141" s="19"/>
      <c r="D141" s="22"/>
      <c r="E141" s="22"/>
      <c r="F141" s="22"/>
      <c r="G141" s="22"/>
    </row>
    <row r="142" spans="1:7" ht="29.1" customHeight="1" x14ac:dyDescent="0.2">
      <c r="A142" s="22"/>
      <c r="B142" s="199" t="s">
        <v>146</v>
      </c>
      <c r="C142" s="200"/>
      <c r="D142" s="2" t="s">
        <v>136</v>
      </c>
      <c r="E142" s="22"/>
      <c r="F142" s="22"/>
      <c r="G142" s="22"/>
    </row>
    <row r="143" spans="1:7" ht="29.1" customHeight="1" x14ac:dyDescent="0.2">
      <c r="A143" s="22"/>
      <c r="B143" s="199" t="s">
        <v>147</v>
      </c>
      <c r="C143" s="200"/>
      <c r="D143" s="2" t="s">
        <v>136</v>
      </c>
      <c r="E143" s="22"/>
      <c r="F143" s="22"/>
      <c r="G143" s="22"/>
    </row>
    <row r="144" spans="1:7" ht="17.100000000000001" customHeight="1" x14ac:dyDescent="0.2">
      <c r="A144" s="22"/>
      <c r="B144" s="199" t="s">
        <v>148</v>
      </c>
      <c r="C144" s="200"/>
      <c r="D144" s="28">
        <v>0.3772163323074596</v>
      </c>
      <c r="E144" s="22"/>
      <c r="F144" s="19"/>
      <c r="G144" s="25"/>
    </row>
    <row r="145" spans="1:7" ht="17.100000000000001" customHeight="1" x14ac:dyDescent="0.2">
      <c r="A145" s="22"/>
      <c r="B145" s="199" t="s">
        <v>149</v>
      </c>
      <c r="C145" s="200"/>
      <c r="D145" s="2" t="s">
        <v>136</v>
      </c>
      <c r="E145" s="22"/>
      <c r="F145" s="22"/>
      <c r="G145" s="22"/>
    </row>
  </sheetData>
  <mergeCells count="16">
    <mergeCell ref="J2:N2"/>
    <mergeCell ref="B127:C127"/>
    <mergeCell ref="B124:F124"/>
    <mergeCell ref="B125:F125"/>
    <mergeCell ref="A1:H1"/>
    <mergeCell ref="A2:H2"/>
    <mergeCell ref="A3:H3"/>
    <mergeCell ref="B144:C144"/>
    <mergeCell ref="B145:C145"/>
    <mergeCell ref="B128:C128"/>
    <mergeCell ref="B129:C129"/>
    <mergeCell ref="B130:C130"/>
    <mergeCell ref="B138:C138"/>
    <mergeCell ref="B142:C142"/>
    <mergeCell ref="B143:C143"/>
    <mergeCell ref="B140:F14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17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446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410</v>
      </c>
      <c r="C7" s="4" t="s">
        <v>411</v>
      </c>
      <c r="D7" s="4" t="s">
        <v>164</v>
      </c>
      <c r="E7" s="5">
        <v>621607</v>
      </c>
      <c r="F7" s="6">
        <v>10413.160464000001</v>
      </c>
      <c r="G7" s="138">
        <v>5.7220150999999997E-2</v>
      </c>
      <c r="H7" s="142"/>
    </row>
    <row r="8" spans="1:14" x14ac:dyDescent="0.2">
      <c r="A8" s="3">
        <v>2</v>
      </c>
      <c r="B8" s="4" t="s">
        <v>307</v>
      </c>
      <c r="C8" s="4" t="s">
        <v>934</v>
      </c>
      <c r="D8" s="4" t="s">
        <v>164</v>
      </c>
      <c r="E8" s="5">
        <v>187766</v>
      </c>
      <c r="F8" s="6">
        <v>7886.3597659999996</v>
      </c>
      <c r="G8" s="138">
        <v>4.3335421999999998E-2</v>
      </c>
      <c r="H8" s="142"/>
    </row>
    <row r="9" spans="1:14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1118123</v>
      </c>
      <c r="F9" s="6">
        <v>7836.3650454999997</v>
      </c>
      <c r="G9" s="138">
        <v>4.3060701E-2</v>
      </c>
      <c r="H9" s="142"/>
    </row>
    <row r="10" spans="1:14" x14ac:dyDescent="0.2">
      <c r="A10" s="3">
        <v>4</v>
      </c>
      <c r="B10" s="4" t="s">
        <v>408</v>
      </c>
      <c r="C10" s="4" t="s">
        <v>409</v>
      </c>
      <c r="D10" s="4" t="s">
        <v>24</v>
      </c>
      <c r="E10" s="5">
        <v>447548</v>
      </c>
      <c r="F10" s="6">
        <v>7138.1668259999997</v>
      </c>
      <c r="G10" s="138">
        <v>3.9224112999999998E-2</v>
      </c>
      <c r="H10" s="142"/>
    </row>
    <row r="11" spans="1:14" x14ac:dyDescent="0.2">
      <c r="A11" s="3">
        <v>5</v>
      </c>
      <c r="B11" s="4" t="s">
        <v>414</v>
      </c>
      <c r="C11" s="4" t="s">
        <v>415</v>
      </c>
      <c r="D11" s="4" t="s">
        <v>24</v>
      </c>
      <c r="E11" s="5">
        <v>1464373</v>
      </c>
      <c r="F11" s="6">
        <v>6633.6096900000002</v>
      </c>
      <c r="G11" s="138">
        <v>3.6451579999999997E-2</v>
      </c>
      <c r="H11" s="142"/>
    </row>
    <row r="12" spans="1:14" x14ac:dyDescent="0.2">
      <c r="A12" s="3">
        <v>6</v>
      </c>
      <c r="B12" s="4" t="s">
        <v>11</v>
      </c>
      <c r="C12" s="4" t="s">
        <v>12</v>
      </c>
      <c r="D12" s="4" t="s">
        <v>13</v>
      </c>
      <c r="E12" s="5">
        <v>380598</v>
      </c>
      <c r="F12" s="6">
        <v>6481.3936409999997</v>
      </c>
      <c r="G12" s="138">
        <v>3.5615155000000003E-2</v>
      </c>
      <c r="H12" s="142"/>
    </row>
    <row r="13" spans="1:14" x14ac:dyDescent="0.2">
      <c r="A13" s="3">
        <v>7</v>
      </c>
      <c r="B13" s="4" t="s">
        <v>320</v>
      </c>
      <c r="C13" s="4" t="s">
        <v>321</v>
      </c>
      <c r="D13" s="4" t="s">
        <v>322</v>
      </c>
      <c r="E13" s="5">
        <v>179565</v>
      </c>
      <c r="F13" s="6">
        <v>5707.2041774999998</v>
      </c>
      <c r="G13" s="138">
        <v>3.1360996000000002E-2</v>
      </c>
      <c r="H13" s="142"/>
    </row>
    <row r="14" spans="1:14" x14ac:dyDescent="0.2">
      <c r="A14" s="3">
        <v>8</v>
      </c>
      <c r="B14" s="4" t="s">
        <v>91</v>
      </c>
      <c r="C14" s="4" t="s">
        <v>92</v>
      </c>
      <c r="D14" s="4" t="s">
        <v>27</v>
      </c>
      <c r="E14" s="5">
        <v>71500</v>
      </c>
      <c r="F14" s="6">
        <v>5404.3632500000003</v>
      </c>
      <c r="G14" s="138">
        <v>2.969689E-2</v>
      </c>
      <c r="H14" s="142"/>
    </row>
    <row r="15" spans="1:14" x14ac:dyDescent="0.2">
      <c r="A15" s="3">
        <v>9</v>
      </c>
      <c r="B15" s="4" t="s">
        <v>14</v>
      </c>
      <c r="C15" s="4" t="s">
        <v>15</v>
      </c>
      <c r="D15" s="4" t="s">
        <v>16</v>
      </c>
      <c r="E15" s="5">
        <v>203211</v>
      </c>
      <c r="F15" s="6">
        <v>5119.3931174999998</v>
      </c>
      <c r="G15" s="138">
        <v>2.8130984000000001E-2</v>
      </c>
      <c r="H15" s="142"/>
    </row>
    <row r="16" spans="1:14" ht="15" x14ac:dyDescent="0.2">
      <c r="A16" s="3">
        <v>10</v>
      </c>
      <c r="B16" s="4" t="s">
        <v>394</v>
      </c>
      <c r="C16" s="4" t="s">
        <v>395</v>
      </c>
      <c r="D16" s="4" t="s">
        <v>1030</v>
      </c>
      <c r="E16" s="5">
        <v>28683</v>
      </c>
      <c r="F16" s="6">
        <v>5101.7735025000002</v>
      </c>
      <c r="G16" s="138">
        <v>2.8034164E-2</v>
      </c>
      <c r="H16" s="142"/>
      <c r="J16" s="163" t="s">
        <v>1036</v>
      </c>
    </row>
    <row r="17" spans="1:8" x14ac:dyDescent="0.2">
      <c r="A17" s="3">
        <v>11</v>
      </c>
      <c r="B17" s="4" t="s">
        <v>336</v>
      </c>
      <c r="C17" s="4" t="s">
        <v>337</v>
      </c>
      <c r="D17" s="4" t="s">
        <v>24</v>
      </c>
      <c r="E17" s="5">
        <v>659600</v>
      </c>
      <c r="F17" s="6">
        <v>5056.1638000000003</v>
      </c>
      <c r="G17" s="138">
        <v>2.7783539999999999E-2</v>
      </c>
      <c r="H17" s="142"/>
    </row>
    <row r="18" spans="1:8" ht="25.5" x14ac:dyDescent="0.2">
      <c r="A18" s="3">
        <v>12</v>
      </c>
      <c r="B18" s="4" t="s">
        <v>323</v>
      </c>
      <c r="C18" s="4" t="s">
        <v>324</v>
      </c>
      <c r="D18" s="4" t="s">
        <v>90</v>
      </c>
      <c r="E18" s="5">
        <v>539841</v>
      </c>
      <c r="F18" s="6">
        <v>4845.6128159999998</v>
      </c>
      <c r="G18" s="138">
        <v>2.6626565000000001E-2</v>
      </c>
      <c r="H18" s="142"/>
    </row>
    <row r="19" spans="1:8" x14ac:dyDescent="0.2">
      <c r="A19" s="3">
        <v>13</v>
      </c>
      <c r="B19" s="4" t="s">
        <v>368</v>
      </c>
      <c r="C19" s="4" t="s">
        <v>369</v>
      </c>
      <c r="D19" s="4" t="s">
        <v>164</v>
      </c>
      <c r="E19" s="5">
        <v>353677</v>
      </c>
      <c r="F19" s="6">
        <v>4525.4740535000001</v>
      </c>
      <c r="G19" s="138">
        <v>2.4867408000000001E-2</v>
      </c>
      <c r="H19" s="142"/>
    </row>
    <row r="20" spans="1:8" x14ac:dyDescent="0.2">
      <c r="A20" s="3">
        <v>14</v>
      </c>
      <c r="B20" s="4" t="s">
        <v>447</v>
      </c>
      <c r="C20" s="4" t="s">
        <v>448</v>
      </c>
      <c r="D20" s="4" t="s">
        <v>27</v>
      </c>
      <c r="E20" s="5">
        <v>207750</v>
      </c>
      <c r="F20" s="6">
        <v>4488.2309999999998</v>
      </c>
      <c r="G20" s="138">
        <v>2.4662758E-2</v>
      </c>
      <c r="H20" s="142"/>
    </row>
    <row r="21" spans="1:8" x14ac:dyDescent="0.2">
      <c r="A21" s="3">
        <v>15</v>
      </c>
      <c r="B21" s="4" t="s">
        <v>310</v>
      </c>
      <c r="C21" s="4" t="s">
        <v>311</v>
      </c>
      <c r="D21" s="4" t="s">
        <v>181</v>
      </c>
      <c r="E21" s="5">
        <v>98057</v>
      </c>
      <c r="F21" s="6">
        <v>4394.5225119999996</v>
      </c>
      <c r="G21" s="138">
        <v>2.4147831000000002E-2</v>
      </c>
      <c r="H21" s="142"/>
    </row>
    <row r="22" spans="1:8" ht="25.5" x14ac:dyDescent="0.2">
      <c r="A22" s="3">
        <v>16</v>
      </c>
      <c r="B22" s="4" t="s">
        <v>362</v>
      </c>
      <c r="C22" s="4" t="s">
        <v>363</v>
      </c>
      <c r="D22" s="4" t="s">
        <v>48</v>
      </c>
      <c r="E22" s="5">
        <v>111832</v>
      </c>
      <c r="F22" s="6">
        <v>4247.9385199999997</v>
      </c>
      <c r="G22" s="138">
        <v>2.3342354999999999E-2</v>
      </c>
      <c r="H22" s="142"/>
    </row>
    <row r="23" spans="1:8" ht="25.5" x14ac:dyDescent="0.2">
      <c r="A23" s="3">
        <v>17</v>
      </c>
      <c r="B23" s="4" t="s">
        <v>412</v>
      </c>
      <c r="C23" s="4" t="s">
        <v>413</v>
      </c>
      <c r="D23" s="4" t="s">
        <v>80</v>
      </c>
      <c r="E23" s="5">
        <v>152311</v>
      </c>
      <c r="F23" s="6">
        <v>4195.1018729999996</v>
      </c>
      <c r="G23" s="138">
        <v>2.3052018000000001E-2</v>
      </c>
      <c r="H23" s="142"/>
    </row>
    <row r="24" spans="1:8" x14ac:dyDescent="0.2">
      <c r="A24" s="3">
        <v>18</v>
      </c>
      <c r="B24" s="4" t="s">
        <v>97</v>
      </c>
      <c r="C24" s="4" t="s">
        <v>98</v>
      </c>
      <c r="D24" s="4" t="s">
        <v>56</v>
      </c>
      <c r="E24" s="5">
        <v>782067</v>
      </c>
      <c r="F24" s="6">
        <v>4169.1991770000004</v>
      </c>
      <c r="G24" s="138">
        <v>2.2909683E-2</v>
      </c>
      <c r="H24" s="142"/>
    </row>
    <row r="25" spans="1:8" x14ac:dyDescent="0.2">
      <c r="A25" s="3">
        <v>19</v>
      </c>
      <c r="B25" s="4" t="s">
        <v>386</v>
      </c>
      <c r="C25" s="4" t="s">
        <v>387</v>
      </c>
      <c r="D25" s="4" t="s">
        <v>164</v>
      </c>
      <c r="E25" s="5">
        <v>134132</v>
      </c>
      <c r="F25" s="6">
        <v>4163.9938080000002</v>
      </c>
      <c r="G25" s="138">
        <v>2.2881080000000002E-2</v>
      </c>
      <c r="H25" s="142"/>
    </row>
    <row r="26" spans="1:8" x14ac:dyDescent="0.2">
      <c r="A26" s="3">
        <v>20</v>
      </c>
      <c r="B26" s="4" t="s">
        <v>439</v>
      </c>
      <c r="C26" s="4" t="s">
        <v>440</v>
      </c>
      <c r="D26" s="4" t="s">
        <v>173</v>
      </c>
      <c r="E26" s="5">
        <v>748945</v>
      </c>
      <c r="F26" s="6">
        <v>4163.0107824999996</v>
      </c>
      <c r="G26" s="138">
        <v>2.2875678E-2</v>
      </c>
      <c r="H26" s="142"/>
    </row>
    <row r="27" spans="1:8" x14ac:dyDescent="0.2">
      <c r="A27" s="3">
        <v>21</v>
      </c>
      <c r="B27" s="4" t="s">
        <v>346</v>
      </c>
      <c r="C27" s="4" t="s">
        <v>347</v>
      </c>
      <c r="D27" s="4" t="s">
        <v>207</v>
      </c>
      <c r="E27" s="5">
        <v>106366</v>
      </c>
      <c r="F27" s="6">
        <v>3956.708834</v>
      </c>
      <c r="G27" s="138">
        <v>2.1742052000000001E-2</v>
      </c>
      <c r="H27" s="142"/>
    </row>
    <row r="28" spans="1:8" ht="25.5" x14ac:dyDescent="0.2">
      <c r="A28" s="3">
        <v>22</v>
      </c>
      <c r="B28" s="4" t="s">
        <v>38</v>
      </c>
      <c r="C28" s="4" t="s">
        <v>39</v>
      </c>
      <c r="D28" s="4" t="s">
        <v>1023</v>
      </c>
      <c r="E28" s="5">
        <v>51856</v>
      </c>
      <c r="F28" s="6">
        <v>3835.3216160000002</v>
      </c>
      <c r="G28" s="138">
        <v>2.1075031000000001E-2</v>
      </c>
      <c r="H28" s="142"/>
    </row>
    <row r="29" spans="1:8" x14ac:dyDescent="0.2">
      <c r="A29" s="3">
        <v>23</v>
      </c>
      <c r="B29" s="4" t="s">
        <v>433</v>
      </c>
      <c r="C29" s="4" t="s">
        <v>434</v>
      </c>
      <c r="D29" s="4" t="s">
        <v>207</v>
      </c>
      <c r="E29" s="5">
        <v>78447</v>
      </c>
      <c r="F29" s="6">
        <v>3764.436189</v>
      </c>
      <c r="G29" s="138">
        <v>2.0685517E-2</v>
      </c>
      <c r="H29" s="142"/>
    </row>
    <row r="30" spans="1:8" x14ac:dyDescent="0.2">
      <c r="A30" s="3">
        <v>24</v>
      </c>
      <c r="B30" s="4" t="s">
        <v>400</v>
      </c>
      <c r="C30" s="4" t="s">
        <v>401</v>
      </c>
      <c r="D30" s="4" t="s">
        <v>173</v>
      </c>
      <c r="E30" s="5">
        <v>495604</v>
      </c>
      <c r="F30" s="6">
        <v>3661.0267480000002</v>
      </c>
      <c r="G30" s="138">
        <v>2.0117283999999999E-2</v>
      </c>
      <c r="H30" s="142"/>
    </row>
    <row r="31" spans="1:8" x14ac:dyDescent="0.2">
      <c r="A31" s="3">
        <v>25</v>
      </c>
      <c r="B31" s="4" t="s">
        <v>350</v>
      </c>
      <c r="C31" s="4" t="s">
        <v>351</v>
      </c>
      <c r="D31" s="4" t="s">
        <v>80</v>
      </c>
      <c r="E31" s="5">
        <v>280393</v>
      </c>
      <c r="F31" s="6">
        <v>3641.8844804999999</v>
      </c>
      <c r="G31" s="138">
        <v>2.0012097E-2</v>
      </c>
      <c r="H31" s="142"/>
    </row>
    <row r="32" spans="1:8" ht="25.5" x14ac:dyDescent="0.2">
      <c r="A32" s="3">
        <v>26</v>
      </c>
      <c r="B32" s="4" t="s">
        <v>398</v>
      </c>
      <c r="C32" s="4" t="s">
        <v>399</v>
      </c>
      <c r="D32" s="4" t="s">
        <v>90</v>
      </c>
      <c r="E32" s="5">
        <v>441591</v>
      </c>
      <c r="F32" s="6">
        <v>3592.7843760000001</v>
      </c>
      <c r="G32" s="138">
        <v>1.9742293000000001E-2</v>
      </c>
      <c r="H32" s="142"/>
    </row>
    <row r="33" spans="1:8" ht="25.5" x14ac:dyDescent="0.2">
      <c r="A33" s="3">
        <v>27</v>
      </c>
      <c r="B33" s="4" t="s">
        <v>338</v>
      </c>
      <c r="C33" s="4" t="s">
        <v>339</v>
      </c>
      <c r="D33" s="4" t="s">
        <v>51</v>
      </c>
      <c r="E33" s="5">
        <v>748756</v>
      </c>
      <c r="F33" s="6">
        <v>3585.7924840000001</v>
      </c>
      <c r="G33" s="138">
        <v>1.9703873E-2</v>
      </c>
      <c r="H33" s="142"/>
    </row>
    <row r="34" spans="1:8" x14ac:dyDescent="0.2">
      <c r="A34" s="3">
        <v>28</v>
      </c>
      <c r="B34" s="4" t="s">
        <v>308</v>
      </c>
      <c r="C34" s="4" t="s">
        <v>309</v>
      </c>
      <c r="D34" s="4" t="s">
        <v>1030</v>
      </c>
      <c r="E34" s="5">
        <v>346051</v>
      </c>
      <c r="F34" s="6">
        <v>3509.9952929999999</v>
      </c>
      <c r="G34" s="138">
        <v>1.9287367999999999E-2</v>
      </c>
      <c r="H34" s="142"/>
    </row>
    <row r="35" spans="1:8" x14ac:dyDescent="0.2">
      <c r="A35" s="3">
        <v>29</v>
      </c>
      <c r="B35" s="4" t="s">
        <v>428</v>
      </c>
      <c r="C35" s="4" t="s">
        <v>429</v>
      </c>
      <c r="D35" s="4" t="s">
        <v>430</v>
      </c>
      <c r="E35" s="5">
        <v>715000</v>
      </c>
      <c r="F35" s="6">
        <v>3488.8425000000002</v>
      </c>
      <c r="G35" s="138">
        <v>1.9171133999999999E-2</v>
      </c>
      <c r="H35" s="142"/>
    </row>
    <row r="36" spans="1:8" x14ac:dyDescent="0.2">
      <c r="A36" s="3">
        <v>30</v>
      </c>
      <c r="B36" s="4" t="s">
        <v>40</v>
      </c>
      <c r="C36" s="4" t="s">
        <v>41</v>
      </c>
      <c r="D36" s="4" t="s">
        <v>16</v>
      </c>
      <c r="E36" s="5">
        <v>802261</v>
      </c>
      <c r="F36" s="6">
        <v>3467.372042</v>
      </c>
      <c r="G36" s="138">
        <v>1.9053153999999999E-2</v>
      </c>
      <c r="H36" s="142"/>
    </row>
    <row r="37" spans="1:8" x14ac:dyDescent="0.2">
      <c r="A37" s="3">
        <v>31</v>
      </c>
      <c r="B37" s="4" t="s">
        <v>449</v>
      </c>
      <c r="C37" s="4" t="s">
        <v>450</v>
      </c>
      <c r="D37" s="4" t="s">
        <v>80</v>
      </c>
      <c r="E37" s="5">
        <v>492415</v>
      </c>
      <c r="F37" s="6">
        <v>3389.0462375000002</v>
      </c>
      <c r="G37" s="138">
        <v>1.8622755000000001E-2</v>
      </c>
      <c r="H37" s="142"/>
    </row>
    <row r="38" spans="1:8" x14ac:dyDescent="0.2">
      <c r="A38" s="3">
        <v>32</v>
      </c>
      <c r="B38" s="4" t="s">
        <v>17</v>
      </c>
      <c r="C38" s="4" t="s">
        <v>18</v>
      </c>
      <c r="D38" s="4" t="s">
        <v>19</v>
      </c>
      <c r="E38" s="5">
        <v>489433</v>
      </c>
      <c r="F38" s="6">
        <v>3368.767339</v>
      </c>
      <c r="G38" s="138">
        <v>1.8511323E-2</v>
      </c>
      <c r="H38" s="142"/>
    </row>
    <row r="39" spans="1:8" x14ac:dyDescent="0.2">
      <c r="A39" s="3">
        <v>33</v>
      </c>
      <c r="B39" s="4" t="s">
        <v>81</v>
      </c>
      <c r="C39" s="4" t="s">
        <v>82</v>
      </c>
      <c r="D39" s="4" t="s">
        <v>83</v>
      </c>
      <c r="E39" s="5">
        <v>2408106</v>
      </c>
      <c r="F39" s="6">
        <v>3222.0458279999998</v>
      </c>
      <c r="G39" s="138">
        <v>1.7705090999999999E-2</v>
      </c>
      <c r="H39" s="142"/>
    </row>
    <row r="40" spans="1:8" x14ac:dyDescent="0.2">
      <c r="A40" s="3">
        <v>34</v>
      </c>
      <c r="B40" s="4" t="s">
        <v>72</v>
      </c>
      <c r="C40" s="4" t="s">
        <v>73</v>
      </c>
      <c r="D40" s="4" t="s">
        <v>27</v>
      </c>
      <c r="E40" s="5">
        <v>286278</v>
      </c>
      <c r="F40" s="6">
        <v>2839.7346210000001</v>
      </c>
      <c r="G40" s="138">
        <v>1.5604297E-2</v>
      </c>
      <c r="H40" s="142"/>
    </row>
    <row r="41" spans="1:8" x14ac:dyDescent="0.2">
      <c r="A41" s="3">
        <v>35</v>
      </c>
      <c r="B41" s="4" t="s">
        <v>331</v>
      </c>
      <c r="C41" s="4" t="s">
        <v>332</v>
      </c>
      <c r="D41" s="4" t="s">
        <v>24</v>
      </c>
      <c r="E41" s="5">
        <v>215838</v>
      </c>
      <c r="F41" s="6">
        <v>2512.8939150000001</v>
      </c>
      <c r="G41" s="138">
        <v>1.3808312E-2</v>
      </c>
      <c r="H41" s="142"/>
    </row>
    <row r="42" spans="1:8" x14ac:dyDescent="0.2">
      <c r="A42" s="3">
        <v>36</v>
      </c>
      <c r="B42" s="4" t="s">
        <v>451</v>
      </c>
      <c r="C42" s="4" t="s">
        <v>452</v>
      </c>
      <c r="D42" s="4" t="s">
        <v>207</v>
      </c>
      <c r="E42" s="5">
        <v>242316</v>
      </c>
      <c r="F42" s="6">
        <v>2383.2990180000002</v>
      </c>
      <c r="G42" s="138">
        <v>1.3096190000000001E-2</v>
      </c>
      <c r="H42" s="142"/>
    </row>
    <row r="43" spans="1:8" ht="25.5" x14ac:dyDescent="0.2">
      <c r="A43" s="3">
        <v>37</v>
      </c>
      <c r="B43" s="4" t="s">
        <v>396</v>
      </c>
      <c r="C43" s="4" t="s">
        <v>397</v>
      </c>
      <c r="D43" s="4" t="s">
        <v>1023</v>
      </c>
      <c r="E43" s="5">
        <v>98774</v>
      </c>
      <c r="F43" s="6">
        <v>2079.933505</v>
      </c>
      <c r="G43" s="138">
        <v>1.1429201999999999E-2</v>
      </c>
      <c r="H43" s="142"/>
    </row>
    <row r="44" spans="1:8" ht="25.5" x14ac:dyDescent="0.2">
      <c r="A44" s="3">
        <v>38</v>
      </c>
      <c r="B44" s="4" t="s">
        <v>88</v>
      </c>
      <c r="C44" s="4" t="s">
        <v>89</v>
      </c>
      <c r="D44" s="4" t="s">
        <v>90</v>
      </c>
      <c r="E44" s="5">
        <v>300000</v>
      </c>
      <c r="F44" s="6">
        <v>1899.75</v>
      </c>
      <c r="G44" s="138">
        <v>1.0439096E-2</v>
      </c>
      <c r="H44" s="142"/>
    </row>
    <row r="45" spans="1:8" x14ac:dyDescent="0.2">
      <c r="A45" s="3">
        <v>39</v>
      </c>
      <c r="B45" s="4" t="s">
        <v>333</v>
      </c>
      <c r="C45" s="4" t="s">
        <v>334</v>
      </c>
      <c r="D45" s="4" t="s">
        <v>335</v>
      </c>
      <c r="E45" s="5">
        <v>175633</v>
      </c>
      <c r="F45" s="6">
        <v>1801.7311305000001</v>
      </c>
      <c r="G45" s="138">
        <v>9.9004839999999993E-3</v>
      </c>
      <c r="H45" s="142"/>
    </row>
    <row r="46" spans="1:8" x14ac:dyDescent="0.2">
      <c r="A46" s="3">
        <v>40</v>
      </c>
      <c r="B46" s="4" t="s">
        <v>416</v>
      </c>
      <c r="C46" s="4" t="s">
        <v>417</v>
      </c>
      <c r="D46" s="4" t="s">
        <v>1030</v>
      </c>
      <c r="E46" s="5">
        <v>110611</v>
      </c>
      <c r="F46" s="6">
        <v>1344.034261</v>
      </c>
      <c r="G46" s="138">
        <v>7.3854469999999998E-3</v>
      </c>
      <c r="H46" s="142"/>
    </row>
    <row r="47" spans="1:8" x14ac:dyDescent="0.2">
      <c r="A47" s="3">
        <v>41</v>
      </c>
      <c r="B47" s="4" t="s">
        <v>184</v>
      </c>
      <c r="C47" s="4" t="s">
        <v>185</v>
      </c>
      <c r="D47" s="4" t="s">
        <v>173</v>
      </c>
      <c r="E47" s="5">
        <v>80000</v>
      </c>
      <c r="F47" s="6">
        <v>1117.48</v>
      </c>
      <c r="G47" s="138">
        <v>6.1405349999999999E-3</v>
      </c>
      <c r="H47" s="142"/>
    </row>
    <row r="48" spans="1:8" x14ac:dyDescent="0.2">
      <c r="A48" s="3">
        <v>42</v>
      </c>
      <c r="B48" s="4" t="s">
        <v>318</v>
      </c>
      <c r="C48" s="4" t="s">
        <v>319</v>
      </c>
      <c r="D48" s="4" t="s">
        <v>51</v>
      </c>
      <c r="E48" s="5">
        <v>83911</v>
      </c>
      <c r="F48" s="6">
        <v>1022.0779355</v>
      </c>
      <c r="G48" s="138">
        <v>5.6163020000000001E-3</v>
      </c>
      <c r="H48" s="142"/>
    </row>
    <row r="49" spans="1:8" x14ac:dyDescent="0.2">
      <c r="A49" s="3">
        <v>43</v>
      </c>
      <c r="B49" s="4" t="s">
        <v>342</v>
      </c>
      <c r="C49" s="4" t="s">
        <v>343</v>
      </c>
      <c r="D49" s="4" t="s">
        <v>207</v>
      </c>
      <c r="E49" s="5">
        <v>95469</v>
      </c>
      <c r="F49" s="6">
        <v>851.15386950000004</v>
      </c>
      <c r="G49" s="138">
        <v>4.677077E-3</v>
      </c>
      <c r="H49" s="142"/>
    </row>
    <row r="50" spans="1:8" x14ac:dyDescent="0.2">
      <c r="A50" s="3">
        <v>44</v>
      </c>
      <c r="B50" s="4" t="s">
        <v>314</v>
      </c>
      <c r="C50" s="4" t="s">
        <v>315</v>
      </c>
      <c r="D50" s="4" t="s">
        <v>1028</v>
      </c>
      <c r="E50" s="5">
        <v>19969</v>
      </c>
      <c r="F50" s="6">
        <v>806.92732100000001</v>
      </c>
      <c r="G50" s="138">
        <v>4.4340530000000003E-3</v>
      </c>
      <c r="H50" s="142"/>
    </row>
    <row r="51" spans="1:8" x14ac:dyDescent="0.2">
      <c r="A51" s="3">
        <v>45</v>
      </c>
      <c r="B51" s="4" t="s">
        <v>453</v>
      </c>
      <c r="C51" s="4" t="s">
        <v>454</v>
      </c>
      <c r="D51" s="4" t="s">
        <v>173</v>
      </c>
      <c r="E51" s="5">
        <v>350118</v>
      </c>
      <c r="F51" s="6">
        <v>791.09162100000003</v>
      </c>
      <c r="G51" s="138">
        <v>4.3470360000000003E-3</v>
      </c>
      <c r="H51" s="142"/>
    </row>
    <row r="52" spans="1:8" ht="25.5" x14ac:dyDescent="0.2">
      <c r="A52" s="3">
        <v>46</v>
      </c>
      <c r="B52" s="4" t="s">
        <v>443</v>
      </c>
      <c r="C52" s="4" t="s">
        <v>444</v>
      </c>
      <c r="D52" s="4" t="s">
        <v>1030</v>
      </c>
      <c r="E52" s="5">
        <v>25820</v>
      </c>
      <c r="F52" s="6">
        <v>410.40890000000002</v>
      </c>
      <c r="G52" s="138">
        <v>2.2551899999999998E-3</v>
      </c>
      <c r="H52" s="142"/>
    </row>
    <row r="53" spans="1:8" x14ac:dyDescent="0.2">
      <c r="A53" s="3">
        <v>47</v>
      </c>
      <c r="B53" s="4" t="s">
        <v>388</v>
      </c>
      <c r="C53" s="4" t="s">
        <v>389</v>
      </c>
      <c r="D53" s="4" t="s">
        <v>335</v>
      </c>
      <c r="E53" s="5">
        <v>219401</v>
      </c>
      <c r="F53" s="6">
        <v>299.70176600000002</v>
      </c>
      <c r="G53" s="138">
        <v>1.6468559999999999E-3</v>
      </c>
      <c r="H53" s="142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9">
        <v>178615.2796525</v>
      </c>
      <c r="G54" s="139">
        <v>0.98148812100000005</v>
      </c>
      <c r="H54" s="142"/>
    </row>
    <row r="55" spans="1:8" x14ac:dyDescent="0.2">
      <c r="A55" s="1"/>
      <c r="B55" s="1"/>
      <c r="C55" s="11"/>
      <c r="D55" s="1"/>
      <c r="E55" s="1"/>
      <c r="F55" s="12"/>
      <c r="G55" s="140"/>
      <c r="H55" s="142"/>
    </row>
    <row r="56" spans="1:8" x14ac:dyDescent="0.2">
      <c r="A56" s="1"/>
      <c r="B56" s="1"/>
      <c r="C56" s="2" t="s">
        <v>107</v>
      </c>
      <c r="D56" s="1"/>
      <c r="E56" s="1"/>
      <c r="F56" s="1"/>
      <c r="G56" s="137"/>
      <c r="H56" s="14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1">
        <v>0</v>
      </c>
      <c r="H57" s="142"/>
    </row>
    <row r="58" spans="1:8" x14ac:dyDescent="0.2">
      <c r="A58" s="1"/>
      <c r="B58" s="1"/>
      <c r="C58" s="11"/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108</v>
      </c>
      <c r="D59" s="1"/>
      <c r="E59" s="1"/>
      <c r="F59" s="1"/>
      <c r="G59" s="137"/>
      <c r="H59" s="14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1">
        <v>0</v>
      </c>
      <c r="H60" s="142"/>
    </row>
    <row r="61" spans="1:8" x14ac:dyDescent="0.2">
      <c r="A61" s="1"/>
      <c r="B61" s="1"/>
      <c r="C61" s="11"/>
      <c r="D61" s="1"/>
      <c r="E61" s="1"/>
      <c r="F61" s="12"/>
      <c r="G61" s="140"/>
      <c r="H61" s="142"/>
    </row>
    <row r="62" spans="1:8" x14ac:dyDescent="0.2">
      <c r="A62" s="1"/>
      <c r="B62" s="1"/>
      <c r="C62" s="2" t="s">
        <v>109</v>
      </c>
      <c r="D62" s="1"/>
      <c r="E62" s="1"/>
      <c r="F62" s="1"/>
      <c r="G62" s="137"/>
      <c r="H62" s="142"/>
    </row>
    <row r="63" spans="1:8" x14ac:dyDescent="0.2">
      <c r="A63" s="3">
        <v>1</v>
      </c>
      <c r="B63" s="4" t="s">
        <v>110</v>
      </c>
      <c r="C63" s="4" t="s">
        <v>996</v>
      </c>
      <c r="D63" s="4" t="s">
        <v>19</v>
      </c>
      <c r="E63" s="5">
        <v>34959</v>
      </c>
      <c r="F63" s="6">
        <v>53.592146999999997</v>
      </c>
      <c r="G63" s="138">
        <v>2.9448799999999998E-4</v>
      </c>
      <c r="H63" s="142"/>
    </row>
    <row r="64" spans="1:8" x14ac:dyDescent="0.2">
      <c r="A64" s="1"/>
      <c r="B64" s="1"/>
      <c r="C64" s="2" t="s">
        <v>105</v>
      </c>
      <c r="D64" s="1"/>
      <c r="E64" s="1" t="s">
        <v>106</v>
      </c>
      <c r="F64" s="9">
        <v>53.592146999999997</v>
      </c>
      <c r="G64" s="139">
        <v>2.9448799999999998E-4</v>
      </c>
      <c r="H64" s="142"/>
    </row>
    <row r="65" spans="1:8" x14ac:dyDescent="0.2">
      <c r="A65" s="1"/>
      <c r="B65" s="1"/>
      <c r="C65" s="11"/>
      <c r="D65" s="1"/>
      <c r="E65" s="1"/>
      <c r="F65" s="12"/>
      <c r="G65" s="140"/>
      <c r="H65" s="142"/>
    </row>
    <row r="66" spans="1:8" x14ac:dyDescent="0.2">
      <c r="A66" s="1"/>
      <c r="B66" s="1"/>
      <c r="C66" s="2" t="s">
        <v>111</v>
      </c>
      <c r="D66" s="1"/>
      <c r="E66" s="1"/>
      <c r="F66" s="12"/>
      <c r="G66" s="140"/>
      <c r="H66" s="142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1">
        <v>0</v>
      </c>
      <c r="H67" s="142"/>
    </row>
    <row r="68" spans="1:8" x14ac:dyDescent="0.2">
      <c r="A68" s="1"/>
      <c r="B68" s="1"/>
      <c r="C68" s="11"/>
      <c r="D68" s="1"/>
      <c r="E68" s="1"/>
      <c r="F68" s="12"/>
      <c r="G68" s="140"/>
      <c r="H68" s="142"/>
    </row>
    <row r="69" spans="1:8" x14ac:dyDescent="0.2">
      <c r="A69" s="1"/>
      <c r="B69" s="1"/>
      <c r="C69" s="2" t="s">
        <v>112</v>
      </c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1">
        <v>0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113</v>
      </c>
      <c r="D72" s="1"/>
      <c r="E72" s="1"/>
      <c r="F72" s="9">
        <v>178668.87179949999</v>
      </c>
      <c r="G72" s="139">
        <v>0.98178260900000003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114</v>
      </c>
      <c r="D74" s="1"/>
      <c r="E74" s="1"/>
      <c r="F74" s="12"/>
      <c r="G74" s="140"/>
      <c r="H74" s="142"/>
    </row>
    <row r="75" spans="1:8" ht="25.5" x14ac:dyDescent="0.2">
      <c r="A75" s="1"/>
      <c r="B75" s="1"/>
      <c r="C75" s="2" t="s">
        <v>10</v>
      </c>
      <c r="D75" s="1"/>
      <c r="E75" s="1"/>
      <c r="F75" s="12"/>
      <c r="G75" s="140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115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116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117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118</v>
      </c>
      <c r="D87" s="1"/>
      <c r="E87" s="1"/>
      <c r="F87" s="9">
        <v>0</v>
      </c>
      <c r="G87" s="139">
        <v>0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119</v>
      </c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120</v>
      </c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121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122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123</v>
      </c>
      <c r="D99" s="1"/>
      <c r="E99" s="1"/>
      <c r="F99" s="12"/>
      <c r="G99" s="140"/>
      <c r="H99" s="142"/>
    </row>
    <row r="100" spans="1:8" x14ac:dyDescent="0.2">
      <c r="A100" s="3">
        <v>1</v>
      </c>
      <c r="B100" s="4"/>
      <c r="C100" s="4" t="s">
        <v>124</v>
      </c>
      <c r="D100" s="4"/>
      <c r="E100" s="8"/>
      <c r="F100" s="6">
        <v>1750.2194136999999</v>
      </c>
      <c r="G100" s="138">
        <v>9.6174280000000008E-3</v>
      </c>
      <c r="H100" s="152">
        <v>3.3197683930276081</v>
      </c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9">
        <v>1750.2194136999999</v>
      </c>
      <c r="G101" s="139">
        <v>9.6174280000000008E-3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125</v>
      </c>
      <c r="D103" s="1"/>
      <c r="E103" s="1"/>
      <c r="F103" s="9">
        <v>1750.2194136999999</v>
      </c>
      <c r="G103" s="139">
        <v>9.6174280000000008E-3</v>
      </c>
      <c r="H103" s="142"/>
    </row>
    <row r="104" spans="1:8" x14ac:dyDescent="0.2">
      <c r="A104" s="1"/>
      <c r="B104" s="1"/>
      <c r="C104" s="12"/>
      <c r="D104" s="1"/>
      <c r="E104" s="1"/>
      <c r="F104" s="1"/>
      <c r="G104" s="137"/>
      <c r="H104" s="142"/>
    </row>
    <row r="105" spans="1:8" x14ac:dyDescent="0.2">
      <c r="A105" s="1"/>
      <c r="B105" s="1"/>
      <c r="C105" s="2" t="s">
        <v>126</v>
      </c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127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128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129</v>
      </c>
      <c r="D110" s="1"/>
      <c r="E110" s="1"/>
      <c r="F110" s="1"/>
      <c r="G110" s="137"/>
      <c r="H110" s="142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1">
        <v>0</v>
      </c>
      <c r="H111" s="142"/>
    </row>
    <row r="112" spans="1:8" x14ac:dyDescent="0.2">
      <c r="A112" s="1"/>
      <c r="B112" s="1"/>
      <c r="C112" s="11"/>
      <c r="D112" s="1"/>
      <c r="E112" s="1"/>
      <c r="F112" s="12"/>
      <c r="G112" s="140"/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ht="25.5" x14ac:dyDescent="0.2">
      <c r="A114" s="1"/>
      <c r="B114" s="1"/>
      <c r="C114" s="2" t="s">
        <v>130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1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4"/>
      <c r="C117" s="4"/>
      <c r="D117" s="2"/>
      <c r="E117" s="1"/>
      <c r="F117" s="4"/>
      <c r="G117" s="143"/>
      <c r="H117" s="142"/>
    </row>
    <row r="118" spans="1:8" x14ac:dyDescent="0.2">
      <c r="A118" s="8"/>
      <c r="B118" s="4"/>
      <c r="C118" s="4" t="s">
        <v>131</v>
      </c>
      <c r="D118" s="4"/>
      <c r="E118" s="8"/>
      <c r="F118" s="6">
        <v>1565.05640819</v>
      </c>
      <c r="G118" s="138">
        <v>8.5999600000000002E-3</v>
      </c>
      <c r="H118" s="142"/>
    </row>
    <row r="119" spans="1:8" x14ac:dyDescent="0.2">
      <c r="A119" s="11"/>
      <c r="B119" s="11"/>
      <c r="C119" s="2" t="s">
        <v>132</v>
      </c>
      <c r="D119" s="15"/>
      <c r="E119" s="15"/>
      <c r="F119" s="9">
        <v>181984.14762139</v>
      </c>
      <c r="G119" s="139">
        <v>0.99999999699999997</v>
      </c>
      <c r="H119" s="142"/>
    </row>
    <row r="120" spans="1:8" ht="14.1" customHeight="1" x14ac:dyDescent="0.2">
      <c r="A120" s="16"/>
      <c r="B120" s="16"/>
      <c r="C120" s="16"/>
      <c r="D120" s="17"/>
      <c r="E120" s="17"/>
      <c r="F120" s="17"/>
      <c r="G120" s="17"/>
    </row>
    <row r="121" spans="1:8" ht="14.1" customHeight="1" x14ac:dyDescent="0.2">
      <c r="A121" s="18"/>
      <c r="B121" s="205" t="s">
        <v>106</v>
      </c>
      <c r="C121" s="205"/>
      <c r="D121" s="205"/>
      <c r="E121" s="205"/>
      <c r="F121" s="205"/>
      <c r="G121" s="20"/>
    </row>
    <row r="122" spans="1:8" ht="14.1" customHeight="1" x14ac:dyDescent="0.2">
      <c r="A122" s="18"/>
      <c r="B122" s="205" t="s">
        <v>106</v>
      </c>
      <c r="C122" s="205"/>
      <c r="D122" s="205"/>
      <c r="E122" s="205"/>
      <c r="F122" s="205"/>
      <c r="G122" s="20"/>
    </row>
    <row r="123" spans="1:8" ht="14.1" customHeight="1" x14ac:dyDescent="0.2">
      <c r="A123" s="18"/>
      <c r="B123" s="18"/>
      <c r="C123" s="18"/>
      <c r="D123" s="20"/>
      <c r="E123" s="20"/>
      <c r="F123" s="20"/>
      <c r="G123" s="20"/>
    </row>
    <row r="124" spans="1:8" ht="14.1" customHeight="1" x14ac:dyDescent="0.2">
      <c r="A124" s="18"/>
      <c r="B124" s="203" t="s">
        <v>134</v>
      </c>
      <c r="C124" s="204"/>
      <c r="D124" s="12" t="s">
        <v>106</v>
      </c>
      <c r="E124" s="21"/>
      <c r="F124" s="20"/>
      <c r="G124" s="20"/>
    </row>
    <row r="125" spans="1:8" ht="29.1" customHeight="1" x14ac:dyDescent="0.2">
      <c r="A125" s="18"/>
      <c r="B125" s="199" t="s">
        <v>135</v>
      </c>
      <c r="C125" s="200"/>
      <c r="D125" s="2" t="s">
        <v>136</v>
      </c>
      <c r="E125" s="21"/>
      <c r="F125" s="20"/>
      <c r="G125" s="20"/>
    </row>
    <row r="126" spans="1:8" ht="17.100000000000001" customHeight="1" x14ac:dyDescent="0.2">
      <c r="A126" s="18"/>
      <c r="B126" s="199" t="s">
        <v>137</v>
      </c>
      <c r="C126" s="200"/>
      <c r="D126" s="2" t="s">
        <v>136</v>
      </c>
      <c r="E126" s="21"/>
      <c r="F126" s="20"/>
      <c r="G126" s="20"/>
    </row>
    <row r="127" spans="1:8" ht="17.100000000000001" customHeight="1" x14ac:dyDescent="0.2">
      <c r="A127" s="18"/>
      <c r="B127" s="199" t="s">
        <v>138</v>
      </c>
      <c r="C127" s="200"/>
      <c r="D127" s="12" t="s">
        <v>106</v>
      </c>
      <c r="E127" s="21"/>
      <c r="F127" s="20"/>
      <c r="G127" s="20"/>
    </row>
    <row r="128" spans="1:8" ht="24" customHeight="1" x14ac:dyDescent="0.2">
      <c r="A128" s="22"/>
      <c r="B128" s="23" t="s">
        <v>106</v>
      </c>
      <c r="C128" s="23" t="s">
        <v>139</v>
      </c>
      <c r="D128" s="23" t="s">
        <v>140</v>
      </c>
      <c r="E128" s="22"/>
      <c r="F128" s="22"/>
      <c r="G128" s="22"/>
    </row>
    <row r="129" spans="1:7" x14ac:dyDescent="0.2">
      <c r="A129" s="22"/>
      <c r="B129" s="23" t="s">
        <v>141</v>
      </c>
      <c r="C129" s="23" t="s">
        <v>142</v>
      </c>
      <c r="D129" s="23" t="s">
        <v>143</v>
      </c>
      <c r="E129" s="22"/>
      <c r="F129" s="22"/>
      <c r="G129" s="22"/>
    </row>
    <row r="130" spans="1:7" ht="17.100000000000001" customHeight="1" x14ac:dyDescent="0.2">
      <c r="A130" s="22"/>
      <c r="B130" s="4" t="s">
        <v>144</v>
      </c>
      <c r="C130" s="24">
        <v>57.613799999999998</v>
      </c>
      <c r="D130" s="24">
        <v>58.796900000000001</v>
      </c>
      <c r="E130" s="22"/>
      <c r="F130" s="19"/>
      <c r="G130" s="25"/>
    </row>
    <row r="131" spans="1:7" ht="17.100000000000001" customHeight="1" x14ac:dyDescent="0.2">
      <c r="A131" s="22"/>
      <c r="B131" s="4" t="s">
        <v>1019</v>
      </c>
      <c r="C131" s="24">
        <v>26.667300000000001</v>
      </c>
      <c r="D131" s="24">
        <v>27.215</v>
      </c>
      <c r="E131" s="22"/>
      <c r="F131" s="19"/>
      <c r="G131" s="25"/>
    </row>
    <row r="132" spans="1:7" ht="17.100000000000001" customHeight="1" x14ac:dyDescent="0.2">
      <c r="A132" s="22"/>
      <c r="B132" s="4" t="s">
        <v>145</v>
      </c>
      <c r="C132" s="24">
        <v>53.501100000000001</v>
      </c>
      <c r="D132" s="24">
        <v>54.543199999999999</v>
      </c>
      <c r="E132" s="22"/>
      <c r="F132" s="19"/>
      <c r="G132" s="25"/>
    </row>
    <row r="133" spans="1:7" ht="17.100000000000001" customHeight="1" x14ac:dyDescent="0.2">
      <c r="A133" s="22"/>
      <c r="B133" s="4" t="s">
        <v>1020</v>
      </c>
      <c r="C133" s="24">
        <v>24.242799999999999</v>
      </c>
      <c r="D133" s="24">
        <v>24.715</v>
      </c>
      <c r="E133" s="22"/>
      <c r="F133" s="19"/>
      <c r="G133" s="25"/>
    </row>
    <row r="134" spans="1:7" ht="14.1" customHeight="1" x14ac:dyDescent="0.2">
      <c r="A134" s="22"/>
      <c r="B134" s="22"/>
      <c r="C134" s="22"/>
      <c r="D134" s="22"/>
      <c r="E134" s="22"/>
      <c r="F134" s="22"/>
      <c r="G134" s="22"/>
    </row>
    <row r="135" spans="1:7" ht="17.100000000000001" customHeight="1" x14ac:dyDescent="0.2">
      <c r="A135" s="22"/>
      <c r="B135" s="199" t="s">
        <v>1021</v>
      </c>
      <c r="C135" s="200"/>
      <c r="D135" s="2" t="s">
        <v>136</v>
      </c>
      <c r="E135" s="22"/>
      <c r="F135" s="22"/>
      <c r="G135" s="22"/>
    </row>
    <row r="136" spans="1:7" ht="18" customHeight="1" x14ac:dyDescent="0.2">
      <c r="A136" s="22"/>
      <c r="B136" s="26"/>
      <c r="C136" s="26"/>
      <c r="D136" s="27"/>
      <c r="E136" s="22"/>
      <c r="F136" s="22"/>
      <c r="G136" s="22"/>
    </row>
    <row r="137" spans="1:7" s="125" customFormat="1" x14ac:dyDescent="0.2">
      <c r="B137" s="201" t="s">
        <v>825</v>
      </c>
      <c r="C137" s="201"/>
      <c r="D137" s="201"/>
      <c r="E137" s="201"/>
      <c r="F137" s="201"/>
    </row>
    <row r="138" spans="1:7" ht="14.1" customHeight="1" x14ac:dyDescent="0.2">
      <c r="A138" s="22"/>
      <c r="B138" s="19"/>
      <c r="C138" s="19"/>
      <c r="D138" s="22"/>
      <c r="E138" s="22"/>
      <c r="F138" s="22"/>
      <c r="G138" s="22"/>
    </row>
    <row r="139" spans="1:7" ht="29.1" customHeight="1" x14ac:dyDescent="0.2">
      <c r="A139" s="22"/>
      <c r="B139" s="199" t="s">
        <v>146</v>
      </c>
      <c r="C139" s="200"/>
      <c r="D139" s="2" t="s">
        <v>136</v>
      </c>
      <c r="E139" s="22"/>
      <c r="F139" s="22"/>
      <c r="G139" s="22"/>
    </row>
    <row r="140" spans="1:7" ht="29.1" customHeight="1" x14ac:dyDescent="0.2">
      <c r="A140" s="22"/>
      <c r="B140" s="199" t="s">
        <v>147</v>
      </c>
      <c r="C140" s="200"/>
      <c r="D140" s="2" t="s">
        <v>136</v>
      </c>
      <c r="E140" s="22"/>
      <c r="F140" s="22"/>
      <c r="G140" s="22"/>
    </row>
    <row r="141" spans="1:7" ht="17.100000000000001" customHeight="1" x14ac:dyDescent="0.2">
      <c r="A141" s="22"/>
      <c r="B141" s="199" t="s">
        <v>148</v>
      </c>
      <c r="C141" s="200"/>
      <c r="D141" s="28">
        <v>0.76563581340688003</v>
      </c>
      <c r="E141" s="22"/>
      <c r="F141" s="19"/>
      <c r="G141" s="25"/>
    </row>
    <row r="142" spans="1:7" ht="17.100000000000001" customHeight="1" x14ac:dyDescent="0.2">
      <c r="A142" s="22"/>
      <c r="B142" s="199" t="s">
        <v>149</v>
      </c>
      <c r="C142" s="200"/>
      <c r="D142" s="2" t="s">
        <v>136</v>
      </c>
      <c r="E142" s="22"/>
      <c r="F142" s="22"/>
      <c r="G142" s="22"/>
    </row>
    <row r="144" spans="1:7" x14ac:dyDescent="0.2">
      <c r="B144" s="164" t="s">
        <v>1051</v>
      </c>
    </row>
    <row r="146" spans="2:6" x14ac:dyDescent="0.2">
      <c r="B146" s="164" t="s">
        <v>1052</v>
      </c>
    </row>
    <row r="147" spans="2:6" x14ac:dyDescent="0.2">
      <c r="B147" s="164"/>
    </row>
    <row r="148" spans="2:6" x14ac:dyDescent="0.2">
      <c r="B148" s="164" t="s">
        <v>1065</v>
      </c>
    </row>
    <row r="149" spans="2:6" ht="63.75" x14ac:dyDescent="0.2">
      <c r="B149" s="165" t="s">
        <v>1056</v>
      </c>
      <c r="C149" s="165" t="s">
        <v>1066</v>
      </c>
      <c r="D149" s="165" t="s">
        <v>1067</v>
      </c>
      <c r="E149" s="165" t="s">
        <v>1068</v>
      </c>
      <c r="F149" s="165" t="s">
        <v>1069</v>
      </c>
    </row>
    <row r="150" spans="2:6" x14ac:dyDescent="0.2">
      <c r="B150" s="167">
        <v>500</v>
      </c>
      <c r="C150" s="167">
        <v>500</v>
      </c>
      <c r="D150" s="169">
        <v>3653.5999000000002</v>
      </c>
      <c r="E150" s="169">
        <v>3563.7611000000002</v>
      </c>
      <c r="F150" s="170">
        <f>+E150-D150</f>
        <v>-89.838799999999992</v>
      </c>
    </row>
    <row r="151" spans="2:6" x14ac:dyDescent="0.2">
      <c r="B151" s="164"/>
    </row>
    <row r="152" spans="2:6" x14ac:dyDescent="0.2">
      <c r="B152" s="164" t="s">
        <v>1054</v>
      </c>
    </row>
    <row r="153" spans="2:6" x14ac:dyDescent="0.2">
      <c r="B153" s="164"/>
    </row>
    <row r="154" spans="2:6" x14ac:dyDescent="0.2">
      <c r="B154" s="164" t="s">
        <v>1055</v>
      </c>
    </row>
    <row r="155" spans="2:6" ht="63.75" x14ac:dyDescent="0.2">
      <c r="B155" s="165" t="s">
        <v>1056</v>
      </c>
      <c r="C155" s="165" t="s">
        <v>1066</v>
      </c>
      <c r="D155" s="165" t="s">
        <v>1067</v>
      </c>
      <c r="E155" s="165" t="s">
        <v>1068</v>
      </c>
      <c r="F155" s="165" t="s">
        <v>1069</v>
      </c>
    </row>
    <row r="156" spans="2:6" x14ac:dyDescent="0.2">
      <c r="B156" s="168">
        <v>660</v>
      </c>
      <c r="C156" s="168">
        <v>660</v>
      </c>
      <c r="D156" s="171">
        <v>5131.2337331999997</v>
      </c>
      <c r="E156" s="171">
        <v>4978.7044343999996</v>
      </c>
      <c r="F156" s="172">
        <v>-152.52929880000011</v>
      </c>
    </row>
    <row r="157" spans="2:6" x14ac:dyDescent="0.2">
      <c r="B157" s="164"/>
    </row>
    <row r="158" spans="2:6" x14ac:dyDescent="0.2">
      <c r="B158" s="164" t="s">
        <v>1057</v>
      </c>
    </row>
    <row r="159" spans="2:6" x14ac:dyDescent="0.2">
      <c r="B159" s="164"/>
    </row>
    <row r="160" spans="2:6" x14ac:dyDescent="0.2">
      <c r="B160" s="164" t="s">
        <v>1058</v>
      </c>
    </row>
    <row r="161" spans="2:2" x14ac:dyDescent="0.2">
      <c r="B161" s="164"/>
    </row>
    <row r="162" spans="2:2" x14ac:dyDescent="0.2">
      <c r="B162" s="164" t="s">
        <v>1059</v>
      </c>
    </row>
    <row r="163" spans="2:2" x14ac:dyDescent="0.2">
      <c r="B163" s="164"/>
    </row>
    <row r="164" spans="2:2" x14ac:dyDescent="0.2">
      <c r="B164" s="164" t="s">
        <v>1060</v>
      </c>
    </row>
    <row r="165" spans="2:2" x14ac:dyDescent="0.2">
      <c r="B165" s="164"/>
    </row>
    <row r="166" spans="2:2" x14ac:dyDescent="0.2">
      <c r="B166" s="164" t="s">
        <v>1061</v>
      </c>
    </row>
    <row r="167" spans="2:2" x14ac:dyDescent="0.2">
      <c r="B167" s="164"/>
    </row>
    <row r="168" spans="2:2" x14ac:dyDescent="0.2">
      <c r="B168" s="164" t="s">
        <v>1062</v>
      </c>
    </row>
    <row r="170" spans="2:2" x14ac:dyDescent="0.2">
      <c r="B170" s="164" t="s">
        <v>1063</v>
      </c>
    </row>
    <row r="172" spans="2:2" x14ac:dyDescent="0.2">
      <c r="B172" s="164" t="s">
        <v>1064</v>
      </c>
    </row>
  </sheetData>
  <mergeCells count="16">
    <mergeCell ref="J2:N2"/>
    <mergeCell ref="B124:C124"/>
    <mergeCell ref="B121:F121"/>
    <mergeCell ref="B122:F122"/>
    <mergeCell ref="A1:H1"/>
    <mergeCell ref="A2:H2"/>
    <mergeCell ref="A3:H3"/>
    <mergeCell ref="B141:C141"/>
    <mergeCell ref="B142:C142"/>
    <mergeCell ref="B125:C125"/>
    <mergeCell ref="B126:C126"/>
    <mergeCell ref="B127:C127"/>
    <mergeCell ref="B135:C135"/>
    <mergeCell ref="B139:C139"/>
    <mergeCell ref="B140:C140"/>
    <mergeCell ref="B137:F13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17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455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65309</v>
      </c>
      <c r="F7" s="6">
        <v>896.46398850000003</v>
      </c>
      <c r="G7" s="138">
        <v>3.3150064E-2</v>
      </c>
      <c r="H7" s="142"/>
    </row>
    <row r="8" spans="1:14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20969</v>
      </c>
      <c r="F8" s="6">
        <v>772.65522750000002</v>
      </c>
      <c r="G8" s="138">
        <v>2.8571777999999999E-2</v>
      </c>
      <c r="H8" s="142"/>
    </row>
    <row r="9" spans="1:14" x14ac:dyDescent="0.2">
      <c r="A9" s="3">
        <v>3</v>
      </c>
      <c r="B9" s="4" t="s">
        <v>154</v>
      </c>
      <c r="C9" s="4" t="s">
        <v>155</v>
      </c>
      <c r="D9" s="4" t="s">
        <v>27</v>
      </c>
      <c r="E9" s="5">
        <v>76859</v>
      </c>
      <c r="F9" s="6">
        <v>712.55978900000002</v>
      </c>
      <c r="G9" s="138">
        <v>2.6349527000000001E-2</v>
      </c>
      <c r="H9" s="142"/>
    </row>
    <row r="10" spans="1:14" x14ac:dyDescent="0.2">
      <c r="A10" s="3">
        <v>4</v>
      </c>
      <c r="B10" s="4" t="s">
        <v>158</v>
      </c>
      <c r="C10" s="4" t="s">
        <v>159</v>
      </c>
      <c r="D10" s="4" t="s">
        <v>80</v>
      </c>
      <c r="E10" s="5">
        <v>540977</v>
      </c>
      <c r="F10" s="6">
        <v>654.58217000000002</v>
      </c>
      <c r="G10" s="138">
        <v>2.4205590999999999E-2</v>
      </c>
      <c r="H10" s="142"/>
    </row>
    <row r="11" spans="1:14" x14ac:dyDescent="0.2">
      <c r="A11" s="3">
        <v>5</v>
      </c>
      <c r="B11" s="4" t="s">
        <v>44</v>
      </c>
      <c r="C11" s="4" t="s">
        <v>45</v>
      </c>
      <c r="D11" s="4" t="s">
        <v>27</v>
      </c>
      <c r="E11" s="5">
        <v>51448</v>
      </c>
      <c r="F11" s="6">
        <v>628.28297599999996</v>
      </c>
      <c r="G11" s="138">
        <v>2.3233080999999999E-2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76754</v>
      </c>
      <c r="F12" s="6">
        <v>611.80613400000004</v>
      </c>
      <c r="G12" s="138">
        <v>2.2623788999999998E-2</v>
      </c>
      <c r="H12" s="142"/>
    </row>
    <row r="13" spans="1:14" x14ac:dyDescent="0.2">
      <c r="A13" s="3">
        <v>7</v>
      </c>
      <c r="B13" s="4" t="s">
        <v>302</v>
      </c>
      <c r="C13" s="4" t="s">
        <v>303</v>
      </c>
      <c r="D13" s="4" t="s">
        <v>27</v>
      </c>
      <c r="E13" s="5">
        <v>89666</v>
      </c>
      <c r="F13" s="6">
        <v>610.266796</v>
      </c>
      <c r="G13" s="138">
        <v>2.2566867000000001E-2</v>
      </c>
      <c r="H13" s="142"/>
    </row>
    <row r="14" spans="1:14" x14ac:dyDescent="0.2">
      <c r="A14" s="3">
        <v>8</v>
      </c>
      <c r="B14" s="4" t="s">
        <v>162</v>
      </c>
      <c r="C14" s="4" t="s">
        <v>163</v>
      </c>
      <c r="D14" s="4" t="s">
        <v>164</v>
      </c>
      <c r="E14" s="5">
        <v>173848</v>
      </c>
      <c r="F14" s="6">
        <v>594.12554</v>
      </c>
      <c r="G14" s="138">
        <v>2.1969984000000001E-2</v>
      </c>
      <c r="H14" s="142"/>
    </row>
    <row r="15" spans="1:14" x14ac:dyDescent="0.2">
      <c r="A15" s="3">
        <v>9</v>
      </c>
      <c r="B15" s="4" t="s">
        <v>299</v>
      </c>
      <c r="C15" s="4" t="s">
        <v>300</v>
      </c>
      <c r="D15" s="4" t="s">
        <v>66</v>
      </c>
      <c r="E15" s="5">
        <v>31039</v>
      </c>
      <c r="F15" s="6">
        <v>579.38949349999996</v>
      </c>
      <c r="G15" s="138">
        <v>2.1425064000000001E-2</v>
      </c>
      <c r="H15" s="142"/>
    </row>
    <row r="16" spans="1:14" ht="15" x14ac:dyDescent="0.2">
      <c r="A16" s="3">
        <v>10</v>
      </c>
      <c r="B16" s="4" t="s">
        <v>52</v>
      </c>
      <c r="C16" s="4" t="s">
        <v>53</v>
      </c>
      <c r="D16" s="4" t="s">
        <v>51</v>
      </c>
      <c r="E16" s="5">
        <v>182405</v>
      </c>
      <c r="F16" s="6">
        <v>564.81708249999997</v>
      </c>
      <c r="G16" s="138">
        <v>2.0886195999999999E-2</v>
      </c>
      <c r="H16" s="142"/>
      <c r="J16" s="163" t="s">
        <v>1033</v>
      </c>
    </row>
    <row r="17" spans="1:8" x14ac:dyDescent="0.2">
      <c r="A17" s="3">
        <v>11</v>
      </c>
      <c r="B17" s="4" t="s">
        <v>165</v>
      </c>
      <c r="C17" s="4" t="s">
        <v>166</v>
      </c>
      <c r="D17" s="4" t="s">
        <v>51</v>
      </c>
      <c r="E17" s="5">
        <v>116159</v>
      </c>
      <c r="F17" s="6">
        <v>549.02551349999999</v>
      </c>
      <c r="G17" s="138">
        <v>2.0302244000000001E-2</v>
      </c>
      <c r="H17" s="142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164</v>
      </c>
      <c r="E18" s="5">
        <v>14600</v>
      </c>
      <c r="F18" s="6">
        <v>542.57979999999998</v>
      </c>
      <c r="G18" s="138">
        <v>2.0063890000000001E-2</v>
      </c>
      <c r="H18" s="142"/>
    </row>
    <row r="19" spans="1:8" x14ac:dyDescent="0.2">
      <c r="A19" s="3">
        <v>13</v>
      </c>
      <c r="B19" s="4" t="s">
        <v>456</v>
      </c>
      <c r="C19" s="4" t="s">
        <v>457</v>
      </c>
      <c r="D19" s="4" t="s">
        <v>51</v>
      </c>
      <c r="E19" s="5">
        <v>161016</v>
      </c>
      <c r="F19" s="6">
        <v>534.33159599999999</v>
      </c>
      <c r="G19" s="138">
        <v>1.9758881999999998E-2</v>
      </c>
      <c r="H19" s="142"/>
    </row>
    <row r="20" spans="1:8" x14ac:dyDescent="0.2">
      <c r="A20" s="3">
        <v>14</v>
      </c>
      <c r="B20" s="4" t="s">
        <v>176</v>
      </c>
      <c r="C20" s="4" t="s">
        <v>177</v>
      </c>
      <c r="D20" s="4" t="s">
        <v>1026</v>
      </c>
      <c r="E20" s="5">
        <v>121208</v>
      </c>
      <c r="F20" s="6">
        <v>476.65046000000001</v>
      </c>
      <c r="G20" s="138">
        <v>1.7625910000000002E-2</v>
      </c>
      <c r="H20" s="142"/>
    </row>
    <row r="21" spans="1:8" ht="25.5" x14ac:dyDescent="0.2">
      <c r="A21" s="3">
        <v>15</v>
      </c>
      <c r="B21" s="4" t="s">
        <v>30</v>
      </c>
      <c r="C21" s="4" t="s">
        <v>31</v>
      </c>
      <c r="D21" s="4" t="s">
        <v>1023</v>
      </c>
      <c r="E21" s="5">
        <v>15321</v>
      </c>
      <c r="F21" s="6">
        <v>476.13837749999999</v>
      </c>
      <c r="G21" s="138">
        <v>1.7606973000000001E-2</v>
      </c>
      <c r="H21" s="142"/>
    </row>
    <row r="22" spans="1:8" x14ac:dyDescent="0.2">
      <c r="A22" s="3">
        <v>16</v>
      </c>
      <c r="B22" s="4" t="s">
        <v>74</v>
      </c>
      <c r="C22" s="4" t="s">
        <v>75</v>
      </c>
      <c r="D22" s="4" t="s">
        <v>66</v>
      </c>
      <c r="E22" s="5">
        <v>108670</v>
      </c>
      <c r="F22" s="6">
        <v>445.54700000000003</v>
      </c>
      <c r="G22" s="138">
        <v>1.6475744E-2</v>
      </c>
      <c r="H22" s="142"/>
    </row>
    <row r="23" spans="1:8" x14ac:dyDescent="0.2">
      <c r="A23" s="3">
        <v>17</v>
      </c>
      <c r="B23" s="4" t="s">
        <v>179</v>
      </c>
      <c r="C23" s="4" t="s">
        <v>180</v>
      </c>
      <c r="D23" s="4" t="s">
        <v>181</v>
      </c>
      <c r="E23" s="5">
        <v>178406</v>
      </c>
      <c r="F23" s="6">
        <v>441.37644399999999</v>
      </c>
      <c r="G23" s="138">
        <v>1.6321523000000001E-2</v>
      </c>
      <c r="H23" s="142"/>
    </row>
    <row r="24" spans="1:8" ht="25.5" x14ac:dyDescent="0.2">
      <c r="A24" s="3">
        <v>18</v>
      </c>
      <c r="B24" s="4" t="s">
        <v>193</v>
      </c>
      <c r="C24" s="4" t="s">
        <v>194</v>
      </c>
      <c r="D24" s="4" t="s">
        <v>37</v>
      </c>
      <c r="E24" s="5">
        <v>348703</v>
      </c>
      <c r="F24" s="6">
        <v>428.73033850000002</v>
      </c>
      <c r="G24" s="138">
        <v>1.5853886000000001E-2</v>
      </c>
      <c r="H24" s="142"/>
    </row>
    <row r="25" spans="1:8" x14ac:dyDescent="0.2">
      <c r="A25" s="3">
        <v>19</v>
      </c>
      <c r="B25" s="4" t="s">
        <v>182</v>
      </c>
      <c r="C25" s="4" t="s">
        <v>183</v>
      </c>
      <c r="D25" s="4" t="s">
        <v>164</v>
      </c>
      <c r="E25" s="5">
        <v>7989</v>
      </c>
      <c r="F25" s="6">
        <v>426.96811050000002</v>
      </c>
      <c r="G25" s="138">
        <v>1.5788720999999999E-2</v>
      </c>
      <c r="H25" s="142"/>
    </row>
    <row r="26" spans="1:8" x14ac:dyDescent="0.2">
      <c r="A26" s="3">
        <v>20</v>
      </c>
      <c r="B26" s="4" t="s">
        <v>184</v>
      </c>
      <c r="C26" s="4" t="s">
        <v>185</v>
      </c>
      <c r="D26" s="4" t="s">
        <v>173</v>
      </c>
      <c r="E26" s="5">
        <v>30365</v>
      </c>
      <c r="F26" s="6">
        <v>424.1535025</v>
      </c>
      <c r="G26" s="138">
        <v>1.5684640999999999E-2</v>
      </c>
      <c r="H26" s="142"/>
    </row>
    <row r="27" spans="1:8" x14ac:dyDescent="0.2">
      <c r="A27" s="3">
        <v>21</v>
      </c>
      <c r="B27" s="4" t="s">
        <v>199</v>
      </c>
      <c r="C27" s="4" t="s">
        <v>200</v>
      </c>
      <c r="D27" s="4" t="s">
        <v>164</v>
      </c>
      <c r="E27" s="5">
        <v>38730</v>
      </c>
      <c r="F27" s="6">
        <v>411.60307499999999</v>
      </c>
      <c r="G27" s="138">
        <v>1.5220542E-2</v>
      </c>
      <c r="H27" s="142"/>
    </row>
    <row r="28" spans="1:8" x14ac:dyDescent="0.2">
      <c r="A28" s="3">
        <v>22</v>
      </c>
      <c r="B28" s="4" t="s">
        <v>201</v>
      </c>
      <c r="C28" s="4" t="s">
        <v>202</v>
      </c>
      <c r="D28" s="4" t="s">
        <v>80</v>
      </c>
      <c r="E28" s="5">
        <v>58366</v>
      </c>
      <c r="F28" s="6">
        <v>400.857688</v>
      </c>
      <c r="G28" s="138">
        <v>1.4823192000000001E-2</v>
      </c>
      <c r="H28" s="142"/>
    </row>
    <row r="29" spans="1:8" x14ac:dyDescent="0.2">
      <c r="A29" s="3">
        <v>23</v>
      </c>
      <c r="B29" s="4" t="s">
        <v>203</v>
      </c>
      <c r="C29" s="4" t="s">
        <v>204</v>
      </c>
      <c r="D29" s="4" t="s">
        <v>80</v>
      </c>
      <c r="E29" s="5">
        <v>67799</v>
      </c>
      <c r="F29" s="6">
        <v>400.08189900000002</v>
      </c>
      <c r="G29" s="138">
        <v>1.4794504E-2</v>
      </c>
      <c r="H29" s="142"/>
    </row>
    <row r="30" spans="1:8" ht="25.5" x14ac:dyDescent="0.2">
      <c r="A30" s="3">
        <v>24</v>
      </c>
      <c r="B30" s="4" t="s">
        <v>458</v>
      </c>
      <c r="C30" s="4" t="s">
        <v>459</v>
      </c>
      <c r="D30" s="4" t="s">
        <v>37</v>
      </c>
      <c r="E30" s="5">
        <v>29564</v>
      </c>
      <c r="F30" s="6">
        <v>398.95139799999998</v>
      </c>
      <c r="G30" s="138">
        <v>1.4752700000000001E-2</v>
      </c>
      <c r="H30" s="142"/>
    </row>
    <row r="31" spans="1:8" x14ac:dyDescent="0.2">
      <c r="A31" s="3">
        <v>25</v>
      </c>
      <c r="B31" s="4" t="s">
        <v>208</v>
      </c>
      <c r="C31" s="4" t="s">
        <v>209</v>
      </c>
      <c r="D31" s="4" t="s">
        <v>153</v>
      </c>
      <c r="E31" s="5">
        <v>27409</v>
      </c>
      <c r="F31" s="6">
        <v>397.77311250000002</v>
      </c>
      <c r="G31" s="138">
        <v>1.4709129E-2</v>
      </c>
      <c r="H31" s="142"/>
    </row>
    <row r="32" spans="1:8" ht="25.5" x14ac:dyDescent="0.2">
      <c r="A32" s="3">
        <v>26</v>
      </c>
      <c r="B32" s="4" t="s">
        <v>191</v>
      </c>
      <c r="C32" s="4" t="s">
        <v>192</v>
      </c>
      <c r="D32" s="4" t="s">
        <v>1023</v>
      </c>
      <c r="E32" s="5">
        <v>154145</v>
      </c>
      <c r="F32" s="6">
        <v>395.84435999999999</v>
      </c>
      <c r="G32" s="138">
        <v>1.4637806E-2</v>
      </c>
      <c r="H32" s="142"/>
    </row>
    <row r="33" spans="1:8" x14ac:dyDescent="0.2">
      <c r="A33" s="3">
        <v>27</v>
      </c>
      <c r="B33" s="4" t="s">
        <v>374</v>
      </c>
      <c r="C33" s="4" t="s">
        <v>375</v>
      </c>
      <c r="D33" s="4" t="s">
        <v>173</v>
      </c>
      <c r="E33" s="5">
        <v>11524</v>
      </c>
      <c r="F33" s="6">
        <v>394.29942199999999</v>
      </c>
      <c r="G33" s="138">
        <v>1.4580676000000001E-2</v>
      </c>
      <c r="H33" s="142"/>
    </row>
    <row r="34" spans="1:8" x14ac:dyDescent="0.2">
      <c r="A34" s="3">
        <v>28</v>
      </c>
      <c r="B34" s="4" t="s">
        <v>212</v>
      </c>
      <c r="C34" s="4" t="s">
        <v>213</v>
      </c>
      <c r="D34" s="4" t="s">
        <v>1027</v>
      </c>
      <c r="E34" s="5">
        <v>42000</v>
      </c>
      <c r="F34" s="6">
        <v>384.80399999999997</v>
      </c>
      <c r="G34" s="138">
        <v>1.4229548E-2</v>
      </c>
      <c r="H34" s="142"/>
    </row>
    <row r="35" spans="1:8" x14ac:dyDescent="0.2">
      <c r="A35" s="3">
        <v>29</v>
      </c>
      <c r="B35" s="4" t="s">
        <v>197</v>
      </c>
      <c r="C35" s="4" t="s">
        <v>198</v>
      </c>
      <c r="D35" s="4" t="s">
        <v>51</v>
      </c>
      <c r="E35" s="5">
        <v>36672</v>
      </c>
      <c r="F35" s="6">
        <v>376.12636800000001</v>
      </c>
      <c r="G35" s="138">
        <v>1.390866E-2</v>
      </c>
      <c r="H35" s="142"/>
    </row>
    <row r="36" spans="1:8" ht="25.5" x14ac:dyDescent="0.2">
      <c r="A36" s="3">
        <v>30</v>
      </c>
      <c r="B36" s="4" t="s">
        <v>217</v>
      </c>
      <c r="C36" s="4" t="s">
        <v>218</v>
      </c>
      <c r="D36" s="4" t="s">
        <v>90</v>
      </c>
      <c r="E36" s="5">
        <v>79781</v>
      </c>
      <c r="F36" s="6">
        <v>364.24015550000001</v>
      </c>
      <c r="G36" s="138">
        <v>1.3469124000000001E-2</v>
      </c>
      <c r="H36" s="142"/>
    </row>
    <row r="37" spans="1:8" x14ac:dyDescent="0.2">
      <c r="A37" s="3">
        <v>31</v>
      </c>
      <c r="B37" s="4" t="s">
        <v>214</v>
      </c>
      <c r="C37" s="4" t="s">
        <v>215</v>
      </c>
      <c r="D37" s="4" t="s">
        <v>216</v>
      </c>
      <c r="E37" s="5">
        <v>129053</v>
      </c>
      <c r="F37" s="6">
        <v>351.47584549999999</v>
      </c>
      <c r="G37" s="138">
        <v>1.2997116E-2</v>
      </c>
      <c r="H37" s="142"/>
    </row>
    <row r="38" spans="1:8" x14ac:dyDescent="0.2">
      <c r="A38" s="3">
        <v>32</v>
      </c>
      <c r="B38" s="4" t="s">
        <v>174</v>
      </c>
      <c r="C38" s="4" t="s">
        <v>175</v>
      </c>
      <c r="D38" s="4" t="s">
        <v>335</v>
      </c>
      <c r="E38" s="5">
        <v>35229</v>
      </c>
      <c r="F38" s="6">
        <v>348.48526800000002</v>
      </c>
      <c r="G38" s="138">
        <v>1.2886529000000001E-2</v>
      </c>
      <c r="H38" s="142"/>
    </row>
    <row r="39" spans="1:8" x14ac:dyDescent="0.2">
      <c r="A39" s="3">
        <v>33</v>
      </c>
      <c r="B39" s="4" t="s">
        <v>221</v>
      </c>
      <c r="C39" s="4" t="s">
        <v>222</v>
      </c>
      <c r="D39" s="4" t="s">
        <v>207</v>
      </c>
      <c r="E39" s="5">
        <v>53835</v>
      </c>
      <c r="F39" s="6">
        <v>331.8658575</v>
      </c>
      <c r="G39" s="138">
        <v>1.2271964999999999E-2</v>
      </c>
      <c r="H39" s="142"/>
    </row>
    <row r="40" spans="1:8" x14ac:dyDescent="0.2">
      <c r="A40" s="3">
        <v>34</v>
      </c>
      <c r="B40" s="4" t="s">
        <v>460</v>
      </c>
      <c r="C40" s="4" t="s">
        <v>461</v>
      </c>
      <c r="D40" s="4" t="s">
        <v>27</v>
      </c>
      <c r="E40" s="5">
        <v>37025</v>
      </c>
      <c r="F40" s="6">
        <v>328.6153875</v>
      </c>
      <c r="G40" s="138">
        <v>1.2151767000000001E-2</v>
      </c>
      <c r="H40" s="142"/>
    </row>
    <row r="41" spans="1:8" x14ac:dyDescent="0.2">
      <c r="A41" s="3">
        <v>35</v>
      </c>
      <c r="B41" s="4" t="s">
        <v>225</v>
      </c>
      <c r="C41" s="4" t="s">
        <v>226</v>
      </c>
      <c r="D41" s="4" t="s">
        <v>1028</v>
      </c>
      <c r="E41" s="5">
        <v>55876</v>
      </c>
      <c r="F41" s="6">
        <v>316.42578800000001</v>
      </c>
      <c r="G41" s="138">
        <v>1.1701011000000001E-2</v>
      </c>
      <c r="H41" s="142"/>
    </row>
    <row r="42" spans="1:8" x14ac:dyDescent="0.2">
      <c r="A42" s="3">
        <v>36</v>
      </c>
      <c r="B42" s="4" t="s">
        <v>462</v>
      </c>
      <c r="C42" s="4" t="s">
        <v>463</v>
      </c>
      <c r="D42" s="4" t="s">
        <v>51</v>
      </c>
      <c r="E42" s="5">
        <v>34343</v>
      </c>
      <c r="F42" s="6">
        <v>312.60715750000003</v>
      </c>
      <c r="G42" s="138">
        <v>1.1559803E-2</v>
      </c>
      <c r="H42" s="142"/>
    </row>
    <row r="43" spans="1:8" x14ac:dyDescent="0.2">
      <c r="A43" s="3">
        <v>37</v>
      </c>
      <c r="B43" s="4" t="s">
        <v>210</v>
      </c>
      <c r="C43" s="4" t="s">
        <v>211</v>
      </c>
      <c r="D43" s="4" t="s">
        <v>34</v>
      </c>
      <c r="E43" s="5">
        <v>76646</v>
      </c>
      <c r="F43" s="6">
        <v>309.80313200000001</v>
      </c>
      <c r="G43" s="138">
        <v>1.1456114E-2</v>
      </c>
      <c r="H43" s="142"/>
    </row>
    <row r="44" spans="1:8" x14ac:dyDescent="0.2">
      <c r="A44" s="3">
        <v>38</v>
      </c>
      <c r="B44" s="4" t="s">
        <v>227</v>
      </c>
      <c r="C44" s="4" t="s">
        <v>228</v>
      </c>
      <c r="D44" s="4" t="s">
        <v>66</v>
      </c>
      <c r="E44" s="5">
        <v>307287</v>
      </c>
      <c r="F44" s="6">
        <v>302.52405149999998</v>
      </c>
      <c r="G44" s="138">
        <v>1.1186943E-2</v>
      </c>
      <c r="H44" s="142"/>
    </row>
    <row r="45" spans="1:8" x14ac:dyDescent="0.2">
      <c r="A45" s="3">
        <v>39</v>
      </c>
      <c r="B45" s="4" t="s">
        <v>223</v>
      </c>
      <c r="C45" s="4" t="s">
        <v>224</v>
      </c>
      <c r="D45" s="4" t="s">
        <v>66</v>
      </c>
      <c r="E45" s="5">
        <v>31488</v>
      </c>
      <c r="F45" s="6">
        <v>301.79673600000001</v>
      </c>
      <c r="G45" s="138">
        <v>1.1160048000000001E-2</v>
      </c>
      <c r="H45" s="142"/>
    </row>
    <row r="46" spans="1:8" x14ac:dyDescent="0.2">
      <c r="A46" s="3">
        <v>40</v>
      </c>
      <c r="B46" s="4" t="s">
        <v>235</v>
      </c>
      <c r="C46" s="4" t="s">
        <v>236</v>
      </c>
      <c r="D46" s="4" t="s">
        <v>27</v>
      </c>
      <c r="E46" s="5">
        <v>17215</v>
      </c>
      <c r="F46" s="6">
        <v>291.78564249999999</v>
      </c>
      <c r="G46" s="138">
        <v>1.0789851E-2</v>
      </c>
      <c r="H46" s="142"/>
    </row>
    <row r="47" spans="1:8" x14ac:dyDescent="0.2">
      <c r="A47" s="3">
        <v>41</v>
      </c>
      <c r="B47" s="4" t="s">
        <v>464</v>
      </c>
      <c r="C47" s="4" t="s">
        <v>465</v>
      </c>
      <c r="D47" s="4" t="s">
        <v>48</v>
      </c>
      <c r="E47" s="5">
        <v>68578</v>
      </c>
      <c r="F47" s="6">
        <v>287.821866</v>
      </c>
      <c r="G47" s="138">
        <v>1.0643276E-2</v>
      </c>
      <c r="H47" s="142"/>
    </row>
    <row r="48" spans="1:8" x14ac:dyDescent="0.2">
      <c r="A48" s="3">
        <v>42</v>
      </c>
      <c r="B48" s="4" t="s">
        <v>239</v>
      </c>
      <c r="C48" s="4" t="s">
        <v>240</v>
      </c>
      <c r="D48" s="4" t="s">
        <v>207</v>
      </c>
      <c r="E48" s="5">
        <v>15127</v>
      </c>
      <c r="F48" s="6">
        <v>282.41352649999999</v>
      </c>
      <c r="G48" s="138">
        <v>1.0443282E-2</v>
      </c>
      <c r="H48" s="142"/>
    </row>
    <row r="49" spans="1:8" ht="25.5" x14ac:dyDescent="0.2">
      <c r="A49" s="3">
        <v>43</v>
      </c>
      <c r="B49" s="4" t="s">
        <v>178</v>
      </c>
      <c r="C49" s="4" t="s">
        <v>933</v>
      </c>
      <c r="D49" s="4" t="s">
        <v>37</v>
      </c>
      <c r="E49" s="5">
        <v>108094</v>
      </c>
      <c r="F49" s="6">
        <v>279.04466100000002</v>
      </c>
      <c r="G49" s="138">
        <v>1.0318706E-2</v>
      </c>
      <c r="H49" s="142"/>
    </row>
    <row r="50" spans="1:8" x14ac:dyDescent="0.2">
      <c r="A50" s="3">
        <v>44</v>
      </c>
      <c r="B50" s="4" t="s">
        <v>205</v>
      </c>
      <c r="C50" s="4" t="s">
        <v>206</v>
      </c>
      <c r="D50" s="4" t="s">
        <v>207</v>
      </c>
      <c r="E50" s="5">
        <v>61645</v>
      </c>
      <c r="F50" s="6">
        <v>276.94016249999999</v>
      </c>
      <c r="G50" s="138">
        <v>1.0240884E-2</v>
      </c>
      <c r="H50" s="142"/>
    </row>
    <row r="51" spans="1:8" x14ac:dyDescent="0.2">
      <c r="A51" s="3">
        <v>45</v>
      </c>
      <c r="B51" s="4" t="s">
        <v>246</v>
      </c>
      <c r="C51" s="4" t="s">
        <v>247</v>
      </c>
      <c r="D51" s="4" t="s">
        <v>80</v>
      </c>
      <c r="E51" s="5">
        <v>497258</v>
      </c>
      <c r="F51" s="6">
        <v>273.24327099999999</v>
      </c>
      <c r="G51" s="138">
        <v>1.0104178E-2</v>
      </c>
      <c r="H51" s="142"/>
    </row>
    <row r="52" spans="1:8" ht="25.5" x14ac:dyDescent="0.2">
      <c r="A52" s="3">
        <v>46</v>
      </c>
      <c r="B52" s="4" t="s">
        <v>244</v>
      </c>
      <c r="C52" s="4" t="s">
        <v>245</v>
      </c>
      <c r="D52" s="4" t="s">
        <v>1029</v>
      </c>
      <c r="E52" s="5">
        <v>244575</v>
      </c>
      <c r="F52" s="6">
        <v>273.06798750000002</v>
      </c>
      <c r="G52" s="138">
        <v>1.0097696E-2</v>
      </c>
      <c r="H52" s="142"/>
    </row>
    <row r="53" spans="1:8" x14ac:dyDescent="0.2">
      <c r="A53" s="3">
        <v>47</v>
      </c>
      <c r="B53" s="4" t="s">
        <v>195</v>
      </c>
      <c r="C53" s="4" t="s">
        <v>196</v>
      </c>
      <c r="D53" s="4" t="s">
        <v>24</v>
      </c>
      <c r="E53" s="5">
        <v>141747</v>
      </c>
      <c r="F53" s="6">
        <v>270.59502300000003</v>
      </c>
      <c r="G53" s="138">
        <v>1.0006249E-2</v>
      </c>
      <c r="H53" s="142"/>
    </row>
    <row r="54" spans="1:8" x14ac:dyDescent="0.2">
      <c r="A54" s="3">
        <v>48</v>
      </c>
      <c r="B54" s="4" t="s">
        <v>241</v>
      </c>
      <c r="C54" s="4" t="s">
        <v>242</v>
      </c>
      <c r="D54" s="4" t="s">
        <v>243</v>
      </c>
      <c r="E54" s="5">
        <v>54261</v>
      </c>
      <c r="F54" s="6">
        <v>268.70047199999999</v>
      </c>
      <c r="G54" s="138">
        <v>9.9361910000000005E-3</v>
      </c>
      <c r="H54" s="142"/>
    </row>
    <row r="55" spans="1:8" x14ac:dyDescent="0.2">
      <c r="A55" s="3">
        <v>49</v>
      </c>
      <c r="B55" s="4" t="s">
        <v>188</v>
      </c>
      <c r="C55" s="4" t="s">
        <v>189</v>
      </c>
      <c r="D55" s="4" t="s">
        <v>190</v>
      </c>
      <c r="E55" s="5">
        <v>26884</v>
      </c>
      <c r="F55" s="6">
        <v>267.72431399999999</v>
      </c>
      <c r="G55" s="138">
        <v>9.9000939999999999E-3</v>
      </c>
      <c r="H55" s="142"/>
    </row>
    <row r="56" spans="1:8" x14ac:dyDescent="0.2">
      <c r="A56" s="3">
        <v>50</v>
      </c>
      <c r="B56" s="4" t="s">
        <v>42</v>
      </c>
      <c r="C56" s="4" t="s">
        <v>43</v>
      </c>
      <c r="D56" s="4" t="s">
        <v>27</v>
      </c>
      <c r="E56" s="5">
        <v>12185</v>
      </c>
      <c r="F56" s="6">
        <v>267.63743249999999</v>
      </c>
      <c r="G56" s="138">
        <v>9.8968819999999992E-3</v>
      </c>
      <c r="H56" s="142"/>
    </row>
    <row r="57" spans="1:8" x14ac:dyDescent="0.2">
      <c r="A57" s="3">
        <v>51</v>
      </c>
      <c r="B57" s="4" t="s">
        <v>296</v>
      </c>
      <c r="C57" s="4" t="s">
        <v>297</v>
      </c>
      <c r="D57" s="4" t="s">
        <v>27</v>
      </c>
      <c r="E57" s="5">
        <v>21807</v>
      </c>
      <c r="F57" s="6">
        <v>266.83045199999998</v>
      </c>
      <c r="G57" s="138">
        <v>9.867041E-3</v>
      </c>
      <c r="H57" s="142"/>
    </row>
    <row r="58" spans="1:8" ht="25.5" x14ac:dyDescent="0.2">
      <c r="A58" s="3">
        <v>52</v>
      </c>
      <c r="B58" s="4" t="s">
        <v>231</v>
      </c>
      <c r="C58" s="4" t="s">
        <v>232</v>
      </c>
      <c r="D58" s="4" t="s">
        <v>51</v>
      </c>
      <c r="E58" s="5">
        <v>12284</v>
      </c>
      <c r="F58" s="6">
        <v>263.35053399999998</v>
      </c>
      <c r="G58" s="138">
        <v>9.7383580000000008E-3</v>
      </c>
      <c r="H58" s="142"/>
    </row>
    <row r="59" spans="1:8" ht="25.5" x14ac:dyDescent="0.2">
      <c r="A59" s="3">
        <v>53</v>
      </c>
      <c r="B59" s="4" t="s">
        <v>252</v>
      </c>
      <c r="C59" s="4" t="s">
        <v>253</v>
      </c>
      <c r="D59" s="4" t="s">
        <v>90</v>
      </c>
      <c r="E59" s="5">
        <v>60329</v>
      </c>
      <c r="F59" s="6">
        <v>253.804103</v>
      </c>
      <c r="G59" s="138">
        <v>9.3853430000000009E-3</v>
      </c>
      <c r="H59" s="142"/>
    </row>
    <row r="60" spans="1:8" x14ac:dyDescent="0.2">
      <c r="A60" s="3">
        <v>54</v>
      </c>
      <c r="B60" s="4" t="s">
        <v>466</v>
      </c>
      <c r="C60" s="4" t="s">
        <v>467</v>
      </c>
      <c r="D60" s="4" t="s">
        <v>216</v>
      </c>
      <c r="E60" s="5">
        <v>38301</v>
      </c>
      <c r="F60" s="6">
        <v>249.952326</v>
      </c>
      <c r="G60" s="138">
        <v>9.24291E-3</v>
      </c>
      <c r="H60" s="142"/>
    </row>
    <row r="61" spans="1:8" ht="25.5" x14ac:dyDescent="0.2">
      <c r="A61" s="3">
        <v>55</v>
      </c>
      <c r="B61" s="4" t="s">
        <v>255</v>
      </c>
      <c r="C61" s="4" t="s">
        <v>256</v>
      </c>
      <c r="D61" s="4" t="s">
        <v>90</v>
      </c>
      <c r="E61" s="5">
        <v>63174</v>
      </c>
      <c r="F61" s="6">
        <v>242.93561700000001</v>
      </c>
      <c r="G61" s="138">
        <v>8.983441E-3</v>
      </c>
      <c r="H61" s="142"/>
    </row>
    <row r="62" spans="1:8" x14ac:dyDescent="0.2">
      <c r="A62" s="3">
        <v>56</v>
      </c>
      <c r="B62" s="4" t="s">
        <v>257</v>
      </c>
      <c r="C62" s="4" t="s">
        <v>258</v>
      </c>
      <c r="D62" s="4" t="s">
        <v>173</v>
      </c>
      <c r="E62" s="5">
        <v>68046</v>
      </c>
      <c r="F62" s="6">
        <v>238.161</v>
      </c>
      <c r="G62" s="138">
        <v>8.8068820000000003E-3</v>
      </c>
      <c r="H62" s="142"/>
    </row>
    <row r="63" spans="1:8" x14ac:dyDescent="0.2">
      <c r="A63" s="3">
        <v>57</v>
      </c>
      <c r="B63" s="4" t="s">
        <v>171</v>
      </c>
      <c r="C63" s="4" t="s">
        <v>172</v>
      </c>
      <c r="D63" s="4" t="s">
        <v>173</v>
      </c>
      <c r="E63" s="5">
        <v>24210</v>
      </c>
      <c r="F63" s="6">
        <v>228.409245</v>
      </c>
      <c r="G63" s="138">
        <v>8.4462749999999996E-3</v>
      </c>
      <c r="H63" s="142"/>
    </row>
    <row r="64" spans="1:8" x14ac:dyDescent="0.2">
      <c r="A64" s="3">
        <v>58</v>
      </c>
      <c r="B64" s="4" t="s">
        <v>261</v>
      </c>
      <c r="C64" s="4" t="s">
        <v>262</v>
      </c>
      <c r="D64" s="4" t="s">
        <v>51</v>
      </c>
      <c r="E64" s="5">
        <v>102433</v>
      </c>
      <c r="F64" s="6">
        <v>227.60612599999999</v>
      </c>
      <c r="G64" s="138">
        <v>8.4165760000000003E-3</v>
      </c>
      <c r="H64" s="142"/>
    </row>
    <row r="65" spans="1:8" x14ac:dyDescent="0.2">
      <c r="A65" s="3">
        <v>59</v>
      </c>
      <c r="B65" s="4" t="s">
        <v>267</v>
      </c>
      <c r="C65" s="4" t="s">
        <v>268</v>
      </c>
      <c r="D65" s="4" t="s">
        <v>1024</v>
      </c>
      <c r="E65" s="5">
        <v>12883</v>
      </c>
      <c r="F65" s="6">
        <v>213.68387949999999</v>
      </c>
      <c r="G65" s="138">
        <v>7.9017500000000008E-3</v>
      </c>
      <c r="H65" s="142"/>
    </row>
    <row r="66" spans="1:8" x14ac:dyDescent="0.2">
      <c r="A66" s="3">
        <v>60</v>
      </c>
      <c r="B66" s="4" t="s">
        <v>265</v>
      </c>
      <c r="C66" s="4" t="s">
        <v>266</v>
      </c>
      <c r="D66" s="4" t="s">
        <v>59</v>
      </c>
      <c r="E66" s="5">
        <v>20203</v>
      </c>
      <c r="F66" s="6">
        <v>208.94952749999999</v>
      </c>
      <c r="G66" s="138">
        <v>7.7266799999999997E-3</v>
      </c>
      <c r="H66" s="142"/>
    </row>
    <row r="67" spans="1:8" x14ac:dyDescent="0.2">
      <c r="A67" s="3">
        <v>61</v>
      </c>
      <c r="B67" s="4" t="s">
        <v>229</v>
      </c>
      <c r="C67" s="4" t="s">
        <v>230</v>
      </c>
      <c r="D67" s="4" t="s">
        <v>51</v>
      </c>
      <c r="E67" s="5">
        <v>21557</v>
      </c>
      <c r="F67" s="6">
        <v>187.33033</v>
      </c>
      <c r="G67" s="138">
        <v>6.9272300000000004E-3</v>
      </c>
      <c r="H67" s="142"/>
    </row>
    <row r="68" spans="1:8" x14ac:dyDescent="0.2">
      <c r="A68" s="3">
        <v>62</v>
      </c>
      <c r="B68" s="4" t="s">
        <v>273</v>
      </c>
      <c r="C68" s="4" t="s">
        <v>274</v>
      </c>
      <c r="D68" s="4" t="s">
        <v>173</v>
      </c>
      <c r="E68" s="5">
        <v>31011</v>
      </c>
      <c r="F68" s="6">
        <v>185.81791200000001</v>
      </c>
      <c r="G68" s="138">
        <v>6.8713029999999996E-3</v>
      </c>
      <c r="H68" s="142"/>
    </row>
    <row r="69" spans="1:8" x14ac:dyDescent="0.2">
      <c r="A69" s="3">
        <v>63</v>
      </c>
      <c r="B69" s="4" t="s">
        <v>250</v>
      </c>
      <c r="C69" s="4" t="s">
        <v>251</v>
      </c>
      <c r="D69" s="4" t="s">
        <v>164</v>
      </c>
      <c r="E69" s="5">
        <v>13443</v>
      </c>
      <c r="F69" s="6">
        <v>185.50667849999999</v>
      </c>
      <c r="G69" s="138">
        <v>6.8597939999999998E-3</v>
      </c>
      <c r="H69" s="142"/>
    </row>
    <row r="70" spans="1:8" x14ac:dyDescent="0.2">
      <c r="A70" s="3">
        <v>64</v>
      </c>
      <c r="B70" s="4" t="s">
        <v>280</v>
      </c>
      <c r="C70" s="4" t="s">
        <v>281</v>
      </c>
      <c r="D70" s="4" t="s">
        <v>24</v>
      </c>
      <c r="E70" s="5">
        <v>201808</v>
      </c>
      <c r="F70" s="6">
        <v>183.64528000000001</v>
      </c>
      <c r="G70" s="138">
        <v>6.7909620000000002E-3</v>
      </c>
      <c r="H70" s="142"/>
    </row>
    <row r="71" spans="1:8" x14ac:dyDescent="0.2">
      <c r="A71" s="3">
        <v>65</v>
      </c>
      <c r="B71" s="4" t="s">
        <v>269</v>
      </c>
      <c r="C71" s="4" t="s">
        <v>270</v>
      </c>
      <c r="D71" s="4" t="s">
        <v>1028</v>
      </c>
      <c r="E71" s="5">
        <v>157740</v>
      </c>
      <c r="F71" s="6">
        <v>182.66292000000001</v>
      </c>
      <c r="G71" s="138">
        <v>6.7546350000000002E-3</v>
      </c>
      <c r="H71" s="142"/>
    </row>
    <row r="72" spans="1:8" x14ac:dyDescent="0.2">
      <c r="A72" s="3">
        <v>66</v>
      </c>
      <c r="B72" s="4" t="s">
        <v>468</v>
      </c>
      <c r="C72" s="4" t="s">
        <v>469</v>
      </c>
      <c r="D72" s="4" t="s">
        <v>1024</v>
      </c>
      <c r="E72" s="5">
        <v>187131</v>
      </c>
      <c r="F72" s="6">
        <v>182.63985600000001</v>
      </c>
      <c r="G72" s="138">
        <v>6.7537830000000002E-3</v>
      </c>
      <c r="H72" s="142"/>
    </row>
    <row r="73" spans="1:8" x14ac:dyDescent="0.2">
      <c r="A73" s="3">
        <v>67</v>
      </c>
      <c r="B73" s="4" t="s">
        <v>286</v>
      </c>
      <c r="C73" s="4" t="s">
        <v>287</v>
      </c>
      <c r="D73" s="4" t="s">
        <v>207</v>
      </c>
      <c r="E73" s="5">
        <v>49569</v>
      </c>
      <c r="F73" s="6">
        <v>178.9688745</v>
      </c>
      <c r="G73" s="138">
        <v>6.6180350000000004E-3</v>
      </c>
      <c r="H73" s="142"/>
    </row>
    <row r="74" spans="1:8" x14ac:dyDescent="0.2">
      <c r="A74" s="3">
        <v>68</v>
      </c>
      <c r="B74" s="4" t="s">
        <v>277</v>
      </c>
      <c r="C74" s="4" t="s">
        <v>278</v>
      </c>
      <c r="D74" s="4" t="s">
        <v>279</v>
      </c>
      <c r="E74" s="5">
        <v>75410</v>
      </c>
      <c r="F74" s="6">
        <v>174.80037999999999</v>
      </c>
      <c r="G74" s="138">
        <v>6.4638889999999996E-3</v>
      </c>
      <c r="H74" s="142"/>
    </row>
    <row r="75" spans="1:8" x14ac:dyDescent="0.2">
      <c r="A75" s="3">
        <v>69</v>
      </c>
      <c r="B75" s="4" t="s">
        <v>275</v>
      </c>
      <c r="C75" s="4" t="s">
        <v>276</v>
      </c>
      <c r="D75" s="4" t="s">
        <v>335</v>
      </c>
      <c r="E75" s="5">
        <v>13773</v>
      </c>
      <c r="F75" s="6">
        <v>170.248053</v>
      </c>
      <c r="G75" s="138">
        <v>6.2955499999999996E-3</v>
      </c>
      <c r="H75" s="142"/>
    </row>
    <row r="76" spans="1:8" x14ac:dyDescent="0.2">
      <c r="A76" s="3">
        <v>70</v>
      </c>
      <c r="B76" s="4" t="s">
        <v>282</v>
      </c>
      <c r="C76" s="4" t="s">
        <v>283</v>
      </c>
      <c r="D76" s="4" t="s">
        <v>207</v>
      </c>
      <c r="E76" s="5">
        <v>3032</v>
      </c>
      <c r="F76" s="6">
        <v>163.837152</v>
      </c>
      <c r="G76" s="138">
        <v>6.0584829999999999E-3</v>
      </c>
      <c r="H76" s="142"/>
    </row>
    <row r="77" spans="1:8" x14ac:dyDescent="0.2">
      <c r="A77" s="3">
        <v>71</v>
      </c>
      <c r="B77" s="4" t="s">
        <v>470</v>
      </c>
      <c r="C77" s="4" t="s">
        <v>471</v>
      </c>
      <c r="D77" s="4" t="s">
        <v>80</v>
      </c>
      <c r="E77" s="5">
        <v>25528</v>
      </c>
      <c r="F77" s="6">
        <v>162.47295600000001</v>
      </c>
      <c r="G77" s="138">
        <v>6.0080369999999999E-3</v>
      </c>
      <c r="H77" s="142"/>
    </row>
    <row r="78" spans="1:8" x14ac:dyDescent="0.2">
      <c r="A78" s="3">
        <v>72</v>
      </c>
      <c r="B78" s="4" t="s">
        <v>304</v>
      </c>
      <c r="C78" s="4" t="s">
        <v>305</v>
      </c>
      <c r="D78" s="4" t="s">
        <v>1028</v>
      </c>
      <c r="E78" s="5">
        <v>379760</v>
      </c>
      <c r="F78" s="6">
        <v>146.20760000000001</v>
      </c>
      <c r="G78" s="138">
        <v>5.4065659999999998E-3</v>
      </c>
      <c r="H78" s="142"/>
    </row>
    <row r="79" spans="1:8" x14ac:dyDescent="0.2">
      <c r="A79" s="3">
        <v>73</v>
      </c>
      <c r="B79" s="4" t="s">
        <v>284</v>
      </c>
      <c r="C79" s="4" t="s">
        <v>285</v>
      </c>
      <c r="D79" s="4" t="s">
        <v>164</v>
      </c>
      <c r="E79" s="5">
        <v>28631</v>
      </c>
      <c r="F79" s="6">
        <v>137.4431155</v>
      </c>
      <c r="G79" s="138">
        <v>5.0824659999999999E-3</v>
      </c>
      <c r="H79" s="142"/>
    </row>
    <row r="80" spans="1:8" x14ac:dyDescent="0.2">
      <c r="A80" s="3">
        <v>74</v>
      </c>
      <c r="B80" s="4" t="s">
        <v>288</v>
      </c>
      <c r="C80" s="4" t="s">
        <v>289</v>
      </c>
      <c r="D80" s="4" t="s">
        <v>153</v>
      </c>
      <c r="E80" s="5">
        <v>9154</v>
      </c>
      <c r="F80" s="6">
        <v>127.785263</v>
      </c>
      <c r="G80" s="138">
        <v>4.7253319999999996E-3</v>
      </c>
      <c r="H80" s="142"/>
    </row>
    <row r="81" spans="1:8" x14ac:dyDescent="0.2">
      <c r="A81" s="3">
        <v>75</v>
      </c>
      <c r="B81" s="4" t="s">
        <v>290</v>
      </c>
      <c r="C81" s="4" t="s">
        <v>291</v>
      </c>
      <c r="D81" s="4" t="s">
        <v>153</v>
      </c>
      <c r="E81" s="5">
        <v>5430</v>
      </c>
      <c r="F81" s="6">
        <v>33.256034999999997</v>
      </c>
      <c r="G81" s="138">
        <v>1.2297650000000001E-3</v>
      </c>
      <c r="H81" s="142"/>
    </row>
    <row r="82" spans="1:8" x14ac:dyDescent="0.2">
      <c r="A82" s="3">
        <v>76</v>
      </c>
      <c r="B82" s="4" t="s">
        <v>292</v>
      </c>
      <c r="C82" s="4" t="s">
        <v>293</v>
      </c>
      <c r="D82" s="4" t="s">
        <v>24</v>
      </c>
      <c r="E82" s="5">
        <v>49985</v>
      </c>
      <c r="F82" s="6">
        <v>31.090669999999999</v>
      </c>
      <c r="G82" s="138">
        <v>1.1496919999999999E-3</v>
      </c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9">
        <v>26065.001284999998</v>
      </c>
      <c r="G83" s="139">
        <v>0.963849599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107</v>
      </c>
      <c r="D85" s="1"/>
      <c r="E85" s="1"/>
      <c r="F85" s="1"/>
      <c r="G85" s="137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108</v>
      </c>
      <c r="D88" s="1"/>
      <c r="E88" s="1"/>
      <c r="F88" s="1"/>
      <c r="G88" s="137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109</v>
      </c>
      <c r="D91" s="1"/>
      <c r="E91" s="1"/>
      <c r="F91" s="1"/>
      <c r="G91" s="137"/>
      <c r="H91" s="14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1">
        <v>0</v>
      </c>
      <c r="H92" s="142"/>
    </row>
    <row r="93" spans="1:8" x14ac:dyDescent="0.2">
      <c r="A93" s="1"/>
      <c r="B93" s="1"/>
      <c r="C93" s="11"/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111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112</v>
      </c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113</v>
      </c>
      <c r="D100" s="1"/>
      <c r="E100" s="1"/>
      <c r="F100" s="9">
        <v>26065.001284999998</v>
      </c>
      <c r="G100" s="139">
        <v>0.963849599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114</v>
      </c>
      <c r="D102" s="1"/>
      <c r="E102" s="1"/>
      <c r="F102" s="12"/>
      <c r="G102" s="140"/>
      <c r="H102" s="142"/>
    </row>
    <row r="103" spans="1:8" ht="25.5" x14ac:dyDescent="0.2">
      <c r="A103" s="1"/>
      <c r="B103" s="1"/>
      <c r="C103" s="2" t="s">
        <v>10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115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116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117</v>
      </c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118</v>
      </c>
      <c r="D115" s="1"/>
      <c r="E115" s="1"/>
      <c r="F115" s="9">
        <v>0</v>
      </c>
      <c r="G115" s="139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119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120</v>
      </c>
      <c r="D118" s="1"/>
      <c r="E118" s="1"/>
      <c r="F118" s="12"/>
      <c r="G118" s="140"/>
      <c r="H118" s="142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1">
        <v>0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121</v>
      </c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1">
        <v>0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122</v>
      </c>
      <c r="D124" s="1"/>
      <c r="E124" s="1"/>
      <c r="F124" s="12"/>
      <c r="G124" s="140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123</v>
      </c>
      <c r="D127" s="1"/>
      <c r="E127" s="1"/>
      <c r="F127" s="12"/>
      <c r="G127" s="140"/>
      <c r="H127" s="142"/>
    </row>
    <row r="128" spans="1:8" x14ac:dyDescent="0.2">
      <c r="A128" s="3">
        <v>1</v>
      </c>
      <c r="B128" s="4"/>
      <c r="C128" s="4" t="s">
        <v>124</v>
      </c>
      <c r="D128" s="4"/>
      <c r="E128" s="8"/>
      <c r="F128" s="6">
        <v>905.68722590000004</v>
      </c>
      <c r="G128" s="138">
        <v>3.3491127000000002E-2</v>
      </c>
      <c r="H128" s="152">
        <v>3.3197683930276081</v>
      </c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9">
        <v>905.68722590000004</v>
      </c>
      <c r="G129" s="139">
        <v>3.3491127000000002E-2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2" t="s">
        <v>125</v>
      </c>
      <c r="D131" s="1"/>
      <c r="E131" s="1"/>
      <c r="F131" s="9">
        <v>905.68722590000004</v>
      </c>
      <c r="G131" s="139">
        <v>3.3491127000000002E-2</v>
      </c>
      <c r="H131" s="142"/>
    </row>
    <row r="132" spans="1:8" x14ac:dyDescent="0.2">
      <c r="A132" s="1"/>
      <c r="B132" s="1"/>
      <c r="C132" s="12"/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126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127</v>
      </c>
      <c r="D134" s="1"/>
      <c r="E134" s="1"/>
      <c r="F134" s="1"/>
      <c r="G134" s="137"/>
      <c r="H134" s="142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1">
        <v>0</v>
      </c>
      <c r="H135" s="142"/>
    </row>
    <row r="136" spans="1:8" x14ac:dyDescent="0.2">
      <c r="A136" s="1"/>
      <c r="B136" s="1"/>
      <c r="C136" s="11"/>
      <c r="D136" s="1"/>
      <c r="E136" s="1"/>
      <c r="F136" s="12"/>
      <c r="G136" s="140"/>
      <c r="H136" s="142"/>
    </row>
    <row r="137" spans="1:8" x14ac:dyDescent="0.2">
      <c r="A137" s="1"/>
      <c r="B137" s="1"/>
      <c r="C137" s="2" t="s">
        <v>128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129</v>
      </c>
      <c r="D138" s="1"/>
      <c r="E138" s="1"/>
      <c r="F138" s="1"/>
      <c r="G138" s="137"/>
      <c r="H138" s="142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1">
        <v>0</v>
      </c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x14ac:dyDescent="0.2">
      <c r="A141" s="1"/>
      <c r="B141" s="1"/>
      <c r="C141" s="11"/>
      <c r="D141" s="1"/>
      <c r="E141" s="1"/>
      <c r="F141" s="12"/>
      <c r="G141" s="140"/>
      <c r="H141" s="142"/>
    </row>
    <row r="142" spans="1:8" ht="25.5" x14ac:dyDescent="0.2">
      <c r="A142" s="1"/>
      <c r="B142" s="1"/>
      <c r="C142" s="2" t="s">
        <v>130</v>
      </c>
      <c r="D142" s="1"/>
      <c r="E142" s="1"/>
      <c r="F142" s="12"/>
      <c r="G142" s="140"/>
      <c r="H142" s="142"/>
    </row>
    <row r="143" spans="1:8" x14ac:dyDescent="0.2">
      <c r="A143" s="1"/>
      <c r="B143" s="1"/>
      <c r="C143" s="2" t="s">
        <v>105</v>
      </c>
      <c r="D143" s="1"/>
      <c r="E143" s="1" t="s">
        <v>106</v>
      </c>
      <c r="F143" s="13">
        <v>0</v>
      </c>
      <c r="G143" s="141">
        <v>0</v>
      </c>
      <c r="H143" s="142"/>
    </row>
    <row r="144" spans="1:8" x14ac:dyDescent="0.2">
      <c r="A144" s="1"/>
      <c r="B144" s="1"/>
      <c r="C144" s="11"/>
      <c r="D144" s="1"/>
      <c r="E144" s="1"/>
      <c r="F144" s="12"/>
      <c r="G144" s="140"/>
      <c r="H144" s="142"/>
    </row>
    <row r="145" spans="1:8" x14ac:dyDescent="0.2">
      <c r="A145" s="1"/>
      <c r="B145" s="4"/>
      <c r="C145" s="4"/>
      <c r="D145" s="2"/>
      <c r="E145" s="1"/>
      <c r="F145" s="4"/>
      <c r="G145" s="143"/>
      <c r="H145" s="142"/>
    </row>
    <row r="146" spans="1:8" x14ac:dyDescent="0.2">
      <c r="A146" s="8"/>
      <c r="B146" s="4"/>
      <c r="C146" s="4" t="s">
        <v>131</v>
      </c>
      <c r="D146" s="4"/>
      <c r="E146" s="8"/>
      <c r="F146" s="6">
        <v>71.913662610000003</v>
      </c>
      <c r="G146" s="138">
        <v>2.6592730000000002E-3</v>
      </c>
      <c r="H146" s="142"/>
    </row>
    <row r="147" spans="1:8" x14ac:dyDescent="0.2">
      <c r="A147" s="11"/>
      <c r="B147" s="11"/>
      <c r="C147" s="2" t="s">
        <v>132</v>
      </c>
      <c r="D147" s="15"/>
      <c r="E147" s="15"/>
      <c r="F147" s="9">
        <v>27042.60217351</v>
      </c>
      <c r="G147" s="139">
        <v>0.99999999900000003</v>
      </c>
      <c r="H147" s="142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205" t="s">
        <v>106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205" t="s">
        <v>106</v>
      </c>
      <c r="C150" s="205"/>
      <c r="D150" s="205"/>
      <c r="E150" s="205"/>
      <c r="F150" s="205"/>
      <c r="G150" s="20"/>
    </row>
    <row r="151" spans="1:8" ht="14.1" customHeight="1" x14ac:dyDescent="0.2">
      <c r="A151" s="18"/>
      <c r="B151" s="18"/>
      <c r="C151" s="18"/>
      <c r="D151" s="20"/>
      <c r="E151" s="20"/>
      <c r="F151" s="20"/>
      <c r="G151" s="20"/>
    </row>
    <row r="152" spans="1:8" ht="14.1" customHeight="1" x14ac:dyDescent="0.2">
      <c r="A152" s="18"/>
      <c r="B152" s="203" t="s">
        <v>134</v>
      </c>
      <c r="C152" s="204"/>
      <c r="D152" s="12" t="s">
        <v>106</v>
      </c>
      <c r="E152" s="21"/>
      <c r="F152" s="20"/>
      <c r="G152" s="20"/>
    </row>
    <row r="153" spans="1:8" ht="29.1" customHeight="1" x14ac:dyDescent="0.2">
      <c r="A153" s="18"/>
      <c r="B153" s="199" t="s">
        <v>135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137</v>
      </c>
      <c r="C154" s="200"/>
      <c r="D154" s="2" t="s">
        <v>136</v>
      </c>
      <c r="E154" s="21"/>
      <c r="F154" s="20"/>
      <c r="G154" s="20"/>
    </row>
    <row r="155" spans="1:8" ht="17.100000000000001" customHeight="1" x14ac:dyDescent="0.2">
      <c r="A155" s="18"/>
      <c r="B155" s="199" t="s">
        <v>138</v>
      </c>
      <c r="C155" s="200"/>
      <c r="D155" s="12" t="s">
        <v>106</v>
      </c>
      <c r="E155" s="21"/>
      <c r="F155" s="20"/>
      <c r="G155" s="20"/>
    </row>
    <row r="156" spans="1:8" ht="24" customHeight="1" x14ac:dyDescent="0.2">
      <c r="A156" s="22"/>
      <c r="B156" s="23" t="s">
        <v>106</v>
      </c>
      <c r="C156" s="23" t="s">
        <v>139</v>
      </c>
      <c r="D156" s="23" t="s">
        <v>140</v>
      </c>
      <c r="E156" s="22"/>
      <c r="F156" s="22"/>
      <c r="G156" s="22"/>
    </row>
    <row r="157" spans="1:8" ht="18" customHeight="1" x14ac:dyDescent="0.2">
      <c r="A157" s="22"/>
      <c r="B157" s="23" t="s">
        <v>141</v>
      </c>
      <c r="C157" s="23" t="s">
        <v>142</v>
      </c>
      <c r="D157" s="23" t="s">
        <v>143</v>
      </c>
      <c r="E157" s="22"/>
      <c r="F157" s="22"/>
      <c r="G157" s="22"/>
    </row>
    <row r="158" spans="1:8" x14ac:dyDescent="0.2">
      <c r="A158" s="22"/>
      <c r="B158" s="4" t="s">
        <v>144</v>
      </c>
      <c r="C158" s="24">
        <v>14.284000000000001</v>
      </c>
      <c r="D158" s="24">
        <v>14.9467</v>
      </c>
      <c r="E158" s="22"/>
      <c r="F158" s="19"/>
      <c r="G158" s="25"/>
    </row>
    <row r="159" spans="1:8" x14ac:dyDescent="0.2">
      <c r="A159" s="22"/>
      <c r="B159" s="4" t="s">
        <v>1019</v>
      </c>
      <c r="C159" s="24">
        <v>14.284000000000001</v>
      </c>
      <c r="D159" s="24">
        <v>14.9467</v>
      </c>
      <c r="E159" s="22"/>
      <c r="F159" s="19"/>
      <c r="G159" s="25"/>
    </row>
    <row r="160" spans="1:8" x14ac:dyDescent="0.2">
      <c r="A160" s="22"/>
      <c r="B160" s="4" t="s">
        <v>145</v>
      </c>
      <c r="C160" s="24">
        <v>13.9312</v>
      </c>
      <c r="D160" s="24">
        <v>14.5722</v>
      </c>
      <c r="E160" s="22"/>
      <c r="F160" s="19"/>
      <c r="G160" s="25"/>
    </row>
    <row r="161" spans="1:7" x14ac:dyDescent="0.2">
      <c r="A161" s="22"/>
      <c r="B161" s="4" t="s">
        <v>1020</v>
      </c>
      <c r="C161" s="24">
        <v>13.9312</v>
      </c>
      <c r="D161" s="24">
        <v>14.5722</v>
      </c>
      <c r="E161" s="22"/>
      <c r="F161" s="19"/>
      <c r="G161" s="25"/>
    </row>
    <row r="162" spans="1:7" ht="14.1" customHeight="1" x14ac:dyDescent="0.2">
      <c r="A162" s="22"/>
      <c r="B162" s="22"/>
      <c r="C162" s="22"/>
      <c r="D162" s="22"/>
      <c r="E162" s="22"/>
      <c r="F162" s="22"/>
      <c r="G162" s="22"/>
    </row>
    <row r="163" spans="1:7" ht="17.100000000000001" customHeight="1" x14ac:dyDescent="0.2">
      <c r="A163" s="22"/>
      <c r="B163" s="199" t="s">
        <v>1021</v>
      </c>
      <c r="C163" s="200"/>
      <c r="D163" s="2" t="s">
        <v>136</v>
      </c>
      <c r="E163" s="22"/>
      <c r="F163" s="22"/>
      <c r="G163" s="22"/>
    </row>
    <row r="164" spans="1:7" ht="18" customHeight="1" x14ac:dyDescent="0.2">
      <c r="A164" s="22"/>
      <c r="B164" s="26"/>
      <c r="C164" s="26"/>
      <c r="D164" s="27"/>
      <c r="E164" s="22"/>
      <c r="F164" s="22"/>
      <c r="G164" s="22"/>
    </row>
    <row r="165" spans="1:7" s="125" customFormat="1" x14ac:dyDescent="0.2">
      <c r="B165" s="201" t="s">
        <v>825</v>
      </c>
      <c r="C165" s="201"/>
      <c r="D165" s="201"/>
      <c r="E165" s="201"/>
      <c r="F165" s="201"/>
    </row>
    <row r="166" spans="1:7" ht="14.1" customHeight="1" x14ac:dyDescent="0.2">
      <c r="A166" s="22"/>
      <c r="B166" s="19"/>
      <c r="C166" s="19"/>
      <c r="D166" s="22"/>
      <c r="E166" s="22"/>
      <c r="F166" s="22"/>
      <c r="G166" s="22"/>
    </row>
    <row r="167" spans="1:7" ht="29.1" customHeight="1" x14ac:dyDescent="0.2">
      <c r="A167" s="22"/>
      <c r="B167" s="199" t="s">
        <v>146</v>
      </c>
      <c r="C167" s="200"/>
      <c r="D167" s="2" t="s">
        <v>136</v>
      </c>
      <c r="E167" s="22"/>
      <c r="F167" s="22"/>
      <c r="G167" s="22"/>
    </row>
    <row r="168" spans="1:7" ht="29.1" customHeight="1" x14ac:dyDescent="0.2">
      <c r="A168" s="22"/>
      <c r="B168" s="199" t="s">
        <v>147</v>
      </c>
      <c r="C168" s="200"/>
      <c r="D168" s="2" t="s">
        <v>136</v>
      </c>
      <c r="E168" s="22"/>
      <c r="F168" s="22"/>
      <c r="G168" s="22"/>
    </row>
    <row r="169" spans="1:7" ht="17.100000000000001" customHeight="1" x14ac:dyDescent="0.2">
      <c r="A169" s="22"/>
      <c r="B169" s="199" t="s">
        <v>148</v>
      </c>
      <c r="C169" s="200"/>
      <c r="D169" s="28">
        <v>0.420004423723911</v>
      </c>
      <c r="E169" s="22"/>
      <c r="F169" s="19"/>
      <c r="G169" s="25"/>
    </row>
    <row r="170" spans="1:7" ht="17.100000000000001" customHeight="1" x14ac:dyDescent="0.2">
      <c r="A170" s="22"/>
      <c r="B170" s="199" t="s">
        <v>149</v>
      </c>
      <c r="C170" s="200"/>
      <c r="D170" s="2" t="s">
        <v>136</v>
      </c>
      <c r="E170" s="22"/>
      <c r="F170" s="22"/>
      <c r="G170" s="22"/>
    </row>
  </sheetData>
  <mergeCells count="16">
    <mergeCell ref="J2:N2"/>
    <mergeCell ref="B152:C152"/>
    <mergeCell ref="B149:F149"/>
    <mergeCell ref="B150:F150"/>
    <mergeCell ref="A1:H1"/>
    <mergeCell ref="A2:H2"/>
    <mergeCell ref="A3:H3"/>
    <mergeCell ref="B169:C169"/>
    <mergeCell ref="B170:C170"/>
    <mergeCell ref="B153:C153"/>
    <mergeCell ref="B154:C154"/>
    <mergeCell ref="B155:C155"/>
    <mergeCell ref="B163:C163"/>
    <mergeCell ref="B167:C167"/>
    <mergeCell ref="B168:C168"/>
    <mergeCell ref="B165:F16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17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472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70838</v>
      </c>
      <c r="F7" s="6">
        <v>972.35780699999998</v>
      </c>
      <c r="G7" s="138">
        <v>3.3456749000000001E-2</v>
      </c>
      <c r="H7" s="142"/>
    </row>
    <row r="8" spans="1:14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22704</v>
      </c>
      <c r="F8" s="6">
        <v>836.58564000000001</v>
      </c>
      <c r="G8" s="138">
        <v>2.8785120000000001E-2</v>
      </c>
      <c r="H8" s="142"/>
    </row>
    <row r="9" spans="1:14" x14ac:dyDescent="0.2">
      <c r="A9" s="3">
        <v>3</v>
      </c>
      <c r="B9" s="4" t="s">
        <v>154</v>
      </c>
      <c r="C9" s="4" t="s">
        <v>155</v>
      </c>
      <c r="D9" s="4" t="s">
        <v>27</v>
      </c>
      <c r="E9" s="5">
        <v>84041</v>
      </c>
      <c r="F9" s="6">
        <v>779.14411099999995</v>
      </c>
      <c r="G9" s="138">
        <v>2.6808680000000001E-2</v>
      </c>
      <c r="H9" s="142"/>
    </row>
    <row r="10" spans="1:14" x14ac:dyDescent="0.2">
      <c r="A10" s="3">
        <v>4</v>
      </c>
      <c r="B10" s="4" t="s">
        <v>160</v>
      </c>
      <c r="C10" s="4" t="s">
        <v>161</v>
      </c>
      <c r="D10" s="4" t="s">
        <v>27</v>
      </c>
      <c r="E10" s="5">
        <v>90886</v>
      </c>
      <c r="F10" s="6">
        <v>724.45230600000002</v>
      </c>
      <c r="G10" s="138">
        <v>2.4926851999999999E-2</v>
      </c>
      <c r="H10" s="142"/>
    </row>
    <row r="11" spans="1:14" x14ac:dyDescent="0.2">
      <c r="A11" s="3">
        <v>5</v>
      </c>
      <c r="B11" s="4" t="s">
        <v>158</v>
      </c>
      <c r="C11" s="4" t="s">
        <v>159</v>
      </c>
      <c r="D11" s="4" t="s">
        <v>80</v>
      </c>
      <c r="E11" s="5">
        <v>586004</v>
      </c>
      <c r="F11" s="6">
        <v>709.06484</v>
      </c>
      <c r="G11" s="138">
        <v>2.4397401999999999E-2</v>
      </c>
      <c r="H11" s="142"/>
    </row>
    <row r="12" spans="1:14" x14ac:dyDescent="0.2">
      <c r="A12" s="3">
        <v>6</v>
      </c>
      <c r="B12" s="4" t="s">
        <v>44</v>
      </c>
      <c r="C12" s="4" t="s">
        <v>45</v>
      </c>
      <c r="D12" s="4" t="s">
        <v>27</v>
      </c>
      <c r="E12" s="5">
        <v>55216</v>
      </c>
      <c r="F12" s="6">
        <v>674.29779199999996</v>
      </c>
      <c r="G12" s="138">
        <v>2.3201142000000001E-2</v>
      </c>
      <c r="H12" s="142"/>
    </row>
    <row r="13" spans="1:14" x14ac:dyDescent="0.2">
      <c r="A13" s="3">
        <v>7</v>
      </c>
      <c r="B13" s="4" t="s">
        <v>302</v>
      </c>
      <c r="C13" s="4" t="s">
        <v>303</v>
      </c>
      <c r="D13" s="4" t="s">
        <v>27</v>
      </c>
      <c r="E13" s="5">
        <v>98456</v>
      </c>
      <c r="F13" s="6">
        <v>670.09153600000002</v>
      </c>
      <c r="G13" s="138">
        <v>2.3056414000000001E-2</v>
      </c>
      <c r="H13" s="142"/>
    </row>
    <row r="14" spans="1:14" x14ac:dyDescent="0.2">
      <c r="A14" s="3">
        <v>8</v>
      </c>
      <c r="B14" s="4" t="s">
        <v>162</v>
      </c>
      <c r="C14" s="4" t="s">
        <v>163</v>
      </c>
      <c r="D14" s="4" t="s">
        <v>164</v>
      </c>
      <c r="E14" s="5">
        <v>188785</v>
      </c>
      <c r="F14" s="6">
        <v>645.17273750000004</v>
      </c>
      <c r="G14" s="138">
        <v>2.2199012000000001E-2</v>
      </c>
      <c r="H14" s="142"/>
    </row>
    <row r="15" spans="1:14" x14ac:dyDescent="0.2">
      <c r="A15" s="3">
        <v>9</v>
      </c>
      <c r="B15" s="4" t="s">
        <v>52</v>
      </c>
      <c r="C15" s="4" t="s">
        <v>53</v>
      </c>
      <c r="D15" s="4" t="s">
        <v>51</v>
      </c>
      <c r="E15" s="5">
        <v>196399</v>
      </c>
      <c r="F15" s="6">
        <v>608.14950350000004</v>
      </c>
      <c r="G15" s="138">
        <v>2.0925122000000001E-2</v>
      </c>
      <c r="H15" s="142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51</v>
      </c>
      <c r="E16" s="5">
        <v>126176</v>
      </c>
      <c r="F16" s="6">
        <v>596.37086399999998</v>
      </c>
      <c r="G16" s="138">
        <v>2.0519843999999999E-2</v>
      </c>
      <c r="H16" s="142"/>
      <c r="J16" s="163" t="s">
        <v>1037</v>
      </c>
    </row>
    <row r="17" spans="1:8" x14ac:dyDescent="0.2">
      <c r="A17" s="3">
        <v>11</v>
      </c>
      <c r="B17" s="4" t="s">
        <v>169</v>
      </c>
      <c r="C17" s="4" t="s">
        <v>170</v>
      </c>
      <c r="D17" s="4" t="s">
        <v>164</v>
      </c>
      <c r="E17" s="5">
        <v>15854</v>
      </c>
      <c r="F17" s="6">
        <v>589.18220199999996</v>
      </c>
      <c r="G17" s="138">
        <v>2.0272497E-2</v>
      </c>
      <c r="H17" s="142"/>
    </row>
    <row r="18" spans="1:8" x14ac:dyDescent="0.2">
      <c r="A18" s="3">
        <v>12</v>
      </c>
      <c r="B18" s="4" t="s">
        <v>456</v>
      </c>
      <c r="C18" s="4" t="s">
        <v>457</v>
      </c>
      <c r="D18" s="4" t="s">
        <v>51</v>
      </c>
      <c r="E18" s="5">
        <v>175415</v>
      </c>
      <c r="F18" s="6">
        <v>582.11467749999997</v>
      </c>
      <c r="G18" s="138">
        <v>2.0029319E-2</v>
      </c>
      <c r="H18" s="142"/>
    </row>
    <row r="19" spans="1:8" ht="25.5" x14ac:dyDescent="0.2">
      <c r="A19" s="3">
        <v>13</v>
      </c>
      <c r="B19" s="4" t="s">
        <v>30</v>
      </c>
      <c r="C19" s="4" t="s">
        <v>31</v>
      </c>
      <c r="D19" s="4" t="s">
        <v>1023</v>
      </c>
      <c r="E19" s="5">
        <v>16781</v>
      </c>
      <c r="F19" s="6">
        <v>521.51152750000006</v>
      </c>
      <c r="G19" s="138">
        <v>1.7944094000000001E-2</v>
      </c>
      <c r="H19" s="142"/>
    </row>
    <row r="20" spans="1:8" x14ac:dyDescent="0.2">
      <c r="A20" s="3">
        <v>14</v>
      </c>
      <c r="B20" s="4" t="s">
        <v>176</v>
      </c>
      <c r="C20" s="4" t="s">
        <v>177</v>
      </c>
      <c r="D20" s="4" t="s">
        <v>1026</v>
      </c>
      <c r="E20" s="5">
        <v>131301</v>
      </c>
      <c r="F20" s="6">
        <v>516.34118249999995</v>
      </c>
      <c r="G20" s="138">
        <v>1.7766193999999999E-2</v>
      </c>
      <c r="H20" s="142"/>
    </row>
    <row r="21" spans="1:8" x14ac:dyDescent="0.2">
      <c r="A21" s="3">
        <v>15</v>
      </c>
      <c r="B21" s="4" t="s">
        <v>74</v>
      </c>
      <c r="C21" s="4" t="s">
        <v>75</v>
      </c>
      <c r="D21" s="4" t="s">
        <v>66</v>
      </c>
      <c r="E21" s="5">
        <v>125724</v>
      </c>
      <c r="F21" s="6">
        <v>515.46839999999997</v>
      </c>
      <c r="G21" s="138">
        <v>1.7736162999999999E-2</v>
      </c>
      <c r="H21" s="142"/>
    </row>
    <row r="22" spans="1:8" x14ac:dyDescent="0.2">
      <c r="A22" s="3">
        <v>16</v>
      </c>
      <c r="B22" s="4" t="s">
        <v>179</v>
      </c>
      <c r="C22" s="4" t="s">
        <v>180</v>
      </c>
      <c r="D22" s="4" t="s">
        <v>181</v>
      </c>
      <c r="E22" s="5">
        <v>194334</v>
      </c>
      <c r="F22" s="6">
        <v>480.78231599999998</v>
      </c>
      <c r="G22" s="138">
        <v>1.6542689999999999E-2</v>
      </c>
      <c r="H22" s="142"/>
    </row>
    <row r="23" spans="1:8" ht="25.5" x14ac:dyDescent="0.2">
      <c r="A23" s="3">
        <v>17</v>
      </c>
      <c r="B23" s="4" t="s">
        <v>193</v>
      </c>
      <c r="C23" s="4" t="s">
        <v>194</v>
      </c>
      <c r="D23" s="4" t="s">
        <v>37</v>
      </c>
      <c r="E23" s="5">
        <v>378656</v>
      </c>
      <c r="F23" s="6">
        <v>465.55755199999999</v>
      </c>
      <c r="G23" s="138">
        <v>1.6018838000000001E-2</v>
      </c>
      <c r="H23" s="142"/>
    </row>
    <row r="24" spans="1:8" x14ac:dyDescent="0.2">
      <c r="A24" s="3">
        <v>18</v>
      </c>
      <c r="B24" s="4" t="s">
        <v>182</v>
      </c>
      <c r="C24" s="4" t="s">
        <v>183</v>
      </c>
      <c r="D24" s="4" t="s">
        <v>164</v>
      </c>
      <c r="E24" s="5">
        <v>8654</v>
      </c>
      <c r="F24" s="6">
        <v>462.50870300000003</v>
      </c>
      <c r="G24" s="138">
        <v>1.5913934000000001E-2</v>
      </c>
      <c r="H24" s="142"/>
    </row>
    <row r="25" spans="1:8" x14ac:dyDescent="0.2">
      <c r="A25" s="3">
        <v>19</v>
      </c>
      <c r="B25" s="4" t="s">
        <v>184</v>
      </c>
      <c r="C25" s="4" t="s">
        <v>185</v>
      </c>
      <c r="D25" s="4" t="s">
        <v>173</v>
      </c>
      <c r="E25" s="5">
        <v>32767</v>
      </c>
      <c r="F25" s="6">
        <v>457.70583950000002</v>
      </c>
      <c r="G25" s="138">
        <v>1.5748676999999999E-2</v>
      </c>
      <c r="H25" s="142"/>
    </row>
    <row r="26" spans="1:8" ht="25.5" x14ac:dyDescent="0.2">
      <c r="A26" s="3">
        <v>20</v>
      </c>
      <c r="B26" s="4" t="s">
        <v>191</v>
      </c>
      <c r="C26" s="4" t="s">
        <v>192</v>
      </c>
      <c r="D26" s="4" t="s">
        <v>1023</v>
      </c>
      <c r="E26" s="5">
        <v>174815</v>
      </c>
      <c r="F26" s="6">
        <v>448.92491999999999</v>
      </c>
      <c r="G26" s="138">
        <v>1.5446545000000001E-2</v>
      </c>
      <c r="H26" s="142"/>
    </row>
    <row r="27" spans="1:8" x14ac:dyDescent="0.2">
      <c r="A27" s="3">
        <v>21</v>
      </c>
      <c r="B27" s="4" t="s">
        <v>199</v>
      </c>
      <c r="C27" s="4" t="s">
        <v>200</v>
      </c>
      <c r="D27" s="4" t="s">
        <v>164</v>
      </c>
      <c r="E27" s="5">
        <v>42130</v>
      </c>
      <c r="F27" s="6">
        <v>447.73657500000002</v>
      </c>
      <c r="G27" s="138">
        <v>1.5405656E-2</v>
      </c>
      <c r="H27" s="142"/>
    </row>
    <row r="28" spans="1:8" x14ac:dyDescent="0.2">
      <c r="A28" s="3">
        <v>22</v>
      </c>
      <c r="B28" s="4" t="s">
        <v>205</v>
      </c>
      <c r="C28" s="4" t="s">
        <v>206</v>
      </c>
      <c r="D28" s="4" t="s">
        <v>207</v>
      </c>
      <c r="E28" s="5">
        <v>96348</v>
      </c>
      <c r="F28" s="6">
        <v>432.84339</v>
      </c>
      <c r="G28" s="138">
        <v>1.4893214E-2</v>
      </c>
      <c r="H28" s="142"/>
    </row>
    <row r="29" spans="1:8" x14ac:dyDescent="0.2">
      <c r="A29" s="3">
        <v>23</v>
      </c>
      <c r="B29" s="4" t="s">
        <v>201</v>
      </c>
      <c r="C29" s="4" t="s">
        <v>202</v>
      </c>
      <c r="D29" s="4" t="s">
        <v>80</v>
      </c>
      <c r="E29" s="5">
        <v>62701</v>
      </c>
      <c r="F29" s="6">
        <v>430.63046800000001</v>
      </c>
      <c r="G29" s="138">
        <v>1.4817072000000001E-2</v>
      </c>
      <c r="H29" s="142"/>
    </row>
    <row r="30" spans="1:8" x14ac:dyDescent="0.2">
      <c r="A30" s="3">
        <v>24</v>
      </c>
      <c r="B30" s="4" t="s">
        <v>203</v>
      </c>
      <c r="C30" s="4" t="s">
        <v>204</v>
      </c>
      <c r="D30" s="4" t="s">
        <v>80</v>
      </c>
      <c r="E30" s="5">
        <v>72934</v>
      </c>
      <c r="F30" s="6">
        <v>430.383534</v>
      </c>
      <c r="G30" s="138">
        <v>1.4808574999999999E-2</v>
      </c>
      <c r="H30" s="142"/>
    </row>
    <row r="31" spans="1:8" x14ac:dyDescent="0.2">
      <c r="A31" s="3">
        <v>25</v>
      </c>
      <c r="B31" s="4" t="s">
        <v>171</v>
      </c>
      <c r="C31" s="4" t="s">
        <v>172</v>
      </c>
      <c r="D31" s="4" t="s">
        <v>173</v>
      </c>
      <c r="E31" s="5">
        <v>45439</v>
      </c>
      <c r="F31" s="6">
        <v>428.69424550000002</v>
      </c>
      <c r="G31" s="138">
        <v>1.4750450999999999E-2</v>
      </c>
      <c r="H31" s="142"/>
    </row>
    <row r="32" spans="1:8" x14ac:dyDescent="0.2">
      <c r="A32" s="3">
        <v>26</v>
      </c>
      <c r="B32" s="4" t="s">
        <v>374</v>
      </c>
      <c r="C32" s="4" t="s">
        <v>375</v>
      </c>
      <c r="D32" s="4" t="s">
        <v>173</v>
      </c>
      <c r="E32" s="5">
        <v>12356</v>
      </c>
      <c r="F32" s="6">
        <v>422.76671800000003</v>
      </c>
      <c r="G32" s="138">
        <v>1.4546497E-2</v>
      </c>
      <c r="H32" s="142"/>
    </row>
    <row r="33" spans="1:8" x14ac:dyDescent="0.2">
      <c r="A33" s="3">
        <v>27</v>
      </c>
      <c r="B33" s="4" t="s">
        <v>212</v>
      </c>
      <c r="C33" s="4" t="s">
        <v>213</v>
      </c>
      <c r="D33" s="4" t="s">
        <v>1027</v>
      </c>
      <c r="E33" s="5">
        <v>46000</v>
      </c>
      <c r="F33" s="6">
        <v>421.452</v>
      </c>
      <c r="G33" s="138">
        <v>1.450126E-2</v>
      </c>
      <c r="H33" s="142"/>
    </row>
    <row r="34" spans="1:8" x14ac:dyDescent="0.2">
      <c r="A34" s="3">
        <v>28</v>
      </c>
      <c r="B34" s="4" t="s">
        <v>197</v>
      </c>
      <c r="C34" s="4" t="s">
        <v>198</v>
      </c>
      <c r="D34" s="4" t="s">
        <v>51</v>
      </c>
      <c r="E34" s="5">
        <v>39831</v>
      </c>
      <c r="F34" s="6">
        <v>408.52665150000001</v>
      </c>
      <c r="G34" s="138">
        <v>1.4056526999999999E-2</v>
      </c>
      <c r="H34" s="142"/>
    </row>
    <row r="35" spans="1:8" ht="25.5" x14ac:dyDescent="0.2">
      <c r="A35" s="3">
        <v>29</v>
      </c>
      <c r="B35" s="4" t="s">
        <v>217</v>
      </c>
      <c r="C35" s="4" t="s">
        <v>218</v>
      </c>
      <c r="D35" s="4" t="s">
        <v>90</v>
      </c>
      <c r="E35" s="5">
        <v>86680</v>
      </c>
      <c r="F35" s="6">
        <v>395.73754000000002</v>
      </c>
      <c r="G35" s="138">
        <v>1.3616481E-2</v>
      </c>
      <c r="H35" s="142"/>
    </row>
    <row r="36" spans="1:8" x14ac:dyDescent="0.2">
      <c r="A36" s="3">
        <v>30</v>
      </c>
      <c r="B36" s="4" t="s">
        <v>214</v>
      </c>
      <c r="C36" s="4" t="s">
        <v>215</v>
      </c>
      <c r="D36" s="4" t="s">
        <v>216</v>
      </c>
      <c r="E36" s="5">
        <v>140250</v>
      </c>
      <c r="F36" s="6">
        <v>381.97087499999998</v>
      </c>
      <c r="G36" s="138">
        <v>1.31428E-2</v>
      </c>
      <c r="H36" s="142"/>
    </row>
    <row r="37" spans="1:8" x14ac:dyDescent="0.2">
      <c r="A37" s="3">
        <v>31</v>
      </c>
      <c r="B37" s="4" t="s">
        <v>174</v>
      </c>
      <c r="C37" s="4" t="s">
        <v>175</v>
      </c>
      <c r="D37" s="4" t="s">
        <v>335</v>
      </c>
      <c r="E37" s="5">
        <v>38360</v>
      </c>
      <c r="F37" s="6">
        <v>379.45711999999997</v>
      </c>
      <c r="G37" s="138">
        <v>1.3056307E-2</v>
      </c>
      <c r="H37" s="142"/>
    </row>
    <row r="38" spans="1:8" x14ac:dyDescent="0.2">
      <c r="A38" s="3">
        <v>32</v>
      </c>
      <c r="B38" s="4" t="s">
        <v>208</v>
      </c>
      <c r="C38" s="4" t="s">
        <v>209</v>
      </c>
      <c r="D38" s="4" t="s">
        <v>153</v>
      </c>
      <c r="E38" s="5">
        <v>24941</v>
      </c>
      <c r="F38" s="6">
        <v>361.95626249999998</v>
      </c>
      <c r="G38" s="138">
        <v>1.2454140000000001E-2</v>
      </c>
      <c r="H38" s="142"/>
    </row>
    <row r="39" spans="1:8" x14ac:dyDescent="0.2">
      <c r="A39" s="3">
        <v>33</v>
      </c>
      <c r="B39" s="4" t="s">
        <v>221</v>
      </c>
      <c r="C39" s="4" t="s">
        <v>222</v>
      </c>
      <c r="D39" s="4" t="s">
        <v>207</v>
      </c>
      <c r="E39" s="5">
        <v>58282</v>
      </c>
      <c r="F39" s="6">
        <v>359.27938899999998</v>
      </c>
      <c r="G39" s="138">
        <v>1.2362033999999999E-2</v>
      </c>
      <c r="H39" s="142"/>
    </row>
    <row r="40" spans="1:8" x14ac:dyDescent="0.2">
      <c r="A40" s="3">
        <v>34</v>
      </c>
      <c r="B40" s="4" t="s">
        <v>460</v>
      </c>
      <c r="C40" s="4" t="s">
        <v>461</v>
      </c>
      <c r="D40" s="4" t="s">
        <v>27</v>
      </c>
      <c r="E40" s="5">
        <v>40294</v>
      </c>
      <c r="F40" s="6">
        <v>357.62939699999998</v>
      </c>
      <c r="G40" s="138">
        <v>1.2305261E-2</v>
      </c>
      <c r="H40" s="142"/>
    </row>
    <row r="41" spans="1:8" ht="25.5" x14ac:dyDescent="0.2">
      <c r="A41" s="3">
        <v>35</v>
      </c>
      <c r="B41" s="4" t="s">
        <v>458</v>
      </c>
      <c r="C41" s="4" t="s">
        <v>459</v>
      </c>
      <c r="D41" s="4" t="s">
        <v>37</v>
      </c>
      <c r="E41" s="5">
        <v>26488</v>
      </c>
      <c r="F41" s="6">
        <v>357.44231600000001</v>
      </c>
      <c r="G41" s="138">
        <v>1.2298824E-2</v>
      </c>
      <c r="H41" s="142"/>
    </row>
    <row r="42" spans="1:8" x14ac:dyDescent="0.2">
      <c r="A42" s="3">
        <v>36</v>
      </c>
      <c r="B42" s="4" t="s">
        <v>225</v>
      </c>
      <c r="C42" s="4" t="s">
        <v>226</v>
      </c>
      <c r="D42" s="4" t="s">
        <v>1028</v>
      </c>
      <c r="E42" s="5">
        <v>60137</v>
      </c>
      <c r="F42" s="6">
        <v>340.55583100000001</v>
      </c>
      <c r="G42" s="138">
        <v>1.1717797E-2</v>
      </c>
      <c r="H42" s="142"/>
    </row>
    <row r="43" spans="1:8" x14ac:dyDescent="0.2">
      <c r="A43" s="3">
        <v>37</v>
      </c>
      <c r="B43" s="4" t="s">
        <v>462</v>
      </c>
      <c r="C43" s="4" t="s">
        <v>463</v>
      </c>
      <c r="D43" s="4" t="s">
        <v>51</v>
      </c>
      <c r="E43" s="5">
        <v>37170</v>
      </c>
      <c r="F43" s="6">
        <v>338.33992499999999</v>
      </c>
      <c r="G43" s="138">
        <v>1.1641551999999999E-2</v>
      </c>
      <c r="H43" s="142"/>
    </row>
    <row r="44" spans="1:8" x14ac:dyDescent="0.2">
      <c r="A44" s="3">
        <v>38</v>
      </c>
      <c r="B44" s="4" t="s">
        <v>210</v>
      </c>
      <c r="C44" s="4" t="s">
        <v>211</v>
      </c>
      <c r="D44" s="4" t="s">
        <v>34</v>
      </c>
      <c r="E44" s="5">
        <v>81720</v>
      </c>
      <c r="F44" s="6">
        <v>330.31223999999997</v>
      </c>
      <c r="G44" s="138">
        <v>1.1365337E-2</v>
      </c>
      <c r="H44" s="142"/>
    </row>
    <row r="45" spans="1:8" x14ac:dyDescent="0.2">
      <c r="A45" s="3">
        <v>39</v>
      </c>
      <c r="B45" s="4" t="s">
        <v>223</v>
      </c>
      <c r="C45" s="4" t="s">
        <v>224</v>
      </c>
      <c r="D45" s="4" t="s">
        <v>66</v>
      </c>
      <c r="E45" s="5">
        <v>34149</v>
      </c>
      <c r="F45" s="6">
        <v>327.30109049999999</v>
      </c>
      <c r="G45" s="138">
        <v>1.1261729E-2</v>
      </c>
      <c r="H45" s="142"/>
    </row>
    <row r="46" spans="1:8" x14ac:dyDescent="0.2">
      <c r="A46" s="3">
        <v>40</v>
      </c>
      <c r="B46" s="4" t="s">
        <v>227</v>
      </c>
      <c r="C46" s="4" t="s">
        <v>228</v>
      </c>
      <c r="D46" s="4" t="s">
        <v>66</v>
      </c>
      <c r="E46" s="5">
        <v>332221</v>
      </c>
      <c r="F46" s="6">
        <v>327.0715745</v>
      </c>
      <c r="G46" s="138">
        <v>1.1253832E-2</v>
      </c>
      <c r="H46" s="142"/>
    </row>
    <row r="47" spans="1:8" x14ac:dyDescent="0.2">
      <c r="A47" s="3">
        <v>41</v>
      </c>
      <c r="B47" s="4" t="s">
        <v>235</v>
      </c>
      <c r="C47" s="4" t="s">
        <v>236</v>
      </c>
      <c r="D47" s="4" t="s">
        <v>27</v>
      </c>
      <c r="E47" s="5">
        <v>18641</v>
      </c>
      <c r="F47" s="6">
        <v>315.95562949999999</v>
      </c>
      <c r="G47" s="138">
        <v>1.0871356E-2</v>
      </c>
      <c r="H47" s="142"/>
    </row>
    <row r="48" spans="1:8" x14ac:dyDescent="0.2">
      <c r="A48" s="3">
        <v>42</v>
      </c>
      <c r="B48" s="4" t="s">
        <v>464</v>
      </c>
      <c r="C48" s="4" t="s">
        <v>465</v>
      </c>
      <c r="D48" s="4" t="s">
        <v>48</v>
      </c>
      <c r="E48" s="5">
        <v>75234</v>
      </c>
      <c r="F48" s="6">
        <v>315.75709799999998</v>
      </c>
      <c r="G48" s="138">
        <v>1.0864525E-2</v>
      </c>
      <c r="H48" s="142"/>
    </row>
    <row r="49" spans="1:8" x14ac:dyDescent="0.2">
      <c r="A49" s="3">
        <v>43</v>
      </c>
      <c r="B49" s="4" t="s">
        <v>188</v>
      </c>
      <c r="C49" s="4" t="s">
        <v>189</v>
      </c>
      <c r="D49" s="4" t="s">
        <v>190</v>
      </c>
      <c r="E49" s="5">
        <v>31437</v>
      </c>
      <c r="F49" s="6">
        <v>313.06536449999999</v>
      </c>
      <c r="G49" s="138">
        <v>1.0771909E-2</v>
      </c>
      <c r="H49" s="142"/>
    </row>
    <row r="50" spans="1:8" x14ac:dyDescent="0.2">
      <c r="A50" s="3">
        <v>44</v>
      </c>
      <c r="B50" s="4" t="s">
        <v>239</v>
      </c>
      <c r="C50" s="4" t="s">
        <v>240</v>
      </c>
      <c r="D50" s="4" t="s">
        <v>207</v>
      </c>
      <c r="E50" s="5">
        <v>16433</v>
      </c>
      <c r="F50" s="6">
        <v>306.79589349999998</v>
      </c>
      <c r="G50" s="138">
        <v>1.0556189000000001E-2</v>
      </c>
      <c r="H50" s="142"/>
    </row>
    <row r="51" spans="1:8" ht="25.5" x14ac:dyDescent="0.2">
      <c r="A51" s="3">
        <v>45</v>
      </c>
      <c r="B51" s="4" t="s">
        <v>178</v>
      </c>
      <c r="C51" s="4" t="s">
        <v>933</v>
      </c>
      <c r="D51" s="4" t="s">
        <v>37</v>
      </c>
      <c r="E51" s="5">
        <v>116365</v>
      </c>
      <c r="F51" s="6">
        <v>300.39624750000002</v>
      </c>
      <c r="G51" s="138">
        <v>1.0335990999999999E-2</v>
      </c>
      <c r="H51" s="142"/>
    </row>
    <row r="52" spans="1:8" x14ac:dyDescent="0.2">
      <c r="A52" s="3">
        <v>46</v>
      </c>
      <c r="B52" s="4" t="s">
        <v>246</v>
      </c>
      <c r="C52" s="4" t="s">
        <v>247</v>
      </c>
      <c r="D52" s="4" t="s">
        <v>80</v>
      </c>
      <c r="E52" s="5">
        <v>539678</v>
      </c>
      <c r="F52" s="6">
        <v>296.55306100000001</v>
      </c>
      <c r="G52" s="138">
        <v>1.0203756E-2</v>
      </c>
      <c r="H52" s="142"/>
    </row>
    <row r="53" spans="1:8" ht="25.5" x14ac:dyDescent="0.2">
      <c r="A53" s="3">
        <v>47</v>
      </c>
      <c r="B53" s="4" t="s">
        <v>244</v>
      </c>
      <c r="C53" s="4" t="s">
        <v>245</v>
      </c>
      <c r="D53" s="4" t="s">
        <v>1029</v>
      </c>
      <c r="E53" s="5">
        <v>265375</v>
      </c>
      <c r="F53" s="6">
        <v>296.29118749999998</v>
      </c>
      <c r="G53" s="138">
        <v>1.0194745E-2</v>
      </c>
      <c r="H53" s="142"/>
    </row>
    <row r="54" spans="1:8" x14ac:dyDescent="0.2">
      <c r="A54" s="3">
        <v>48</v>
      </c>
      <c r="B54" s="4" t="s">
        <v>296</v>
      </c>
      <c r="C54" s="4" t="s">
        <v>297</v>
      </c>
      <c r="D54" s="4" t="s">
        <v>27</v>
      </c>
      <c r="E54" s="5">
        <v>23876</v>
      </c>
      <c r="F54" s="6">
        <v>292.14673599999998</v>
      </c>
      <c r="G54" s="138">
        <v>1.0052142999999999E-2</v>
      </c>
      <c r="H54" s="142"/>
    </row>
    <row r="55" spans="1:8" x14ac:dyDescent="0.2">
      <c r="A55" s="3">
        <v>49</v>
      </c>
      <c r="B55" s="4" t="s">
        <v>241</v>
      </c>
      <c r="C55" s="4" t="s">
        <v>242</v>
      </c>
      <c r="D55" s="4" t="s">
        <v>243</v>
      </c>
      <c r="E55" s="5">
        <v>58883</v>
      </c>
      <c r="F55" s="6">
        <v>291.588616</v>
      </c>
      <c r="G55" s="138">
        <v>1.0032940000000001E-2</v>
      </c>
      <c r="H55" s="142"/>
    </row>
    <row r="56" spans="1:8" x14ac:dyDescent="0.2">
      <c r="A56" s="3">
        <v>50</v>
      </c>
      <c r="B56" s="4" t="s">
        <v>42</v>
      </c>
      <c r="C56" s="4" t="s">
        <v>43</v>
      </c>
      <c r="D56" s="4" t="s">
        <v>27</v>
      </c>
      <c r="E56" s="5">
        <v>13232</v>
      </c>
      <c r="F56" s="6">
        <v>290.63426399999997</v>
      </c>
      <c r="G56" s="138">
        <v>1.0000102E-2</v>
      </c>
      <c r="H56" s="142"/>
    </row>
    <row r="57" spans="1:8" x14ac:dyDescent="0.2">
      <c r="A57" s="3">
        <v>51</v>
      </c>
      <c r="B57" s="4" t="s">
        <v>195</v>
      </c>
      <c r="C57" s="4" t="s">
        <v>196</v>
      </c>
      <c r="D57" s="4" t="s">
        <v>24</v>
      </c>
      <c r="E57" s="5">
        <v>152209</v>
      </c>
      <c r="F57" s="6">
        <v>290.566981</v>
      </c>
      <c r="G57" s="138">
        <v>9.9977869999999993E-3</v>
      </c>
      <c r="H57" s="142"/>
    </row>
    <row r="58" spans="1:8" ht="25.5" x14ac:dyDescent="0.2">
      <c r="A58" s="3">
        <v>52</v>
      </c>
      <c r="B58" s="4" t="s">
        <v>252</v>
      </c>
      <c r="C58" s="4" t="s">
        <v>253</v>
      </c>
      <c r="D58" s="4" t="s">
        <v>90</v>
      </c>
      <c r="E58" s="5">
        <v>65469</v>
      </c>
      <c r="F58" s="6">
        <v>275.42808300000002</v>
      </c>
      <c r="G58" s="138">
        <v>9.47689E-3</v>
      </c>
      <c r="H58" s="142"/>
    </row>
    <row r="59" spans="1:8" x14ac:dyDescent="0.2">
      <c r="A59" s="3">
        <v>53</v>
      </c>
      <c r="B59" s="4" t="s">
        <v>466</v>
      </c>
      <c r="C59" s="4" t="s">
        <v>467</v>
      </c>
      <c r="D59" s="4" t="s">
        <v>216</v>
      </c>
      <c r="E59" s="5">
        <v>42191</v>
      </c>
      <c r="F59" s="6">
        <v>275.33846599999998</v>
      </c>
      <c r="G59" s="138">
        <v>9.4738070000000008E-3</v>
      </c>
      <c r="H59" s="142"/>
    </row>
    <row r="60" spans="1:8" ht="25.5" x14ac:dyDescent="0.2">
      <c r="A60" s="3">
        <v>54</v>
      </c>
      <c r="B60" s="4" t="s">
        <v>255</v>
      </c>
      <c r="C60" s="4" t="s">
        <v>256</v>
      </c>
      <c r="D60" s="4" t="s">
        <v>90</v>
      </c>
      <c r="E60" s="5">
        <v>68454</v>
      </c>
      <c r="F60" s="6">
        <v>263.23985699999997</v>
      </c>
      <c r="G60" s="138">
        <v>9.0575199999999995E-3</v>
      </c>
      <c r="H60" s="142"/>
    </row>
    <row r="61" spans="1:8" x14ac:dyDescent="0.2">
      <c r="A61" s="3">
        <v>55</v>
      </c>
      <c r="B61" s="4" t="s">
        <v>257</v>
      </c>
      <c r="C61" s="4" t="s">
        <v>258</v>
      </c>
      <c r="D61" s="4" t="s">
        <v>173</v>
      </c>
      <c r="E61" s="5">
        <v>73821</v>
      </c>
      <c r="F61" s="6">
        <v>258.37349999999998</v>
      </c>
      <c r="G61" s="138">
        <v>8.8900790000000004E-3</v>
      </c>
      <c r="H61" s="142"/>
    </row>
    <row r="62" spans="1:8" x14ac:dyDescent="0.2">
      <c r="A62" s="3">
        <v>56</v>
      </c>
      <c r="B62" s="4" t="s">
        <v>261</v>
      </c>
      <c r="C62" s="4" t="s">
        <v>262</v>
      </c>
      <c r="D62" s="4" t="s">
        <v>51</v>
      </c>
      <c r="E62" s="5">
        <v>111421</v>
      </c>
      <c r="F62" s="6">
        <v>247.577462</v>
      </c>
      <c r="G62" s="138">
        <v>8.5186099999999994E-3</v>
      </c>
      <c r="H62" s="142"/>
    </row>
    <row r="63" spans="1:8" x14ac:dyDescent="0.2">
      <c r="A63" s="3">
        <v>57</v>
      </c>
      <c r="B63" s="4" t="s">
        <v>267</v>
      </c>
      <c r="C63" s="4" t="s">
        <v>268</v>
      </c>
      <c r="D63" s="4" t="s">
        <v>1024</v>
      </c>
      <c r="E63" s="5">
        <v>13859</v>
      </c>
      <c r="F63" s="6">
        <v>229.87230349999999</v>
      </c>
      <c r="G63" s="138">
        <v>7.909414E-3</v>
      </c>
      <c r="H63" s="142"/>
    </row>
    <row r="64" spans="1:8" x14ac:dyDescent="0.2">
      <c r="A64" s="3">
        <v>58</v>
      </c>
      <c r="B64" s="4" t="s">
        <v>265</v>
      </c>
      <c r="C64" s="4" t="s">
        <v>266</v>
      </c>
      <c r="D64" s="4" t="s">
        <v>59</v>
      </c>
      <c r="E64" s="5">
        <v>22179</v>
      </c>
      <c r="F64" s="6">
        <v>229.38630749999999</v>
      </c>
      <c r="G64" s="138">
        <v>7.8926910000000003E-3</v>
      </c>
      <c r="H64" s="142"/>
    </row>
    <row r="65" spans="1:8" ht="25.5" x14ac:dyDescent="0.2">
      <c r="A65" s="3">
        <v>59</v>
      </c>
      <c r="B65" s="4" t="s">
        <v>231</v>
      </c>
      <c r="C65" s="4" t="s">
        <v>232</v>
      </c>
      <c r="D65" s="4" t="s">
        <v>51</v>
      </c>
      <c r="E65" s="5">
        <v>9707</v>
      </c>
      <c r="F65" s="6">
        <v>208.1035195</v>
      </c>
      <c r="G65" s="138">
        <v>7.1603960000000003E-3</v>
      </c>
      <c r="H65" s="142"/>
    </row>
    <row r="66" spans="1:8" x14ac:dyDescent="0.2">
      <c r="A66" s="3">
        <v>60</v>
      </c>
      <c r="B66" s="4" t="s">
        <v>250</v>
      </c>
      <c r="C66" s="4" t="s">
        <v>251</v>
      </c>
      <c r="D66" s="4" t="s">
        <v>164</v>
      </c>
      <c r="E66" s="5">
        <v>14757</v>
      </c>
      <c r="F66" s="6">
        <v>203.63922149999999</v>
      </c>
      <c r="G66" s="138">
        <v>7.0067890000000002E-3</v>
      </c>
      <c r="H66" s="142"/>
    </row>
    <row r="67" spans="1:8" x14ac:dyDescent="0.2">
      <c r="A67" s="3">
        <v>61</v>
      </c>
      <c r="B67" s="4" t="s">
        <v>229</v>
      </c>
      <c r="C67" s="4" t="s">
        <v>230</v>
      </c>
      <c r="D67" s="4" t="s">
        <v>51</v>
      </c>
      <c r="E67" s="5">
        <v>23426</v>
      </c>
      <c r="F67" s="6">
        <v>203.57194000000001</v>
      </c>
      <c r="G67" s="138">
        <v>7.0044740000000001E-3</v>
      </c>
      <c r="H67" s="142"/>
    </row>
    <row r="68" spans="1:8" x14ac:dyDescent="0.2">
      <c r="A68" s="3">
        <v>62</v>
      </c>
      <c r="B68" s="4" t="s">
        <v>273</v>
      </c>
      <c r="C68" s="4" t="s">
        <v>274</v>
      </c>
      <c r="D68" s="4" t="s">
        <v>173</v>
      </c>
      <c r="E68" s="5">
        <v>33763</v>
      </c>
      <c r="F68" s="6">
        <v>202.307896</v>
      </c>
      <c r="G68" s="138">
        <v>6.9609809999999998E-3</v>
      </c>
      <c r="H68" s="142"/>
    </row>
    <row r="69" spans="1:8" x14ac:dyDescent="0.2">
      <c r="A69" s="3">
        <v>63</v>
      </c>
      <c r="B69" s="4" t="s">
        <v>280</v>
      </c>
      <c r="C69" s="4" t="s">
        <v>281</v>
      </c>
      <c r="D69" s="4" t="s">
        <v>24</v>
      </c>
      <c r="E69" s="5">
        <v>216684</v>
      </c>
      <c r="F69" s="6">
        <v>197.18244000000001</v>
      </c>
      <c r="G69" s="138">
        <v>6.7846249999999999E-3</v>
      </c>
      <c r="H69" s="142"/>
    </row>
    <row r="70" spans="1:8" x14ac:dyDescent="0.2">
      <c r="A70" s="3">
        <v>64</v>
      </c>
      <c r="B70" s="4" t="s">
        <v>269</v>
      </c>
      <c r="C70" s="4" t="s">
        <v>270</v>
      </c>
      <c r="D70" s="4" t="s">
        <v>1028</v>
      </c>
      <c r="E70" s="5">
        <v>169620</v>
      </c>
      <c r="F70" s="6">
        <v>196.41996</v>
      </c>
      <c r="G70" s="138">
        <v>6.7583900000000004E-3</v>
      </c>
      <c r="H70" s="142"/>
    </row>
    <row r="71" spans="1:8" x14ac:dyDescent="0.2">
      <c r="A71" s="3">
        <v>65</v>
      </c>
      <c r="B71" s="4" t="s">
        <v>468</v>
      </c>
      <c r="C71" s="4" t="s">
        <v>469</v>
      </c>
      <c r="D71" s="4" t="s">
        <v>1024</v>
      </c>
      <c r="E71" s="5">
        <v>199749</v>
      </c>
      <c r="F71" s="6">
        <v>194.95502400000001</v>
      </c>
      <c r="G71" s="138">
        <v>6.7079849999999996E-3</v>
      </c>
      <c r="H71" s="142"/>
    </row>
    <row r="72" spans="1:8" x14ac:dyDescent="0.2">
      <c r="A72" s="3">
        <v>66</v>
      </c>
      <c r="B72" s="4" t="s">
        <v>286</v>
      </c>
      <c r="C72" s="4" t="s">
        <v>287</v>
      </c>
      <c r="D72" s="4" t="s">
        <v>207</v>
      </c>
      <c r="E72" s="5">
        <v>53264</v>
      </c>
      <c r="F72" s="6">
        <v>192.30967200000001</v>
      </c>
      <c r="G72" s="138">
        <v>6.6169640000000004E-3</v>
      </c>
      <c r="H72" s="142"/>
    </row>
    <row r="73" spans="1:8" x14ac:dyDescent="0.2">
      <c r="A73" s="3">
        <v>67</v>
      </c>
      <c r="B73" s="4" t="s">
        <v>470</v>
      </c>
      <c r="C73" s="4" t="s">
        <v>471</v>
      </c>
      <c r="D73" s="4" t="s">
        <v>80</v>
      </c>
      <c r="E73" s="5">
        <v>30109</v>
      </c>
      <c r="F73" s="6">
        <v>191.62873049999999</v>
      </c>
      <c r="G73" s="138">
        <v>6.5935339999999999E-3</v>
      </c>
      <c r="H73" s="142"/>
    </row>
    <row r="74" spans="1:8" x14ac:dyDescent="0.2">
      <c r="A74" s="3">
        <v>68</v>
      </c>
      <c r="B74" s="4" t="s">
        <v>275</v>
      </c>
      <c r="C74" s="4" t="s">
        <v>276</v>
      </c>
      <c r="D74" s="4" t="s">
        <v>335</v>
      </c>
      <c r="E74" s="5">
        <v>15493</v>
      </c>
      <c r="F74" s="6">
        <v>191.508973</v>
      </c>
      <c r="G74" s="138">
        <v>6.5894129999999997E-3</v>
      </c>
      <c r="H74" s="142"/>
    </row>
    <row r="75" spans="1:8" x14ac:dyDescent="0.2">
      <c r="A75" s="3">
        <v>69</v>
      </c>
      <c r="B75" s="4" t="s">
        <v>277</v>
      </c>
      <c r="C75" s="4" t="s">
        <v>278</v>
      </c>
      <c r="D75" s="4" t="s">
        <v>279</v>
      </c>
      <c r="E75" s="5">
        <v>81931</v>
      </c>
      <c r="F75" s="6">
        <v>189.91605799999999</v>
      </c>
      <c r="G75" s="138">
        <v>6.5346049999999998E-3</v>
      </c>
      <c r="H75" s="142"/>
    </row>
    <row r="76" spans="1:8" x14ac:dyDescent="0.2">
      <c r="A76" s="3">
        <v>70</v>
      </c>
      <c r="B76" s="4" t="s">
        <v>282</v>
      </c>
      <c r="C76" s="4" t="s">
        <v>283</v>
      </c>
      <c r="D76" s="4" t="s">
        <v>207</v>
      </c>
      <c r="E76" s="5">
        <v>3290</v>
      </c>
      <c r="F76" s="6">
        <v>177.77843999999999</v>
      </c>
      <c r="G76" s="138">
        <v>6.1169750000000002E-3</v>
      </c>
      <c r="H76" s="142"/>
    </row>
    <row r="77" spans="1:8" ht="25.5" x14ac:dyDescent="0.2">
      <c r="A77" s="3">
        <v>71</v>
      </c>
      <c r="B77" s="4" t="s">
        <v>237</v>
      </c>
      <c r="C77" s="4" t="s">
        <v>238</v>
      </c>
      <c r="D77" s="4" t="s">
        <v>1023</v>
      </c>
      <c r="E77" s="5">
        <v>81583</v>
      </c>
      <c r="F77" s="6">
        <v>163.41074900000001</v>
      </c>
      <c r="G77" s="138">
        <v>5.6226139999999997E-3</v>
      </c>
      <c r="H77" s="142"/>
    </row>
    <row r="78" spans="1:8" x14ac:dyDescent="0.2">
      <c r="A78" s="3">
        <v>72</v>
      </c>
      <c r="B78" s="4" t="s">
        <v>304</v>
      </c>
      <c r="C78" s="4" t="s">
        <v>305</v>
      </c>
      <c r="D78" s="4" t="s">
        <v>1028</v>
      </c>
      <c r="E78" s="5">
        <v>402399</v>
      </c>
      <c r="F78" s="6">
        <v>154.92361500000001</v>
      </c>
      <c r="G78" s="138">
        <v>5.3305899999999996E-3</v>
      </c>
      <c r="H78" s="142"/>
    </row>
    <row r="79" spans="1:8" x14ac:dyDescent="0.2">
      <c r="A79" s="3">
        <v>73</v>
      </c>
      <c r="B79" s="4" t="s">
        <v>284</v>
      </c>
      <c r="C79" s="4" t="s">
        <v>285</v>
      </c>
      <c r="D79" s="4" t="s">
        <v>164</v>
      </c>
      <c r="E79" s="5">
        <v>31018</v>
      </c>
      <c r="F79" s="6">
        <v>148.90190899999999</v>
      </c>
      <c r="G79" s="138">
        <v>5.1233959999999997E-3</v>
      </c>
      <c r="H79" s="142"/>
    </row>
    <row r="80" spans="1:8" x14ac:dyDescent="0.2">
      <c r="A80" s="3">
        <v>74</v>
      </c>
      <c r="B80" s="4" t="s">
        <v>288</v>
      </c>
      <c r="C80" s="4" t="s">
        <v>289</v>
      </c>
      <c r="D80" s="4" t="s">
        <v>153</v>
      </c>
      <c r="E80" s="5">
        <v>9638</v>
      </c>
      <c r="F80" s="6">
        <v>134.541661</v>
      </c>
      <c r="G80" s="138">
        <v>4.6292900000000003E-3</v>
      </c>
      <c r="H80" s="142"/>
    </row>
    <row r="81" spans="1:8" x14ac:dyDescent="0.2">
      <c r="A81" s="3">
        <v>75</v>
      </c>
      <c r="B81" s="4" t="s">
        <v>290</v>
      </c>
      <c r="C81" s="4" t="s">
        <v>291</v>
      </c>
      <c r="D81" s="4" t="s">
        <v>153</v>
      </c>
      <c r="E81" s="5">
        <v>5823</v>
      </c>
      <c r="F81" s="6">
        <v>35.662963499999996</v>
      </c>
      <c r="G81" s="138">
        <v>1.2270860000000001E-3</v>
      </c>
      <c r="H81" s="142"/>
    </row>
    <row r="82" spans="1:8" x14ac:dyDescent="0.2">
      <c r="A82" s="3">
        <v>76</v>
      </c>
      <c r="B82" s="4" t="s">
        <v>292</v>
      </c>
      <c r="C82" s="4" t="s">
        <v>293</v>
      </c>
      <c r="D82" s="4" t="s">
        <v>24</v>
      </c>
      <c r="E82" s="5">
        <v>53792</v>
      </c>
      <c r="F82" s="6">
        <v>33.458624</v>
      </c>
      <c r="G82" s="138">
        <v>1.15124E-3</v>
      </c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9">
        <v>28045.060053000001</v>
      </c>
      <c r="G83" s="139">
        <v>0.96497043500000002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107</v>
      </c>
      <c r="D85" s="1"/>
      <c r="E85" s="1"/>
      <c r="F85" s="1"/>
      <c r="G85" s="137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108</v>
      </c>
      <c r="D88" s="1"/>
      <c r="E88" s="1"/>
      <c r="F88" s="1"/>
      <c r="G88" s="137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109</v>
      </c>
      <c r="D91" s="1"/>
      <c r="E91" s="1"/>
      <c r="F91" s="1"/>
      <c r="G91" s="137"/>
      <c r="H91" s="14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1">
        <v>0</v>
      </c>
      <c r="H92" s="142"/>
    </row>
    <row r="93" spans="1:8" x14ac:dyDescent="0.2">
      <c r="A93" s="1"/>
      <c r="B93" s="1"/>
      <c r="C93" s="11"/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111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112</v>
      </c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113</v>
      </c>
      <c r="D100" s="1"/>
      <c r="E100" s="1"/>
      <c r="F100" s="9">
        <v>28045.060053000001</v>
      </c>
      <c r="G100" s="139">
        <v>0.96497043500000002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114</v>
      </c>
      <c r="D102" s="1"/>
      <c r="E102" s="1"/>
      <c r="F102" s="12"/>
      <c r="G102" s="140"/>
      <c r="H102" s="142"/>
    </row>
    <row r="103" spans="1:8" ht="25.5" x14ac:dyDescent="0.2">
      <c r="A103" s="1"/>
      <c r="B103" s="1"/>
      <c r="C103" s="2" t="s">
        <v>10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115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116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117</v>
      </c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118</v>
      </c>
      <c r="D115" s="1"/>
      <c r="E115" s="1"/>
      <c r="F115" s="9">
        <v>0</v>
      </c>
      <c r="G115" s="139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119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120</v>
      </c>
      <c r="D118" s="1"/>
      <c r="E118" s="1"/>
      <c r="F118" s="12"/>
      <c r="G118" s="140"/>
      <c r="H118" s="142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1">
        <v>0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121</v>
      </c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1">
        <v>0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122</v>
      </c>
      <c r="D124" s="1"/>
      <c r="E124" s="1"/>
      <c r="F124" s="12"/>
      <c r="G124" s="140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123</v>
      </c>
      <c r="D127" s="1"/>
      <c r="E127" s="1"/>
      <c r="F127" s="12"/>
      <c r="G127" s="140"/>
      <c r="H127" s="142"/>
    </row>
    <row r="128" spans="1:8" x14ac:dyDescent="0.2">
      <c r="A128" s="3">
        <v>1</v>
      </c>
      <c r="B128" s="4"/>
      <c r="C128" s="4" t="s">
        <v>124</v>
      </c>
      <c r="D128" s="4"/>
      <c r="E128" s="8"/>
      <c r="F128" s="6">
        <v>941.03101089999996</v>
      </c>
      <c r="G128" s="138">
        <v>3.2378861000000002E-2</v>
      </c>
      <c r="H128" s="152">
        <v>3.3197683930276081</v>
      </c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9">
        <v>941.03101089999996</v>
      </c>
      <c r="G129" s="139">
        <v>3.2378861000000002E-2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2" t="s">
        <v>125</v>
      </c>
      <c r="D131" s="1"/>
      <c r="E131" s="1"/>
      <c r="F131" s="9">
        <v>941.03101089999996</v>
      </c>
      <c r="G131" s="139">
        <v>3.2378861000000002E-2</v>
      </c>
      <c r="H131" s="142"/>
    </row>
    <row r="132" spans="1:8" x14ac:dyDescent="0.2">
      <c r="A132" s="1"/>
      <c r="B132" s="1"/>
      <c r="C132" s="12"/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126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127</v>
      </c>
      <c r="D134" s="1"/>
      <c r="E134" s="1"/>
      <c r="F134" s="1"/>
      <c r="G134" s="137"/>
      <c r="H134" s="142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1">
        <v>0</v>
      </c>
      <c r="H135" s="142"/>
    </row>
    <row r="136" spans="1:8" x14ac:dyDescent="0.2">
      <c r="A136" s="1"/>
      <c r="B136" s="1"/>
      <c r="C136" s="11"/>
      <c r="D136" s="1"/>
      <c r="E136" s="1"/>
      <c r="F136" s="12"/>
      <c r="G136" s="140"/>
      <c r="H136" s="142"/>
    </row>
    <row r="137" spans="1:8" x14ac:dyDescent="0.2">
      <c r="A137" s="1"/>
      <c r="B137" s="1"/>
      <c r="C137" s="2" t="s">
        <v>128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129</v>
      </c>
      <c r="D138" s="1"/>
      <c r="E138" s="1"/>
      <c r="F138" s="1"/>
      <c r="G138" s="137"/>
      <c r="H138" s="142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1">
        <v>0</v>
      </c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x14ac:dyDescent="0.2">
      <c r="A141" s="1"/>
      <c r="B141" s="1"/>
      <c r="C141" s="11"/>
      <c r="D141" s="1"/>
      <c r="E141" s="1"/>
      <c r="F141" s="12"/>
      <c r="G141" s="140"/>
      <c r="H141" s="142"/>
    </row>
    <row r="142" spans="1:8" ht="25.5" x14ac:dyDescent="0.2">
      <c r="A142" s="1"/>
      <c r="B142" s="1"/>
      <c r="C142" s="2" t="s">
        <v>130</v>
      </c>
      <c r="D142" s="1"/>
      <c r="E142" s="1"/>
      <c r="F142" s="12"/>
      <c r="G142" s="140"/>
      <c r="H142" s="142"/>
    </row>
    <row r="143" spans="1:8" x14ac:dyDescent="0.2">
      <c r="A143" s="1"/>
      <c r="B143" s="1"/>
      <c r="C143" s="2" t="s">
        <v>105</v>
      </c>
      <c r="D143" s="1"/>
      <c r="E143" s="1" t="s">
        <v>106</v>
      </c>
      <c r="F143" s="13">
        <v>0</v>
      </c>
      <c r="G143" s="141">
        <v>0</v>
      </c>
      <c r="H143" s="142"/>
    </row>
    <row r="144" spans="1:8" x14ac:dyDescent="0.2">
      <c r="A144" s="1"/>
      <c r="B144" s="1"/>
      <c r="C144" s="11"/>
      <c r="D144" s="1"/>
      <c r="E144" s="1"/>
      <c r="F144" s="12"/>
      <c r="G144" s="140"/>
      <c r="H144" s="142"/>
    </row>
    <row r="145" spans="1:8" x14ac:dyDescent="0.2">
      <c r="A145" s="1"/>
      <c r="B145" s="4"/>
      <c r="C145" s="4"/>
      <c r="D145" s="2"/>
      <c r="E145" s="1"/>
      <c r="F145" s="4"/>
      <c r="G145" s="143"/>
      <c r="H145" s="142"/>
    </row>
    <row r="146" spans="1:8" x14ac:dyDescent="0.2">
      <c r="A146" s="8"/>
      <c r="B146" s="4"/>
      <c r="C146" s="4" t="s">
        <v>131</v>
      </c>
      <c r="D146" s="4"/>
      <c r="E146" s="8"/>
      <c r="F146" s="6">
        <v>77.037755099999998</v>
      </c>
      <c r="G146" s="138">
        <v>2.6507039999999998E-3</v>
      </c>
      <c r="H146" s="142"/>
    </row>
    <row r="147" spans="1:8" x14ac:dyDescent="0.2">
      <c r="A147" s="11"/>
      <c r="B147" s="11"/>
      <c r="C147" s="2" t="s">
        <v>132</v>
      </c>
      <c r="D147" s="15"/>
      <c r="E147" s="15"/>
      <c r="F147" s="9">
        <v>29063.128819000001</v>
      </c>
      <c r="G147" s="139">
        <v>1</v>
      </c>
      <c r="H147" s="142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205" t="s">
        <v>106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205" t="s">
        <v>106</v>
      </c>
      <c r="C150" s="205"/>
      <c r="D150" s="205"/>
      <c r="E150" s="205"/>
      <c r="F150" s="205"/>
      <c r="G150" s="20"/>
    </row>
    <row r="151" spans="1:8" ht="14.1" customHeight="1" x14ac:dyDescent="0.2">
      <c r="A151" s="18"/>
      <c r="B151" s="18"/>
      <c r="C151" s="18"/>
      <c r="D151" s="20"/>
      <c r="E151" s="20"/>
      <c r="F151" s="20"/>
      <c r="G151" s="20"/>
    </row>
    <row r="152" spans="1:8" ht="14.1" customHeight="1" x14ac:dyDescent="0.2">
      <c r="A152" s="18"/>
      <c r="B152" s="203" t="s">
        <v>134</v>
      </c>
      <c r="C152" s="204"/>
      <c r="D152" s="12" t="s">
        <v>106</v>
      </c>
      <c r="E152" s="21"/>
      <c r="F152" s="20"/>
      <c r="G152" s="20"/>
    </row>
    <row r="153" spans="1:8" ht="29.1" customHeight="1" x14ac:dyDescent="0.2">
      <c r="A153" s="18"/>
      <c r="B153" s="199" t="s">
        <v>135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137</v>
      </c>
      <c r="C154" s="200"/>
      <c r="D154" s="2" t="s">
        <v>136</v>
      </c>
      <c r="E154" s="21"/>
      <c r="F154" s="20"/>
      <c r="G154" s="20"/>
    </row>
    <row r="155" spans="1:8" ht="17.100000000000001" customHeight="1" x14ac:dyDescent="0.2">
      <c r="A155" s="18"/>
      <c r="B155" s="199" t="s">
        <v>138</v>
      </c>
      <c r="C155" s="200"/>
      <c r="D155" s="12" t="s">
        <v>106</v>
      </c>
      <c r="E155" s="21"/>
      <c r="F155" s="20"/>
      <c r="G155" s="20"/>
    </row>
    <row r="156" spans="1:8" ht="24" customHeight="1" x14ac:dyDescent="0.2">
      <c r="A156" s="22"/>
      <c r="B156" s="23" t="s">
        <v>106</v>
      </c>
      <c r="C156" s="23" t="s">
        <v>139</v>
      </c>
      <c r="D156" s="23" t="s">
        <v>140</v>
      </c>
      <c r="E156" s="22"/>
      <c r="F156" s="22"/>
      <c r="G156" s="22"/>
    </row>
    <row r="157" spans="1:8" ht="18" customHeight="1" x14ac:dyDescent="0.2">
      <c r="A157" s="22"/>
      <c r="B157" s="23" t="s">
        <v>141</v>
      </c>
      <c r="C157" s="23" t="s">
        <v>142</v>
      </c>
      <c r="D157" s="23" t="s">
        <v>143</v>
      </c>
      <c r="E157" s="22"/>
      <c r="F157" s="22"/>
      <c r="G157" s="22"/>
    </row>
    <row r="158" spans="1:8" x14ac:dyDescent="0.2">
      <c r="A158" s="22"/>
      <c r="B158" s="4" t="s">
        <v>144</v>
      </c>
      <c r="C158" s="24">
        <v>14.681800000000001</v>
      </c>
      <c r="D158" s="24">
        <v>15.362500000000001</v>
      </c>
      <c r="E158" s="22"/>
      <c r="F158" s="19"/>
      <c r="G158" s="25"/>
    </row>
    <row r="159" spans="1:8" x14ac:dyDescent="0.2">
      <c r="A159" s="22"/>
      <c r="B159" s="4" t="s">
        <v>1019</v>
      </c>
      <c r="C159" s="24">
        <v>14.681800000000001</v>
      </c>
      <c r="D159" s="24">
        <v>15.362500000000001</v>
      </c>
      <c r="E159" s="22"/>
      <c r="F159" s="19"/>
      <c r="G159" s="25"/>
    </row>
    <row r="160" spans="1:8" x14ac:dyDescent="0.2">
      <c r="A160" s="22"/>
      <c r="B160" s="4" t="s">
        <v>145</v>
      </c>
      <c r="C160" s="24">
        <v>14.1836</v>
      </c>
      <c r="D160" s="24">
        <v>14.831799999999999</v>
      </c>
      <c r="E160" s="22"/>
      <c r="F160" s="19"/>
      <c r="G160" s="25"/>
    </row>
    <row r="161" spans="1:7" x14ac:dyDescent="0.2">
      <c r="A161" s="22"/>
      <c r="B161" s="4" t="s">
        <v>1020</v>
      </c>
      <c r="C161" s="24">
        <v>14.1836</v>
      </c>
      <c r="D161" s="24">
        <v>14.831799999999999</v>
      </c>
      <c r="E161" s="22"/>
      <c r="F161" s="19"/>
      <c r="G161" s="25"/>
    </row>
    <row r="162" spans="1:7" ht="14.1" customHeight="1" x14ac:dyDescent="0.2">
      <c r="A162" s="22"/>
      <c r="B162" s="22"/>
      <c r="C162" s="22"/>
      <c r="D162" s="22"/>
      <c r="E162" s="22"/>
      <c r="F162" s="22"/>
      <c r="G162" s="22"/>
    </row>
    <row r="163" spans="1:7" ht="17.100000000000001" customHeight="1" x14ac:dyDescent="0.2">
      <c r="A163" s="22"/>
      <c r="B163" s="199" t="s">
        <v>1021</v>
      </c>
      <c r="C163" s="200"/>
      <c r="D163" s="2" t="s">
        <v>136</v>
      </c>
      <c r="E163" s="22"/>
      <c r="F163" s="22"/>
      <c r="G163" s="22"/>
    </row>
    <row r="164" spans="1:7" ht="18" customHeight="1" x14ac:dyDescent="0.2">
      <c r="A164" s="22"/>
      <c r="B164" s="26"/>
      <c r="C164" s="26"/>
      <c r="D164" s="27"/>
      <c r="E164" s="22"/>
      <c r="F164" s="22"/>
      <c r="G164" s="22"/>
    </row>
    <row r="165" spans="1:7" s="125" customFormat="1" x14ac:dyDescent="0.2">
      <c r="B165" s="201" t="s">
        <v>825</v>
      </c>
      <c r="C165" s="201"/>
      <c r="D165" s="201"/>
      <c r="E165" s="201"/>
      <c r="F165" s="201"/>
    </row>
    <row r="166" spans="1:7" ht="14.1" customHeight="1" x14ac:dyDescent="0.2">
      <c r="A166" s="22"/>
      <c r="B166" s="19"/>
      <c r="C166" s="19"/>
      <c r="D166" s="22"/>
      <c r="E166" s="22"/>
      <c r="F166" s="22"/>
      <c r="G166" s="22"/>
    </row>
    <row r="167" spans="1:7" ht="29.1" customHeight="1" x14ac:dyDescent="0.2">
      <c r="A167" s="22"/>
      <c r="B167" s="199" t="s">
        <v>146</v>
      </c>
      <c r="C167" s="200"/>
      <c r="D167" s="2" t="s">
        <v>136</v>
      </c>
      <c r="E167" s="22"/>
      <c r="F167" s="22"/>
      <c r="G167" s="22"/>
    </row>
    <row r="168" spans="1:7" ht="29.1" customHeight="1" x14ac:dyDescent="0.2">
      <c r="A168" s="22"/>
      <c r="B168" s="199" t="s">
        <v>147</v>
      </c>
      <c r="C168" s="200"/>
      <c r="D168" s="2" t="s">
        <v>136</v>
      </c>
      <c r="E168" s="22"/>
      <c r="F168" s="22"/>
      <c r="G168" s="22"/>
    </row>
    <row r="169" spans="1:7" ht="17.100000000000001" customHeight="1" x14ac:dyDescent="0.2">
      <c r="A169" s="22"/>
      <c r="B169" s="199" t="s">
        <v>148</v>
      </c>
      <c r="C169" s="200"/>
      <c r="D169" s="28">
        <v>0.40215109356507528</v>
      </c>
      <c r="E169" s="22"/>
      <c r="F169" s="19"/>
      <c r="G169" s="25"/>
    </row>
    <row r="170" spans="1:7" ht="17.100000000000001" customHeight="1" x14ac:dyDescent="0.2">
      <c r="A170" s="22"/>
      <c r="B170" s="199" t="s">
        <v>149</v>
      </c>
      <c r="C170" s="200"/>
      <c r="D170" s="2" t="s">
        <v>136</v>
      </c>
      <c r="E170" s="22"/>
      <c r="F170" s="22"/>
      <c r="G170" s="22"/>
    </row>
  </sheetData>
  <mergeCells count="16">
    <mergeCell ref="J2:N2"/>
    <mergeCell ref="B152:C152"/>
    <mergeCell ref="B149:F149"/>
    <mergeCell ref="B150:F150"/>
    <mergeCell ref="A1:H1"/>
    <mergeCell ref="A2:H2"/>
    <mergeCell ref="A3:H3"/>
    <mergeCell ref="B169:C169"/>
    <mergeCell ref="B170:C170"/>
    <mergeCell ref="B153:C153"/>
    <mergeCell ref="B154:C154"/>
    <mergeCell ref="B155:C155"/>
    <mergeCell ref="B163:C163"/>
    <mergeCell ref="B167:C167"/>
    <mergeCell ref="B168:C168"/>
    <mergeCell ref="B165:F16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169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473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63030</v>
      </c>
      <c r="F7" s="6">
        <v>865.18129499999998</v>
      </c>
      <c r="G7" s="138">
        <v>3.3277783999999998E-2</v>
      </c>
      <c r="H7" s="142"/>
    </row>
    <row r="8" spans="1:14" x14ac:dyDescent="0.2">
      <c r="A8" s="3">
        <v>2</v>
      </c>
      <c r="B8" s="4" t="s">
        <v>151</v>
      </c>
      <c r="C8" s="4" t="s">
        <v>152</v>
      </c>
      <c r="D8" s="4" t="s">
        <v>153</v>
      </c>
      <c r="E8" s="5">
        <v>20245</v>
      </c>
      <c r="F8" s="6">
        <v>745.97763750000001</v>
      </c>
      <c r="G8" s="138">
        <v>2.8692809999999999E-2</v>
      </c>
      <c r="H8" s="142"/>
    </row>
    <row r="9" spans="1:14" x14ac:dyDescent="0.2">
      <c r="A9" s="3">
        <v>3</v>
      </c>
      <c r="B9" s="4" t="s">
        <v>154</v>
      </c>
      <c r="C9" s="4" t="s">
        <v>155</v>
      </c>
      <c r="D9" s="4" t="s">
        <v>27</v>
      </c>
      <c r="E9" s="5">
        <v>73643</v>
      </c>
      <c r="F9" s="6">
        <v>682.74425299999996</v>
      </c>
      <c r="G9" s="138">
        <v>2.6260641000000001E-2</v>
      </c>
      <c r="H9" s="142"/>
    </row>
    <row r="10" spans="1:14" x14ac:dyDescent="0.2">
      <c r="A10" s="3">
        <v>4</v>
      </c>
      <c r="B10" s="4" t="s">
        <v>158</v>
      </c>
      <c r="C10" s="4" t="s">
        <v>159</v>
      </c>
      <c r="D10" s="4" t="s">
        <v>80</v>
      </c>
      <c r="E10" s="5">
        <v>519534</v>
      </c>
      <c r="F10" s="6">
        <v>628.63613999999995</v>
      </c>
      <c r="G10" s="138">
        <v>2.4179460999999999E-2</v>
      </c>
      <c r="H10" s="142"/>
    </row>
    <row r="11" spans="1:14" x14ac:dyDescent="0.2">
      <c r="A11" s="3">
        <v>5</v>
      </c>
      <c r="B11" s="4" t="s">
        <v>44</v>
      </c>
      <c r="C11" s="4" t="s">
        <v>45</v>
      </c>
      <c r="D11" s="4" t="s">
        <v>27</v>
      </c>
      <c r="E11" s="5">
        <v>48732</v>
      </c>
      <c r="F11" s="6">
        <v>595.115184</v>
      </c>
      <c r="G11" s="138">
        <v>2.2890132000000001E-2</v>
      </c>
      <c r="H11" s="142"/>
    </row>
    <row r="12" spans="1:14" x14ac:dyDescent="0.2">
      <c r="A12" s="3">
        <v>6</v>
      </c>
      <c r="B12" s="4" t="s">
        <v>302</v>
      </c>
      <c r="C12" s="4" t="s">
        <v>303</v>
      </c>
      <c r="D12" s="4" t="s">
        <v>27</v>
      </c>
      <c r="E12" s="5">
        <v>87229</v>
      </c>
      <c r="F12" s="6">
        <v>593.68057399999998</v>
      </c>
      <c r="G12" s="138">
        <v>2.2834951999999999E-2</v>
      </c>
      <c r="H12" s="142"/>
    </row>
    <row r="13" spans="1:14" x14ac:dyDescent="0.2">
      <c r="A13" s="3">
        <v>7</v>
      </c>
      <c r="B13" s="4" t="s">
        <v>160</v>
      </c>
      <c r="C13" s="4" t="s">
        <v>161</v>
      </c>
      <c r="D13" s="4" t="s">
        <v>27</v>
      </c>
      <c r="E13" s="5">
        <v>73884</v>
      </c>
      <c r="F13" s="6">
        <v>588.92936399999996</v>
      </c>
      <c r="G13" s="138">
        <v>2.2652205000000002E-2</v>
      </c>
      <c r="H13" s="142"/>
    </row>
    <row r="14" spans="1:14" x14ac:dyDescent="0.2">
      <c r="A14" s="3">
        <v>8</v>
      </c>
      <c r="B14" s="4" t="s">
        <v>162</v>
      </c>
      <c r="C14" s="4" t="s">
        <v>163</v>
      </c>
      <c r="D14" s="4" t="s">
        <v>164</v>
      </c>
      <c r="E14" s="5">
        <v>166257</v>
      </c>
      <c r="F14" s="6">
        <v>568.18329749999998</v>
      </c>
      <c r="G14" s="138">
        <v>2.1854241E-2</v>
      </c>
      <c r="H14" s="142"/>
    </row>
    <row r="15" spans="1:14" x14ac:dyDescent="0.2">
      <c r="A15" s="3">
        <v>9</v>
      </c>
      <c r="B15" s="4" t="s">
        <v>456</v>
      </c>
      <c r="C15" s="4" t="s">
        <v>457</v>
      </c>
      <c r="D15" s="4" t="s">
        <v>51</v>
      </c>
      <c r="E15" s="5">
        <v>164997</v>
      </c>
      <c r="F15" s="6">
        <v>547.54254449999996</v>
      </c>
      <c r="G15" s="138">
        <v>2.1060328E-2</v>
      </c>
      <c r="H15" s="142"/>
    </row>
    <row r="16" spans="1:14" ht="15" x14ac:dyDescent="0.2">
      <c r="A16" s="3">
        <v>10</v>
      </c>
      <c r="B16" s="4" t="s">
        <v>52</v>
      </c>
      <c r="C16" s="4" t="s">
        <v>53</v>
      </c>
      <c r="D16" s="4" t="s">
        <v>51</v>
      </c>
      <c r="E16" s="5">
        <v>176142</v>
      </c>
      <c r="F16" s="6">
        <v>545.42370300000005</v>
      </c>
      <c r="G16" s="138">
        <v>2.0978831E-2</v>
      </c>
      <c r="H16" s="142"/>
      <c r="J16" s="163" t="s">
        <v>1037</v>
      </c>
    </row>
    <row r="17" spans="1:8" x14ac:dyDescent="0.2">
      <c r="A17" s="3">
        <v>11</v>
      </c>
      <c r="B17" s="4" t="s">
        <v>165</v>
      </c>
      <c r="C17" s="4" t="s">
        <v>166</v>
      </c>
      <c r="D17" s="4" t="s">
        <v>51</v>
      </c>
      <c r="E17" s="5">
        <v>111247</v>
      </c>
      <c r="F17" s="6">
        <v>525.80894550000005</v>
      </c>
      <c r="G17" s="138">
        <v>2.0224381E-2</v>
      </c>
      <c r="H17" s="142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164</v>
      </c>
      <c r="E18" s="5">
        <v>13964</v>
      </c>
      <c r="F18" s="6">
        <v>518.94413199999997</v>
      </c>
      <c r="G18" s="138">
        <v>1.9960337000000002E-2</v>
      </c>
      <c r="H18" s="142"/>
    </row>
    <row r="19" spans="1:8" x14ac:dyDescent="0.2">
      <c r="A19" s="3">
        <v>13</v>
      </c>
      <c r="B19" s="4" t="s">
        <v>474</v>
      </c>
      <c r="C19" s="4" t="s">
        <v>475</v>
      </c>
      <c r="D19" s="4" t="s">
        <v>207</v>
      </c>
      <c r="E19" s="5">
        <v>84664</v>
      </c>
      <c r="F19" s="6">
        <v>510.90490799999998</v>
      </c>
      <c r="G19" s="138">
        <v>1.9651122E-2</v>
      </c>
      <c r="H19" s="142"/>
    </row>
    <row r="20" spans="1:8" x14ac:dyDescent="0.2">
      <c r="A20" s="3">
        <v>14</v>
      </c>
      <c r="B20" s="4" t="s">
        <v>184</v>
      </c>
      <c r="C20" s="4" t="s">
        <v>185</v>
      </c>
      <c r="D20" s="4" t="s">
        <v>173</v>
      </c>
      <c r="E20" s="5">
        <v>36123</v>
      </c>
      <c r="F20" s="6">
        <v>504.58412550000003</v>
      </c>
      <c r="G20" s="138">
        <v>1.9408003E-2</v>
      </c>
      <c r="H20" s="142"/>
    </row>
    <row r="21" spans="1:8" ht="25.5" x14ac:dyDescent="0.2">
      <c r="A21" s="3">
        <v>15</v>
      </c>
      <c r="B21" s="4" t="s">
        <v>30</v>
      </c>
      <c r="C21" s="4" t="s">
        <v>31</v>
      </c>
      <c r="D21" s="4" t="s">
        <v>1023</v>
      </c>
      <c r="E21" s="5">
        <v>14971</v>
      </c>
      <c r="F21" s="6">
        <v>465.26125250000001</v>
      </c>
      <c r="G21" s="138">
        <v>1.7895512999999998E-2</v>
      </c>
      <c r="H21" s="142"/>
    </row>
    <row r="22" spans="1:8" x14ac:dyDescent="0.2">
      <c r="A22" s="3">
        <v>16</v>
      </c>
      <c r="B22" s="4" t="s">
        <v>176</v>
      </c>
      <c r="C22" s="4" t="s">
        <v>177</v>
      </c>
      <c r="D22" s="4" t="s">
        <v>1026</v>
      </c>
      <c r="E22" s="5">
        <v>116812</v>
      </c>
      <c r="F22" s="6">
        <v>459.36318999999997</v>
      </c>
      <c r="G22" s="138">
        <v>1.7668653999999999E-2</v>
      </c>
      <c r="H22" s="142"/>
    </row>
    <row r="23" spans="1:8" x14ac:dyDescent="0.2">
      <c r="A23" s="3">
        <v>17</v>
      </c>
      <c r="B23" s="4" t="s">
        <v>74</v>
      </c>
      <c r="C23" s="4" t="s">
        <v>75</v>
      </c>
      <c r="D23" s="4" t="s">
        <v>66</v>
      </c>
      <c r="E23" s="5">
        <v>110331</v>
      </c>
      <c r="F23" s="6">
        <v>452.3571</v>
      </c>
      <c r="G23" s="138">
        <v>1.7399175999999999E-2</v>
      </c>
      <c r="H23" s="142"/>
    </row>
    <row r="24" spans="1:8" x14ac:dyDescent="0.2">
      <c r="A24" s="3">
        <v>18</v>
      </c>
      <c r="B24" s="4" t="s">
        <v>179</v>
      </c>
      <c r="C24" s="4" t="s">
        <v>180</v>
      </c>
      <c r="D24" s="4" t="s">
        <v>181</v>
      </c>
      <c r="E24" s="5">
        <v>171020</v>
      </c>
      <c r="F24" s="6">
        <v>423.10347999999999</v>
      </c>
      <c r="G24" s="138">
        <v>1.6273982999999999E-2</v>
      </c>
      <c r="H24" s="142"/>
    </row>
    <row r="25" spans="1:8" ht="25.5" x14ac:dyDescent="0.2">
      <c r="A25" s="3">
        <v>19</v>
      </c>
      <c r="B25" s="4" t="s">
        <v>193</v>
      </c>
      <c r="C25" s="4" t="s">
        <v>194</v>
      </c>
      <c r="D25" s="4" t="s">
        <v>37</v>
      </c>
      <c r="E25" s="5">
        <v>334561</v>
      </c>
      <c r="F25" s="6">
        <v>411.34274950000002</v>
      </c>
      <c r="G25" s="138">
        <v>1.5821625999999998E-2</v>
      </c>
      <c r="H25" s="142"/>
    </row>
    <row r="26" spans="1:8" x14ac:dyDescent="0.2">
      <c r="A26" s="3">
        <v>20</v>
      </c>
      <c r="B26" s="4" t="s">
        <v>182</v>
      </c>
      <c r="C26" s="4" t="s">
        <v>183</v>
      </c>
      <c r="D26" s="4" t="s">
        <v>164</v>
      </c>
      <c r="E26" s="5">
        <v>7685</v>
      </c>
      <c r="F26" s="6">
        <v>410.72098249999999</v>
      </c>
      <c r="G26" s="138">
        <v>1.5797710999999999E-2</v>
      </c>
      <c r="H26" s="142"/>
    </row>
    <row r="27" spans="1:8" x14ac:dyDescent="0.2">
      <c r="A27" s="3">
        <v>21</v>
      </c>
      <c r="B27" s="4" t="s">
        <v>199</v>
      </c>
      <c r="C27" s="4" t="s">
        <v>200</v>
      </c>
      <c r="D27" s="4" t="s">
        <v>164</v>
      </c>
      <c r="E27" s="5">
        <v>37221</v>
      </c>
      <c r="F27" s="6">
        <v>395.56617749999998</v>
      </c>
      <c r="G27" s="138">
        <v>1.5214806000000001E-2</v>
      </c>
      <c r="H27" s="142"/>
    </row>
    <row r="28" spans="1:8" x14ac:dyDescent="0.2">
      <c r="A28" s="3">
        <v>22</v>
      </c>
      <c r="B28" s="4" t="s">
        <v>197</v>
      </c>
      <c r="C28" s="4" t="s">
        <v>198</v>
      </c>
      <c r="D28" s="4" t="s">
        <v>51</v>
      </c>
      <c r="E28" s="5">
        <v>38005</v>
      </c>
      <c r="F28" s="6">
        <v>389.79828250000003</v>
      </c>
      <c r="G28" s="138">
        <v>1.4992953E-2</v>
      </c>
      <c r="H28" s="142"/>
    </row>
    <row r="29" spans="1:8" ht="25.5" x14ac:dyDescent="0.2">
      <c r="A29" s="3">
        <v>23</v>
      </c>
      <c r="B29" s="4" t="s">
        <v>191</v>
      </c>
      <c r="C29" s="4" t="s">
        <v>192</v>
      </c>
      <c r="D29" s="4" t="s">
        <v>1023</v>
      </c>
      <c r="E29" s="5">
        <v>151609</v>
      </c>
      <c r="F29" s="6">
        <v>389.33191199999999</v>
      </c>
      <c r="G29" s="138">
        <v>1.4975015E-2</v>
      </c>
      <c r="H29" s="142"/>
    </row>
    <row r="30" spans="1:8" x14ac:dyDescent="0.2">
      <c r="A30" s="3">
        <v>24</v>
      </c>
      <c r="B30" s="4" t="s">
        <v>201</v>
      </c>
      <c r="C30" s="4" t="s">
        <v>202</v>
      </c>
      <c r="D30" s="4" t="s">
        <v>80</v>
      </c>
      <c r="E30" s="5">
        <v>55940</v>
      </c>
      <c r="F30" s="6">
        <v>384.19592</v>
      </c>
      <c r="G30" s="138">
        <v>1.4777468E-2</v>
      </c>
      <c r="H30" s="142"/>
    </row>
    <row r="31" spans="1:8" x14ac:dyDescent="0.2">
      <c r="A31" s="3">
        <v>25</v>
      </c>
      <c r="B31" s="4" t="s">
        <v>203</v>
      </c>
      <c r="C31" s="4" t="s">
        <v>204</v>
      </c>
      <c r="D31" s="4" t="s">
        <v>80</v>
      </c>
      <c r="E31" s="5">
        <v>65065</v>
      </c>
      <c r="F31" s="6">
        <v>383.94856499999997</v>
      </c>
      <c r="G31" s="138">
        <v>1.4767954E-2</v>
      </c>
      <c r="H31" s="142"/>
    </row>
    <row r="32" spans="1:8" x14ac:dyDescent="0.2">
      <c r="A32" s="3">
        <v>26</v>
      </c>
      <c r="B32" s="4" t="s">
        <v>212</v>
      </c>
      <c r="C32" s="4" t="s">
        <v>213</v>
      </c>
      <c r="D32" s="4" t="s">
        <v>1027</v>
      </c>
      <c r="E32" s="5">
        <v>40169</v>
      </c>
      <c r="F32" s="6">
        <v>368.02837799999998</v>
      </c>
      <c r="G32" s="138">
        <v>1.4155610000000001E-2</v>
      </c>
      <c r="H32" s="142"/>
    </row>
    <row r="33" spans="1:8" x14ac:dyDescent="0.2">
      <c r="A33" s="3">
        <v>27</v>
      </c>
      <c r="B33" s="4" t="s">
        <v>171</v>
      </c>
      <c r="C33" s="4" t="s">
        <v>172</v>
      </c>
      <c r="D33" s="4" t="s">
        <v>173</v>
      </c>
      <c r="E33" s="5">
        <v>38117</v>
      </c>
      <c r="F33" s="6">
        <v>359.61483650000002</v>
      </c>
      <c r="G33" s="138">
        <v>1.3831997E-2</v>
      </c>
      <c r="H33" s="142"/>
    </row>
    <row r="34" spans="1:8" x14ac:dyDescent="0.2">
      <c r="A34" s="3">
        <v>28</v>
      </c>
      <c r="B34" s="4" t="s">
        <v>374</v>
      </c>
      <c r="C34" s="4" t="s">
        <v>375</v>
      </c>
      <c r="D34" s="4" t="s">
        <v>173</v>
      </c>
      <c r="E34" s="5">
        <v>10312</v>
      </c>
      <c r="F34" s="6">
        <v>352.83023600000001</v>
      </c>
      <c r="G34" s="138">
        <v>1.3571038000000001E-2</v>
      </c>
      <c r="H34" s="142"/>
    </row>
    <row r="35" spans="1:8" x14ac:dyDescent="0.2">
      <c r="A35" s="3">
        <v>29</v>
      </c>
      <c r="B35" s="4" t="s">
        <v>223</v>
      </c>
      <c r="C35" s="4" t="s">
        <v>224</v>
      </c>
      <c r="D35" s="4" t="s">
        <v>66</v>
      </c>
      <c r="E35" s="5">
        <v>36572</v>
      </c>
      <c r="F35" s="6">
        <v>350.52433400000001</v>
      </c>
      <c r="G35" s="138">
        <v>1.3482345E-2</v>
      </c>
      <c r="H35" s="142"/>
    </row>
    <row r="36" spans="1:8" ht="25.5" x14ac:dyDescent="0.2">
      <c r="A36" s="3">
        <v>30</v>
      </c>
      <c r="B36" s="4" t="s">
        <v>217</v>
      </c>
      <c r="C36" s="4" t="s">
        <v>218</v>
      </c>
      <c r="D36" s="4" t="s">
        <v>90</v>
      </c>
      <c r="E36" s="5">
        <v>76500</v>
      </c>
      <c r="F36" s="6">
        <v>349.26074999999997</v>
      </c>
      <c r="G36" s="138">
        <v>1.3433743999999999E-2</v>
      </c>
      <c r="H36" s="142"/>
    </row>
    <row r="37" spans="1:8" x14ac:dyDescent="0.2">
      <c r="A37" s="3">
        <v>31</v>
      </c>
      <c r="B37" s="4" t="s">
        <v>174</v>
      </c>
      <c r="C37" s="4" t="s">
        <v>175</v>
      </c>
      <c r="D37" s="4" t="s">
        <v>335</v>
      </c>
      <c r="E37" s="5">
        <v>34286</v>
      </c>
      <c r="F37" s="6">
        <v>339.15711199999998</v>
      </c>
      <c r="G37" s="138">
        <v>1.3045124E-2</v>
      </c>
      <c r="H37" s="142"/>
    </row>
    <row r="38" spans="1:8" x14ac:dyDescent="0.2">
      <c r="A38" s="3">
        <v>32</v>
      </c>
      <c r="B38" s="4" t="s">
        <v>214</v>
      </c>
      <c r="C38" s="4" t="s">
        <v>215</v>
      </c>
      <c r="D38" s="4" t="s">
        <v>216</v>
      </c>
      <c r="E38" s="5">
        <v>123782</v>
      </c>
      <c r="F38" s="6">
        <v>337.12027699999999</v>
      </c>
      <c r="G38" s="138">
        <v>1.2966780000000001E-2</v>
      </c>
      <c r="H38" s="142"/>
    </row>
    <row r="39" spans="1:8" ht="25.5" x14ac:dyDescent="0.2">
      <c r="A39" s="3">
        <v>33</v>
      </c>
      <c r="B39" s="4" t="s">
        <v>458</v>
      </c>
      <c r="C39" s="4" t="s">
        <v>459</v>
      </c>
      <c r="D39" s="4" t="s">
        <v>37</v>
      </c>
      <c r="E39" s="5">
        <v>23869</v>
      </c>
      <c r="F39" s="6">
        <v>322.10022049999998</v>
      </c>
      <c r="G39" s="138">
        <v>1.2389058E-2</v>
      </c>
      <c r="H39" s="142"/>
    </row>
    <row r="40" spans="1:8" x14ac:dyDescent="0.2">
      <c r="A40" s="3">
        <v>34</v>
      </c>
      <c r="B40" s="4" t="s">
        <v>205</v>
      </c>
      <c r="C40" s="4" t="s">
        <v>206</v>
      </c>
      <c r="D40" s="4" t="s">
        <v>207</v>
      </c>
      <c r="E40" s="5">
        <v>71675</v>
      </c>
      <c r="F40" s="6">
        <v>321.99993749999999</v>
      </c>
      <c r="G40" s="138">
        <v>1.2385201E-2</v>
      </c>
      <c r="H40" s="142"/>
    </row>
    <row r="41" spans="1:8" x14ac:dyDescent="0.2">
      <c r="A41" s="3">
        <v>35</v>
      </c>
      <c r="B41" s="4" t="s">
        <v>221</v>
      </c>
      <c r="C41" s="4" t="s">
        <v>222</v>
      </c>
      <c r="D41" s="4" t="s">
        <v>207</v>
      </c>
      <c r="E41" s="5">
        <v>51431</v>
      </c>
      <c r="F41" s="6">
        <v>317.04639950000001</v>
      </c>
      <c r="G41" s="138">
        <v>1.2194671000000001E-2</v>
      </c>
      <c r="H41" s="142"/>
    </row>
    <row r="42" spans="1:8" x14ac:dyDescent="0.2">
      <c r="A42" s="3">
        <v>36</v>
      </c>
      <c r="B42" s="4" t="s">
        <v>460</v>
      </c>
      <c r="C42" s="4" t="s">
        <v>461</v>
      </c>
      <c r="D42" s="4" t="s">
        <v>27</v>
      </c>
      <c r="E42" s="5">
        <v>35318</v>
      </c>
      <c r="F42" s="6">
        <v>313.46490899999998</v>
      </c>
      <c r="G42" s="138">
        <v>1.2056915E-2</v>
      </c>
      <c r="H42" s="142"/>
    </row>
    <row r="43" spans="1:8" x14ac:dyDescent="0.2">
      <c r="A43" s="3">
        <v>37</v>
      </c>
      <c r="B43" s="4" t="s">
        <v>225</v>
      </c>
      <c r="C43" s="4" t="s">
        <v>226</v>
      </c>
      <c r="D43" s="4" t="s">
        <v>1028</v>
      </c>
      <c r="E43" s="5">
        <v>53906</v>
      </c>
      <c r="F43" s="6">
        <v>305.269678</v>
      </c>
      <c r="G43" s="138">
        <v>1.1741699E-2</v>
      </c>
      <c r="H43" s="142"/>
    </row>
    <row r="44" spans="1:8" x14ac:dyDescent="0.2">
      <c r="A44" s="3">
        <v>38</v>
      </c>
      <c r="B44" s="4" t="s">
        <v>229</v>
      </c>
      <c r="C44" s="4" t="s">
        <v>230</v>
      </c>
      <c r="D44" s="4" t="s">
        <v>51</v>
      </c>
      <c r="E44" s="5">
        <v>34229</v>
      </c>
      <c r="F44" s="6">
        <v>297.45001000000002</v>
      </c>
      <c r="G44" s="138">
        <v>1.1440928E-2</v>
      </c>
      <c r="H44" s="142"/>
    </row>
    <row r="45" spans="1:8" x14ac:dyDescent="0.2">
      <c r="A45" s="3">
        <v>39</v>
      </c>
      <c r="B45" s="4" t="s">
        <v>462</v>
      </c>
      <c r="C45" s="4" t="s">
        <v>463</v>
      </c>
      <c r="D45" s="4" t="s">
        <v>51</v>
      </c>
      <c r="E45" s="5">
        <v>32427</v>
      </c>
      <c r="F45" s="6">
        <v>295.16676749999999</v>
      </c>
      <c r="G45" s="138">
        <v>1.1353106999999999E-2</v>
      </c>
      <c r="H45" s="142"/>
    </row>
    <row r="46" spans="1:8" x14ac:dyDescent="0.2">
      <c r="A46" s="3">
        <v>40</v>
      </c>
      <c r="B46" s="4" t="s">
        <v>227</v>
      </c>
      <c r="C46" s="4" t="s">
        <v>228</v>
      </c>
      <c r="D46" s="4" t="s">
        <v>66</v>
      </c>
      <c r="E46" s="5">
        <v>288303</v>
      </c>
      <c r="F46" s="6">
        <v>283.83430349999998</v>
      </c>
      <c r="G46" s="138">
        <v>1.0917222000000001E-2</v>
      </c>
      <c r="H46" s="142"/>
    </row>
    <row r="47" spans="1:8" x14ac:dyDescent="0.2">
      <c r="A47" s="3">
        <v>41</v>
      </c>
      <c r="B47" s="4" t="s">
        <v>188</v>
      </c>
      <c r="C47" s="4" t="s">
        <v>189</v>
      </c>
      <c r="D47" s="4" t="s">
        <v>190</v>
      </c>
      <c r="E47" s="5">
        <v>28480</v>
      </c>
      <c r="F47" s="6">
        <v>283.61808000000002</v>
      </c>
      <c r="G47" s="138">
        <v>1.0908905999999999E-2</v>
      </c>
      <c r="H47" s="142"/>
    </row>
    <row r="48" spans="1:8" x14ac:dyDescent="0.2">
      <c r="A48" s="3">
        <v>42</v>
      </c>
      <c r="B48" s="4" t="s">
        <v>466</v>
      </c>
      <c r="C48" s="4" t="s">
        <v>467</v>
      </c>
      <c r="D48" s="4" t="s">
        <v>216</v>
      </c>
      <c r="E48" s="5">
        <v>43371</v>
      </c>
      <c r="F48" s="6">
        <v>283.03914600000002</v>
      </c>
      <c r="G48" s="138">
        <v>1.0886638000000001E-2</v>
      </c>
      <c r="H48" s="142"/>
    </row>
    <row r="49" spans="1:8" x14ac:dyDescent="0.2">
      <c r="A49" s="3">
        <v>43</v>
      </c>
      <c r="B49" s="4" t="s">
        <v>235</v>
      </c>
      <c r="C49" s="4" t="s">
        <v>236</v>
      </c>
      <c r="D49" s="4" t="s">
        <v>27</v>
      </c>
      <c r="E49" s="5">
        <v>16547</v>
      </c>
      <c r="F49" s="6">
        <v>280.46337649999998</v>
      </c>
      <c r="G49" s="138">
        <v>1.0787565000000001E-2</v>
      </c>
      <c r="H49" s="142"/>
    </row>
    <row r="50" spans="1:8" x14ac:dyDescent="0.2">
      <c r="A50" s="3">
        <v>44</v>
      </c>
      <c r="B50" s="4" t="s">
        <v>464</v>
      </c>
      <c r="C50" s="4" t="s">
        <v>465</v>
      </c>
      <c r="D50" s="4" t="s">
        <v>48</v>
      </c>
      <c r="E50" s="5">
        <v>66186</v>
      </c>
      <c r="F50" s="6">
        <v>277.78264200000001</v>
      </c>
      <c r="G50" s="138">
        <v>1.0684455000000001E-2</v>
      </c>
      <c r="H50" s="142"/>
    </row>
    <row r="51" spans="1:8" x14ac:dyDescent="0.2">
      <c r="A51" s="3">
        <v>45</v>
      </c>
      <c r="B51" s="4" t="s">
        <v>239</v>
      </c>
      <c r="C51" s="4" t="s">
        <v>240</v>
      </c>
      <c r="D51" s="4" t="s">
        <v>207</v>
      </c>
      <c r="E51" s="5">
        <v>14493</v>
      </c>
      <c r="F51" s="6">
        <v>270.57706350000001</v>
      </c>
      <c r="G51" s="138">
        <v>1.0407303999999999E-2</v>
      </c>
      <c r="H51" s="142"/>
    </row>
    <row r="52" spans="1:8" ht="25.5" x14ac:dyDescent="0.2">
      <c r="A52" s="3">
        <v>46</v>
      </c>
      <c r="B52" s="4" t="s">
        <v>178</v>
      </c>
      <c r="C52" s="4" t="s">
        <v>933</v>
      </c>
      <c r="D52" s="4" t="s">
        <v>37</v>
      </c>
      <c r="E52" s="5">
        <v>104294</v>
      </c>
      <c r="F52" s="6">
        <v>269.234961</v>
      </c>
      <c r="G52" s="138">
        <v>1.0355682E-2</v>
      </c>
      <c r="H52" s="142"/>
    </row>
    <row r="53" spans="1:8" x14ac:dyDescent="0.2">
      <c r="A53" s="3">
        <v>47</v>
      </c>
      <c r="B53" s="4" t="s">
        <v>296</v>
      </c>
      <c r="C53" s="4" t="s">
        <v>297</v>
      </c>
      <c r="D53" s="4" t="s">
        <v>27</v>
      </c>
      <c r="E53" s="5">
        <v>21594</v>
      </c>
      <c r="F53" s="6">
        <v>264.22418399999998</v>
      </c>
      <c r="G53" s="138">
        <v>1.0162951E-2</v>
      </c>
      <c r="H53" s="142"/>
    </row>
    <row r="54" spans="1:8" ht="25.5" x14ac:dyDescent="0.2">
      <c r="A54" s="3">
        <v>48</v>
      </c>
      <c r="B54" s="4" t="s">
        <v>244</v>
      </c>
      <c r="C54" s="4" t="s">
        <v>245</v>
      </c>
      <c r="D54" s="4" t="s">
        <v>1029</v>
      </c>
      <c r="E54" s="5">
        <v>235730</v>
      </c>
      <c r="F54" s="6">
        <v>263.192545</v>
      </c>
      <c r="G54" s="138">
        <v>1.0123271E-2</v>
      </c>
      <c r="H54" s="142"/>
    </row>
    <row r="55" spans="1:8" x14ac:dyDescent="0.2">
      <c r="A55" s="3">
        <v>49</v>
      </c>
      <c r="B55" s="4" t="s">
        <v>246</v>
      </c>
      <c r="C55" s="4" t="s">
        <v>247</v>
      </c>
      <c r="D55" s="4" t="s">
        <v>80</v>
      </c>
      <c r="E55" s="5">
        <v>476454</v>
      </c>
      <c r="F55" s="6">
        <v>261.81147299999998</v>
      </c>
      <c r="G55" s="138">
        <v>1.007015E-2</v>
      </c>
      <c r="H55" s="142"/>
    </row>
    <row r="56" spans="1:8" x14ac:dyDescent="0.2">
      <c r="A56" s="3">
        <v>50</v>
      </c>
      <c r="B56" s="4" t="s">
        <v>195</v>
      </c>
      <c r="C56" s="4" t="s">
        <v>196</v>
      </c>
      <c r="D56" s="4" t="s">
        <v>24</v>
      </c>
      <c r="E56" s="5">
        <v>136258</v>
      </c>
      <c r="F56" s="6">
        <v>260.11652199999997</v>
      </c>
      <c r="G56" s="138">
        <v>1.0004957E-2</v>
      </c>
      <c r="H56" s="142"/>
    </row>
    <row r="57" spans="1:8" x14ac:dyDescent="0.2">
      <c r="A57" s="3">
        <v>51</v>
      </c>
      <c r="B57" s="4" t="s">
        <v>241</v>
      </c>
      <c r="C57" s="4" t="s">
        <v>242</v>
      </c>
      <c r="D57" s="4" t="s">
        <v>243</v>
      </c>
      <c r="E57" s="5">
        <v>52315</v>
      </c>
      <c r="F57" s="6">
        <v>259.06387999999998</v>
      </c>
      <c r="G57" s="138">
        <v>9.9644680000000006E-3</v>
      </c>
      <c r="H57" s="142"/>
    </row>
    <row r="58" spans="1:8" x14ac:dyDescent="0.2">
      <c r="A58" s="3">
        <v>52</v>
      </c>
      <c r="B58" s="4" t="s">
        <v>42</v>
      </c>
      <c r="C58" s="4" t="s">
        <v>43</v>
      </c>
      <c r="D58" s="4" t="s">
        <v>27</v>
      </c>
      <c r="E58" s="5">
        <v>11792</v>
      </c>
      <c r="F58" s="6">
        <v>259.00538399999999</v>
      </c>
      <c r="G58" s="138">
        <v>9.9622189999999996E-3</v>
      </c>
      <c r="H58" s="142"/>
    </row>
    <row r="59" spans="1:8" x14ac:dyDescent="0.2">
      <c r="A59" s="3">
        <v>53</v>
      </c>
      <c r="B59" s="4" t="s">
        <v>468</v>
      </c>
      <c r="C59" s="4" t="s">
        <v>469</v>
      </c>
      <c r="D59" s="4" t="s">
        <v>1024</v>
      </c>
      <c r="E59" s="5">
        <v>262344</v>
      </c>
      <c r="F59" s="6">
        <v>256.04774400000002</v>
      </c>
      <c r="G59" s="138">
        <v>9.8484579999999992E-3</v>
      </c>
      <c r="H59" s="142"/>
    </row>
    <row r="60" spans="1:8" ht="25.5" x14ac:dyDescent="0.2">
      <c r="A60" s="3">
        <v>54</v>
      </c>
      <c r="B60" s="4" t="s">
        <v>252</v>
      </c>
      <c r="C60" s="4" t="s">
        <v>253</v>
      </c>
      <c r="D60" s="4" t="s">
        <v>90</v>
      </c>
      <c r="E60" s="5">
        <v>58166</v>
      </c>
      <c r="F60" s="6">
        <v>244.704362</v>
      </c>
      <c r="G60" s="138">
        <v>9.4121529999999995E-3</v>
      </c>
      <c r="H60" s="142"/>
    </row>
    <row r="61" spans="1:8" ht="25.5" x14ac:dyDescent="0.2">
      <c r="A61" s="3">
        <v>55</v>
      </c>
      <c r="B61" s="4" t="s">
        <v>255</v>
      </c>
      <c r="C61" s="4" t="s">
        <v>256</v>
      </c>
      <c r="D61" s="4" t="s">
        <v>90</v>
      </c>
      <c r="E61" s="5">
        <v>60710</v>
      </c>
      <c r="F61" s="6">
        <v>233.46030500000001</v>
      </c>
      <c r="G61" s="138">
        <v>8.9796689999999992E-3</v>
      </c>
      <c r="H61" s="142"/>
    </row>
    <row r="62" spans="1:8" x14ac:dyDescent="0.2">
      <c r="A62" s="3">
        <v>56</v>
      </c>
      <c r="B62" s="4" t="s">
        <v>257</v>
      </c>
      <c r="C62" s="4" t="s">
        <v>258</v>
      </c>
      <c r="D62" s="4" t="s">
        <v>173</v>
      </c>
      <c r="E62" s="5">
        <v>65216</v>
      </c>
      <c r="F62" s="6">
        <v>228.256</v>
      </c>
      <c r="G62" s="138">
        <v>8.7794940000000005E-3</v>
      </c>
      <c r="H62" s="142"/>
    </row>
    <row r="63" spans="1:8" x14ac:dyDescent="0.2">
      <c r="A63" s="3">
        <v>57</v>
      </c>
      <c r="B63" s="4" t="s">
        <v>261</v>
      </c>
      <c r="C63" s="4" t="s">
        <v>262</v>
      </c>
      <c r="D63" s="4" t="s">
        <v>51</v>
      </c>
      <c r="E63" s="5">
        <v>98339</v>
      </c>
      <c r="F63" s="6">
        <v>218.50925799999999</v>
      </c>
      <c r="G63" s="138">
        <v>8.4046009999999994E-3</v>
      </c>
      <c r="H63" s="142"/>
    </row>
    <row r="64" spans="1:8" x14ac:dyDescent="0.2">
      <c r="A64" s="3">
        <v>58</v>
      </c>
      <c r="B64" s="4" t="s">
        <v>210</v>
      </c>
      <c r="C64" s="4" t="s">
        <v>211</v>
      </c>
      <c r="D64" s="4" t="s">
        <v>34</v>
      </c>
      <c r="E64" s="5">
        <v>53690</v>
      </c>
      <c r="F64" s="6">
        <v>217.01498000000001</v>
      </c>
      <c r="G64" s="138">
        <v>8.3471259999999999E-3</v>
      </c>
      <c r="H64" s="142"/>
    </row>
    <row r="65" spans="1:8" x14ac:dyDescent="0.2">
      <c r="A65" s="3">
        <v>59</v>
      </c>
      <c r="B65" s="4" t="s">
        <v>267</v>
      </c>
      <c r="C65" s="4" t="s">
        <v>268</v>
      </c>
      <c r="D65" s="4" t="s">
        <v>1024</v>
      </c>
      <c r="E65" s="5">
        <v>12415</v>
      </c>
      <c r="F65" s="6">
        <v>205.92139750000001</v>
      </c>
      <c r="G65" s="138">
        <v>7.9204299999999991E-3</v>
      </c>
      <c r="H65" s="142"/>
    </row>
    <row r="66" spans="1:8" x14ac:dyDescent="0.2">
      <c r="A66" s="3">
        <v>60</v>
      </c>
      <c r="B66" s="4" t="s">
        <v>265</v>
      </c>
      <c r="C66" s="4" t="s">
        <v>266</v>
      </c>
      <c r="D66" s="4" t="s">
        <v>59</v>
      </c>
      <c r="E66" s="5">
        <v>19778</v>
      </c>
      <c r="F66" s="6">
        <v>204.55396500000001</v>
      </c>
      <c r="G66" s="138">
        <v>7.8678340000000006E-3</v>
      </c>
      <c r="H66" s="142"/>
    </row>
    <row r="67" spans="1:8" x14ac:dyDescent="0.2">
      <c r="A67" s="3">
        <v>61</v>
      </c>
      <c r="B67" s="4" t="s">
        <v>250</v>
      </c>
      <c r="C67" s="4" t="s">
        <v>251</v>
      </c>
      <c r="D67" s="4" t="s">
        <v>164</v>
      </c>
      <c r="E67" s="5">
        <v>13157</v>
      </c>
      <c r="F67" s="6">
        <v>181.5600215</v>
      </c>
      <c r="G67" s="138">
        <v>6.9834090000000003E-3</v>
      </c>
      <c r="H67" s="142"/>
    </row>
    <row r="68" spans="1:8" ht="25.5" x14ac:dyDescent="0.2">
      <c r="A68" s="3">
        <v>62</v>
      </c>
      <c r="B68" s="4" t="s">
        <v>231</v>
      </c>
      <c r="C68" s="4" t="s">
        <v>232</v>
      </c>
      <c r="D68" s="4" t="s">
        <v>51</v>
      </c>
      <c r="E68" s="5">
        <v>8392</v>
      </c>
      <c r="F68" s="6">
        <v>179.91189199999999</v>
      </c>
      <c r="G68" s="138">
        <v>6.9200169999999997E-3</v>
      </c>
      <c r="H68" s="142"/>
    </row>
    <row r="69" spans="1:8" x14ac:dyDescent="0.2">
      <c r="A69" s="3">
        <v>63</v>
      </c>
      <c r="B69" s="4" t="s">
        <v>273</v>
      </c>
      <c r="C69" s="4" t="s">
        <v>274</v>
      </c>
      <c r="D69" s="4" t="s">
        <v>173</v>
      </c>
      <c r="E69" s="5">
        <v>29625</v>
      </c>
      <c r="F69" s="6">
        <v>177.51300000000001</v>
      </c>
      <c r="G69" s="138">
        <v>6.8277470000000003E-3</v>
      </c>
      <c r="H69" s="142"/>
    </row>
    <row r="70" spans="1:8" x14ac:dyDescent="0.2">
      <c r="A70" s="3">
        <v>64</v>
      </c>
      <c r="B70" s="4" t="s">
        <v>269</v>
      </c>
      <c r="C70" s="4" t="s">
        <v>270</v>
      </c>
      <c r="D70" s="4" t="s">
        <v>1028</v>
      </c>
      <c r="E70" s="5">
        <v>152295</v>
      </c>
      <c r="F70" s="6">
        <v>176.35760999999999</v>
      </c>
      <c r="G70" s="138">
        <v>6.7833069999999997E-3</v>
      </c>
      <c r="H70" s="142"/>
    </row>
    <row r="71" spans="1:8" x14ac:dyDescent="0.2">
      <c r="A71" s="3">
        <v>65</v>
      </c>
      <c r="B71" s="4" t="s">
        <v>280</v>
      </c>
      <c r="C71" s="4" t="s">
        <v>281</v>
      </c>
      <c r="D71" s="4" t="s">
        <v>24</v>
      </c>
      <c r="E71" s="5">
        <v>191773</v>
      </c>
      <c r="F71" s="6">
        <v>174.51343</v>
      </c>
      <c r="G71" s="138">
        <v>6.7123740000000001E-3</v>
      </c>
      <c r="H71" s="142"/>
    </row>
    <row r="72" spans="1:8" x14ac:dyDescent="0.2">
      <c r="A72" s="3">
        <v>66</v>
      </c>
      <c r="B72" s="4" t="s">
        <v>286</v>
      </c>
      <c r="C72" s="4" t="s">
        <v>287</v>
      </c>
      <c r="D72" s="4" t="s">
        <v>207</v>
      </c>
      <c r="E72" s="5">
        <v>47700</v>
      </c>
      <c r="F72" s="6">
        <v>172.22085000000001</v>
      </c>
      <c r="G72" s="138">
        <v>6.6241929999999996E-3</v>
      </c>
      <c r="H72" s="142"/>
    </row>
    <row r="73" spans="1:8" x14ac:dyDescent="0.2">
      <c r="A73" s="3">
        <v>67</v>
      </c>
      <c r="B73" s="4" t="s">
        <v>470</v>
      </c>
      <c r="C73" s="4" t="s">
        <v>471</v>
      </c>
      <c r="D73" s="4" t="s">
        <v>80</v>
      </c>
      <c r="E73" s="5">
        <v>26475</v>
      </c>
      <c r="F73" s="6">
        <v>168.50013749999999</v>
      </c>
      <c r="G73" s="138">
        <v>6.481082E-3</v>
      </c>
      <c r="H73" s="142"/>
    </row>
    <row r="74" spans="1:8" x14ac:dyDescent="0.2">
      <c r="A74" s="3">
        <v>68</v>
      </c>
      <c r="B74" s="4" t="s">
        <v>277</v>
      </c>
      <c r="C74" s="4" t="s">
        <v>278</v>
      </c>
      <c r="D74" s="4" t="s">
        <v>279</v>
      </c>
      <c r="E74" s="5">
        <v>72207</v>
      </c>
      <c r="F74" s="6">
        <v>167.37582599999999</v>
      </c>
      <c r="G74" s="138">
        <v>6.4378370000000001E-3</v>
      </c>
      <c r="H74" s="142"/>
    </row>
    <row r="75" spans="1:8" x14ac:dyDescent="0.2">
      <c r="A75" s="3">
        <v>69</v>
      </c>
      <c r="B75" s="4" t="s">
        <v>275</v>
      </c>
      <c r="C75" s="4" t="s">
        <v>276</v>
      </c>
      <c r="D75" s="4" t="s">
        <v>335</v>
      </c>
      <c r="E75" s="5">
        <v>13264</v>
      </c>
      <c r="F75" s="6">
        <v>163.95630399999999</v>
      </c>
      <c r="G75" s="138">
        <v>6.3063110000000002E-3</v>
      </c>
      <c r="H75" s="142"/>
    </row>
    <row r="76" spans="1:8" x14ac:dyDescent="0.2">
      <c r="A76" s="3">
        <v>70</v>
      </c>
      <c r="B76" s="4" t="s">
        <v>282</v>
      </c>
      <c r="C76" s="4" t="s">
        <v>283</v>
      </c>
      <c r="D76" s="4" t="s">
        <v>207</v>
      </c>
      <c r="E76" s="5">
        <v>2928</v>
      </c>
      <c r="F76" s="6">
        <v>158.21740800000001</v>
      </c>
      <c r="G76" s="138">
        <v>6.0855739999999998E-3</v>
      </c>
      <c r="H76" s="142"/>
    </row>
    <row r="77" spans="1:8" x14ac:dyDescent="0.2">
      <c r="A77" s="3">
        <v>71</v>
      </c>
      <c r="B77" s="4" t="s">
        <v>284</v>
      </c>
      <c r="C77" s="4" t="s">
        <v>285</v>
      </c>
      <c r="D77" s="4" t="s">
        <v>164</v>
      </c>
      <c r="E77" s="5">
        <v>27624</v>
      </c>
      <c r="F77" s="6">
        <v>132.60901200000001</v>
      </c>
      <c r="G77" s="138">
        <v>5.100589E-3</v>
      </c>
      <c r="H77" s="142"/>
    </row>
    <row r="78" spans="1:8" x14ac:dyDescent="0.2">
      <c r="A78" s="3">
        <v>72</v>
      </c>
      <c r="B78" s="4" t="s">
        <v>304</v>
      </c>
      <c r="C78" s="4" t="s">
        <v>305</v>
      </c>
      <c r="D78" s="4" t="s">
        <v>1028</v>
      </c>
      <c r="E78" s="5">
        <v>319686</v>
      </c>
      <c r="F78" s="6">
        <v>123.07911</v>
      </c>
      <c r="G78" s="138">
        <v>4.734037E-3</v>
      </c>
      <c r="H78" s="142"/>
    </row>
    <row r="79" spans="1:8" x14ac:dyDescent="0.2">
      <c r="A79" s="3">
        <v>73</v>
      </c>
      <c r="B79" s="4" t="s">
        <v>288</v>
      </c>
      <c r="C79" s="4" t="s">
        <v>289</v>
      </c>
      <c r="D79" s="4" t="s">
        <v>153</v>
      </c>
      <c r="E79" s="5">
        <v>8196</v>
      </c>
      <c r="F79" s="6">
        <v>114.41206200000001</v>
      </c>
      <c r="G79" s="138">
        <v>4.4006729999999999E-3</v>
      </c>
      <c r="H79" s="142"/>
    </row>
    <row r="80" spans="1:8" x14ac:dyDescent="0.2">
      <c r="A80" s="3">
        <v>74</v>
      </c>
      <c r="B80" s="4" t="s">
        <v>290</v>
      </c>
      <c r="C80" s="4" t="s">
        <v>291</v>
      </c>
      <c r="D80" s="4" t="s">
        <v>153</v>
      </c>
      <c r="E80" s="5">
        <v>5216</v>
      </c>
      <c r="F80" s="6">
        <v>31.945391999999998</v>
      </c>
      <c r="G80" s="138">
        <v>1.228727E-3</v>
      </c>
      <c r="H80" s="142"/>
    </row>
    <row r="81" spans="1:8" x14ac:dyDescent="0.2">
      <c r="A81" s="3">
        <v>75</v>
      </c>
      <c r="B81" s="4" t="s">
        <v>292</v>
      </c>
      <c r="C81" s="4" t="s">
        <v>293</v>
      </c>
      <c r="D81" s="4" t="s">
        <v>24</v>
      </c>
      <c r="E81" s="5">
        <v>48213</v>
      </c>
      <c r="F81" s="6">
        <v>29.988486000000002</v>
      </c>
      <c r="G81" s="138">
        <v>1.153458E-3</v>
      </c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25092.271673499999</v>
      </c>
      <c r="G82" s="139">
        <v>0.96513319200000003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107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108</v>
      </c>
      <c r="D87" s="1"/>
      <c r="E87" s="1"/>
      <c r="F87" s="1"/>
      <c r="G87" s="137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109</v>
      </c>
      <c r="D90" s="1"/>
      <c r="E90" s="1"/>
      <c r="F90" s="1"/>
      <c r="G90" s="137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111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112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113</v>
      </c>
      <c r="D99" s="1"/>
      <c r="E99" s="1"/>
      <c r="F99" s="9">
        <v>25092.271673499999</v>
      </c>
      <c r="G99" s="139">
        <v>0.96513319200000003</v>
      </c>
      <c r="H99" s="142"/>
    </row>
    <row r="100" spans="1:8" x14ac:dyDescent="0.2">
      <c r="A100" s="1"/>
      <c r="B100" s="1"/>
      <c r="C100" s="11"/>
      <c r="D100" s="1"/>
      <c r="E100" s="1"/>
      <c r="F100" s="12"/>
      <c r="G100" s="140"/>
      <c r="H100" s="142"/>
    </row>
    <row r="101" spans="1:8" x14ac:dyDescent="0.2">
      <c r="A101" s="1"/>
      <c r="B101" s="1"/>
      <c r="C101" s="2" t="s">
        <v>114</v>
      </c>
      <c r="D101" s="1"/>
      <c r="E101" s="1"/>
      <c r="F101" s="12"/>
      <c r="G101" s="140"/>
      <c r="H101" s="142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115</v>
      </c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1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116</v>
      </c>
      <c r="D108" s="1"/>
      <c r="E108" s="1"/>
      <c r="F108" s="1"/>
      <c r="G108" s="137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117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118</v>
      </c>
      <c r="D114" s="1"/>
      <c r="E114" s="1"/>
      <c r="F114" s="9">
        <v>0</v>
      </c>
      <c r="G114" s="139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120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1"/>
      <c r="C120" s="2" t="s">
        <v>121</v>
      </c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1">
        <v>0</v>
      </c>
      <c r="H121" s="142"/>
    </row>
    <row r="122" spans="1:8" x14ac:dyDescent="0.2">
      <c r="A122" s="1"/>
      <c r="B122" s="1"/>
      <c r="C122" s="11"/>
      <c r="D122" s="1"/>
      <c r="E122" s="1"/>
      <c r="F122" s="12"/>
      <c r="G122" s="140"/>
      <c r="H122" s="142"/>
    </row>
    <row r="123" spans="1:8" x14ac:dyDescent="0.2">
      <c r="A123" s="1"/>
      <c r="B123" s="1"/>
      <c r="C123" s="2" t="s">
        <v>122</v>
      </c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1">
        <v>0</v>
      </c>
      <c r="H124" s="142"/>
    </row>
    <row r="125" spans="1:8" x14ac:dyDescent="0.2">
      <c r="A125" s="1"/>
      <c r="B125" s="1"/>
      <c r="C125" s="11"/>
      <c r="D125" s="1"/>
      <c r="E125" s="1"/>
      <c r="F125" s="12"/>
      <c r="G125" s="140"/>
      <c r="H125" s="142"/>
    </row>
    <row r="126" spans="1:8" x14ac:dyDescent="0.2">
      <c r="A126" s="1"/>
      <c r="B126" s="1"/>
      <c r="C126" s="2" t="s">
        <v>123</v>
      </c>
      <c r="D126" s="1"/>
      <c r="E126" s="1"/>
      <c r="F126" s="12"/>
      <c r="G126" s="140"/>
      <c r="H126" s="142"/>
    </row>
    <row r="127" spans="1:8" x14ac:dyDescent="0.2">
      <c r="A127" s="3">
        <v>1</v>
      </c>
      <c r="B127" s="4"/>
      <c r="C127" s="4" t="s">
        <v>124</v>
      </c>
      <c r="D127" s="4"/>
      <c r="E127" s="8"/>
      <c r="F127" s="6">
        <v>839.2148717</v>
      </c>
      <c r="G127" s="138">
        <v>3.2279028000000001E-2</v>
      </c>
      <c r="H127" s="152">
        <v>3.3197683930276081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839.2148717</v>
      </c>
      <c r="G128" s="139">
        <v>3.2279028000000001E-2</v>
      </c>
      <c r="H128" s="142"/>
    </row>
    <row r="129" spans="1:8" x14ac:dyDescent="0.2">
      <c r="A129" s="1"/>
      <c r="B129" s="1"/>
      <c r="C129" s="11"/>
      <c r="D129" s="1"/>
      <c r="E129" s="1"/>
      <c r="F129" s="12"/>
      <c r="G129" s="140"/>
      <c r="H129" s="142"/>
    </row>
    <row r="130" spans="1:8" x14ac:dyDescent="0.2">
      <c r="A130" s="1"/>
      <c r="B130" s="1"/>
      <c r="C130" s="2" t="s">
        <v>125</v>
      </c>
      <c r="D130" s="1"/>
      <c r="E130" s="1"/>
      <c r="F130" s="9">
        <v>839.2148717</v>
      </c>
      <c r="G130" s="139">
        <v>3.2279028000000001E-2</v>
      </c>
      <c r="H130" s="142"/>
    </row>
    <row r="131" spans="1:8" x14ac:dyDescent="0.2">
      <c r="A131" s="1"/>
      <c r="B131" s="1"/>
      <c r="C131" s="12"/>
      <c r="D131" s="1"/>
      <c r="E131" s="1"/>
      <c r="F131" s="1"/>
      <c r="G131" s="137"/>
      <c r="H131" s="142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1">
        <v>0</v>
      </c>
      <c r="H134" s="142"/>
    </row>
    <row r="135" spans="1:8" x14ac:dyDescent="0.2">
      <c r="A135" s="1"/>
      <c r="B135" s="1"/>
      <c r="C135" s="11"/>
      <c r="D135" s="1"/>
      <c r="E135" s="1"/>
      <c r="F135" s="12"/>
      <c r="G135" s="140"/>
      <c r="H135" s="142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37"/>
      <c r="H136" s="142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1">
        <v>0</v>
      </c>
      <c r="H138" s="142"/>
    </row>
    <row r="139" spans="1:8" x14ac:dyDescent="0.2">
      <c r="A139" s="1"/>
      <c r="B139" s="1"/>
      <c r="C139" s="11"/>
      <c r="D139" s="1"/>
      <c r="E139" s="1"/>
      <c r="F139" s="12"/>
      <c r="G139" s="140"/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40"/>
      <c r="H141" s="142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1">
        <v>0</v>
      </c>
      <c r="H142" s="142"/>
    </row>
    <row r="143" spans="1:8" x14ac:dyDescent="0.2">
      <c r="A143" s="1"/>
      <c r="B143" s="1"/>
      <c r="C143" s="11"/>
      <c r="D143" s="1"/>
      <c r="E143" s="1"/>
      <c r="F143" s="12"/>
      <c r="G143" s="140"/>
      <c r="H143" s="142"/>
    </row>
    <row r="144" spans="1:8" x14ac:dyDescent="0.2">
      <c r="A144" s="1"/>
      <c r="B144" s="4"/>
      <c r="C144" s="4"/>
      <c r="D144" s="2"/>
      <c r="E144" s="1"/>
      <c r="F144" s="4"/>
      <c r="G144" s="143"/>
      <c r="H144" s="142"/>
    </row>
    <row r="145" spans="1:8" x14ac:dyDescent="0.2">
      <c r="A145" s="8"/>
      <c r="B145" s="4"/>
      <c r="C145" s="4" t="s">
        <v>131</v>
      </c>
      <c r="D145" s="4"/>
      <c r="E145" s="8"/>
      <c r="F145" s="6">
        <v>67.279087820000001</v>
      </c>
      <c r="G145" s="138">
        <v>2.58778E-3</v>
      </c>
      <c r="H145" s="142"/>
    </row>
    <row r="146" spans="1:8" x14ac:dyDescent="0.2">
      <c r="A146" s="11"/>
      <c r="B146" s="11"/>
      <c r="C146" s="2" t="s">
        <v>132</v>
      </c>
      <c r="D146" s="15"/>
      <c r="E146" s="15"/>
      <c r="F146" s="9">
        <v>25998.765633020001</v>
      </c>
      <c r="G146" s="139">
        <v>1</v>
      </c>
      <c r="H146" s="142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205" t="s">
        <v>106</v>
      </c>
      <c r="C148" s="205"/>
      <c r="D148" s="205"/>
      <c r="E148" s="205"/>
      <c r="F148" s="205"/>
      <c r="G148" s="20"/>
    </row>
    <row r="149" spans="1:8" ht="14.1" customHeight="1" x14ac:dyDescent="0.2">
      <c r="A149" s="18"/>
      <c r="B149" s="205" t="s">
        <v>106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203" t="s">
        <v>134</v>
      </c>
      <c r="C151" s="204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99" t="s">
        <v>135</v>
      </c>
      <c r="C152" s="200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99" t="s">
        <v>137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138</v>
      </c>
      <c r="C154" s="200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x14ac:dyDescent="0.2">
      <c r="A157" s="22"/>
      <c r="B157" s="4" t="s">
        <v>144</v>
      </c>
      <c r="C157" s="24">
        <v>16.356999999999999</v>
      </c>
      <c r="D157" s="24">
        <v>17.081700000000001</v>
      </c>
      <c r="E157" s="22"/>
      <c r="F157" s="19"/>
      <c r="G157" s="25"/>
    </row>
    <row r="158" spans="1:8" x14ac:dyDescent="0.2">
      <c r="A158" s="22"/>
      <c r="B158" s="4" t="s">
        <v>1019</v>
      </c>
      <c r="C158" s="24">
        <v>16.0566</v>
      </c>
      <c r="D158" s="24">
        <v>16.7681</v>
      </c>
      <c r="E158" s="22"/>
      <c r="F158" s="19"/>
      <c r="G158" s="25"/>
    </row>
    <row r="159" spans="1:8" x14ac:dyDescent="0.2">
      <c r="A159" s="22"/>
      <c r="B159" s="4" t="s">
        <v>145</v>
      </c>
      <c r="C159" s="24">
        <v>15.917899999999999</v>
      </c>
      <c r="D159" s="24">
        <v>16.614999999999998</v>
      </c>
      <c r="E159" s="22"/>
      <c r="F159" s="19"/>
      <c r="G159" s="25"/>
    </row>
    <row r="160" spans="1:8" x14ac:dyDescent="0.2">
      <c r="A160" s="22"/>
      <c r="B160" s="4" t="s">
        <v>1020</v>
      </c>
      <c r="C160" s="24">
        <v>15.618</v>
      </c>
      <c r="D160" s="24">
        <v>16.3019</v>
      </c>
      <c r="E160" s="22"/>
      <c r="F160" s="19"/>
      <c r="G160" s="25"/>
    </row>
    <row r="161" spans="1:7" ht="14.1" customHeight="1" x14ac:dyDescent="0.2">
      <c r="A161" s="22"/>
      <c r="B161" s="22"/>
      <c r="C161" s="22"/>
      <c r="D161" s="22"/>
      <c r="E161" s="22"/>
      <c r="F161" s="22"/>
      <c r="G161" s="22"/>
    </row>
    <row r="162" spans="1:7" ht="17.100000000000001" customHeight="1" x14ac:dyDescent="0.2">
      <c r="A162" s="22"/>
      <c r="B162" s="199" t="s">
        <v>1021</v>
      </c>
      <c r="C162" s="200"/>
      <c r="D162" s="2" t="s">
        <v>136</v>
      </c>
      <c r="E162" s="22"/>
      <c r="F162" s="22"/>
      <c r="G162" s="22"/>
    </row>
    <row r="163" spans="1:7" ht="18" customHeight="1" x14ac:dyDescent="0.2">
      <c r="A163" s="22"/>
      <c r="B163" s="26"/>
      <c r="C163" s="26"/>
      <c r="D163" s="27"/>
      <c r="E163" s="22"/>
      <c r="F163" s="22"/>
      <c r="G163" s="22"/>
    </row>
    <row r="164" spans="1:7" s="125" customFormat="1" x14ac:dyDescent="0.2">
      <c r="B164" s="201" t="s">
        <v>825</v>
      </c>
      <c r="C164" s="201"/>
      <c r="D164" s="201"/>
      <c r="E164" s="201"/>
      <c r="F164" s="201"/>
    </row>
    <row r="165" spans="1:7" ht="14.1" customHeight="1" x14ac:dyDescent="0.2">
      <c r="A165" s="22"/>
      <c r="B165" s="19"/>
      <c r="C165" s="19"/>
      <c r="D165" s="22"/>
      <c r="E165" s="22"/>
      <c r="F165" s="22"/>
      <c r="G165" s="22"/>
    </row>
    <row r="166" spans="1:7" ht="29.1" customHeight="1" x14ac:dyDescent="0.2">
      <c r="A166" s="22"/>
      <c r="B166" s="199" t="s">
        <v>146</v>
      </c>
      <c r="C166" s="200"/>
      <c r="D166" s="2" t="s">
        <v>136</v>
      </c>
      <c r="E166" s="22"/>
      <c r="F166" s="22"/>
      <c r="G166" s="22"/>
    </row>
    <row r="167" spans="1:7" ht="29.1" customHeight="1" x14ac:dyDescent="0.2">
      <c r="A167" s="22"/>
      <c r="B167" s="199" t="s">
        <v>147</v>
      </c>
      <c r="C167" s="200"/>
      <c r="D167" s="2" t="s">
        <v>136</v>
      </c>
      <c r="E167" s="22"/>
      <c r="F167" s="22"/>
      <c r="G167" s="22"/>
    </row>
    <row r="168" spans="1:7" ht="17.100000000000001" customHeight="1" x14ac:dyDescent="0.2">
      <c r="A168" s="22"/>
      <c r="B168" s="199" t="s">
        <v>148</v>
      </c>
      <c r="C168" s="200"/>
      <c r="D168" s="28">
        <v>0.42986120962742963</v>
      </c>
      <c r="E168" s="22"/>
      <c r="F168" s="19"/>
      <c r="G168" s="25"/>
    </row>
    <row r="169" spans="1:7" ht="17.100000000000001" customHeight="1" x14ac:dyDescent="0.2">
      <c r="A169" s="22"/>
      <c r="B169" s="199" t="s">
        <v>149</v>
      </c>
      <c r="C169" s="200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169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476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45249</v>
      </c>
      <c r="F7" s="6">
        <v>621.11039849999997</v>
      </c>
      <c r="G7" s="138">
        <v>3.3471724000000001E-2</v>
      </c>
      <c r="H7" s="142"/>
    </row>
    <row r="8" spans="1:14" x14ac:dyDescent="0.2">
      <c r="A8" s="3">
        <v>2</v>
      </c>
      <c r="B8" s="4" t="s">
        <v>154</v>
      </c>
      <c r="C8" s="4" t="s">
        <v>155</v>
      </c>
      <c r="D8" s="4" t="s">
        <v>27</v>
      </c>
      <c r="E8" s="5">
        <v>58698</v>
      </c>
      <c r="F8" s="6">
        <v>544.18915800000002</v>
      </c>
      <c r="G8" s="138">
        <v>2.9326428000000002E-2</v>
      </c>
      <c r="H8" s="142"/>
    </row>
    <row r="9" spans="1:14" x14ac:dyDescent="0.2">
      <c r="A9" s="3">
        <v>3</v>
      </c>
      <c r="B9" s="4" t="s">
        <v>151</v>
      </c>
      <c r="C9" s="4" t="s">
        <v>152</v>
      </c>
      <c r="D9" s="4" t="s">
        <v>153</v>
      </c>
      <c r="E9" s="5">
        <v>14492</v>
      </c>
      <c r="F9" s="6">
        <v>533.99396999999999</v>
      </c>
      <c r="G9" s="138">
        <v>2.8777008E-2</v>
      </c>
      <c r="H9" s="142"/>
    </row>
    <row r="10" spans="1:14" x14ac:dyDescent="0.2">
      <c r="A10" s="3">
        <v>4</v>
      </c>
      <c r="B10" s="4" t="s">
        <v>158</v>
      </c>
      <c r="C10" s="4" t="s">
        <v>159</v>
      </c>
      <c r="D10" s="4" t="s">
        <v>80</v>
      </c>
      <c r="E10" s="5">
        <v>373441</v>
      </c>
      <c r="F10" s="6">
        <v>451.86360999999999</v>
      </c>
      <c r="G10" s="138">
        <v>2.4350991999999998E-2</v>
      </c>
      <c r="H10" s="142"/>
    </row>
    <row r="11" spans="1:14" x14ac:dyDescent="0.2">
      <c r="A11" s="3">
        <v>5</v>
      </c>
      <c r="B11" s="4" t="s">
        <v>302</v>
      </c>
      <c r="C11" s="4" t="s">
        <v>303</v>
      </c>
      <c r="D11" s="4" t="s">
        <v>27</v>
      </c>
      <c r="E11" s="5">
        <v>64998</v>
      </c>
      <c r="F11" s="6">
        <v>442.37638800000002</v>
      </c>
      <c r="G11" s="138">
        <v>2.3839724E-2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53823</v>
      </c>
      <c r="F12" s="6">
        <v>429.02313299999997</v>
      </c>
      <c r="G12" s="138">
        <v>2.3120115E-2</v>
      </c>
      <c r="H12" s="142"/>
    </row>
    <row r="13" spans="1:14" x14ac:dyDescent="0.2">
      <c r="A13" s="3">
        <v>7</v>
      </c>
      <c r="B13" s="4" t="s">
        <v>162</v>
      </c>
      <c r="C13" s="4" t="s">
        <v>163</v>
      </c>
      <c r="D13" s="4" t="s">
        <v>164</v>
      </c>
      <c r="E13" s="5">
        <v>120968</v>
      </c>
      <c r="F13" s="6">
        <v>413.40814</v>
      </c>
      <c r="G13" s="138">
        <v>2.2278620999999998E-2</v>
      </c>
      <c r="H13" s="142"/>
    </row>
    <row r="14" spans="1:14" x14ac:dyDescent="0.2">
      <c r="A14" s="3">
        <v>8</v>
      </c>
      <c r="B14" s="4" t="s">
        <v>52</v>
      </c>
      <c r="C14" s="4" t="s">
        <v>53</v>
      </c>
      <c r="D14" s="4" t="s">
        <v>51</v>
      </c>
      <c r="E14" s="5">
        <v>125731</v>
      </c>
      <c r="F14" s="6">
        <v>389.32604149999997</v>
      </c>
      <c r="G14" s="138">
        <v>2.0980834E-2</v>
      </c>
      <c r="H14" s="142"/>
    </row>
    <row r="15" spans="1:14" x14ac:dyDescent="0.2">
      <c r="A15" s="3">
        <v>9</v>
      </c>
      <c r="B15" s="4" t="s">
        <v>44</v>
      </c>
      <c r="C15" s="4" t="s">
        <v>45</v>
      </c>
      <c r="D15" s="4" t="s">
        <v>27</v>
      </c>
      <c r="E15" s="5">
        <v>31667</v>
      </c>
      <c r="F15" s="6">
        <v>386.71740399999999</v>
      </c>
      <c r="G15" s="138">
        <v>2.0840253999999999E-2</v>
      </c>
      <c r="H15" s="142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51</v>
      </c>
      <c r="E16" s="5">
        <v>80777</v>
      </c>
      <c r="F16" s="6">
        <v>381.79249049999999</v>
      </c>
      <c r="G16" s="138">
        <v>2.0574848999999999E-2</v>
      </c>
      <c r="H16" s="142"/>
      <c r="J16" s="163" t="s">
        <v>1037</v>
      </c>
    </row>
    <row r="17" spans="1:8" x14ac:dyDescent="0.2">
      <c r="A17" s="3">
        <v>11</v>
      </c>
      <c r="B17" s="4" t="s">
        <v>169</v>
      </c>
      <c r="C17" s="4" t="s">
        <v>170</v>
      </c>
      <c r="D17" s="4" t="s">
        <v>164</v>
      </c>
      <c r="E17" s="5">
        <v>10158</v>
      </c>
      <c r="F17" s="6">
        <v>377.50175400000001</v>
      </c>
      <c r="G17" s="138">
        <v>2.0343620999999999E-2</v>
      </c>
      <c r="H17" s="142"/>
    </row>
    <row r="18" spans="1:8" x14ac:dyDescent="0.2">
      <c r="A18" s="3">
        <v>12</v>
      </c>
      <c r="B18" s="4" t="s">
        <v>474</v>
      </c>
      <c r="C18" s="4" t="s">
        <v>475</v>
      </c>
      <c r="D18" s="4" t="s">
        <v>207</v>
      </c>
      <c r="E18" s="5">
        <v>62069</v>
      </c>
      <c r="F18" s="6">
        <v>374.55538050000001</v>
      </c>
      <c r="G18" s="138">
        <v>2.0184840999999999E-2</v>
      </c>
      <c r="H18" s="142"/>
    </row>
    <row r="19" spans="1:8" x14ac:dyDescent="0.2">
      <c r="A19" s="3">
        <v>13</v>
      </c>
      <c r="B19" s="4" t="s">
        <v>456</v>
      </c>
      <c r="C19" s="4" t="s">
        <v>457</v>
      </c>
      <c r="D19" s="4" t="s">
        <v>51</v>
      </c>
      <c r="E19" s="5">
        <v>101250</v>
      </c>
      <c r="F19" s="6">
        <v>335.99812500000002</v>
      </c>
      <c r="G19" s="138">
        <v>1.8106984999999999E-2</v>
      </c>
      <c r="H19" s="142"/>
    </row>
    <row r="20" spans="1:8" ht="25.5" x14ac:dyDescent="0.2">
      <c r="A20" s="3">
        <v>14</v>
      </c>
      <c r="B20" s="4" t="s">
        <v>30</v>
      </c>
      <c r="C20" s="4" t="s">
        <v>31</v>
      </c>
      <c r="D20" s="4" t="s">
        <v>1023</v>
      </c>
      <c r="E20" s="5">
        <v>10728</v>
      </c>
      <c r="F20" s="6">
        <v>333.39942000000002</v>
      </c>
      <c r="G20" s="138">
        <v>1.7966940000000001E-2</v>
      </c>
      <c r="H20" s="142"/>
    </row>
    <row r="21" spans="1:8" x14ac:dyDescent="0.2">
      <c r="A21" s="3">
        <v>15</v>
      </c>
      <c r="B21" s="4" t="s">
        <v>176</v>
      </c>
      <c r="C21" s="4" t="s">
        <v>177</v>
      </c>
      <c r="D21" s="4" t="s">
        <v>1026</v>
      </c>
      <c r="E21" s="5">
        <v>83551</v>
      </c>
      <c r="F21" s="6">
        <v>328.56430749999998</v>
      </c>
      <c r="G21" s="138">
        <v>1.7706375E-2</v>
      </c>
      <c r="H21" s="142"/>
    </row>
    <row r="22" spans="1:8" x14ac:dyDescent="0.2">
      <c r="A22" s="3">
        <v>16</v>
      </c>
      <c r="B22" s="4" t="s">
        <v>179</v>
      </c>
      <c r="C22" s="4" t="s">
        <v>180</v>
      </c>
      <c r="D22" s="4" t="s">
        <v>181</v>
      </c>
      <c r="E22" s="5">
        <v>124748</v>
      </c>
      <c r="F22" s="6">
        <v>308.626552</v>
      </c>
      <c r="G22" s="138">
        <v>1.6631927000000001E-2</v>
      </c>
      <c r="H22" s="142"/>
    </row>
    <row r="23" spans="1:8" ht="25.5" x14ac:dyDescent="0.2">
      <c r="A23" s="3">
        <v>17</v>
      </c>
      <c r="B23" s="4" t="s">
        <v>193</v>
      </c>
      <c r="C23" s="4" t="s">
        <v>194</v>
      </c>
      <c r="D23" s="4" t="s">
        <v>37</v>
      </c>
      <c r="E23" s="5">
        <v>240780</v>
      </c>
      <c r="F23" s="6">
        <v>296.03901000000002</v>
      </c>
      <c r="G23" s="138">
        <v>1.5953583E-2</v>
      </c>
      <c r="H23" s="142"/>
    </row>
    <row r="24" spans="1:8" x14ac:dyDescent="0.2">
      <c r="A24" s="3">
        <v>18</v>
      </c>
      <c r="B24" s="4" t="s">
        <v>182</v>
      </c>
      <c r="C24" s="4" t="s">
        <v>183</v>
      </c>
      <c r="D24" s="4" t="s">
        <v>164</v>
      </c>
      <c r="E24" s="5">
        <v>5528</v>
      </c>
      <c r="F24" s="6">
        <v>295.44119599999999</v>
      </c>
      <c r="G24" s="138">
        <v>1.5921365999999999E-2</v>
      </c>
      <c r="H24" s="142"/>
    </row>
    <row r="25" spans="1:8" x14ac:dyDescent="0.2">
      <c r="A25" s="3">
        <v>19</v>
      </c>
      <c r="B25" s="4" t="s">
        <v>184</v>
      </c>
      <c r="C25" s="4" t="s">
        <v>185</v>
      </c>
      <c r="D25" s="4" t="s">
        <v>173</v>
      </c>
      <c r="E25" s="5">
        <v>21144</v>
      </c>
      <c r="F25" s="6">
        <v>295.349964</v>
      </c>
      <c r="G25" s="138">
        <v>1.5916449999999999E-2</v>
      </c>
      <c r="H25" s="142"/>
    </row>
    <row r="26" spans="1:8" ht="25.5" x14ac:dyDescent="0.2">
      <c r="A26" s="3">
        <v>20</v>
      </c>
      <c r="B26" s="4" t="s">
        <v>191</v>
      </c>
      <c r="C26" s="4" t="s">
        <v>192</v>
      </c>
      <c r="D26" s="4" t="s">
        <v>1023</v>
      </c>
      <c r="E26" s="5">
        <v>111054</v>
      </c>
      <c r="F26" s="6">
        <v>285.18667199999999</v>
      </c>
      <c r="G26" s="138">
        <v>1.5368748999999999E-2</v>
      </c>
      <c r="H26" s="142"/>
    </row>
    <row r="27" spans="1:8" x14ac:dyDescent="0.2">
      <c r="A27" s="3">
        <v>21</v>
      </c>
      <c r="B27" s="4" t="s">
        <v>199</v>
      </c>
      <c r="C27" s="4" t="s">
        <v>200</v>
      </c>
      <c r="D27" s="4" t="s">
        <v>164</v>
      </c>
      <c r="E27" s="5">
        <v>26792</v>
      </c>
      <c r="F27" s="6">
        <v>284.73198000000002</v>
      </c>
      <c r="G27" s="138">
        <v>1.5344244999999999E-2</v>
      </c>
      <c r="H27" s="142"/>
    </row>
    <row r="28" spans="1:8" x14ac:dyDescent="0.2">
      <c r="A28" s="3">
        <v>22</v>
      </c>
      <c r="B28" s="4" t="s">
        <v>201</v>
      </c>
      <c r="C28" s="4" t="s">
        <v>202</v>
      </c>
      <c r="D28" s="4" t="s">
        <v>80</v>
      </c>
      <c r="E28" s="5">
        <v>40036</v>
      </c>
      <c r="F28" s="6">
        <v>274.96724799999998</v>
      </c>
      <c r="G28" s="138">
        <v>1.4818023E-2</v>
      </c>
      <c r="H28" s="142"/>
    </row>
    <row r="29" spans="1:8" x14ac:dyDescent="0.2">
      <c r="A29" s="3">
        <v>23</v>
      </c>
      <c r="B29" s="4" t="s">
        <v>212</v>
      </c>
      <c r="C29" s="4" t="s">
        <v>213</v>
      </c>
      <c r="D29" s="4" t="s">
        <v>1027</v>
      </c>
      <c r="E29" s="5">
        <v>30000</v>
      </c>
      <c r="F29" s="6">
        <v>274.86</v>
      </c>
      <c r="G29" s="138">
        <v>1.4812242999999999E-2</v>
      </c>
      <c r="H29" s="142"/>
    </row>
    <row r="30" spans="1:8" x14ac:dyDescent="0.2">
      <c r="A30" s="3">
        <v>24</v>
      </c>
      <c r="B30" s="4" t="s">
        <v>203</v>
      </c>
      <c r="C30" s="4" t="s">
        <v>204</v>
      </c>
      <c r="D30" s="4" t="s">
        <v>80</v>
      </c>
      <c r="E30" s="5">
        <v>46566</v>
      </c>
      <c r="F30" s="6">
        <v>274.78596599999997</v>
      </c>
      <c r="G30" s="138">
        <v>1.4808253E-2</v>
      </c>
      <c r="H30" s="142"/>
    </row>
    <row r="31" spans="1:8" x14ac:dyDescent="0.2">
      <c r="A31" s="3">
        <v>25</v>
      </c>
      <c r="B31" s="4" t="s">
        <v>197</v>
      </c>
      <c r="C31" s="4" t="s">
        <v>198</v>
      </c>
      <c r="D31" s="4" t="s">
        <v>51</v>
      </c>
      <c r="E31" s="5">
        <v>25415</v>
      </c>
      <c r="F31" s="6">
        <v>260.6689475</v>
      </c>
      <c r="G31" s="138">
        <v>1.4047485E-2</v>
      </c>
      <c r="H31" s="142"/>
    </row>
    <row r="32" spans="1:8" x14ac:dyDescent="0.2">
      <c r="A32" s="3">
        <v>26</v>
      </c>
      <c r="B32" s="4" t="s">
        <v>171</v>
      </c>
      <c r="C32" s="4" t="s">
        <v>172</v>
      </c>
      <c r="D32" s="4" t="s">
        <v>173</v>
      </c>
      <c r="E32" s="5">
        <v>27008</v>
      </c>
      <c r="F32" s="6">
        <v>254.80697599999999</v>
      </c>
      <c r="G32" s="138">
        <v>1.3731583E-2</v>
      </c>
      <c r="H32" s="142"/>
    </row>
    <row r="33" spans="1:8" ht="25.5" x14ac:dyDescent="0.2">
      <c r="A33" s="3">
        <v>27</v>
      </c>
      <c r="B33" s="4" t="s">
        <v>217</v>
      </c>
      <c r="C33" s="4" t="s">
        <v>218</v>
      </c>
      <c r="D33" s="4" t="s">
        <v>90</v>
      </c>
      <c r="E33" s="5">
        <v>55539</v>
      </c>
      <c r="F33" s="6">
        <v>253.56330449999999</v>
      </c>
      <c r="G33" s="138">
        <v>1.3664561E-2</v>
      </c>
      <c r="H33" s="142"/>
    </row>
    <row r="34" spans="1:8" x14ac:dyDescent="0.2">
      <c r="A34" s="3">
        <v>28</v>
      </c>
      <c r="B34" s="4" t="s">
        <v>223</v>
      </c>
      <c r="C34" s="4" t="s">
        <v>224</v>
      </c>
      <c r="D34" s="4" t="s">
        <v>66</v>
      </c>
      <c r="E34" s="5">
        <v>26331</v>
      </c>
      <c r="F34" s="6">
        <v>252.36946950000001</v>
      </c>
      <c r="G34" s="138">
        <v>1.3600225000000001E-2</v>
      </c>
      <c r="H34" s="142"/>
    </row>
    <row r="35" spans="1:8" x14ac:dyDescent="0.2">
      <c r="A35" s="3">
        <v>29</v>
      </c>
      <c r="B35" s="4" t="s">
        <v>214</v>
      </c>
      <c r="C35" s="4" t="s">
        <v>215</v>
      </c>
      <c r="D35" s="4" t="s">
        <v>216</v>
      </c>
      <c r="E35" s="5">
        <v>89345</v>
      </c>
      <c r="F35" s="6">
        <v>243.3311075</v>
      </c>
      <c r="G35" s="138">
        <v>1.3113147E-2</v>
      </c>
      <c r="H35" s="142"/>
    </row>
    <row r="36" spans="1:8" x14ac:dyDescent="0.2">
      <c r="A36" s="3">
        <v>30</v>
      </c>
      <c r="B36" s="4" t="s">
        <v>174</v>
      </c>
      <c r="C36" s="4" t="s">
        <v>175</v>
      </c>
      <c r="D36" s="4" t="s">
        <v>335</v>
      </c>
      <c r="E36" s="5">
        <v>24546</v>
      </c>
      <c r="F36" s="6">
        <v>242.809032</v>
      </c>
      <c r="G36" s="138">
        <v>1.3085012E-2</v>
      </c>
      <c r="H36" s="142"/>
    </row>
    <row r="37" spans="1:8" ht="25.5" x14ac:dyDescent="0.2">
      <c r="A37" s="3">
        <v>31</v>
      </c>
      <c r="B37" s="4" t="s">
        <v>458</v>
      </c>
      <c r="C37" s="4" t="s">
        <v>459</v>
      </c>
      <c r="D37" s="4" t="s">
        <v>37</v>
      </c>
      <c r="E37" s="5">
        <v>17534</v>
      </c>
      <c r="F37" s="6">
        <v>236.61256299999999</v>
      </c>
      <c r="G37" s="138">
        <v>1.2751083E-2</v>
      </c>
      <c r="H37" s="142"/>
    </row>
    <row r="38" spans="1:8" x14ac:dyDescent="0.2">
      <c r="A38" s="3">
        <v>32</v>
      </c>
      <c r="B38" s="4" t="s">
        <v>205</v>
      </c>
      <c r="C38" s="4" t="s">
        <v>206</v>
      </c>
      <c r="D38" s="4" t="s">
        <v>207</v>
      </c>
      <c r="E38" s="5">
        <v>52345</v>
      </c>
      <c r="F38" s="6">
        <v>235.15991249999999</v>
      </c>
      <c r="G38" s="138">
        <v>1.26728E-2</v>
      </c>
      <c r="H38" s="142"/>
    </row>
    <row r="39" spans="1:8" x14ac:dyDescent="0.2">
      <c r="A39" s="3">
        <v>33</v>
      </c>
      <c r="B39" s="4" t="s">
        <v>374</v>
      </c>
      <c r="C39" s="4" t="s">
        <v>375</v>
      </c>
      <c r="D39" s="4" t="s">
        <v>173</v>
      </c>
      <c r="E39" s="5">
        <v>6790</v>
      </c>
      <c r="F39" s="6">
        <v>232.32324499999999</v>
      </c>
      <c r="G39" s="138">
        <v>1.2519931E-2</v>
      </c>
      <c r="H39" s="142"/>
    </row>
    <row r="40" spans="1:8" x14ac:dyDescent="0.2">
      <c r="A40" s="3">
        <v>34</v>
      </c>
      <c r="B40" s="4" t="s">
        <v>221</v>
      </c>
      <c r="C40" s="4" t="s">
        <v>222</v>
      </c>
      <c r="D40" s="4" t="s">
        <v>207</v>
      </c>
      <c r="E40" s="5">
        <v>37335</v>
      </c>
      <c r="F40" s="6">
        <v>230.15160750000001</v>
      </c>
      <c r="G40" s="138">
        <v>1.2402902E-2</v>
      </c>
      <c r="H40" s="142"/>
    </row>
    <row r="41" spans="1:8" x14ac:dyDescent="0.2">
      <c r="A41" s="3">
        <v>35</v>
      </c>
      <c r="B41" s="4" t="s">
        <v>460</v>
      </c>
      <c r="C41" s="4" t="s">
        <v>461</v>
      </c>
      <c r="D41" s="4" t="s">
        <v>27</v>
      </c>
      <c r="E41" s="5">
        <v>25628</v>
      </c>
      <c r="F41" s="6">
        <v>227.46131399999999</v>
      </c>
      <c r="G41" s="138">
        <v>1.2257921E-2</v>
      </c>
      <c r="H41" s="142"/>
    </row>
    <row r="42" spans="1:8" ht="25.5" x14ac:dyDescent="0.2">
      <c r="A42" s="3">
        <v>36</v>
      </c>
      <c r="B42" s="4" t="s">
        <v>231</v>
      </c>
      <c r="C42" s="4" t="s">
        <v>232</v>
      </c>
      <c r="D42" s="4" t="s">
        <v>51</v>
      </c>
      <c r="E42" s="5">
        <v>10609</v>
      </c>
      <c r="F42" s="6">
        <v>227.4410465</v>
      </c>
      <c r="G42" s="138">
        <v>1.2256829E-2</v>
      </c>
      <c r="H42" s="142"/>
    </row>
    <row r="43" spans="1:8" x14ac:dyDescent="0.2">
      <c r="A43" s="3">
        <v>37</v>
      </c>
      <c r="B43" s="4" t="s">
        <v>462</v>
      </c>
      <c r="C43" s="4" t="s">
        <v>463</v>
      </c>
      <c r="D43" s="4" t="s">
        <v>51</v>
      </c>
      <c r="E43" s="5">
        <v>24137</v>
      </c>
      <c r="F43" s="6">
        <v>219.7070425</v>
      </c>
      <c r="G43" s="138">
        <v>1.1840043E-2</v>
      </c>
      <c r="H43" s="142"/>
    </row>
    <row r="44" spans="1:8" x14ac:dyDescent="0.2">
      <c r="A44" s="3">
        <v>38</v>
      </c>
      <c r="B44" s="4" t="s">
        <v>225</v>
      </c>
      <c r="C44" s="4" t="s">
        <v>226</v>
      </c>
      <c r="D44" s="4" t="s">
        <v>1028</v>
      </c>
      <c r="E44" s="5">
        <v>38477</v>
      </c>
      <c r="F44" s="6">
        <v>217.895251</v>
      </c>
      <c r="G44" s="138">
        <v>1.1742404999999999E-2</v>
      </c>
      <c r="H44" s="142"/>
    </row>
    <row r="45" spans="1:8" x14ac:dyDescent="0.2">
      <c r="A45" s="3">
        <v>39</v>
      </c>
      <c r="B45" s="4" t="s">
        <v>229</v>
      </c>
      <c r="C45" s="4" t="s">
        <v>230</v>
      </c>
      <c r="D45" s="4" t="s">
        <v>51</v>
      </c>
      <c r="E45" s="5">
        <v>24424</v>
      </c>
      <c r="F45" s="6">
        <v>212.24456000000001</v>
      </c>
      <c r="G45" s="138">
        <v>1.1437888E-2</v>
      </c>
      <c r="H45" s="142"/>
    </row>
    <row r="46" spans="1:8" x14ac:dyDescent="0.2">
      <c r="A46" s="3">
        <v>40</v>
      </c>
      <c r="B46" s="4" t="s">
        <v>466</v>
      </c>
      <c r="C46" s="4" t="s">
        <v>467</v>
      </c>
      <c r="D46" s="4" t="s">
        <v>216</v>
      </c>
      <c r="E46" s="5">
        <v>31100</v>
      </c>
      <c r="F46" s="6">
        <v>202.95859999999999</v>
      </c>
      <c r="G46" s="138">
        <v>1.0937466999999999E-2</v>
      </c>
      <c r="H46" s="142"/>
    </row>
    <row r="47" spans="1:8" x14ac:dyDescent="0.2">
      <c r="A47" s="3">
        <v>41</v>
      </c>
      <c r="B47" s="4" t="s">
        <v>235</v>
      </c>
      <c r="C47" s="4" t="s">
        <v>236</v>
      </c>
      <c r="D47" s="4" t="s">
        <v>27</v>
      </c>
      <c r="E47" s="5">
        <v>11898</v>
      </c>
      <c r="F47" s="6">
        <v>201.66515100000001</v>
      </c>
      <c r="G47" s="138">
        <v>1.0867763000000001E-2</v>
      </c>
      <c r="H47" s="142"/>
    </row>
    <row r="48" spans="1:8" x14ac:dyDescent="0.2">
      <c r="A48" s="3">
        <v>42</v>
      </c>
      <c r="B48" s="4" t="s">
        <v>464</v>
      </c>
      <c r="C48" s="4" t="s">
        <v>465</v>
      </c>
      <c r="D48" s="4" t="s">
        <v>48</v>
      </c>
      <c r="E48" s="5">
        <v>47887</v>
      </c>
      <c r="F48" s="6">
        <v>200.981739</v>
      </c>
      <c r="G48" s="138">
        <v>1.0830932999999999E-2</v>
      </c>
      <c r="H48" s="142"/>
    </row>
    <row r="49" spans="1:8" x14ac:dyDescent="0.2">
      <c r="A49" s="3">
        <v>43</v>
      </c>
      <c r="B49" s="4" t="s">
        <v>227</v>
      </c>
      <c r="C49" s="4" t="s">
        <v>228</v>
      </c>
      <c r="D49" s="4" t="s">
        <v>66</v>
      </c>
      <c r="E49" s="5">
        <v>203257</v>
      </c>
      <c r="F49" s="6">
        <v>200.1065165</v>
      </c>
      <c r="G49" s="138">
        <v>1.0783767E-2</v>
      </c>
      <c r="H49" s="142"/>
    </row>
    <row r="50" spans="1:8" x14ac:dyDescent="0.2">
      <c r="A50" s="3">
        <v>44</v>
      </c>
      <c r="B50" s="4" t="s">
        <v>188</v>
      </c>
      <c r="C50" s="4" t="s">
        <v>189</v>
      </c>
      <c r="D50" s="4" t="s">
        <v>190</v>
      </c>
      <c r="E50" s="5">
        <v>19644</v>
      </c>
      <c r="F50" s="6">
        <v>195.624774</v>
      </c>
      <c r="G50" s="138">
        <v>1.0542246E-2</v>
      </c>
      <c r="H50" s="142"/>
    </row>
    <row r="51" spans="1:8" x14ac:dyDescent="0.2">
      <c r="A51" s="3">
        <v>45</v>
      </c>
      <c r="B51" s="4" t="s">
        <v>239</v>
      </c>
      <c r="C51" s="4" t="s">
        <v>240</v>
      </c>
      <c r="D51" s="4" t="s">
        <v>207</v>
      </c>
      <c r="E51" s="5">
        <v>10472</v>
      </c>
      <c r="F51" s="6">
        <v>195.50700399999999</v>
      </c>
      <c r="G51" s="138">
        <v>1.0535899E-2</v>
      </c>
      <c r="H51" s="142"/>
    </row>
    <row r="52" spans="1:8" ht="25.5" x14ac:dyDescent="0.2">
      <c r="A52" s="3">
        <v>46</v>
      </c>
      <c r="B52" s="4" t="s">
        <v>178</v>
      </c>
      <c r="C52" s="4" t="s">
        <v>933</v>
      </c>
      <c r="D52" s="4" t="s">
        <v>37</v>
      </c>
      <c r="E52" s="5">
        <v>74468</v>
      </c>
      <c r="F52" s="6">
        <v>192.23914199999999</v>
      </c>
      <c r="G52" s="138">
        <v>1.0359794E-2</v>
      </c>
      <c r="H52" s="142"/>
    </row>
    <row r="53" spans="1:8" x14ac:dyDescent="0.2">
      <c r="A53" s="3">
        <v>47</v>
      </c>
      <c r="B53" s="4" t="s">
        <v>246</v>
      </c>
      <c r="C53" s="4" t="s">
        <v>247</v>
      </c>
      <c r="D53" s="4" t="s">
        <v>80</v>
      </c>
      <c r="E53" s="5">
        <v>343505</v>
      </c>
      <c r="F53" s="6">
        <v>188.75599750000001</v>
      </c>
      <c r="G53" s="138">
        <v>1.0172086E-2</v>
      </c>
      <c r="H53" s="142"/>
    </row>
    <row r="54" spans="1:8" ht="25.5" x14ac:dyDescent="0.2">
      <c r="A54" s="3">
        <v>48</v>
      </c>
      <c r="B54" s="4" t="s">
        <v>244</v>
      </c>
      <c r="C54" s="4" t="s">
        <v>245</v>
      </c>
      <c r="D54" s="4" t="s">
        <v>1029</v>
      </c>
      <c r="E54" s="5">
        <v>168751</v>
      </c>
      <c r="F54" s="6">
        <v>188.41049150000001</v>
      </c>
      <c r="G54" s="138">
        <v>1.0153466999999999E-2</v>
      </c>
      <c r="H54" s="142"/>
    </row>
    <row r="55" spans="1:8" x14ac:dyDescent="0.2">
      <c r="A55" s="3">
        <v>49</v>
      </c>
      <c r="B55" s="4" t="s">
        <v>296</v>
      </c>
      <c r="C55" s="4" t="s">
        <v>297</v>
      </c>
      <c r="D55" s="4" t="s">
        <v>27</v>
      </c>
      <c r="E55" s="5">
        <v>15183</v>
      </c>
      <c r="F55" s="6">
        <v>185.779188</v>
      </c>
      <c r="G55" s="138">
        <v>1.0011666000000001E-2</v>
      </c>
      <c r="H55" s="142"/>
    </row>
    <row r="56" spans="1:8" x14ac:dyDescent="0.2">
      <c r="A56" s="3">
        <v>50</v>
      </c>
      <c r="B56" s="4" t="s">
        <v>468</v>
      </c>
      <c r="C56" s="4" t="s">
        <v>469</v>
      </c>
      <c r="D56" s="4" t="s">
        <v>1024</v>
      </c>
      <c r="E56" s="5">
        <v>190295</v>
      </c>
      <c r="F56" s="6">
        <v>185.72792000000001</v>
      </c>
      <c r="G56" s="138">
        <v>1.0008903E-2</v>
      </c>
      <c r="H56" s="142"/>
    </row>
    <row r="57" spans="1:8" x14ac:dyDescent="0.2">
      <c r="A57" s="3">
        <v>51</v>
      </c>
      <c r="B57" s="4" t="s">
        <v>195</v>
      </c>
      <c r="C57" s="4" t="s">
        <v>196</v>
      </c>
      <c r="D57" s="4" t="s">
        <v>24</v>
      </c>
      <c r="E57" s="5">
        <v>97287</v>
      </c>
      <c r="F57" s="6">
        <v>185.72088299999999</v>
      </c>
      <c r="G57" s="138">
        <v>1.0008524E-2</v>
      </c>
      <c r="H57" s="142"/>
    </row>
    <row r="58" spans="1:8" x14ac:dyDescent="0.2">
      <c r="A58" s="3">
        <v>52</v>
      </c>
      <c r="B58" s="4" t="s">
        <v>42</v>
      </c>
      <c r="C58" s="4" t="s">
        <v>43</v>
      </c>
      <c r="D58" s="4" t="s">
        <v>27</v>
      </c>
      <c r="E58" s="5">
        <v>8450</v>
      </c>
      <c r="F58" s="6">
        <v>185.60002499999999</v>
      </c>
      <c r="G58" s="138">
        <v>1.0002011E-2</v>
      </c>
      <c r="H58" s="142"/>
    </row>
    <row r="59" spans="1:8" x14ac:dyDescent="0.2">
      <c r="A59" s="3">
        <v>53</v>
      </c>
      <c r="B59" s="4" t="s">
        <v>241</v>
      </c>
      <c r="C59" s="4" t="s">
        <v>242</v>
      </c>
      <c r="D59" s="4" t="s">
        <v>243</v>
      </c>
      <c r="E59" s="5">
        <v>37439</v>
      </c>
      <c r="F59" s="6">
        <v>185.39792800000001</v>
      </c>
      <c r="G59" s="138">
        <v>9.9911199999999992E-3</v>
      </c>
      <c r="H59" s="142"/>
    </row>
    <row r="60" spans="1:8" x14ac:dyDescent="0.2">
      <c r="A60" s="3">
        <v>54</v>
      </c>
      <c r="B60" s="4" t="s">
        <v>257</v>
      </c>
      <c r="C60" s="4" t="s">
        <v>258</v>
      </c>
      <c r="D60" s="4" t="s">
        <v>173</v>
      </c>
      <c r="E60" s="5">
        <v>50534</v>
      </c>
      <c r="F60" s="6">
        <v>176.869</v>
      </c>
      <c r="G60" s="138">
        <v>9.5314949999999992E-3</v>
      </c>
      <c r="H60" s="142"/>
    </row>
    <row r="61" spans="1:8" ht="25.5" x14ac:dyDescent="0.2">
      <c r="A61" s="3">
        <v>55</v>
      </c>
      <c r="B61" s="4" t="s">
        <v>252</v>
      </c>
      <c r="C61" s="4" t="s">
        <v>253</v>
      </c>
      <c r="D61" s="4" t="s">
        <v>90</v>
      </c>
      <c r="E61" s="5">
        <v>41627</v>
      </c>
      <c r="F61" s="6">
        <v>175.12478899999999</v>
      </c>
      <c r="G61" s="138">
        <v>9.4374990000000002E-3</v>
      </c>
      <c r="H61" s="142"/>
    </row>
    <row r="62" spans="1:8" ht="25.5" x14ac:dyDescent="0.2">
      <c r="A62" s="3">
        <v>56</v>
      </c>
      <c r="B62" s="4" t="s">
        <v>255</v>
      </c>
      <c r="C62" s="4" t="s">
        <v>256</v>
      </c>
      <c r="D62" s="4" t="s">
        <v>90</v>
      </c>
      <c r="E62" s="5">
        <v>43436</v>
      </c>
      <c r="F62" s="6">
        <v>167.03313800000001</v>
      </c>
      <c r="G62" s="138">
        <v>9.001439E-3</v>
      </c>
      <c r="H62" s="142"/>
    </row>
    <row r="63" spans="1:8" x14ac:dyDescent="0.2">
      <c r="A63" s="3">
        <v>57</v>
      </c>
      <c r="B63" s="4" t="s">
        <v>74</v>
      </c>
      <c r="C63" s="4" t="s">
        <v>75</v>
      </c>
      <c r="D63" s="4" t="s">
        <v>66</v>
      </c>
      <c r="E63" s="5">
        <v>40384</v>
      </c>
      <c r="F63" s="6">
        <v>165.5744</v>
      </c>
      <c r="G63" s="138">
        <v>8.9228269999999995E-3</v>
      </c>
      <c r="H63" s="142"/>
    </row>
    <row r="64" spans="1:8" x14ac:dyDescent="0.2">
      <c r="A64" s="3">
        <v>58</v>
      </c>
      <c r="B64" s="4" t="s">
        <v>210</v>
      </c>
      <c r="C64" s="4" t="s">
        <v>211</v>
      </c>
      <c r="D64" s="4" t="s">
        <v>34</v>
      </c>
      <c r="E64" s="5">
        <v>39951</v>
      </c>
      <c r="F64" s="6">
        <v>161.481942</v>
      </c>
      <c r="G64" s="138">
        <v>8.7022839999999994E-3</v>
      </c>
      <c r="H64" s="142"/>
    </row>
    <row r="65" spans="1:8" x14ac:dyDescent="0.2">
      <c r="A65" s="3">
        <v>59</v>
      </c>
      <c r="B65" s="4" t="s">
        <v>261</v>
      </c>
      <c r="C65" s="4" t="s">
        <v>262</v>
      </c>
      <c r="D65" s="4" t="s">
        <v>51</v>
      </c>
      <c r="E65" s="5">
        <v>70796</v>
      </c>
      <c r="F65" s="6">
        <v>157.30871200000001</v>
      </c>
      <c r="G65" s="138">
        <v>8.4773880000000006E-3</v>
      </c>
      <c r="H65" s="142"/>
    </row>
    <row r="66" spans="1:8" x14ac:dyDescent="0.2">
      <c r="A66" s="3">
        <v>60</v>
      </c>
      <c r="B66" s="4" t="s">
        <v>267</v>
      </c>
      <c r="C66" s="4" t="s">
        <v>268</v>
      </c>
      <c r="D66" s="4" t="s">
        <v>1024</v>
      </c>
      <c r="E66" s="5">
        <v>8866</v>
      </c>
      <c r="F66" s="6">
        <v>147.05590900000001</v>
      </c>
      <c r="G66" s="138">
        <v>7.9248630000000007E-3</v>
      </c>
      <c r="H66" s="142"/>
    </row>
    <row r="67" spans="1:8" x14ac:dyDescent="0.2">
      <c r="A67" s="3">
        <v>61</v>
      </c>
      <c r="B67" s="4" t="s">
        <v>265</v>
      </c>
      <c r="C67" s="4" t="s">
        <v>266</v>
      </c>
      <c r="D67" s="4" t="s">
        <v>59</v>
      </c>
      <c r="E67" s="5">
        <v>14169</v>
      </c>
      <c r="F67" s="6">
        <v>146.54288249999999</v>
      </c>
      <c r="G67" s="138">
        <v>7.8972160000000003E-3</v>
      </c>
      <c r="H67" s="142"/>
    </row>
    <row r="68" spans="1:8" x14ac:dyDescent="0.2">
      <c r="A68" s="3">
        <v>62</v>
      </c>
      <c r="B68" s="4" t="s">
        <v>250</v>
      </c>
      <c r="C68" s="4" t="s">
        <v>251</v>
      </c>
      <c r="D68" s="4" t="s">
        <v>164</v>
      </c>
      <c r="E68" s="5">
        <v>9429</v>
      </c>
      <c r="F68" s="6">
        <v>130.11548550000001</v>
      </c>
      <c r="G68" s="138">
        <v>7.0119409999999998E-3</v>
      </c>
      <c r="H68" s="142"/>
    </row>
    <row r="69" spans="1:8" x14ac:dyDescent="0.2">
      <c r="A69" s="3">
        <v>63</v>
      </c>
      <c r="B69" s="4" t="s">
        <v>273</v>
      </c>
      <c r="C69" s="4" t="s">
        <v>274</v>
      </c>
      <c r="D69" s="4" t="s">
        <v>173</v>
      </c>
      <c r="E69" s="5">
        <v>21471</v>
      </c>
      <c r="F69" s="6">
        <v>128.65423200000001</v>
      </c>
      <c r="G69" s="138">
        <v>6.9331940000000002E-3</v>
      </c>
      <c r="H69" s="142"/>
    </row>
    <row r="70" spans="1:8" x14ac:dyDescent="0.2">
      <c r="A70" s="3">
        <v>64</v>
      </c>
      <c r="B70" s="4" t="s">
        <v>280</v>
      </c>
      <c r="C70" s="4" t="s">
        <v>281</v>
      </c>
      <c r="D70" s="4" t="s">
        <v>24</v>
      </c>
      <c r="E70" s="5">
        <v>140383</v>
      </c>
      <c r="F70" s="6">
        <v>127.74853</v>
      </c>
      <c r="G70" s="138">
        <v>6.8843860000000002E-3</v>
      </c>
      <c r="H70" s="142"/>
    </row>
    <row r="71" spans="1:8" x14ac:dyDescent="0.2">
      <c r="A71" s="3">
        <v>65</v>
      </c>
      <c r="B71" s="4" t="s">
        <v>269</v>
      </c>
      <c r="C71" s="4" t="s">
        <v>270</v>
      </c>
      <c r="D71" s="4" t="s">
        <v>1028</v>
      </c>
      <c r="E71" s="5">
        <v>108405</v>
      </c>
      <c r="F71" s="6">
        <v>125.53299</v>
      </c>
      <c r="G71" s="138">
        <v>6.7649900000000002E-3</v>
      </c>
      <c r="H71" s="142"/>
    </row>
    <row r="72" spans="1:8" x14ac:dyDescent="0.2">
      <c r="A72" s="3">
        <v>66</v>
      </c>
      <c r="B72" s="4" t="s">
        <v>286</v>
      </c>
      <c r="C72" s="4" t="s">
        <v>287</v>
      </c>
      <c r="D72" s="4" t="s">
        <v>207</v>
      </c>
      <c r="E72" s="5">
        <v>34046</v>
      </c>
      <c r="F72" s="6">
        <v>122.92308300000001</v>
      </c>
      <c r="G72" s="138">
        <v>6.6243420000000001E-3</v>
      </c>
      <c r="H72" s="142"/>
    </row>
    <row r="73" spans="1:8" x14ac:dyDescent="0.2">
      <c r="A73" s="3">
        <v>67</v>
      </c>
      <c r="B73" s="4" t="s">
        <v>470</v>
      </c>
      <c r="C73" s="4" t="s">
        <v>471</v>
      </c>
      <c r="D73" s="4" t="s">
        <v>80</v>
      </c>
      <c r="E73" s="5">
        <v>19196</v>
      </c>
      <c r="F73" s="6">
        <v>122.17294200000001</v>
      </c>
      <c r="G73" s="138">
        <v>6.5839169999999999E-3</v>
      </c>
      <c r="H73" s="142"/>
    </row>
    <row r="74" spans="1:8" x14ac:dyDescent="0.2">
      <c r="A74" s="3">
        <v>68</v>
      </c>
      <c r="B74" s="4" t="s">
        <v>277</v>
      </c>
      <c r="C74" s="4" t="s">
        <v>278</v>
      </c>
      <c r="D74" s="4" t="s">
        <v>279</v>
      </c>
      <c r="E74" s="5">
        <v>52168</v>
      </c>
      <c r="F74" s="6">
        <v>120.92542400000001</v>
      </c>
      <c r="G74" s="138">
        <v>6.5166879999999996E-3</v>
      </c>
      <c r="H74" s="142"/>
    </row>
    <row r="75" spans="1:8" x14ac:dyDescent="0.2">
      <c r="A75" s="3">
        <v>69</v>
      </c>
      <c r="B75" s="4" t="s">
        <v>275</v>
      </c>
      <c r="C75" s="4" t="s">
        <v>276</v>
      </c>
      <c r="D75" s="4" t="s">
        <v>335</v>
      </c>
      <c r="E75" s="5">
        <v>9457</v>
      </c>
      <c r="F75" s="6">
        <v>116.897977</v>
      </c>
      <c r="G75" s="138">
        <v>6.2996479999999997E-3</v>
      </c>
      <c r="H75" s="142"/>
    </row>
    <row r="76" spans="1:8" x14ac:dyDescent="0.2">
      <c r="A76" s="3">
        <v>70</v>
      </c>
      <c r="B76" s="4" t="s">
        <v>282</v>
      </c>
      <c r="C76" s="4" t="s">
        <v>283</v>
      </c>
      <c r="D76" s="4" t="s">
        <v>207</v>
      </c>
      <c r="E76" s="5">
        <v>2097</v>
      </c>
      <c r="F76" s="6">
        <v>113.313492</v>
      </c>
      <c r="G76" s="138">
        <v>6.1064800000000001E-3</v>
      </c>
      <c r="H76" s="142"/>
    </row>
    <row r="77" spans="1:8" x14ac:dyDescent="0.2">
      <c r="A77" s="3">
        <v>71</v>
      </c>
      <c r="B77" s="4" t="s">
        <v>284</v>
      </c>
      <c r="C77" s="4" t="s">
        <v>285</v>
      </c>
      <c r="D77" s="4" t="s">
        <v>164</v>
      </c>
      <c r="E77" s="5">
        <v>19860</v>
      </c>
      <c r="F77" s="6">
        <v>95.33793</v>
      </c>
      <c r="G77" s="138">
        <v>5.1377740000000003E-3</v>
      </c>
      <c r="H77" s="142"/>
    </row>
    <row r="78" spans="1:8" x14ac:dyDescent="0.2">
      <c r="A78" s="3">
        <v>72</v>
      </c>
      <c r="B78" s="4" t="s">
        <v>304</v>
      </c>
      <c r="C78" s="4" t="s">
        <v>305</v>
      </c>
      <c r="D78" s="4" t="s">
        <v>1028</v>
      </c>
      <c r="E78" s="5">
        <v>244905</v>
      </c>
      <c r="F78" s="6">
        <v>94.288425000000004</v>
      </c>
      <c r="G78" s="138">
        <v>5.0812160000000004E-3</v>
      </c>
      <c r="H78" s="142"/>
    </row>
    <row r="79" spans="1:8" x14ac:dyDescent="0.2">
      <c r="A79" s="3">
        <v>73</v>
      </c>
      <c r="B79" s="4" t="s">
        <v>288</v>
      </c>
      <c r="C79" s="4" t="s">
        <v>289</v>
      </c>
      <c r="D79" s="4" t="s">
        <v>153</v>
      </c>
      <c r="E79" s="5">
        <v>6324</v>
      </c>
      <c r="F79" s="6">
        <v>88.279877999999997</v>
      </c>
      <c r="G79" s="138">
        <v>4.7574150000000001E-3</v>
      </c>
      <c r="H79" s="142"/>
    </row>
    <row r="80" spans="1:8" x14ac:dyDescent="0.2">
      <c r="A80" s="3">
        <v>74</v>
      </c>
      <c r="B80" s="4" t="s">
        <v>290</v>
      </c>
      <c r="C80" s="4" t="s">
        <v>291</v>
      </c>
      <c r="D80" s="4" t="s">
        <v>153</v>
      </c>
      <c r="E80" s="5">
        <v>3720</v>
      </c>
      <c r="F80" s="6">
        <v>22.78314</v>
      </c>
      <c r="G80" s="138">
        <v>1.2277869999999999E-3</v>
      </c>
      <c r="H80" s="142"/>
    </row>
    <row r="81" spans="1:8" x14ac:dyDescent="0.2">
      <c r="A81" s="3">
        <v>75</v>
      </c>
      <c r="B81" s="4" t="s">
        <v>292</v>
      </c>
      <c r="C81" s="4" t="s">
        <v>293</v>
      </c>
      <c r="D81" s="4" t="s">
        <v>24</v>
      </c>
      <c r="E81" s="5">
        <v>34409</v>
      </c>
      <c r="F81" s="6">
        <v>21.402398000000002</v>
      </c>
      <c r="G81" s="138">
        <v>1.153378E-3</v>
      </c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17902.195746000001</v>
      </c>
      <c r="G82" s="139">
        <v>0.964751778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107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108</v>
      </c>
      <c r="D87" s="1"/>
      <c r="E87" s="1"/>
      <c r="F87" s="1"/>
      <c r="G87" s="137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109</v>
      </c>
      <c r="D90" s="1"/>
      <c r="E90" s="1"/>
      <c r="F90" s="1"/>
      <c r="G90" s="137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111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112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113</v>
      </c>
      <c r="D99" s="1"/>
      <c r="E99" s="1"/>
      <c r="F99" s="9">
        <v>17902.195746000001</v>
      </c>
      <c r="G99" s="139">
        <v>0.964751778</v>
      </c>
      <c r="H99" s="142"/>
    </row>
    <row r="100" spans="1:8" x14ac:dyDescent="0.2">
      <c r="A100" s="1"/>
      <c r="B100" s="1"/>
      <c r="C100" s="11"/>
      <c r="D100" s="1"/>
      <c r="E100" s="1"/>
      <c r="F100" s="12"/>
      <c r="G100" s="140"/>
      <c r="H100" s="142"/>
    </row>
    <row r="101" spans="1:8" x14ac:dyDescent="0.2">
      <c r="A101" s="1"/>
      <c r="B101" s="1"/>
      <c r="C101" s="2" t="s">
        <v>114</v>
      </c>
      <c r="D101" s="1"/>
      <c r="E101" s="1"/>
      <c r="F101" s="12"/>
      <c r="G101" s="140"/>
      <c r="H101" s="142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115</v>
      </c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1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116</v>
      </c>
      <c r="D108" s="1"/>
      <c r="E108" s="1"/>
      <c r="F108" s="1"/>
      <c r="G108" s="137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117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118</v>
      </c>
      <c r="D114" s="1"/>
      <c r="E114" s="1"/>
      <c r="F114" s="9">
        <v>0</v>
      </c>
      <c r="G114" s="139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120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1"/>
      <c r="C120" s="2" t="s">
        <v>121</v>
      </c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1">
        <v>0</v>
      </c>
      <c r="H121" s="142"/>
    </row>
    <row r="122" spans="1:8" x14ac:dyDescent="0.2">
      <c r="A122" s="1"/>
      <c r="B122" s="1"/>
      <c r="C122" s="11"/>
      <c r="D122" s="1"/>
      <c r="E122" s="1"/>
      <c r="F122" s="12"/>
      <c r="G122" s="140"/>
      <c r="H122" s="142"/>
    </row>
    <row r="123" spans="1:8" x14ac:dyDescent="0.2">
      <c r="A123" s="1"/>
      <c r="B123" s="1"/>
      <c r="C123" s="2" t="s">
        <v>122</v>
      </c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1">
        <v>0</v>
      </c>
      <c r="H124" s="142"/>
    </row>
    <row r="125" spans="1:8" x14ac:dyDescent="0.2">
      <c r="A125" s="1"/>
      <c r="B125" s="1"/>
      <c r="C125" s="11"/>
      <c r="D125" s="1"/>
      <c r="E125" s="1"/>
      <c r="F125" s="12"/>
      <c r="G125" s="140"/>
      <c r="H125" s="142"/>
    </row>
    <row r="126" spans="1:8" x14ac:dyDescent="0.2">
      <c r="A126" s="1"/>
      <c r="B126" s="1"/>
      <c r="C126" s="2" t="s">
        <v>123</v>
      </c>
      <c r="D126" s="1"/>
      <c r="E126" s="1"/>
      <c r="F126" s="12"/>
      <c r="G126" s="140"/>
      <c r="H126" s="142"/>
    </row>
    <row r="127" spans="1:8" x14ac:dyDescent="0.2">
      <c r="A127" s="3">
        <v>1</v>
      </c>
      <c r="B127" s="4"/>
      <c r="C127" s="4" t="s">
        <v>124</v>
      </c>
      <c r="D127" s="4"/>
      <c r="E127" s="8"/>
      <c r="F127" s="6">
        <v>603.90237390000004</v>
      </c>
      <c r="G127" s="138">
        <v>3.2544380999999997E-2</v>
      </c>
      <c r="H127" s="152">
        <v>3.3197683930276081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603.90237390000004</v>
      </c>
      <c r="G128" s="139">
        <v>3.2544380999999997E-2</v>
      </c>
      <c r="H128" s="142"/>
    </row>
    <row r="129" spans="1:8" x14ac:dyDescent="0.2">
      <c r="A129" s="1"/>
      <c r="B129" s="1"/>
      <c r="C129" s="11"/>
      <c r="D129" s="1"/>
      <c r="E129" s="1"/>
      <c r="F129" s="12"/>
      <c r="G129" s="140"/>
      <c r="H129" s="142"/>
    </row>
    <row r="130" spans="1:8" x14ac:dyDescent="0.2">
      <c r="A130" s="1"/>
      <c r="B130" s="1"/>
      <c r="C130" s="2" t="s">
        <v>125</v>
      </c>
      <c r="D130" s="1"/>
      <c r="E130" s="1"/>
      <c r="F130" s="9">
        <v>603.90237390000004</v>
      </c>
      <c r="G130" s="139">
        <v>3.2544380999999997E-2</v>
      </c>
      <c r="H130" s="142"/>
    </row>
    <row r="131" spans="1:8" x14ac:dyDescent="0.2">
      <c r="A131" s="1"/>
      <c r="B131" s="1"/>
      <c r="C131" s="12"/>
      <c r="D131" s="1"/>
      <c r="E131" s="1"/>
      <c r="F131" s="1"/>
      <c r="G131" s="137"/>
      <c r="H131" s="142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1">
        <v>0</v>
      </c>
      <c r="H134" s="142"/>
    </row>
    <row r="135" spans="1:8" x14ac:dyDescent="0.2">
      <c r="A135" s="1"/>
      <c r="B135" s="1"/>
      <c r="C135" s="11"/>
      <c r="D135" s="1"/>
      <c r="E135" s="1"/>
      <c r="F135" s="12"/>
      <c r="G135" s="140"/>
      <c r="H135" s="142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37"/>
      <c r="H136" s="142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1">
        <v>0</v>
      </c>
      <c r="H138" s="142"/>
    </row>
    <row r="139" spans="1:8" x14ac:dyDescent="0.2">
      <c r="A139" s="1"/>
      <c r="B139" s="1"/>
      <c r="C139" s="11"/>
      <c r="D139" s="1"/>
      <c r="E139" s="1"/>
      <c r="F139" s="12"/>
      <c r="G139" s="140"/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40"/>
      <c r="H141" s="142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1">
        <v>0</v>
      </c>
      <c r="H142" s="142"/>
    </row>
    <row r="143" spans="1:8" x14ac:dyDescent="0.2">
      <c r="A143" s="1"/>
      <c r="B143" s="1"/>
      <c r="C143" s="11"/>
      <c r="D143" s="1"/>
      <c r="E143" s="1"/>
      <c r="F143" s="12"/>
      <c r="G143" s="140"/>
      <c r="H143" s="142"/>
    </row>
    <row r="144" spans="1:8" x14ac:dyDescent="0.2">
      <c r="A144" s="1"/>
      <c r="B144" s="4"/>
      <c r="C144" s="4"/>
      <c r="D144" s="2"/>
      <c r="E144" s="1"/>
      <c r="F144" s="4"/>
      <c r="G144" s="143"/>
      <c r="H144" s="142"/>
    </row>
    <row r="145" spans="1:8" x14ac:dyDescent="0.2">
      <c r="A145" s="8"/>
      <c r="B145" s="4"/>
      <c r="C145" s="4" t="s">
        <v>131</v>
      </c>
      <c r="D145" s="4"/>
      <c r="E145" s="8"/>
      <c r="F145" s="6">
        <v>50.173288620000001</v>
      </c>
      <c r="G145" s="138">
        <v>2.7038449999999999E-3</v>
      </c>
      <c r="H145" s="142"/>
    </row>
    <row r="146" spans="1:8" x14ac:dyDescent="0.2">
      <c r="A146" s="11"/>
      <c r="B146" s="11"/>
      <c r="C146" s="2" t="s">
        <v>132</v>
      </c>
      <c r="D146" s="15"/>
      <c r="E146" s="15"/>
      <c r="F146" s="9">
        <v>18556.271408519999</v>
      </c>
      <c r="G146" s="139">
        <v>1.0000000040000001</v>
      </c>
      <c r="H146" s="142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205" t="s">
        <v>106</v>
      </c>
      <c r="C148" s="205"/>
      <c r="D148" s="205"/>
      <c r="E148" s="205"/>
      <c r="F148" s="205"/>
      <c r="G148" s="20"/>
    </row>
    <row r="149" spans="1:8" ht="14.1" customHeight="1" x14ac:dyDescent="0.2">
      <c r="A149" s="18"/>
      <c r="B149" s="205" t="s">
        <v>106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203" t="s">
        <v>134</v>
      </c>
      <c r="C151" s="204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99" t="s">
        <v>135</v>
      </c>
      <c r="C152" s="200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99" t="s">
        <v>137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138</v>
      </c>
      <c r="C154" s="200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x14ac:dyDescent="0.2">
      <c r="A157" s="22"/>
      <c r="B157" s="4" t="s">
        <v>144</v>
      </c>
      <c r="C157" s="24">
        <v>16.832000000000001</v>
      </c>
      <c r="D157" s="24">
        <v>17.558599999999998</v>
      </c>
      <c r="E157" s="22"/>
      <c r="F157" s="19"/>
      <c r="G157" s="25"/>
    </row>
    <row r="158" spans="1:8" x14ac:dyDescent="0.2">
      <c r="A158" s="22"/>
      <c r="B158" s="4" t="s">
        <v>1019</v>
      </c>
      <c r="C158" s="24">
        <v>16.231400000000001</v>
      </c>
      <c r="D158" s="24">
        <v>16.931999999999999</v>
      </c>
      <c r="E158" s="22"/>
      <c r="F158" s="19"/>
      <c r="G158" s="25"/>
    </row>
    <row r="159" spans="1:8" x14ac:dyDescent="0.2">
      <c r="A159" s="22"/>
      <c r="B159" s="4" t="s">
        <v>145</v>
      </c>
      <c r="C159" s="24">
        <v>16.374500000000001</v>
      </c>
      <c r="D159" s="24">
        <v>17.072900000000001</v>
      </c>
      <c r="E159" s="22"/>
      <c r="F159" s="19"/>
      <c r="G159" s="25"/>
    </row>
    <row r="160" spans="1:8" x14ac:dyDescent="0.2">
      <c r="A160" s="22"/>
      <c r="B160" s="4" t="s">
        <v>1020</v>
      </c>
      <c r="C160" s="24">
        <v>15.775</v>
      </c>
      <c r="D160" s="24">
        <v>16.447800000000001</v>
      </c>
      <c r="E160" s="22"/>
      <c r="F160" s="19"/>
      <c r="G160" s="25"/>
    </row>
    <row r="161" spans="1:7" ht="14.1" customHeight="1" x14ac:dyDescent="0.2">
      <c r="A161" s="22"/>
      <c r="B161" s="22"/>
      <c r="C161" s="22"/>
      <c r="D161" s="22"/>
      <c r="E161" s="22"/>
      <c r="F161" s="22"/>
      <c r="G161" s="22"/>
    </row>
    <row r="162" spans="1:7" ht="17.100000000000001" customHeight="1" x14ac:dyDescent="0.2">
      <c r="A162" s="22"/>
      <c r="B162" s="199" t="s">
        <v>1021</v>
      </c>
      <c r="C162" s="200"/>
      <c r="D162" s="2" t="s">
        <v>136</v>
      </c>
      <c r="E162" s="22"/>
      <c r="F162" s="22"/>
      <c r="G162" s="22"/>
    </row>
    <row r="163" spans="1:7" ht="18" customHeight="1" x14ac:dyDescent="0.2">
      <c r="A163" s="22"/>
      <c r="B163" s="26"/>
      <c r="C163" s="26"/>
      <c r="D163" s="27"/>
      <c r="E163" s="22"/>
      <c r="F163" s="22"/>
      <c r="G163" s="22"/>
    </row>
    <row r="164" spans="1:7" s="125" customFormat="1" x14ac:dyDescent="0.2">
      <c r="B164" s="201" t="s">
        <v>825</v>
      </c>
      <c r="C164" s="201"/>
      <c r="D164" s="201"/>
      <c r="E164" s="201"/>
      <c r="F164" s="201"/>
    </row>
    <row r="165" spans="1:7" ht="14.1" customHeight="1" x14ac:dyDescent="0.2">
      <c r="A165" s="22"/>
      <c r="B165" s="19"/>
      <c r="C165" s="19"/>
      <c r="D165" s="22"/>
      <c r="E165" s="22"/>
      <c r="F165" s="22"/>
      <c r="G165" s="22"/>
    </row>
    <row r="166" spans="1:7" ht="29.1" customHeight="1" x14ac:dyDescent="0.2">
      <c r="A166" s="22"/>
      <c r="B166" s="199" t="s">
        <v>146</v>
      </c>
      <c r="C166" s="200"/>
      <c r="D166" s="2" t="s">
        <v>136</v>
      </c>
      <c r="E166" s="22"/>
      <c r="F166" s="22"/>
      <c r="G166" s="22"/>
    </row>
    <row r="167" spans="1:7" ht="29.1" customHeight="1" x14ac:dyDescent="0.2">
      <c r="A167" s="22"/>
      <c r="B167" s="199" t="s">
        <v>147</v>
      </c>
      <c r="C167" s="200"/>
      <c r="D167" s="2" t="s">
        <v>136</v>
      </c>
      <c r="E167" s="22"/>
      <c r="F167" s="22"/>
      <c r="G167" s="22"/>
    </row>
    <row r="168" spans="1:7" ht="17.100000000000001" customHeight="1" x14ac:dyDescent="0.2">
      <c r="A168" s="22"/>
      <c r="B168" s="199" t="s">
        <v>148</v>
      </c>
      <c r="C168" s="200"/>
      <c r="D168" s="28">
        <v>0.42333147372186891</v>
      </c>
      <c r="E168" s="22"/>
      <c r="F168" s="19"/>
      <c r="G168" s="25"/>
    </row>
    <row r="169" spans="1:7" ht="17.100000000000001" customHeight="1" x14ac:dyDescent="0.2">
      <c r="A169" s="22"/>
      <c r="B169" s="199" t="s">
        <v>149</v>
      </c>
      <c r="C169" s="200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169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477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17048</v>
      </c>
      <c r="F7" s="6">
        <v>234.00937200000001</v>
      </c>
      <c r="G7" s="138">
        <v>3.3282364000000002E-2</v>
      </c>
      <c r="H7" s="142"/>
    </row>
    <row r="8" spans="1:14" x14ac:dyDescent="0.2">
      <c r="A8" s="3">
        <v>2</v>
      </c>
      <c r="B8" s="4" t="s">
        <v>154</v>
      </c>
      <c r="C8" s="4" t="s">
        <v>155</v>
      </c>
      <c r="D8" s="4" t="s">
        <v>27</v>
      </c>
      <c r="E8" s="5">
        <v>22067</v>
      </c>
      <c r="F8" s="6">
        <v>204.583157</v>
      </c>
      <c r="G8" s="138">
        <v>2.9097172000000001E-2</v>
      </c>
      <c r="H8" s="142"/>
    </row>
    <row r="9" spans="1:14" x14ac:dyDescent="0.2">
      <c r="A9" s="3">
        <v>3</v>
      </c>
      <c r="B9" s="4" t="s">
        <v>151</v>
      </c>
      <c r="C9" s="4" t="s">
        <v>152</v>
      </c>
      <c r="D9" s="4" t="s">
        <v>153</v>
      </c>
      <c r="E9" s="5">
        <v>5487</v>
      </c>
      <c r="F9" s="6">
        <v>202.1822325</v>
      </c>
      <c r="G9" s="138">
        <v>2.8755697E-2</v>
      </c>
      <c r="H9" s="142"/>
    </row>
    <row r="10" spans="1:14" x14ac:dyDescent="0.2">
      <c r="A10" s="3">
        <v>4</v>
      </c>
      <c r="B10" s="4" t="s">
        <v>474</v>
      </c>
      <c r="C10" s="4" t="s">
        <v>475</v>
      </c>
      <c r="D10" s="4" t="s">
        <v>207</v>
      </c>
      <c r="E10" s="5">
        <v>29590</v>
      </c>
      <c r="F10" s="6">
        <v>178.560855</v>
      </c>
      <c r="G10" s="138">
        <v>2.5396108000000001E-2</v>
      </c>
      <c r="H10" s="142"/>
    </row>
    <row r="11" spans="1:14" x14ac:dyDescent="0.2">
      <c r="A11" s="3">
        <v>5</v>
      </c>
      <c r="B11" s="4" t="s">
        <v>160</v>
      </c>
      <c r="C11" s="4" t="s">
        <v>161</v>
      </c>
      <c r="D11" s="4" t="s">
        <v>27</v>
      </c>
      <c r="E11" s="5">
        <v>21271</v>
      </c>
      <c r="F11" s="6">
        <v>169.551141</v>
      </c>
      <c r="G11" s="138">
        <v>2.4114686999999999E-2</v>
      </c>
      <c r="H11" s="142"/>
    </row>
    <row r="12" spans="1:14" x14ac:dyDescent="0.2">
      <c r="A12" s="3">
        <v>6</v>
      </c>
      <c r="B12" s="4" t="s">
        <v>158</v>
      </c>
      <c r="C12" s="4" t="s">
        <v>159</v>
      </c>
      <c r="D12" s="4" t="s">
        <v>80</v>
      </c>
      <c r="E12" s="5">
        <v>139877</v>
      </c>
      <c r="F12" s="6">
        <v>169.25117</v>
      </c>
      <c r="G12" s="138">
        <v>2.4072023000000001E-2</v>
      </c>
      <c r="H12" s="142"/>
    </row>
    <row r="13" spans="1:14" x14ac:dyDescent="0.2">
      <c r="A13" s="3">
        <v>7</v>
      </c>
      <c r="B13" s="4" t="s">
        <v>302</v>
      </c>
      <c r="C13" s="4" t="s">
        <v>303</v>
      </c>
      <c r="D13" s="4" t="s">
        <v>27</v>
      </c>
      <c r="E13" s="5">
        <v>24026</v>
      </c>
      <c r="F13" s="6">
        <v>163.52095600000001</v>
      </c>
      <c r="G13" s="138">
        <v>2.3257033999999999E-2</v>
      </c>
      <c r="H13" s="142"/>
    </row>
    <row r="14" spans="1:14" x14ac:dyDescent="0.2">
      <c r="A14" s="3">
        <v>8</v>
      </c>
      <c r="B14" s="4" t="s">
        <v>162</v>
      </c>
      <c r="C14" s="4" t="s">
        <v>163</v>
      </c>
      <c r="D14" s="4" t="s">
        <v>164</v>
      </c>
      <c r="E14" s="5">
        <v>45429</v>
      </c>
      <c r="F14" s="6">
        <v>155.25360749999999</v>
      </c>
      <c r="G14" s="138">
        <v>2.2081197E-2</v>
      </c>
      <c r="H14" s="142"/>
    </row>
    <row r="15" spans="1:14" x14ac:dyDescent="0.2">
      <c r="A15" s="3">
        <v>9</v>
      </c>
      <c r="B15" s="4" t="s">
        <v>52</v>
      </c>
      <c r="C15" s="4" t="s">
        <v>53</v>
      </c>
      <c r="D15" s="4" t="s">
        <v>51</v>
      </c>
      <c r="E15" s="5">
        <v>47696</v>
      </c>
      <c r="F15" s="6">
        <v>147.690664</v>
      </c>
      <c r="G15" s="138">
        <v>2.1005545E-2</v>
      </c>
      <c r="H15" s="142"/>
    </row>
    <row r="16" spans="1:14" ht="15" x14ac:dyDescent="0.2">
      <c r="A16" s="3">
        <v>10</v>
      </c>
      <c r="B16" s="4" t="s">
        <v>44</v>
      </c>
      <c r="C16" s="4" t="s">
        <v>45</v>
      </c>
      <c r="D16" s="4" t="s">
        <v>27</v>
      </c>
      <c r="E16" s="5">
        <v>12093</v>
      </c>
      <c r="F16" s="6">
        <v>147.67971600000001</v>
      </c>
      <c r="G16" s="138">
        <v>2.1003988000000001E-2</v>
      </c>
      <c r="H16" s="142"/>
      <c r="J16" s="163" t="s">
        <v>1037</v>
      </c>
    </row>
    <row r="17" spans="1:8" x14ac:dyDescent="0.2">
      <c r="A17" s="3">
        <v>11</v>
      </c>
      <c r="B17" s="4" t="s">
        <v>165</v>
      </c>
      <c r="C17" s="4" t="s">
        <v>166</v>
      </c>
      <c r="D17" s="4" t="s">
        <v>51</v>
      </c>
      <c r="E17" s="5">
        <v>30178</v>
      </c>
      <c r="F17" s="6">
        <v>142.63631699999999</v>
      </c>
      <c r="G17" s="138">
        <v>2.0286682E-2</v>
      </c>
      <c r="H17" s="142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164</v>
      </c>
      <c r="E18" s="5">
        <v>3812</v>
      </c>
      <c r="F18" s="6">
        <v>141.665356</v>
      </c>
      <c r="G18" s="138">
        <v>2.0148586E-2</v>
      </c>
      <c r="H18" s="142"/>
    </row>
    <row r="19" spans="1:8" x14ac:dyDescent="0.2">
      <c r="A19" s="3">
        <v>13</v>
      </c>
      <c r="B19" s="4" t="s">
        <v>174</v>
      </c>
      <c r="C19" s="4" t="s">
        <v>175</v>
      </c>
      <c r="D19" s="4" t="s">
        <v>335</v>
      </c>
      <c r="E19" s="5">
        <v>12809</v>
      </c>
      <c r="F19" s="6">
        <v>126.70662799999999</v>
      </c>
      <c r="G19" s="138">
        <v>1.8021056000000001E-2</v>
      </c>
      <c r="H19" s="142"/>
    </row>
    <row r="20" spans="1:8" ht="25.5" x14ac:dyDescent="0.2">
      <c r="A20" s="3">
        <v>14</v>
      </c>
      <c r="B20" s="4" t="s">
        <v>30</v>
      </c>
      <c r="C20" s="4" t="s">
        <v>31</v>
      </c>
      <c r="D20" s="4" t="s">
        <v>1023</v>
      </c>
      <c r="E20" s="5">
        <v>4064</v>
      </c>
      <c r="F20" s="6">
        <v>126.29895999999999</v>
      </c>
      <c r="G20" s="138">
        <v>1.7963074999999998E-2</v>
      </c>
      <c r="H20" s="142"/>
    </row>
    <row r="21" spans="1:8" x14ac:dyDescent="0.2">
      <c r="A21" s="3">
        <v>15</v>
      </c>
      <c r="B21" s="4" t="s">
        <v>176</v>
      </c>
      <c r="C21" s="4" t="s">
        <v>177</v>
      </c>
      <c r="D21" s="4" t="s">
        <v>1026</v>
      </c>
      <c r="E21" s="5">
        <v>31617</v>
      </c>
      <c r="F21" s="6">
        <v>124.33385250000001</v>
      </c>
      <c r="G21" s="138">
        <v>1.7683583999999999E-2</v>
      </c>
      <c r="H21" s="142"/>
    </row>
    <row r="22" spans="1:8" x14ac:dyDescent="0.2">
      <c r="A22" s="3">
        <v>16</v>
      </c>
      <c r="B22" s="4" t="s">
        <v>179</v>
      </c>
      <c r="C22" s="4" t="s">
        <v>180</v>
      </c>
      <c r="D22" s="4" t="s">
        <v>181</v>
      </c>
      <c r="E22" s="5">
        <v>46520</v>
      </c>
      <c r="F22" s="6">
        <v>115.09048</v>
      </c>
      <c r="G22" s="138">
        <v>1.6368931E-2</v>
      </c>
      <c r="H22" s="142"/>
    </row>
    <row r="23" spans="1:8" ht="25.5" x14ac:dyDescent="0.2">
      <c r="A23" s="3">
        <v>17</v>
      </c>
      <c r="B23" s="4" t="s">
        <v>193</v>
      </c>
      <c r="C23" s="4" t="s">
        <v>194</v>
      </c>
      <c r="D23" s="4" t="s">
        <v>37</v>
      </c>
      <c r="E23" s="5">
        <v>90123</v>
      </c>
      <c r="F23" s="6">
        <v>110.8062285</v>
      </c>
      <c r="G23" s="138">
        <v>1.5759596000000001E-2</v>
      </c>
      <c r="H23" s="142"/>
    </row>
    <row r="24" spans="1:8" x14ac:dyDescent="0.2">
      <c r="A24" s="3">
        <v>18</v>
      </c>
      <c r="B24" s="4" t="s">
        <v>184</v>
      </c>
      <c r="C24" s="4" t="s">
        <v>185</v>
      </c>
      <c r="D24" s="4" t="s">
        <v>173</v>
      </c>
      <c r="E24" s="5">
        <v>7931</v>
      </c>
      <c r="F24" s="6">
        <v>110.78417349999999</v>
      </c>
      <c r="G24" s="138">
        <v>1.5756459E-2</v>
      </c>
      <c r="H24" s="142"/>
    </row>
    <row r="25" spans="1:8" x14ac:dyDescent="0.2">
      <c r="A25" s="3">
        <v>19</v>
      </c>
      <c r="B25" s="4" t="s">
        <v>182</v>
      </c>
      <c r="C25" s="4" t="s">
        <v>183</v>
      </c>
      <c r="D25" s="4" t="s">
        <v>164</v>
      </c>
      <c r="E25" s="5">
        <v>2070</v>
      </c>
      <c r="F25" s="6">
        <v>110.630115</v>
      </c>
      <c r="G25" s="138">
        <v>1.5734548000000001E-2</v>
      </c>
      <c r="H25" s="142"/>
    </row>
    <row r="26" spans="1:8" x14ac:dyDescent="0.2">
      <c r="A26" s="3">
        <v>20</v>
      </c>
      <c r="B26" s="4" t="s">
        <v>374</v>
      </c>
      <c r="C26" s="4" t="s">
        <v>375</v>
      </c>
      <c r="D26" s="4" t="s">
        <v>173</v>
      </c>
      <c r="E26" s="5">
        <v>3172</v>
      </c>
      <c r="F26" s="6">
        <v>108.531566</v>
      </c>
      <c r="G26" s="138">
        <v>1.5436079E-2</v>
      </c>
      <c r="H26" s="142"/>
    </row>
    <row r="27" spans="1:8" ht="25.5" x14ac:dyDescent="0.2">
      <c r="A27" s="3">
        <v>21</v>
      </c>
      <c r="B27" s="4" t="s">
        <v>191</v>
      </c>
      <c r="C27" s="4" t="s">
        <v>192</v>
      </c>
      <c r="D27" s="4" t="s">
        <v>1023</v>
      </c>
      <c r="E27" s="5">
        <v>42002</v>
      </c>
      <c r="F27" s="6">
        <v>107.861136</v>
      </c>
      <c r="G27" s="138">
        <v>1.5340726000000001E-2</v>
      </c>
      <c r="H27" s="142"/>
    </row>
    <row r="28" spans="1:8" x14ac:dyDescent="0.2">
      <c r="A28" s="3">
        <v>22</v>
      </c>
      <c r="B28" s="4" t="s">
        <v>466</v>
      </c>
      <c r="C28" s="4" t="s">
        <v>467</v>
      </c>
      <c r="D28" s="4" t="s">
        <v>216</v>
      </c>
      <c r="E28" s="5">
        <v>16417</v>
      </c>
      <c r="F28" s="6">
        <v>107.137342</v>
      </c>
      <c r="G28" s="138">
        <v>1.5237783E-2</v>
      </c>
      <c r="H28" s="142"/>
    </row>
    <row r="29" spans="1:8" x14ac:dyDescent="0.2">
      <c r="A29" s="3">
        <v>23</v>
      </c>
      <c r="B29" s="4" t="s">
        <v>199</v>
      </c>
      <c r="C29" s="4" t="s">
        <v>200</v>
      </c>
      <c r="D29" s="4" t="s">
        <v>164</v>
      </c>
      <c r="E29" s="5">
        <v>10021</v>
      </c>
      <c r="F29" s="6">
        <v>106.4981775</v>
      </c>
      <c r="G29" s="138">
        <v>1.5146877E-2</v>
      </c>
      <c r="H29" s="142"/>
    </row>
    <row r="30" spans="1:8" x14ac:dyDescent="0.2">
      <c r="A30" s="3">
        <v>24</v>
      </c>
      <c r="B30" s="4" t="s">
        <v>201</v>
      </c>
      <c r="C30" s="4" t="s">
        <v>202</v>
      </c>
      <c r="D30" s="4" t="s">
        <v>80</v>
      </c>
      <c r="E30" s="5">
        <v>15169</v>
      </c>
      <c r="F30" s="6">
        <v>104.18069199999999</v>
      </c>
      <c r="G30" s="138">
        <v>1.4817268E-2</v>
      </c>
      <c r="H30" s="142"/>
    </row>
    <row r="31" spans="1:8" x14ac:dyDescent="0.2">
      <c r="A31" s="3">
        <v>25</v>
      </c>
      <c r="B31" s="4" t="s">
        <v>203</v>
      </c>
      <c r="C31" s="4" t="s">
        <v>204</v>
      </c>
      <c r="D31" s="4" t="s">
        <v>80</v>
      </c>
      <c r="E31" s="5">
        <v>17640</v>
      </c>
      <c r="F31" s="6">
        <v>104.09363999999999</v>
      </c>
      <c r="G31" s="138">
        <v>1.4804886999999999E-2</v>
      </c>
      <c r="H31" s="142"/>
    </row>
    <row r="32" spans="1:8" x14ac:dyDescent="0.2">
      <c r="A32" s="3">
        <v>26</v>
      </c>
      <c r="B32" s="4" t="s">
        <v>212</v>
      </c>
      <c r="C32" s="4" t="s">
        <v>213</v>
      </c>
      <c r="D32" s="4" t="s">
        <v>1027</v>
      </c>
      <c r="E32" s="5">
        <v>11000</v>
      </c>
      <c r="F32" s="6">
        <v>100.782</v>
      </c>
      <c r="G32" s="138">
        <v>1.4333884E-2</v>
      </c>
      <c r="H32" s="142"/>
    </row>
    <row r="33" spans="1:8" x14ac:dyDescent="0.2">
      <c r="A33" s="3">
        <v>27</v>
      </c>
      <c r="B33" s="4" t="s">
        <v>197</v>
      </c>
      <c r="C33" s="4" t="s">
        <v>198</v>
      </c>
      <c r="D33" s="4" t="s">
        <v>51</v>
      </c>
      <c r="E33" s="5">
        <v>9562</v>
      </c>
      <c r="F33" s="6">
        <v>98.072653000000003</v>
      </c>
      <c r="G33" s="138">
        <v>1.3948543000000001E-2</v>
      </c>
      <c r="H33" s="142"/>
    </row>
    <row r="34" spans="1:8" x14ac:dyDescent="0.2">
      <c r="A34" s="3">
        <v>28</v>
      </c>
      <c r="B34" s="4" t="s">
        <v>171</v>
      </c>
      <c r="C34" s="4" t="s">
        <v>172</v>
      </c>
      <c r="D34" s="4" t="s">
        <v>173</v>
      </c>
      <c r="E34" s="5">
        <v>10065</v>
      </c>
      <c r="F34" s="6">
        <v>94.958242499999997</v>
      </c>
      <c r="G34" s="138">
        <v>1.3505591000000001E-2</v>
      </c>
      <c r="H34" s="142"/>
    </row>
    <row r="35" spans="1:8" ht="25.5" x14ac:dyDescent="0.2">
      <c r="A35" s="3">
        <v>29</v>
      </c>
      <c r="B35" s="4" t="s">
        <v>217</v>
      </c>
      <c r="C35" s="4" t="s">
        <v>218</v>
      </c>
      <c r="D35" s="4" t="s">
        <v>90</v>
      </c>
      <c r="E35" s="5">
        <v>20765</v>
      </c>
      <c r="F35" s="6">
        <v>94.802607499999993</v>
      </c>
      <c r="G35" s="138">
        <v>1.3483455E-2</v>
      </c>
      <c r="H35" s="142"/>
    </row>
    <row r="36" spans="1:8" x14ac:dyDescent="0.2">
      <c r="A36" s="3">
        <v>30</v>
      </c>
      <c r="B36" s="4" t="s">
        <v>223</v>
      </c>
      <c r="C36" s="4" t="s">
        <v>224</v>
      </c>
      <c r="D36" s="4" t="s">
        <v>66</v>
      </c>
      <c r="E36" s="5">
        <v>9799</v>
      </c>
      <c r="F36" s="6">
        <v>93.918515499999998</v>
      </c>
      <c r="G36" s="138">
        <v>1.3357714E-2</v>
      </c>
      <c r="H36" s="142"/>
    </row>
    <row r="37" spans="1:8" x14ac:dyDescent="0.2">
      <c r="A37" s="3">
        <v>31</v>
      </c>
      <c r="B37" s="4" t="s">
        <v>468</v>
      </c>
      <c r="C37" s="4" t="s">
        <v>469</v>
      </c>
      <c r="D37" s="4" t="s">
        <v>1024</v>
      </c>
      <c r="E37" s="5">
        <v>95295</v>
      </c>
      <c r="F37" s="6">
        <v>93.007919999999999</v>
      </c>
      <c r="G37" s="138">
        <v>1.3228202999999999E-2</v>
      </c>
      <c r="H37" s="142"/>
    </row>
    <row r="38" spans="1:8" ht="25.5" x14ac:dyDescent="0.2">
      <c r="A38" s="3">
        <v>32</v>
      </c>
      <c r="B38" s="4" t="s">
        <v>458</v>
      </c>
      <c r="C38" s="4" t="s">
        <v>459</v>
      </c>
      <c r="D38" s="4" t="s">
        <v>37</v>
      </c>
      <c r="E38" s="5">
        <v>6784</v>
      </c>
      <c r="F38" s="6">
        <v>91.546688000000003</v>
      </c>
      <c r="G38" s="138">
        <v>1.3020377E-2</v>
      </c>
      <c r="H38" s="142"/>
    </row>
    <row r="39" spans="1:8" x14ac:dyDescent="0.2">
      <c r="A39" s="3">
        <v>33</v>
      </c>
      <c r="B39" s="4" t="s">
        <v>214</v>
      </c>
      <c r="C39" s="4" t="s">
        <v>215</v>
      </c>
      <c r="D39" s="4" t="s">
        <v>216</v>
      </c>
      <c r="E39" s="5">
        <v>33456</v>
      </c>
      <c r="F39" s="6">
        <v>91.117416000000006</v>
      </c>
      <c r="G39" s="138">
        <v>1.2959323E-2</v>
      </c>
      <c r="H39" s="142"/>
    </row>
    <row r="40" spans="1:8" x14ac:dyDescent="0.2">
      <c r="A40" s="3">
        <v>34</v>
      </c>
      <c r="B40" s="4" t="s">
        <v>205</v>
      </c>
      <c r="C40" s="4" t="s">
        <v>206</v>
      </c>
      <c r="D40" s="4" t="s">
        <v>207</v>
      </c>
      <c r="E40" s="5">
        <v>19577</v>
      </c>
      <c r="F40" s="6">
        <v>87.949672500000005</v>
      </c>
      <c r="G40" s="138">
        <v>1.2508785E-2</v>
      </c>
      <c r="H40" s="142"/>
    </row>
    <row r="41" spans="1:8" x14ac:dyDescent="0.2">
      <c r="A41" s="3">
        <v>35</v>
      </c>
      <c r="B41" s="4" t="s">
        <v>221</v>
      </c>
      <c r="C41" s="4" t="s">
        <v>222</v>
      </c>
      <c r="D41" s="4" t="s">
        <v>207</v>
      </c>
      <c r="E41" s="5">
        <v>13902</v>
      </c>
      <c r="F41" s="6">
        <v>85.698879000000005</v>
      </c>
      <c r="G41" s="138">
        <v>1.2188663000000001E-2</v>
      </c>
      <c r="H41" s="142"/>
    </row>
    <row r="42" spans="1:8" x14ac:dyDescent="0.2">
      <c r="A42" s="3">
        <v>36</v>
      </c>
      <c r="B42" s="4" t="s">
        <v>460</v>
      </c>
      <c r="C42" s="4" t="s">
        <v>461</v>
      </c>
      <c r="D42" s="4" t="s">
        <v>27</v>
      </c>
      <c r="E42" s="5">
        <v>9582</v>
      </c>
      <c r="F42" s="6">
        <v>85.045040999999998</v>
      </c>
      <c r="G42" s="138">
        <v>1.2095669E-2</v>
      </c>
      <c r="H42" s="142"/>
    </row>
    <row r="43" spans="1:8" ht="25.5" x14ac:dyDescent="0.2">
      <c r="A43" s="3">
        <v>37</v>
      </c>
      <c r="B43" s="4" t="s">
        <v>231</v>
      </c>
      <c r="C43" s="4" t="s">
        <v>232</v>
      </c>
      <c r="D43" s="4" t="s">
        <v>51</v>
      </c>
      <c r="E43" s="5">
        <v>3957</v>
      </c>
      <c r="F43" s="6">
        <v>84.832144499999998</v>
      </c>
      <c r="G43" s="138">
        <v>1.206539E-2</v>
      </c>
      <c r="H43" s="142"/>
    </row>
    <row r="44" spans="1:8" x14ac:dyDescent="0.2">
      <c r="A44" s="3">
        <v>38</v>
      </c>
      <c r="B44" s="4" t="s">
        <v>225</v>
      </c>
      <c r="C44" s="4" t="s">
        <v>226</v>
      </c>
      <c r="D44" s="4" t="s">
        <v>1028</v>
      </c>
      <c r="E44" s="5">
        <v>14588</v>
      </c>
      <c r="F44" s="6">
        <v>82.611844000000005</v>
      </c>
      <c r="G44" s="138">
        <v>1.1749604E-2</v>
      </c>
      <c r="H44" s="142"/>
    </row>
    <row r="45" spans="1:8" x14ac:dyDescent="0.2">
      <c r="A45" s="3">
        <v>39</v>
      </c>
      <c r="B45" s="4" t="s">
        <v>250</v>
      </c>
      <c r="C45" s="4" t="s">
        <v>251</v>
      </c>
      <c r="D45" s="4" t="s">
        <v>164</v>
      </c>
      <c r="E45" s="5">
        <v>5955</v>
      </c>
      <c r="F45" s="6">
        <v>82.176022500000002</v>
      </c>
      <c r="G45" s="138">
        <v>1.1687619E-2</v>
      </c>
      <c r="H45" s="142"/>
    </row>
    <row r="46" spans="1:8" x14ac:dyDescent="0.2">
      <c r="A46" s="3">
        <v>40</v>
      </c>
      <c r="B46" s="4" t="s">
        <v>462</v>
      </c>
      <c r="C46" s="4" t="s">
        <v>463</v>
      </c>
      <c r="D46" s="4" t="s">
        <v>51</v>
      </c>
      <c r="E46" s="5">
        <v>8981</v>
      </c>
      <c r="F46" s="6">
        <v>81.749552499999993</v>
      </c>
      <c r="G46" s="138">
        <v>1.1626963000000001E-2</v>
      </c>
      <c r="H46" s="142"/>
    </row>
    <row r="47" spans="1:8" x14ac:dyDescent="0.2">
      <c r="A47" s="3">
        <v>41</v>
      </c>
      <c r="B47" s="4" t="s">
        <v>229</v>
      </c>
      <c r="C47" s="4" t="s">
        <v>230</v>
      </c>
      <c r="D47" s="4" t="s">
        <v>51</v>
      </c>
      <c r="E47" s="5">
        <v>9133</v>
      </c>
      <c r="F47" s="6">
        <v>79.365769999999998</v>
      </c>
      <c r="G47" s="138">
        <v>1.1287926E-2</v>
      </c>
      <c r="H47" s="142"/>
    </row>
    <row r="48" spans="1:8" x14ac:dyDescent="0.2">
      <c r="A48" s="3">
        <v>42</v>
      </c>
      <c r="B48" s="4" t="s">
        <v>235</v>
      </c>
      <c r="C48" s="4" t="s">
        <v>236</v>
      </c>
      <c r="D48" s="4" t="s">
        <v>27</v>
      </c>
      <c r="E48" s="5">
        <v>4460</v>
      </c>
      <c r="F48" s="6">
        <v>75.594769999999997</v>
      </c>
      <c r="G48" s="138">
        <v>1.0751589000000001E-2</v>
      </c>
      <c r="H48" s="142"/>
    </row>
    <row r="49" spans="1:8" x14ac:dyDescent="0.2">
      <c r="A49" s="3">
        <v>43</v>
      </c>
      <c r="B49" s="4" t="s">
        <v>464</v>
      </c>
      <c r="C49" s="4" t="s">
        <v>465</v>
      </c>
      <c r="D49" s="4" t="s">
        <v>48</v>
      </c>
      <c r="E49" s="5">
        <v>18007</v>
      </c>
      <c r="F49" s="6">
        <v>75.575378999999998</v>
      </c>
      <c r="G49" s="138">
        <v>1.0748831E-2</v>
      </c>
      <c r="H49" s="142"/>
    </row>
    <row r="50" spans="1:8" x14ac:dyDescent="0.2">
      <c r="A50" s="3">
        <v>44</v>
      </c>
      <c r="B50" s="4" t="s">
        <v>227</v>
      </c>
      <c r="C50" s="4" t="s">
        <v>228</v>
      </c>
      <c r="D50" s="4" t="s">
        <v>66</v>
      </c>
      <c r="E50" s="5">
        <v>75207</v>
      </c>
      <c r="F50" s="6">
        <v>74.0412915</v>
      </c>
      <c r="G50" s="138">
        <v>1.0530642999999999E-2</v>
      </c>
      <c r="H50" s="142"/>
    </row>
    <row r="51" spans="1:8" x14ac:dyDescent="0.2">
      <c r="A51" s="3">
        <v>45</v>
      </c>
      <c r="B51" s="4" t="s">
        <v>188</v>
      </c>
      <c r="C51" s="4" t="s">
        <v>189</v>
      </c>
      <c r="D51" s="4" t="s">
        <v>190</v>
      </c>
      <c r="E51" s="5">
        <v>7374</v>
      </c>
      <c r="F51" s="6">
        <v>73.433978999999994</v>
      </c>
      <c r="G51" s="138">
        <v>1.0444267E-2</v>
      </c>
      <c r="H51" s="142"/>
    </row>
    <row r="52" spans="1:8" x14ac:dyDescent="0.2">
      <c r="A52" s="3">
        <v>46</v>
      </c>
      <c r="B52" s="4" t="s">
        <v>239</v>
      </c>
      <c r="C52" s="4" t="s">
        <v>240</v>
      </c>
      <c r="D52" s="4" t="s">
        <v>207</v>
      </c>
      <c r="E52" s="5">
        <v>3920</v>
      </c>
      <c r="F52" s="6">
        <v>73.184439999999995</v>
      </c>
      <c r="G52" s="138">
        <v>1.0408776E-2</v>
      </c>
      <c r="H52" s="142"/>
    </row>
    <row r="53" spans="1:8" ht="25.5" x14ac:dyDescent="0.2">
      <c r="A53" s="3">
        <v>47</v>
      </c>
      <c r="B53" s="4" t="s">
        <v>178</v>
      </c>
      <c r="C53" s="4" t="s">
        <v>933</v>
      </c>
      <c r="D53" s="4" t="s">
        <v>37</v>
      </c>
      <c r="E53" s="5">
        <v>28232</v>
      </c>
      <c r="F53" s="6">
        <v>72.880908000000005</v>
      </c>
      <c r="G53" s="138">
        <v>1.0365605999999999E-2</v>
      </c>
      <c r="H53" s="142"/>
    </row>
    <row r="54" spans="1:8" ht="25.5" x14ac:dyDescent="0.2">
      <c r="A54" s="3">
        <v>48</v>
      </c>
      <c r="B54" s="4" t="s">
        <v>244</v>
      </c>
      <c r="C54" s="4" t="s">
        <v>245</v>
      </c>
      <c r="D54" s="4" t="s">
        <v>1029</v>
      </c>
      <c r="E54" s="5">
        <v>63692</v>
      </c>
      <c r="F54" s="6">
        <v>71.112117999999995</v>
      </c>
      <c r="G54" s="138">
        <v>1.0114036999999999E-2</v>
      </c>
      <c r="H54" s="142"/>
    </row>
    <row r="55" spans="1:8" x14ac:dyDescent="0.2">
      <c r="A55" s="3">
        <v>49</v>
      </c>
      <c r="B55" s="4" t="s">
        <v>246</v>
      </c>
      <c r="C55" s="4" t="s">
        <v>247</v>
      </c>
      <c r="D55" s="4" t="s">
        <v>80</v>
      </c>
      <c r="E55" s="5">
        <v>128598</v>
      </c>
      <c r="F55" s="6">
        <v>70.664601000000005</v>
      </c>
      <c r="G55" s="138">
        <v>1.0050388E-2</v>
      </c>
      <c r="H55" s="142"/>
    </row>
    <row r="56" spans="1:8" x14ac:dyDescent="0.2">
      <c r="A56" s="3">
        <v>50</v>
      </c>
      <c r="B56" s="4" t="s">
        <v>195</v>
      </c>
      <c r="C56" s="4" t="s">
        <v>196</v>
      </c>
      <c r="D56" s="4" t="s">
        <v>24</v>
      </c>
      <c r="E56" s="5">
        <v>36880</v>
      </c>
      <c r="F56" s="6">
        <v>70.403919999999999</v>
      </c>
      <c r="G56" s="138">
        <v>1.0013312E-2</v>
      </c>
      <c r="H56" s="142"/>
    </row>
    <row r="57" spans="1:8" x14ac:dyDescent="0.2">
      <c r="A57" s="3">
        <v>51</v>
      </c>
      <c r="B57" s="4" t="s">
        <v>42</v>
      </c>
      <c r="C57" s="4" t="s">
        <v>43</v>
      </c>
      <c r="D57" s="4" t="s">
        <v>27</v>
      </c>
      <c r="E57" s="5">
        <v>3200</v>
      </c>
      <c r="F57" s="6">
        <v>70.2864</v>
      </c>
      <c r="G57" s="138">
        <v>9.9965980000000006E-3</v>
      </c>
      <c r="H57" s="142"/>
    </row>
    <row r="58" spans="1:8" x14ac:dyDescent="0.2">
      <c r="A58" s="3">
        <v>52</v>
      </c>
      <c r="B58" s="4" t="s">
        <v>241</v>
      </c>
      <c r="C58" s="4" t="s">
        <v>242</v>
      </c>
      <c r="D58" s="4" t="s">
        <v>243</v>
      </c>
      <c r="E58" s="5">
        <v>14140</v>
      </c>
      <c r="F58" s="6">
        <v>70.021280000000004</v>
      </c>
      <c r="G58" s="138">
        <v>9.9588899999999998E-3</v>
      </c>
      <c r="H58" s="142"/>
    </row>
    <row r="59" spans="1:8" x14ac:dyDescent="0.2">
      <c r="A59" s="3">
        <v>53</v>
      </c>
      <c r="B59" s="4" t="s">
        <v>296</v>
      </c>
      <c r="C59" s="4" t="s">
        <v>297</v>
      </c>
      <c r="D59" s="4" t="s">
        <v>27</v>
      </c>
      <c r="E59" s="5">
        <v>5669</v>
      </c>
      <c r="F59" s="6">
        <v>69.365883999999994</v>
      </c>
      <c r="G59" s="138">
        <v>9.8656760000000003E-3</v>
      </c>
      <c r="H59" s="142"/>
    </row>
    <row r="60" spans="1:8" ht="25.5" x14ac:dyDescent="0.2">
      <c r="A60" s="3">
        <v>54</v>
      </c>
      <c r="B60" s="4" t="s">
        <v>252</v>
      </c>
      <c r="C60" s="4" t="s">
        <v>253</v>
      </c>
      <c r="D60" s="4" t="s">
        <v>90</v>
      </c>
      <c r="E60" s="5">
        <v>15722</v>
      </c>
      <c r="F60" s="6">
        <v>66.142454000000001</v>
      </c>
      <c r="G60" s="138">
        <v>9.4072180000000002E-3</v>
      </c>
      <c r="H60" s="142"/>
    </row>
    <row r="61" spans="1:8" ht="25.5" x14ac:dyDescent="0.2">
      <c r="A61" s="3">
        <v>55</v>
      </c>
      <c r="B61" s="4" t="s">
        <v>255</v>
      </c>
      <c r="C61" s="4" t="s">
        <v>256</v>
      </c>
      <c r="D61" s="4" t="s">
        <v>90</v>
      </c>
      <c r="E61" s="5">
        <v>16397</v>
      </c>
      <c r="F61" s="6">
        <v>63.054663499999997</v>
      </c>
      <c r="G61" s="138">
        <v>8.9680520000000007E-3</v>
      </c>
      <c r="H61" s="142"/>
    </row>
    <row r="62" spans="1:8" x14ac:dyDescent="0.2">
      <c r="A62" s="3">
        <v>56</v>
      </c>
      <c r="B62" s="4" t="s">
        <v>257</v>
      </c>
      <c r="C62" s="4" t="s">
        <v>258</v>
      </c>
      <c r="D62" s="4" t="s">
        <v>173</v>
      </c>
      <c r="E62" s="5">
        <v>17494</v>
      </c>
      <c r="F62" s="6">
        <v>61.228999999999999</v>
      </c>
      <c r="G62" s="138">
        <v>8.7083939999999995E-3</v>
      </c>
      <c r="H62" s="142"/>
    </row>
    <row r="63" spans="1:8" x14ac:dyDescent="0.2">
      <c r="A63" s="3">
        <v>57</v>
      </c>
      <c r="B63" s="4" t="s">
        <v>210</v>
      </c>
      <c r="C63" s="4" t="s">
        <v>211</v>
      </c>
      <c r="D63" s="4" t="s">
        <v>34</v>
      </c>
      <c r="E63" s="5">
        <v>15004</v>
      </c>
      <c r="F63" s="6">
        <v>60.646168000000003</v>
      </c>
      <c r="G63" s="138">
        <v>8.6254999999999995E-3</v>
      </c>
      <c r="H63" s="142"/>
    </row>
    <row r="64" spans="1:8" x14ac:dyDescent="0.2">
      <c r="A64" s="3">
        <v>58</v>
      </c>
      <c r="B64" s="4" t="s">
        <v>261</v>
      </c>
      <c r="C64" s="4" t="s">
        <v>262</v>
      </c>
      <c r="D64" s="4" t="s">
        <v>51</v>
      </c>
      <c r="E64" s="5">
        <v>26481</v>
      </c>
      <c r="F64" s="6">
        <v>58.840781999999997</v>
      </c>
      <c r="G64" s="138">
        <v>8.3687259999999999E-3</v>
      </c>
      <c r="H64" s="142"/>
    </row>
    <row r="65" spans="1:8" x14ac:dyDescent="0.2">
      <c r="A65" s="3">
        <v>59</v>
      </c>
      <c r="B65" s="4" t="s">
        <v>267</v>
      </c>
      <c r="C65" s="4" t="s">
        <v>268</v>
      </c>
      <c r="D65" s="4" t="s">
        <v>1024</v>
      </c>
      <c r="E65" s="5">
        <v>3363</v>
      </c>
      <c r="F65" s="6">
        <v>55.780399500000001</v>
      </c>
      <c r="G65" s="138">
        <v>7.9334579999999991E-3</v>
      </c>
      <c r="H65" s="142"/>
    </row>
    <row r="66" spans="1:8" x14ac:dyDescent="0.2">
      <c r="A66" s="3">
        <v>60</v>
      </c>
      <c r="B66" s="4" t="s">
        <v>265</v>
      </c>
      <c r="C66" s="4" t="s">
        <v>266</v>
      </c>
      <c r="D66" s="4" t="s">
        <v>59</v>
      </c>
      <c r="E66" s="5">
        <v>5369</v>
      </c>
      <c r="F66" s="6">
        <v>55.528882500000002</v>
      </c>
      <c r="G66" s="138">
        <v>7.8976859999999992E-3</v>
      </c>
      <c r="H66" s="142"/>
    </row>
    <row r="67" spans="1:8" x14ac:dyDescent="0.2">
      <c r="A67" s="3">
        <v>61</v>
      </c>
      <c r="B67" s="4" t="s">
        <v>275</v>
      </c>
      <c r="C67" s="4" t="s">
        <v>276</v>
      </c>
      <c r="D67" s="4" t="s">
        <v>335</v>
      </c>
      <c r="E67" s="5">
        <v>3918</v>
      </c>
      <c r="F67" s="6">
        <v>48.430397999999997</v>
      </c>
      <c r="G67" s="138">
        <v>6.8880920000000002E-3</v>
      </c>
      <c r="H67" s="142"/>
    </row>
    <row r="68" spans="1:8" x14ac:dyDescent="0.2">
      <c r="A68" s="3">
        <v>62</v>
      </c>
      <c r="B68" s="4" t="s">
        <v>273</v>
      </c>
      <c r="C68" s="4" t="s">
        <v>274</v>
      </c>
      <c r="D68" s="4" t="s">
        <v>173</v>
      </c>
      <c r="E68" s="5">
        <v>8028</v>
      </c>
      <c r="F68" s="6">
        <v>48.103776000000003</v>
      </c>
      <c r="G68" s="138">
        <v>6.8416379999999997E-3</v>
      </c>
      <c r="H68" s="142"/>
    </row>
    <row r="69" spans="1:8" x14ac:dyDescent="0.2">
      <c r="A69" s="3">
        <v>63</v>
      </c>
      <c r="B69" s="4" t="s">
        <v>280</v>
      </c>
      <c r="C69" s="4" t="s">
        <v>281</v>
      </c>
      <c r="D69" s="4" t="s">
        <v>24</v>
      </c>
      <c r="E69" s="5">
        <v>52374</v>
      </c>
      <c r="F69" s="6">
        <v>47.660339999999998</v>
      </c>
      <c r="G69" s="138">
        <v>6.7785689999999999E-3</v>
      </c>
      <c r="H69" s="142"/>
    </row>
    <row r="70" spans="1:8" x14ac:dyDescent="0.2">
      <c r="A70" s="3">
        <v>64</v>
      </c>
      <c r="B70" s="4" t="s">
        <v>269</v>
      </c>
      <c r="C70" s="4" t="s">
        <v>270</v>
      </c>
      <c r="D70" s="4" t="s">
        <v>1028</v>
      </c>
      <c r="E70" s="5">
        <v>41085</v>
      </c>
      <c r="F70" s="6">
        <v>47.576430000000002</v>
      </c>
      <c r="G70" s="138">
        <v>6.766635E-3</v>
      </c>
      <c r="H70" s="142"/>
    </row>
    <row r="71" spans="1:8" x14ac:dyDescent="0.2">
      <c r="A71" s="3">
        <v>65</v>
      </c>
      <c r="B71" s="4" t="s">
        <v>286</v>
      </c>
      <c r="C71" s="4" t="s">
        <v>287</v>
      </c>
      <c r="D71" s="4" t="s">
        <v>207</v>
      </c>
      <c r="E71" s="5">
        <v>12902</v>
      </c>
      <c r="F71" s="6">
        <v>46.582670999999998</v>
      </c>
      <c r="G71" s="138">
        <v>6.6252960000000001E-3</v>
      </c>
      <c r="H71" s="142"/>
    </row>
    <row r="72" spans="1:8" x14ac:dyDescent="0.2">
      <c r="A72" s="3">
        <v>66</v>
      </c>
      <c r="B72" s="4" t="s">
        <v>470</v>
      </c>
      <c r="C72" s="4" t="s">
        <v>471</v>
      </c>
      <c r="D72" s="4" t="s">
        <v>80</v>
      </c>
      <c r="E72" s="5">
        <v>7194</v>
      </c>
      <c r="F72" s="6">
        <v>45.786212999999996</v>
      </c>
      <c r="G72" s="138">
        <v>6.512019E-3</v>
      </c>
      <c r="H72" s="142"/>
    </row>
    <row r="73" spans="1:8" x14ac:dyDescent="0.2">
      <c r="A73" s="3">
        <v>67</v>
      </c>
      <c r="B73" s="4" t="s">
        <v>277</v>
      </c>
      <c r="C73" s="4" t="s">
        <v>278</v>
      </c>
      <c r="D73" s="4" t="s">
        <v>279</v>
      </c>
      <c r="E73" s="5">
        <v>19523</v>
      </c>
      <c r="F73" s="6">
        <v>45.254314000000001</v>
      </c>
      <c r="G73" s="138">
        <v>6.4363679999999996E-3</v>
      </c>
      <c r="H73" s="142"/>
    </row>
    <row r="74" spans="1:8" x14ac:dyDescent="0.2">
      <c r="A74" s="3">
        <v>68</v>
      </c>
      <c r="B74" s="4" t="s">
        <v>74</v>
      </c>
      <c r="C74" s="4" t="s">
        <v>75</v>
      </c>
      <c r="D74" s="4" t="s">
        <v>66</v>
      </c>
      <c r="E74" s="5">
        <v>10971</v>
      </c>
      <c r="F74" s="6">
        <v>44.981099999999998</v>
      </c>
      <c r="G74" s="138">
        <v>6.3975100000000003E-3</v>
      </c>
      <c r="H74" s="142"/>
    </row>
    <row r="75" spans="1:8" x14ac:dyDescent="0.2">
      <c r="A75" s="3">
        <v>69</v>
      </c>
      <c r="B75" s="4" t="s">
        <v>282</v>
      </c>
      <c r="C75" s="4" t="s">
        <v>283</v>
      </c>
      <c r="D75" s="4" t="s">
        <v>207</v>
      </c>
      <c r="E75" s="5">
        <v>792</v>
      </c>
      <c r="F75" s="6">
        <v>42.796512</v>
      </c>
      <c r="G75" s="138">
        <v>6.0868040000000003E-3</v>
      </c>
      <c r="H75" s="142"/>
    </row>
    <row r="76" spans="1:8" x14ac:dyDescent="0.2">
      <c r="A76" s="3">
        <v>70</v>
      </c>
      <c r="B76" s="4" t="s">
        <v>304</v>
      </c>
      <c r="C76" s="4" t="s">
        <v>305</v>
      </c>
      <c r="D76" s="4" t="s">
        <v>1028</v>
      </c>
      <c r="E76" s="5">
        <v>93287</v>
      </c>
      <c r="F76" s="6">
        <v>35.915495</v>
      </c>
      <c r="G76" s="138">
        <v>5.1081399999999997E-3</v>
      </c>
      <c r="H76" s="142"/>
    </row>
    <row r="77" spans="1:8" x14ac:dyDescent="0.2">
      <c r="A77" s="3">
        <v>71</v>
      </c>
      <c r="B77" s="4" t="s">
        <v>284</v>
      </c>
      <c r="C77" s="4" t="s">
        <v>285</v>
      </c>
      <c r="D77" s="4" t="s">
        <v>164</v>
      </c>
      <c r="E77" s="5">
        <v>7455</v>
      </c>
      <c r="F77" s="6">
        <v>35.787727500000003</v>
      </c>
      <c r="G77" s="138">
        <v>5.0899680000000003E-3</v>
      </c>
      <c r="H77" s="142"/>
    </row>
    <row r="78" spans="1:8" x14ac:dyDescent="0.2">
      <c r="A78" s="3">
        <v>72</v>
      </c>
      <c r="B78" s="4" t="s">
        <v>456</v>
      </c>
      <c r="C78" s="4" t="s">
        <v>457</v>
      </c>
      <c r="D78" s="4" t="s">
        <v>51</v>
      </c>
      <c r="E78" s="5">
        <v>8699</v>
      </c>
      <c r="F78" s="6">
        <v>28.867631500000002</v>
      </c>
      <c r="G78" s="138">
        <v>4.1057460000000004E-3</v>
      </c>
      <c r="H78" s="142"/>
    </row>
    <row r="79" spans="1:8" x14ac:dyDescent="0.2">
      <c r="A79" s="3">
        <v>73</v>
      </c>
      <c r="B79" s="4" t="s">
        <v>288</v>
      </c>
      <c r="C79" s="4" t="s">
        <v>289</v>
      </c>
      <c r="D79" s="4" t="s">
        <v>153</v>
      </c>
      <c r="E79" s="5">
        <v>1852</v>
      </c>
      <c r="F79" s="6">
        <v>25.852993999999999</v>
      </c>
      <c r="G79" s="138">
        <v>3.6769839999999999E-3</v>
      </c>
      <c r="H79" s="142"/>
    </row>
    <row r="80" spans="1:8" x14ac:dyDescent="0.2">
      <c r="A80" s="3">
        <v>74</v>
      </c>
      <c r="B80" s="4" t="s">
        <v>290</v>
      </c>
      <c r="C80" s="4" t="s">
        <v>291</v>
      </c>
      <c r="D80" s="4" t="s">
        <v>153</v>
      </c>
      <c r="E80" s="5">
        <v>1410</v>
      </c>
      <c r="F80" s="6">
        <v>8.6355450000000005</v>
      </c>
      <c r="G80" s="138">
        <v>1.2282040000000001E-3</v>
      </c>
      <c r="H80" s="142"/>
    </row>
    <row r="81" spans="1:8" x14ac:dyDescent="0.2">
      <c r="A81" s="3">
        <v>75</v>
      </c>
      <c r="B81" s="4" t="s">
        <v>292</v>
      </c>
      <c r="C81" s="4" t="s">
        <v>293</v>
      </c>
      <c r="D81" s="4" t="s">
        <v>24</v>
      </c>
      <c r="E81" s="5">
        <v>13052</v>
      </c>
      <c r="F81" s="6">
        <v>8.1183440000000004</v>
      </c>
      <c r="G81" s="138">
        <v>1.1546449999999999E-3</v>
      </c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6795.3093145000003</v>
      </c>
      <c r="G82" s="139">
        <v>0.96647392600000004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107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108</v>
      </c>
      <c r="D87" s="1"/>
      <c r="E87" s="1"/>
      <c r="F87" s="1"/>
      <c r="G87" s="137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109</v>
      </c>
      <c r="D90" s="1"/>
      <c r="E90" s="1"/>
      <c r="F90" s="1"/>
      <c r="G90" s="137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111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112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113</v>
      </c>
      <c r="D99" s="1"/>
      <c r="E99" s="1"/>
      <c r="F99" s="9">
        <v>6795.3093145000003</v>
      </c>
      <c r="G99" s="139">
        <v>0.96647392600000004</v>
      </c>
      <c r="H99" s="142"/>
    </row>
    <row r="100" spans="1:8" x14ac:dyDescent="0.2">
      <c r="A100" s="1"/>
      <c r="B100" s="1"/>
      <c r="C100" s="11"/>
      <c r="D100" s="1"/>
      <c r="E100" s="1"/>
      <c r="F100" s="12"/>
      <c r="G100" s="140"/>
      <c r="H100" s="142"/>
    </row>
    <row r="101" spans="1:8" x14ac:dyDescent="0.2">
      <c r="A101" s="1"/>
      <c r="B101" s="1"/>
      <c r="C101" s="2" t="s">
        <v>114</v>
      </c>
      <c r="D101" s="1"/>
      <c r="E101" s="1"/>
      <c r="F101" s="12"/>
      <c r="G101" s="140"/>
      <c r="H101" s="142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115</v>
      </c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1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116</v>
      </c>
      <c r="D108" s="1"/>
      <c r="E108" s="1"/>
      <c r="F108" s="1"/>
      <c r="G108" s="137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117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118</v>
      </c>
      <c r="D114" s="1"/>
      <c r="E114" s="1"/>
      <c r="F114" s="9">
        <v>0</v>
      </c>
      <c r="G114" s="139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120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1"/>
      <c r="C120" s="2" t="s">
        <v>121</v>
      </c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1">
        <v>0</v>
      </c>
      <c r="H121" s="142"/>
    </row>
    <row r="122" spans="1:8" x14ac:dyDescent="0.2">
      <c r="A122" s="1"/>
      <c r="B122" s="1"/>
      <c r="C122" s="11"/>
      <c r="D122" s="1"/>
      <c r="E122" s="1"/>
      <c r="F122" s="12"/>
      <c r="G122" s="140"/>
      <c r="H122" s="142"/>
    </row>
    <row r="123" spans="1:8" x14ac:dyDescent="0.2">
      <c r="A123" s="1"/>
      <c r="B123" s="1"/>
      <c r="C123" s="2" t="s">
        <v>122</v>
      </c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1">
        <v>0</v>
      </c>
      <c r="H124" s="142"/>
    </row>
    <row r="125" spans="1:8" x14ac:dyDescent="0.2">
      <c r="A125" s="1"/>
      <c r="B125" s="1"/>
      <c r="C125" s="11"/>
      <c r="D125" s="1"/>
      <c r="E125" s="1"/>
      <c r="F125" s="12"/>
      <c r="G125" s="140"/>
      <c r="H125" s="142"/>
    </row>
    <row r="126" spans="1:8" x14ac:dyDescent="0.2">
      <c r="A126" s="1"/>
      <c r="B126" s="1"/>
      <c r="C126" s="2" t="s">
        <v>123</v>
      </c>
      <c r="D126" s="1"/>
      <c r="E126" s="1"/>
      <c r="F126" s="12"/>
      <c r="G126" s="140"/>
      <c r="H126" s="142"/>
    </row>
    <row r="127" spans="1:8" x14ac:dyDescent="0.2">
      <c r="A127" s="3">
        <v>1</v>
      </c>
      <c r="B127" s="4"/>
      <c r="C127" s="4" t="s">
        <v>124</v>
      </c>
      <c r="D127" s="4"/>
      <c r="E127" s="8"/>
      <c r="F127" s="6">
        <v>216.65959419999999</v>
      </c>
      <c r="G127" s="138">
        <v>3.0814762999999998E-2</v>
      </c>
      <c r="H127" s="152">
        <v>3.3197683930276081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216.65959419999999</v>
      </c>
      <c r="G128" s="139">
        <v>3.0814762999999998E-2</v>
      </c>
      <c r="H128" s="142"/>
    </row>
    <row r="129" spans="1:8" x14ac:dyDescent="0.2">
      <c r="A129" s="1"/>
      <c r="B129" s="1"/>
      <c r="C129" s="11"/>
      <c r="D129" s="1"/>
      <c r="E129" s="1"/>
      <c r="F129" s="12"/>
      <c r="G129" s="140"/>
      <c r="H129" s="142"/>
    </row>
    <row r="130" spans="1:8" x14ac:dyDescent="0.2">
      <c r="A130" s="1"/>
      <c r="B130" s="1"/>
      <c r="C130" s="2" t="s">
        <v>125</v>
      </c>
      <c r="D130" s="1"/>
      <c r="E130" s="1"/>
      <c r="F130" s="9">
        <v>216.65959419999999</v>
      </c>
      <c r="G130" s="139">
        <v>3.0814762999999998E-2</v>
      </c>
      <c r="H130" s="142"/>
    </row>
    <row r="131" spans="1:8" x14ac:dyDescent="0.2">
      <c r="A131" s="1"/>
      <c r="B131" s="1"/>
      <c r="C131" s="12"/>
      <c r="D131" s="1"/>
      <c r="E131" s="1"/>
      <c r="F131" s="1"/>
      <c r="G131" s="137"/>
      <c r="H131" s="142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37"/>
      <c r="H133" s="142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1">
        <v>0</v>
      </c>
      <c r="H134" s="142"/>
    </row>
    <row r="135" spans="1:8" x14ac:dyDescent="0.2">
      <c r="A135" s="1"/>
      <c r="B135" s="1"/>
      <c r="C135" s="11"/>
      <c r="D135" s="1"/>
      <c r="E135" s="1"/>
      <c r="F135" s="12"/>
      <c r="G135" s="140"/>
      <c r="H135" s="142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37"/>
      <c r="H136" s="142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37"/>
      <c r="H137" s="142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1">
        <v>0</v>
      </c>
      <c r="H138" s="142"/>
    </row>
    <row r="139" spans="1:8" x14ac:dyDescent="0.2">
      <c r="A139" s="1"/>
      <c r="B139" s="1"/>
      <c r="C139" s="11"/>
      <c r="D139" s="1"/>
      <c r="E139" s="1"/>
      <c r="F139" s="12"/>
      <c r="G139" s="140"/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40"/>
      <c r="H141" s="142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1">
        <v>0</v>
      </c>
      <c r="H142" s="142"/>
    </row>
    <row r="143" spans="1:8" x14ac:dyDescent="0.2">
      <c r="A143" s="1"/>
      <c r="B143" s="1"/>
      <c r="C143" s="11"/>
      <c r="D143" s="1"/>
      <c r="E143" s="1"/>
      <c r="F143" s="12"/>
      <c r="G143" s="140"/>
      <c r="H143" s="142"/>
    </row>
    <row r="144" spans="1:8" x14ac:dyDescent="0.2">
      <c r="A144" s="1"/>
      <c r="B144" s="4"/>
      <c r="C144" s="4"/>
      <c r="D144" s="2"/>
      <c r="E144" s="1"/>
      <c r="F144" s="4"/>
      <c r="G144" s="143"/>
      <c r="H144" s="142"/>
    </row>
    <row r="145" spans="1:8" x14ac:dyDescent="0.2">
      <c r="A145" s="8"/>
      <c r="B145" s="4"/>
      <c r="C145" s="4" t="s">
        <v>131</v>
      </c>
      <c r="D145" s="4"/>
      <c r="E145" s="8"/>
      <c r="F145" s="6">
        <v>19.06332291</v>
      </c>
      <c r="G145" s="138">
        <v>2.711312E-3</v>
      </c>
      <c r="H145" s="142"/>
    </row>
    <row r="146" spans="1:8" x14ac:dyDescent="0.2">
      <c r="A146" s="11"/>
      <c r="B146" s="11"/>
      <c r="C146" s="2" t="s">
        <v>132</v>
      </c>
      <c r="D146" s="15"/>
      <c r="E146" s="15"/>
      <c r="F146" s="9">
        <v>7031.0322512100001</v>
      </c>
      <c r="G146" s="139">
        <v>1.0000000040000001</v>
      </c>
      <c r="H146" s="142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205" t="s">
        <v>106</v>
      </c>
      <c r="C148" s="205"/>
      <c r="D148" s="205"/>
      <c r="E148" s="205"/>
      <c r="F148" s="205"/>
      <c r="G148" s="20"/>
    </row>
    <row r="149" spans="1:8" ht="17.100000000000001" customHeight="1" x14ac:dyDescent="0.2">
      <c r="A149" s="18"/>
      <c r="B149" s="205" t="s">
        <v>133</v>
      </c>
      <c r="C149" s="205"/>
      <c r="D149" s="205"/>
      <c r="E149" s="205"/>
      <c r="F149" s="205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203" t="s">
        <v>134</v>
      </c>
      <c r="C151" s="204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99" t="s">
        <v>135</v>
      </c>
      <c r="C152" s="200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99" t="s">
        <v>137</v>
      </c>
      <c r="C153" s="200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99" t="s">
        <v>138</v>
      </c>
      <c r="C154" s="200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x14ac:dyDescent="0.2">
      <c r="A157" s="22"/>
      <c r="B157" s="4" t="s">
        <v>144</v>
      </c>
      <c r="C157" s="24">
        <v>16.985099999999999</v>
      </c>
      <c r="D157" s="24">
        <v>17.6904</v>
      </c>
      <c r="E157" s="22"/>
      <c r="F157" s="19"/>
      <c r="G157" s="25"/>
    </row>
    <row r="158" spans="1:8" x14ac:dyDescent="0.2">
      <c r="A158" s="22"/>
      <c r="B158" s="4" t="s">
        <v>1019</v>
      </c>
      <c r="C158" s="24">
        <v>16.3812</v>
      </c>
      <c r="D158" s="24">
        <v>17.061399999999999</v>
      </c>
      <c r="E158" s="22"/>
      <c r="F158" s="19"/>
      <c r="G158" s="25"/>
    </row>
    <row r="159" spans="1:8" x14ac:dyDescent="0.2">
      <c r="A159" s="22"/>
      <c r="B159" s="4" t="s">
        <v>145</v>
      </c>
      <c r="C159" s="24">
        <v>16.674299999999999</v>
      </c>
      <c r="D159" s="24">
        <v>17.358699999999999</v>
      </c>
      <c r="E159" s="22"/>
      <c r="F159" s="19"/>
      <c r="G159" s="25"/>
    </row>
    <row r="160" spans="1:8" x14ac:dyDescent="0.2">
      <c r="A160" s="22"/>
      <c r="B160" s="4" t="s">
        <v>1020</v>
      </c>
      <c r="C160" s="24">
        <v>16.071300000000001</v>
      </c>
      <c r="D160" s="24">
        <v>16.731000000000002</v>
      </c>
      <c r="E160" s="22"/>
      <c r="F160" s="19"/>
      <c r="G160" s="25"/>
    </row>
    <row r="161" spans="1:7" ht="14.1" customHeight="1" x14ac:dyDescent="0.2">
      <c r="A161" s="22"/>
      <c r="B161" s="22"/>
      <c r="C161" s="22"/>
      <c r="D161" s="22"/>
      <c r="E161" s="22"/>
      <c r="F161" s="22"/>
      <c r="G161" s="22"/>
    </row>
    <row r="162" spans="1:7" ht="17.100000000000001" customHeight="1" x14ac:dyDescent="0.2">
      <c r="A162" s="22"/>
      <c r="B162" s="199" t="s">
        <v>1021</v>
      </c>
      <c r="C162" s="200"/>
      <c r="D162" s="2" t="s">
        <v>136</v>
      </c>
      <c r="E162" s="22"/>
      <c r="F162" s="22"/>
      <c r="G162" s="22"/>
    </row>
    <row r="163" spans="1:7" ht="18" customHeight="1" x14ac:dyDescent="0.2">
      <c r="A163" s="22"/>
      <c r="B163" s="26"/>
      <c r="C163" s="26"/>
      <c r="D163" s="27"/>
      <c r="E163" s="22"/>
      <c r="F163" s="22"/>
      <c r="G163" s="22"/>
    </row>
    <row r="164" spans="1:7" s="125" customFormat="1" x14ac:dyDescent="0.2">
      <c r="B164" s="201" t="s">
        <v>825</v>
      </c>
      <c r="C164" s="201"/>
      <c r="D164" s="201"/>
      <c r="E164" s="201"/>
      <c r="F164" s="201"/>
    </row>
    <row r="165" spans="1:7" ht="14.1" customHeight="1" x14ac:dyDescent="0.2">
      <c r="A165" s="22"/>
      <c r="B165" s="19"/>
      <c r="C165" s="19"/>
      <c r="D165" s="22"/>
      <c r="E165" s="22"/>
      <c r="F165" s="22"/>
      <c r="G165" s="22"/>
    </row>
    <row r="166" spans="1:7" ht="29.1" customHeight="1" x14ac:dyDescent="0.2">
      <c r="A166" s="22"/>
      <c r="B166" s="199" t="s">
        <v>146</v>
      </c>
      <c r="C166" s="200"/>
      <c r="D166" s="2" t="s">
        <v>136</v>
      </c>
      <c r="E166" s="22"/>
      <c r="F166" s="22"/>
      <c r="G166" s="22"/>
    </row>
    <row r="167" spans="1:7" ht="29.1" customHeight="1" x14ac:dyDescent="0.2">
      <c r="A167" s="22"/>
      <c r="B167" s="199" t="s">
        <v>147</v>
      </c>
      <c r="C167" s="200"/>
      <c r="D167" s="2" t="s">
        <v>136</v>
      </c>
      <c r="E167" s="22"/>
      <c r="F167" s="22"/>
      <c r="G167" s="22"/>
    </row>
    <row r="168" spans="1:7" ht="17.100000000000001" customHeight="1" x14ac:dyDescent="0.2">
      <c r="A168" s="22"/>
      <c r="B168" s="199" t="s">
        <v>148</v>
      </c>
      <c r="C168" s="200"/>
      <c r="D168" s="28">
        <v>0.42495832749852103</v>
      </c>
      <c r="E168" s="22"/>
      <c r="F168" s="19"/>
      <c r="G168" s="25"/>
    </row>
    <row r="169" spans="1:7" ht="17.100000000000001" customHeight="1" x14ac:dyDescent="0.2">
      <c r="A169" s="22"/>
      <c r="B169" s="199" t="s">
        <v>149</v>
      </c>
      <c r="C169" s="200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16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478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8950</v>
      </c>
      <c r="F7" s="6">
        <v>122.852175</v>
      </c>
      <c r="G7" s="138">
        <v>3.3822590999999999E-2</v>
      </c>
      <c r="H7" s="142"/>
    </row>
    <row r="8" spans="1:14" x14ac:dyDescent="0.2">
      <c r="A8" s="3">
        <v>2</v>
      </c>
      <c r="B8" s="4" t="s">
        <v>154</v>
      </c>
      <c r="C8" s="4" t="s">
        <v>155</v>
      </c>
      <c r="D8" s="4" t="s">
        <v>27</v>
      </c>
      <c r="E8" s="5">
        <v>12939</v>
      </c>
      <c r="F8" s="6">
        <v>119.957469</v>
      </c>
      <c r="G8" s="138">
        <v>3.3025644999999999E-2</v>
      </c>
      <c r="H8" s="142"/>
    </row>
    <row r="9" spans="1:14" x14ac:dyDescent="0.2">
      <c r="A9" s="3">
        <v>3</v>
      </c>
      <c r="B9" s="4" t="s">
        <v>151</v>
      </c>
      <c r="C9" s="4" t="s">
        <v>152</v>
      </c>
      <c r="D9" s="4" t="s">
        <v>153</v>
      </c>
      <c r="E9" s="5">
        <v>2845</v>
      </c>
      <c r="F9" s="6">
        <v>104.8311375</v>
      </c>
      <c r="G9" s="138">
        <v>2.8861194999999999E-2</v>
      </c>
      <c r="H9" s="142"/>
    </row>
    <row r="10" spans="1:14" x14ac:dyDescent="0.2">
      <c r="A10" s="3">
        <v>4</v>
      </c>
      <c r="B10" s="4" t="s">
        <v>160</v>
      </c>
      <c r="C10" s="4" t="s">
        <v>161</v>
      </c>
      <c r="D10" s="4" t="s">
        <v>27</v>
      </c>
      <c r="E10" s="5">
        <v>12363</v>
      </c>
      <c r="F10" s="6">
        <v>98.545473000000001</v>
      </c>
      <c r="G10" s="138">
        <v>2.7130681E-2</v>
      </c>
      <c r="H10" s="142"/>
    </row>
    <row r="11" spans="1:14" x14ac:dyDescent="0.2">
      <c r="A11" s="3">
        <v>5</v>
      </c>
      <c r="B11" s="4" t="s">
        <v>474</v>
      </c>
      <c r="C11" s="4" t="s">
        <v>475</v>
      </c>
      <c r="D11" s="4" t="s">
        <v>207</v>
      </c>
      <c r="E11" s="5">
        <v>15201</v>
      </c>
      <c r="F11" s="6">
        <v>91.730434500000001</v>
      </c>
      <c r="G11" s="138">
        <v>2.5254424000000001E-2</v>
      </c>
      <c r="H11" s="142"/>
    </row>
    <row r="12" spans="1:14" x14ac:dyDescent="0.2">
      <c r="A12" s="3">
        <v>6</v>
      </c>
      <c r="B12" s="4" t="s">
        <v>44</v>
      </c>
      <c r="C12" s="4" t="s">
        <v>45</v>
      </c>
      <c r="D12" s="4" t="s">
        <v>27</v>
      </c>
      <c r="E12" s="5">
        <v>7409</v>
      </c>
      <c r="F12" s="6">
        <v>90.478707999999997</v>
      </c>
      <c r="G12" s="138">
        <v>2.4909810000000001E-2</v>
      </c>
      <c r="H12" s="142"/>
    </row>
    <row r="13" spans="1:14" x14ac:dyDescent="0.2">
      <c r="A13" s="3">
        <v>7</v>
      </c>
      <c r="B13" s="4" t="s">
        <v>158</v>
      </c>
      <c r="C13" s="4" t="s">
        <v>159</v>
      </c>
      <c r="D13" s="4" t="s">
        <v>80</v>
      </c>
      <c r="E13" s="5">
        <v>74349</v>
      </c>
      <c r="F13" s="6">
        <v>89.962289999999996</v>
      </c>
      <c r="G13" s="138">
        <v>2.4767634E-2</v>
      </c>
      <c r="H13" s="142"/>
    </row>
    <row r="14" spans="1:14" x14ac:dyDescent="0.2">
      <c r="A14" s="3">
        <v>8</v>
      </c>
      <c r="B14" s="4" t="s">
        <v>162</v>
      </c>
      <c r="C14" s="4" t="s">
        <v>163</v>
      </c>
      <c r="D14" s="4" t="s">
        <v>164</v>
      </c>
      <c r="E14" s="5">
        <v>24091</v>
      </c>
      <c r="F14" s="6">
        <v>82.330992499999994</v>
      </c>
      <c r="G14" s="138">
        <v>2.2666651999999999E-2</v>
      </c>
      <c r="H14" s="142"/>
    </row>
    <row r="15" spans="1:14" x14ac:dyDescent="0.2">
      <c r="A15" s="3">
        <v>9</v>
      </c>
      <c r="B15" s="4" t="s">
        <v>52</v>
      </c>
      <c r="C15" s="4" t="s">
        <v>53</v>
      </c>
      <c r="D15" s="4" t="s">
        <v>51</v>
      </c>
      <c r="E15" s="5">
        <v>24688</v>
      </c>
      <c r="F15" s="6">
        <v>76.446392000000003</v>
      </c>
      <c r="G15" s="138">
        <v>2.1046555000000002E-2</v>
      </c>
      <c r="H15" s="142"/>
    </row>
    <row r="16" spans="1:14" ht="15" x14ac:dyDescent="0.2">
      <c r="A16" s="3">
        <v>10</v>
      </c>
      <c r="B16" s="4" t="s">
        <v>165</v>
      </c>
      <c r="C16" s="4" t="s">
        <v>166</v>
      </c>
      <c r="D16" s="4" t="s">
        <v>51</v>
      </c>
      <c r="E16" s="5">
        <v>16012</v>
      </c>
      <c r="F16" s="6">
        <v>75.680717999999999</v>
      </c>
      <c r="G16" s="138">
        <v>2.0835756E-2</v>
      </c>
      <c r="H16" s="142"/>
      <c r="J16" s="163" t="s">
        <v>1037</v>
      </c>
    </row>
    <row r="17" spans="1:8" x14ac:dyDescent="0.2">
      <c r="A17" s="3">
        <v>11</v>
      </c>
      <c r="B17" s="4" t="s">
        <v>456</v>
      </c>
      <c r="C17" s="4" t="s">
        <v>457</v>
      </c>
      <c r="D17" s="4" t="s">
        <v>51</v>
      </c>
      <c r="E17" s="5">
        <v>22660</v>
      </c>
      <c r="F17" s="6">
        <v>75.197209999999998</v>
      </c>
      <c r="G17" s="138">
        <v>2.0702641000000001E-2</v>
      </c>
      <c r="H17" s="142"/>
    </row>
    <row r="18" spans="1:8" x14ac:dyDescent="0.2">
      <c r="A18" s="3">
        <v>12</v>
      </c>
      <c r="B18" s="4" t="s">
        <v>169</v>
      </c>
      <c r="C18" s="4" t="s">
        <v>170</v>
      </c>
      <c r="D18" s="4" t="s">
        <v>164</v>
      </c>
      <c r="E18" s="5">
        <v>2021</v>
      </c>
      <c r="F18" s="6">
        <v>75.106423000000007</v>
      </c>
      <c r="G18" s="138">
        <v>2.0677646000000001E-2</v>
      </c>
      <c r="H18" s="142"/>
    </row>
    <row r="19" spans="1:8" ht="25.5" x14ac:dyDescent="0.2">
      <c r="A19" s="3">
        <v>13</v>
      </c>
      <c r="B19" s="4" t="s">
        <v>30</v>
      </c>
      <c r="C19" s="4" t="s">
        <v>31</v>
      </c>
      <c r="D19" s="4" t="s">
        <v>1023</v>
      </c>
      <c r="E19" s="5">
        <v>2108</v>
      </c>
      <c r="F19" s="6">
        <v>65.511369999999999</v>
      </c>
      <c r="G19" s="138">
        <v>1.803602E-2</v>
      </c>
      <c r="H19" s="142"/>
    </row>
    <row r="20" spans="1:8" x14ac:dyDescent="0.2">
      <c r="A20" s="3">
        <v>14</v>
      </c>
      <c r="B20" s="4" t="s">
        <v>176</v>
      </c>
      <c r="C20" s="4" t="s">
        <v>177</v>
      </c>
      <c r="D20" s="4" t="s">
        <v>1026</v>
      </c>
      <c r="E20" s="5">
        <v>16438</v>
      </c>
      <c r="F20" s="6">
        <v>64.642435000000006</v>
      </c>
      <c r="G20" s="138">
        <v>1.7796791999999999E-2</v>
      </c>
      <c r="H20" s="142"/>
    </row>
    <row r="21" spans="1:8" x14ac:dyDescent="0.2">
      <c r="A21" s="3">
        <v>15</v>
      </c>
      <c r="B21" s="4" t="s">
        <v>179</v>
      </c>
      <c r="C21" s="4" t="s">
        <v>180</v>
      </c>
      <c r="D21" s="4" t="s">
        <v>181</v>
      </c>
      <c r="E21" s="5">
        <v>24683</v>
      </c>
      <c r="F21" s="6">
        <v>61.065742</v>
      </c>
      <c r="G21" s="138">
        <v>1.6812087999999999E-2</v>
      </c>
      <c r="H21" s="142"/>
    </row>
    <row r="22" spans="1:8" x14ac:dyDescent="0.2">
      <c r="A22" s="3">
        <v>16</v>
      </c>
      <c r="B22" s="4" t="s">
        <v>466</v>
      </c>
      <c r="C22" s="4" t="s">
        <v>467</v>
      </c>
      <c r="D22" s="4" t="s">
        <v>216</v>
      </c>
      <c r="E22" s="5">
        <v>9098</v>
      </c>
      <c r="F22" s="6">
        <v>59.373548</v>
      </c>
      <c r="G22" s="138">
        <v>1.6346208000000001E-2</v>
      </c>
      <c r="H22" s="142"/>
    </row>
    <row r="23" spans="1:8" x14ac:dyDescent="0.2">
      <c r="A23" s="3">
        <v>17</v>
      </c>
      <c r="B23" s="4" t="s">
        <v>182</v>
      </c>
      <c r="C23" s="4" t="s">
        <v>183</v>
      </c>
      <c r="D23" s="4" t="s">
        <v>164</v>
      </c>
      <c r="E23" s="5">
        <v>1104</v>
      </c>
      <c r="F23" s="6">
        <v>59.002727999999998</v>
      </c>
      <c r="G23" s="138">
        <v>1.6244116999999999E-2</v>
      </c>
      <c r="H23" s="142"/>
    </row>
    <row r="24" spans="1:8" x14ac:dyDescent="0.2">
      <c r="A24" s="3">
        <v>18</v>
      </c>
      <c r="B24" s="4" t="s">
        <v>184</v>
      </c>
      <c r="C24" s="4" t="s">
        <v>185</v>
      </c>
      <c r="D24" s="4" t="s">
        <v>173</v>
      </c>
      <c r="E24" s="5">
        <v>4196</v>
      </c>
      <c r="F24" s="6">
        <v>58.611826000000001</v>
      </c>
      <c r="G24" s="138">
        <v>1.6136497E-2</v>
      </c>
      <c r="H24" s="142"/>
    </row>
    <row r="25" spans="1:8" ht="25.5" x14ac:dyDescent="0.2">
      <c r="A25" s="3">
        <v>19</v>
      </c>
      <c r="B25" s="4" t="s">
        <v>191</v>
      </c>
      <c r="C25" s="4" t="s">
        <v>192</v>
      </c>
      <c r="D25" s="4" t="s">
        <v>1023</v>
      </c>
      <c r="E25" s="5">
        <v>22301</v>
      </c>
      <c r="F25" s="6">
        <v>57.268968000000001</v>
      </c>
      <c r="G25" s="138">
        <v>1.5766793000000001E-2</v>
      </c>
      <c r="H25" s="142"/>
    </row>
    <row r="26" spans="1:8" x14ac:dyDescent="0.2">
      <c r="A26" s="3">
        <v>20</v>
      </c>
      <c r="B26" s="4" t="s">
        <v>199</v>
      </c>
      <c r="C26" s="4" t="s">
        <v>200</v>
      </c>
      <c r="D26" s="4" t="s">
        <v>164</v>
      </c>
      <c r="E26" s="5">
        <v>5305</v>
      </c>
      <c r="F26" s="6">
        <v>56.378887499999998</v>
      </c>
      <c r="G26" s="138">
        <v>1.5521744000000001E-2</v>
      </c>
      <c r="H26" s="142"/>
    </row>
    <row r="27" spans="1:8" x14ac:dyDescent="0.2">
      <c r="A27" s="3">
        <v>21</v>
      </c>
      <c r="B27" s="4" t="s">
        <v>374</v>
      </c>
      <c r="C27" s="4" t="s">
        <v>375</v>
      </c>
      <c r="D27" s="4" t="s">
        <v>173</v>
      </c>
      <c r="E27" s="5">
        <v>1632</v>
      </c>
      <c r="F27" s="6">
        <v>55.839696000000004</v>
      </c>
      <c r="G27" s="138">
        <v>1.5373299E-2</v>
      </c>
      <c r="H27" s="142"/>
    </row>
    <row r="28" spans="1:8" x14ac:dyDescent="0.2">
      <c r="A28" s="3">
        <v>22</v>
      </c>
      <c r="B28" s="4" t="s">
        <v>212</v>
      </c>
      <c r="C28" s="4" t="s">
        <v>213</v>
      </c>
      <c r="D28" s="4" t="s">
        <v>1027</v>
      </c>
      <c r="E28" s="5">
        <v>6000</v>
      </c>
      <c r="F28" s="6">
        <v>54.972000000000001</v>
      </c>
      <c r="G28" s="138">
        <v>1.5134412E-2</v>
      </c>
      <c r="H28" s="142"/>
    </row>
    <row r="29" spans="1:8" ht="25.5" x14ac:dyDescent="0.2">
      <c r="A29" s="3">
        <v>23</v>
      </c>
      <c r="B29" s="4" t="s">
        <v>193</v>
      </c>
      <c r="C29" s="4" t="s">
        <v>194</v>
      </c>
      <c r="D29" s="4" t="s">
        <v>37</v>
      </c>
      <c r="E29" s="5">
        <v>44355</v>
      </c>
      <c r="F29" s="6">
        <v>54.5344725</v>
      </c>
      <c r="G29" s="138">
        <v>1.5013956E-2</v>
      </c>
      <c r="H29" s="142"/>
    </row>
    <row r="30" spans="1:8" x14ac:dyDescent="0.2">
      <c r="A30" s="3">
        <v>24</v>
      </c>
      <c r="B30" s="4" t="s">
        <v>201</v>
      </c>
      <c r="C30" s="4" t="s">
        <v>202</v>
      </c>
      <c r="D30" s="4" t="s">
        <v>80</v>
      </c>
      <c r="E30" s="5">
        <v>7884</v>
      </c>
      <c r="F30" s="6">
        <v>54.147311999999999</v>
      </c>
      <c r="G30" s="138">
        <v>1.4907366E-2</v>
      </c>
      <c r="H30" s="142"/>
    </row>
    <row r="31" spans="1:8" x14ac:dyDescent="0.2">
      <c r="A31" s="3">
        <v>25</v>
      </c>
      <c r="B31" s="4" t="s">
        <v>203</v>
      </c>
      <c r="C31" s="4" t="s">
        <v>204</v>
      </c>
      <c r="D31" s="4" t="s">
        <v>80</v>
      </c>
      <c r="E31" s="5">
        <v>9147</v>
      </c>
      <c r="F31" s="6">
        <v>53.976447</v>
      </c>
      <c r="G31" s="138">
        <v>1.4860325000000001E-2</v>
      </c>
      <c r="H31" s="142"/>
    </row>
    <row r="32" spans="1:8" x14ac:dyDescent="0.2">
      <c r="A32" s="3">
        <v>26</v>
      </c>
      <c r="B32" s="4" t="s">
        <v>223</v>
      </c>
      <c r="C32" s="4" t="s">
        <v>224</v>
      </c>
      <c r="D32" s="4" t="s">
        <v>66</v>
      </c>
      <c r="E32" s="5">
        <v>5426</v>
      </c>
      <c r="F32" s="6">
        <v>52.005496999999998</v>
      </c>
      <c r="G32" s="138">
        <v>1.4317699999999999E-2</v>
      </c>
      <c r="H32" s="142"/>
    </row>
    <row r="33" spans="1:8" ht="25.5" x14ac:dyDescent="0.2">
      <c r="A33" s="3">
        <v>27</v>
      </c>
      <c r="B33" s="4" t="s">
        <v>217</v>
      </c>
      <c r="C33" s="4" t="s">
        <v>218</v>
      </c>
      <c r="D33" s="4" t="s">
        <v>90</v>
      </c>
      <c r="E33" s="5">
        <v>11014</v>
      </c>
      <c r="F33" s="6">
        <v>50.284416999999998</v>
      </c>
      <c r="G33" s="138">
        <v>1.3843868E-2</v>
      </c>
      <c r="H33" s="142"/>
    </row>
    <row r="34" spans="1:8" ht="25.5" x14ac:dyDescent="0.2">
      <c r="A34" s="3">
        <v>28</v>
      </c>
      <c r="B34" s="4" t="s">
        <v>231</v>
      </c>
      <c r="C34" s="4" t="s">
        <v>232</v>
      </c>
      <c r="D34" s="4" t="s">
        <v>51</v>
      </c>
      <c r="E34" s="5">
        <v>2300</v>
      </c>
      <c r="F34" s="6">
        <v>49.308549999999997</v>
      </c>
      <c r="G34" s="138">
        <v>1.3575200000000001E-2</v>
      </c>
      <c r="H34" s="142"/>
    </row>
    <row r="35" spans="1:8" ht="25.5" x14ac:dyDescent="0.2">
      <c r="A35" s="3">
        <v>29</v>
      </c>
      <c r="B35" s="4" t="s">
        <v>458</v>
      </c>
      <c r="C35" s="4" t="s">
        <v>459</v>
      </c>
      <c r="D35" s="4" t="s">
        <v>37</v>
      </c>
      <c r="E35" s="5">
        <v>3630</v>
      </c>
      <c r="F35" s="6">
        <v>48.985035000000003</v>
      </c>
      <c r="G35" s="138">
        <v>1.3486133000000001E-2</v>
      </c>
      <c r="H35" s="142"/>
    </row>
    <row r="36" spans="1:8" x14ac:dyDescent="0.2">
      <c r="A36" s="3">
        <v>30</v>
      </c>
      <c r="B36" s="4" t="s">
        <v>468</v>
      </c>
      <c r="C36" s="4" t="s">
        <v>469</v>
      </c>
      <c r="D36" s="4" t="s">
        <v>1024</v>
      </c>
      <c r="E36" s="5">
        <v>49937</v>
      </c>
      <c r="F36" s="6">
        <v>48.738512</v>
      </c>
      <c r="G36" s="138">
        <v>1.3418263E-2</v>
      </c>
      <c r="H36" s="142"/>
    </row>
    <row r="37" spans="1:8" x14ac:dyDescent="0.2">
      <c r="A37" s="3">
        <v>31</v>
      </c>
      <c r="B37" s="4" t="s">
        <v>188</v>
      </c>
      <c r="C37" s="4" t="s">
        <v>189</v>
      </c>
      <c r="D37" s="4" t="s">
        <v>190</v>
      </c>
      <c r="E37" s="5">
        <v>4863</v>
      </c>
      <c r="F37" s="6">
        <v>48.428185499999998</v>
      </c>
      <c r="G37" s="138">
        <v>1.3332826000000001E-2</v>
      </c>
      <c r="H37" s="142"/>
    </row>
    <row r="38" spans="1:8" x14ac:dyDescent="0.2">
      <c r="A38" s="3">
        <v>32</v>
      </c>
      <c r="B38" s="4" t="s">
        <v>214</v>
      </c>
      <c r="C38" s="4" t="s">
        <v>215</v>
      </c>
      <c r="D38" s="4" t="s">
        <v>216</v>
      </c>
      <c r="E38" s="5">
        <v>17729</v>
      </c>
      <c r="F38" s="6">
        <v>48.284931499999999</v>
      </c>
      <c r="G38" s="138">
        <v>1.3293387E-2</v>
      </c>
      <c r="H38" s="142"/>
    </row>
    <row r="39" spans="1:8" x14ac:dyDescent="0.2">
      <c r="A39" s="3">
        <v>33</v>
      </c>
      <c r="B39" s="4" t="s">
        <v>174</v>
      </c>
      <c r="C39" s="4" t="s">
        <v>175</v>
      </c>
      <c r="D39" s="4" t="s">
        <v>335</v>
      </c>
      <c r="E39" s="5">
        <v>4826</v>
      </c>
      <c r="F39" s="6">
        <v>47.738791999999997</v>
      </c>
      <c r="G39" s="138">
        <v>1.3143027999999999E-2</v>
      </c>
      <c r="H39" s="142"/>
    </row>
    <row r="40" spans="1:8" x14ac:dyDescent="0.2">
      <c r="A40" s="3">
        <v>34</v>
      </c>
      <c r="B40" s="4" t="s">
        <v>205</v>
      </c>
      <c r="C40" s="4" t="s">
        <v>206</v>
      </c>
      <c r="D40" s="4" t="s">
        <v>207</v>
      </c>
      <c r="E40" s="5">
        <v>10421</v>
      </c>
      <c r="F40" s="6">
        <v>46.816342499999998</v>
      </c>
      <c r="G40" s="138">
        <v>1.2889068E-2</v>
      </c>
      <c r="H40" s="142"/>
    </row>
    <row r="41" spans="1:8" x14ac:dyDescent="0.2">
      <c r="A41" s="3">
        <v>35</v>
      </c>
      <c r="B41" s="4" t="s">
        <v>197</v>
      </c>
      <c r="C41" s="4" t="s">
        <v>198</v>
      </c>
      <c r="D41" s="4" t="s">
        <v>51</v>
      </c>
      <c r="E41" s="5">
        <v>4496</v>
      </c>
      <c r="F41" s="6">
        <v>46.113224000000002</v>
      </c>
      <c r="G41" s="138">
        <v>1.2695491E-2</v>
      </c>
      <c r="H41" s="142"/>
    </row>
    <row r="42" spans="1:8" x14ac:dyDescent="0.2">
      <c r="A42" s="3">
        <v>36</v>
      </c>
      <c r="B42" s="4" t="s">
        <v>221</v>
      </c>
      <c r="C42" s="4" t="s">
        <v>222</v>
      </c>
      <c r="D42" s="4" t="s">
        <v>207</v>
      </c>
      <c r="E42" s="5">
        <v>7372</v>
      </c>
      <c r="F42" s="6">
        <v>45.444693999999998</v>
      </c>
      <c r="G42" s="138">
        <v>1.2511437E-2</v>
      </c>
      <c r="H42" s="142"/>
    </row>
    <row r="43" spans="1:8" x14ac:dyDescent="0.2">
      <c r="A43" s="3">
        <v>37</v>
      </c>
      <c r="B43" s="4" t="s">
        <v>460</v>
      </c>
      <c r="C43" s="4" t="s">
        <v>461</v>
      </c>
      <c r="D43" s="4" t="s">
        <v>27</v>
      </c>
      <c r="E43" s="5">
        <v>5096</v>
      </c>
      <c r="F43" s="6">
        <v>45.229548000000001</v>
      </c>
      <c r="G43" s="138">
        <v>1.2452204999999999E-2</v>
      </c>
      <c r="H43" s="142"/>
    </row>
    <row r="44" spans="1:8" x14ac:dyDescent="0.2">
      <c r="A44" s="3">
        <v>38</v>
      </c>
      <c r="B44" s="4" t="s">
        <v>462</v>
      </c>
      <c r="C44" s="4" t="s">
        <v>463</v>
      </c>
      <c r="D44" s="4" t="s">
        <v>51</v>
      </c>
      <c r="E44" s="5">
        <v>4749</v>
      </c>
      <c r="F44" s="6">
        <v>43.2277725</v>
      </c>
      <c r="G44" s="138">
        <v>1.1901093999999999E-2</v>
      </c>
      <c r="H44" s="142"/>
    </row>
    <row r="45" spans="1:8" x14ac:dyDescent="0.2">
      <c r="A45" s="3">
        <v>39</v>
      </c>
      <c r="B45" s="4" t="s">
        <v>225</v>
      </c>
      <c r="C45" s="4" t="s">
        <v>226</v>
      </c>
      <c r="D45" s="4" t="s">
        <v>1028</v>
      </c>
      <c r="E45" s="5">
        <v>7565</v>
      </c>
      <c r="F45" s="6">
        <v>42.840595</v>
      </c>
      <c r="G45" s="138">
        <v>1.1794499E-2</v>
      </c>
      <c r="H45" s="142"/>
    </row>
    <row r="46" spans="1:8" x14ac:dyDescent="0.2">
      <c r="A46" s="3">
        <v>40</v>
      </c>
      <c r="B46" s="4" t="s">
        <v>250</v>
      </c>
      <c r="C46" s="4" t="s">
        <v>251</v>
      </c>
      <c r="D46" s="4" t="s">
        <v>164</v>
      </c>
      <c r="E46" s="5">
        <v>3090</v>
      </c>
      <c r="F46" s="6">
        <v>42.640455000000003</v>
      </c>
      <c r="G46" s="138">
        <v>1.1739398999999999E-2</v>
      </c>
      <c r="H46" s="142"/>
    </row>
    <row r="47" spans="1:8" x14ac:dyDescent="0.2">
      <c r="A47" s="3">
        <v>41</v>
      </c>
      <c r="B47" s="4" t="s">
        <v>229</v>
      </c>
      <c r="C47" s="4" t="s">
        <v>230</v>
      </c>
      <c r="D47" s="4" t="s">
        <v>51</v>
      </c>
      <c r="E47" s="5">
        <v>4838</v>
      </c>
      <c r="F47" s="6">
        <v>42.04222</v>
      </c>
      <c r="G47" s="138">
        <v>1.1574698E-2</v>
      </c>
      <c r="H47" s="142"/>
    </row>
    <row r="48" spans="1:8" x14ac:dyDescent="0.2">
      <c r="A48" s="3">
        <v>42</v>
      </c>
      <c r="B48" s="4" t="s">
        <v>235</v>
      </c>
      <c r="C48" s="4" t="s">
        <v>236</v>
      </c>
      <c r="D48" s="4" t="s">
        <v>27</v>
      </c>
      <c r="E48" s="5">
        <v>2370</v>
      </c>
      <c r="F48" s="6">
        <v>40.170315000000002</v>
      </c>
      <c r="G48" s="138">
        <v>1.1059341E-2</v>
      </c>
      <c r="H48" s="142"/>
    </row>
    <row r="49" spans="1:8" x14ac:dyDescent="0.2">
      <c r="A49" s="3">
        <v>43</v>
      </c>
      <c r="B49" s="4" t="s">
        <v>464</v>
      </c>
      <c r="C49" s="4" t="s">
        <v>465</v>
      </c>
      <c r="D49" s="4" t="s">
        <v>48</v>
      </c>
      <c r="E49" s="5">
        <v>9464</v>
      </c>
      <c r="F49" s="6">
        <v>39.720407999999999</v>
      </c>
      <c r="G49" s="138">
        <v>1.0935477000000001E-2</v>
      </c>
      <c r="H49" s="142"/>
    </row>
    <row r="50" spans="1:8" x14ac:dyDescent="0.2">
      <c r="A50" s="3">
        <v>44</v>
      </c>
      <c r="B50" s="4" t="s">
        <v>302</v>
      </c>
      <c r="C50" s="4" t="s">
        <v>303</v>
      </c>
      <c r="D50" s="4" t="s">
        <v>27</v>
      </c>
      <c r="E50" s="5">
        <v>5737</v>
      </c>
      <c r="F50" s="6">
        <v>39.046022000000001</v>
      </c>
      <c r="G50" s="138">
        <v>1.0749811E-2</v>
      </c>
      <c r="H50" s="142"/>
    </row>
    <row r="51" spans="1:8" x14ac:dyDescent="0.2">
      <c r="A51" s="3">
        <v>45</v>
      </c>
      <c r="B51" s="4" t="s">
        <v>239</v>
      </c>
      <c r="C51" s="4" t="s">
        <v>240</v>
      </c>
      <c r="D51" s="4" t="s">
        <v>207</v>
      </c>
      <c r="E51" s="5">
        <v>2084</v>
      </c>
      <c r="F51" s="6">
        <v>38.907238</v>
      </c>
      <c r="G51" s="138">
        <v>1.0711602000000001E-2</v>
      </c>
      <c r="H51" s="142"/>
    </row>
    <row r="52" spans="1:8" ht="25.5" x14ac:dyDescent="0.2">
      <c r="A52" s="3">
        <v>46</v>
      </c>
      <c r="B52" s="4" t="s">
        <v>178</v>
      </c>
      <c r="C52" s="4" t="s">
        <v>933</v>
      </c>
      <c r="D52" s="4" t="s">
        <v>37</v>
      </c>
      <c r="E52" s="5">
        <v>14626</v>
      </c>
      <c r="F52" s="6">
        <v>37.757019</v>
      </c>
      <c r="G52" s="138">
        <v>1.0394934E-2</v>
      </c>
      <c r="H52" s="142"/>
    </row>
    <row r="53" spans="1:8" x14ac:dyDescent="0.2">
      <c r="A53" s="3">
        <v>47</v>
      </c>
      <c r="B53" s="4" t="s">
        <v>246</v>
      </c>
      <c r="C53" s="4" t="s">
        <v>247</v>
      </c>
      <c r="D53" s="4" t="s">
        <v>80</v>
      </c>
      <c r="E53" s="5">
        <v>68251</v>
      </c>
      <c r="F53" s="6">
        <v>37.503924499999997</v>
      </c>
      <c r="G53" s="138">
        <v>1.0325254000000001E-2</v>
      </c>
      <c r="H53" s="142"/>
    </row>
    <row r="54" spans="1:8" x14ac:dyDescent="0.2">
      <c r="A54" s="3">
        <v>48</v>
      </c>
      <c r="B54" s="4" t="s">
        <v>296</v>
      </c>
      <c r="C54" s="4" t="s">
        <v>297</v>
      </c>
      <c r="D54" s="4" t="s">
        <v>27</v>
      </c>
      <c r="E54" s="5">
        <v>3047</v>
      </c>
      <c r="F54" s="6">
        <v>37.283092000000003</v>
      </c>
      <c r="G54" s="138">
        <v>1.0264456E-2</v>
      </c>
      <c r="H54" s="142"/>
    </row>
    <row r="55" spans="1:8" ht="25.5" x14ac:dyDescent="0.2">
      <c r="A55" s="3">
        <v>49</v>
      </c>
      <c r="B55" s="4" t="s">
        <v>244</v>
      </c>
      <c r="C55" s="4" t="s">
        <v>245</v>
      </c>
      <c r="D55" s="4" t="s">
        <v>1029</v>
      </c>
      <c r="E55" s="5">
        <v>33148</v>
      </c>
      <c r="F55" s="6">
        <v>37.009742000000003</v>
      </c>
      <c r="G55" s="138">
        <v>1.0189200000000001E-2</v>
      </c>
      <c r="H55" s="142"/>
    </row>
    <row r="56" spans="1:8" x14ac:dyDescent="0.2">
      <c r="A56" s="3">
        <v>50</v>
      </c>
      <c r="B56" s="4" t="s">
        <v>241</v>
      </c>
      <c r="C56" s="4" t="s">
        <v>242</v>
      </c>
      <c r="D56" s="4" t="s">
        <v>243</v>
      </c>
      <c r="E56" s="5">
        <v>7357</v>
      </c>
      <c r="F56" s="6">
        <v>36.431863999999997</v>
      </c>
      <c r="G56" s="138">
        <v>1.0030103E-2</v>
      </c>
      <c r="H56" s="142"/>
    </row>
    <row r="57" spans="1:8" x14ac:dyDescent="0.2">
      <c r="A57" s="3">
        <v>51</v>
      </c>
      <c r="B57" s="4" t="s">
        <v>195</v>
      </c>
      <c r="C57" s="4" t="s">
        <v>196</v>
      </c>
      <c r="D57" s="4" t="s">
        <v>24</v>
      </c>
      <c r="E57" s="5">
        <v>19050</v>
      </c>
      <c r="F57" s="6">
        <v>36.36645</v>
      </c>
      <c r="G57" s="138">
        <v>1.0012093999999999E-2</v>
      </c>
      <c r="H57" s="142"/>
    </row>
    <row r="58" spans="1:8" ht="25.5" x14ac:dyDescent="0.2">
      <c r="A58" s="3">
        <v>52</v>
      </c>
      <c r="B58" s="4" t="s">
        <v>252</v>
      </c>
      <c r="C58" s="4" t="s">
        <v>253</v>
      </c>
      <c r="D58" s="4" t="s">
        <v>90</v>
      </c>
      <c r="E58" s="5">
        <v>8180</v>
      </c>
      <c r="F58" s="6">
        <v>34.413260000000001</v>
      </c>
      <c r="G58" s="138">
        <v>9.4743589999999999E-3</v>
      </c>
      <c r="H58" s="142"/>
    </row>
    <row r="59" spans="1:8" ht="25.5" x14ac:dyDescent="0.2">
      <c r="A59" s="3">
        <v>53</v>
      </c>
      <c r="B59" s="4" t="s">
        <v>255</v>
      </c>
      <c r="C59" s="4" t="s">
        <v>256</v>
      </c>
      <c r="D59" s="4" t="s">
        <v>90</v>
      </c>
      <c r="E59" s="5">
        <v>8568</v>
      </c>
      <c r="F59" s="6">
        <v>32.948244000000003</v>
      </c>
      <c r="G59" s="138">
        <v>9.0710229999999992E-3</v>
      </c>
      <c r="H59" s="142"/>
    </row>
    <row r="60" spans="1:8" x14ac:dyDescent="0.2">
      <c r="A60" s="3">
        <v>54</v>
      </c>
      <c r="B60" s="4" t="s">
        <v>210</v>
      </c>
      <c r="C60" s="4" t="s">
        <v>211</v>
      </c>
      <c r="D60" s="4" t="s">
        <v>34</v>
      </c>
      <c r="E60" s="5">
        <v>8109</v>
      </c>
      <c r="F60" s="6">
        <v>32.776578000000001</v>
      </c>
      <c r="G60" s="138">
        <v>9.0237619999999994E-3</v>
      </c>
      <c r="H60" s="142"/>
    </row>
    <row r="61" spans="1:8" x14ac:dyDescent="0.2">
      <c r="A61" s="3">
        <v>55</v>
      </c>
      <c r="B61" s="4" t="s">
        <v>257</v>
      </c>
      <c r="C61" s="4" t="s">
        <v>258</v>
      </c>
      <c r="D61" s="4" t="s">
        <v>173</v>
      </c>
      <c r="E61" s="5">
        <v>9322</v>
      </c>
      <c r="F61" s="6">
        <v>32.627000000000002</v>
      </c>
      <c r="G61" s="138">
        <v>8.9825809999999999E-3</v>
      </c>
      <c r="H61" s="142"/>
    </row>
    <row r="62" spans="1:8" x14ac:dyDescent="0.2">
      <c r="A62" s="3">
        <v>56</v>
      </c>
      <c r="B62" s="4" t="s">
        <v>261</v>
      </c>
      <c r="C62" s="4" t="s">
        <v>262</v>
      </c>
      <c r="D62" s="4" t="s">
        <v>51</v>
      </c>
      <c r="E62" s="5">
        <v>14021</v>
      </c>
      <c r="F62" s="6">
        <v>31.154661999999998</v>
      </c>
      <c r="G62" s="138">
        <v>8.5772299999999999E-3</v>
      </c>
      <c r="H62" s="142"/>
    </row>
    <row r="63" spans="1:8" x14ac:dyDescent="0.2">
      <c r="A63" s="3">
        <v>57</v>
      </c>
      <c r="B63" s="4" t="s">
        <v>267</v>
      </c>
      <c r="C63" s="4" t="s">
        <v>268</v>
      </c>
      <c r="D63" s="4" t="s">
        <v>1024</v>
      </c>
      <c r="E63" s="5">
        <v>1742</v>
      </c>
      <c r="F63" s="6">
        <v>28.893682999999999</v>
      </c>
      <c r="G63" s="138">
        <v>7.9547569999999998E-3</v>
      </c>
      <c r="H63" s="142"/>
    </row>
    <row r="64" spans="1:8" x14ac:dyDescent="0.2">
      <c r="A64" s="3">
        <v>58</v>
      </c>
      <c r="B64" s="4" t="s">
        <v>265</v>
      </c>
      <c r="C64" s="4" t="s">
        <v>266</v>
      </c>
      <c r="D64" s="4" t="s">
        <v>59</v>
      </c>
      <c r="E64" s="5">
        <v>2788</v>
      </c>
      <c r="F64" s="6">
        <v>28.834890000000001</v>
      </c>
      <c r="G64" s="138">
        <v>7.9385710000000002E-3</v>
      </c>
      <c r="H64" s="142"/>
    </row>
    <row r="65" spans="1:8" x14ac:dyDescent="0.2">
      <c r="A65" s="3">
        <v>59</v>
      </c>
      <c r="B65" s="4" t="s">
        <v>273</v>
      </c>
      <c r="C65" s="4" t="s">
        <v>274</v>
      </c>
      <c r="D65" s="4" t="s">
        <v>173</v>
      </c>
      <c r="E65" s="5">
        <v>4265</v>
      </c>
      <c r="F65" s="6">
        <v>25.555879999999998</v>
      </c>
      <c r="G65" s="138">
        <v>7.0358219999999997E-3</v>
      </c>
      <c r="H65" s="142"/>
    </row>
    <row r="66" spans="1:8" x14ac:dyDescent="0.2">
      <c r="A66" s="3">
        <v>60</v>
      </c>
      <c r="B66" s="4" t="s">
        <v>280</v>
      </c>
      <c r="C66" s="4" t="s">
        <v>281</v>
      </c>
      <c r="D66" s="4" t="s">
        <v>24</v>
      </c>
      <c r="E66" s="5">
        <v>27737</v>
      </c>
      <c r="F66" s="6">
        <v>25.240670000000001</v>
      </c>
      <c r="G66" s="138">
        <v>6.9490410000000004E-3</v>
      </c>
      <c r="H66" s="142"/>
    </row>
    <row r="67" spans="1:8" x14ac:dyDescent="0.2">
      <c r="A67" s="3">
        <v>61</v>
      </c>
      <c r="B67" s="4" t="s">
        <v>275</v>
      </c>
      <c r="C67" s="4" t="s">
        <v>276</v>
      </c>
      <c r="D67" s="4" t="s">
        <v>335</v>
      </c>
      <c r="E67" s="5">
        <v>2029</v>
      </c>
      <c r="F67" s="6">
        <v>25.080469000000001</v>
      </c>
      <c r="G67" s="138">
        <v>6.9049360000000004E-3</v>
      </c>
      <c r="H67" s="142"/>
    </row>
    <row r="68" spans="1:8" x14ac:dyDescent="0.2">
      <c r="A68" s="3">
        <v>62</v>
      </c>
      <c r="B68" s="4" t="s">
        <v>269</v>
      </c>
      <c r="C68" s="4" t="s">
        <v>270</v>
      </c>
      <c r="D68" s="4" t="s">
        <v>1028</v>
      </c>
      <c r="E68" s="5">
        <v>21285</v>
      </c>
      <c r="F68" s="6">
        <v>24.648029999999999</v>
      </c>
      <c r="G68" s="138">
        <v>6.7858809999999997E-3</v>
      </c>
      <c r="H68" s="142"/>
    </row>
    <row r="69" spans="1:8" x14ac:dyDescent="0.2">
      <c r="A69" s="3">
        <v>63</v>
      </c>
      <c r="B69" s="4" t="s">
        <v>286</v>
      </c>
      <c r="C69" s="4" t="s">
        <v>287</v>
      </c>
      <c r="D69" s="4" t="s">
        <v>207</v>
      </c>
      <c r="E69" s="5">
        <v>6683</v>
      </c>
      <c r="F69" s="6">
        <v>24.128971499999999</v>
      </c>
      <c r="G69" s="138">
        <v>6.6429779999999999E-3</v>
      </c>
      <c r="H69" s="142"/>
    </row>
    <row r="70" spans="1:8" x14ac:dyDescent="0.2">
      <c r="A70" s="3">
        <v>64</v>
      </c>
      <c r="B70" s="4" t="s">
        <v>470</v>
      </c>
      <c r="C70" s="4" t="s">
        <v>471</v>
      </c>
      <c r="D70" s="4" t="s">
        <v>80</v>
      </c>
      <c r="E70" s="5">
        <v>3781</v>
      </c>
      <c r="F70" s="6">
        <v>24.0641745</v>
      </c>
      <c r="G70" s="138">
        <v>6.6251390000000004E-3</v>
      </c>
      <c r="H70" s="142"/>
    </row>
    <row r="71" spans="1:8" x14ac:dyDescent="0.2">
      <c r="A71" s="3">
        <v>65</v>
      </c>
      <c r="B71" s="4" t="s">
        <v>277</v>
      </c>
      <c r="C71" s="4" t="s">
        <v>278</v>
      </c>
      <c r="D71" s="4" t="s">
        <v>279</v>
      </c>
      <c r="E71" s="5">
        <v>10365</v>
      </c>
      <c r="F71" s="6">
        <v>24.026070000000001</v>
      </c>
      <c r="G71" s="138">
        <v>6.6146479999999999E-3</v>
      </c>
      <c r="H71" s="142"/>
    </row>
    <row r="72" spans="1:8" x14ac:dyDescent="0.2">
      <c r="A72" s="3">
        <v>66</v>
      </c>
      <c r="B72" s="4" t="s">
        <v>74</v>
      </c>
      <c r="C72" s="4" t="s">
        <v>75</v>
      </c>
      <c r="D72" s="4" t="s">
        <v>66</v>
      </c>
      <c r="E72" s="5">
        <v>5816</v>
      </c>
      <c r="F72" s="6">
        <v>23.845600000000001</v>
      </c>
      <c r="G72" s="138">
        <v>6.564963E-3</v>
      </c>
      <c r="H72" s="142"/>
    </row>
    <row r="73" spans="1:8" x14ac:dyDescent="0.2">
      <c r="A73" s="3">
        <v>67</v>
      </c>
      <c r="B73" s="4" t="s">
        <v>42</v>
      </c>
      <c r="C73" s="4" t="s">
        <v>43</v>
      </c>
      <c r="D73" s="4" t="s">
        <v>27</v>
      </c>
      <c r="E73" s="5">
        <v>1047</v>
      </c>
      <c r="F73" s="6">
        <v>22.996831499999999</v>
      </c>
      <c r="G73" s="138">
        <v>6.3312869999999997E-3</v>
      </c>
      <c r="H73" s="142"/>
    </row>
    <row r="74" spans="1:8" x14ac:dyDescent="0.2">
      <c r="A74" s="3">
        <v>68</v>
      </c>
      <c r="B74" s="4" t="s">
        <v>282</v>
      </c>
      <c r="C74" s="4" t="s">
        <v>283</v>
      </c>
      <c r="D74" s="4" t="s">
        <v>207</v>
      </c>
      <c r="E74" s="5">
        <v>411</v>
      </c>
      <c r="F74" s="6">
        <v>22.208796</v>
      </c>
      <c r="G74" s="138">
        <v>6.1143320000000001E-3</v>
      </c>
      <c r="H74" s="142"/>
    </row>
    <row r="75" spans="1:8" x14ac:dyDescent="0.2">
      <c r="A75" s="3">
        <v>69</v>
      </c>
      <c r="B75" s="4" t="s">
        <v>284</v>
      </c>
      <c r="C75" s="4" t="s">
        <v>285</v>
      </c>
      <c r="D75" s="4" t="s">
        <v>164</v>
      </c>
      <c r="E75" s="5">
        <v>3956</v>
      </c>
      <c r="F75" s="6">
        <v>18.990777999999999</v>
      </c>
      <c r="G75" s="138">
        <v>5.2283759999999999E-3</v>
      </c>
      <c r="H75" s="142"/>
    </row>
    <row r="76" spans="1:8" x14ac:dyDescent="0.2">
      <c r="A76" s="3">
        <v>70</v>
      </c>
      <c r="B76" s="4" t="s">
        <v>304</v>
      </c>
      <c r="C76" s="4" t="s">
        <v>305</v>
      </c>
      <c r="D76" s="4" t="s">
        <v>1028</v>
      </c>
      <c r="E76" s="5">
        <v>47427</v>
      </c>
      <c r="F76" s="6">
        <v>18.259395000000001</v>
      </c>
      <c r="G76" s="138">
        <v>5.0270180000000003E-3</v>
      </c>
      <c r="H76" s="142"/>
    </row>
    <row r="77" spans="1:8" x14ac:dyDescent="0.2">
      <c r="A77" s="3">
        <v>71</v>
      </c>
      <c r="B77" s="4" t="s">
        <v>288</v>
      </c>
      <c r="C77" s="4" t="s">
        <v>289</v>
      </c>
      <c r="D77" s="4" t="s">
        <v>153</v>
      </c>
      <c r="E77" s="5">
        <v>982</v>
      </c>
      <c r="F77" s="6">
        <v>13.708228999999999</v>
      </c>
      <c r="G77" s="138">
        <v>3.7740299999999998E-3</v>
      </c>
      <c r="H77" s="142"/>
    </row>
    <row r="78" spans="1:8" x14ac:dyDescent="0.2">
      <c r="A78" s="3">
        <v>72</v>
      </c>
      <c r="B78" s="4" t="s">
        <v>290</v>
      </c>
      <c r="C78" s="4" t="s">
        <v>291</v>
      </c>
      <c r="D78" s="4" t="s">
        <v>153</v>
      </c>
      <c r="E78" s="5">
        <v>730</v>
      </c>
      <c r="F78" s="6">
        <v>4.470885</v>
      </c>
      <c r="G78" s="138">
        <v>1.2308849999999999E-3</v>
      </c>
      <c r="H78" s="142"/>
    </row>
    <row r="79" spans="1:8" x14ac:dyDescent="0.2">
      <c r="A79" s="3">
        <v>73</v>
      </c>
      <c r="B79" s="4" t="s">
        <v>292</v>
      </c>
      <c r="C79" s="4" t="s">
        <v>293</v>
      </c>
      <c r="D79" s="4" t="s">
        <v>24</v>
      </c>
      <c r="E79" s="5">
        <v>6762</v>
      </c>
      <c r="F79" s="6">
        <v>4.2059639999999998</v>
      </c>
      <c r="G79" s="138">
        <v>1.1579489999999999E-3</v>
      </c>
      <c r="H79" s="142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9">
        <v>3509.8487605</v>
      </c>
      <c r="G80" s="139">
        <v>0.966300983</v>
      </c>
      <c r="H80" s="142"/>
    </row>
    <row r="81" spans="1:8" x14ac:dyDescent="0.2">
      <c r="A81" s="1"/>
      <c r="B81" s="1"/>
      <c r="C81" s="11"/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107</v>
      </c>
      <c r="D82" s="1"/>
      <c r="E82" s="1"/>
      <c r="F82" s="1"/>
      <c r="G82" s="137"/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1">
        <v>0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108</v>
      </c>
      <c r="D85" s="1"/>
      <c r="E85" s="1"/>
      <c r="F85" s="1"/>
      <c r="G85" s="137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109</v>
      </c>
      <c r="D88" s="1"/>
      <c r="E88" s="1"/>
      <c r="F88" s="1"/>
      <c r="G88" s="137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111</v>
      </c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1">
        <v>0</v>
      </c>
      <c r="H92" s="142"/>
    </row>
    <row r="93" spans="1:8" x14ac:dyDescent="0.2">
      <c r="A93" s="1"/>
      <c r="B93" s="1"/>
      <c r="C93" s="11"/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112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113</v>
      </c>
      <c r="D97" s="1"/>
      <c r="E97" s="1"/>
      <c r="F97" s="9">
        <v>3509.8487605</v>
      </c>
      <c r="G97" s="139">
        <v>0.966300983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114</v>
      </c>
      <c r="D99" s="1"/>
      <c r="E99" s="1"/>
      <c r="F99" s="12"/>
      <c r="G99" s="140"/>
      <c r="H99" s="142"/>
    </row>
    <row r="100" spans="1:8" ht="25.5" x14ac:dyDescent="0.2">
      <c r="A100" s="1"/>
      <c r="B100" s="1"/>
      <c r="C100" s="2" t="s">
        <v>10</v>
      </c>
      <c r="D100" s="1"/>
      <c r="E100" s="1"/>
      <c r="F100" s="12"/>
      <c r="G100" s="140"/>
      <c r="H100" s="142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1">
        <v>0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115</v>
      </c>
      <c r="D103" s="1"/>
      <c r="E103" s="1"/>
      <c r="F103" s="1"/>
      <c r="G103" s="137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116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117</v>
      </c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118</v>
      </c>
      <c r="D112" s="1"/>
      <c r="E112" s="1"/>
      <c r="F112" s="9">
        <v>0</v>
      </c>
      <c r="G112" s="139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119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120</v>
      </c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1">
        <v>0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121</v>
      </c>
      <c r="D118" s="1"/>
      <c r="E118" s="1"/>
      <c r="F118" s="12"/>
      <c r="G118" s="140"/>
      <c r="H118" s="142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1">
        <v>0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122</v>
      </c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1">
        <v>0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123</v>
      </c>
      <c r="D124" s="1"/>
      <c r="E124" s="1"/>
      <c r="F124" s="12"/>
      <c r="G124" s="140"/>
      <c r="H124" s="142"/>
    </row>
    <row r="125" spans="1:8" x14ac:dyDescent="0.2">
      <c r="A125" s="3">
        <v>1</v>
      </c>
      <c r="B125" s="4"/>
      <c r="C125" s="4" t="s">
        <v>124</v>
      </c>
      <c r="D125" s="4"/>
      <c r="E125" s="8"/>
      <c r="F125" s="6">
        <v>111.4245657</v>
      </c>
      <c r="G125" s="138">
        <v>3.0676440999999999E-2</v>
      </c>
      <c r="H125" s="152">
        <v>3.3197683930276081</v>
      </c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9">
        <v>111.4245657</v>
      </c>
      <c r="G126" s="139">
        <v>3.0676440999999999E-2</v>
      </c>
      <c r="H126" s="142"/>
    </row>
    <row r="127" spans="1:8" x14ac:dyDescent="0.2">
      <c r="A127" s="1"/>
      <c r="B127" s="1"/>
      <c r="C127" s="11"/>
      <c r="D127" s="1"/>
      <c r="E127" s="1"/>
      <c r="F127" s="12"/>
      <c r="G127" s="140"/>
      <c r="H127" s="142"/>
    </row>
    <row r="128" spans="1:8" x14ac:dyDescent="0.2">
      <c r="A128" s="1"/>
      <c r="B128" s="1"/>
      <c r="C128" s="2" t="s">
        <v>125</v>
      </c>
      <c r="D128" s="1"/>
      <c r="E128" s="1"/>
      <c r="F128" s="9">
        <v>111.4245657</v>
      </c>
      <c r="G128" s="139">
        <v>3.0676440999999999E-2</v>
      </c>
      <c r="H128" s="142"/>
    </row>
    <row r="129" spans="1:8" x14ac:dyDescent="0.2">
      <c r="A129" s="1"/>
      <c r="B129" s="1"/>
      <c r="C129" s="12"/>
      <c r="D129" s="1"/>
      <c r="E129" s="1"/>
      <c r="F129" s="1"/>
      <c r="G129" s="137"/>
      <c r="H129" s="142"/>
    </row>
    <row r="130" spans="1:8" x14ac:dyDescent="0.2">
      <c r="A130" s="1"/>
      <c r="B130" s="1"/>
      <c r="C130" s="2" t="s">
        <v>126</v>
      </c>
      <c r="D130" s="1"/>
      <c r="E130" s="1"/>
      <c r="F130" s="1"/>
      <c r="G130" s="137"/>
      <c r="H130" s="142"/>
    </row>
    <row r="131" spans="1:8" x14ac:dyDescent="0.2">
      <c r="A131" s="1"/>
      <c r="B131" s="1"/>
      <c r="C131" s="2" t="s">
        <v>127</v>
      </c>
      <c r="D131" s="1"/>
      <c r="E131" s="1"/>
      <c r="F131" s="1"/>
      <c r="G131" s="137"/>
      <c r="H131" s="142"/>
    </row>
    <row r="132" spans="1:8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1">
        <v>0</v>
      </c>
      <c r="H132" s="142"/>
    </row>
    <row r="133" spans="1:8" x14ac:dyDescent="0.2">
      <c r="A133" s="1"/>
      <c r="B133" s="1"/>
      <c r="C133" s="11"/>
      <c r="D133" s="1"/>
      <c r="E133" s="1"/>
      <c r="F133" s="12"/>
      <c r="G133" s="140"/>
      <c r="H133" s="142"/>
    </row>
    <row r="134" spans="1:8" x14ac:dyDescent="0.2">
      <c r="A134" s="1"/>
      <c r="B134" s="1"/>
      <c r="C134" s="2" t="s">
        <v>128</v>
      </c>
      <c r="D134" s="1"/>
      <c r="E134" s="1"/>
      <c r="F134" s="1"/>
      <c r="G134" s="137"/>
      <c r="H134" s="142"/>
    </row>
    <row r="135" spans="1:8" x14ac:dyDescent="0.2">
      <c r="A135" s="1"/>
      <c r="B135" s="1"/>
      <c r="C135" s="2" t="s">
        <v>129</v>
      </c>
      <c r="D135" s="1"/>
      <c r="E135" s="1"/>
      <c r="F135" s="1"/>
      <c r="G135" s="137"/>
      <c r="H135" s="142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1">
        <v>0</v>
      </c>
      <c r="H136" s="142"/>
    </row>
    <row r="137" spans="1:8" x14ac:dyDescent="0.2">
      <c r="A137" s="1"/>
      <c r="B137" s="1"/>
      <c r="C137" s="11"/>
      <c r="D137" s="1"/>
      <c r="E137" s="1"/>
      <c r="F137" s="12"/>
      <c r="G137" s="140"/>
      <c r="H137" s="142"/>
    </row>
    <row r="138" spans="1:8" x14ac:dyDescent="0.2">
      <c r="A138" s="1"/>
      <c r="B138" s="1"/>
      <c r="C138" s="11"/>
      <c r="D138" s="1"/>
      <c r="E138" s="1"/>
      <c r="F138" s="12"/>
      <c r="G138" s="140"/>
      <c r="H138" s="142"/>
    </row>
    <row r="139" spans="1:8" ht="25.5" x14ac:dyDescent="0.2">
      <c r="A139" s="1"/>
      <c r="B139" s="1"/>
      <c r="C139" s="2" t="s">
        <v>130</v>
      </c>
      <c r="D139" s="1"/>
      <c r="E139" s="1"/>
      <c r="F139" s="12"/>
      <c r="G139" s="140"/>
      <c r="H139" s="142"/>
    </row>
    <row r="140" spans="1:8" x14ac:dyDescent="0.2">
      <c r="A140" s="1"/>
      <c r="B140" s="1"/>
      <c r="C140" s="2" t="s">
        <v>105</v>
      </c>
      <c r="D140" s="1"/>
      <c r="E140" s="1" t="s">
        <v>106</v>
      </c>
      <c r="F140" s="13">
        <v>0</v>
      </c>
      <c r="G140" s="141">
        <v>0</v>
      </c>
      <c r="H140" s="142"/>
    </row>
    <row r="141" spans="1:8" x14ac:dyDescent="0.2">
      <c r="A141" s="1"/>
      <c r="B141" s="1"/>
      <c r="C141" s="11"/>
      <c r="D141" s="1"/>
      <c r="E141" s="1"/>
      <c r="F141" s="12"/>
      <c r="G141" s="140"/>
      <c r="H141" s="142"/>
    </row>
    <row r="142" spans="1:8" x14ac:dyDescent="0.2">
      <c r="A142" s="1"/>
      <c r="B142" s="4"/>
      <c r="C142" s="4"/>
      <c r="D142" s="2"/>
      <c r="E142" s="1"/>
      <c r="F142" s="4"/>
      <c r="G142" s="143"/>
      <c r="H142" s="142"/>
    </row>
    <row r="143" spans="1:8" x14ac:dyDescent="0.2">
      <c r="A143" s="8"/>
      <c r="B143" s="4"/>
      <c r="C143" s="4" t="s">
        <v>131</v>
      </c>
      <c r="D143" s="4"/>
      <c r="E143" s="8"/>
      <c r="F143" s="6">
        <v>10.978759200000001</v>
      </c>
      <c r="G143" s="138">
        <v>3.0225759999999999E-3</v>
      </c>
      <c r="H143" s="142"/>
    </row>
    <row r="144" spans="1:8" x14ac:dyDescent="0.2">
      <c r="A144" s="11"/>
      <c r="B144" s="11"/>
      <c r="C144" s="2" t="s">
        <v>132</v>
      </c>
      <c r="D144" s="15"/>
      <c r="E144" s="15"/>
      <c r="F144" s="9">
        <v>3632.2520853999999</v>
      </c>
      <c r="G144" s="139">
        <v>1</v>
      </c>
      <c r="H144" s="142"/>
    </row>
    <row r="145" spans="1:7" ht="14.1" customHeight="1" x14ac:dyDescent="0.2">
      <c r="A145" s="16"/>
      <c r="B145" s="16"/>
      <c r="C145" s="16"/>
      <c r="D145" s="17"/>
      <c r="E145" s="17"/>
      <c r="F145" s="17"/>
      <c r="G145" s="17"/>
    </row>
    <row r="146" spans="1:7" ht="14.1" customHeight="1" x14ac:dyDescent="0.2">
      <c r="A146" s="18"/>
      <c r="B146" s="205" t="s">
        <v>106</v>
      </c>
      <c r="C146" s="205"/>
      <c r="D146" s="205"/>
      <c r="E146" s="205"/>
      <c r="F146" s="205"/>
      <c r="G146" s="20"/>
    </row>
    <row r="147" spans="1:7" ht="14.1" customHeight="1" x14ac:dyDescent="0.2">
      <c r="A147" s="18"/>
      <c r="B147" s="205" t="s">
        <v>106</v>
      </c>
      <c r="C147" s="205"/>
      <c r="D147" s="205"/>
      <c r="E147" s="205"/>
      <c r="F147" s="205"/>
      <c r="G147" s="20"/>
    </row>
    <row r="148" spans="1:7" ht="14.1" customHeight="1" x14ac:dyDescent="0.2">
      <c r="A148" s="18"/>
      <c r="B148" s="18"/>
      <c r="C148" s="18"/>
      <c r="D148" s="20"/>
      <c r="E148" s="20"/>
      <c r="F148" s="20"/>
      <c r="G148" s="20"/>
    </row>
    <row r="149" spans="1:7" ht="14.1" customHeight="1" x14ac:dyDescent="0.2">
      <c r="A149" s="18"/>
      <c r="B149" s="203" t="s">
        <v>134</v>
      </c>
      <c r="C149" s="204"/>
      <c r="D149" s="12" t="s">
        <v>106</v>
      </c>
      <c r="E149" s="21"/>
      <c r="F149" s="20"/>
      <c r="G149" s="20"/>
    </row>
    <row r="150" spans="1:7" ht="29.1" customHeight="1" x14ac:dyDescent="0.2">
      <c r="A150" s="18"/>
      <c r="B150" s="199" t="s">
        <v>135</v>
      </c>
      <c r="C150" s="200"/>
      <c r="D150" s="2" t="s">
        <v>136</v>
      </c>
      <c r="E150" s="21"/>
      <c r="F150" s="20"/>
      <c r="G150" s="20"/>
    </row>
    <row r="151" spans="1:7" ht="17.100000000000001" customHeight="1" x14ac:dyDescent="0.2">
      <c r="A151" s="18"/>
      <c r="B151" s="199" t="s">
        <v>137</v>
      </c>
      <c r="C151" s="200"/>
      <c r="D151" s="2" t="s">
        <v>136</v>
      </c>
      <c r="E151" s="21"/>
      <c r="F151" s="20"/>
      <c r="G151" s="20"/>
    </row>
    <row r="152" spans="1:7" ht="17.100000000000001" customHeight="1" x14ac:dyDescent="0.2">
      <c r="A152" s="18"/>
      <c r="B152" s="199" t="s">
        <v>138</v>
      </c>
      <c r="C152" s="200"/>
      <c r="D152" s="12" t="s">
        <v>106</v>
      </c>
      <c r="E152" s="21"/>
      <c r="F152" s="20"/>
      <c r="G152" s="20"/>
    </row>
    <row r="153" spans="1:7" ht="24" customHeight="1" x14ac:dyDescent="0.2">
      <c r="A153" s="22"/>
      <c r="B153" s="23" t="s">
        <v>106</v>
      </c>
      <c r="C153" s="23" t="s">
        <v>139</v>
      </c>
      <c r="D153" s="23" t="s">
        <v>140</v>
      </c>
      <c r="E153" s="22"/>
      <c r="F153" s="22"/>
      <c r="G153" s="22"/>
    </row>
    <row r="154" spans="1:7" ht="18" customHeight="1" x14ac:dyDescent="0.2">
      <c r="A154" s="22"/>
      <c r="B154" s="23" t="s">
        <v>141</v>
      </c>
      <c r="C154" s="23" t="s">
        <v>142</v>
      </c>
      <c r="D154" s="23" t="s">
        <v>143</v>
      </c>
      <c r="E154" s="22"/>
      <c r="F154" s="22"/>
      <c r="G154" s="22"/>
    </row>
    <row r="155" spans="1:7" x14ac:dyDescent="0.2">
      <c r="A155" s="22"/>
      <c r="B155" s="4" t="s">
        <v>144</v>
      </c>
      <c r="C155" s="24">
        <v>19.111599999999999</v>
      </c>
      <c r="D155" s="24">
        <v>19.851299999999998</v>
      </c>
      <c r="E155" s="22"/>
      <c r="F155" s="19"/>
      <c r="G155" s="25"/>
    </row>
    <row r="156" spans="1:7" x14ac:dyDescent="0.2">
      <c r="A156" s="22"/>
      <c r="B156" s="4" t="s">
        <v>1019</v>
      </c>
      <c r="C156" s="24">
        <v>17.916399999999999</v>
      </c>
      <c r="D156" s="24">
        <v>18.6099</v>
      </c>
      <c r="E156" s="22"/>
      <c r="F156" s="19"/>
      <c r="G156" s="25"/>
    </row>
    <row r="157" spans="1:7" x14ac:dyDescent="0.2">
      <c r="A157" s="22"/>
      <c r="B157" s="4" t="s">
        <v>145</v>
      </c>
      <c r="C157" s="24">
        <v>18.8005</v>
      </c>
      <c r="D157" s="24">
        <v>19.519300000000001</v>
      </c>
      <c r="E157" s="22"/>
      <c r="F157" s="19"/>
      <c r="G157" s="25"/>
    </row>
    <row r="158" spans="1:7" x14ac:dyDescent="0.2">
      <c r="A158" s="22"/>
      <c r="B158" s="4" t="s">
        <v>1020</v>
      </c>
      <c r="C158" s="24">
        <v>17.607299999999999</v>
      </c>
      <c r="D158" s="24">
        <v>18.2804</v>
      </c>
      <c r="E158" s="22"/>
      <c r="F158" s="19"/>
      <c r="G158" s="25"/>
    </row>
    <row r="159" spans="1:7" ht="14.1" customHeight="1" x14ac:dyDescent="0.2">
      <c r="A159" s="22"/>
      <c r="B159" s="22"/>
      <c r="C159" s="22"/>
      <c r="D159" s="22"/>
      <c r="E159" s="22"/>
      <c r="F159" s="22"/>
      <c r="G159" s="22"/>
    </row>
    <row r="160" spans="1:7" ht="17.100000000000001" customHeight="1" x14ac:dyDescent="0.2">
      <c r="A160" s="22"/>
      <c r="B160" s="199" t="s">
        <v>1021</v>
      </c>
      <c r="C160" s="200"/>
      <c r="D160" s="2" t="s">
        <v>136</v>
      </c>
      <c r="E160" s="22"/>
      <c r="F160" s="22"/>
      <c r="G160" s="22"/>
    </row>
    <row r="161" spans="1:7" ht="18" customHeight="1" x14ac:dyDescent="0.2">
      <c r="A161" s="22"/>
      <c r="B161" s="26"/>
      <c r="C161" s="26"/>
      <c r="D161" s="27"/>
      <c r="E161" s="22"/>
      <c r="F161" s="22"/>
      <c r="G161" s="22"/>
    </row>
    <row r="162" spans="1:7" s="125" customFormat="1" x14ac:dyDescent="0.2">
      <c r="B162" s="201" t="s">
        <v>825</v>
      </c>
      <c r="C162" s="201"/>
      <c r="D162" s="201"/>
      <c r="E162" s="201"/>
      <c r="F162" s="201"/>
    </row>
    <row r="163" spans="1:7" ht="14.1" customHeight="1" x14ac:dyDescent="0.2">
      <c r="A163" s="22"/>
      <c r="B163" s="19"/>
      <c r="C163" s="19"/>
      <c r="D163" s="22"/>
      <c r="E163" s="22"/>
      <c r="F163" s="22"/>
      <c r="G163" s="22"/>
    </row>
    <row r="164" spans="1:7" ht="29.1" customHeight="1" x14ac:dyDescent="0.2">
      <c r="A164" s="22"/>
      <c r="B164" s="199" t="s">
        <v>146</v>
      </c>
      <c r="C164" s="200"/>
      <c r="D164" s="2" t="s">
        <v>136</v>
      </c>
      <c r="E164" s="22"/>
      <c r="F164" s="22"/>
      <c r="G164" s="22"/>
    </row>
    <row r="165" spans="1:7" ht="29.1" customHeight="1" x14ac:dyDescent="0.2">
      <c r="A165" s="22"/>
      <c r="B165" s="199" t="s">
        <v>147</v>
      </c>
      <c r="C165" s="200"/>
      <c r="D165" s="2" t="s">
        <v>136</v>
      </c>
      <c r="E165" s="22"/>
      <c r="F165" s="22"/>
      <c r="G165" s="22"/>
    </row>
    <row r="166" spans="1:7" ht="17.100000000000001" customHeight="1" x14ac:dyDescent="0.2">
      <c r="A166" s="22"/>
      <c r="B166" s="199" t="s">
        <v>148</v>
      </c>
      <c r="C166" s="200"/>
      <c r="D166" s="28">
        <v>0.41306633322333403</v>
      </c>
      <c r="E166" s="22"/>
      <c r="F166" s="19"/>
      <c r="G166" s="25"/>
    </row>
    <row r="167" spans="1:7" ht="17.100000000000001" customHeight="1" x14ac:dyDescent="0.2">
      <c r="A167" s="22"/>
      <c r="B167" s="199" t="s">
        <v>149</v>
      </c>
      <c r="C167" s="200"/>
      <c r="D167" s="2" t="s">
        <v>136</v>
      </c>
      <c r="E167" s="22"/>
      <c r="F167" s="22"/>
      <c r="G167" s="22"/>
    </row>
  </sheetData>
  <mergeCells count="16">
    <mergeCell ref="J2:N2"/>
    <mergeCell ref="B149:C149"/>
    <mergeCell ref="B146:F146"/>
    <mergeCell ref="B147:F147"/>
    <mergeCell ref="A1:H1"/>
    <mergeCell ref="A2:H2"/>
    <mergeCell ref="A3:H3"/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161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479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44</v>
      </c>
      <c r="C7" s="4" t="s">
        <v>45</v>
      </c>
      <c r="D7" s="4" t="s">
        <v>27</v>
      </c>
      <c r="E7" s="5">
        <v>37713</v>
      </c>
      <c r="F7" s="6">
        <v>460.55115599999999</v>
      </c>
      <c r="G7" s="138">
        <v>3.6905331E-2</v>
      </c>
      <c r="H7" s="142"/>
    </row>
    <row r="8" spans="1:14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33342</v>
      </c>
      <c r="F8" s="6">
        <v>457.66896300000002</v>
      </c>
      <c r="G8" s="138">
        <v>3.6674371999999997E-2</v>
      </c>
      <c r="H8" s="142"/>
    </row>
    <row r="9" spans="1:14" x14ac:dyDescent="0.2">
      <c r="A9" s="3">
        <v>3</v>
      </c>
      <c r="B9" s="4" t="s">
        <v>151</v>
      </c>
      <c r="C9" s="4" t="s">
        <v>152</v>
      </c>
      <c r="D9" s="4" t="s">
        <v>153</v>
      </c>
      <c r="E9" s="5">
        <v>9882</v>
      </c>
      <c r="F9" s="6">
        <v>364.12699500000002</v>
      </c>
      <c r="G9" s="138">
        <v>2.9178577000000001E-2</v>
      </c>
      <c r="H9" s="142"/>
    </row>
    <row r="10" spans="1:14" x14ac:dyDescent="0.2">
      <c r="A10" s="3">
        <v>4</v>
      </c>
      <c r="B10" s="4" t="s">
        <v>474</v>
      </c>
      <c r="C10" s="4" t="s">
        <v>475</v>
      </c>
      <c r="D10" s="4" t="s">
        <v>207</v>
      </c>
      <c r="E10" s="5">
        <v>58824</v>
      </c>
      <c r="F10" s="6">
        <v>354.97342800000001</v>
      </c>
      <c r="G10" s="138">
        <v>2.8445074000000001E-2</v>
      </c>
      <c r="H10" s="142"/>
    </row>
    <row r="11" spans="1:14" ht="25.5" x14ac:dyDescent="0.2">
      <c r="A11" s="3">
        <v>5</v>
      </c>
      <c r="B11" s="4" t="s">
        <v>458</v>
      </c>
      <c r="C11" s="4" t="s">
        <v>459</v>
      </c>
      <c r="D11" s="4" t="s">
        <v>37</v>
      </c>
      <c r="E11" s="5">
        <v>25868</v>
      </c>
      <c r="F11" s="6">
        <v>349.07572599999997</v>
      </c>
      <c r="G11" s="138">
        <v>2.7972474000000001E-2</v>
      </c>
      <c r="H11" s="142"/>
    </row>
    <row r="12" spans="1:14" x14ac:dyDescent="0.2">
      <c r="A12" s="3">
        <v>6</v>
      </c>
      <c r="B12" s="4" t="s">
        <v>158</v>
      </c>
      <c r="C12" s="4" t="s">
        <v>159</v>
      </c>
      <c r="D12" s="4" t="s">
        <v>80</v>
      </c>
      <c r="E12" s="5">
        <v>269782</v>
      </c>
      <c r="F12" s="6">
        <v>326.43621999999999</v>
      </c>
      <c r="G12" s="138">
        <v>2.6158303000000001E-2</v>
      </c>
      <c r="H12" s="142"/>
    </row>
    <row r="13" spans="1:14" x14ac:dyDescent="0.2">
      <c r="A13" s="3">
        <v>7</v>
      </c>
      <c r="B13" s="4" t="s">
        <v>179</v>
      </c>
      <c r="C13" s="4" t="s">
        <v>180</v>
      </c>
      <c r="D13" s="4" t="s">
        <v>181</v>
      </c>
      <c r="E13" s="5">
        <v>127326</v>
      </c>
      <c r="F13" s="6">
        <v>315.004524</v>
      </c>
      <c r="G13" s="138">
        <v>2.5242246999999999E-2</v>
      </c>
      <c r="H13" s="142"/>
    </row>
    <row r="14" spans="1:14" x14ac:dyDescent="0.2">
      <c r="A14" s="3">
        <v>8</v>
      </c>
      <c r="B14" s="4" t="s">
        <v>225</v>
      </c>
      <c r="C14" s="4" t="s">
        <v>226</v>
      </c>
      <c r="D14" s="4" t="s">
        <v>1028</v>
      </c>
      <c r="E14" s="5">
        <v>54458</v>
      </c>
      <c r="F14" s="6">
        <v>308.39565399999998</v>
      </c>
      <c r="G14" s="138">
        <v>2.4712659000000001E-2</v>
      </c>
      <c r="H14" s="142"/>
    </row>
    <row r="15" spans="1:14" ht="15" x14ac:dyDescent="0.2">
      <c r="A15" s="3">
        <v>9</v>
      </c>
      <c r="B15" s="4" t="s">
        <v>456</v>
      </c>
      <c r="C15" s="4" t="s">
        <v>457</v>
      </c>
      <c r="D15" s="4" t="s">
        <v>51</v>
      </c>
      <c r="E15" s="5">
        <v>90401</v>
      </c>
      <c r="F15" s="6">
        <v>299.99571850000001</v>
      </c>
      <c r="G15" s="138">
        <v>2.4039547000000001E-2</v>
      </c>
      <c r="H15" s="142"/>
      <c r="J15" s="163" t="s">
        <v>1037</v>
      </c>
    </row>
    <row r="16" spans="1:14" x14ac:dyDescent="0.2">
      <c r="A16" s="3">
        <v>10</v>
      </c>
      <c r="B16" s="4" t="s">
        <v>480</v>
      </c>
      <c r="C16" s="4" t="s">
        <v>481</v>
      </c>
      <c r="D16" s="4" t="s">
        <v>173</v>
      </c>
      <c r="E16" s="5">
        <v>90972</v>
      </c>
      <c r="F16" s="6">
        <v>298.84302000000002</v>
      </c>
      <c r="G16" s="138">
        <v>2.3947178E-2</v>
      </c>
      <c r="H16" s="142"/>
    </row>
    <row r="17" spans="1:8" ht="25.5" x14ac:dyDescent="0.2">
      <c r="A17" s="3">
        <v>11</v>
      </c>
      <c r="B17" s="4" t="s">
        <v>191</v>
      </c>
      <c r="C17" s="4" t="s">
        <v>192</v>
      </c>
      <c r="D17" s="4" t="s">
        <v>1023</v>
      </c>
      <c r="E17" s="5">
        <v>112163</v>
      </c>
      <c r="F17" s="6">
        <v>288.034584</v>
      </c>
      <c r="G17" s="138">
        <v>2.3081066000000001E-2</v>
      </c>
      <c r="H17" s="142"/>
    </row>
    <row r="18" spans="1:8" x14ac:dyDescent="0.2">
      <c r="A18" s="3">
        <v>12</v>
      </c>
      <c r="B18" s="4" t="s">
        <v>235</v>
      </c>
      <c r="C18" s="4" t="s">
        <v>236</v>
      </c>
      <c r="D18" s="4" t="s">
        <v>27</v>
      </c>
      <c r="E18" s="5">
        <v>15895</v>
      </c>
      <c r="F18" s="6">
        <v>269.41230250000001</v>
      </c>
      <c r="G18" s="138">
        <v>2.1588807000000002E-2</v>
      </c>
      <c r="H18" s="142"/>
    </row>
    <row r="19" spans="1:8" x14ac:dyDescent="0.2">
      <c r="A19" s="3">
        <v>13</v>
      </c>
      <c r="B19" s="4" t="s">
        <v>52</v>
      </c>
      <c r="C19" s="4" t="s">
        <v>53</v>
      </c>
      <c r="D19" s="4" t="s">
        <v>51</v>
      </c>
      <c r="E19" s="5">
        <v>85145</v>
      </c>
      <c r="F19" s="6">
        <v>263.65149250000002</v>
      </c>
      <c r="G19" s="138">
        <v>2.1127177E-2</v>
      </c>
      <c r="H19" s="142"/>
    </row>
    <row r="20" spans="1:8" x14ac:dyDescent="0.2">
      <c r="A20" s="3">
        <v>14</v>
      </c>
      <c r="B20" s="4" t="s">
        <v>296</v>
      </c>
      <c r="C20" s="4" t="s">
        <v>297</v>
      </c>
      <c r="D20" s="4" t="s">
        <v>27</v>
      </c>
      <c r="E20" s="5">
        <v>20093</v>
      </c>
      <c r="F20" s="6">
        <v>245.85794799999999</v>
      </c>
      <c r="G20" s="138">
        <v>1.9701327000000001E-2</v>
      </c>
      <c r="H20" s="142"/>
    </row>
    <row r="21" spans="1:8" x14ac:dyDescent="0.2">
      <c r="A21" s="3">
        <v>15</v>
      </c>
      <c r="B21" s="4" t="s">
        <v>160</v>
      </c>
      <c r="C21" s="4" t="s">
        <v>161</v>
      </c>
      <c r="D21" s="4" t="s">
        <v>27</v>
      </c>
      <c r="E21" s="5">
        <v>30000</v>
      </c>
      <c r="F21" s="6">
        <v>239.13</v>
      </c>
      <c r="G21" s="138">
        <v>1.9162196999999999E-2</v>
      </c>
      <c r="H21" s="142"/>
    </row>
    <row r="22" spans="1:8" x14ac:dyDescent="0.2">
      <c r="A22" s="3">
        <v>16</v>
      </c>
      <c r="B22" s="4" t="s">
        <v>176</v>
      </c>
      <c r="C22" s="4" t="s">
        <v>177</v>
      </c>
      <c r="D22" s="4" t="s">
        <v>1026</v>
      </c>
      <c r="E22" s="5">
        <v>57720</v>
      </c>
      <c r="F22" s="6">
        <v>226.98390000000001</v>
      </c>
      <c r="G22" s="138">
        <v>1.8188894000000001E-2</v>
      </c>
      <c r="H22" s="142"/>
    </row>
    <row r="23" spans="1:8" x14ac:dyDescent="0.2">
      <c r="A23" s="3">
        <v>17</v>
      </c>
      <c r="B23" s="4" t="s">
        <v>212</v>
      </c>
      <c r="C23" s="4" t="s">
        <v>213</v>
      </c>
      <c r="D23" s="4" t="s">
        <v>1027</v>
      </c>
      <c r="E23" s="5">
        <v>24745</v>
      </c>
      <c r="F23" s="6">
        <v>226.71369000000001</v>
      </c>
      <c r="G23" s="138">
        <v>1.8167241000000001E-2</v>
      </c>
      <c r="H23" s="142"/>
    </row>
    <row r="24" spans="1:8" x14ac:dyDescent="0.2">
      <c r="A24" s="3">
        <v>18</v>
      </c>
      <c r="B24" s="4" t="s">
        <v>464</v>
      </c>
      <c r="C24" s="4" t="s">
        <v>465</v>
      </c>
      <c r="D24" s="4" t="s">
        <v>48</v>
      </c>
      <c r="E24" s="5">
        <v>53500</v>
      </c>
      <c r="F24" s="6">
        <v>224.5395</v>
      </c>
      <c r="G24" s="138">
        <v>1.7993017E-2</v>
      </c>
      <c r="H24" s="142"/>
    </row>
    <row r="25" spans="1:8" x14ac:dyDescent="0.2">
      <c r="A25" s="3">
        <v>19</v>
      </c>
      <c r="B25" s="4" t="s">
        <v>184</v>
      </c>
      <c r="C25" s="4" t="s">
        <v>185</v>
      </c>
      <c r="D25" s="4" t="s">
        <v>173</v>
      </c>
      <c r="E25" s="5">
        <v>15563</v>
      </c>
      <c r="F25" s="6">
        <v>217.39176549999999</v>
      </c>
      <c r="G25" s="138">
        <v>1.7420247E-2</v>
      </c>
      <c r="H25" s="142"/>
    </row>
    <row r="26" spans="1:8" x14ac:dyDescent="0.2">
      <c r="A26" s="3">
        <v>20</v>
      </c>
      <c r="B26" s="4" t="s">
        <v>182</v>
      </c>
      <c r="C26" s="4" t="s">
        <v>183</v>
      </c>
      <c r="D26" s="4" t="s">
        <v>164</v>
      </c>
      <c r="E26" s="5">
        <v>3880</v>
      </c>
      <c r="F26" s="6">
        <v>207.36465999999999</v>
      </c>
      <c r="G26" s="138">
        <v>1.6616746000000002E-2</v>
      </c>
      <c r="H26" s="142"/>
    </row>
    <row r="27" spans="1:8" x14ac:dyDescent="0.2">
      <c r="A27" s="3">
        <v>21</v>
      </c>
      <c r="B27" s="4" t="s">
        <v>199</v>
      </c>
      <c r="C27" s="4" t="s">
        <v>200</v>
      </c>
      <c r="D27" s="4" t="s">
        <v>164</v>
      </c>
      <c r="E27" s="5">
        <v>19362</v>
      </c>
      <c r="F27" s="6">
        <v>205.769655</v>
      </c>
      <c r="G27" s="138">
        <v>1.6488933000000001E-2</v>
      </c>
      <c r="H27" s="142"/>
    </row>
    <row r="28" spans="1:8" ht="25.5" x14ac:dyDescent="0.2">
      <c r="A28" s="3">
        <v>22</v>
      </c>
      <c r="B28" s="4" t="s">
        <v>231</v>
      </c>
      <c r="C28" s="4" t="s">
        <v>232</v>
      </c>
      <c r="D28" s="4" t="s">
        <v>51</v>
      </c>
      <c r="E28" s="5">
        <v>9500</v>
      </c>
      <c r="F28" s="6">
        <v>203.66575</v>
      </c>
      <c r="G28" s="138">
        <v>1.6320340999999999E-2</v>
      </c>
      <c r="H28" s="142"/>
    </row>
    <row r="29" spans="1:8" ht="25.5" x14ac:dyDescent="0.2">
      <c r="A29" s="3">
        <v>23</v>
      </c>
      <c r="B29" s="4" t="s">
        <v>193</v>
      </c>
      <c r="C29" s="4" t="s">
        <v>194</v>
      </c>
      <c r="D29" s="4" t="s">
        <v>37</v>
      </c>
      <c r="E29" s="5">
        <v>162476</v>
      </c>
      <c r="F29" s="6">
        <v>199.764242</v>
      </c>
      <c r="G29" s="138">
        <v>1.6007701999999999E-2</v>
      </c>
      <c r="H29" s="142"/>
    </row>
    <row r="30" spans="1:8" x14ac:dyDescent="0.2">
      <c r="A30" s="3">
        <v>24</v>
      </c>
      <c r="B30" s="4" t="s">
        <v>482</v>
      </c>
      <c r="C30" s="4" t="s">
        <v>483</v>
      </c>
      <c r="D30" s="4" t="s">
        <v>207</v>
      </c>
      <c r="E30" s="5">
        <v>2436</v>
      </c>
      <c r="F30" s="6">
        <v>190.003128</v>
      </c>
      <c r="G30" s="138">
        <v>1.5225515E-2</v>
      </c>
      <c r="H30" s="142"/>
    </row>
    <row r="31" spans="1:8" x14ac:dyDescent="0.2">
      <c r="A31" s="3">
        <v>25</v>
      </c>
      <c r="B31" s="4" t="s">
        <v>223</v>
      </c>
      <c r="C31" s="4" t="s">
        <v>224</v>
      </c>
      <c r="D31" s="4" t="s">
        <v>66</v>
      </c>
      <c r="E31" s="5">
        <v>19637</v>
      </c>
      <c r="F31" s="6">
        <v>188.2108265</v>
      </c>
      <c r="G31" s="138">
        <v>1.5081892E-2</v>
      </c>
      <c r="H31" s="142"/>
    </row>
    <row r="32" spans="1:8" x14ac:dyDescent="0.2">
      <c r="A32" s="3">
        <v>26</v>
      </c>
      <c r="B32" s="4" t="s">
        <v>195</v>
      </c>
      <c r="C32" s="4" t="s">
        <v>196</v>
      </c>
      <c r="D32" s="4" t="s">
        <v>24</v>
      </c>
      <c r="E32" s="5">
        <v>98212</v>
      </c>
      <c r="F32" s="6">
        <v>187.48670799999999</v>
      </c>
      <c r="G32" s="138">
        <v>1.5023866E-2</v>
      </c>
      <c r="H32" s="142"/>
    </row>
    <row r="33" spans="1:8" x14ac:dyDescent="0.2">
      <c r="A33" s="3">
        <v>27</v>
      </c>
      <c r="B33" s="4" t="s">
        <v>201</v>
      </c>
      <c r="C33" s="4" t="s">
        <v>202</v>
      </c>
      <c r="D33" s="4" t="s">
        <v>80</v>
      </c>
      <c r="E33" s="5">
        <v>27174</v>
      </c>
      <c r="F33" s="6">
        <v>186.631032</v>
      </c>
      <c r="G33" s="138">
        <v>1.4955299E-2</v>
      </c>
      <c r="H33" s="142"/>
    </row>
    <row r="34" spans="1:8" x14ac:dyDescent="0.2">
      <c r="A34" s="3">
        <v>28</v>
      </c>
      <c r="B34" s="4" t="s">
        <v>203</v>
      </c>
      <c r="C34" s="4" t="s">
        <v>204</v>
      </c>
      <c r="D34" s="4" t="s">
        <v>80</v>
      </c>
      <c r="E34" s="5">
        <v>31556</v>
      </c>
      <c r="F34" s="6">
        <v>186.21195599999999</v>
      </c>
      <c r="G34" s="138">
        <v>1.4921716999999999E-2</v>
      </c>
      <c r="H34" s="142"/>
    </row>
    <row r="35" spans="1:8" x14ac:dyDescent="0.2">
      <c r="A35" s="3">
        <v>29</v>
      </c>
      <c r="B35" s="4" t="s">
        <v>382</v>
      </c>
      <c r="C35" s="4" t="s">
        <v>383</v>
      </c>
      <c r="D35" s="4" t="s">
        <v>51</v>
      </c>
      <c r="E35" s="5">
        <v>8109</v>
      </c>
      <c r="F35" s="6">
        <v>185.2865955</v>
      </c>
      <c r="G35" s="138">
        <v>1.4847565E-2</v>
      </c>
      <c r="H35" s="142"/>
    </row>
    <row r="36" spans="1:8" x14ac:dyDescent="0.2">
      <c r="A36" s="3">
        <v>30</v>
      </c>
      <c r="B36" s="4" t="s">
        <v>221</v>
      </c>
      <c r="C36" s="4" t="s">
        <v>222</v>
      </c>
      <c r="D36" s="4" t="s">
        <v>207</v>
      </c>
      <c r="E36" s="5">
        <v>27841</v>
      </c>
      <c r="F36" s="6">
        <v>171.6258445</v>
      </c>
      <c r="G36" s="138">
        <v>1.3752888E-2</v>
      </c>
      <c r="H36" s="142"/>
    </row>
    <row r="37" spans="1:8" ht="25.5" x14ac:dyDescent="0.2">
      <c r="A37" s="3">
        <v>31</v>
      </c>
      <c r="B37" s="4" t="s">
        <v>484</v>
      </c>
      <c r="C37" s="4" t="s">
        <v>485</v>
      </c>
      <c r="D37" s="4" t="s">
        <v>90</v>
      </c>
      <c r="E37" s="5">
        <v>20000</v>
      </c>
      <c r="F37" s="6">
        <v>170.62</v>
      </c>
      <c r="G37" s="138">
        <v>1.3672287E-2</v>
      </c>
      <c r="H37" s="142"/>
    </row>
    <row r="38" spans="1:8" x14ac:dyDescent="0.2">
      <c r="A38" s="3">
        <v>32</v>
      </c>
      <c r="B38" s="4" t="s">
        <v>460</v>
      </c>
      <c r="C38" s="4" t="s">
        <v>461</v>
      </c>
      <c r="D38" s="4" t="s">
        <v>27</v>
      </c>
      <c r="E38" s="5">
        <v>19126</v>
      </c>
      <c r="F38" s="6">
        <v>169.752813</v>
      </c>
      <c r="G38" s="138">
        <v>1.3602797E-2</v>
      </c>
      <c r="H38" s="142"/>
    </row>
    <row r="39" spans="1:8" x14ac:dyDescent="0.2">
      <c r="A39" s="3">
        <v>33</v>
      </c>
      <c r="B39" s="4" t="s">
        <v>174</v>
      </c>
      <c r="C39" s="4" t="s">
        <v>175</v>
      </c>
      <c r="D39" s="4" t="s">
        <v>335</v>
      </c>
      <c r="E39" s="5">
        <v>16794</v>
      </c>
      <c r="F39" s="6">
        <v>166.126248</v>
      </c>
      <c r="G39" s="138">
        <v>1.3312189E-2</v>
      </c>
      <c r="H39" s="142"/>
    </row>
    <row r="40" spans="1:8" ht="25.5" x14ac:dyDescent="0.2">
      <c r="A40" s="3">
        <v>34</v>
      </c>
      <c r="B40" s="4" t="s">
        <v>88</v>
      </c>
      <c r="C40" s="4" t="s">
        <v>89</v>
      </c>
      <c r="D40" s="4" t="s">
        <v>90</v>
      </c>
      <c r="E40" s="5">
        <v>26165</v>
      </c>
      <c r="F40" s="6">
        <v>165.6898625</v>
      </c>
      <c r="G40" s="138">
        <v>1.3277219999999999E-2</v>
      </c>
      <c r="H40" s="142"/>
    </row>
    <row r="41" spans="1:8" x14ac:dyDescent="0.2">
      <c r="A41" s="3">
        <v>35</v>
      </c>
      <c r="B41" s="4" t="s">
        <v>197</v>
      </c>
      <c r="C41" s="4" t="s">
        <v>198</v>
      </c>
      <c r="D41" s="4" t="s">
        <v>51</v>
      </c>
      <c r="E41" s="5">
        <v>16048</v>
      </c>
      <c r="F41" s="6">
        <v>164.59631200000001</v>
      </c>
      <c r="G41" s="138">
        <v>1.3189591000000001E-2</v>
      </c>
      <c r="H41" s="142"/>
    </row>
    <row r="42" spans="1:8" x14ac:dyDescent="0.2">
      <c r="A42" s="3">
        <v>36</v>
      </c>
      <c r="B42" s="4" t="s">
        <v>486</v>
      </c>
      <c r="C42" s="4" t="s">
        <v>487</v>
      </c>
      <c r="D42" s="4" t="s">
        <v>16</v>
      </c>
      <c r="E42" s="5">
        <v>108924</v>
      </c>
      <c r="F42" s="6">
        <v>152.71144799999999</v>
      </c>
      <c r="G42" s="138">
        <v>1.2237222000000001E-2</v>
      </c>
      <c r="H42" s="142"/>
    </row>
    <row r="43" spans="1:8" x14ac:dyDescent="0.2">
      <c r="A43" s="3">
        <v>37</v>
      </c>
      <c r="B43" s="4" t="s">
        <v>214</v>
      </c>
      <c r="C43" s="4" t="s">
        <v>215</v>
      </c>
      <c r="D43" s="4" t="s">
        <v>216</v>
      </c>
      <c r="E43" s="5">
        <v>54852</v>
      </c>
      <c r="F43" s="6">
        <v>149.389422</v>
      </c>
      <c r="G43" s="138">
        <v>1.1971018E-2</v>
      </c>
      <c r="H43" s="142"/>
    </row>
    <row r="44" spans="1:8" x14ac:dyDescent="0.2">
      <c r="A44" s="3">
        <v>38</v>
      </c>
      <c r="B44" s="4" t="s">
        <v>239</v>
      </c>
      <c r="C44" s="4" t="s">
        <v>240</v>
      </c>
      <c r="D44" s="4" t="s">
        <v>207</v>
      </c>
      <c r="E44" s="5">
        <v>7795</v>
      </c>
      <c r="F44" s="6">
        <v>145.5287525</v>
      </c>
      <c r="G44" s="138">
        <v>1.1661651E-2</v>
      </c>
      <c r="H44" s="142"/>
    </row>
    <row r="45" spans="1:8" x14ac:dyDescent="0.2">
      <c r="A45" s="3">
        <v>39</v>
      </c>
      <c r="B45" s="4" t="s">
        <v>188</v>
      </c>
      <c r="C45" s="4" t="s">
        <v>189</v>
      </c>
      <c r="D45" s="4" t="s">
        <v>190</v>
      </c>
      <c r="E45" s="5">
        <v>14087</v>
      </c>
      <c r="F45" s="6">
        <v>140.28538950000001</v>
      </c>
      <c r="G45" s="138">
        <v>1.1241485000000001E-2</v>
      </c>
      <c r="H45" s="142"/>
    </row>
    <row r="46" spans="1:8" x14ac:dyDescent="0.2">
      <c r="A46" s="3">
        <v>40</v>
      </c>
      <c r="B46" s="4" t="s">
        <v>246</v>
      </c>
      <c r="C46" s="4" t="s">
        <v>247</v>
      </c>
      <c r="D46" s="4" t="s">
        <v>80</v>
      </c>
      <c r="E46" s="5">
        <v>254112</v>
      </c>
      <c r="F46" s="6">
        <v>139.63454400000001</v>
      </c>
      <c r="G46" s="138">
        <v>1.1189330000000001E-2</v>
      </c>
      <c r="H46" s="142"/>
    </row>
    <row r="47" spans="1:8" ht="25.5" x14ac:dyDescent="0.2">
      <c r="A47" s="3">
        <v>41</v>
      </c>
      <c r="B47" s="4" t="s">
        <v>178</v>
      </c>
      <c r="C47" s="4" t="s">
        <v>933</v>
      </c>
      <c r="D47" s="4" t="s">
        <v>37</v>
      </c>
      <c r="E47" s="5">
        <v>50508</v>
      </c>
      <c r="F47" s="6">
        <v>130.386402</v>
      </c>
      <c r="G47" s="138">
        <v>1.0448249E-2</v>
      </c>
      <c r="H47" s="142"/>
    </row>
    <row r="48" spans="1:8" ht="25.5" x14ac:dyDescent="0.2">
      <c r="A48" s="3">
        <v>42</v>
      </c>
      <c r="B48" s="4" t="s">
        <v>244</v>
      </c>
      <c r="C48" s="4" t="s">
        <v>245</v>
      </c>
      <c r="D48" s="4" t="s">
        <v>1029</v>
      </c>
      <c r="E48" s="5">
        <v>115940</v>
      </c>
      <c r="F48" s="6">
        <v>129.44701000000001</v>
      </c>
      <c r="G48" s="138">
        <v>1.0372973000000001E-2</v>
      </c>
      <c r="H48" s="142"/>
    </row>
    <row r="49" spans="1:8" x14ac:dyDescent="0.2">
      <c r="A49" s="3">
        <v>43</v>
      </c>
      <c r="B49" s="4" t="s">
        <v>241</v>
      </c>
      <c r="C49" s="4" t="s">
        <v>242</v>
      </c>
      <c r="D49" s="4" t="s">
        <v>243</v>
      </c>
      <c r="E49" s="5">
        <v>25816</v>
      </c>
      <c r="F49" s="6">
        <v>127.84083200000001</v>
      </c>
      <c r="G49" s="138">
        <v>1.0244265000000001E-2</v>
      </c>
      <c r="H49" s="142"/>
    </row>
    <row r="50" spans="1:8" ht="25.5" x14ac:dyDescent="0.2">
      <c r="A50" s="3">
        <v>44</v>
      </c>
      <c r="B50" s="4" t="s">
        <v>338</v>
      </c>
      <c r="C50" s="4" t="s">
        <v>339</v>
      </c>
      <c r="D50" s="4" t="s">
        <v>51</v>
      </c>
      <c r="E50" s="5">
        <v>26486</v>
      </c>
      <c r="F50" s="6">
        <v>126.841454</v>
      </c>
      <c r="G50" s="138">
        <v>1.0164182000000001E-2</v>
      </c>
      <c r="H50" s="142"/>
    </row>
    <row r="51" spans="1:8" x14ac:dyDescent="0.2">
      <c r="A51" s="3">
        <v>45</v>
      </c>
      <c r="B51" s="4" t="s">
        <v>42</v>
      </c>
      <c r="C51" s="4" t="s">
        <v>43</v>
      </c>
      <c r="D51" s="4" t="s">
        <v>27</v>
      </c>
      <c r="E51" s="5">
        <v>5688</v>
      </c>
      <c r="F51" s="6">
        <v>124.934076</v>
      </c>
      <c r="G51" s="138">
        <v>1.0011338E-2</v>
      </c>
      <c r="H51" s="142"/>
    </row>
    <row r="52" spans="1:8" ht="25.5" x14ac:dyDescent="0.2">
      <c r="A52" s="3">
        <v>46</v>
      </c>
      <c r="B52" s="4" t="s">
        <v>252</v>
      </c>
      <c r="C52" s="4" t="s">
        <v>253</v>
      </c>
      <c r="D52" s="4" t="s">
        <v>90</v>
      </c>
      <c r="E52" s="5">
        <v>28703</v>
      </c>
      <c r="F52" s="6">
        <v>120.75352100000001</v>
      </c>
      <c r="G52" s="138">
        <v>9.6763379999999996E-3</v>
      </c>
      <c r="H52" s="142"/>
    </row>
    <row r="53" spans="1:8" x14ac:dyDescent="0.2">
      <c r="A53" s="3">
        <v>47</v>
      </c>
      <c r="B53" s="4" t="s">
        <v>257</v>
      </c>
      <c r="C53" s="4" t="s">
        <v>258</v>
      </c>
      <c r="D53" s="4" t="s">
        <v>173</v>
      </c>
      <c r="E53" s="5">
        <v>33876</v>
      </c>
      <c r="F53" s="6">
        <v>118.566</v>
      </c>
      <c r="G53" s="138">
        <v>9.5010449999999996E-3</v>
      </c>
      <c r="H53" s="142"/>
    </row>
    <row r="54" spans="1:8" ht="25.5" x14ac:dyDescent="0.2">
      <c r="A54" s="3">
        <v>48</v>
      </c>
      <c r="B54" s="4" t="s">
        <v>255</v>
      </c>
      <c r="C54" s="4" t="s">
        <v>256</v>
      </c>
      <c r="D54" s="4" t="s">
        <v>90</v>
      </c>
      <c r="E54" s="5">
        <v>30368</v>
      </c>
      <c r="F54" s="6">
        <v>116.78014400000001</v>
      </c>
      <c r="G54" s="138">
        <v>9.3579400000000004E-3</v>
      </c>
      <c r="H54" s="142"/>
    </row>
    <row r="55" spans="1:8" x14ac:dyDescent="0.2">
      <c r="A55" s="3">
        <v>49</v>
      </c>
      <c r="B55" s="4" t="s">
        <v>470</v>
      </c>
      <c r="C55" s="4" t="s">
        <v>471</v>
      </c>
      <c r="D55" s="4" t="s">
        <v>80</v>
      </c>
      <c r="E55" s="5">
        <v>17966</v>
      </c>
      <c r="F55" s="6">
        <v>114.344607</v>
      </c>
      <c r="G55" s="138">
        <v>9.1627730000000008E-3</v>
      </c>
      <c r="H55" s="142"/>
    </row>
    <row r="56" spans="1:8" x14ac:dyDescent="0.2">
      <c r="A56" s="3">
        <v>50</v>
      </c>
      <c r="B56" s="4" t="s">
        <v>488</v>
      </c>
      <c r="C56" s="4" t="s">
        <v>489</v>
      </c>
      <c r="D56" s="4" t="s">
        <v>48</v>
      </c>
      <c r="E56" s="5">
        <v>103230</v>
      </c>
      <c r="F56" s="6">
        <v>114.17238</v>
      </c>
      <c r="G56" s="138">
        <v>9.148972E-3</v>
      </c>
      <c r="H56" s="142"/>
    </row>
    <row r="57" spans="1:8" x14ac:dyDescent="0.2">
      <c r="A57" s="3">
        <v>51</v>
      </c>
      <c r="B57" s="4" t="s">
        <v>250</v>
      </c>
      <c r="C57" s="4" t="s">
        <v>251</v>
      </c>
      <c r="D57" s="4" t="s">
        <v>164</v>
      </c>
      <c r="E57" s="5">
        <v>8261</v>
      </c>
      <c r="F57" s="6">
        <v>113.9976695</v>
      </c>
      <c r="G57" s="138">
        <v>9.1349719999999999E-3</v>
      </c>
      <c r="H57" s="142"/>
    </row>
    <row r="58" spans="1:8" x14ac:dyDescent="0.2">
      <c r="A58" s="3">
        <v>52</v>
      </c>
      <c r="B58" s="4" t="s">
        <v>261</v>
      </c>
      <c r="C58" s="4" t="s">
        <v>262</v>
      </c>
      <c r="D58" s="4" t="s">
        <v>51</v>
      </c>
      <c r="E58" s="5">
        <v>51244</v>
      </c>
      <c r="F58" s="6">
        <v>113.86416800000001</v>
      </c>
      <c r="G58" s="138">
        <v>9.1242739999999999E-3</v>
      </c>
      <c r="H58" s="142"/>
    </row>
    <row r="59" spans="1:8" x14ac:dyDescent="0.2">
      <c r="A59" s="3">
        <v>53</v>
      </c>
      <c r="B59" s="4" t="s">
        <v>490</v>
      </c>
      <c r="C59" s="4" t="s">
        <v>491</v>
      </c>
      <c r="D59" s="4" t="s">
        <v>207</v>
      </c>
      <c r="E59" s="5">
        <v>2024</v>
      </c>
      <c r="F59" s="6">
        <v>112.96146400000001</v>
      </c>
      <c r="G59" s="138">
        <v>9.0519369999999995E-3</v>
      </c>
      <c r="H59" s="142"/>
    </row>
    <row r="60" spans="1:8" ht="25.5" x14ac:dyDescent="0.2">
      <c r="A60" s="3">
        <v>54</v>
      </c>
      <c r="B60" s="4" t="s">
        <v>492</v>
      </c>
      <c r="C60" s="4" t="s">
        <v>493</v>
      </c>
      <c r="D60" s="4" t="s">
        <v>90</v>
      </c>
      <c r="E60" s="5">
        <v>801</v>
      </c>
      <c r="F60" s="6">
        <v>112.731138</v>
      </c>
      <c r="G60" s="138">
        <v>9.0334809999999995E-3</v>
      </c>
      <c r="H60" s="142"/>
    </row>
    <row r="61" spans="1:8" x14ac:dyDescent="0.2">
      <c r="A61" s="3">
        <v>55</v>
      </c>
      <c r="B61" s="4" t="s">
        <v>494</v>
      </c>
      <c r="C61" s="4" t="s">
        <v>495</v>
      </c>
      <c r="D61" s="4" t="s">
        <v>66</v>
      </c>
      <c r="E61" s="5">
        <v>138600</v>
      </c>
      <c r="F61" s="6">
        <v>105.61320000000001</v>
      </c>
      <c r="G61" s="138">
        <v>8.463099E-3</v>
      </c>
      <c r="H61" s="142"/>
    </row>
    <row r="62" spans="1:8" x14ac:dyDescent="0.2">
      <c r="A62" s="3">
        <v>56</v>
      </c>
      <c r="B62" s="4" t="s">
        <v>265</v>
      </c>
      <c r="C62" s="4" t="s">
        <v>266</v>
      </c>
      <c r="D62" s="4" t="s">
        <v>59</v>
      </c>
      <c r="E62" s="5">
        <v>9697</v>
      </c>
      <c r="F62" s="6">
        <v>100.2912225</v>
      </c>
      <c r="G62" s="138">
        <v>8.0366329999999996E-3</v>
      </c>
      <c r="H62" s="142"/>
    </row>
    <row r="63" spans="1:8" x14ac:dyDescent="0.2">
      <c r="A63" s="3">
        <v>57</v>
      </c>
      <c r="B63" s="4" t="s">
        <v>267</v>
      </c>
      <c r="C63" s="4" t="s">
        <v>268</v>
      </c>
      <c r="D63" s="4" t="s">
        <v>1024</v>
      </c>
      <c r="E63" s="5">
        <v>6041</v>
      </c>
      <c r="F63" s="6">
        <v>100.19904649999999</v>
      </c>
      <c r="G63" s="138">
        <v>8.0292469999999998E-3</v>
      </c>
      <c r="H63" s="142"/>
    </row>
    <row r="64" spans="1:8" x14ac:dyDescent="0.2">
      <c r="A64" s="3">
        <v>58</v>
      </c>
      <c r="B64" s="4" t="s">
        <v>273</v>
      </c>
      <c r="C64" s="4" t="s">
        <v>274</v>
      </c>
      <c r="D64" s="4" t="s">
        <v>173</v>
      </c>
      <c r="E64" s="5">
        <v>16139</v>
      </c>
      <c r="F64" s="6">
        <v>96.704887999999997</v>
      </c>
      <c r="G64" s="138">
        <v>7.7492500000000001E-3</v>
      </c>
      <c r="H64" s="142"/>
    </row>
    <row r="65" spans="1:8" x14ac:dyDescent="0.2">
      <c r="A65" s="3">
        <v>59</v>
      </c>
      <c r="B65" s="4" t="s">
        <v>275</v>
      </c>
      <c r="C65" s="4" t="s">
        <v>276</v>
      </c>
      <c r="D65" s="4" t="s">
        <v>335</v>
      </c>
      <c r="E65" s="5">
        <v>7010</v>
      </c>
      <c r="F65" s="6">
        <v>86.65061</v>
      </c>
      <c r="G65" s="138">
        <v>6.9435709999999999E-3</v>
      </c>
      <c r="H65" s="142"/>
    </row>
    <row r="66" spans="1:8" x14ac:dyDescent="0.2">
      <c r="A66" s="3">
        <v>60</v>
      </c>
      <c r="B66" s="4" t="s">
        <v>277</v>
      </c>
      <c r="C66" s="4" t="s">
        <v>278</v>
      </c>
      <c r="D66" s="4" t="s">
        <v>279</v>
      </c>
      <c r="E66" s="5">
        <v>36994</v>
      </c>
      <c r="F66" s="6">
        <v>85.752092000000005</v>
      </c>
      <c r="G66" s="138">
        <v>6.8715699999999996E-3</v>
      </c>
      <c r="H66" s="142"/>
    </row>
    <row r="67" spans="1:8" x14ac:dyDescent="0.2">
      <c r="A67" s="3">
        <v>61</v>
      </c>
      <c r="B67" s="4" t="s">
        <v>269</v>
      </c>
      <c r="C67" s="4" t="s">
        <v>270</v>
      </c>
      <c r="D67" s="4" t="s">
        <v>1028</v>
      </c>
      <c r="E67" s="5">
        <v>73425</v>
      </c>
      <c r="F67" s="6">
        <v>85.026150000000001</v>
      </c>
      <c r="G67" s="138">
        <v>6.813398E-3</v>
      </c>
      <c r="H67" s="142"/>
    </row>
    <row r="68" spans="1:8" x14ac:dyDescent="0.2">
      <c r="A68" s="3">
        <v>62</v>
      </c>
      <c r="B68" s="4" t="s">
        <v>286</v>
      </c>
      <c r="C68" s="4" t="s">
        <v>287</v>
      </c>
      <c r="D68" s="4" t="s">
        <v>207</v>
      </c>
      <c r="E68" s="5">
        <v>23079</v>
      </c>
      <c r="F68" s="6">
        <v>83.326729499999999</v>
      </c>
      <c r="G68" s="138">
        <v>6.6772180000000004E-3</v>
      </c>
      <c r="H68" s="142"/>
    </row>
    <row r="69" spans="1:8" x14ac:dyDescent="0.2">
      <c r="A69" s="3">
        <v>63</v>
      </c>
      <c r="B69" s="4" t="s">
        <v>282</v>
      </c>
      <c r="C69" s="4" t="s">
        <v>283</v>
      </c>
      <c r="D69" s="4" t="s">
        <v>207</v>
      </c>
      <c r="E69" s="5">
        <v>1438</v>
      </c>
      <c r="F69" s="6">
        <v>77.703767999999997</v>
      </c>
      <c r="G69" s="138">
        <v>6.226634E-3</v>
      </c>
      <c r="H69" s="142"/>
    </row>
    <row r="70" spans="1:8" x14ac:dyDescent="0.2">
      <c r="A70" s="3">
        <v>64</v>
      </c>
      <c r="B70" s="4" t="s">
        <v>284</v>
      </c>
      <c r="C70" s="4" t="s">
        <v>285</v>
      </c>
      <c r="D70" s="4" t="s">
        <v>164</v>
      </c>
      <c r="E70" s="5">
        <v>14362</v>
      </c>
      <c r="F70" s="6">
        <v>68.944781000000006</v>
      </c>
      <c r="G70" s="138">
        <v>5.5247500000000001E-3</v>
      </c>
      <c r="H70" s="142"/>
    </row>
    <row r="71" spans="1:8" x14ac:dyDescent="0.2">
      <c r="A71" s="3">
        <v>65</v>
      </c>
      <c r="B71" s="4" t="s">
        <v>462</v>
      </c>
      <c r="C71" s="4" t="s">
        <v>463</v>
      </c>
      <c r="D71" s="4" t="s">
        <v>51</v>
      </c>
      <c r="E71" s="5">
        <v>6000</v>
      </c>
      <c r="F71" s="6">
        <v>54.615000000000002</v>
      </c>
      <c r="G71" s="138">
        <v>4.3764620000000002E-3</v>
      </c>
      <c r="H71" s="142"/>
    </row>
    <row r="72" spans="1:8" x14ac:dyDescent="0.2">
      <c r="A72" s="3">
        <v>66</v>
      </c>
      <c r="B72" s="4" t="s">
        <v>290</v>
      </c>
      <c r="C72" s="4" t="s">
        <v>291</v>
      </c>
      <c r="D72" s="4" t="s">
        <v>153</v>
      </c>
      <c r="E72" s="5">
        <v>2516</v>
      </c>
      <c r="F72" s="6">
        <v>15.409242000000001</v>
      </c>
      <c r="G72" s="138">
        <v>1.2347879999999999E-3</v>
      </c>
      <c r="H72" s="142"/>
    </row>
    <row r="73" spans="1:8" x14ac:dyDescent="0.2">
      <c r="A73" s="3">
        <v>67</v>
      </c>
      <c r="B73" s="4" t="s">
        <v>292</v>
      </c>
      <c r="C73" s="4" t="s">
        <v>293</v>
      </c>
      <c r="D73" s="4" t="s">
        <v>24</v>
      </c>
      <c r="E73" s="5">
        <v>23330</v>
      </c>
      <c r="F73" s="6">
        <v>14.51126</v>
      </c>
      <c r="G73" s="138">
        <v>1.1628299999999999E-3</v>
      </c>
      <c r="H73" s="142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9">
        <v>12065.510630999999</v>
      </c>
      <c r="G74" s="139">
        <v>0.96684517800000003</v>
      </c>
      <c r="H74" s="142"/>
    </row>
    <row r="75" spans="1:8" x14ac:dyDescent="0.2">
      <c r="A75" s="1"/>
      <c r="B75" s="1"/>
      <c r="C75" s="11"/>
      <c r="D75" s="1"/>
      <c r="E75" s="1"/>
      <c r="F75" s="12"/>
      <c r="G75" s="140"/>
      <c r="H75" s="142"/>
    </row>
    <row r="76" spans="1:8" x14ac:dyDescent="0.2">
      <c r="A76" s="1"/>
      <c r="B76" s="1"/>
      <c r="C76" s="2" t="s">
        <v>107</v>
      </c>
      <c r="D76" s="1"/>
      <c r="E76" s="1"/>
      <c r="F76" s="1"/>
      <c r="G76" s="137"/>
      <c r="H76" s="142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1">
        <v>0</v>
      </c>
      <c r="H77" s="142"/>
    </row>
    <row r="78" spans="1:8" x14ac:dyDescent="0.2">
      <c r="A78" s="1"/>
      <c r="B78" s="1"/>
      <c r="C78" s="11"/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108</v>
      </c>
      <c r="D79" s="1"/>
      <c r="E79" s="1"/>
      <c r="F79" s="1"/>
      <c r="G79" s="137"/>
      <c r="H79" s="142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1">
        <v>0</v>
      </c>
      <c r="H80" s="142"/>
    </row>
    <row r="81" spans="1:8" x14ac:dyDescent="0.2">
      <c r="A81" s="1"/>
      <c r="B81" s="1"/>
      <c r="C81" s="11"/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109</v>
      </c>
      <c r="D82" s="1"/>
      <c r="E82" s="1"/>
      <c r="F82" s="1"/>
      <c r="G82" s="137"/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1">
        <v>0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111</v>
      </c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112</v>
      </c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113</v>
      </c>
      <c r="D91" s="1"/>
      <c r="E91" s="1"/>
      <c r="F91" s="9">
        <v>12065.510630999999</v>
      </c>
      <c r="G91" s="139">
        <v>0.96684517800000003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114</v>
      </c>
      <c r="D93" s="1"/>
      <c r="E93" s="1"/>
      <c r="F93" s="12"/>
      <c r="G93" s="140"/>
      <c r="H93" s="142"/>
    </row>
    <row r="94" spans="1:8" ht="25.5" x14ac:dyDescent="0.2">
      <c r="A94" s="1"/>
      <c r="B94" s="1"/>
      <c r="C94" s="2" t="s">
        <v>10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115</v>
      </c>
      <c r="D97" s="1"/>
      <c r="E97" s="1"/>
      <c r="F97" s="1"/>
      <c r="G97" s="137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116</v>
      </c>
      <c r="D100" s="1"/>
      <c r="E100" s="1"/>
      <c r="F100" s="1"/>
      <c r="G100" s="137"/>
      <c r="H100" s="142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1">
        <v>0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117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118</v>
      </c>
      <c r="D106" s="1"/>
      <c r="E106" s="1"/>
      <c r="F106" s="9">
        <v>0</v>
      </c>
      <c r="G106" s="139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119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120</v>
      </c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121</v>
      </c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122</v>
      </c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1">
        <v>0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123</v>
      </c>
      <c r="D118" s="1"/>
      <c r="E118" s="1"/>
      <c r="F118" s="12"/>
      <c r="G118" s="140"/>
      <c r="H118" s="142"/>
    </row>
    <row r="119" spans="1:8" x14ac:dyDescent="0.2">
      <c r="A119" s="3">
        <v>1</v>
      </c>
      <c r="B119" s="4"/>
      <c r="C119" s="4" t="s">
        <v>124</v>
      </c>
      <c r="D119" s="4"/>
      <c r="E119" s="8"/>
      <c r="F119" s="6">
        <v>368.29390289999998</v>
      </c>
      <c r="G119" s="138">
        <v>2.9512483999999999E-2</v>
      </c>
      <c r="H119" s="152">
        <v>3.3197683930276081</v>
      </c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9">
        <v>368.29390289999998</v>
      </c>
      <c r="G120" s="139">
        <v>2.9512483999999999E-2</v>
      </c>
      <c r="H120" s="142"/>
    </row>
    <row r="121" spans="1:8" x14ac:dyDescent="0.2">
      <c r="A121" s="1"/>
      <c r="B121" s="1"/>
      <c r="C121" s="11"/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125</v>
      </c>
      <c r="D122" s="1"/>
      <c r="E122" s="1"/>
      <c r="F122" s="9">
        <v>368.29390289999998</v>
      </c>
      <c r="G122" s="139">
        <v>2.9512483999999999E-2</v>
      </c>
      <c r="H122" s="142"/>
    </row>
    <row r="123" spans="1:8" x14ac:dyDescent="0.2">
      <c r="A123" s="1"/>
      <c r="B123" s="1"/>
      <c r="C123" s="12"/>
      <c r="D123" s="1"/>
      <c r="E123" s="1"/>
      <c r="F123" s="1"/>
      <c r="G123" s="137"/>
      <c r="H123" s="142"/>
    </row>
    <row r="124" spans="1:8" x14ac:dyDescent="0.2">
      <c r="A124" s="1"/>
      <c r="B124" s="1"/>
      <c r="C124" s="2" t="s">
        <v>126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127</v>
      </c>
      <c r="D125" s="1"/>
      <c r="E125" s="1"/>
      <c r="F125" s="1"/>
      <c r="G125" s="137"/>
      <c r="H125" s="142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1">
        <v>0</v>
      </c>
      <c r="H126" s="142"/>
    </row>
    <row r="127" spans="1:8" x14ac:dyDescent="0.2">
      <c r="A127" s="1"/>
      <c r="B127" s="1"/>
      <c r="C127" s="11"/>
      <c r="D127" s="1"/>
      <c r="E127" s="1"/>
      <c r="F127" s="12"/>
      <c r="G127" s="140"/>
      <c r="H127" s="142"/>
    </row>
    <row r="128" spans="1:8" x14ac:dyDescent="0.2">
      <c r="A128" s="1"/>
      <c r="B128" s="1"/>
      <c r="C128" s="2" t="s">
        <v>128</v>
      </c>
      <c r="D128" s="1"/>
      <c r="E128" s="1"/>
      <c r="F128" s="1"/>
      <c r="G128" s="137"/>
      <c r="H128" s="142"/>
    </row>
    <row r="129" spans="1:8" x14ac:dyDescent="0.2">
      <c r="A129" s="1"/>
      <c r="B129" s="1"/>
      <c r="C129" s="2" t="s">
        <v>129</v>
      </c>
      <c r="D129" s="1"/>
      <c r="E129" s="1"/>
      <c r="F129" s="1"/>
      <c r="G129" s="137"/>
      <c r="H129" s="142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1">
        <v>0</v>
      </c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x14ac:dyDescent="0.2">
      <c r="A132" s="1"/>
      <c r="B132" s="1"/>
      <c r="C132" s="11"/>
      <c r="D132" s="1"/>
      <c r="E132" s="1"/>
      <c r="F132" s="12"/>
      <c r="G132" s="140"/>
      <c r="H132" s="142"/>
    </row>
    <row r="133" spans="1:8" ht="25.5" x14ac:dyDescent="0.2">
      <c r="A133" s="1"/>
      <c r="B133" s="1"/>
      <c r="C133" s="2" t="s">
        <v>130</v>
      </c>
      <c r="D133" s="1"/>
      <c r="E133" s="1"/>
      <c r="F133" s="12"/>
      <c r="G133" s="140"/>
      <c r="H133" s="142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1">
        <v>0</v>
      </c>
      <c r="H134" s="142"/>
    </row>
    <row r="135" spans="1:8" x14ac:dyDescent="0.2">
      <c r="A135" s="1"/>
      <c r="B135" s="1"/>
      <c r="C135" s="11"/>
      <c r="D135" s="1"/>
      <c r="E135" s="1"/>
      <c r="F135" s="12"/>
      <c r="G135" s="140"/>
      <c r="H135" s="142"/>
    </row>
    <row r="136" spans="1:8" x14ac:dyDescent="0.2">
      <c r="A136" s="1"/>
      <c r="B136" s="4"/>
      <c r="C136" s="4"/>
      <c r="D136" s="2"/>
      <c r="E136" s="1"/>
      <c r="F136" s="4"/>
      <c r="G136" s="143"/>
      <c r="H136" s="142"/>
    </row>
    <row r="137" spans="1:8" x14ac:dyDescent="0.2">
      <c r="A137" s="8"/>
      <c r="B137" s="4"/>
      <c r="C137" s="4" t="s">
        <v>131</v>
      </c>
      <c r="D137" s="4"/>
      <c r="E137" s="8"/>
      <c r="F137" s="6">
        <v>45.4536917</v>
      </c>
      <c r="G137" s="138">
        <v>3.6423390000000001E-3</v>
      </c>
      <c r="H137" s="142"/>
    </row>
    <row r="138" spans="1:8" x14ac:dyDescent="0.2">
      <c r="A138" s="11"/>
      <c r="B138" s="11"/>
      <c r="C138" s="2" t="s">
        <v>132</v>
      </c>
      <c r="D138" s="15"/>
      <c r="E138" s="15"/>
      <c r="F138" s="9">
        <v>12479.258225600001</v>
      </c>
      <c r="G138" s="139">
        <v>1.0000000010000001</v>
      </c>
      <c r="H138" s="142"/>
    </row>
    <row r="139" spans="1:8" ht="14.1" customHeight="1" x14ac:dyDescent="0.2">
      <c r="A139" s="16"/>
      <c r="B139" s="16"/>
      <c r="C139" s="16"/>
      <c r="D139" s="17"/>
      <c r="E139" s="17"/>
      <c r="F139" s="17"/>
      <c r="G139" s="17"/>
    </row>
    <row r="140" spans="1:8" ht="14.1" customHeight="1" x14ac:dyDescent="0.2">
      <c r="A140" s="18"/>
      <c r="B140" s="205" t="s">
        <v>106</v>
      </c>
      <c r="C140" s="205"/>
      <c r="D140" s="205"/>
      <c r="E140" s="205"/>
      <c r="F140" s="205"/>
      <c r="G140" s="20"/>
    </row>
    <row r="141" spans="1:8" ht="14.1" customHeight="1" x14ac:dyDescent="0.2">
      <c r="A141" s="18"/>
      <c r="B141" s="205" t="s">
        <v>106</v>
      </c>
      <c r="C141" s="205"/>
      <c r="D141" s="205"/>
      <c r="E141" s="205"/>
      <c r="F141" s="205"/>
      <c r="G141" s="20"/>
    </row>
    <row r="142" spans="1:8" ht="14.1" customHeight="1" x14ac:dyDescent="0.2">
      <c r="A142" s="18"/>
      <c r="B142" s="18"/>
      <c r="C142" s="18"/>
      <c r="D142" s="20"/>
      <c r="E142" s="20"/>
      <c r="F142" s="20"/>
      <c r="G142" s="20"/>
    </row>
    <row r="143" spans="1:8" ht="14.1" customHeight="1" x14ac:dyDescent="0.2">
      <c r="A143" s="18"/>
      <c r="B143" s="203" t="s">
        <v>134</v>
      </c>
      <c r="C143" s="204"/>
      <c r="D143" s="12" t="s">
        <v>106</v>
      </c>
      <c r="E143" s="21"/>
      <c r="F143" s="20"/>
      <c r="G143" s="20"/>
    </row>
    <row r="144" spans="1:8" ht="29.1" customHeight="1" x14ac:dyDescent="0.2">
      <c r="A144" s="18"/>
      <c r="B144" s="199" t="s">
        <v>135</v>
      </c>
      <c r="C144" s="200"/>
      <c r="D144" s="2" t="s">
        <v>136</v>
      </c>
      <c r="E144" s="21"/>
      <c r="F144" s="20"/>
      <c r="G144" s="20"/>
    </row>
    <row r="145" spans="1:7" ht="17.100000000000001" customHeight="1" x14ac:dyDescent="0.2">
      <c r="A145" s="18"/>
      <c r="B145" s="199" t="s">
        <v>137</v>
      </c>
      <c r="C145" s="200"/>
      <c r="D145" s="2" t="s">
        <v>136</v>
      </c>
      <c r="E145" s="21"/>
      <c r="F145" s="20"/>
      <c r="G145" s="20"/>
    </row>
    <row r="146" spans="1:7" ht="17.100000000000001" customHeight="1" x14ac:dyDescent="0.2">
      <c r="A146" s="18"/>
      <c r="B146" s="199" t="s">
        <v>138</v>
      </c>
      <c r="C146" s="200"/>
      <c r="D146" s="12" t="s">
        <v>106</v>
      </c>
      <c r="E146" s="21"/>
      <c r="F146" s="20"/>
      <c r="G146" s="20"/>
    </row>
    <row r="147" spans="1:7" ht="24" customHeight="1" x14ac:dyDescent="0.2">
      <c r="A147" s="22"/>
      <c r="B147" s="23" t="s">
        <v>106</v>
      </c>
      <c r="C147" s="23" t="s">
        <v>139</v>
      </c>
      <c r="D147" s="23" t="s">
        <v>140</v>
      </c>
      <c r="E147" s="22"/>
      <c r="F147" s="22"/>
      <c r="G147" s="22"/>
    </row>
    <row r="148" spans="1:7" ht="18" customHeight="1" x14ac:dyDescent="0.2">
      <c r="A148" s="22"/>
      <c r="B148" s="23" t="s">
        <v>141</v>
      </c>
      <c r="C148" s="23" t="s">
        <v>142</v>
      </c>
      <c r="D148" s="23" t="s">
        <v>143</v>
      </c>
      <c r="E148" s="22"/>
      <c r="F148" s="22"/>
      <c r="G148" s="22"/>
    </row>
    <row r="149" spans="1:7" x14ac:dyDescent="0.2">
      <c r="A149" s="22"/>
      <c r="B149" s="4" t="s">
        <v>144</v>
      </c>
      <c r="C149" s="24">
        <v>19.0838</v>
      </c>
      <c r="D149" s="24">
        <v>19.630800000000001</v>
      </c>
      <c r="E149" s="22"/>
      <c r="F149" s="19"/>
      <c r="G149" s="25"/>
    </row>
    <row r="150" spans="1:7" x14ac:dyDescent="0.2">
      <c r="A150" s="22"/>
      <c r="B150" s="4" t="s">
        <v>1019</v>
      </c>
      <c r="C150" s="24">
        <v>17.912099999999999</v>
      </c>
      <c r="D150" s="24">
        <v>18.4254</v>
      </c>
      <c r="E150" s="22"/>
      <c r="F150" s="19"/>
      <c r="G150" s="25"/>
    </row>
    <row r="151" spans="1:7" x14ac:dyDescent="0.2">
      <c r="A151" s="22"/>
      <c r="B151" s="4" t="s">
        <v>145</v>
      </c>
      <c r="C151" s="24">
        <v>18.818899999999999</v>
      </c>
      <c r="D151" s="24">
        <v>19.351700000000001</v>
      </c>
      <c r="E151" s="22"/>
      <c r="F151" s="19"/>
      <c r="G151" s="25"/>
    </row>
    <row r="152" spans="1:7" x14ac:dyDescent="0.2">
      <c r="A152" s="22"/>
      <c r="B152" s="4" t="s">
        <v>1020</v>
      </c>
      <c r="C152" s="24">
        <v>17.648599999999998</v>
      </c>
      <c r="D152" s="24">
        <v>18.148199999999999</v>
      </c>
      <c r="E152" s="22"/>
      <c r="F152" s="19"/>
      <c r="G152" s="25"/>
    </row>
    <row r="153" spans="1:7" ht="14.1" customHeight="1" x14ac:dyDescent="0.2">
      <c r="A153" s="22"/>
      <c r="B153" s="22"/>
      <c r="C153" s="22"/>
      <c r="D153" s="22"/>
      <c r="E153" s="22"/>
      <c r="F153" s="22"/>
      <c r="G153" s="22"/>
    </row>
    <row r="154" spans="1:7" ht="17.100000000000001" customHeight="1" x14ac:dyDescent="0.2">
      <c r="A154" s="22"/>
      <c r="B154" s="199" t="s">
        <v>1021</v>
      </c>
      <c r="C154" s="200"/>
      <c r="D154" s="2" t="s">
        <v>136</v>
      </c>
      <c r="E154" s="22"/>
      <c r="F154" s="22"/>
      <c r="G154" s="22"/>
    </row>
    <row r="155" spans="1:7" ht="18" customHeight="1" x14ac:dyDescent="0.2">
      <c r="A155" s="22"/>
      <c r="B155" s="26"/>
      <c r="C155" s="26"/>
      <c r="D155" s="27"/>
      <c r="E155" s="22"/>
      <c r="F155" s="22"/>
      <c r="G155" s="22"/>
    </row>
    <row r="156" spans="1:7" s="125" customFormat="1" x14ac:dyDescent="0.2">
      <c r="B156" s="201" t="s">
        <v>825</v>
      </c>
      <c r="C156" s="201"/>
      <c r="D156" s="201"/>
      <c r="E156" s="201"/>
      <c r="F156" s="201"/>
    </row>
    <row r="157" spans="1:7" ht="14.1" customHeight="1" x14ac:dyDescent="0.2">
      <c r="A157" s="22"/>
      <c r="B157" s="19"/>
      <c r="C157" s="19"/>
      <c r="D157" s="22"/>
      <c r="E157" s="22"/>
      <c r="F157" s="22"/>
      <c r="G157" s="22"/>
    </row>
    <row r="158" spans="1:7" ht="29.1" customHeight="1" x14ac:dyDescent="0.2">
      <c r="A158" s="22"/>
      <c r="B158" s="199" t="s">
        <v>146</v>
      </c>
      <c r="C158" s="200"/>
      <c r="D158" s="2" t="s">
        <v>136</v>
      </c>
      <c r="E158" s="22"/>
      <c r="F158" s="22"/>
      <c r="G158" s="22"/>
    </row>
    <row r="159" spans="1:7" ht="29.1" customHeight="1" x14ac:dyDescent="0.2">
      <c r="A159" s="22"/>
      <c r="B159" s="199" t="s">
        <v>147</v>
      </c>
      <c r="C159" s="200"/>
      <c r="D159" s="2" t="s">
        <v>136</v>
      </c>
      <c r="E159" s="22"/>
      <c r="F159" s="22"/>
      <c r="G159" s="22"/>
    </row>
    <row r="160" spans="1:7" ht="17.100000000000001" customHeight="1" x14ac:dyDescent="0.2">
      <c r="A160" s="22"/>
      <c r="B160" s="199" t="s">
        <v>148</v>
      </c>
      <c r="C160" s="200"/>
      <c r="D160" s="28">
        <v>0.47845292784138732</v>
      </c>
      <c r="E160" s="22"/>
      <c r="F160" s="19"/>
      <c r="G160" s="25"/>
    </row>
    <row r="161" spans="1:7" ht="17.100000000000001" customHeight="1" x14ac:dyDescent="0.2">
      <c r="A161" s="22"/>
      <c r="B161" s="199" t="s">
        <v>149</v>
      </c>
      <c r="C161" s="200"/>
      <c r="D161" s="2" t="s">
        <v>136</v>
      </c>
      <c r="E161" s="22"/>
      <c r="F161" s="22"/>
      <c r="G161" s="22"/>
    </row>
  </sheetData>
  <mergeCells count="16">
    <mergeCell ref="J2:N2"/>
    <mergeCell ref="B143:C143"/>
    <mergeCell ref="B140:F140"/>
    <mergeCell ref="B141:F141"/>
    <mergeCell ref="A1:H1"/>
    <mergeCell ref="A2:H2"/>
    <mergeCell ref="A3:H3"/>
    <mergeCell ref="B160:C160"/>
    <mergeCell ref="B161:C161"/>
    <mergeCell ref="B144:C144"/>
    <mergeCell ref="B145:C145"/>
    <mergeCell ref="B146:C146"/>
    <mergeCell ref="B154:C154"/>
    <mergeCell ref="B158:C158"/>
    <mergeCell ref="B159:C159"/>
    <mergeCell ref="B156:F15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15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2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496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1862083</v>
      </c>
      <c r="F7" s="6">
        <v>13050.4087055</v>
      </c>
      <c r="G7" s="138">
        <v>9.2706135999999995E-2</v>
      </c>
      <c r="H7" s="142"/>
    </row>
    <row r="8" spans="1:14" x14ac:dyDescent="0.2">
      <c r="A8" s="3">
        <v>2</v>
      </c>
      <c r="B8" s="4" t="s">
        <v>410</v>
      </c>
      <c r="C8" s="4" t="s">
        <v>411</v>
      </c>
      <c r="D8" s="4" t="s">
        <v>164</v>
      </c>
      <c r="E8" s="5">
        <v>773887</v>
      </c>
      <c r="F8" s="6">
        <v>12964.155024</v>
      </c>
      <c r="G8" s="138">
        <v>9.2093415999999997E-2</v>
      </c>
      <c r="H8" s="142"/>
    </row>
    <row r="9" spans="1:14" x14ac:dyDescent="0.2">
      <c r="A9" s="3">
        <v>3</v>
      </c>
      <c r="B9" s="4" t="s">
        <v>408</v>
      </c>
      <c r="C9" s="4" t="s">
        <v>409</v>
      </c>
      <c r="D9" s="4" t="s">
        <v>24</v>
      </c>
      <c r="E9" s="5">
        <v>780385</v>
      </c>
      <c r="F9" s="6">
        <v>12446.7505575</v>
      </c>
      <c r="G9" s="138">
        <v>8.8417932000000005E-2</v>
      </c>
      <c r="H9" s="142"/>
    </row>
    <row r="10" spans="1:14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471874</v>
      </c>
      <c r="F10" s="6">
        <v>8035.7782829999996</v>
      </c>
      <c r="G10" s="138">
        <v>5.7083726000000001E-2</v>
      </c>
      <c r="H10" s="142"/>
    </row>
    <row r="11" spans="1:14" x14ac:dyDescent="0.2">
      <c r="A11" s="3">
        <v>5</v>
      </c>
      <c r="B11" s="4" t="s">
        <v>14</v>
      </c>
      <c r="C11" s="4" t="s">
        <v>15</v>
      </c>
      <c r="D11" s="4" t="s">
        <v>16</v>
      </c>
      <c r="E11" s="5">
        <v>309838</v>
      </c>
      <c r="F11" s="6">
        <v>7805.5938150000002</v>
      </c>
      <c r="G11" s="138">
        <v>5.5448565999999998E-2</v>
      </c>
      <c r="H11" s="142"/>
    </row>
    <row r="12" spans="1:14" x14ac:dyDescent="0.2">
      <c r="A12" s="3">
        <v>6</v>
      </c>
      <c r="B12" s="4" t="s">
        <v>414</v>
      </c>
      <c r="C12" s="4" t="s">
        <v>415</v>
      </c>
      <c r="D12" s="4" t="s">
        <v>24</v>
      </c>
      <c r="E12" s="5">
        <v>1616281</v>
      </c>
      <c r="F12" s="6">
        <v>7321.7529299999997</v>
      </c>
      <c r="G12" s="138">
        <v>5.2011506999999998E-2</v>
      </c>
      <c r="H12" s="142"/>
    </row>
    <row r="13" spans="1:14" x14ac:dyDescent="0.2">
      <c r="A13" s="3">
        <v>7</v>
      </c>
      <c r="B13" s="4" t="s">
        <v>420</v>
      </c>
      <c r="C13" s="4" t="s">
        <v>421</v>
      </c>
      <c r="D13" s="4" t="s">
        <v>164</v>
      </c>
      <c r="E13" s="5">
        <v>193388</v>
      </c>
      <c r="F13" s="6">
        <v>7301.460634</v>
      </c>
      <c r="G13" s="138">
        <v>5.1867357000000003E-2</v>
      </c>
      <c r="H13" s="142"/>
    </row>
    <row r="14" spans="1:14" x14ac:dyDescent="0.2">
      <c r="A14" s="3">
        <v>8</v>
      </c>
      <c r="B14" s="4" t="s">
        <v>336</v>
      </c>
      <c r="C14" s="4" t="s">
        <v>337</v>
      </c>
      <c r="D14" s="4" t="s">
        <v>24</v>
      </c>
      <c r="E14" s="5">
        <v>901060</v>
      </c>
      <c r="F14" s="6">
        <v>6907.0754299999999</v>
      </c>
      <c r="G14" s="138">
        <v>4.9065763999999998E-2</v>
      </c>
      <c r="H14" s="142"/>
    </row>
    <row r="15" spans="1:14" x14ac:dyDescent="0.2">
      <c r="A15" s="3">
        <v>9</v>
      </c>
      <c r="B15" s="4" t="s">
        <v>368</v>
      </c>
      <c r="C15" s="4" t="s">
        <v>369</v>
      </c>
      <c r="D15" s="4" t="s">
        <v>164</v>
      </c>
      <c r="E15" s="5">
        <v>481547</v>
      </c>
      <c r="F15" s="6">
        <v>6161.6346384999997</v>
      </c>
      <c r="G15" s="138">
        <v>4.3770378999999998E-2</v>
      </c>
      <c r="H15" s="142"/>
    </row>
    <row r="16" spans="1:14" ht="25.5" x14ac:dyDescent="0.2">
      <c r="A16" s="3">
        <v>10</v>
      </c>
      <c r="B16" s="4" t="s">
        <v>412</v>
      </c>
      <c r="C16" s="4" t="s">
        <v>413</v>
      </c>
      <c r="D16" s="4" t="s">
        <v>80</v>
      </c>
      <c r="E16" s="5">
        <v>207954</v>
      </c>
      <c r="F16" s="6">
        <v>5727.6770219999999</v>
      </c>
      <c r="G16" s="138">
        <v>4.0687675999999999E-2</v>
      </c>
      <c r="H16" s="142"/>
      <c r="J16" s="163" t="s">
        <v>1038</v>
      </c>
    </row>
    <row r="17" spans="1:8" x14ac:dyDescent="0.2">
      <c r="A17" s="3">
        <v>11</v>
      </c>
      <c r="B17" s="4" t="s">
        <v>394</v>
      </c>
      <c r="C17" s="4" t="s">
        <v>395</v>
      </c>
      <c r="D17" s="4" t="s">
        <v>1030</v>
      </c>
      <c r="E17" s="5">
        <v>30046</v>
      </c>
      <c r="F17" s="6">
        <v>5344.206905</v>
      </c>
      <c r="G17" s="138">
        <v>3.7963621000000003E-2</v>
      </c>
      <c r="H17" s="142"/>
    </row>
    <row r="18" spans="1:8" x14ac:dyDescent="0.2">
      <c r="A18" s="3">
        <v>12</v>
      </c>
      <c r="B18" s="4" t="s">
        <v>424</v>
      </c>
      <c r="C18" s="4" t="s">
        <v>425</v>
      </c>
      <c r="D18" s="4" t="s">
        <v>207</v>
      </c>
      <c r="E18" s="5">
        <v>554032</v>
      </c>
      <c r="F18" s="6">
        <v>4533.3668399999997</v>
      </c>
      <c r="G18" s="138">
        <v>3.2203660000000002E-2</v>
      </c>
      <c r="H18" s="142"/>
    </row>
    <row r="19" spans="1:8" x14ac:dyDescent="0.2">
      <c r="A19" s="3">
        <v>13</v>
      </c>
      <c r="B19" s="4" t="s">
        <v>40</v>
      </c>
      <c r="C19" s="4" t="s">
        <v>41</v>
      </c>
      <c r="D19" s="4" t="s">
        <v>16</v>
      </c>
      <c r="E19" s="5">
        <v>1017395</v>
      </c>
      <c r="F19" s="6">
        <v>4397.1811900000002</v>
      </c>
      <c r="G19" s="138">
        <v>3.1236238999999999E-2</v>
      </c>
      <c r="H19" s="142"/>
    </row>
    <row r="20" spans="1:8" ht="25.5" x14ac:dyDescent="0.2">
      <c r="A20" s="3">
        <v>14</v>
      </c>
      <c r="B20" s="4" t="s">
        <v>323</v>
      </c>
      <c r="C20" s="4" t="s">
        <v>324</v>
      </c>
      <c r="D20" s="4" t="s">
        <v>90</v>
      </c>
      <c r="E20" s="5">
        <v>466265</v>
      </c>
      <c r="F20" s="6">
        <v>4185.1946399999997</v>
      </c>
      <c r="G20" s="138">
        <v>2.9730350999999999E-2</v>
      </c>
      <c r="H20" s="142"/>
    </row>
    <row r="21" spans="1:8" x14ac:dyDescent="0.2">
      <c r="A21" s="3">
        <v>15</v>
      </c>
      <c r="B21" s="4" t="s">
        <v>17</v>
      </c>
      <c r="C21" s="4" t="s">
        <v>18</v>
      </c>
      <c r="D21" s="4" t="s">
        <v>19</v>
      </c>
      <c r="E21" s="5">
        <v>587991</v>
      </c>
      <c r="F21" s="6">
        <v>4047.142053</v>
      </c>
      <c r="G21" s="138">
        <v>2.8749667E-2</v>
      </c>
      <c r="H21" s="142"/>
    </row>
    <row r="22" spans="1:8" x14ac:dyDescent="0.2">
      <c r="A22" s="3">
        <v>16</v>
      </c>
      <c r="B22" s="4" t="s">
        <v>320</v>
      </c>
      <c r="C22" s="4" t="s">
        <v>321</v>
      </c>
      <c r="D22" s="4" t="s">
        <v>322</v>
      </c>
      <c r="E22" s="5">
        <v>122981</v>
      </c>
      <c r="F22" s="6">
        <v>3908.7666134999999</v>
      </c>
      <c r="G22" s="138">
        <v>2.776669E-2</v>
      </c>
      <c r="H22" s="142"/>
    </row>
    <row r="23" spans="1:8" x14ac:dyDescent="0.2">
      <c r="A23" s="3">
        <v>17</v>
      </c>
      <c r="B23" s="4" t="s">
        <v>97</v>
      </c>
      <c r="C23" s="4" t="s">
        <v>98</v>
      </c>
      <c r="D23" s="4" t="s">
        <v>56</v>
      </c>
      <c r="E23" s="5">
        <v>601171</v>
      </c>
      <c r="F23" s="6">
        <v>3204.8426009999998</v>
      </c>
      <c r="G23" s="138">
        <v>2.2766227999999999E-2</v>
      </c>
      <c r="H23" s="142"/>
    </row>
    <row r="24" spans="1:8" ht="25.5" x14ac:dyDescent="0.2">
      <c r="A24" s="3">
        <v>18</v>
      </c>
      <c r="B24" s="4" t="s">
        <v>418</v>
      </c>
      <c r="C24" s="4" t="s">
        <v>419</v>
      </c>
      <c r="D24" s="4" t="s">
        <v>90</v>
      </c>
      <c r="E24" s="5">
        <v>111297</v>
      </c>
      <c r="F24" s="6">
        <v>3007.0223460000002</v>
      </c>
      <c r="G24" s="138">
        <v>2.1360972999999998E-2</v>
      </c>
      <c r="H24" s="142"/>
    </row>
    <row r="25" spans="1:8" x14ac:dyDescent="0.2">
      <c r="A25" s="3">
        <v>19</v>
      </c>
      <c r="B25" s="4" t="s">
        <v>81</v>
      </c>
      <c r="C25" s="4" t="s">
        <v>82</v>
      </c>
      <c r="D25" s="4" t="s">
        <v>83</v>
      </c>
      <c r="E25" s="5">
        <v>2034820</v>
      </c>
      <c r="F25" s="6">
        <v>2722.58916</v>
      </c>
      <c r="G25" s="138">
        <v>1.9340446000000001E-2</v>
      </c>
      <c r="H25" s="142"/>
    </row>
    <row r="26" spans="1:8" x14ac:dyDescent="0.2">
      <c r="A26" s="3">
        <v>20</v>
      </c>
      <c r="B26" s="4" t="s">
        <v>350</v>
      </c>
      <c r="C26" s="4" t="s">
        <v>351</v>
      </c>
      <c r="D26" s="4" t="s">
        <v>80</v>
      </c>
      <c r="E26" s="5">
        <v>208642</v>
      </c>
      <c r="F26" s="6">
        <v>2709.9466170000001</v>
      </c>
      <c r="G26" s="138">
        <v>1.9250637000000001E-2</v>
      </c>
      <c r="H26" s="142"/>
    </row>
    <row r="27" spans="1:8" ht="25.5" x14ac:dyDescent="0.2">
      <c r="A27" s="3">
        <v>21</v>
      </c>
      <c r="B27" s="4" t="s">
        <v>38</v>
      </c>
      <c r="C27" s="4" t="s">
        <v>39</v>
      </c>
      <c r="D27" s="4" t="s">
        <v>1023</v>
      </c>
      <c r="E27" s="5">
        <v>31653</v>
      </c>
      <c r="F27" s="6">
        <v>2341.0875329999999</v>
      </c>
      <c r="G27" s="138">
        <v>1.6630374E-2</v>
      </c>
      <c r="H27" s="142"/>
    </row>
    <row r="28" spans="1:8" x14ac:dyDescent="0.2">
      <c r="A28" s="3">
        <v>22</v>
      </c>
      <c r="B28" s="4" t="s">
        <v>307</v>
      </c>
      <c r="C28" s="4" t="s">
        <v>934</v>
      </c>
      <c r="D28" s="4" t="s">
        <v>164</v>
      </c>
      <c r="E28" s="5">
        <v>51711</v>
      </c>
      <c r="F28" s="6">
        <v>2171.9137110000001</v>
      </c>
      <c r="G28" s="138">
        <v>1.5428615E-2</v>
      </c>
      <c r="H28" s="142"/>
    </row>
    <row r="29" spans="1:8" ht="25.5" x14ac:dyDescent="0.2">
      <c r="A29" s="3">
        <v>23</v>
      </c>
      <c r="B29" s="4" t="s">
        <v>398</v>
      </c>
      <c r="C29" s="4" t="s">
        <v>399</v>
      </c>
      <c r="D29" s="4" t="s">
        <v>90</v>
      </c>
      <c r="E29" s="5">
        <v>256497</v>
      </c>
      <c r="F29" s="6">
        <v>2086.8595919999998</v>
      </c>
      <c r="G29" s="138">
        <v>1.4824416E-2</v>
      </c>
      <c r="H29" s="142"/>
    </row>
    <row r="30" spans="1:8" x14ac:dyDescent="0.2">
      <c r="A30" s="3">
        <v>24</v>
      </c>
      <c r="B30" s="4" t="s">
        <v>310</v>
      </c>
      <c r="C30" s="4" t="s">
        <v>311</v>
      </c>
      <c r="D30" s="4" t="s">
        <v>181</v>
      </c>
      <c r="E30" s="5">
        <v>36962</v>
      </c>
      <c r="F30" s="6">
        <v>1656.4889920000001</v>
      </c>
      <c r="G30" s="138">
        <v>1.1767194E-2</v>
      </c>
      <c r="H30" s="142"/>
    </row>
    <row r="31" spans="1:8" x14ac:dyDescent="0.2">
      <c r="A31" s="3">
        <v>25</v>
      </c>
      <c r="B31" s="4" t="s">
        <v>453</v>
      </c>
      <c r="C31" s="4" t="s">
        <v>454</v>
      </c>
      <c r="D31" s="4" t="s">
        <v>173</v>
      </c>
      <c r="E31" s="5">
        <v>637374</v>
      </c>
      <c r="F31" s="6">
        <v>1440.146553</v>
      </c>
      <c r="G31" s="138">
        <v>1.0230362999999999E-2</v>
      </c>
      <c r="H31" s="142"/>
    </row>
    <row r="32" spans="1:8" ht="25.5" x14ac:dyDescent="0.2">
      <c r="A32" s="3">
        <v>26</v>
      </c>
      <c r="B32" s="4" t="s">
        <v>497</v>
      </c>
      <c r="C32" s="4" t="s">
        <v>498</v>
      </c>
      <c r="D32" s="4" t="s">
        <v>90</v>
      </c>
      <c r="E32" s="5">
        <v>200000</v>
      </c>
      <c r="F32" s="6">
        <v>1234.0999999999999</v>
      </c>
      <c r="G32" s="138">
        <v>8.7666710000000002E-3</v>
      </c>
      <c r="H32" s="142"/>
    </row>
    <row r="33" spans="1:8" x14ac:dyDescent="0.2">
      <c r="A33" s="3">
        <v>27</v>
      </c>
      <c r="B33" s="4" t="s">
        <v>451</v>
      </c>
      <c r="C33" s="4" t="s">
        <v>452</v>
      </c>
      <c r="D33" s="4" t="s">
        <v>207</v>
      </c>
      <c r="E33" s="5">
        <v>122147</v>
      </c>
      <c r="F33" s="6">
        <v>1201.3768184999999</v>
      </c>
      <c r="G33" s="138">
        <v>8.5342160000000007E-3</v>
      </c>
      <c r="H33" s="142"/>
    </row>
    <row r="34" spans="1:8" x14ac:dyDescent="0.2">
      <c r="A34" s="3">
        <v>28</v>
      </c>
      <c r="B34" s="4" t="s">
        <v>441</v>
      </c>
      <c r="C34" s="4" t="s">
        <v>442</v>
      </c>
      <c r="D34" s="4" t="s">
        <v>24</v>
      </c>
      <c r="E34" s="5">
        <v>40494</v>
      </c>
      <c r="F34" s="6">
        <v>812.10717</v>
      </c>
      <c r="G34" s="138">
        <v>5.7689619999999999E-3</v>
      </c>
      <c r="H34" s="142"/>
    </row>
    <row r="35" spans="1:8" ht="25.5" x14ac:dyDescent="0.2">
      <c r="A35" s="3">
        <v>29</v>
      </c>
      <c r="B35" s="4" t="s">
        <v>338</v>
      </c>
      <c r="C35" s="4" t="s">
        <v>339</v>
      </c>
      <c r="D35" s="4" t="s">
        <v>51</v>
      </c>
      <c r="E35" s="5">
        <v>114832</v>
      </c>
      <c r="F35" s="6">
        <v>549.93044799999996</v>
      </c>
      <c r="G35" s="138">
        <v>3.9065389999999997E-3</v>
      </c>
      <c r="H35" s="142"/>
    </row>
    <row r="36" spans="1:8" x14ac:dyDescent="0.2">
      <c r="A36" s="3">
        <v>30</v>
      </c>
      <c r="B36" s="4" t="s">
        <v>433</v>
      </c>
      <c r="C36" s="4" t="s">
        <v>434</v>
      </c>
      <c r="D36" s="4" t="s">
        <v>207</v>
      </c>
      <c r="E36" s="5">
        <v>7324</v>
      </c>
      <c r="F36" s="6">
        <v>351.45678800000002</v>
      </c>
      <c r="G36" s="138">
        <v>2.4966419999999999E-3</v>
      </c>
      <c r="H36" s="142"/>
    </row>
    <row r="37" spans="1:8" x14ac:dyDescent="0.2">
      <c r="A37" s="1"/>
      <c r="B37" s="1"/>
      <c r="C37" s="2" t="s">
        <v>105</v>
      </c>
      <c r="D37" s="1"/>
      <c r="E37" s="1" t="s">
        <v>106</v>
      </c>
      <c r="F37" s="9">
        <v>139628.0136105</v>
      </c>
      <c r="G37" s="139">
        <v>0.991874963</v>
      </c>
      <c r="H37" s="142"/>
    </row>
    <row r="38" spans="1:8" x14ac:dyDescent="0.2">
      <c r="A38" s="1"/>
      <c r="B38" s="1"/>
      <c r="C38" s="11"/>
      <c r="D38" s="1"/>
      <c r="E38" s="1"/>
      <c r="F38" s="12"/>
      <c r="G38" s="140"/>
      <c r="H38" s="142"/>
    </row>
    <row r="39" spans="1:8" x14ac:dyDescent="0.2">
      <c r="A39" s="1"/>
      <c r="B39" s="1"/>
      <c r="C39" s="2" t="s">
        <v>107</v>
      </c>
      <c r="D39" s="1"/>
      <c r="E39" s="1"/>
      <c r="F39" s="1"/>
      <c r="G39" s="137"/>
      <c r="H39" s="142"/>
    </row>
    <row r="40" spans="1:8" x14ac:dyDescent="0.2">
      <c r="A40" s="1"/>
      <c r="B40" s="1"/>
      <c r="C40" s="2" t="s">
        <v>105</v>
      </c>
      <c r="D40" s="1"/>
      <c r="E40" s="1" t="s">
        <v>106</v>
      </c>
      <c r="F40" s="13">
        <v>0</v>
      </c>
      <c r="G40" s="141">
        <v>0</v>
      </c>
      <c r="H40" s="142"/>
    </row>
    <row r="41" spans="1:8" x14ac:dyDescent="0.2">
      <c r="A41" s="1"/>
      <c r="B41" s="1"/>
      <c r="C41" s="11"/>
      <c r="D41" s="1"/>
      <c r="E41" s="1"/>
      <c r="F41" s="12"/>
      <c r="G41" s="140"/>
      <c r="H41" s="142"/>
    </row>
    <row r="42" spans="1:8" x14ac:dyDescent="0.2">
      <c r="A42" s="1"/>
      <c r="B42" s="1"/>
      <c r="C42" s="2" t="s">
        <v>108</v>
      </c>
      <c r="D42" s="1"/>
      <c r="E42" s="1"/>
      <c r="F42" s="1"/>
      <c r="G42" s="137"/>
      <c r="H42" s="142"/>
    </row>
    <row r="43" spans="1:8" x14ac:dyDescent="0.2">
      <c r="A43" s="1"/>
      <c r="B43" s="1"/>
      <c r="C43" s="2" t="s">
        <v>105</v>
      </c>
      <c r="D43" s="1"/>
      <c r="E43" s="1" t="s">
        <v>106</v>
      </c>
      <c r="F43" s="13">
        <v>0</v>
      </c>
      <c r="G43" s="141">
        <v>0</v>
      </c>
      <c r="H43" s="142"/>
    </row>
    <row r="44" spans="1:8" x14ac:dyDescent="0.2">
      <c r="A44" s="1"/>
      <c r="B44" s="1"/>
      <c r="C44" s="11"/>
      <c r="D44" s="1"/>
      <c r="E44" s="1"/>
      <c r="F44" s="12"/>
      <c r="G44" s="140"/>
      <c r="H44" s="142"/>
    </row>
    <row r="45" spans="1:8" x14ac:dyDescent="0.2">
      <c r="A45" s="1"/>
      <c r="B45" s="1"/>
      <c r="C45" s="2" t="s">
        <v>109</v>
      </c>
      <c r="D45" s="1"/>
      <c r="E45" s="1"/>
      <c r="F45" s="1"/>
      <c r="G45" s="137"/>
      <c r="H45" s="142"/>
    </row>
    <row r="46" spans="1:8" x14ac:dyDescent="0.2">
      <c r="A46" s="3">
        <v>1</v>
      </c>
      <c r="B46" s="4" t="s">
        <v>110</v>
      </c>
      <c r="C46" s="4" t="s">
        <v>996</v>
      </c>
      <c r="D46" s="4" t="s">
        <v>19</v>
      </c>
      <c r="E46" s="5">
        <v>41999</v>
      </c>
      <c r="F46" s="6">
        <v>64.384467000000001</v>
      </c>
      <c r="G46" s="138">
        <v>4.5736799999999999E-4</v>
      </c>
      <c r="H46" s="142"/>
    </row>
    <row r="47" spans="1:8" x14ac:dyDescent="0.2">
      <c r="A47" s="1"/>
      <c r="B47" s="1"/>
      <c r="C47" s="2" t="s">
        <v>105</v>
      </c>
      <c r="D47" s="1"/>
      <c r="E47" s="1" t="s">
        <v>106</v>
      </c>
      <c r="F47" s="9">
        <v>64.384467000000001</v>
      </c>
      <c r="G47" s="139">
        <v>4.5736799999999999E-4</v>
      </c>
      <c r="H47" s="142"/>
    </row>
    <row r="48" spans="1:8" x14ac:dyDescent="0.2">
      <c r="A48" s="1"/>
      <c r="B48" s="1"/>
      <c r="C48" s="11"/>
      <c r="D48" s="1"/>
      <c r="E48" s="1"/>
      <c r="F48" s="12"/>
      <c r="G48" s="140"/>
      <c r="H48" s="142"/>
    </row>
    <row r="49" spans="1:8" x14ac:dyDescent="0.2">
      <c r="A49" s="1"/>
      <c r="B49" s="1"/>
      <c r="C49" s="2" t="s">
        <v>111</v>
      </c>
      <c r="D49" s="1"/>
      <c r="E49" s="1"/>
      <c r="F49" s="12"/>
      <c r="G49" s="140"/>
      <c r="H49" s="142"/>
    </row>
    <row r="50" spans="1:8" x14ac:dyDescent="0.2">
      <c r="A50" s="1"/>
      <c r="B50" s="1"/>
      <c r="C50" s="2" t="s">
        <v>105</v>
      </c>
      <c r="D50" s="1"/>
      <c r="E50" s="1" t="s">
        <v>106</v>
      </c>
      <c r="F50" s="13">
        <v>0</v>
      </c>
      <c r="G50" s="141">
        <v>0</v>
      </c>
      <c r="H50" s="142"/>
    </row>
    <row r="51" spans="1:8" x14ac:dyDescent="0.2">
      <c r="A51" s="1"/>
      <c r="B51" s="1"/>
      <c r="C51" s="11"/>
      <c r="D51" s="1"/>
      <c r="E51" s="1"/>
      <c r="F51" s="12"/>
      <c r="G51" s="140"/>
      <c r="H51" s="142"/>
    </row>
    <row r="52" spans="1:8" x14ac:dyDescent="0.2">
      <c r="A52" s="1"/>
      <c r="B52" s="1"/>
      <c r="C52" s="2" t="s">
        <v>112</v>
      </c>
      <c r="D52" s="1"/>
      <c r="E52" s="1"/>
      <c r="F52" s="12"/>
      <c r="G52" s="140"/>
      <c r="H52" s="142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13">
        <v>0</v>
      </c>
      <c r="G53" s="141">
        <v>0</v>
      </c>
      <c r="H53" s="142"/>
    </row>
    <row r="54" spans="1:8" x14ac:dyDescent="0.2">
      <c r="A54" s="1"/>
      <c r="B54" s="1"/>
      <c r="C54" s="11"/>
      <c r="D54" s="1"/>
      <c r="E54" s="1"/>
      <c r="F54" s="12"/>
      <c r="G54" s="140"/>
      <c r="H54" s="142"/>
    </row>
    <row r="55" spans="1:8" x14ac:dyDescent="0.2">
      <c r="A55" s="1"/>
      <c r="B55" s="1"/>
      <c r="C55" s="2" t="s">
        <v>113</v>
      </c>
      <c r="D55" s="1"/>
      <c r="E55" s="1"/>
      <c r="F55" s="9">
        <v>139692.39807749999</v>
      </c>
      <c r="G55" s="139">
        <v>0.99233233099999996</v>
      </c>
      <c r="H55" s="142"/>
    </row>
    <row r="56" spans="1:8" x14ac:dyDescent="0.2">
      <c r="A56" s="1"/>
      <c r="B56" s="1"/>
      <c r="C56" s="11"/>
      <c r="D56" s="1"/>
      <c r="E56" s="1"/>
      <c r="F56" s="12"/>
      <c r="G56" s="140"/>
      <c r="H56" s="142"/>
    </row>
    <row r="57" spans="1:8" x14ac:dyDescent="0.2">
      <c r="A57" s="1"/>
      <c r="B57" s="1"/>
      <c r="C57" s="2" t="s">
        <v>114</v>
      </c>
      <c r="D57" s="1"/>
      <c r="E57" s="1"/>
      <c r="F57" s="12"/>
      <c r="G57" s="140"/>
      <c r="H57" s="142"/>
    </row>
    <row r="58" spans="1:8" ht="25.5" x14ac:dyDescent="0.2">
      <c r="A58" s="1"/>
      <c r="B58" s="1"/>
      <c r="C58" s="2" t="s">
        <v>10</v>
      </c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1">
        <v>0</v>
      </c>
      <c r="H59" s="142"/>
    </row>
    <row r="60" spans="1:8" x14ac:dyDescent="0.2">
      <c r="A60" s="1"/>
      <c r="B60" s="1"/>
      <c r="C60" s="11"/>
      <c r="D60" s="1"/>
      <c r="E60" s="1"/>
      <c r="F60" s="12"/>
      <c r="G60" s="140"/>
      <c r="H60" s="142"/>
    </row>
    <row r="61" spans="1:8" x14ac:dyDescent="0.2">
      <c r="A61" s="1"/>
      <c r="B61" s="1"/>
      <c r="C61" s="2" t="s">
        <v>115</v>
      </c>
      <c r="D61" s="1"/>
      <c r="E61" s="1"/>
      <c r="F61" s="1"/>
      <c r="G61" s="137"/>
      <c r="H61" s="142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1">
        <v>0</v>
      </c>
      <c r="H62" s="142"/>
    </row>
    <row r="63" spans="1:8" x14ac:dyDescent="0.2">
      <c r="A63" s="1"/>
      <c r="B63" s="1"/>
      <c r="C63" s="11"/>
      <c r="D63" s="1"/>
      <c r="E63" s="1"/>
      <c r="F63" s="12"/>
      <c r="G63" s="140"/>
      <c r="H63" s="142"/>
    </row>
    <row r="64" spans="1:8" x14ac:dyDescent="0.2">
      <c r="A64" s="1"/>
      <c r="B64" s="1"/>
      <c r="C64" s="2" t="s">
        <v>116</v>
      </c>
      <c r="D64" s="1"/>
      <c r="E64" s="1"/>
      <c r="F64" s="1"/>
      <c r="G64" s="137"/>
      <c r="H64" s="142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1">
        <v>0</v>
      </c>
      <c r="H65" s="142"/>
    </row>
    <row r="66" spans="1:8" x14ac:dyDescent="0.2">
      <c r="A66" s="1"/>
      <c r="B66" s="1"/>
      <c r="C66" s="11"/>
      <c r="D66" s="1"/>
      <c r="E66" s="1"/>
      <c r="F66" s="12"/>
      <c r="G66" s="140"/>
      <c r="H66" s="142"/>
    </row>
    <row r="67" spans="1:8" x14ac:dyDescent="0.2">
      <c r="A67" s="1"/>
      <c r="B67" s="1"/>
      <c r="C67" s="2" t="s">
        <v>117</v>
      </c>
      <c r="D67" s="1"/>
      <c r="E67" s="1"/>
      <c r="F67" s="12"/>
      <c r="G67" s="140"/>
      <c r="H67" s="142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1">
        <v>0</v>
      </c>
      <c r="H68" s="142"/>
    </row>
    <row r="69" spans="1:8" x14ac:dyDescent="0.2">
      <c r="A69" s="1"/>
      <c r="B69" s="1"/>
      <c r="C69" s="11"/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118</v>
      </c>
      <c r="D70" s="1"/>
      <c r="E70" s="1"/>
      <c r="F70" s="9">
        <v>0</v>
      </c>
      <c r="G70" s="139">
        <v>0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119</v>
      </c>
      <c r="D72" s="1"/>
      <c r="E72" s="1"/>
      <c r="F72" s="12"/>
      <c r="G72" s="140"/>
      <c r="H72" s="142"/>
    </row>
    <row r="73" spans="1:8" x14ac:dyDescent="0.2">
      <c r="A73" s="1"/>
      <c r="B73" s="1"/>
      <c r="C73" s="2" t="s">
        <v>120</v>
      </c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1">
        <v>0</v>
      </c>
      <c r="H74" s="142"/>
    </row>
    <row r="75" spans="1:8" x14ac:dyDescent="0.2">
      <c r="A75" s="1"/>
      <c r="B75" s="1"/>
      <c r="C75" s="11"/>
      <c r="D75" s="1"/>
      <c r="E75" s="1"/>
      <c r="F75" s="12"/>
      <c r="G75" s="140"/>
      <c r="H75" s="142"/>
    </row>
    <row r="76" spans="1:8" x14ac:dyDescent="0.2">
      <c r="A76" s="1"/>
      <c r="B76" s="1"/>
      <c r="C76" s="2" t="s">
        <v>121</v>
      </c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1">
        <v>0</v>
      </c>
      <c r="H77" s="142"/>
    </row>
    <row r="78" spans="1:8" x14ac:dyDescent="0.2">
      <c r="A78" s="1"/>
      <c r="B78" s="1"/>
      <c r="C78" s="11"/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122</v>
      </c>
      <c r="D79" s="1"/>
      <c r="E79" s="1"/>
      <c r="F79" s="12"/>
      <c r="G79" s="140"/>
      <c r="H79" s="142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1">
        <v>0</v>
      </c>
      <c r="H80" s="142"/>
    </row>
    <row r="81" spans="1:8" x14ac:dyDescent="0.2">
      <c r="A81" s="1"/>
      <c r="B81" s="1"/>
      <c r="C81" s="11"/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123</v>
      </c>
      <c r="D82" s="1"/>
      <c r="E82" s="1"/>
      <c r="F82" s="12"/>
      <c r="G82" s="140"/>
      <c r="H82" s="142"/>
    </row>
    <row r="83" spans="1:8" x14ac:dyDescent="0.2">
      <c r="A83" s="3">
        <v>1</v>
      </c>
      <c r="B83" s="4"/>
      <c r="C83" s="4" t="s">
        <v>124</v>
      </c>
      <c r="D83" s="4"/>
      <c r="E83" s="8"/>
      <c r="F83" s="6">
        <v>450.78909970000001</v>
      </c>
      <c r="G83" s="138">
        <v>3.2022690000000002E-3</v>
      </c>
      <c r="H83" s="152">
        <v>3.3197683930276081</v>
      </c>
    </row>
    <row r="84" spans="1:8" x14ac:dyDescent="0.2">
      <c r="A84" s="1"/>
      <c r="B84" s="1"/>
      <c r="C84" s="2" t="s">
        <v>105</v>
      </c>
      <c r="D84" s="1"/>
      <c r="E84" s="1" t="s">
        <v>106</v>
      </c>
      <c r="F84" s="9">
        <v>450.78909970000001</v>
      </c>
      <c r="G84" s="139">
        <v>3.2022690000000002E-3</v>
      </c>
      <c r="H84" s="142"/>
    </row>
    <row r="85" spans="1:8" x14ac:dyDescent="0.2">
      <c r="A85" s="1"/>
      <c r="B85" s="1"/>
      <c r="C85" s="11"/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125</v>
      </c>
      <c r="D86" s="1"/>
      <c r="E86" s="1"/>
      <c r="F86" s="9">
        <v>450.78909970000001</v>
      </c>
      <c r="G86" s="139">
        <v>3.2022690000000002E-3</v>
      </c>
      <c r="H86" s="142"/>
    </row>
    <row r="87" spans="1:8" x14ac:dyDescent="0.2">
      <c r="A87" s="1"/>
      <c r="B87" s="1"/>
      <c r="C87" s="12"/>
      <c r="D87" s="1"/>
      <c r="E87" s="1"/>
      <c r="F87" s="1"/>
      <c r="G87" s="137"/>
      <c r="H87" s="142"/>
    </row>
    <row r="88" spans="1:8" x14ac:dyDescent="0.2">
      <c r="A88" s="1"/>
      <c r="B88" s="1"/>
      <c r="C88" s="2" t="s">
        <v>126</v>
      </c>
      <c r="D88" s="1"/>
      <c r="E88" s="1"/>
      <c r="F88" s="1"/>
      <c r="G88" s="137"/>
      <c r="H88" s="142"/>
    </row>
    <row r="89" spans="1:8" x14ac:dyDescent="0.2">
      <c r="A89" s="1"/>
      <c r="B89" s="1"/>
      <c r="C89" s="2" t="s">
        <v>127</v>
      </c>
      <c r="D89" s="1"/>
      <c r="E89" s="1"/>
      <c r="F89" s="1"/>
      <c r="G89" s="137"/>
      <c r="H89" s="142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1">
        <v>0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128</v>
      </c>
      <c r="D92" s="1"/>
      <c r="E92" s="1"/>
      <c r="F92" s="1"/>
      <c r="G92" s="137"/>
      <c r="H92" s="142"/>
    </row>
    <row r="93" spans="1:8" x14ac:dyDescent="0.2">
      <c r="A93" s="1"/>
      <c r="B93" s="1"/>
      <c r="C93" s="2" t="s">
        <v>129</v>
      </c>
      <c r="D93" s="1"/>
      <c r="E93" s="1"/>
      <c r="F93" s="1"/>
      <c r="G93" s="137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ht="25.5" x14ac:dyDescent="0.2">
      <c r="A97" s="1"/>
      <c r="B97" s="1"/>
      <c r="C97" s="2" t="s">
        <v>130</v>
      </c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4"/>
      <c r="C100" s="4"/>
      <c r="D100" s="2"/>
      <c r="E100" s="1"/>
      <c r="F100" s="4"/>
      <c r="G100" s="143"/>
      <c r="H100" s="142"/>
    </row>
    <row r="101" spans="1:8" x14ac:dyDescent="0.2">
      <c r="A101" s="8"/>
      <c r="B101" s="4"/>
      <c r="C101" s="4" t="s">
        <v>131</v>
      </c>
      <c r="D101" s="4"/>
      <c r="E101" s="8"/>
      <c r="F101" s="6">
        <v>628.60218003</v>
      </c>
      <c r="G101" s="138">
        <v>4.4653990000000001E-3</v>
      </c>
      <c r="H101" s="142"/>
    </row>
    <row r="102" spans="1:8" x14ac:dyDescent="0.2">
      <c r="A102" s="11"/>
      <c r="B102" s="11"/>
      <c r="C102" s="2" t="s">
        <v>132</v>
      </c>
      <c r="D102" s="15"/>
      <c r="E102" s="15"/>
      <c r="F102" s="9">
        <v>140771.78935723001</v>
      </c>
      <c r="G102" s="139">
        <v>0.99999999899999992</v>
      </c>
      <c r="H102" s="142"/>
    </row>
    <row r="103" spans="1:8" ht="14.1" customHeight="1" x14ac:dyDescent="0.2">
      <c r="A103" s="16"/>
      <c r="B103" s="16"/>
      <c r="C103" s="16"/>
      <c r="D103" s="17"/>
      <c r="E103" s="17"/>
      <c r="F103" s="17"/>
      <c r="G103" s="17"/>
    </row>
    <row r="104" spans="1:8" ht="14.1" customHeight="1" x14ac:dyDescent="0.2">
      <c r="A104" s="18"/>
      <c r="B104" s="205" t="s">
        <v>106</v>
      </c>
      <c r="C104" s="205"/>
      <c r="D104" s="205"/>
      <c r="E104" s="205"/>
      <c r="F104" s="205"/>
      <c r="G104" s="20"/>
    </row>
    <row r="105" spans="1:8" ht="14.1" customHeight="1" x14ac:dyDescent="0.2">
      <c r="A105" s="18"/>
      <c r="B105" s="205" t="s">
        <v>106</v>
      </c>
      <c r="C105" s="205"/>
      <c r="D105" s="205"/>
      <c r="E105" s="205"/>
      <c r="F105" s="205"/>
      <c r="G105" s="20"/>
    </row>
    <row r="106" spans="1:8" ht="14.1" customHeight="1" x14ac:dyDescent="0.2">
      <c r="A106" s="18"/>
      <c r="B106" s="18"/>
      <c r="C106" s="18"/>
      <c r="D106" s="20"/>
      <c r="E106" s="20"/>
      <c r="F106" s="20"/>
      <c r="G106" s="20"/>
    </row>
    <row r="107" spans="1:8" ht="14.1" customHeight="1" x14ac:dyDescent="0.2">
      <c r="A107" s="18"/>
      <c r="B107" s="203" t="s">
        <v>134</v>
      </c>
      <c r="C107" s="204"/>
      <c r="D107" s="12" t="s">
        <v>106</v>
      </c>
      <c r="E107" s="21"/>
      <c r="F107" s="20"/>
      <c r="G107" s="20"/>
    </row>
    <row r="108" spans="1:8" ht="29.1" customHeight="1" x14ac:dyDescent="0.2">
      <c r="A108" s="18"/>
      <c r="B108" s="199" t="s">
        <v>135</v>
      </c>
      <c r="C108" s="200"/>
      <c r="D108" s="2" t="s">
        <v>136</v>
      </c>
      <c r="E108" s="21"/>
      <c r="F108" s="20"/>
      <c r="G108" s="20"/>
    </row>
    <row r="109" spans="1:8" ht="17.100000000000001" customHeight="1" x14ac:dyDescent="0.2">
      <c r="A109" s="18"/>
      <c r="B109" s="199" t="s">
        <v>137</v>
      </c>
      <c r="C109" s="200"/>
      <c r="D109" s="2" t="s">
        <v>136</v>
      </c>
      <c r="E109" s="21"/>
      <c r="F109" s="20"/>
      <c r="G109" s="20"/>
    </row>
    <row r="110" spans="1:8" ht="17.100000000000001" customHeight="1" x14ac:dyDescent="0.2">
      <c r="A110" s="18"/>
      <c r="B110" s="199" t="s">
        <v>138</v>
      </c>
      <c r="C110" s="200"/>
      <c r="D110" s="12" t="s">
        <v>106</v>
      </c>
      <c r="E110" s="21"/>
      <c r="F110" s="20"/>
      <c r="G110" s="20"/>
    </row>
    <row r="111" spans="1:8" ht="24" customHeight="1" x14ac:dyDescent="0.2">
      <c r="A111" s="22"/>
      <c r="B111" s="23" t="s">
        <v>106</v>
      </c>
      <c r="C111" s="23" t="s">
        <v>139</v>
      </c>
      <c r="D111" s="23" t="s">
        <v>140</v>
      </c>
      <c r="E111" s="22"/>
      <c r="F111" s="22"/>
      <c r="G111" s="22"/>
    </row>
    <row r="112" spans="1:8" ht="18" customHeight="1" x14ac:dyDescent="0.2">
      <c r="A112" s="22"/>
      <c r="B112" s="23" t="s">
        <v>141</v>
      </c>
      <c r="C112" s="23" t="s">
        <v>142</v>
      </c>
      <c r="D112" s="23" t="s">
        <v>143</v>
      </c>
      <c r="E112" s="22"/>
      <c r="F112" s="22"/>
      <c r="G112" s="22"/>
    </row>
    <row r="113" spans="1:7" x14ac:dyDescent="0.2">
      <c r="A113" s="22"/>
      <c r="B113" s="4" t="s">
        <v>144</v>
      </c>
      <c r="C113" s="24">
        <v>288.32510000000002</v>
      </c>
      <c r="D113" s="24">
        <v>291.76459999999997</v>
      </c>
      <c r="E113" s="22"/>
      <c r="F113" s="19"/>
      <c r="G113" s="25"/>
    </row>
    <row r="114" spans="1:7" x14ac:dyDescent="0.2">
      <c r="A114" s="22"/>
      <c r="B114" s="4" t="s">
        <v>1019</v>
      </c>
      <c r="C114" s="24">
        <v>19.0504</v>
      </c>
      <c r="D114" s="24">
        <v>19.2776</v>
      </c>
      <c r="E114" s="22"/>
      <c r="F114" s="19"/>
      <c r="G114" s="25"/>
    </row>
    <row r="115" spans="1:7" x14ac:dyDescent="0.2">
      <c r="A115" s="22"/>
      <c r="B115" s="4" t="s">
        <v>406</v>
      </c>
      <c r="C115" s="24">
        <v>294.69319999999999</v>
      </c>
      <c r="D115" s="24">
        <v>298.20839999999998</v>
      </c>
      <c r="E115" s="22"/>
      <c r="F115" s="19"/>
      <c r="G115" s="25"/>
    </row>
    <row r="116" spans="1:7" x14ac:dyDescent="0.2">
      <c r="A116" s="22"/>
      <c r="B116" s="4" t="s">
        <v>145</v>
      </c>
      <c r="C116" s="24">
        <v>270.29660000000001</v>
      </c>
      <c r="D116" s="24">
        <v>273.30180000000001</v>
      </c>
      <c r="E116" s="22"/>
      <c r="F116" s="19"/>
      <c r="G116" s="25"/>
    </row>
    <row r="117" spans="1:7" x14ac:dyDescent="0.2">
      <c r="A117" s="22"/>
      <c r="B117" s="4" t="s">
        <v>1020</v>
      </c>
      <c r="C117" s="24">
        <v>17.649899999999999</v>
      </c>
      <c r="D117" s="24">
        <v>17.8462</v>
      </c>
      <c r="E117" s="22"/>
      <c r="F117" s="19"/>
      <c r="G117" s="25"/>
    </row>
    <row r="118" spans="1:7" ht="14.1" customHeight="1" x14ac:dyDescent="0.2">
      <c r="A118" s="22"/>
      <c r="B118" s="22"/>
      <c r="C118" s="22"/>
      <c r="D118" s="22"/>
      <c r="E118" s="22"/>
      <c r="F118" s="22"/>
      <c r="G118" s="22"/>
    </row>
    <row r="119" spans="1:7" ht="17.100000000000001" customHeight="1" x14ac:dyDescent="0.2">
      <c r="A119" s="22"/>
      <c r="B119" s="199" t="s">
        <v>1021</v>
      </c>
      <c r="C119" s="200"/>
      <c r="D119" s="2" t="s">
        <v>136</v>
      </c>
      <c r="E119" s="22"/>
      <c r="F119" s="22"/>
      <c r="G119" s="22"/>
    </row>
    <row r="120" spans="1:7" ht="18" customHeight="1" x14ac:dyDescent="0.2">
      <c r="A120" s="22"/>
      <c r="B120" s="26"/>
      <c r="C120" s="26"/>
      <c r="D120" s="27"/>
      <c r="E120" s="22"/>
      <c r="F120" s="22"/>
      <c r="G120" s="22"/>
    </row>
    <row r="121" spans="1:7" s="125" customFormat="1" x14ac:dyDescent="0.2">
      <c r="B121" s="201" t="s">
        <v>825</v>
      </c>
      <c r="C121" s="201"/>
      <c r="D121" s="201"/>
      <c r="E121" s="201"/>
      <c r="F121" s="201"/>
    </row>
    <row r="122" spans="1:7" ht="14.1" customHeight="1" x14ac:dyDescent="0.2">
      <c r="A122" s="22"/>
      <c r="B122" s="19"/>
      <c r="C122" s="19"/>
      <c r="D122" s="22"/>
      <c r="E122" s="22"/>
      <c r="F122" s="22"/>
      <c r="G122" s="22"/>
    </row>
    <row r="123" spans="1:7" ht="29.1" customHeight="1" x14ac:dyDescent="0.2">
      <c r="A123" s="22"/>
      <c r="B123" s="199" t="s">
        <v>146</v>
      </c>
      <c r="C123" s="200"/>
      <c r="D123" s="2" t="s">
        <v>136</v>
      </c>
      <c r="E123" s="22"/>
      <c r="F123" s="22"/>
      <c r="G123" s="22"/>
    </row>
    <row r="124" spans="1:7" ht="29.1" customHeight="1" x14ac:dyDescent="0.2">
      <c r="A124" s="22"/>
      <c r="B124" s="199" t="s">
        <v>147</v>
      </c>
      <c r="C124" s="200"/>
      <c r="D124" s="2" t="s">
        <v>136</v>
      </c>
      <c r="E124" s="22"/>
      <c r="F124" s="22"/>
      <c r="G124" s="22"/>
    </row>
    <row r="125" spans="1:7" ht="17.100000000000001" customHeight="1" x14ac:dyDescent="0.2">
      <c r="A125" s="22"/>
      <c r="B125" s="199" t="s">
        <v>148</v>
      </c>
      <c r="C125" s="200"/>
      <c r="D125" s="28">
        <v>0.49042223445480487</v>
      </c>
      <c r="E125" s="22"/>
      <c r="F125" s="19"/>
      <c r="G125" s="25"/>
    </row>
    <row r="126" spans="1:7" ht="17.100000000000001" customHeight="1" x14ac:dyDescent="0.2">
      <c r="A126" s="22"/>
      <c r="B126" s="199" t="s">
        <v>149</v>
      </c>
      <c r="C126" s="200"/>
      <c r="D126" s="2" t="s">
        <v>136</v>
      </c>
      <c r="E126" s="22"/>
      <c r="F126" s="22"/>
      <c r="G126" s="22"/>
    </row>
    <row r="128" spans="1:7" x14ac:dyDescent="0.2">
      <c r="B128" s="164" t="s">
        <v>1051</v>
      </c>
    </row>
    <row r="130" spans="2:6" x14ac:dyDescent="0.2">
      <c r="B130" s="164" t="s">
        <v>1052</v>
      </c>
    </row>
    <row r="131" spans="2:6" x14ac:dyDescent="0.2">
      <c r="B131" s="164"/>
    </row>
    <row r="132" spans="2:6" x14ac:dyDescent="0.2">
      <c r="B132" s="164" t="s">
        <v>1065</v>
      </c>
    </row>
    <row r="133" spans="2:6" ht="63.75" x14ac:dyDescent="0.2">
      <c r="B133" s="165" t="s">
        <v>1056</v>
      </c>
      <c r="C133" s="165" t="s">
        <v>1066</v>
      </c>
      <c r="D133" s="165" t="s">
        <v>1067</v>
      </c>
      <c r="E133" s="165" t="s">
        <v>1068</v>
      </c>
      <c r="F133" s="165" t="s">
        <v>1069</v>
      </c>
    </row>
    <row r="134" spans="2:6" x14ac:dyDescent="0.2">
      <c r="B134" s="166">
        <v>150</v>
      </c>
      <c r="C134" s="166">
        <v>150</v>
      </c>
      <c r="D134" s="174">
        <v>1264.2937999999999</v>
      </c>
      <c r="E134" s="174">
        <v>1229.8857</v>
      </c>
      <c r="F134" s="170">
        <v>-34.408099999999877</v>
      </c>
    </row>
    <row r="135" spans="2:6" x14ac:dyDescent="0.2">
      <c r="B135" s="175"/>
      <c r="C135" s="175"/>
      <c r="D135" s="176"/>
      <c r="E135" s="176"/>
      <c r="F135" s="177"/>
    </row>
    <row r="136" spans="2:6" x14ac:dyDescent="0.2">
      <c r="B136" s="164" t="s">
        <v>1054</v>
      </c>
    </row>
    <row r="137" spans="2:6" x14ac:dyDescent="0.2">
      <c r="B137" s="164"/>
    </row>
    <row r="138" spans="2:6" x14ac:dyDescent="0.2">
      <c r="B138" s="164" t="s">
        <v>1055</v>
      </c>
    </row>
    <row r="139" spans="2:6" ht="63.75" x14ac:dyDescent="0.2">
      <c r="B139" s="165" t="s">
        <v>1056</v>
      </c>
      <c r="C139" s="165" t="s">
        <v>1066</v>
      </c>
      <c r="D139" s="165" t="s">
        <v>1067</v>
      </c>
      <c r="E139" s="165" t="s">
        <v>1072</v>
      </c>
      <c r="F139" s="165" t="s">
        <v>1071</v>
      </c>
    </row>
    <row r="140" spans="2:6" x14ac:dyDescent="0.2">
      <c r="B140" s="178">
        <v>250</v>
      </c>
      <c r="C140" s="178">
        <v>250</v>
      </c>
      <c r="D140" s="171">
        <v>1517.3780769</v>
      </c>
      <c r="E140" s="171">
        <v>1594.5</v>
      </c>
      <c r="F140" s="172">
        <v>77.121923100000004</v>
      </c>
    </row>
    <row r="141" spans="2:6" x14ac:dyDescent="0.2">
      <c r="B141" s="164"/>
    </row>
    <row r="142" spans="2:6" x14ac:dyDescent="0.2">
      <c r="B142" s="164" t="s">
        <v>1057</v>
      </c>
    </row>
    <row r="143" spans="2:6" x14ac:dyDescent="0.2">
      <c r="B143" s="164"/>
    </row>
    <row r="144" spans="2:6" x14ac:dyDescent="0.2">
      <c r="B144" s="164" t="s">
        <v>1058</v>
      </c>
    </row>
    <row r="145" spans="2:2" x14ac:dyDescent="0.2">
      <c r="B145" s="164"/>
    </row>
    <row r="146" spans="2:2" x14ac:dyDescent="0.2">
      <c r="B146" s="164" t="s">
        <v>1059</v>
      </c>
    </row>
    <row r="147" spans="2:2" x14ac:dyDescent="0.2">
      <c r="B147" s="164"/>
    </row>
    <row r="148" spans="2:2" x14ac:dyDescent="0.2">
      <c r="B148" s="164" t="s">
        <v>1060</v>
      </c>
    </row>
    <row r="149" spans="2:2" x14ac:dyDescent="0.2">
      <c r="B149" s="164"/>
    </row>
    <row r="150" spans="2:2" x14ac:dyDescent="0.2">
      <c r="B150" s="164" t="s">
        <v>1061</v>
      </c>
    </row>
    <row r="151" spans="2:2" x14ac:dyDescent="0.2">
      <c r="B151" s="164"/>
    </row>
    <row r="152" spans="2:2" x14ac:dyDescent="0.2">
      <c r="B152" s="164" t="s">
        <v>1062</v>
      </c>
    </row>
    <row r="154" spans="2:2" x14ac:dyDescent="0.2">
      <c r="B154" s="164" t="s">
        <v>1063</v>
      </c>
    </row>
    <row r="156" spans="2:2" x14ac:dyDescent="0.2">
      <c r="B156" s="164" t="s">
        <v>1064</v>
      </c>
    </row>
  </sheetData>
  <mergeCells count="16">
    <mergeCell ref="J2:N2"/>
    <mergeCell ref="B107:C107"/>
    <mergeCell ref="B104:F104"/>
    <mergeCell ref="B105:F105"/>
    <mergeCell ref="A1:H1"/>
    <mergeCell ref="A2:H2"/>
    <mergeCell ref="A3:H3"/>
    <mergeCell ref="B125:C125"/>
    <mergeCell ref="B126:C126"/>
    <mergeCell ref="B108:C108"/>
    <mergeCell ref="B109:C109"/>
    <mergeCell ref="B110:C110"/>
    <mergeCell ref="B119:C119"/>
    <mergeCell ref="B123:C123"/>
    <mergeCell ref="B124:C124"/>
    <mergeCell ref="B121:F12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N16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499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154</v>
      </c>
      <c r="C7" s="4" t="s">
        <v>155</v>
      </c>
      <c r="D7" s="4" t="s">
        <v>27</v>
      </c>
      <c r="E7" s="5">
        <v>14673</v>
      </c>
      <c r="F7" s="6">
        <v>136.03338299999999</v>
      </c>
      <c r="G7" s="138">
        <v>3.1263732000000002E-2</v>
      </c>
      <c r="H7" s="142"/>
    </row>
    <row r="8" spans="1:14" x14ac:dyDescent="0.2">
      <c r="A8" s="3">
        <v>2</v>
      </c>
      <c r="B8" s="4" t="s">
        <v>165</v>
      </c>
      <c r="C8" s="4" t="s">
        <v>166</v>
      </c>
      <c r="D8" s="4" t="s">
        <v>51</v>
      </c>
      <c r="E8" s="5">
        <v>28111</v>
      </c>
      <c r="F8" s="6">
        <v>132.86664149999999</v>
      </c>
      <c r="G8" s="138">
        <v>3.0535939000000002E-2</v>
      </c>
      <c r="H8" s="142"/>
    </row>
    <row r="9" spans="1:14" x14ac:dyDescent="0.2">
      <c r="A9" s="3">
        <v>3</v>
      </c>
      <c r="B9" s="4" t="s">
        <v>44</v>
      </c>
      <c r="C9" s="4" t="s">
        <v>45</v>
      </c>
      <c r="D9" s="4" t="s">
        <v>27</v>
      </c>
      <c r="E9" s="5">
        <v>10772</v>
      </c>
      <c r="F9" s="6">
        <v>131.547664</v>
      </c>
      <c r="G9" s="138">
        <v>3.0232806000000001E-2</v>
      </c>
      <c r="H9" s="142"/>
    </row>
    <row r="10" spans="1:14" x14ac:dyDescent="0.2">
      <c r="A10" s="3">
        <v>4</v>
      </c>
      <c r="B10" s="4" t="s">
        <v>160</v>
      </c>
      <c r="C10" s="4" t="s">
        <v>161</v>
      </c>
      <c r="D10" s="4" t="s">
        <v>27</v>
      </c>
      <c r="E10" s="5">
        <v>16187</v>
      </c>
      <c r="F10" s="6">
        <v>129.026577</v>
      </c>
      <c r="G10" s="138">
        <v>2.96534E-2</v>
      </c>
      <c r="H10" s="142"/>
    </row>
    <row r="11" spans="1:14" x14ac:dyDescent="0.2">
      <c r="A11" s="3">
        <v>5</v>
      </c>
      <c r="B11" s="4" t="s">
        <v>151</v>
      </c>
      <c r="C11" s="4" t="s">
        <v>152</v>
      </c>
      <c r="D11" s="4" t="s">
        <v>153</v>
      </c>
      <c r="E11" s="5">
        <v>3284</v>
      </c>
      <c r="F11" s="6">
        <v>121.00718999999999</v>
      </c>
      <c r="G11" s="138">
        <v>2.7810352999999999E-2</v>
      </c>
      <c r="H11" s="142"/>
    </row>
    <row r="12" spans="1:14" x14ac:dyDescent="0.2">
      <c r="A12" s="3">
        <v>6</v>
      </c>
      <c r="B12" s="4" t="s">
        <v>158</v>
      </c>
      <c r="C12" s="4" t="s">
        <v>159</v>
      </c>
      <c r="D12" s="4" t="s">
        <v>80</v>
      </c>
      <c r="E12" s="5">
        <v>95918</v>
      </c>
      <c r="F12" s="6">
        <v>116.06077999999999</v>
      </c>
      <c r="G12" s="138">
        <v>2.6673549000000001E-2</v>
      </c>
      <c r="H12" s="142"/>
    </row>
    <row r="13" spans="1:14" x14ac:dyDescent="0.2">
      <c r="A13" s="3">
        <v>7</v>
      </c>
      <c r="B13" s="4" t="s">
        <v>302</v>
      </c>
      <c r="C13" s="4" t="s">
        <v>303</v>
      </c>
      <c r="D13" s="4" t="s">
        <v>27</v>
      </c>
      <c r="E13" s="5">
        <v>17031</v>
      </c>
      <c r="F13" s="6">
        <v>115.912986</v>
      </c>
      <c r="G13" s="138">
        <v>2.6639581999999998E-2</v>
      </c>
      <c r="H13" s="142"/>
    </row>
    <row r="14" spans="1:14" x14ac:dyDescent="0.2">
      <c r="A14" s="3">
        <v>8</v>
      </c>
      <c r="B14" s="4" t="s">
        <v>456</v>
      </c>
      <c r="C14" s="4" t="s">
        <v>457</v>
      </c>
      <c r="D14" s="4" t="s">
        <v>51</v>
      </c>
      <c r="E14" s="5">
        <v>33367</v>
      </c>
      <c r="F14" s="6">
        <v>110.72838950000001</v>
      </c>
      <c r="G14" s="138">
        <v>2.5448037999999999E-2</v>
      </c>
      <c r="H14" s="142"/>
    </row>
    <row r="15" spans="1:14" x14ac:dyDescent="0.2">
      <c r="A15" s="3">
        <v>9</v>
      </c>
      <c r="B15" s="4" t="s">
        <v>25</v>
      </c>
      <c r="C15" s="4" t="s">
        <v>26</v>
      </c>
      <c r="D15" s="4" t="s">
        <v>27</v>
      </c>
      <c r="E15" s="5">
        <v>7917</v>
      </c>
      <c r="F15" s="6">
        <v>108.6727005</v>
      </c>
      <c r="G15" s="138">
        <v>2.4975590999999998E-2</v>
      </c>
      <c r="H15" s="142"/>
    </row>
    <row r="16" spans="1:14" ht="15" x14ac:dyDescent="0.2">
      <c r="A16" s="3">
        <v>10</v>
      </c>
      <c r="B16" s="4" t="s">
        <v>474</v>
      </c>
      <c r="C16" s="4" t="s">
        <v>475</v>
      </c>
      <c r="D16" s="4" t="s">
        <v>207</v>
      </c>
      <c r="E16" s="5">
        <v>16548</v>
      </c>
      <c r="F16" s="6">
        <v>99.858906000000005</v>
      </c>
      <c r="G16" s="138">
        <v>2.294997E-2</v>
      </c>
      <c r="H16" s="142"/>
      <c r="J16" s="163" t="s">
        <v>1035</v>
      </c>
    </row>
    <row r="17" spans="1:8" x14ac:dyDescent="0.2">
      <c r="A17" s="3">
        <v>11</v>
      </c>
      <c r="B17" s="4" t="s">
        <v>169</v>
      </c>
      <c r="C17" s="4" t="s">
        <v>170</v>
      </c>
      <c r="D17" s="4" t="s">
        <v>164</v>
      </c>
      <c r="E17" s="5">
        <v>2635</v>
      </c>
      <c r="F17" s="6">
        <v>97.924504999999996</v>
      </c>
      <c r="G17" s="138">
        <v>2.2505397999999999E-2</v>
      </c>
      <c r="H17" s="142"/>
    </row>
    <row r="18" spans="1:8" x14ac:dyDescent="0.2">
      <c r="A18" s="3">
        <v>12</v>
      </c>
      <c r="B18" s="4" t="s">
        <v>162</v>
      </c>
      <c r="C18" s="4" t="s">
        <v>163</v>
      </c>
      <c r="D18" s="4" t="s">
        <v>164</v>
      </c>
      <c r="E18" s="5">
        <v>25698</v>
      </c>
      <c r="F18" s="6">
        <v>87.822914999999995</v>
      </c>
      <c r="G18" s="138">
        <v>2.0183810999999999E-2</v>
      </c>
      <c r="H18" s="142"/>
    </row>
    <row r="19" spans="1:8" x14ac:dyDescent="0.2">
      <c r="A19" s="3">
        <v>13</v>
      </c>
      <c r="B19" s="4" t="s">
        <v>52</v>
      </c>
      <c r="C19" s="4" t="s">
        <v>53</v>
      </c>
      <c r="D19" s="4" t="s">
        <v>51</v>
      </c>
      <c r="E19" s="5">
        <v>27627</v>
      </c>
      <c r="F19" s="6">
        <v>85.547005499999997</v>
      </c>
      <c r="G19" s="138">
        <v>1.9660752E-2</v>
      </c>
      <c r="H19" s="142"/>
    </row>
    <row r="20" spans="1:8" x14ac:dyDescent="0.2">
      <c r="A20" s="3">
        <v>14</v>
      </c>
      <c r="B20" s="4" t="s">
        <v>374</v>
      </c>
      <c r="C20" s="4" t="s">
        <v>375</v>
      </c>
      <c r="D20" s="4" t="s">
        <v>173</v>
      </c>
      <c r="E20" s="5">
        <v>2466</v>
      </c>
      <c r="F20" s="6">
        <v>84.375422999999998</v>
      </c>
      <c r="G20" s="138">
        <v>1.9391495000000002E-2</v>
      </c>
      <c r="H20" s="142"/>
    </row>
    <row r="21" spans="1:8" ht="25.5" x14ac:dyDescent="0.2">
      <c r="A21" s="3">
        <v>15</v>
      </c>
      <c r="B21" s="4" t="s">
        <v>217</v>
      </c>
      <c r="C21" s="4" t="s">
        <v>218</v>
      </c>
      <c r="D21" s="4" t="s">
        <v>90</v>
      </c>
      <c r="E21" s="5">
        <v>18151</v>
      </c>
      <c r="F21" s="6">
        <v>82.868390500000004</v>
      </c>
      <c r="G21" s="138">
        <v>1.9045142000000001E-2</v>
      </c>
      <c r="H21" s="142"/>
    </row>
    <row r="22" spans="1:8" ht="25.5" x14ac:dyDescent="0.2">
      <c r="A22" s="3">
        <v>16</v>
      </c>
      <c r="B22" s="4" t="s">
        <v>193</v>
      </c>
      <c r="C22" s="4" t="s">
        <v>194</v>
      </c>
      <c r="D22" s="4" t="s">
        <v>37</v>
      </c>
      <c r="E22" s="5">
        <v>66888</v>
      </c>
      <c r="F22" s="6">
        <v>82.238795999999994</v>
      </c>
      <c r="G22" s="138">
        <v>1.8900446000000001E-2</v>
      </c>
      <c r="H22" s="142"/>
    </row>
    <row r="23" spans="1:8" ht="25.5" x14ac:dyDescent="0.2">
      <c r="A23" s="3">
        <v>17</v>
      </c>
      <c r="B23" s="4" t="s">
        <v>30</v>
      </c>
      <c r="C23" s="4" t="s">
        <v>31</v>
      </c>
      <c r="D23" s="4" t="s">
        <v>1023</v>
      </c>
      <c r="E23" s="5">
        <v>2520</v>
      </c>
      <c r="F23" s="6">
        <v>78.315299999999993</v>
      </c>
      <c r="G23" s="138">
        <v>1.7998732999999999E-2</v>
      </c>
      <c r="H23" s="142"/>
    </row>
    <row r="24" spans="1:8" x14ac:dyDescent="0.2">
      <c r="A24" s="3">
        <v>18</v>
      </c>
      <c r="B24" s="4" t="s">
        <v>221</v>
      </c>
      <c r="C24" s="4" t="s">
        <v>222</v>
      </c>
      <c r="D24" s="4" t="s">
        <v>207</v>
      </c>
      <c r="E24" s="5">
        <v>12470</v>
      </c>
      <c r="F24" s="6">
        <v>76.871314999999996</v>
      </c>
      <c r="G24" s="138">
        <v>1.7666871000000001E-2</v>
      </c>
      <c r="H24" s="142"/>
    </row>
    <row r="25" spans="1:8" x14ac:dyDescent="0.2">
      <c r="A25" s="3">
        <v>19</v>
      </c>
      <c r="B25" s="4" t="s">
        <v>176</v>
      </c>
      <c r="C25" s="4" t="s">
        <v>177</v>
      </c>
      <c r="D25" s="4" t="s">
        <v>1026</v>
      </c>
      <c r="E25" s="5">
        <v>19506</v>
      </c>
      <c r="F25" s="6">
        <v>76.707345000000004</v>
      </c>
      <c r="G25" s="138">
        <v>1.7629186000000002E-2</v>
      </c>
      <c r="H25" s="142"/>
    </row>
    <row r="26" spans="1:8" x14ac:dyDescent="0.2">
      <c r="A26" s="3">
        <v>20</v>
      </c>
      <c r="B26" s="4" t="s">
        <v>188</v>
      </c>
      <c r="C26" s="4" t="s">
        <v>189</v>
      </c>
      <c r="D26" s="4" t="s">
        <v>190</v>
      </c>
      <c r="E26" s="5">
        <v>7639</v>
      </c>
      <c r="F26" s="6">
        <v>76.072981499999997</v>
      </c>
      <c r="G26" s="138">
        <v>1.7483393999999999E-2</v>
      </c>
      <c r="H26" s="142"/>
    </row>
    <row r="27" spans="1:8" x14ac:dyDescent="0.2">
      <c r="A27" s="3">
        <v>21</v>
      </c>
      <c r="B27" s="4" t="s">
        <v>229</v>
      </c>
      <c r="C27" s="4" t="s">
        <v>230</v>
      </c>
      <c r="D27" s="4" t="s">
        <v>51</v>
      </c>
      <c r="E27" s="5">
        <v>8499</v>
      </c>
      <c r="F27" s="6">
        <v>73.856309999999993</v>
      </c>
      <c r="G27" s="138">
        <v>1.6973950000000002E-2</v>
      </c>
      <c r="H27" s="142"/>
    </row>
    <row r="28" spans="1:8" x14ac:dyDescent="0.2">
      <c r="A28" s="3">
        <v>22</v>
      </c>
      <c r="B28" s="4" t="s">
        <v>201</v>
      </c>
      <c r="C28" s="4" t="s">
        <v>202</v>
      </c>
      <c r="D28" s="4" t="s">
        <v>80</v>
      </c>
      <c r="E28" s="5">
        <v>10566</v>
      </c>
      <c r="F28" s="6">
        <v>72.567288000000005</v>
      </c>
      <c r="G28" s="138">
        <v>1.6677701999999999E-2</v>
      </c>
      <c r="H28" s="142"/>
    </row>
    <row r="29" spans="1:8" x14ac:dyDescent="0.2">
      <c r="A29" s="3">
        <v>23</v>
      </c>
      <c r="B29" s="4" t="s">
        <v>203</v>
      </c>
      <c r="C29" s="4" t="s">
        <v>204</v>
      </c>
      <c r="D29" s="4" t="s">
        <v>80</v>
      </c>
      <c r="E29" s="5">
        <v>12129</v>
      </c>
      <c r="F29" s="6">
        <v>71.573228999999998</v>
      </c>
      <c r="G29" s="138">
        <v>1.6449242999999999E-2</v>
      </c>
      <c r="H29" s="142"/>
    </row>
    <row r="30" spans="1:8" x14ac:dyDescent="0.2">
      <c r="A30" s="3">
        <v>24</v>
      </c>
      <c r="B30" s="4" t="s">
        <v>227</v>
      </c>
      <c r="C30" s="4" t="s">
        <v>228</v>
      </c>
      <c r="D30" s="4" t="s">
        <v>66</v>
      </c>
      <c r="E30" s="5">
        <v>72425</v>
      </c>
      <c r="F30" s="6">
        <v>71.302412500000003</v>
      </c>
      <c r="G30" s="138">
        <v>1.6387003000000001E-2</v>
      </c>
      <c r="H30" s="142"/>
    </row>
    <row r="31" spans="1:8" x14ac:dyDescent="0.2">
      <c r="A31" s="3">
        <v>25</v>
      </c>
      <c r="B31" s="4" t="s">
        <v>179</v>
      </c>
      <c r="C31" s="4" t="s">
        <v>180</v>
      </c>
      <c r="D31" s="4" t="s">
        <v>181</v>
      </c>
      <c r="E31" s="5">
        <v>28774</v>
      </c>
      <c r="F31" s="6">
        <v>71.186875999999998</v>
      </c>
      <c r="G31" s="138">
        <v>1.6360449999999999E-2</v>
      </c>
      <c r="H31" s="142"/>
    </row>
    <row r="32" spans="1:8" x14ac:dyDescent="0.2">
      <c r="A32" s="3">
        <v>26</v>
      </c>
      <c r="B32" s="4" t="s">
        <v>197</v>
      </c>
      <c r="C32" s="4" t="s">
        <v>198</v>
      </c>
      <c r="D32" s="4" t="s">
        <v>51</v>
      </c>
      <c r="E32" s="5">
        <v>6780</v>
      </c>
      <c r="F32" s="6">
        <v>69.539069999999995</v>
      </c>
      <c r="G32" s="138">
        <v>1.5981744999999999E-2</v>
      </c>
      <c r="H32" s="142"/>
    </row>
    <row r="33" spans="1:8" x14ac:dyDescent="0.2">
      <c r="A33" s="3">
        <v>27</v>
      </c>
      <c r="B33" s="4" t="s">
        <v>223</v>
      </c>
      <c r="C33" s="4" t="s">
        <v>224</v>
      </c>
      <c r="D33" s="4" t="s">
        <v>66</v>
      </c>
      <c r="E33" s="5">
        <v>6936</v>
      </c>
      <c r="F33" s="6">
        <v>66.478092000000004</v>
      </c>
      <c r="G33" s="138">
        <v>1.5278259000000001E-2</v>
      </c>
      <c r="H33" s="142"/>
    </row>
    <row r="34" spans="1:8" x14ac:dyDescent="0.2">
      <c r="A34" s="3">
        <v>28</v>
      </c>
      <c r="B34" s="4" t="s">
        <v>239</v>
      </c>
      <c r="C34" s="4" t="s">
        <v>240</v>
      </c>
      <c r="D34" s="4" t="s">
        <v>207</v>
      </c>
      <c r="E34" s="5">
        <v>3496</v>
      </c>
      <c r="F34" s="6">
        <v>65.268572000000006</v>
      </c>
      <c r="G34" s="138">
        <v>1.5000282E-2</v>
      </c>
      <c r="H34" s="142"/>
    </row>
    <row r="35" spans="1:8" x14ac:dyDescent="0.2">
      <c r="A35" s="3">
        <v>29</v>
      </c>
      <c r="B35" s="4" t="s">
        <v>199</v>
      </c>
      <c r="C35" s="4" t="s">
        <v>200</v>
      </c>
      <c r="D35" s="4" t="s">
        <v>164</v>
      </c>
      <c r="E35" s="5">
        <v>6040</v>
      </c>
      <c r="F35" s="6">
        <v>64.190100000000001</v>
      </c>
      <c r="G35" s="138">
        <v>1.4752423000000001E-2</v>
      </c>
      <c r="H35" s="142"/>
    </row>
    <row r="36" spans="1:8" x14ac:dyDescent="0.2">
      <c r="A36" s="3">
        <v>30</v>
      </c>
      <c r="B36" s="4" t="s">
        <v>214</v>
      </c>
      <c r="C36" s="4" t="s">
        <v>215</v>
      </c>
      <c r="D36" s="4" t="s">
        <v>216</v>
      </c>
      <c r="E36" s="5">
        <v>23472</v>
      </c>
      <c r="F36" s="6">
        <v>63.925992000000001</v>
      </c>
      <c r="G36" s="138">
        <v>1.4691724999999999E-2</v>
      </c>
      <c r="H36" s="142"/>
    </row>
    <row r="37" spans="1:8" x14ac:dyDescent="0.2">
      <c r="A37" s="3">
        <v>31</v>
      </c>
      <c r="B37" s="4" t="s">
        <v>246</v>
      </c>
      <c r="C37" s="4" t="s">
        <v>247</v>
      </c>
      <c r="D37" s="4" t="s">
        <v>80</v>
      </c>
      <c r="E37" s="5">
        <v>114515</v>
      </c>
      <c r="F37" s="6">
        <v>62.9259925</v>
      </c>
      <c r="G37" s="138">
        <v>1.4461900999999999E-2</v>
      </c>
      <c r="H37" s="142"/>
    </row>
    <row r="38" spans="1:8" x14ac:dyDescent="0.2">
      <c r="A38" s="3">
        <v>32</v>
      </c>
      <c r="B38" s="4" t="s">
        <v>296</v>
      </c>
      <c r="C38" s="4" t="s">
        <v>297</v>
      </c>
      <c r="D38" s="4" t="s">
        <v>27</v>
      </c>
      <c r="E38" s="5">
        <v>5065</v>
      </c>
      <c r="F38" s="6">
        <v>61.975340000000003</v>
      </c>
      <c r="G38" s="138">
        <v>1.4243419E-2</v>
      </c>
      <c r="H38" s="142"/>
    </row>
    <row r="39" spans="1:8" x14ac:dyDescent="0.2">
      <c r="A39" s="3">
        <v>33</v>
      </c>
      <c r="B39" s="4" t="s">
        <v>205</v>
      </c>
      <c r="C39" s="4" t="s">
        <v>206</v>
      </c>
      <c r="D39" s="4" t="s">
        <v>207</v>
      </c>
      <c r="E39" s="5">
        <v>13550</v>
      </c>
      <c r="F39" s="6">
        <v>60.873375000000003</v>
      </c>
      <c r="G39" s="138">
        <v>1.3990160999999999E-2</v>
      </c>
      <c r="H39" s="142"/>
    </row>
    <row r="40" spans="1:8" x14ac:dyDescent="0.2">
      <c r="A40" s="3">
        <v>34</v>
      </c>
      <c r="B40" s="4" t="s">
        <v>225</v>
      </c>
      <c r="C40" s="4" t="s">
        <v>226</v>
      </c>
      <c r="D40" s="4" t="s">
        <v>1028</v>
      </c>
      <c r="E40" s="5">
        <v>10548</v>
      </c>
      <c r="F40" s="6">
        <v>59.733324000000003</v>
      </c>
      <c r="G40" s="138">
        <v>1.372815E-2</v>
      </c>
      <c r="H40" s="142"/>
    </row>
    <row r="41" spans="1:8" x14ac:dyDescent="0.2">
      <c r="A41" s="3">
        <v>35</v>
      </c>
      <c r="B41" s="4" t="s">
        <v>210</v>
      </c>
      <c r="C41" s="4" t="s">
        <v>211</v>
      </c>
      <c r="D41" s="4" t="s">
        <v>34</v>
      </c>
      <c r="E41" s="5">
        <v>14751</v>
      </c>
      <c r="F41" s="6">
        <v>59.623542</v>
      </c>
      <c r="G41" s="138">
        <v>1.3702918999999999E-2</v>
      </c>
      <c r="H41" s="142"/>
    </row>
    <row r="42" spans="1:8" ht="25.5" x14ac:dyDescent="0.2">
      <c r="A42" s="3">
        <v>36</v>
      </c>
      <c r="B42" s="4" t="s">
        <v>458</v>
      </c>
      <c r="C42" s="4" t="s">
        <v>459</v>
      </c>
      <c r="D42" s="4" t="s">
        <v>37</v>
      </c>
      <c r="E42" s="5">
        <v>4269</v>
      </c>
      <c r="F42" s="6">
        <v>57.608020500000002</v>
      </c>
      <c r="G42" s="138">
        <v>1.3239704E-2</v>
      </c>
      <c r="H42" s="142"/>
    </row>
    <row r="43" spans="1:8" x14ac:dyDescent="0.2">
      <c r="A43" s="3">
        <v>37</v>
      </c>
      <c r="B43" s="4" t="s">
        <v>212</v>
      </c>
      <c r="C43" s="4" t="s">
        <v>213</v>
      </c>
      <c r="D43" s="4" t="s">
        <v>1027</v>
      </c>
      <c r="E43" s="5">
        <v>6263</v>
      </c>
      <c r="F43" s="6">
        <v>57.381605999999998</v>
      </c>
      <c r="G43" s="138">
        <v>1.3187668E-2</v>
      </c>
      <c r="H43" s="142"/>
    </row>
    <row r="44" spans="1:8" x14ac:dyDescent="0.2">
      <c r="A44" s="3">
        <v>38</v>
      </c>
      <c r="B44" s="4" t="s">
        <v>464</v>
      </c>
      <c r="C44" s="4" t="s">
        <v>465</v>
      </c>
      <c r="D44" s="4" t="s">
        <v>48</v>
      </c>
      <c r="E44" s="5">
        <v>13487</v>
      </c>
      <c r="F44" s="6">
        <v>56.604939000000002</v>
      </c>
      <c r="G44" s="138">
        <v>1.3009171999999999E-2</v>
      </c>
      <c r="H44" s="142"/>
    </row>
    <row r="45" spans="1:8" x14ac:dyDescent="0.2">
      <c r="A45" s="3">
        <v>39</v>
      </c>
      <c r="B45" s="4" t="s">
        <v>257</v>
      </c>
      <c r="C45" s="4" t="s">
        <v>258</v>
      </c>
      <c r="D45" s="4" t="s">
        <v>173</v>
      </c>
      <c r="E45" s="5">
        <v>15992</v>
      </c>
      <c r="F45" s="6">
        <v>55.972000000000001</v>
      </c>
      <c r="G45" s="138">
        <v>1.2863707E-2</v>
      </c>
      <c r="H45" s="142"/>
    </row>
    <row r="46" spans="1:8" ht="25.5" x14ac:dyDescent="0.2">
      <c r="A46" s="3">
        <v>40</v>
      </c>
      <c r="B46" s="4" t="s">
        <v>244</v>
      </c>
      <c r="C46" s="4" t="s">
        <v>245</v>
      </c>
      <c r="D46" s="4" t="s">
        <v>1029</v>
      </c>
      <c r="E46" s="5">
        <v>49629</v>
      </c>
      <c r="F46" s="6">
        <v>55.410778499999999</v>
      </c>
      <c r="G46" s="138">
        <v>1.2734725000000001E-2</v>
      </c>
      <c r="H46" s="142"/>
    </row>
    <row r="47" spans="1:8" x14ac:dyDescent="0.2">
      <c r="A47" s="3">
        <v>41</v>
      </c>
      <c r="B47" s="4" t="s">
        <v>74</v>
      </c>
      <c r="C47" s="4" t="s">
        <v>75</v>
      </c>
      <c r="D47" s="4" t="s">
        <v>66</v>
      </c>
      <c r="E47" s="5">
        <v>13250</v>
      </c>
      <c r="F47" s="6">
        <v>54.325000000000003</v>
      </c>
      <c r="G47" s="138">
        <v>1.2485187E-2</v>
      </c>
      <c r="H47" s="142"/>
    </row>
    <row r="48" spans="1:8" x14ac:dyDescent="0.2">
      <c r="A48" s="3">
        <v>42</v>
      </c>
      <c r="B48" s="4" t="s">
        <v>208</v>
      </c>
      <c r="C48" s="4" t="s">
        <v>209</v>
      </c>
      <c r="D48" s="4" t="s">
        <v>153</v>
      </c>
      <c r="E48" s="5">
        <v>3691</v>
      </c>
      <c r="F48" s="6">
        <v>53.565637500000001</v>
      </c>
      <c r="G48" s="138">
        <v>1.2310667000000001E-2</v>
      </c>
      <c r="H48" s="142"/>
    </row>
    <row r="49" spans="1:8" ht="25.5" x14ac:dyDescent="0.2">
      <c r="A49" s="3">
        <v>43</v>
      </c>
      <c r="B49" s="4" t="s">
        <v>255</v>
      </c>
      <c r="C49" s="4" t="s">
        <v>256</v>
      </c>
      <c r="D49" s="4" t="s">
        <v>90</v>
      </c>
      <c r="E49" s="5">
        <v>13540</v>
      </c>
      <c r="F49" s="6">
        <v>52.068069999999999</v>
      </c>
      <c r="G49" s="138">
        <v>1.196649E-2</v>
      </c>
      <c r="H49" s="142"/>
    </row>
    <row r="50" spans="1:8" ht="25.5" x14ac:dyDescent="0.2">
      <c r="A50" s="3">
        <v>44</v>
      </c>
      <c r="B50" s="4" t="s">
        <v>252</v>
      </c>
      <c r="C50" s="4" t="s">
        <v>253</v>
      </c>
      <c r="D50" s="4" t="s">
        <v>90</v>
      </c>
      <c r="E50" s="5">
        <v>12063</v>
      </c>
      <c r="F50" s="6">
        <v>50.749040999999998</v>
      </c>
      <c r="G50" s="138">
        <v>1.1663346E-2</v>
      </c>
      <c r="H50" s="142"/>
    </row>
    <row r="51" spans="1:8" x14ac:dyDescent="0.2">
      <c r="A51" s="3">
        <v>45</v>
      </c>
      <c r="B51" s="4" t="s">
        <v>460</v>
      </c>
      <c r="C51" s="4" t="s">
        <v>461</v>
      </c>
      <c r="D51" s="4" t="s">
        <v>27</v>
      </c>
      <c r="E51" s="5">
        <v>5485</v>
      </c>
      <c r="F51" s="6">
        <v>48.682117499999997</v>
      </c>
      <c r="G51" s="138">
        <v>1.1188317E-2</v>
      </c>
      <c r="H51" s="142"/>
    </row>
    <row r="52" spans="1:8" x14ac:dyDescent="0.2">
      <c r="A52" s="3">
        <v>46</v>
      </c>
      <c r="B52" s="4" t="s">
        <v>277</v>
      </c>
      <c r="C52" s="4" t="s">
        <v>278</v>
      </c>
      <c r="D52" s="4" t="s">
        <v>279</v>
      </c>
      <c r="E52" s="5">
        <v>20978</v>
      </c>
      <c r="F52" s="6">
        <v>48.627003999999999</v>
      </c>
      <c r="G52" s="138">
        <v>1.1175651E-2</v>
      </c>
      <c r="H52" s="142"/>
    </row>
    <row r="53" spans="1:8" ht="25.5" x14ac:dyDescent="0.2">
      <c r="A53" s="3">
        <v>47</v>
      </c>
      <c r="B53" s="4" t="s">
        <v>178</v>
      </c>
      <c r="C53" s="4" t="s">
        <v>933</v>
      </c>
      <c r="D53" s="4" t="s">
        <v>37</v>
      </c>
      <c r="E53" s="5">
        <v>17679</v>
      </c>
      <c r="F53" s="6">
        <v>45.638338500000003</v>
      </c>
      <c r="G53" s="138">
        <v>1.0488783999999999E-2</v>
      </c>
      <c r="H53" s="142"/>
    </row>
    <row r="54" spans="1:8" ht="25.5" x14ac:dyDescent="0.2">
      <c r="A54" s="3">
        <v>48</v>
      </c>
      <c r="B54" s="4" t="s">
        <v>191</v>
      </c>
      <c r="C54" s="4" t="s">
        <v>192</v>
      </c>
      <c r="D54" s="4" t="s">
        <v>1023</v>
      </c>
      <c r="E54" s="5">
        <v>17243</v>
      </c>
      <c r="F54" s="6">
        <v>44.280023999999997</v>
      </c>
      <c r="G54" s="138">
        <v>1.0176611E-2</v>
      </c>
      <c r="H54" s="142"/>
    </row>
    <row r="55" spans="1:8" x14ac:dyDescent="0.2">
      <c r="A55" s="3">
        <v>49</v>
      </c>
      <c r="B55" s="4" t="s">
        <v>261</v>
      </c>
      <c r="C55" s="4" t="s">
        <v>262</v>
      </c>
      <c r="D55" s="4" t="s">
        <v>51</v>
      </c>
      <c r="E55" s="5">
        <v>19491</v>
      </c>
      <c r="F55" s="6">
        <v>43.309002</v>
      </c>
      <c r="G55" s="138">
        <v>9.9534470000000007E-3</v>
      </c>
      <c r="H55" s="142"/>
    </row>
    <row r="56" spans="1:8" x14ac:dyDescent="0.2">
      <c r="A56" s="3">
        <v>50</v>
      </c>
      <c r="B56" s="4" t="s">
        <v>466</v>
      </c>
      <c r="C56" s="4" t="s">
        <v>467</v>
      </c>
      <c r="D56" s="4" t="s">
        <v>216</v>
      </c>
      <c r="E56" s="5">
        <v>6374</v>
      </c>
      <c r="F56" s="6">
        <v>41.596724000000002</v>
      </c>
      <c r="G56" s="138">
        <v>9.5599239999999992E-3</v>
      </c>
      <c r="H56" s="142"/>
    </row>
    <row r="57" spans="1:8" x14ac:dyDescent="0.2">
      <c r="A57" s="3">
        <v>51</v>
      </c>
      <c r="B57" s="4" t="s">
        <v>174</v>
      </c>
      <c r="C57" s="4" t="s">
        <v>175</v>
      </c>
      <c r="D57" s="4" t="s">
        <v>335</v>
      </c>
      <c r="E57" s="5">
        <v>4199</v>
      </c>
      <c r="F57" s="6">
        <v>41.536507999999998</v>
      </c>
      <c r="G57" s="138">
        <v>9.5460849999999993E-3</v>
      </c>
      <c r="H57" s="142"/>
    </row>
    <row r="58" spans="1:8" x14ac:dyDescent="0.2">
      <c r="A58" s="3">
        <v>52</v>
      </c>
      <c r="B58" s="4" t="s">
        <v>470</v>
      </c>
      <c r="C58" s="4" t="s">
        <v>471</v>
      </c>
      <c r="D58" s="4" t="s">
        <v>80</v>
      </c>
      <c r="E58" s="5">
        <v>6433</v>
      </c>
      <c r="F58" s="6">
        <v>40.942828499999997</v>
      </c>
      <c r="G58" s="138">
        <v>9.4096430000000005E-3</v>
      </c>
      <c r="H58" s="142"/>
    </row>
    <row r="59" spans="1:8" x14ac:dyDescent="0.2">
      <c r="A59" s="3">
        <v>53</v>
      </c>
      <c r="B59" s="4" t="s">
        <v>280</v>
      </c>
      <c r="C59" s="4" t="s">
        <v>281</v>
      </c>
      <c r="D59" s="4" t="s">
        <v>24</v>
      </c>
      <c r="E59" s="5">
        <v>44477</v>
      </c>
      <c r="F59" s="6">
        <v>40.474069999999998</v>
      </c>
      <c r="G59" s="138">
        <v>9.3019109999999995E-3</v>
      </c>
      <c r="H59" s="142"/>
    </row>
    <row r="60" spans="1:8" x14ac:dyDescent="0.2">
      <c r="A60" s="3">
        <v>54</v>
      </c>
      <c r="B60" s="4" t="s">
        <v>265</v>
      </c>
      <c r="C60" s="4" t="s">
        <v>266</v>
      </c>
      <c r="D60" s="4" t="s">
        <v>59</v>
      </c>
      <c r="E60" s="5">
        <v>3908</v>
      </c>
      <c r="F60" s="6">
        <v>40.418489999999998</v>
      </c>
      <c r="G60" s="138">
        <v>9.2891380000000006E-3</v>
      </c>
      <c r="H60" s="142"/>
    </row>
    <row r="61" spans="1:8" x14ac:dyDescent="0.2">
      <c r="A61" s="3">
        <v>55</v>
      </c>
      <c r="B61" s="4" t="s">
        <v>468</v>
      </c>
      <c r="C61" s="4" t="s">
        <v>469</v>
      </c>
      <c r="D61" s="4" t="s">
        <v>1024</v>
      </c>
      <c r="E61" s="5">
        <v>35218</v>
      </c>
      <c r="F61" s="6">
        <v>34.372768000000001</v>
      </c>
      <c r="G61" s="138">
        <v>7.8996859999999995E-3</v>
      </c>
      <c r="H61" s="142"/>
    </row>
    <row r="62" spans="1:8" x14ac:dyDescent="0.2">
      <c r="A62" s="3">
        <v>56</v>
      </c>
      <c r="B62" s="4" t="s">
        <v>267</v>
      </c>
      <c r="C62" s="4" t="s">
        <v>268</v>
      </c>
      <c r="D62" s="4" t="s">
        <v>1024</v>
      </c>
      <c r="E62" s="5">
        <v>2065</v>
      </c>
      <c r="F62" s="6">
        <v>34.251122500000001</v>
      </c>
      <c r="G62" s="138">
        <v>7.8717289999999992E-3</v>
      </c>
      <c r="H62" s="142"/>
    </row>
    <row r="63" spans="1:8" x14ac:dyDescent="0.2">
      <c r="A63" s="3">
        <v>57</v>
      </c>
      <c r="B63" s="4" t="s">
        <v>273</v>
      </c>
      <c r="C63" s="4" t="s">
        <v>274</v>
      </c>
      <c r="D63" s="4" t="s">
        <v>173</v>
      </c>
      <c r="E63" s="5">
        <v>5643</v>
      </c>
      <c r="F63" s="6">
        <v>33.812855999999996</v>
      </c>
      <c r="G63" s="138">
        <v>7.7710050000000001E-3</v>
      </c>
      <c r="H63" s="142"/>
    </row>
    <row r="64" spans="1:8" x14ac:dyDescent="0.2">
      <c r="A64" s="3">
        <v>58</v>
      </c>
      <c r="B64" s="4" t="s">
        <v>288</v>
      </c>
      <c r="C64" s="4" t="s">
        <v>289</v>
      </c>
      <c r="D64" s="4" t="s">
        <v>153</v>
      </c>
      <c r="E64" s="5">
        <v>2348</v>
      </c>
      <c r="F64" s="6">
        <v>32.776905999999997</v>
      </c>
      <c r="G64" s="138">
        <v>7.5329189999999999E-3</v>
      </c>
      <c r="H64" s="142"/>
    </row>
    <row r="65" spans="1:8" x14ac:dyDescent="0.2">
      <c r="A65" s="3">
        <v>59</v>
      </c>
      <c r="B65" s="4" t="s">
        <v>235</v>
      </c>
      <c r="C65" s="4" t="s">
        <v>236</v>
      </c>
      <c r="D65" s="4" t="s">
        <v>27</v>
      </c>
      <c r="E65" s="5">
        <v>1901</v>
      </c>
      <c r="F65" s="6">
        <v>32.220999499999998</v>
      </c>
      <c r="G65" s="138">
        <v>7.4051580000000002E-3</v>
      </c>
      <c r="H65" s="142"/>
    </row>
    <row r="66" spans="1:8" x14ac:dyDescent="0.2">
      <c r="A66" s="3">
        <v>60</v>
      </c>
      <c r="B66" s="4" t="s">
        <v>282</v>
      </c>
      <c r="C66" s="4" t="s">
        <v>283</v>
      </c>
      <c r="D66" s="4" t="s">
        <v>207</v>
      </c>
      <c r="E66" s="5">
        <v>596</v>
      </c>
      <c r="F66" s="6">
        <v>32.205455999999998</v>
      </c>
      <c r="G66" s="138">
        <v>7.4015859999999999E-3</v>
      </c>
      <c r="H66" s="142"/>
    </row>
    <row r="67" spans="1:8" x14ac:dyDescent="0.2">
      <c r="A67" s="3">
        <v>61</v>
      </c>
      <c r="B67" s="4" t="s">
        <v>286</v>
      </c>
      <c r="C67" s="4" t="s">
        <v>287</v>
      </c>
      <c r="D67" s="4" t="s">
        <v>207</v>
      </c>
      <c r="E67" s="5">
        <v>8117</v>
      </c>
      <c r="F67" s="6">
        <v>29.306428499999999</v>
      </c>
      <c r="G67" s="138">
        <v>6.7353200000000004E-3</v>
      </c>
      <c r="H67" s="142"/>
    </row>
    <row r="68" spans="1:8" x14ac:dyDescent="0.2">
      <c r="A68" s="3">
        <v>62</v>
      </c>
      <c r="B68" s="4" t="s">
        <v>275</v>
      </c>
      <c r="C68" s="4" t="s">
        <v>276</v>
      </c>
      <c r="D68" s="4" t="s">
        <v>335</v>
      </c>
      <c r="E68" s="5">
        <v>2232</v>
      </c>
      <c r="F68" s="6">
        <v>27.589752000000001</v>
      </c>
      <c r="G68" s="138">
        <v>6.3407860000000002E-3</v>
      </c>
      <c r="H68" s="142"/>
    </row>
    <row r="69" spans="1:8" x14ac:dyDescent="0.2">
      <c r="A69" s="3">
        <v>63</v>
      </c>
      <c r="B69" s="4" t="s">
        <v>195</v>
      </c>
      <c r="C69" s="4" t="s">
        <v>196</v>
      </c>
      <c r="D69" s="4" t="s">
        <v>24</v>
      </c>
      <c r="E69" s="5">
        <v>12729</v>
      </c>
      <c r="F69" s="6">
        <v>24.299661</v>
      </c>
      <c r="G69" s="138">
        <v>5.5846450000000001E-3</v>
      </c>
      <c r="H69" s="142"/>
    </row>
    <row r="70" spans="1:8" x14ac:dyDescent="0.2">
      <c r="A70" s="3">
        <v>64</v>
      </c>
      <c r="B70" s="4" t="s">
        <v>284</v>
      </c>
      <c r="C70" s="4" t="s">
        <v>285</v>
      </c>
      <c r="D70" s="4" t="s">
        <v>164</v>
      </c>
      <c r="E70" s="5">
        <v>4487</v>
      </c>
      <c r="F70" s="6">
        <v>21.5398435</v>
      </c>
      <c r="G70" s="138">
        <v>4.9503719999999998E-3</v>
      </c>
      <c r="H70" s="142"/>
    </row>
    <row r="71" spans="1:8" x14ac:dyDescent="0.2">
      <c r="A71" s="3">
        <v>65</v>
      </c>
      <c r="B71" s="4" t="s">
        <v>290</v>
      </c>
      <c r="C71" s="4" t="s">
        <v>291</v>
      </c>
      <c r="D71" s="4" t="s">
        <v>153</v>
      </c>
      <c r="E71" s="5">
        <v>882</v>
      </c>
      <c r="F71" s="6">
        <v>5.4018090000000001</v>
      </c>
      <c r="G71" s="138">
        <v>1.241465E-3</v>
      </c>
      <c r="H71" s="142"/>
    </row>
    <row r="72" spans="1:8" x14ac:dyDescent="0.2">
      <c r="A72" s="3">
        <v>66</v>
      </c>
      <c r="B72" s="4" t="s">
        <v>292</v>
      </c>
      <c r="C72" s="4" t="s">
        <v>293</v>
      </c>
      <c r="D72" s="4" t="s">
        <v>24</v>
      </c>
      <c r="E72" s="5">
        <v>8363</v>
      </c>
      <c r="F72" s="6">
        <v>5.2017860000000002</v>
      </c>
      <c r="G72" s="138">
        <v>1.195495E-3</v>
      </c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9">
        <v>4267.6482960000003</v>
      </c>
      <c r="G73" s="139">
        <v>0.980807863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107</v>
      </c>
      <c r="D75" s="1"/>
      <c r="E75" s="1"/>
      <c r="F75" s="1"/>
      <c r="G75" s="137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108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109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111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112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113</v>
      </c>
      <c r="D90" s="1"/>
      <c r="E90" s="1"/>
      <c r="F90" s="9">
        <v>4267.6482960000003</v>
      </c>
      <c r="G90" s="139">
        <v>0.980807863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114</v>
      </c>
      <c r="D92" s="1"/>
      <c r="E92" s="1"/>
      <c r="F92" s="12"/>
      <c r="G92" s="140"/>
      <c r="H92" s="142"/>
    </row>
    <row r="93" spans="1:8" ht="25.5" x14ac:dyDescent="0.2">
      <c r="A93" s="1"/>
      <c r="B93" s="1"/>
      <c r="C93" s="2" t="s">
        <v>10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115</v>
      </c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116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117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118</v>
      </c>
      <c r="D105" s="1"/>
      <c r="E105" s="1"/>
      <c r="F105" s="9">
        <v>0</v>
      </c>
      <c r="G105" s="139">
        <v>0</v>
      </c>
      <c r="H105" s="142"/>
    </row>
    <row r="106" spans="1:8" x14ac:dyDescent="0.2">
      <c r="A106" s="1"/>
      <c r="B106" s="1"/>
      <c r="C106" s="11"/>
      <c r="D106" s="1"/>
      <c r="E106" s="1"/>
      <c r="F106" s="12"/>
      <c r="G106" s="140"/>
      <c r="H106" s="142"/>
    </row>
    <row r="107" spans="1:8" x14ac:dyDescent="0.2">
      <c r="A107" s="1"/>
      <c r="B107" s="1"/>
      <c r="C107" s="2" t="s">
        <v>119</v>
      </c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1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123</v>
      </c>
      <c r="D117" s="1"/>
      <c r="E117" s="1"/>
      <c r="F117" s="12"/>
      <c r="G117" s="140"/>
      <c r="H117" s="142"/>
    </row>
    <row r="118" spans="1:8" x14ac:dyDescent="0.2">
      <c r="A118" s="3">
        <v>1</v>
      </c>
      <c r="B118" s="4"/>
      <c r="C118" s="4" t="s">
        <v>124</v>
      </c>
      <c r="D118" s="4"/>
      <c r="E118" s="8"/>
      <c r="F118" s="6">
        <v>69.557273600000002</v>
      </c>
      <c r="G118" s="138">
        <v>1.5985928999999999E-2</v>
      </c>
      <c r="H118" s="152">
        <v>3.3197683930276081</v>
      </c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9">
        <v>69.557273600000002</v>
      </c>
      <c r="G119" s="139">
        <v>1.5985928999999999E-2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125</v>
      </c>
      <c r="D121" s="1"/>
      <c r="E121" s="1"/>
      <c r="F121" s="9">
        <v>69.557273600000002</v>
      </c>
      <c r="G121" s="139">
        <v>1.5985928999999999E-2</v>
      </c>
      <c r="H121" s="142"/>
    </row>
    <row r="122" spans="1:8" x14ac:dyDescent="0.2">
      <c r="A122" s="1"/>
      <c r="B122" s="1"/>
      <c r="C122" s="12"/>
      <c r="D122" s="1"/>
      <c r="E122" s="1"/>
      <c r="F122" s="1"/>
      <c r="G122" s="137"/>
      <c r="H122" s="142"/>
    </row>
    <row r="123" spans="1:8" x14ac:dyDescent="0.2">
      <c r="A123" s="1"/>
      <c r="B123" s="1"/>
      <c r="C123" s="2" t="s">
        <v>126</v>
      </c>
      <c r="D123" s="1"/>
      <c r="E123" s="1"/>
      <c r="F123" s="1"/>
      <c r="G123" s="137"/>
      <c r="H123" s="142"/>
    </row>
    <row r="124" spans="1:8" x14ac:dyDescent="0.2">
      <c r="A124" s="1"/>
      <c r="B124" s="1"/>
      <c r="C124" s="2" t="s">
        <v>127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128</v>
      </c>
      <c r="D127" s="1"/>
      <c r="E127" s="1"/>
      <c r="F127" s="1"/>
      <c r="G127" s="137"/>
      <c r="H127" s="142"/>
    </row>
    <row r="128" spans="1:8" x14ac:dyDescent="0.2">
      <c r="A128" s="1"/>
      <c r="B128" s="1"/>
      <c r="C128" s="2" t="s">
        <v>129</v>
      </c>
      <c r="D128" s="1"/>
      <c r="E128" s="1"/>
      <c r="F128" s="1"/>
      <c r="G128" s="137"/>
      <c r="H128" s="142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1">
        <v>0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ht="25.5" x14ac:dyDescent="0.2">
      <c r="A132" s="1"/>
      <c r="B132" s="1"/>
      <c r="C132" s="2" t="s">
        <v>130</v>
      </c>
      <c r="D132" s="1"/>
      <c r="E132" s="1"/>
      <c r="F132" s="12"/>
      <c r="G132" s="140"/>
      <c r="H132" s="142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1">
        <v>0</v>
      </c>
      <c r="H133" s="142"/>
    </row>
    <row r="134" spans="1:8" x14ac:dyDescent="0.2">
      <c r="A134" s="1"/>
      <c r="B134" s="1"/>
      <c r="C134" s="11"/>
      <c r="D134" s="1"/>
      <c r="E134" s="1"/>
      <c r="F134" s="12"/>
      <c r="G134" s="140"/>
      <c r="H134" s="142"/>
    </row>
    <row r="135" spans="1:8" x14ac:dyDescent="0.2">
      <c r="A135" s="1"/>
      <c r="B135" s="4"/>
      <c r="C135" s="4"/>
      <c r="D135" s="2"/>
      <c r="E135" s="1"/>
      <c r="F135" s="4"/>
      <c r="G135" s="143"/>
      <c r="H135" s="142"/>
    </row>
    <row r="136" spans="1:8" x14ac:dyDescent="0.2">
      <c r="A136" s="8"/>
      <c r="B136" s="4"/>
      <c r="C136" s="4" t="s">
        <v>131</v>
      </c>
      <c r="D136" s="4"/>
      <c r="E136" s="8"/>
      <c r="F136" s="6">
        <v>13.950703000000001</v>
      </c>
      <c r="G136" s="138">
        <v>3.2062060000000001E-3</v>
      </c>
      <c r="H136" s="142"/>
    </row>
    <row r="137" spans="1:8" x14ac:dyDescent="0.2">
      <c r="A137" s="11"/>
      <c r="B137" s="11"/>
      <c r="C137" s="2" t="s">
        <v>132</v>
      </c>
      <c r="D137" s="15"/>
      <c r="E137" s="15"/>
      <c r="F137" s="9">
        <v>4351.1562726000002</v>
      </c>
      <c r="G137" s="139">
        <v>0.99999999799999995</v>
      </c>
      <c r="H137" s="142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205" t="s">
        <v>106</v>
      </c>
      <c r="C139" s="205"/>
      <c r="D139" s="205"/>
      <c r="E139" s="205"/>
      <c r="F139" s="205"/>
      <c r="G139" s="20"/>
    </row>
    <row r="140" spans="1:8" ht="14.1" customHeight="1" x14ac:dyDescent="0.2">
      <c r="A140" s="18"/>
      <c r="B140" s="205" t="s">
        <v>106</v>
      </c>
      <c r="C140" s="205"/>
      <c r="D140" s="205"/>
      <c r="E140" s="205"/>
      <c r="F140" s="205"/>
      <c r="G140" s="20"/>
    </row>
    <row r="141" spans="1:8" ht="14.1" customHeight="1" x14ac:dyDescent="0.2">
      <c r="A141" s="18"/>
      <c r="B141" s="18"/>
      <c r="C141" s="18"/>
      <c r="D141" s="20"/>
      <c r="E141" s="20"/>
      <c r="F141" s="20"/>
      <c r="G141" s="20"/>
    </row>
    <row r="142" spans="1:8" ht="14.1" customHeight="1" x14ac:dyDescent="0.2">
      <c r="A142" s="18"/>
      <c r="B142" s="203" t="s">
        <v>134</v>
      </c>
      <c r="C142" s="204"/>
      <c r="D142" s="12" t="s">
        <v>106</v>
      </c>
      <c r="E142" s="21"/>
      <c r="F142" s="20"/>
      <c r="G142" s="20"/>
    </row>
    <row r="143" spans="1:8" ht="29.1" customHeight="1" x14ac:dyDescent="0.2">
      <c r="A143" s="18"/>
      <c r="B143" s="199" t="s">
        <v>135</v>
      </c>
      <c r="C143" s="200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99" t="s">
        <v>137</v>
      </c>
      <c r="C144" s="200"/>
      <c r="D144" s="2" t="s">
        <v>136</v>
      </c>
      <c r="E144" s="21"/>
      <c r="F144" s="20"/>
      <c r="G144" s="20"/>
    </row>
    <row r="145" spans="1:7" ht="17.100000000000001" customHeight="1" x14ac:dyDescent="0.2">
      <c r="A145" s="18"/>
      <c r="B145" s="199" t="s">
        <v>138</v>
      </c>
      <c r="C145" s="200"/>
      <c r="D145" s="12" t="s">
        <v>106</v>
      </c>
      <c r="E145" s="21"/>
      <c r="F145" s="20"/>
      <c r="G145" s="20"/>
    </row>
    <row r="146" spans="1:7" ht="24" customHeight="1" x14ac:dyDescent="0.2">
      <c r="A146" s="22"/>
      <c r="B146" s="23" t="s">
        <v>106</v>
      </c>
      <c r="C146" s="23" t="s">
        <v>139</v>
      </c>
      <c r="D146" s="23" t="s">
        <v>140</v>
      </c>
      <c r="E146" s="22"/>
      <c r="F146" s="22"/>
      <c r="G146" s="22"/>
    </row>
    <row r="147" spans="1:7" ht="18" customHeight="1" x14ac:dyDescent="0.2">
      <c r="A147" s="22"/>
      <c r="B147" s="23" t="s">
        <v>141</v>
      </c>
      <c r="C147" s="23" t="s">
        <v>142</v>
      </c>
      <c r="D147" s="23" t="s">
        <v>143</v>
      </c>
      <c r="E147" s="22"/>
      <c r="F147" s="22"/>
      <c r="G147" s="22"/>
    </row>
    <row r="148" spans="1:7" x14ac:dyDescent="0.2">
      <c r="A148" s="22"/>
      <c r="B148" s="4" t="s">
        <v>144</v>
      </c>
      <c r="C148" s="24">
        <v>14.2852</v>
      </c>
      <c r="D148" s="24">
        <v>14.875</v>
      </c>
      <c r="E148" s="22"/>
      <c r="F148" s="19"/>
      <c r="G148" s="25"/>
    </row>
    <row r="149" spans="1:7" x14ac:dyDescent="0.2">
      <c r="A149" s="22"/>
      <c r="B149" s="4" t="s">
        <v>1019</v>
      </c>
      <c r="C149" s="24">
        <v>14.2852</v>
      </c>
      <c r="D149" s="24">
        <v>14.875</v>
      </c>
      <c r="E149" s="22"/>
      <c r="F149" s="19"/>
      <c r="G149" s="25"/>
    </row>
    <row r="150" spans="1:7" x14ac:dyDescent="0.2">
      <c r="A150" s="22"/>
      <c r="B150" s="4" t="s">
        <v>145</v>
      </c>
      <c r="C150" s="24">
        <v>13.9626</v>
      </c>
      <c r="D150" s="24">
        <v>14.5343</v>
      </c>
      <c r="E150" s="22"/>
      <c r="F150" s="19"/>
      <c r="G150" s="25"/>
    </row>
    <row r="151" spans="1:7" x14ac:dyDescent="0.2">
      <c r="A151" s="22"/>
      <c r="B151" s="4" t="s">
        <v>1020</v>
      </c>
      <c r="C151" s="24">
        <v>13.9627</v>
      </c>
      <c r="D151" s="24">
        <v>14.5344</v>
      </c>
      <c r="E151" s="22"/>
      <c r="F151" s="19"/>
      <c r="G151" s="25"/>
    </row>
    <row r="152" spans="1:7" ht="14.1" customHeight="1" x14ac:dyDescent="0.2">
      <c r="A152" s="22"/>
      <c r="B152" s="22"/>
      <c r="C152" s="22"/>
      <c r="D152" s="22"/>
      <c r="E152" s="22"/>
      <c r="F152" s="22"/>
      <c r="G152" s="22"/>
    </row>
    <row r="153" spans="1:7" ht="17.100000000000001" customHeight="1" x14ac:dyDescent="0.2">
      <c r="A153" s="22"/>
      <c r="B153" s="199" t="s">
        <v>1021</v>
      </c>
      <c r="C153" s="200"/>
      <c r="D153" s="2" t="s">
        <v>136</v>
      </c>
      <c r="E153" s="22"/>
      <c r="F153" s="22"/>
      <c r="G153" s="22"/>
    </row>
    <row r="154" spans="1:7" ht="18" customHeight="1" x14ac:dyDescent="0.2">
      <c r="A154" s="22"/>
      <c r="B154" s="26"/>
      <c r="C154" s="26"/>
      <c r="D154" s="27"/>
      <c r="E154" s="22"/>
      <c r="F154" s="22"/>
      <c r="G154" s="22"/>
    </row>
    <row r="155" spans="1:7" s="125" customFormat="1" x14ac:dyDescent="0.2">
      <c r="B155" s="201" t="s">
        <v>825</v>
      </c>
      <c r="C155" s="201"/>
      <c r="D155" s="201"/>
      <c r="E155" s="201"/>
      <c r="F155" s="201"/>
    </row>
    <row r="156" spans="1:7" ht="14.1" customHeight="1" x14ac:dyDescent="0.2">
      <c r="A156" s="22"/>
      <c r="B156" s="19"/>
      <c r="C156" s="19"/>
      <c r="D156" s="22"/>
      <c r="E156" s="22"/>
      <c r="F156" s="22"/>
      <c r="G156" s="22"/>
    </row>
    <row r="157" spans="1:7" ht="29.1" customHeight="1" x14ac:dyDescent="0.2">
      <c r="A157" s="22"/>
      <c r="B157" s="199" t="s">
        <v>146</v>
      </c>
      <c r="C157" s="200"/>
      <c r="D157" s="2" t="s">
        <v>136</v>
      </c>
      <c r="E157" s="22"/>
      <c r="F157" s="22"/>
      <c r="G157" s="22"/>
    </row>
    <row r="158" spans="1:7" ht="29.1" customHeight="1" x14ac:dyDescent="0.2">
      <c r="A158" s="22"/>
      <c r="B158" s="199" t="s">
        <v>147</v>
      </c>
      <c r="C158" s="200"/>
      <c r="D158" s="2" t="s">
        <v>136</v>
      </c>
      <c r="E158" s="22"/>
      <c r="F158" s="22"/>
      <c r="G158" s="22"/>
    </row>
    <row r="159" spans="1:7" ht="17.100000000000001" customHeight="1" x14ac:dyDescent="0.2">
      <c r="A159" s="22"/>
      <c r="B159" s="199" t="s">
        <v>148</v>
      </c>
      <c r="C159" s="200"/>
      <c r="D159" s="28">
        <v>0.34760843772118122</v>
      </c>
      <c r="E159" s="22"/>
      <c r="F159" s="19"/>
      <c r="G159" s="25"/>
    </row>
    <row r="160" spans="1:7" ht="17.100000000000001" customHeight="1" x14ac:dyDescent="0.2">
      <c r="A160" s="22"/>
      <c r="B160" s="199" t="s">
        <v>149</v>
      </c>
      <c r="C160" s="200"/>
      <c r="D160" s="2" t="s">
        <v>136</v>
      </c>
      <c r="E160" s="22"/>
      <c r="F160" s="22"/>
      <c r="G160" s="22"/>
    </row>
  </sheetData>
  <mergeCells count="16">
    <mergeCell ref="J2:N2"/>
    <mergeCell ref="B142:C142"/>
    <mergeCell ref="B139:F139"/>
    <mergeCell ref="B140:F140"/>
    <mergeCell ref="A1:H1"/>
    <mergeCell ref="A2:H2"/>
    <mergeCell ref="A3:H3"/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N16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500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154</v>
      </c>
      <c r="C7" s="4" t="s">
        <v>155</v>
      </c>
      <c r="D7" s="4" t="s">
        <v>27</v>
      </c>
      <c r="E7" s="5">
        <v>9444</v>
      </c>
      <c r="F7" s="6">
        <v>87.555323999999999</v>
      </c>
      <c r="G7" s="138">
        <v>3.1224330000000002E-2</v>
      </c>
      <c r="H7" s="142"/>
    </row>
    <row r="8" spans="1:14" x14ac:dyDescent="0.2">
      <c r="A8" s="3">
        <v>2</v>
      </c>
      <c r="B8" s="4" t="s">
        <v>44</v>
      </c>
      <c r="C8" s="4" t="s">
        <v>45</v>
      </c>
      <c r="D8" s="4" t="s">
        <v>27</v>
      </c>
      <c r="E8" s="5">
        <v>6950</v>
      </c>
      <c r="F8" s="6">
        <v>84.873400000000004</v>
      </c>
      <c r="G8" s="138">
        <v>3.0267892000000001E-2</v>
      </c>
      <c r="H8" s="142"/>
    </row>
    <row r="9" spans="1:14" x14ac:dyDescent="0.2">
      <c r="A9" s="3">
        <v>3</v>
      </c>
      <c r="B9" s="4" t="s">
        <v>165</v>
      </c>
      <c r="C9" s="4" t="s">
        <v>166</v>
      </c>
      <c r="D9" s="4" t="s">
        <v>51</v>
      </c>
      <c r="E9" s="5">
        <v>17452</v>
      </c>
      <c r="F9" s="6">
        <v>82.486878000000004</v>
      </c>
      <c r="G9" s="138">
        <v>2.94168E-2</v>
      </c>
      <c r="H9" s="142"/>
    </row>
    <row r="10" spans="1:14" x14ac:dyDescent="0.2">
      <c r="A10" s="3">
        <v>4</v>
      </c>
      <c r="B10" s="4" t="s">
        <v>25</v>
      </c>
      <c r="C10" s="4" t="s">
        <v>26</v>
      </c>
      <c r="D10" s="4" t="s">
        <v>27</v>
      </c>
      <c r="E10" s="5">
        <v>5881</v>
      </c>
      <c r="F10" s="6">
        <v>80.725546499999993</v>
      </c>
      <c r="G10" s="138">
        <v>2.8788667E-2</v>
      </c>
      <c r="H10" s="142"/>
    </row>
    <row r="11" spans="1:14" x14ac:dyDescent="0.2">
      <c r="A11" s="3">
        <v>5</v>
      </c>
      <c r="B11" s="4" t="s">
        <v>160</v>
      </c>
      <c r="C11" s="4" t="s">
        <v>161</v>
      </c>
      <c r="D11" s="4" t="s">
        <v>27</v>
      </c>
      <c r="E11" s="5">
        <v>9617</v>
      </c>
      <c r="F11" s="6">
        <v>76.657106999999996</v>
      </c>
      <c r="G11" s="138">
        <v>2.7337764000000001E-2</v>
      </c>
      <c r="H11" s="142"/>
    </row>
    <row r="12" spans="1:14" x14ac:dyDescent="0.2">
      <c r="A12" s="3">
        <v>6</v>
      </c>
      <c r="B12" s="4" t="s">
        <v>158</v>
      </c>
      <c r="C12" s="4" t="s">
        <v>159</v>
      </c>
      <c r="D12" s="4" t="s">
        <v>80</v>
      </c>
      <c r="E12" s="5">
        <v>62760</v>
      </c>
      <c r="F12" s="6">
        <v>75.939599999999999</v>
      </c>
      <c r="G12" s="138">
        <v>2.7081884000000001E-2</v>
      </c>
      <c r="H12" s="142"/>
    </row>
    <row r="13" spans="1:14" x14ac:dyDescent="0.2">
      <c r="A13" s="3">
        <v>7</v>
      </c>
      <c r="B13" s="4" t="s">
        <v>456</v>
      </c>
      <c r="C13" s="4" t="s">
        <v>457</v>
      </c>
      <c r="D13" s="4" t="s">
        <v>51</v>
      </c>
      <c r="E13" s="5">
        <v>22548</v>
      </c>
      <c r="F13" s="6">
        <v>74.825537999999995</v>
      </c>
      <c r="G13" s="138">
        <v>2.6684583000000001E-2</v>
      </c>
      <c r="H13" s="142"/>
    </row>
    <row r="14" spans="1:14" x14ac:dyDescent="0.2">
      <c r="A14" s="3">
        <v>8</v>
      </c>
      <c r="B14" s="4" t="s">
        <v>151</v>
      </c>
      <c r="C14" s="4" t="s">
        <v>152</v>
      </c>
      <c r="D14" s="4" t="s">
        <v>153</v>
      </c>
      <c r="E14" s="5">
        <v>1972</v>
      </c>
      <c r="F14" s="6">
        <v>72.663269999999997</v>
      </c>
      <c r="G14" s="138">
        <v>2.5913466E-2</v>
      </c>
      <c r="H14" s="142"/>
    </row>
    <row r="15" spans="1:14" x14ac:dyDescent="0.2">
      <c r="A15" s="3">
        <v>9</v>
      </c>
      <c r="B15" s="4" t="s">
        <v>302</v>
      </c>
      <c r="C15" s="4" t="s">
        <v>303</v>
      </c>
      <c r="D15" s="4" t="s">
        <v>27</v>
      </c>
      <c r="E15" s="5">
        <v>10605</v>
      </c>
      <c r="F15" s="6">
        <v>72.177629999999994</v>
      </c>
      <c r="G15" s="138">
        <v>2.5740275E-2</v>
      </c>
      <c r="H15" s="142"/>
    </row>
    <row r="16" spans="1:14" ht="15" x14ac:dyDescent="0.2">
      <c r="A16" s="3">
        <v>10</v>
      </c>
      <c r="B16" s="4" t="s">
        <v>474</v>
      </c>
      <c r="C16" s="4" t="s">
        <v>475</v>
      </c>
      <c r="D16" s="4" t="s">
        <v>207</v>
      </c>
      <c r="E16" s="5">
        <v>11546</v>
      </c>
      <c r="F16" s="6">
        <v>69.674336999999994</v>
      </c>
      <c r="G16" s="138">
        <v>2.4847541000000001E-2</v>
      </c>
      <c r="H16" s="142"/>
      <c r="J16" s="163" t="s">
        <v>1035</v>
      </c>
    </row>
    <row r="17" spans="1:8" x14ac:dyDescent="0.2">
      <c r="A17" s="3">
        <v>11</v>
      </c>
      <c r="B17" s="4" t="s">
        <v>162</v>
      </c>
      <c r="C17" s="4" t="s">
        <v>163</v>
      </c>
      <c r="D17" s="4" t="s">
        <v>164</v>
      </c>
      <c r="E17" s="5">
        <v>18815</v>
      </c>
      <c r="F17" s="6">
        <v>64.300262500000002</v>
      </c>
      <c r="G17" s="138">
        <v>2.2931017000000001E-2</v>
      </c>
      <c r="H17" s="142"/>
    </row>
    <row r="18" spans="1:8" x14ac:dyDescent="0.2">
      <c r="A18" s="3">
        <v>12</v>
      </c>
      <c r="B18" s="4" t="s">
        <v>52</v>
      </c>
      <c r="C18" s="4" t="s">
        <v>53</v>
      </c>
      <c r="D18" s="4" t="s">
        <v>51</v>
      </c>
      <c r="E18" s="5">
        <v>20288</v>
      </c>
      <c r="F18" s="6">
        <v>62.821792000000002</v>
      </c>
      <c r="G18" s="138">
        <v>2.2403758999999999E-2</v>
      </c>
      <c r="H18" s="142"/>
    </row>
    <row r="19" spans="1:8" x14ac:dyDescent="0.2">
      <c r="A19" s="3">
        <v>13</v>
      </c>
      <c r="B19" s="4" t="s">
        <v>169</v>
      </c>
      <c r="C19" s="4" t="s">
        <v>170</v>
      </c>
      <c r="D19" s="4" t="s">
        <v>164</v>
      </c>
      <c r="E19" s="5">
        <v>1666</v>
      </c>
      <c r="F19" s="6">
        <v>61.913558000000002</v>
      </c>
      <c r="G19" s="138">
        <v>2.2079860999999999E-2</v>
      </c>
      <c r="H19" s="142"/>
    </row>
    <row r="20" spans="1:8" ht="25.5" x14ac:dyDescent="0.2">
      <c r="A20" s="3">
        <v>14</v>
      </c>
      <c r="B20" s="4" t="s">
        <v>193</v>
      </c>
      <c r="C20" s="4" t="s">
        <v>194</v>
      </c>
      <c r="D20" s="4" t="s">
        <v>37</v>
      </c>
      <c r="E20" s="5">
        <v>47600</v>
      </c>
      <c r="F20" s="6">
        <v>58.5242</v>
      </c>
      <c r="G20" s="138">
        <v>2.0871134E-2</v>
      </c>
      <c r="H20" s="142"/>
    </row>
    <row r="21" spans="1:8" x14ac:dyDescent="0.2">
      <c r="A21" s="3">
        <v>15</v>
      </c>
      <c r="B21" s="4" t="s">
        <v>214</v>
      </c>
      <c r="C21" s="4" t="s">
        <v>215</v>
      </c>
      <c r="D21" s="4" t="s">
        <v>216</v>
      </c>
      <c r="E21" s="5">
        <v>21111</v>
      </c>
      <c r="F21" s="6">
        <v>57.495808500000003</v>
      </c>
      <c r="G21" s="138">
        <v>2.0504385E-2</v>
      </c>
      <c r="H21" s="142"/>
    </row>
    <row r="22" spans="1:8" x14ac:dyDescent="0.2">
      <c r="A22" s="3">
        <v>16</v>
      </c>
      <c r="B22" s="4" t="s">
        <v>374</v>
      </c>
      <c r="C22" s="4" t="s">
        <v>375</v>
      </c>
      <c r="D22" s="4" t="s">
        <v>173</v>
      </c>
      <c r="E22" s="5">
        <v>1511</v>
      </c>
      <c r="F22" s="6">
        <v>51.699620500000002</v>
      </c>
      <c r="G22" s="138">
        <v>1.8437326E-2</v>
      </c>
      <c r="H22" s="142"/>
    </row>
    <row r="23" spans="1:8" ht="25.5" x14ac:dyDescent="0.2">
      <c r="A23" s="3">
        <v>17</v>
      </c>
      <c r="B23" s="4" t="s">
        <v>30</v>
      </c>
      <c r="C23" s="4" t="s">
        <v>31</v>
      </c>
      <c r="D23" s="4" t="s">
        <v>1023</v>
      </c>
      <c r="E23" s="5">
        <v>1653</v>
      </c>
      <c r="F23" s="6">
        <v>51.371107500000001</v>
      </c>
      <c r="G23" s="138">
        <v>1.832017E-2</v>
      </c>
      <c r="H23" s="142"/>
    </row>
    <row r="24" spans="1:8" x14ac:dyDescent="0.2">
      <c r="A24" s="3">
        <v>18</v>
      </c>
      <c r="B24" s="4" t="s">
        <v>176</v>
      </c>
      <c r="C24" s="4" t="s">
        <v>177</v>
      </c>
      <c r="D24" s="4" t="s">
        <v>1026</v>
      </c>
      <c r="E24" s="5">
        <v>12724</v>
      </c>
      <c r="F24" s="6">
        <v>50.037129999999998</v>
      </c>
      <c r="G24" s="138">
        <v>1.7844441999999999E-2</v>
      </c>
      <c r="H24" s="142"/>
    </row>
    <row r="25" spans="1:8" ht="25.5" x14ac:dyDescent="0.2">
      <c r="A25" s="3">
        <v>19</v>
      </c>
      <c r="B25" s="4" t="s">
        <v>217</v>
      </c>
      <c r="C25" s="4" t="s">
        <v>218</v>
      </c>
      <c r="D25" s="4" t="s">
        <v>90</v>
      </c>
      <c r="E25" s="5">
        <v>10546</v>
      </c>
      <c r="F25" s="6">
        <v>48.147762999999998</v>
      </c>
      <c r="G25" s="138">
        <v>1.7170648E-2</v>
      </c>
      <c r="H25" s="142"/>
    </row>
    <row r="26" spans="1:8" x14ac:dyDescent="0.2">
      <c r="A26" s="3">
        <v>20</v>
      </c>
      <c r="B26" s="4" t="s">
        <v>221</v>
      </c>
      <c r="C26" s="4" t="s">
        <v>222</v>
      </c>
      <c r="D26" s="4" t="s">
        <v>207</v>
      </c>
      <c r="E26" s="5">
        <v>7790</v>
      </c>
      <c r="F26" s="6">
        <v>48.021455000000003</v>
      </c>
      <c r="G26" s="138">
        <v>1.7125603E-2</v>
      </c>
      <c r="H26" s="142"/>
    </row>
    <row r="27" spans="1:8" x14ac:dyDescent="0.2">
      <c r="A27" s="3">
        <v>21</v>
      </c>
      <c r="B27" s="4" t="s">
        <v>203</v>
      </c>
      <c r="C27" s="4" t="s">
        <v>204</v>
      </c>
      <c r="D27" s="4" t="s">
        <v>80</v>
      </c>
      <c r="E27" s="5">
        <v>8031</v>
      </c>
      <c r="F27" s="6">
        <v>47.390931000000002</v>
      </c>
      <c r="G27" s="138">
        <v>1.6900742999999999E-2</v>
      </c>
      <c r="H27" s="142"/>
    </row>
    <row r="28" spans="1:8" x14ac:dyDescent="0.2">
      <c r="A28" s="3">
        <v>22</v>
      </c>
      <c r="B28" s="4" t="s">
        <v>464</v>
      </c>
      <c r="C28" s="4" t="s">
        <v>465</v>
      </c>
      <c r="D28" s="4" t="s">
        <v>48</v>
      </c>
      <c r="E28" s="5">
        <v>11205</v>
      </c>
      <c r="F28" s="6">
        <v>47.027385000000002</v>
      </c>
      <c r="G28" s="138">
        <v>1.6771094E-2</v>
      </c>
      <c r="H28" s="142"/>
    </row>
    <row r="29" spans="1:8" x14ac:dyDescent="0.2">
      <c r="A29" s="3">
        <v>23</v>
      </c>
      <c r="B29" s="4" t="s">
        <v>182</v>
      </c>
      <c r="C29" s="4" t="s">
        <v>183</v>
      </c>
      <c r="D29" s="4" t="s">
        <v>164</v>
      </c>
      <c r="E29" s="5">
        <v>867</v>
      </c>
      <c r="F29" s="6">
        <v>46.336381500000002</v>
      </c>
      <c r="G29" s="138">
        <v>1.6524666E-2</v>
      </c>
      <c r="H29" s="142"/>
    </row>
    <row r="30" spans="1:8" x14ac:dyDescent="0.2">
      <c r="A30" s="3">
        <v>24</v>
      </c>
      <c r="B30" s="4" t="s">
        <v>188</v>
      </c>
      <c r="C30" s="4" t="s">
        <v>189</v>
      </c>
      <c r="D30" s="4" t="s">
        <v>190</v>
      </c>
      <c r="E30" s="5">
        <v>4594</v>
      </c>
      <c r="F30" s="6">
        <v>45.749349000000002</v>
      </c>
      <c r="G30" s="138">
        <v>1.6315316E-2</v>
      </c>
      <c r="H30" s="142"/>
    </row>
    <row r="31" spans="1:8" x14ac:dyDescent="0.2">
      <c r="A31" s="3">
        <v>25</v>
      </c>
      <c r="B31" s="4" t="s">
        <v>223</v>
      </c>
      <c r="C31" s="4" t="s">
        <v>224</v>
      </c>
      <c r="D31" s="4" t="s">
        <v>66</v>
      </c>
      <c r="E31" s="5">
        <v>4724</v>
      </c>
      <c r="F31" s="6">
        <v>45.277177999999999</v>
      </c>
      <c r="G31" s="138">
        <v>1.6146928000000001E-2</v>
      </c>
      <c r="H31" s="142"/>
    </row>
    <row r="32" spans="1:8" x14ac:dyDescent="0.2">
      <c r="A32" s="3">
        <v>26</v>
      </c>
      <c r="B32" s="4" t="s">
        <v>227</v>
      </c>
      <c r="C32" s="4" t="s">
        <v>228</v>
      </c>
      <c r="D32" s="4" t="s">
        <v>66</v>
      </c>
      <c r="E32" s="5">
        <v>45511</v>
      </c>
      <c r="F32" s="6">
        <v>44.8055795</v>
      </c>
      <c r="G32" s="138">
        <v>1.5978744999999999E-2</v>
      </c>
      <c r="H32" s="142"/>
    </row>
    <row r="33" spans="1:8" x14ac:dyDescent="0.2">
      <c r="A33" s="3">
        <v>27</v>
      </c>
      <c r="B33" s="4" t="s">
        <v>179</v>
      </c>
      <c r="C33" s="4" t="s">
        <v>180</v>
      </c>
      <c r="D33" s="4" t="s">
        <v>181</v>
      </c>
      <c r="E33" s="5">
        <v>17383</v>
      </c>
      <c r="F33" s="6">
        <v>43.005541999999998</v>
      </c>
      <c r="G33" s="138">
        <v>1.5336808E-2</v>
      </c>
      <c r="H33" s="142"/>
    </row>
    <row r="34" spans="1:8" x14ac:dyDescent="0.2">
      <c r="A34" s="3">
        <v>28</v>
      </c>
      <c r="B34" s="4" t="s">
        <v>212</v>
      </c>
      <c r="C34" s="4" t="s">
        <v>213</v>
      </c>
      <c r="D34" s="4" t="s">
        <v>1027</v>
      </c>
      <c r="E34" s="5">
        <v>4682</v>
      </c>
      <c r="F34" s="6">
        <v>42.896484000000001</v>
      </c>
      <c r="G34" s="138">
        <v>1.5297916E-2</v>
      </c>
      <c r="H34" s="142"/>
    </row>
    <row r="35" spans="1:8" x14ac:dyDescent="0.2">
      <c r="A35" s="3">
        <v>29</v>
      </c>
      <c r="B35" s="4" t="s">
        <v>199</v>
      </c>
      <c r="C35" s="4" t="s">
        <v>200</v>
      </c>
      <c r="D35" s="4" t="s">
        <v>164</v>
      </c>
      <c r="E35" s="5">
        <v>3995</v>
      </c>
      <c r="F35" s="6">
        <v>42.4568625</v>
      </c>
      <c r="G35" s="138">
        <v>1.5141135999999999E-2</v>
      </c>
      <c r="H35" s="142"/>
    </row>
    <row r="36" spans="1:8" x14ac:dyDescent="0.2">
      <c r="A36" s="3">
        <v>30</v>
      </c>
      <c r="B36" s="4" t="s">
        <v>201</v>
      </c>
      <c r="C36" s="4" t="s">
        <v>202</v>
      </c>
      <c r="D36" s="4" t="s">
        <v>80</v>
      </c>
      <c r="E36" s="5">
        <v>5860</v>
      </c>
      <c r="F36" s="6">
        <v>40.246479999999998</v>
      </c>
      <c r="G36" s="138">
        <v>1.4352861E-2</v>
      </c>
      <c r="H36" s="142"/>
    </row>
    <row r="37" spans="1:8" x14ac:dyDescent="0.2">
      <c r="A37" s="3">
        <v>31</v>
      </c>
      <c r="B37" s="4" t="s">
        <v>229</v>
      </c>
      <c r="C37" s="4" t="s">
        <v>230</v>
      </c>
      <c r="D37" s="4" t="s">
        <v>51</v>
      </c>
      <c r="E37" s="5">
        <v>4578</v>
      </c>
      <c r="F37" s="6">
        <v>39.782820000000001</v>
      </c>
      <c r="G37" s="138">
        <v>1.4187508E-2</v>
      </c>
      <c r="H37" s="142"/>
    </row>
    <row r="38" spans="1:8" ht="25.5" x14ac:dyDescent="0.2">
      <c r="A38" s="3">
        <v>32</v>
      </c>
      <c r="B38" s="4" t="s">
        <v>458</v>
      </c>
      <c r="C38" s="4" t="s">
        <v>459</v>
      </c>
      <c r="D38" s="4" t="s">
        <v>37</v>
      </c>
      <c r="E38" s="5">
        <v>2832</v>
      </c>
      <c r="F38" s="6">
        <v>38.216424000000004</v>
      </c>
      <c r="G38" s="138">
        <v>1.3628894000000001E-2</v>
      </c>
      <c r="H38" s="142"/>
    </row>
    <row r="39" spans="1:8" ht="25.5" x14ac:dyDescent="0.2">
      <c r="A39" s="3">
        <v>33</v>
      </c>
      <c r="B39" s="4" t="s">
        <v>244</v>
      </c>
      <c r="C39" s="4" t="s">
        <v>245</v>
      </c>
      <c r="D39" s="4" t="s">
        <v>1029</v>
      </c>
      <c r="E39" s="5">
        <v>34070</v>
      </c>
      <c r="F39" s="6">
        <v>38.039155000000001</v>
      </c>
      <c r="G39" s="138">
        <v>1.3565676E-2</v>
      </c>
      <c r="H39" s="142"/>
    </row>
    <row r="40" spans="1:8" x14ac:dyDescent="0.2">
      <c r="A40" s="3">
        <v>34</v>
      </c>
      <c r="B40" s="4" t="s">
        <v>296</v>
      </c>
      <c r="C40" s="4" t="s">
        <v>297</v>
      </c>
      <c r="D40" s="4" t="s">
        <v>27</v>
      </c>
      <c r="E40" s="5">
        <v>3052</v>
      </c>
      <c r="F40" s="6">
        <v>37.344271999999997</v>
      </c>
      <c r="G40" s="138">
        <v>1.3317864E-2</v>
      </c>
      <c r="H40" s="142"/>
    </row>
    <row r="41" spans="1:8" x14ac:dyDescent="0.2">
      <c r="A41" s="3">
        <v>35</v>
      </c>
      <c r="B41" s="4" t="s">
        <v>239</v>
      </c>
      <c r="C41" s="4" t="s">
        <v>240</v>
      </c>
      <c r="D41" s="4" t="s">
        <v>207</v>
      </c>
      <c r="E41" s="5">
        <v>1980</v>
      </c>
      <c r="F41" s="6">
        <v>36.965609999999998</v>
      </c>
      <c r="G41" s="138">
        <v>1.3182823999999999E-2</v>
      </c>
      <c r="H41" s="142"/>
    </row>
    <row r="42" spans="1:8" x14ac:dyDescent="0.2">
      <c r="A42" s="3">
        <v>36</v>
      </c>
      <c r="B42" s="4" t="s">
        <v>205</v>
      </c>
      <c r="C42" s="4" t="s">
        <v>206</v>
      </c>
      <c r="D42" s="4" t="s">
        <v>207</v>
      </c>
      <c r="E42" s="5">
        <v>7956</v>
      </c>
      <c r="F42" s="6">
        <v>35.742330000000003</v>
      </c>
      <c r="G42" s="138">
        <v>1.2746573000000001E-2</v>
      </c>
      <c r="H42" s="142"/>
    </row>
    <row r="43" spans="1:8" x14ac:dyDescent="0.2">
      <c r="A43" s="3">
        <v>37</v>
      </c>
      <c r="B43" s="4" t="s">
        <v>246</v>
      </c>
      <c r="C43" s="4" t="s">
        <v>247</v>
      </c>
      <c r="D43" s="4" t="s">
        <v>80</v>
      </c>
      <c r="E43" s="5">
        <v>64507</v>
      </c>
      <c r="F43" s="6">
        <v>35.446596499999998</v>
      </c>
      <c r="G43" s="138">
        <v>1.2641107E-2</v>
      </c>
      <c r="H43" s="142"/>
    </row>
    <row r="44" spans="1:8" x14ac:dyDescent="0.2">
      <c r="A44" s="3">
        <v>38</v>
      </c>
      <c r="B44" s="4" t="s">
        <v>74</v>
      </c>
      <c r="C44" s="4" t="s">
        <v>75</v>
      </c>
      <c r="D44" s="4" t="s">
        <v>66</v>
      </c>
      <c r="E44" s="5">
        <v>8602</v>
      </c>
      <c r="F44" s="6">
        <v>35.2682</v>
      </c>
      <c r="G44" s="138">
        <v>1.2577487E-2</v>
      </c>
      <c r="H44" s="142"/>
    </row>
    <row r="45" spans="1:8" x14ac:dyDescent="0.2">
      <c r="A45" s="3">
        <v>39</v>
      </c>
      <c r="B45" s="4" t="s">
        <v>197</v>
      </c>
      <c r="C45" s="4" t="s">
        <v>198</v>
      </c>
      <c r="D45" s="4" t="s">
        <v>51</v>
      </c>
      <c r="E45" s="5">
        <v>3397</v>
      </c>
      <c r="F45" s="6">
        <v>34.841330499999998</v>
      </c>
      <c r="G45" s="138">
        <v>1.2425255E-2</v>
      </c>
      <c r="H45" s="142"/>
    </row>
    <row r="46" spans="1:8" x14ac:dyDescent="0.2">
      <c r="A46" s="3">
        <v>40</v>
      </c>
      <c r="B46" s="4" t="s">
        <v>210</v>
      </c>
      <c r="C46" s="4" t="s">
        <v>211</v>
      </c>
      <c r="D46" s="4" t="s">
        <v>34</v>
      </c>
      <c r="E46" s="5">
        <v>8553</v>
      </c>
      <c r="F46" s="6">
        <v>34.571226000000003</v>
      </c>
      <c r="G46" s="138">
        <v>1.2328929000000001E-2</v>
      </c>
      <c r="H46" s="142"/>
    </row>
    <row r="47" spans="1:8" ht="25.5" x14ac:dyDescent="0.2">
      <c r="A47" s="3">
        <v>41</v>
      </c>
      <c r="B47" s="4" t="s">
        <v>252</v>
      </c>
      <c r="C47" s="4" t="s">
        <v>253</v>
      </c>
      <c r="D47" s="4" t="s">
        <v>90</v>
      </c>
      <c r="E47" s="5">
        <v>7956</v>
      </c>
      <c r="F47" s="6">
        <v>33.470891999999999</v>
      </c>
      <c r="G47" s="138">
        <v>1.1936522999999999E-2</v>
      </c>
      <c r="H47" s="142"/>
    </row>
    <row r="48" spans="1:8" x14ac:dyDescent="0.2">
      <c r="A48" s="3">
        <v>42</v>
      </c>
      <c r="B48" s="4" t="s">
        <v>225</v>
      </c>
      <c r="C48" s="4" t="s">
        <v>226</v>
      </c>
      <c r="D48" s="4" t="s">
        <v>1028</v>
      </c>
      <c r="E48" s="5">
        <v>5772</v>
      </c>
      <c r="F48" s="6">
        <v>32.686836</v>
      </c>
      <c r="G48" s="138">
        <v>1.1656909999999999E-2</v>
      </c>
      <c r="H48" s="142"/>
    </row>
    <row r="49" spans="1:8" ht="25.5" x14ac:dyDescent="0.2">
      <c r="A49" s="3">
        <v>43</v>
      </c>
      <c r="B49" s="4" t="s">
        <v>255</v>
      </c>
      <c r="C49" s="4" t="s">
        <v>256</v>
      </c>
      <c r="D49" s="4" t="s">
        <v>90</v>
      </c>
      <c r="E49" s="5">
        <v>8336</v>
      </c>
      <c r="F49" s="6">
        <v>32.056088000000003</v>
      </c>
      <c r="G49" s="138">
        <v>1.143197E-2</v>
      </c>
      <c r="H49" s="142"/>
    </row>
    <row r="50" spans="1:8" x14ac:dyDescent="0.2">
      <c r="A50" s="3">
        <v>44</v>
      </c>
      <c r="B50" s="4" t="s">
        <v>235</v>
      </c>
      <c r="C50" s="4" t="s">
        <v>236</v>
      </c>
      <c r="D50" s="4" t="s">
        <v>27</v>
      </c>
      <c r="E50" s="5">
        <v>1766</v>
      </c>
      <c r="F50" s="6">
        <v>29.932817</v>
      </c>
      <c r="G50" s="138">
        <v>1.0674761E-2</v>
      </c>
      <c r="H50" s="142"/>
    </row>
    <row r="51" spans="1:8" ht="25.5" x14ac:dyDescent="0.2">
      <c r="A51" s="3">
        <v>45</v>
      </c>
      <c r="B51" s="4" t="s">
        <v>191</v>
      </c>
      <c r="C51" s="4" t="s">
        <v>192</v>
      </c>
      <c r="D51" s="4" t="s">
        <v>1023</v>
      </c>
      <c r="E51" s="5">
        <v>11598</v>
      </c>
      <c r="F51" s="6">
        <v>29.783664000000002</v>
      </c>
      <c r="G51" s="138">
        <v>1.0621569000000001E-2</v>
      </c>
      <c r="H51" s="142"/>
    </row>
    <row r="52" spans="1:8" ht="25.5" x14ac:dyDescent="0.2">
      <c r="A52" s="3">
        <v>46</v>
      </c>
      <c r="B52" s="4" t="s">
        <v>178</v>
      </c>
      <c r="C52" s="4" t="s">
        <v>933</v>
      </c>
      <c r="D52" s="4" t="s">
        <v>37</v>
      </c>
      <c r="E52" s="5">
        <v>11408</v>
      </c>
      <c r="F52" s="6">
        <v>29.449752</v>
      </c>
      <c r="G52" s="138">
        <v>1.0502488000000001E-2</v>
      </c>
      <c r="H52" s="142"/>
    </row>
    <row r="53" spans="1:8" x14ac:dyDescent="0.2">
      <c r="A53" s="3">
        <v>47</v>
      </c>
      <c r="B53" s="4" t="s">
        <v>261</v>
      </c>
      <c r="C53" s="4" t="s">
        <v>262</v>
      </c>
      <c r="D53" s="4" t="s">
        <v>51</v>
      </c>
      <c r="E53" s="5">
        <v>13253</v>
      </c>
      <c r="F53" s="6">
        <v>29.448166000000001</v>
      </c>
      <c r="G53" s="138">
        <v>1.0501923E-2</v>
      </c>
      <c r="H53" s="142"/>
    </row>
    <row r="54" spans="1:8" x14ac:dyDescent="0.2">
      <c r="A54" s="3">
        <v>48</v>
      </c>
      <c r="B54" s="4" t="s">
        <v>282</v>
      </c>
      <c r="C54" s="4" t="s">
        <v>283</v>
      </c>
      <c r="D54" s="4" t="s">
        <v>207</v>
      </c>
      <c r="E54" s="5">
        <v>514</v>
      </c>
      <c r="F54" s="6">
        <v>27.774504</v>
      </c>
      <c r="G54" s="138">
        <v>9.9050549999999994E-3</v>
      </c>
      <c r="H54" s="142"/>
    </row>
    <row r="55" spans="1:8" x14ac:dyDescent="0.2">
      <c r="A55" s="3">
        <v>49</v>
      </c>
      <c r="B55" s="4" t="s">
        <v>273</v>
      </c>
      <c r="C55" s="4" t="s">
        <v>274</v>
      </c>
      <c r="D55" s="4" t="s">
        <v>173</v>
      </c>
      <c r="E55" s="5">
        <v>4540</v>
      </c>
      <c r="F55" s="6">
        <v>27.203679999999999</v>
      </c>
      <c r="G55" s="138">
        <v>9.7014849999999993E-3</v>
      </c>
      <c r="H55" s="142"/>
    </row>
    <row r="56" spans="1:8" x14ac:dyDescent="0.2">
      <c r="A56" s="3">
        <v>50</v>
      </c>
      <c r="B56" s="4" t="s">
        <v>174</v>
      </c>
      <c r="C56" s="4" t="s">
        <v>175</v>
      </c>
      <c r="D56" s="4" t="s">
        <v>335</v>
      </c>
      <c r="E56" s="5">
        <v>2741</v>
      </c>
      <c r="F56" s="6">
        <v>27.113972</v>
      </c>
      <c r="G56" s="138">
        <v>9.6694929999999995E-3</v>
      </c>
      <c r="H56" s="142"/>
    </row>
    <row r="57" spans="1:8" x14ac:dyDescent="0.2">
      <c r="A57" s="3">
        <v>51</v>
      </c>
      <c r="B57" s="4" t="s">
        <v>265</v>
      </c>
      <c r="C57" s="4" t="s">
        <v>266</v>
      </c>
      <c r="D57" s="4" t="s">
        <v>59</v>
      </c>
      <c r="E57" s="5">
        <v>2549</v>
      </c>
      <c r="F57" s="6">
        <v>26.363032499999999</v>
      </c>
      <c r="G57" s="138">
        <v>9.4016900000000007E-3</v>
      </c>
      <c r="H57" s="142"/>
    </row>
    <row r="58" spans="1:8" x14ac:dyDescent="0.2">
      <c r="A58" s="3">
        <v>52</v>
      </c>
      <c r="B58" s="4" t="s">
        <v>466</v>
      </c>
      <c r="C58" s="4" t="s">
        <v>467</v>
      </c>
      <c r="D58" s="4" t="s">
        <v>216</v>
      </c>
      <c r="E58" s="5">
        <v>3947</v>
      </c>
      <c r="F58" s="6">
        <v>25.758122</v>
      </c>
      <c r="G58" s="138">
        <v>9.1859650000000008E-3</v>
      </c>
      <c r="H58" s="142"/>
    </row>
    <row r="59" spans="1:8" x14ac:dyDescent="0.2">
      <c r="A59" s="3">
        <v>53</v>
      </c>
      <c r="B59" s="4" t="s">
        <v>277</v>
      </c>
      <c r="C59" s="4" t="s">
        <v>278</v>
      </c>
      <c r="D59" s="4" t="s">
        <v>279</v>
      </c>
      <c r="E59" s="5">
        <v>10967</v>
      </c>
      <c r="F59" s="6">
        <v>25.421506000000001</v>
      </c>
      <c r="G59" s="138">
        <v>9.0659190000000004E-3</v>
      </c>
      <c r="H59" s="142"/>
    </row>
    <row r="60" spans="1:8" x14ac:dyDescent="0.2">
      <c r="A60" s="3">
        <v>54</v>
      </c>
      <c r="B60" s="4" t="s">
        <v>257</v>
      </c>
      <c r="C60" s="4" t="s">
        <v>258</v>
      </c>
      <c r="D60" s="4" t="s">
        <v>173</v>
      </c>
      <c r="E60" s="5">
        <v>7134</v>
      </c>
      <c r="F60" s="6">
        <v>24.969000000000001</v>
      </c>
      <c r="G60" s="138">
        <v>8.9045449999999998E-3</v>
      </c>
      <c r="H60" s="142"/>
    </row>
    <row r="61" spans="1:8" x14ac:dyDescent="0.2">
      <c r="A61" s="3">
        <v>55</v>
      </c>
      <c r="B61" s="4" t="s">
        <v>468</v>
      </c>
      <c r="C61" s="4" t="s">
        <v>469</v>
      </c>
      <c r="D61" s="4" t="s">
        <v>1024</v>
      </c>
      <c r="E61" s="5">
        <v>25056</v>
      </c>
      <c r="F61" s="6">
        <v>24.454656</v>
      </c>
      <c r="G61" s="138">
        <v>8.7211170000000005E-3</v>
      </c>
      <c r="H61" s="142"/>
    </row>
    <row r="62" spans="1:8" x14ac:dyDescent="0.2">
      <c r="A62" s="3">
        <v>56</v>
      </c>
      <c r="B62" s="4" t="s">
        <v>280</v>
      </c>
      <c r="C62" s="4" t="s">
        <v>281</v>
      </c>
      <c r="D62" s="4" t="s">
        <v>24</v>
      </c>
      <c r="E62" s="5">
        <v>26378</v>
      </c>
      <c r="F62" s="6">
        <v>24.003979999999999</v>
      </c>
      <c r="G62" s="138">
        <v>8.5603950000000002E-3</v>
      </c>
      <c r="H62" s="142"/>
    </row>
    <row r="63" spans="1:8" x14ac:dyDescent="0.2">
      <c r="A63" s="3">
        <v>57</v>
      </c>
      <c r="B63" s="4" t="s">
        <v>267</v>
      </c>
      <c r="C63" s="4" t="s">
        <v>268</v>
      </c>
      <c r="D63" s="4" t="s">
        <v>1024</v>
      </c>
      <c r="E63" s="5">
        <v>1417</v>
      </c>
      <c r="F63" s="6">
        <v>23.5030705</v>
      </c>
      <c r="G63" s="138">
        <v>8.3817590000000008E-3</v>
      </c>
      <c r="H63" s="142"/>
    </row>
    <row r="64" spans="1:8" x14ac:dyDescent="0.2">
      <c r="A64" s="3">
        <v>58</v>
      </c>
      <c r="B64" s="4" t="s">
        <v>460</v>
      </c>
      <c r="C64" s="4" t="s">
        <v>461</v>
      </c>
      <c r="D64" s="4" t="s">
        <v>27</v>
      </c>
      <c r="E64" s="5">
        <v>2616</v>
      </c>
      <c r="F64" s="6">
        <v>23.218308</v>
      </c>
      <c r="G64" s="138">
        <v>8.280206E-3</v>
      </c>
      <c r="H64" s="142"/>
    </row>
    <row r="65" spans="1:8" x14ac:dyDescent="0.2">
      <c r="A65" s="3">
        <v>59</v>
      </c>
      <c r="B65" s="4" t="s">
        <v>470</v>
      </c>
      <c r="C65" s="4" t="s">
        <v>471</v>
      </c>
      <c r="D65" s="4" t="s">
        <v>80</v>
      </c>
      <c r="E65" s="5">
        <v>3631</v>
      </c>
      <c r="F65" s="6">
        <v>23.109499499999998</v>
      </c>
      <c r="G65" s="138">
        <v>8.2414020000000001E-3</v>
      </c>
      <c r="H65" s="142"/>
    </row>
    <row r="66" spans="1:8" x14ac:dyDescent="0.2">
      <c r="A66" s="3">
        <v>60</v>
      </c>
      <c r="B66" s="4" t="s">
        <v>286</v>
      </c>
      <c r="C66" s="4" t="s">
        <v>287</v>
      </c>
      <c r="D66" s="4" t="s">
        <v>207</v>
      </c>
      <c r="E66" s="5">
        <v>5701</v>
      </c>
      <c r="F66" s="6">
        <v>20.583460500000001</v>
      </c>
      <c r="G66" s="138">
        <v>7.3405559999999998E-3</v>
      </c>
      <c r="H66" s="142"/>
    </row>
    <row r="67" spans="1:8" x14ac:dyDescent="0.2">
      <c r="A67" s="3">
        <v>61</v>
      </c>
      <c r="B67" s="4" t="s">
        <v>275</v>
      </c>
      <c r="C67" s="4" t="s">
        <v>276</v>
      </c>
      <c r="D67" s="4" t="s">
        <v>335</v>
      </c>
      <c r="E67" s="5">
        <v>1566</v>
      </c>
      <c r="F67" s="6">
        <v>19.357326</v>
      </c>
      <c r="G67" s="138">
        <v>6.9032870000000001E-3</v>
      </c>
      <c r="H67" s="142"/>
    </row>
    <row r="68" spans="1:8" x14ac:dyDescent="0.2">
      <c r="A68" s="3">
        <v>62</v>
      </c>
      <c r="B68" s="4" t="s">
        <v>288</v>
      </c>
      <c r="C68" s="4" t="s">
        <v>289</v>
      </c>
      <c r="D68" s="4" t="s">
        <v>153</v>
      </c>
      <c r="E68" s="5">
        <v>1227</v>
      </c>
      <c r="F68" s="6">
        <v>17.128306500000001</v>
      </c>
      <c r="G68" s="138">
        <v>6.1083650000000001E-3</v>
      </c>
      <c r="H68" s="142"/>
    </row>
    <row r="69" spans="1:8" x14ac:dyDescent="0.2">
      <c r="A69" s="3">
        <v>63</v>
      </c>
      <c r="B69" s="4" t="s">
        <v>195</v>
      </c>
      <c r="C69" s="4" t="s">
        <v>196</v>
      </c>
      <c r="D69" s="4" t="s">
        <v>24</v>
      </c>
      <c r="E69" s="5">
        <v>8366</v>
      </c>
      <c r="F69" s="6">
        <v>15.970694</v>
      </c>
      <c r="G69" s="138">
        <v>5.695533E-3</v>
      </c>
      <c r="H69" s="142"/>
    </row>
    <row r="70" spans="1:8" x14ac:dyDescent="0.2">
      <c r="A70" s="3">
        <v>64</v>
      </c>
      <c r="B70" s="4" t="s">
        <v>284</v>
      </c>
      <c r="C70" s="4" t="s">
        <v>285</v>
      </c>
      <c r="D70" s="4" t="s">
        <v>164</v>
      </c>
      <c r="E70" s="5">
        <v>2982</v>
      </c>
      <c r="F70" s="6">
        <v>14.315091000000001</v>
      </c>
      <c r="G70" s="138">
        <v>5.1051050000000004E-3</v>
      </c>
      <c r="H70" s="142"/>
    </row>
    <row r="71" spans="1:8" x14ac:dyDescent="0.2">
      <c r="A71" s="3">
        <v>65</v>
      </c>
      <c r="B71" s="4" t="s">
        <v>290</v>
      </c>
      <c r="C71" s="4" t="s">
        <v>291</v>
      </c>
      <c r="D71" s="4" t="s">
        <v>153</v>
      </c>
      <c r="E71" s="5">
        <v>569</v>
      </c>
      <c r="F71" s="6">
        <v>3.4848404999999998</v>
      </c>
      <c r="G71" s="138">
        <v>1.2427779999999999E-3</v>
      </c>
      <c r="H71" s="142"/>
    </row>
    <row r="72" spans="1:8" x14ac:dyDescent="0.2">
      <c r="A72" s="3">
        <v>66</v>
      </c>
      <c r="B72" s="4" t="s">
        <v>292</v>
      </c>
      <c r="C72" s="4" t="s">
        <v>293</v>
      </c>
      <c r="D72" s="4" t="s">
        <v>24</v>
      </c>
      <c r="E72" s="5">
        <v>5448</v>
      </c>
      <c r="F72" s="6">
        <v>3.3886560000000001</v>
      </c>
      <c r="G72" s="138">
        <v>1.208476E-3</v>
      </c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9">
        <v>2757.2713840000001</v>
      </c>
      <c r="G73" s="139">
        <v>0.98330915200000002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107</v>
      </c>
      <c r="D75" s="1"/>
      <c r="E75" s="1"/>
      <c r="F75" s="1"/>
      <c r="G75" s="137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108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109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111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112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113</v>
      </c>
      <c r="D90" s="1"/>
      <c r="E90" s="1"/>
      <c r="F90" s="9">
        <v>2757.2713840000001</v>
      </c>
      <c r="G90" s="139">
        <v>0.98330915200000002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114</v>
      </c>
      <c r="D92" s="1"/>
      <c r="E92" s="1"/>
      <c r="F92" s="12"/>
      <c r="G92" s="140"/>
      <c r="H92" s="142"/>
    </row>
    <row r="93" spans="1:8" ht="25.5" x14ac:dyDescent="0.2">
      <c r="A93" s="1"/>
      <c r="B93" s="1"/>
      <c r="C93" s="2" t="s">
        <v>10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115</v>
      </c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116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117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118</v>
      </c>
      <c r="D105" s="1"/>
      <c r="E105" s="1"/>
      <c r="F105" s="9">
        <v>0</v>
      </c>
      <c r="G105" s="139">
        <v>0</v>
      </c>
      <c r="H105" s="142"/>
    </row>
    <row r="106" spans="1:8" x14ac:dyDescent="0.2">
      <c r="A106" s="1"/>
      <c r="B106" s="1"/>
      <c r="C106" s="11"/>
      <c r="D106" s="1"/>
      <c r="E106" s="1"/>
      <c r="F106" s="12"/>
      <c r="G106" s="140"/>
      <c r="H106" s="142"/>
    </row>
    <row r="107" spans="1:8" x14ac:dyDescent="0.2">
      <c r="A107" s="1"/>
      <c r="B107" s="1"/>
      <c r="C107" s="2" t="s">
        <v>119</v>
      </c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1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123</v>
      </c>
      <c r="D117" s="1"/>
      <c r="E117" s="1"/>
      <c r="F117" s="12"/>
      <c r="G117" s="140"/>
      <c r="H117" s="142"/>
    </row>
    <row r="118" spans="1:8" x14ac:dyDescent="0.2">
      <c r="A118" s="3">
        <v>1</v>
      </c>
      <c r="B118" s="4"/>
      <c r="C118" s="4" t="s">
        <v>124</v>
      </c>
      <c r="D118" s="4"/>
      <c r="E118" s="8"/>
      <c r="F118" s="6">
        <v>38.546594200000001</v>
      </c>
      <c r="G118" s="138">
        <v>1.3746641E-2</v>
      </c>
      <c r="H118" s="152">
        <v>3.3197683930276081</v>
      </c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9">
        <v>38.546594200000001</v>
      </c>
      <c r="G119" s="139">
        <v>1.3746641E-2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125</v>
      </c>
      <c r="D121" s="1"/>
      <c r="E121" s="1"/>
      <c r="F121" s="9">
        <v>38.546594200000001</v>
      </c>
      <c r="G121" s="139">
        <v>1.3746641E-2</v>
      </c>
      <c r="H121" s="142"/>
    </row>
    <row r="122" spans="1:8" x14ac:dyDescent="0.2">
      <c r="A122" s="1"/>
      <c r="B122" s="1"/>
      <c r="C122" s="12"/>
      <c r="D122" s="1"/>
      <c r="E122" s="1"/>
      <c r="F122" s="1"/>
      <c r="G122" s="137"/>
      <c r="H122" s="142"/>
    </row>
    <row r="123" spans="1:8" x14ac:dyDescent="0.2">
      <c r="A123" s="1"/>
      <c r="B123" s="1"/>
      <c r="C123" s="2" t="s">
        <v>126</v>
      </c>
      <c r="D123" s="1"/>
      <c r="E123" s="1"/>
      <c r="F123" s="1"/>
      <c r="G123" s="137"/>
      <c r="H123" s="142"/>
    </row>
    <row r="124" spans="1:8" x14ac:dyDescent="0.2">
      <c r="A124" s="1"/>
      <c r="B124" s="1"/>
      <c r="C124" s="2" t="s">
        <v>127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128</v>
      </c>
      <c r="D127" s="1"/>
      <c r="E127" s="1"/>
      <c r="F127" s="1"/>
      <c r="G127" s="137"/>
      <c r="H127" s="142"/>
    </row>
    <row r="128" spans="1:8" x14ac:dyDescent="0.2">
      <c r="A128" s="1"/>
      <c r="B128" s="1"/>
      <c r="C128" s="2" t="s">
        <v>129</v>
      </c>
      <c r="D128" s="1"/>
      <c r="E128" s="1"/>
      <c r="F128" s="1"/>
      <c r="G128" s="137"/>
      <c r="H128" s="142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1">
        <v>0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ht="25.5" x14ac:dyDescent="0.2">
      <c r="A132" s="1"/>
      <c r="B132" s="1"/>
      <c r="C132" s="2" t="s">
        <v>130</v>
      </c>
      <c r="D132" s="1"/>
      <c r="E132" s="1"/>
      <c r="F132" s="12"/>
      <c r="G132" s="140"/>
      <c r="H132" s="142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1">
        <v>0</v>
      </c>
      <c r="H133" s="142"/>
    </row>
    <row r="134" spans="1:8" x14ac:dyDescent="0.2">
      <c r="A134" s="1"/>
      <c r="B134" s="1"/>
      <c r="C134" s="11"/>
      <c r="D134" s="1"/>
      <c r="E134" s="1"/>
      <c r="F134" s="12"/>
      <c r="G134" s="140"/>
      <c r="H134" s="142"/>
    </row>
    <row r="135" spans="1:8" x14ac:dyDescent="0.2">
      <c r="A135" s="1"/>
      <c r="B135" s="4"/>
      <c r="C135" s="4"/>
      <c r="D135" s="2"/>
      <c r="E135" s="1"/>
      <c r="F135" s="4"/>
      <c r="G135" s="143"/>
      <c r="H135" s="142"/>
    </row>
    <row r="136" spans="1:8" x14ac:dyDescent="0.2">
      <c r="A136" s="8"/>
      <c r="B136" s="4"/>
      <c r="C136" s="4" t="s">
        <v>131</v>
      </c>
      <c r="D136" s="4"/>
      <c r="E136" s="8"/>
      <c r="F136" s="6">
        <v>8.2557708900000009</v>
      </c>
      <c r="G136" s="138">
        <v>2.944206E-3</v>
      </c>
      <c r="H136" s="142"/>
    </row>
    <row r="137" spans="1:8" x14ac:dyDescent="0.2">
      <c r="A137" s="11"/>
      <c r="B137" s="11"/>
      <c r="C137" s="2" t="s">
        <v>132</v>
      </c>
      <c r="D137" s="15"/>
      <c r="E137" s="15"/>
      <c r="F137" s="9">
        <v>2804.0737490900001</v>
      </c>
      <c r="G137" s="139">
        <v>0.99999999900000003</v>
      </c>
      <c r="H137" s="142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205" t="s">
        <v>106</v>
      </c>
      <c r="C139" s="205"/>
      <c r="D139" s="205"/>
      <c r="E139" s="205"/>
      <c r="F139" s="205"/>
      <c r="G139" s="20"/>
    </row>
    <row r="140" spans="1:8" ht="14.1" customHeight="1" x14ac:dyDescent="0.2">
      <c r="A140" s="18"/>
      <c r="B140" s="205" t="s">
        <v>106</v>
      </c>
      <c r="C140" s="205"/>
      <c r="D140" s="205"/>
      <c r="E140" s="205"/>
      <c r="F140" s="205"/>
      <c r="G140" s="20"/>
    </row>
    <row r="141" spans="1:8" ht="14.1" customHeight="1" x14ac:dyDescent="0.2">
      <c r="A141" s="18"/>
      <c r="B141" s="18"/>
      <c r="C141" s="18"/>
      <c r="D141" s="20"/>
      <c r="E141" s="20"/>
      <c r="F141" s="20"/>
      <c r="G141" s="20"/>
    </row>
    <row r="142" spans="1:8" ht="14.1" customHeight="1" x14ac:dyDescent="0.2">
      <c r="A142" s="18"/>
      <c r="B142" s="203" t="s">
        <v>134</v>
      </c>
      <c r="C142" s="204"/>
      <c r="D142" s="12" t="s">
        <v>106</v>
      </c>
      <c r="E142" s="21"/>
      <c r="F142" s="20"/>
      <c r="G142" s="20"/>
    </row>
    <row r="143" spans="1:8" ht="29.1" customHeight="1" x14ac:dyDescent="0.2">
      <c r="A143" s="18"/>
      <c r="B143" s="199" t="s">
        <v>135</v>
      </c>
      <c r="C143" s="200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99" t="s">
        <v>137</v>
      </c>
      <c r="C144" s="200"/>
      <c r="D144" s="2" t="s">
        <v>136</v>
      </c>
      <c r="E144" s="21"/>
      <c r="F144" s="20"/>
      <c r="G144" s="20"/>
    </row>
    <row r="145" spans="1:7" ht="17.100000000000001" customHeight="1" x14ac:dyDescent="0.2">
      <c r="A145" s="18"/>
      <c r="B145" s="199" t="s">
        <v>138</v>
      </c>
      <c r="C145" s="200"/>
      <c r="D145" s="12" t="s">
        <v>106</v>
      </c>
      <c r="E145" s="21"/>
      <c r="F145" s="20"/>
      <c r="G145" s="20"/>
    </row>
    <row r="146" spans="1:7" ht="24" customHeight="1" x14ac:dyDescent="0.2">
      <c r="A146" s="22"/>
      <c r="B146" s="23" t="s">
        <v>106</v>
      </c>
      <c r="C146" s="23" t="s">
        <v>139</v>
      </c>
      <c r="D146" s="23" t="s">
        <v>140</v>
      </c>
      <c r="E146" s="22"/>
      <c r="F146" s="22"/>
      <c r="G146" s="22"/>
    </row>
    <row r="147" spans="1:7" ht="18" customHeight="1" x14ac:dyDescent="0.2">
      <c r="A147" s="22"/>
      <c r="B147" s="23" t="s">
        <v>141</v>
      </c>
      <c r="C147" s="23" t="s">
        <v>142</v>
      </c>
      <c r="D147" s="23" t="s">
        <v>143</v>
      </c>
      <c r="E147" s="22"/>
      <c r="F147" s="22"/>
      <c r="G147" s="22"/>
    </row>
    <row r="148" spans="1:7" x14ac:dyDescent="0.2">
      <c r="A148" s="22"/>
      <c r="B148" s="4" t="s">
        <v>144</v>
      </c>
      <c r="C148" s="24">
        <v>16.3125</v>
      </c>
      <c r="D148" s="24">
        <v>17.025300000000001</v>
      </c>
      <c r="E148" s="22"/>
      <c r="F148" s="19"/>
      <c r="G148" s="25"/>
    </row>
    <row r="149" spans="1:7" x14ac:dyDescent="0.2">
      <c r="A149" s="22"/>
      <c r="B149" s="4" t="s">
        <v>1019</v>
      </c>
      <c r="C149" s="24">
        <v>15.7523</v>
      </c>
      <c r="D149" s="24">
        <v>16.4406</v>
      </c>
      <c r="E149" s="22"/>
      <c r="F149" s="19"/>
      <c r="G149" s="25"/>
    </row>
    <row r="150" spans="1:7" x14ac:dyDescent="0.2">
      <c r="A150" s="22"/>
      <c r="B150" s="4" t="s">
        <v>145</v>
      </c>
      <c r="C150" s="24">
        <v>16.122900000000001</v>
      </c>
      <c r="D150" s="24">
        <v>16.825700000000001</v>
      </c>
      <c r="E150" s="22"/>
      <c r="F150" s="19"/>
      <c r="G150" s="25"/>
    </row>
    <row r="151" spans="1:7" x14ac:dyDescent="0.2">
      <c r="A151" s="22"/>
      <c r="B151" s="4" t="s">
        <v>1020</v>
      </c>
      <c r="C151" s="24">
        <v>15.563499999999999</v>
      </c>
      <c r="D151" s="24">
        <v>16.242000000000001</v>
      </c>
      <c r="E151" s="22"/>
      <c r="F151" s="19"/>
      <c r="G151" s="25"/>
    </row>
    <row r="152" spans="1:7" ht="14.1" customHeight="1" x14ac:dyDescent="0.2">
      <c r="A152" s="22"/>
      <c r="B152" s="22"/>
      <c r="C152" s="22"/>
      <c r="D152" s="22"/>
      <c r="E152" s="22"/>
      <c r="F152" s="22"/>
      <c r="G152" s="22"/>
    </row>
    <row r="153" spans="1:7" ht="17.100000000000001" customHeight="1" x14ac:dyDescent="0.2">
      <c r="A153" s="22"/>
      <c r="B153" s="199" t="s">
        <v>1021</v>
      </c>
      <c r="C153" s="200"/>
      <c r="D153" s="2" t="s">
        <v>136</v>
      </c>
      <c r="E153" s="22"/>
      <c r="F153" s="22"/>
      <c r="G153" s="22"/>
    </row>
    <row r="154" spans="1:7" ht="18" customHeight="1" x14ac:dyDescent="0.2">
      <c r="A154" s="22"/>
      <c r="B154" s="26"/>
      <c r="C154" s="26"/>
      <c r="D154" s="27"/>
      <c r="E154" s="22"/>
      <c r="F154" s="22"/>
      <c r="G154" s="22"/>
    </row>
    <row r="155" spans="1:7" s="125" customFormat="1" x14ac:dyDescent="0.2">
      <c r="B155" s="201" t="s">
        <v>825</v>
      </c>
      <c r="C155" s="201"/>
      <c r="D155" s="201"/>
      <c r="E155" s="201"/>
      <c r="F155" s="201"/>
    </row>
    <row r="156" spans="1:7" ht="14.1" customHeight="1" x14ac:dyDescent="0.2">
      <c r="A156" s="22"/>
      <c r="B156" s="19"/>
      <c r="C156" s="19"/>
      <c r="D156" s="22"/>
      <c r="E156" s="22"/>
      <c r="F156" s="22"/>
      <c r="G156" s="22"/>
    </row>
    <row r="157" spans="1:7" ht="29.1" customHeight="1" x14ac:dyDescent="0.2">
      <c r="A157" s="22"/>
      <c r="B157" s="199" t="s">
        <v>146</v>
      </c>
      <c r="C157" s="200"/>
      <c r="D157" s="2" t="s">
        <v>136</v>
      </c>
      <c r="E157" s="22"/>
      <c r="F157" s="22"/>
      <c r="G157" s="22"/>
    </row>
    <row r="158" spans="1:7" ht="29.1" customHeight="1" x14ac:dyDescent="0.2">
      <c r="A158" s="22"/>
      <c r="B158" s="199" t="s">
        <v>147</v>
      </c>
      <c r="C158" s="200"/>
      <c r="D158" s="2" t="s">
        <v>136</v>
      </c>
      <c r="E158" s="22"/>
      <c r="F158" s="22"/>
      <c r="G158" s="22"/>
    </row>
    <row r="159" spans="1:7" ht="17.100000000000001" customHeight="1" x14ac:dyDescent="0.2">
      <c r="A159" s="22"/>
      <c r="B159" s="199" t="s">
        <v>148</v>
      </c>
      <c r="C159" s="200"/>
      <c r="D159" s="28">
        <v>0.3664411590014911</v>
      </c>
      <c r="E159" s="22"/>
      <c r="F159" s="19"/>
      <c r="G159" s="25"/>
    </row>
    <row r="160" spans="1:7" ht="17.100000000000001" customHeight="1" x14ac:dyDescent="0.2">
      <c r="A160" s="22"/>
      <c r="B160" s="199" t="s">
        <v>149</v>
      </c>
      <c r="C160" s="200"/>
      <c r="D160" s="2" t="s">
        <v>136</v>
      </c>
      <c r="E160" s="22"/>
      <c r="F160" s="22"/>
      <c r="G160" s="22"/>
    </row>
  </sheetData>
  <mergeCells count="16">
    <mergeCell ref="J2:N2"/>
    <mergeCell ref="B142:C142"/>
    <mergeCell ref="B139:F139"/>
    <mergeCell ref="B140:F140"/>
    <mergeCell ref="A1:H1"/>
    <mergeCell ref="A2:H2"/>
    <mergeCell ref="A3:H3"/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135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501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32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5610</v>
      </c>
      <c r="F7" s="6">
        <v>141.329925</v>
      </c>
      <c r="G7" s="138">
        <v>7.5811548000000006E-2</v>
      </c>
      <c r="H7" s="142"/>
    </row>
    <row r="8" spans="1:14" x14ac:dyDescent="0.2">
      <c r="A8" s="3">
        <v>2</v>
      </c>
      <c r="B8" s="4" t="s">
        <v>410</v>
      </c>
      <c r="C8" s="4" t="s">
        <v>411</v>
      </c>
      <c r="D8" s="4" t="s">
        <v>164</v>
      </c>
      <c r="E8" s="5">
        <v>8300</v>
      </c>
      <c r="F8" s="6">
        <v>139.04159999999999</v>
      </c>
      <c r="G8" s="138">
        <v>7.4584054999999996E-2</v>
      </c>
      <c r="H8" s="142"/>
    </row>
    <row r="9" spans="1:14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19709</v>
      </c>
      <c r="F9" s="6">
        <v>138.1305265</v>
      </c>
      <c r="G9" s="138">
        <v>7.4095340999999995E-2</v>
      </c>
      <c r="H9" s="142"/>
    </row>
    <row r="10" spans="1:14" x14ac:dyDescent="0.2">
      <c r="A10" s="3">
        <v>4</v>
      </c>
      <c r="B10" s="4" t="s">
        <v>408</v>
      </c>
      <c r="C10" s="4" t="s">
        <v>409</v>
      </c>
      <c r="D10" s="4" t="s">
        <v>24</v>
      </c>
      <c r="E10" s="5">
        <v>7820</v>
      </c>
      <c r="F10" s="6">
        <v>124.72508999999999</v>
      </c>
      <c r="G10" s="138">
        <v>6.6904458999999999E-2</v>
      </c>
      <c r="H10" s="142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80</v>
      </c>
      <c r="E11" s="5">
        <v>3376</v>
      </c>
      <c r="F11" s="6">
        <v>92.985168000000002</v>
      </c>
      <c r="G11" s="138">
        <v>4.9878675999999997E-2</v>
      </c>
      <c r="H11" s="142"/>
    </row>
    <row r="12" spans="1:14" ht="25.5" x14ac:dyDescent="0.2">
      <c r="A12" s="3">
        <v>6</v>
      </c>
      <c r="B12" s="4" t="s">
        <v>323</v>
      </c>
      <c r="C12" s="4" t="s">
        <v>324</v>
      </c>
      <c r="D12" s="4" t="s">
        <v>90</v>
      </c>
      <c r="E12" s="5">
        <v>8598</v>
      </c>
      <c r="F12" s="6">
        <v>77.175647999999995</v>
      </c>
      <c r="G12" s="138">
        <v>4.1398206E-2</v>
      </c>
      <c r="H12" s="142"/>
    </row>
    <row r="13" spans="1:14" x14ac:dyDescent="0.2">
      <c r="A13" s="3">
        <v>7</v>
      </c>
      <c r="B13" s="4" t="s">
        <v>414</v>
      </c>
      <c r="C13" s="4" t="s">
        <v>415</v>
      </c>
      <c r="D13" s="4" t="s">
        <v>24</v>
      </c>
      <c r="E13" s="5">
        <v>16051</v>
      </c>
      <c r="F13" s="6">
        <v>72.711029999999994</v>
      </c>
      <c r="G13" s="138">
        <v>3.9003316000000003E-2</v>
      </c>
      <c r="H13" s="142"/>
    </row>
    <row r="14" spans="1:14" x14ac:dyDescent="0.2">
      <c r="A14" s="3">
        <v>8</v>
      </c>
      <c r="B14" s="4" t="s">
        <v>336</v>
      </c>
      <c r="C14" s="4" t="s">
        <v>337</v>
      </c>
      <c r="D14" s="4" t="s">
        <v>24</v>
      </c>
      <c r="E14" s="5">
        <v>8341</v>
      </c>
      <c r="F14" s="6">
        <v>63.937935500000002</v>
      </c>
      <c r="G14" s="138">
        <v>3.4297293E-2</v>
      </c>
      <c r="H14" s="142"/>
    </row>
    <row r="15" spans="1:14" ht="15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3340</v>
      </c>
      <c r="F15" s="6">
        <v>56.878529999999998</v>
      </c>
      <c r="G15" s="138">
        <v>3.0510519E-2</v>
      </c>
      <c r="H15" s="142"/>
      <c r="J15" s="163" t="s">
        <v>1035</v>
      </c>
    </row>
    <row r="16" spans="1:14" x14ac:dyDescent="0.2">
      <c r="A16" s="3">
        <v>10</v>
      </c>
      <c r="B16" s="4" t="s">
        <v>151</v>
      </c>
      <c r="C16" s="4" t="s">
        <v>152</v>
      </c>
      <c r="D16" s="4" t="s">
        <v>153</v>
      </c>
      <c r="E16" s="5">
        <v>1505</v>
      </c>
      <c r="F16" s="6">
        <v>55.455487499999997</v>
      </c>
      <c r="G16" s="138">
        <v>2.9747177E-2</v>
      </c>
      <c r="H16" s="142"/>
    </row>
    <row r="17" spans="1:8" ht="25.5" x14ac:dyDescent="0.2">
      <c r="A17" s="3">
        <v>11</v>
      </c>
      <c r="B17" s="4" t="s">
        <v>38</v>
      </c>
      <c r="C17" s="4" t="s">
        <v>39</v>
      </c>
      <c r="D17" s="4" t="s">
        <v>1023</v>
      </c>
      <c r="E17" s="5">
        <v>746</v>
      </c>
      <c r="F17" s="6">
        <v>55.174906</v>
      </c>
      <c r="G17" s="138">
        <v>2.9596668999999999E-2</v>
      </c>
      <c r="H17" s="142"/>
    </row>
    <row r="18" spans="1:8" x14ac:dyDescent="0.2">
      <c r="A18" s="3">
        <v>12</v>
      </c>
      <c r="B18" s="4" t="s">
        <v>368</v>
      </c>
      <c r="C18" s="4" t="s">
        <v>369</v>
      </c>
      <c r="D18" s="4" t="s">
        <v>164</v>
      </c>
      <c r="E18" s="5">
        <v>3900</v>
      </c>
      <c r="F18" s="6">
        <v>49.902450000000002</v>
      </c>
      <c r="G18" s="138">
        <v>2.6768442E-2</v>
      </c>
      <c r="H18" s="142"/>
    </row>
    <row r="19" spans="1:8" x14ac:dyDescent="0.2">
      <c r="A19" s="3">
        <v>13</v>
      </c>
      <c r="B19" s="4" t="s">
        <v>17</v>
      </c>
      <c r="C19" s="4" t="s">
        <v>18</v>
      </c>
      <c r="D19" s="4" t="s">
        <v>19</v>
      </c>
      <c r="E19" s="5">
        <v>6757</v>
      </c>
      <c r="F19" s="6">
        <v>46.508431000000002</v>
      </c>
      <c r="G19" s="138">
        <v>2.4947838E-2</v>
      </c>
      <c r="H19" s="142"/>
    </row>
    <row r="20" spans="1:8" x14ac:dyDescent="0.2">
      <c r="A20" s="3">
        <v>14</v>
      </c>
      <c r="B20" s="4" t="s">
        <v>416</v>
      </c>
      <c r="C20" s="4" t="s">
        <v>417</v>
      </c>
      <c r="D20" s="4" t="s">
        <v>1030</v>
      </c>
      <c r="E20" s="5">
        <v>3435</v>
      </c>
      <c r="F20" s="6">
        <v>41.738684999999997</v>
      </c>
      <c r="G20" s="138">
        <v>2.2389273000000001E-2</v>
      </c>
      <c r="H20" s="142"/>
    </row>
    <row r="21" spans="1:8" x14ac:dyDescent="0.2">
      <c r="A21" s="3">
        <v>15</v>
      </c>
      <c r="B21" s="4" t="s">
        <v>179</v>
      </c>
      <c r="C21" s="4" t="s">
        <v>180</v>
      </c>
      <c r="D21" s="4" t="s">
        <v>181</v>
      </c>
      <c r="E21" s="5">
        <v>16375</v>
      </c>
      <c r="F21" s="6">
        <v>40.511749999999999</v>
      </c>
      <c r="G21" s="138">
        <v>2.1731126E-2</v>
      </c>
      <c r="H21" s="142"/>
    </row>
    <row r="22" spans="1:8" ht="25.5" x14ac:dyDescent="0.2">
      <c r="A22" s="3">
        <v>16</v>
      </c>
      <c r="B22" s="4" t="s">
        <v>502</v>
      </c>
      <c r="C22" s="4" t="s">
        <v>503</v>
      </c>
      <c r="D22" s="4" t="s">
        <v>1023</v>
      </c>
      <c r="E22" s="5">
        <v>2750</v>
      </c>
      <c r="F22" s="6">
        <v>39.481749999999998</v>
      </c>
      <c r="G22" s="138">
        <v>2.1178618999999999E-2</v>
      </c>
      <c r="H22" s="142"/>
    </row>
    <row r="23" spans="1:8" x14ac:dyDescent="0.2">
      <c r="A23" s="3">
        <v>17</v>
      </c>
      <c r="B23" s="4" t="s">
        <v>376</v>
      </c>
      <c r="C23" s="4" t="s">
        <v>377</v>
      </c>
      <c r="D23" s="4" t="s">
        <v>254</v>
      </c>
      <c r="E23" s="5">
        <v>4800</v>
      </c>
      <c r="F23" s="6">
        <v>38.133600000000001</v>
      </c>
      <c r="G23" s="138">
        <v>2.045545E-2</v>
      </c>
      <c r="H23" s="142"/>
    </row>
    <row r="24" spans="1:8" x14ac:dyDescent="0.2">
      <c r="A24" s="3">
        <v>18</v>
      </c>
      <c r="B24" s="4" t="s">
        <v>212</v>
      </c>
      <c r="C24" s="4" t="s">
        <v>213</v>
      </c>
      <c r="D24" s="4" t="s">
        <v>1027</v>
      </c>
      <c r="E24" s="5">
        <v>4000</v>
      </c>
      <c r="F24" s="6">
        <v>36.648000000000003</v>
      </c>
      <c r="G24" s="138">
        <v>1.9658551E-2</v>
      </c>
      <c r="H24" s="142"/>
    </row>
    <row r="25" spans="1:8" x14ac:dyDescent="0.2">
      <c r="A25" s="3">
        <v>19</v>
      </c>
      <c r="B25" s="4" t="s">
        <v>420</v>
      </c>
      <c r="C25" s="4" t="s">
        <v>421</v>
      </c>
      <c r="D25" s="4" t="s">
        <v>164</v>
      </c>
      <c r="E25" s="5">
        <v>969</v>
      </c>
      <c r="F25" s="6">
        <v>36.585079499999999</v>
      </c>
      <c r="G25" s="138">
        <v>1.9624800000000001E-2</v>
      </c>
      <c r="H25" s="142"/>
    </row>
    <row r="26" spans="1:8" x14ac:dyDescent="0.2">
      <c r="A26" s="3">
        <v>20</v>
      </c>
      <c r="B26" s="4" t="s">
        <v>40</v>
      </c>
      <c r="C26" s="4" t="s">
        <v>41</v>
      </c>
      <c r="D26" s="4" t="s">
        <v>16</v>
      </c>
      <c r="E26" s="5">
        <v>8136</v>
      </c>
      <c r="F26" s="6">
        <v>35.163792000000001</v>
      </c>
      <c r="G26" s="138">
        <v>1.8862398999999998E-2</v>
      </c>
      <c r="H26" s="142"/>
    </row>
    <row r="27" spans="1:8" x14ac:dyDescent="0.2">
      <c r="A27" s="3">
        <v>21</v>
      </c>
      <c r="B27" s="4" t="s">
        <v>72</v>
      </c>
      <c r="C27" s="4" t="s">
        <v>73</v>
      </c>
      <c r="D27" s="4" t="s">
        <v>27</v>
      </c>
      <c r="E27" s="5">
        <v>3462</v>
      </c>
      <c r="F27" s="6">
        <v>34.341309000000003</v>
      </c>
      <c r="G27" s="138">
        <v>1.8421206999999998E-2</v>
      </c>
      <c r="H27" s="142"/>
    </row>
    <row r="28" spans="1:8" x14ac:dyDescent="0.2">
      <c r="A28" s="3">
        <v>22</v>
      </c>
      <c r="B28" s="4" t="s">
        <v>352</v>
      </c>
      <c r="C28" s="4" t="s">
        <v>353</v>
      </c>
      <c r="D28" s="4" t="s">
        <v>48</v>
      </c>
      <c r="E28" s="5">
        <v>4814</v>
      </c>
      <c r="F28" s="6">
        <v>33.905002000000003</v>
      </c>
      <c r="G28" s="138">
        <v>1.8187165000000002E-2</v>
      </c>
      <c r="H28" s="142"/>
    </row>
    <row r="29" spans="1:8" x14ac:dyDescent="0.2">
      <c r="A29" s="3">
        <v>23</v>
      </c>
      <c r="B29" s="4" t="s">
        <v>441</v>
      </c>
      <c r="C29" s="4" t="s">
        <v>442</v>
      </c>
      <c r="D29" s="4" t="s">
        <v>24</v>
      </c>
      <c r="E29" s="5">
        <v>1570</v>
      </c>
      <c r="F29" s="6">
        <v>31.486350000000002</v>
      </c>
      <c r="G29" s="138">
        <v>1.6889762999999999E-2</v>
      </c>
      <c r="H29" s="142"/>
    </row>
    <row r="30" spans="1:8" x14ac:dyDescent="0.2">
      <c r="A30" s="3">
        <v>24</v>
      </c>
      <c r="B30" s="4" t="s">
        <v>504</v>
      </c>
      <c r="C30" s="4" t="s">
        <v>505</v>
      </c>
      <c r="D30" s="4" t="s">
        <v>51</v>
      </c>
      <c r="E30" s="5">
        <v>1421</v>
      </c>
      <c r="F30" s="6">
        <v>30.7198885</v>
      </c>
      <c r="G30" s="138">
        <v>1.6478620999999999E-2</v>
      </c>
      <c r="H30" s="142"/>
    </row>
    <row r="31" spans="1:8" x14ac:dyDescent="0.2">
      <c r="A31" s="3">
        <v>25</v>
      </c>
      <c r="B31" s="4" t="s">
        <v>506</v>
      </c>
      <c r="C31" s="4" t="s">
        <v>507</v>
      </c>
      <c r="D31" s="4" t="s">
        <v>83</v>
      </c>
      <c r="E31" s="5">
        <v>9000</v>
      </c>
      <c r="F31" s="6">
        <v>30.0015</v>
      </c>
      <c r="G31" s="138">
        <v>1.6093267000000001E-2</v>
      </c>
      <c r="H31" s="142"/>
    </row>
    <row r="32" spans="1:8" ht="25.5" x14ac:dyDescent="0.2">
      <c r="A32" s="3">
        <v>26</v>
      </c>
      <c r="B32" s="4" t="s">
        <v>435</v>
      </c>
      <c r="C32" s="4" t="s">
        <v>436</v>
      </c>
      <c r="D32" s="4" t="s">
        <v>90</v>
      </c>
      <c r="E32" s="5">
        <v>12606</v>
      </c>
      <c r="F32" s="6">
        <v>29.769068999999998</v>
      </c>
      <c r="G32" s="138">
        <v>1.5968586999999999E-2</v>
      </c>
      <c r="H32" s="142"/>
    </row>
    <row r="33" spans="1:8" x14ac:dyDescent="0.2">
      <c r="A33" s="3">
        <v>27</v>
      </c>
      <c r="B33" s="4" t="s">
        <v>348</v>
      </c>
      <c r="C33" s="4" t="s">
        <v>349</v>
      </c>
      <c r="D33" s="4" t="s">
        <v>59</v>
      </c>
      <c r="E33" s="5">
        <v>6000</v>
      </c>
      <c r="F33" s="6">
        <v>23.355</v>
      </c>
      <c r="G33" s="138">
        <v>1.2527982E-2</v>
      </c>
      <c r="H33" s="142"/>
    </row>
    <row r="34" spans="1:8" x14ac:dyDescent="0.2">
      <c r="A34" s="3">
        <v>28</v>
      </c>
      <c r="B34" s="4" t="s">
        <v>424</v>
      </c>
      <c r="C34" s="4" t="s">
        <v>425</v>
      </c>
      <c r="D34" s="4" t="s">
        <v>207</v>
      </c>
      <c r="E34" s="5">
        <v>2650</v>
      </c>
      <c r="F34" s="6">
        <v>21.683624999999999</v>
      </c>
      <c r="G34" s="138">
        <v>1.163143E-2</v>
      </c>
      <c r="H34" s="142"/>
    </row>
    <row r="35" spans="1:8" ht="25.5" x14ac:dyDescent="0.2">
      <c r="A35" s="3">
        <v>29</v>
      </c>
      <c r="B35" s="4" t="s">
        <v>418</v>
      </c>
      <c r="C35" s="4" t="s">
        <v>419</v>
      </c>
      <c r="D35" s="4" t="s">
        <v>90</v>
      </c>
      <c r="E35" s="5">
        <v>788</v>
      </c>
      <c r="F35" s="6">
        <v>21.290184</v>
      </c>
      <c r="G35" s="138">
        <v>1.1420382E-2</v>
      </c>
      <c r="H35" s="142"/>
    </row>
    <row r="36" spans="1:8" x14ac:dyDescent="0.2">
      <c r="A36" s="3">
        <v>30</v>
      </c>
      <c r="B36" s="4" t="s">
        <v>451</v>
      </c>
      <c r="C36" s="4" t="s">
        <v>452</v>
      </c>
      <c r="D36" s="4" t="s">
        <v>207</v>
      </c>
      <c r="E36" s="5">
        <v>2158</v>
      </c>
      <c r="F36" s="6">
        <v>21.225009</v>
      </c>
      <c r="G36" s="138">
        <v>1.1385421999999999E-2</v>
      </c>
      <c r="H36" s="142"/>
    </row>
    <row r="37" spans="1:8" x14ac:dyDescent="0.2">
      <c r="A37" s="3">
        <v>31</v>
      </c>
      <c r="B37" s="4" t="s">
        <v>344</v>
      </c>
      <c r="C37" s="4" t="s">
        <v>345</v>
      </c>
      <c r="D37" s="4" t="s">
        <v>24</v>
      </c>
      <c r="E37" s="5">
        <v>25000</v>
      </c>
      <c r="F37" s="6">
        <v>21.074999999999999</v>
      </c>
      <c r="G37" s="138">
        <v>1.1304954000000001E-2</v>
      </c>
      <c r="H37" s="142"/>
    </row>
    <row r="38" spans="1:8" x14ac:dyDescent="0.2">
      <c r="A38" s="3">
        <v>32</v>
      </c>
      <c r="B38" s="4" t="s">
        <v>360</v>
      </c>
      <c r="C38" s="4" t="s">
        <v>361</v>
      </c>
      <c r="D38" s="4" t="s">
        <v>24</v>
      </c>
      <c r="E38" s="5">
        <v>25574</v>
      </c>
      <c r="F38" s="6">
        <v>20.906745000000001</v>
      </c>
      <c r="G38" s="138">
        <v>1.1214699999999999E-2</v>
      </c>
      <c r="H38" s="142"/>
    </row>
    <row r="39" spans="1:8" ht="25.5" x14ac:dyDescent="0.2">
      <c r="A39" s="3">
        <v>33</v>
      </c>
      <c r="B39" s="4" t="s">
        <v>398</v>
      </c>
      <c r="C39" s="4" t="s">
        <v>399</v>
      </c>
      <c r="D39" s="4" t="s">
        <v>90</v>
      </c>
      <c r="E39" s="5">
        <v>2500</v>
      </c>
      <c r="F39" s="6">
        <v>20.34</v>
      </c>
      <c r="G39" s="138">
        <v>1.0910688999999999E-2</v>
      </c>
      <c r="H39" s="142"/>
    </row>
    <row r="40" spans="1:8" x14ac:dyDescent="0.2">
      <c r="A40" s="3">
        <v>34</v>
      </c>
      <c r="B40" s="4" t="s">
        <v>404</v>
      </c>
      <c r="C40" s="4" t="s">
        <v>405</v>
      </c>
      <c r="D40" s="4" t="s">
        <v>335</v>
      </c>
      <c r="E40" s="5">
        <v>7968</v>
      </c>
      <c r="F40" s="6">
        <v>19.629168</v>
      </c>
      <c r="G40" s="138">
        <v>1.0529388000000001E-2</v>
      </c>
      <c r="H40" s="142"/>
    </row>
    <row r="41" spans="1:8" x14ac:dyDescent="0.2">
      <c r="A41" s="3">
        <v>35</v>
      </c>
      <c r="B41" s="4" t="s">
        <v>431</v>
      </c>
      <c r="C41" s="4" t="s">
        <v>432</v>
      </c>
      <c r="D41" s="4" t="s">
        <v>59</v>
      </c>
      <c r="E41" s="5">
        <v>1501</v>
      </c>
      <c r="F41" s="6">
        <v>19.346388999999999</v>
      </c>
      <c r="G41" s="138">
        <v>1.0377701E-2</v>
      </c>
      <c r="H41" s="142"/>
    </row>
    <row r="42" spans="1:8" x14ac:dyDescent="0.2">
      <c r="A42" s="3">
        <v>36</v>
      </c>
      <c r="B42" s="4" t="s">
        <v>91</v>
      </c>
      <c r="C42" s="4" t="s">
        <v>92</v>
      </c>
      <c r="D42" s="4" t="s">
        <v>27</v>
      </c>
      <c r="E42" s="5">
        <v>248</v>
      </c>
      <c r="F42" s="6">
        <v>18.745204000000001</v>
      </c>
      <c r="G42" s="138">
        <v>1.0055216000000001E-2</v>
      </c>
      <c r="H42" s="142"/>
    </row>
    <row r="43" spans="1:8" x14ac:dyDescent="0.2">
      <c r="A43" s="3">
        <v>37</v>
      </c>
      <c r="B43" s="4" t="s">
        <v>464</v>
      </c>
      <c r="C43" s="4" t="s">
        <v>465</v>
      </c>
      <c r="D43" s="4" t="s">
        <v>48</v>
      </c>
      <c r="E43" s="5">
        <v>4424</v>
      </c>
      <c r="F43" s="6">
        <v>18.567527999999999</v>
      </c>
      <c r="G43" s="138">
        <v>9.959908E-3</v>
      </c>
      <c r="H43" s="142"/>
    </row>
    <row r="44" spans="1:8" x14ac:dyDescent="0.2">
      <c r="A44" s="3">
        <v>38</v>
      </c>
      <c r="B44" s="4" t="s">
        <v>54</v>
      </c>
      <c r="C44" s="4" t="s">
        <v>55</v>
      </c>
      <c r="D44" s="4" t="s">
        <v>56</v>
      </c>
      <c r="E44" s="5">
        <v>10893</v>
      </c>
      <c r="F44" s="6">
        <v>17.303530500000001</v>
      </c>
      <c r="G44" s="138">
        <v>9.2818799999999993E-3</v>
      </c>
      <c r="H44" s="142"/>
    </row>
    <row r="45" spans="1:8" x14ac:dyDescent="0.2">
      <c r="A45" s="3">
        <v>39</v>
      </c>
      <c r="B45" s="4" t="s">
        <v>422</v>
      </c>
      <c r="C45" s="4" t="s">
        <v>423</v>
      </c>
      <c r="D45" s="4" t="s">
        <v>164</v>
      </c>
      <c r="E45" s="5">
        <v>2582</v>
      </c>
      <c r="F45" s="6">
        <v>16.372461999999999</v>
      </c>
      <c r="G45" s="138">
        <v>8.7824410000000002E-3</v>
      </c>
      <c r="H45" s="142"/>
    </row>
    <row r="46" spans="1:8" x14ac:dyDescent="0.2">
      <c r="A46" s="3">
        <v>40</v>
      </c>
      <c r="B46" s="4" t="s">
        <v>346</v>
      </c>
      <c r="C46" s="4" t="s">
        <v>347</v>
      </c>
      <c r="D46" s="4" t="s">
        <v>207</v>
      </c>
      <c r="E46" s="5">
        <v>280</v>
      </c>
      <c r="F46" s="6">
        <v>10.41572</v>
      </c>
      <c r="G46" s="138">
        <v>5.5871530000000001E-3</v>
      </c>
      <c r="H46" s="142"/>
    </row>
    <row r="47" spans="1:8" x14ac:dyDescent="0.2">
      <c r="A47" s="1"/>
      <c r="B47" s="1"/>
      <c r="C47" s="2" t="s">
        <v>105</v>
      </c>
      <c r="D47" s="1"/>
      <c r="E47" s="1" t="s">
        <v>106</v>
      </c>
      <c r="F47" s="9">
        <v>1842.698067</v>
      </c>
      <c r="G47" s="139">
        <v>0.98845161299999995</v>
      </c>
      <c r="H47" s="142"/>
    </row>
    <row r="48" spans="1:8" x14ac:dyDescent="0.2">
      <c r="A48" s="1"/>
      <c r="B48" s="1"/>
      <c r="C48" s="11"/>
      <c r="D48" s="1"/>
      <c r="E48" s="1"/>
      <c r="F48" s="12"/>
      <c r="G48" s="140"/>
      <c r="H48" s="142"/>
    </row>
    <row r="49" spans="1:8" x14ac:dyDescent="0.2">
      <c r="A49" s="1"/>
      <c r="B49" s="1"/>
      <c r="C49" s="2" t="s">
        <v>107</v>
      </c>
      <c r="D49" s="1"/>
      <c r="E49" s="1"/>
      <c r="F49" s="1"/>
      <c r="G49" s="137"/>
      <c r="H49" s="142"/>
    </row>
    <row r="50" spans="1:8" x14ac:dyDescent="0.2">
      <c r="A50" s="1"/>
      <c r="B50" s="1"/>
      <c r="C50" s="2" t="s">
        <v>105</v>
      </c>
      <c r="D50" s="1"/>
      <c r="E50" s="1" t="s">
        <v>106</v>
      </c>
      <c r="F50" s="13">
        <v>0</v>
      </c>
      <c r="G50" s="141">
        <v>0</v>
      </c>
      <c r="H50" s="142"/>
    </row>
    <row r="51" spans="1:8" x14ac:dyDescent="0.2">
      <c r="A51" s="1"/>
      <c r="B51" s="1"/>
      <c r="C51" s="11"/>
      <c r="D51" s="1"/>
      <c r="E51" s="1"/>
      <c r="F51" s="12"/>
      <c r="G51" s="140"/>
      <c r="H51" s="142"/>
    </row>
    <row r="52" spans="1:8" x14ac:dyDescent="0.2">
      <c r="A52" s="1"/>
      <c r="B52" s="1"/>
      <c r="C52" s="2" t="s">
        <v>108</v>
      </c>
      <c r="D52" s="1"/>
      <c r="E52" s="1"/>
      <c r="F52" s="1"/>
      <c r="G52" s="137"/>
      <c r="H52" s="142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13">
        <v>0</v>
      </c>
      <c r="G53" s="141">
        <v>0</v>
      </c>
      <c r="H53" s="142"/>
    </row>
    <row r="54" spans="1:8" x14ac:dyDescent="0.2">
      <c r="A54" s="1"/>
      <c r="B54" s="1"/>
      <c r="C54" s="11"/>
      <c r="D54" s="1"/>
      <c r="E54" s="1"/>
      <c r="F54" s="12"/>
      <c r="G54" s="140"/>
      <c r="H54" s="142"/>
    </row>
    <row r="55" spans="1:8" x14ac:dyDescent="0.2">
      <c r="A55" s="1"/>
      <c r="B55" s="1"/>
      <c r="C55" s="2" t="s">
        <v>109</v>
      </c>
      <c r="D55" s="1"/>
      <c r="E55" s="1"/>
      <c r="F55" s="1"/>
      <c r="G55" s="137"/>
      <c r="H55" s="142"/>
    </row>
    <row r="56" spans="1:8" x14ac:dyDescent="0.2">
      <c r="A56" s="3">
        <v>1</v>
      </c>
      <c r="B56" s="4" t="s">
        <v>110</v>
      </c>
      <c r="C56" s="4" t="s">
        <v>996</v>
      </c>
      <c r="D56" s="4" t="s">
        <v>19</v>
      </c>
      <c r="E56" s="5">
        <v>482</v>
      </c>
      <c r="F56" s="6">
        <v>0.73890599999999995</v>
      </c>
      <c r="G56" s="138">
        <v>3.9636100000000002E-4</v>
      </c>
      <c r="H56" s="14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9">
        <v>0.73890599999999995</v>
      </c>
      <c r="G57" s="139">
        <v>3.9636100000000002E-4</v>
      </c>
      <c r="H57" s="142"/>
    </row>
    <row r="58" spans="1:8" x14ac:dyDescent="0.2">
      <c r="A58" s="1"/>
      <c r="B58" s="1"/>
      <c r="C58" s="11"/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111</v>
      </c>
      <c r="D59" s="1"/>
      <c r="E59" s="1"/>
      <c r="F59" s="12"/>
      <c r="G59" s="140"/>
      <c r="H59" s="14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1">
        <v>0</v>
      </c>
      <c r="H60" s="142"/>
    </row>
    <row r="61" spans="1:8" x14ac:dyDescent="0.2">
      <c r="A61" s="1"/>
      <c r="B61" s="1"/>
      <c r="C61" s="11"/>
      <c r="D61" s="1"/>
      <c r="E61" s="1"/>
      <c r="F61" s="12"/>
      <c r="G61" s="140"/>
      <c r="H61" s="142"/>
    </row>
    <row r="62" spans="1:8" x14ac:dyDescent="0.2">
      <c r="A62" s="1"/>
      <c r="B62" s="1"/>
      <c r="C62" s="2" t="s">
        <v>112</v>
      </c>
      <c r="D62" s="1"/>
      <c r="E62" s="1"/>
      <c r="F62" s="12"/>
      <c r="G62" s="140"/>
      <c r="H62" s="142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1">
        <v>0</v>
      </c>
      <c r="H63" s="142"/>
    </row>
    <row r="64" spans="1:8" x14ac:dyDescent="0.2">
      <c r="A64" s="1"/>
      <c r="B64" s="1"/>
      <c r="C64" s="11"/>
      <c r="D64" s="1"/>
      <c r="E64" s="1"/>
      <c r="F64" s="12"/>
      <c r="G64" s="140"/>
      <c r="H64" s="142"/>
    </row>
    <row r="65" spans="1:8" x14ac:dyDescent="0.2">
      <c r="A65" s="1"/>
      <c r="B65" s="1"/>
      <c r="C65" s="2" t="s">
        <v>113</v>
      </c>
      <c r="D65" s="1"/>
      <c r="E65" s="1"/>
      <c r="F65" s="9">
        <v>1843.4369730000001</v>
      </c>
      <c r="G65" s="139">
        <v>0.98884797400000002</v>
      </c>
      <c r="H65" s="142"/>
    </row>
    <row r="66" spans="1:8" x14ac:dyDescent="0.2">
      <c r="A66" s="1"/>
      <c r="B66" s="1"/>
      <c r="C66" s="11"/>
      <c r="D66" s="1"/>
      <c r="E66" s="1"/>
      <c r="F66" s="12"/>
      <c r="G66" s="140"/>
      <c r="H66" s="142"/>
    </row>
    <row r="67" spans="1:8" x14ac:dyDescent="0.2">
      <c r="A67" s="1"/>
      <c r="B67" s="1"/>
      <c r="C67" s="2" t="s">
        <v>114</v>
      </c>
      <c r="D67" s="1"/>
      <c r="E67" s="1"/>
      <c r="F67" s="12"/>
      <c r="G67" s="140"/>
      <c r="H67" s="142"/>
    </row>
    <row r="68" spans="1:8" ht="25.5" x14ac:dyDescent="0.2">
      <c r="A68" s="1"/>
      <c r="B68" s="1"/>
      <c r="C68" s="2" t="s">
        <v>10</v>
      </c>
      <c r="D68" s="1"/>
      <c r="E68" s="1"/>
      <c r="F68" s="12"/>
      <c r="G68" s="140"/>
      <c r="H68" s="142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1">
        <v>0</v>
      </c>
      <c r="H69" s="142"/>
    </row>
    <row r="70" spans="1:8" x14ac:dyDescent="0.2">
      <c r="A70" s="1"/>
      <c r="B70" s="1"/>
      <c r="C70" s="11"/>
      <c r="D70" s="1"/>
      <c r="E70" s="1"/>
      <c r="F70" s="12"/>
      <c r="G70" s="140"/>
      <c r="H70" s="142"/>
    </row>
    <row r="71" spans="1:8" x14ac:dyDescent="0.2">
      <c r="A71" s="1"/>
      <c r="B71" s="1"/>
      <c r="C71" s="2" t="s">
        <v>115</v>
      </c>
      <c r="D71" s="1"/>
      <c r="E71" s="1"/>
      <c r="F71" s="1"/>
      <c r="G71" s="137"/>
      <c r="H71" s="142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1">
        <v>0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116</v>
      </c>
      <c r="D74" s="1"/>
      <c r="E74" s="1"/>
      <c r="F74" s="1"/>
      <c r="G74" s="137"/>
      <c r="H74" s="14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1">
        <v>0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117</v>
      </c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1">
        <v>0</v>
      </c>
      <c r="H78" s="142"/>
    </row>
    <row r="79" spans="1:8" x14ac:dyDescent="0.2">
      <c r="A79" s="1"/>
      <c r="B79" s="1"/>
      <c r="C79" s="11"/>
      <c r="D79" s="1"/>
      <c r="E79" s="1"/>
      <c r="F79" s="12"/>
      <c r="G79" s="140"/>
      <c r="H79" s="142"/>
    </row>
    <row r="80" spans="1:8" x14ac:dyDescent="0.2">
      <c r="A80" s="1"/>
      <c r="B80" s="1"/>
      <c r="C80" s="2" t="s">
        <v>118</v>
      </c>
      <c r="D80" s="1"/>
      <c r="E80" s="1"/>
      <c r="F80" s="9">
        <v>0</v>
      </c>
      <c r="G80" s="139">
        <v>0</v>
      </c>
      <c r="H80" s="142"/>
    </row>
    <row r="81" spans="1:8" x14ac:dyDescent="0.2">
      <c r="A81" s="1"/>
      <c r="B81" s="1"/>
      <c r="C81" s="11"/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119</v>
      </c>
      <c r="D82" s="1"/>
      <c r="E82" s="1"/>
      <c r="F82" s="12"/>
      <c r="G82" s="140"/>
      <c r="H82" s="142"/>
    </row>
    <row r="83" spans="1:8" x14ac:dyDescent="0.2">
      <c r="A83" s="1"/>
      <c r="B83" s="1"/>
      <c r="C83" s="2" t="s">
        <v>120</v>
      </c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1">
        <v>0</v>
      </c>
      <c r="H84" s="142"/>
    </row>
    <row r="85" spans="1:8" x14ac:dyDescent="0.2">
      <c r="A85" s="1"/>
      <c r="B85" s="1"/>
      <c r="C85" s="11"/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121</v>
      </c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1">
        <v>0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122</v>
      </c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1">
        <v>0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123</v>
      </c>
      <c r="D92" s="1"/>
      <c r="E92" s="1"/>
      <c r="F92" s="12"/>
      <c r="G92" s="140"/>
      <c r="H92" s="142"/>
    </row>
    <row r="93" spans="1:8" x14ac:dyDescent="0.2">
      <c r="A93" s="3">
        <v>1</v>
      </c>
      <c r="B93" s="4"/>
      <c r="C93" s="4" t="s">
        <v>124</v>
      </c>
      <c r="D93" s="4"/>
      <c r="E93" s="8"/>
      <c r="F93" s="6">
        <v>16.016543299999999</v>
      </c>
      <c r="G93" s="138">
        <v>8.5915200000000001E-3</v>
      </c>
      <c r="H93" s="152">
        <v>3.3197683930276081</v>
      </c>
    </row>
    <row r="94" spans="1:8" x14ac:dyDescent="0.2">
      <c r="A94" s="1"/>
      <c r="B94" s="1"/>
      <c r="C94" s="2" t="s">
        <v>105</v>
      </c>
      <c r="D94" s="1"/>
      <c r="E94" s="1" t="s">
        <v>106</v>
      </c>
      <c r="F94" s="9">
        <v>16.016543299999999</v>
      </c>
      <c r="G94" s="139">
        <v>8.5915200000000001E-3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125</v>
      </c>
      <c r="D96" s="1"/>
      <c r="E96" s="1"/>
      <c r="F96" s="9">
        <v>16.016543299999999</v>
      </c>
      <c r="G96" s="139">
        <v>8.5915200000000001E-3</v>
      </c>
      <c r="H96" s="142"/>
    </row>
    <row r="97" spans="1:8" x14ac:dyDescent="0.2">
      <c r="A97" s="1"/>
      <c r="B97" s="1"/>
      <c r="C97" s="12"/>
      <c r="D97" s="1"/>
      <c r="E97" s="1"/>
      <c r="F97" s="1"/>
      <c r="G97" s="137"/>
      <c r="H97" s="142"/>
    </row>
    <row r="98" spans="1:8" x14ac:dyDescent="0.2">
      <c r="A98" s="1"/>
      <c r="B98" s="1"/>
      <c r="C98" s="2" t="s">
        <v>126</v>
      </c>
      <c r="D98" s="1"/>
      <c r="E98" s="1"/>
      <c r="F98" s="1"/>
      <c r="G98" s="137"/>
      <c r="H98" s="142"/>
    </row>
    <row r="99" spans="1:8" x14ac:dyDescent="0.2">
      <c r="A99" s="1"/>
      <c r="B99" s="1"/>
      <c r="C99" s="2" t="s">
        <v>127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128</v>
      </c>
      <c r="D102" s="1"/>
      <c r="E102" s="1"/>
      <c r="F102" s="1"/>
      <c r="G102" s="137"/>
      <c r="H102" s="142"/>
    </row>
    <row r="103" spans="1:8" x14ac:dyDescent="0.2">
      <c r="A103" s="1"/>
      <c r="B103" s="1"/>
      <c r="C103" s="2" t="s">
        <v>129</v>
      </c>
      <c r="D103" s="1"/>
      <c r="E103" s="1"/>
      <c r="F103" s="1"/>
      <c r="G103" s="137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11"/>
      <c r="D106" s="1"/>
      <c r="E106" s="1"/>
      <c r="F106" s="12"/>
      <c r="G106" s="140"/>
      <c r="H106" s="142"/>
    </row>
    <row r="107" spans="1:8" ht="25.5" x14ac:dyDescent="0.2">
      <c r="A107" s="1"/>
      <c r="B107" s="1"/>
      <c r="C107" s="2" t="s">
        <v>130</v>
      </c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1">
        <v>0</v>
      </c>
      <c r="H108" s="142"/>
    </row>
    <row r="109" spans="1:8" x14ac:dyDescent="0.2">
      <c r="A109" s="1"/>
      <c r="B109" s="1"/>
      <c r="C109" s="11"/>
      <c r="D109" s="1"/>
      <c r="E109" s="1"/>
      <c r="F109" s="12"/>
      <c r="G109" s="140"/>
      <c r="H109" s="142"/>
    </row>
    <row r="110" spans="1:8" x14ac:dyDescent="0.2">
      <c r="A110" s="1"/>
      <c r="B110" s="4"/>
      <c r="C110" s="4"/>
      <c r="D110" s="2"/>
      <c r="E110" s="1"/>
      <c r="F110" s="4"/>
      <c r="G110" s="143"/>
      <c r="H110" s="142"/>
    </row>
    <row r="111" spans="1:8" x14ac:dyDescent="0.2">
      <c r="A111" s="8"/>
      <c r="B111" s="4"/>
      <c r="C111" s="4" t="s">
        <v>131</v>
      </c>
      <c r="D111" s="4"/>
      <c r="E111" s="8"/>
      <c r="F111" s="6">
        <v>4.7733626100000004</v>
      </c>
      <c r="G111" s="138">
        <v>2.5605049999999998E-3</v>
      </c>
      <c r="H111" s="142"/>
    </row>
    <row r="112" spans="1:8" x14ac:dyDescent="0.2">
      <c r="A112" s="11"/>
      <c r="B112" s="11"/>
      <c r="C112" s="2" t="s">
        <v>132</v>
      </c>
      <c r="D112" s="15"/>
      <c r="E112" s="15"/>
      <c r="F112" s="9">
        <v>1864.2268789100001</v>
      </c>
      <c r="G112" s="139">
        <v>0.99999999900000003</v>
      </c>
      <c r="H112" s="142"/>
    </row>
    <row r="113" spans="1:7" ht="14.1" customHeight="1" x14ac:dyDescent="0.2">
      <c r="A113" s="16"/>
      <c r="B113" s="16"/>
      <c r="C113" s="16"/>
      <c r="D113" s="17"/>
      <c r="E113" s="17"/>
      <c r="F113" s="17"/>
      <c r="G113" s="17"/>
    </row>
    <row r="114" spans="1:7" ht="14.1" customHeight="1" x14ac:dyDescent="0.2">
      <c r="A114" s="18"/>
      <c r="B114" s="205" t="s">
        <v>106</v>
      </c>
      <c r="C114" s="205"/>
      <c r="D114" s="205"/>
      <c r="E114" s="205"/>
      <c r="F114" s="205"/>
      <c r="G114" s="20"/>
    </row>
    <row r="115" spans="1:7" ht="14.1" customHeight="1" x14ac:dyDescent="0.2">
      <c r="A115" s="18"/>
      <c r="B115" s="205" t="s">
        <v>106</v>
      </c>
      <c r="C115" s="205"/>
      <c r="D115" s="205"/>
      <c r="E115" s="205"/>
      <c r="F115" s="205"/>
      <c r="G115" s="20"/>
    </row>
    <row r="116" spans="1:7" ht="14.1" customHeight="1" x14ac:dyDescent="0.2">
      <c r="A116" s="18"/>
      <c r="B116" s="18"/>
      <c r="C116" s="18"/>
      <c r="D116" s="20"/>
      <c r="E116" s="20"/>
      <c r="F116" s="20"/>
      <c r="G116" s="20"/>
    </row>
    <row r="117" spans="1:7" ht="14.1" customHeight="1" x14ac:dyDescent="0.2">
      <c r="A117" s="18"/>
      <c r="B117" s="203" t="s">
        <v>134</v>
      </c>
      <c r="C117" s="204"/>
      <c r="D117" s="12" t="s">
        <v>106</v>
      </c>
      <c r="E117" s="21"/>
      <c r="F117" s="20"/>
      <c r="G117" s="20"/>
    </row>
    <row r="118" spans="1:7" ht="29.1" customHeight="1" x14ac:dyDescent="0.2">
      <c r="A118" s="18"/>
      <c r="B118" s="199" t="s">
        <v>135</v>
      </c>
      <c r="C118" s="200"/>
      <c r="D118" s="2" t="s">
        <v>136</v>
      </c>
      <c r="E118" s="21"/>
      <c r="F118" s="20"/>
      <c r="G118" s="20"/>
    </row>
    <row r="119" spans="1:7" ht="17.100000000000001" customHeight="1" x14ac:dyDescent="0.2">
      <c r="A119" s="18"/>
      <c r="B119" s="199" t="s">
        <v>137</v>
      </c>
      <c r="C119" s="200"/>
      <c r="D119" s="2" t="s">
        <v>136</v>
      </c>
      <c r="E119" s="21"/>
      <c r="F119" s="20"/>
      <c r="G119" s="20"/>
    </row>
    <row r="120" spans="1:7" ht="17.100000000000001" customHeight="1" x14ac:dyDescent="0.2">
      <c r="A120" s="18"/>
      <c r="B120" s="199" t="s">
        <v>138</v>
      </c>
      <c r="C120" s="200"/>
      <c r="D120" s="12" t="s">
        <v>106</v>
      </c>
      <c r="E120" s="21"/>
      <c r="F120" s="20"/>
      <c r="G120" s="20"/>
    </row>
    <row r="121" spans="1:7" ht="24" customHeight="1" x14ac:dyDescent="0.2">
      <c r="A121" s="22"/>
      <c r="B121" s="23" t="s">
        <v>106</v>
      </c>
      <c r="C121" s="23" t="s">
        <v>139</v>
      </c>
      <c r="D121" s="23" t="s">
        <v>140</v>
      </c>
      <c r="E121" s="22"/>
      <c r="F121" s="22"/>
      <c r="G121" s="22"/>
    </row>
    <row r="122" spans="1:7" ht="18" customHeight="1" x14ac:dyDescent="0.2">
      <c r="A122" s="22"/>
      <c r="B122" s="23" t="s">
        <v>141</v>
      </c>
      <c r="C122" s="23" t="s">
        <v>142</v>
      </c>
      <c r="D122" s="23" t="s">
        <v>143</v>
      </c>
      <c r="E122" s="22"/>
      <c r="F122" s="22"/>
      <c r="G122" s="22"/>
    </row>
    <row r="123" spans="1:7" x14ac:dyDescent="0.2">
      <c r="A123" s="22"/>
      <c r="B123" s="4" t="s">
        <v>144</v>
      </c>
      <c r="C123" s="24">
        <v>21.256499999999999</v>
      </c>
      <c r="D123" s="24">
        <v>21.742899999999999</v>
      </c>
      <c r="E123" s="22"/>
      <c r="F123" s="19"/>
      <c r="G123" s="25"/>
    </row>
    <row r="124" spans="1:7" x14ac:dyDescent="0.2">
      <c r="A124" s="22"/>
      <c r="B124" s="4" t="s">
        <v>1019</v>
      </c>
      <c r="C124" s="24">
        <v>17.7075</v>
      </c>
      <c r="D124" s="24">
        <v>18.1127</v>
      </c>
      <c r="E124" s="22"/>
      <c r="F124" s="19"/>
      <c r="G124" s="25"/>
    </row>
    <row r="125" spans="1:7" x14ac:dyDescent="0.2">
      <c r="A125" s="22"/>
      <c r="B125" s="4" t="s">
        <v>145</v>
      </c>
      <c r="C125" s="24">
        <v>20.797899999999998</v>
      </c>
      <c r="D125" s="24">
        <v>21.267499999999998</v>
      </c>
      <c r="E125" s="22"/>
      <c r="F125" s="19"/>
      <c r="G125" s="25"/>
    </row>
    <row r="126" spans="1:7" x14ac:dyDescent="0.2">
      <c r="A126" s="22"/>
      <c r="B126" s="4" t="s">
        <v>1020</v>
      </c>
      <c r="C126" s="24">
        <v>17.266300000000001</v>
      </c>
      <c r="D126" s="24">
        <v>17.656199999999998</v>
      </c>
      <c r="E126" s="22"/>
      <c r="F126" s="19"/>
      <c r="G126" s="25"/>
    </row>
    <row r="127" spans="1:7" ht="14.1" customHeight="1" x14ac:dyDescent="0.2">
      <c r="A127" s="22"/>
      <c r="B127" s="22"/>
      <c r="C127" s="22"/>
      <c r="D127" s="22"/>
      <c r="E127" s="22"/>
      <c r="F127" s="22"/>
      <c r="G127" s="22"/>
    </row>
    <row r="128" spans="1:7" ht="17.100000000000001" customHeight="1" x14ac:dyDescent="0.2">
      <c r="A128" s="22"/>
      <c r="B128" s="199" t="s">
        <v>1021</v>
      </c>
      <c r="C128" s="200"/>
      <c r="D128" s="2" t="s">
        <v>136</v>
      </c>
      <c r="E128" s="22"/>
      <c r="F128" s="22"/>
      <c r="G128" s="22"/>
    </row>
    <row r="129" spans="1:7" ht="18" customHeight="1" x14ac:dyDescent="0.2">
      <c r="A129" s="22"/>
      <c r="B129" s="26"/>
      <c r="C129" s="26"/>
      <c r="D129" s="27"/>
      <c r="E129" s="22"/>
      <c r="F129" s="22"/>
      <c r="G129" s="22"/>
    </row>
    <row r="130" spans="1:7" s="125" customFormat="1" x14ac:dyDescent="0.2">
      <c r="B130" s="201" t="s">
        <v>825</v>
      </c>
      <c r="C130" s="201"/>
      <c r="D130" s="201"/>
      <c r="E130" s="201"/>
      <c r="F130" s="201"/>
    </row>
    <row r="131" spans="1:7" ht="14.1" customHeight="1" x14ac:dyDescent="0.2">
      <c r="A131" s="22"/>
      <c r="B131" s="19"/>
      <c r="C131" s="19"/>
      <c r="D131" s="22"/>
      <c r="E131" s="22"/>
      <c r="F131" s="22"/>
      <c r="G131" s="22"/>
    </row>
    <row r="132" spans="1:7" ht="29.1" customHeight="1" x14ac:dyDescent="0.2">
      <c r="A132" s="22"/>
      <c r="B132" s="199" t="s">
        <v>146</v>
      </c>
      <c r="C132" s="200"/>
      <c r="D132" s="2" t="s">
        <v>136</v>
      </c>
      <c r="E132" s="22"/>
      <c r="F132" s="22"/>
      <c r="G132" s="22"/>
    </row>
    <row r="133" spans="1:7" ht="29.1" customHeight="1" x14ac:dyDescent="0.2">
      <c r="A133" s="22"/>
      <c r="B133" s="199" t="s">
        <v>147</v>
      </c>
      <c r="C133" s="200"/>
      <c r="D133" s="2" t="s">
        <v>136</v>
      </c>
      <c r="E133" s="22"/>
      <c r="F133" s="22"/>
      <c r="G133" s="22"/>
    </row>
    <row r="134" spans="1:7" ht="17.100000000000001" customHeight="1" x14ac:dyDescent="0.2">
      <c r="A134" s="22"/>
      <c r="B134" s="199" t="s">
        <v>148</v>
      </c>
      <c r="C134" s="200"/>
      <c r="D134" s="28">
        <v>0.25307938390849011</v>
      </c>
      <c r="E134" s="22"/>
      <c r="F134" s="19"/>
      <c r="G134" s="25"/>
    </row>
    <row r="135" spans="1:7" ht="17.100000000000001" customHeight="1" x14ac:dyDescent="0.2">
      <c r="A135" s="22"/>
      <c r="B135" s="199" t="s">
        <v>149</v>
      </c>
      <c r="C135" s="200"/>
      <c r="D135" s="2" t="s">
        <v>136</v>
      </c>
      <c r="E135" s="22"/>
      <c r="F135" s="22"/>
      <c r="G135" s="22"/>
    </row>
  </sheetData>
  <mergeCells count="16">
    <mergeCell ref="J2:N2"/>
    <mergeCell ref="B117:C117"/>
    <mergeCell ref="B114:F114"/>
    <mergeCell ref="B115:F115"/>
    <mergeCell ref="A1:H1"/>
    <mergeCell ref="A2:H2"/>
    <mergeCell ref="A3:H3"/>
    <mergeCell ref="B134:C134"/>
    <mergeCell ref="B135:C135"/>
    <mergeCell ref="B118:C118"/>
    <mergeCell ref="B119:C119"/>
    <mergeCell ref="B120:C120"/>
    <mergeCell ref="B128:C128"/>
    <mergeCell ref="B132:C132"/>
    <mergeCell ref="B133:C133"/>
    <mergeCell ref="B130:F13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13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508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410</v>
      </c>
      <c r="C7" s="4" t="s">
        <v>411</v>
      </c>
      <c r="D7" s="4" t="s">
        <v>164</v>
      </c>
      <c r="E7" s="5">
        <v>6220</v>
      </c>
      <c r="F7" s="6">
        <v>104.19744</v>
      </c>
      <c r="G7" s="138">
        <v>7.7694630000000001E-2</v>
      </c>
      <c r="H7" s="142"/>
    </row>
    <row r="8" spans="1:14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4029</v>
      </c>
      <c r="F8" s="6">
        <v>101.50058249999999</v>
      </c>
      <c r="G8" s="138">
        <v>7.5683722999999994E-2</v>
      </c>
      <c r="H8" s="142"/>
    </row>
    <row r="9" spans="1:14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14156</v>
      </c>
      <c r="F9" s="6">
        <v>99.212326000000004</v>
      </c>
      <c r="G9" s="138">
        <v>7.3977488999999994E-2</v>
      </c>
      <c r="H9" s="142"/>
    </row>
    <row r="10" spans="1:14" x14ac:dyDescent="0.2">
      <c r="A10" s="3">
        <v>4</v>
      </c>
      <c r="B10" s="4" t="s">
        <v>408</v>
      </c>
      <c r="C10" s="4" t="s">
        <v>409</v>
      </c>
      <c r="D10" s="4" t="s">
        <v>24</v>
      </c>
      <c r="E10" s="5">
        <v>5620</v>
      </c>
      <c r="F10" s="6">
        <v>89.636189999999999</v>
      </c>
      <c r="G10" s="138">
        <v>6.6837060000000004E-2</v>
      </c>
      <c r="H10" s="142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80</v>
      </c>
      <c r="E11" s="5">
        <v>2510</v>
      </c>
      <c r="F11" s="6">
        <v>69.132930000000002</v>
      </c>
      <c r="G11" s="138">
        <v>5.1548841999999997E-2</v>
      </c>
      <c r="H11" s="142"/>
    </row>
    <row r="12" spans="1:14" ht="25.5" x14ac:dyDescent="0.2">
      <c r="A12" s="3">
        <v>6</v>
      </c>
      <c r="B12" s="4" t="s">
        <v>323</v>
      </c>
      <c r="C12" s="4" t="s">
        <v>324</v>
      </c>
      <c r="D12" s="4" t="s">
        <v>90</v>
      </c>
      <c r="E12" s="5">
        <v>6172</v>
      </c>
      <c r="F12" s="6">
        <v>55.399872000000002</v>
      </c>
      <c r="G12" s="138">
        <v>4.1308813E-2</v>
      </c>
      <c r="H12" s="142"/>
    </row>
    <row r="13" spans="1:14" x14ac:dyDescent="0.2">
      <c r="A13" s="3">
        <v>7</v>
      </c>
      <c r="B13" s="4" t="s">
        <v>414</v>
      </c>
      <c r="C13" s="4" t="s">
        <v>415</v>
      </c>
      <c r="D13" s="4" t="s">
        <v>24</v>
      </c>
      <c r="E13" s="5">
        <v>12121</v>
      </c>
      <c r="F13" s="6">
        <v>54.90813</v>
      </c>
      <c r="G13" s="138">
        <v>4.0942145999999999E-2</v>
      </c>
      <c r="H13" s="142"/>
    </row>
    <row r="14" spans="1:14" x14ac:dyDescent="0.2">
      <c r="A14" s="3">
        <v>8</v>
      </c>
      <c r="B14" s="4" t="s">
        <v>336</v>
      </c>
      <c r="C14" s="4" t="s">
        <v>337</v>
      </c>
      <c r="D14" s="4" t="s">
        <v>24</v>
      </c>
      <c r="E14" s="5">
        <v>5742</v>
      </c>
      <c r="F14" s="6">
        <v>44.015301000000001</v>
      </c>
      <c r="G14" s="138">
        <v>3.2819927999999998E-2</v>
      </c>
      <c r="H14" s="142"/>
    </row>
    <row r="15" spans="1:14" ht="15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2403</v>
      </c>
      <c r="F15" s="6">
        <v>40.921888500000001</v>
      </c>
      <c r="G15" s="138">
        <v>3.0513331000000001E-2</v>
      </c>
      <c r="H15" s="142"/>
      <c r="J15" s="163" t="s">
        <v>1035</v>
      </c>
    </row>
    <row r="16" spans="1:14" x14ac:dyDescent="0.2">
      <c r="A16" s="3">
        <v>10</v>
      </c>
      <c r="B16" s="4" t="s">
        <v>151</v>
      </c>
      <c r="C16" s="4" t="s">
        <v>152</v>
      </c>
      <c r="D16" s="4" t="s">
        <v>153</v>
      </c>
      <c r="E16" s="5">
        <v>1104</v>
      </c>
      <c r="F16" s="6">
        <v>40.679639999999999</v>
      </c>
      <c r="G16" s="138">
        <v>3.0332699000000001E-2</v>
      </c>
      <c r="H16" s="142"/>
    </row>
    <row r="17" spans="1:8" ht="25.5" x14ac:dyDescent="0.2">
      <c r="A17" s="3">
        <v>11</v>
      </c>
      <c r="B17" s="4" t="s">
        <v>38</v>
      </c>
      <c r="C17" s="4" t="s">
        <v>39</v>
      </c>
      <c r="D17" s="4" t="s">
        <v>1023</v>
      </c>
      <c r="E17" s="5">
        <v>539</v>
      </c>
      <c r="F17" s="6">
        <v>39.864978999999998</v>
      </c>
      <c r="G17" s="138">
        <v>2.9725247999999999E-2</v>
      </c>
      <c r="H17" s="142"/>
    </row>
    <row r="18" spans="1:8" x14ac:dyDescent="0.2">
      <c r="A18" s="3">
        <v>12</v>
      </c>
      <c r="B18" s="4" t="s">
        <v>368</v>
      </c>
      <c r="C18" s="4" t="s">
        <v>369</v>
      </c>
      <c r="D18" s="4" t="s">
        <v>164</v>
      </c>
      <c r="E18" s="5">
        <v>2813</v>
      </c>
      <c r="F18" s="6">
        <v>35.993741499999999</v>
      </c>
      <c r="G18" s="138">
        <v>2.6838667E-2</v>
      </c>
      <c r="H18" s="142"/>
    </row>
    <row r="19" spans="1:8" ht="25.5" x14ac:dyDescent="0.2">
      <c r="A19" s="3">
        <v>13</v>
      </c>
      <c r="B19" s="4" t="s">
        <v>502</v>
      </c>
      <c r="C19" s="4" t="s">
        <v>503</v>
      </c>
      <c r="D19" s="4" t="s">
        <v>1023</v>
      </c>
      <c r="E19" s="5">
        <v>2456</v>
      </c>
      <c r="F19" s="6">
        <v>35.260792000000002</v>
      </c>
      <c r="G19" s="138">
        <v>2.6292144999999999E-2</v>
      </c>
      <c r="H19" s="142"/>
    </row>
    <row r="20" spans="1:8" x14ac:dyDescent="0.2">
      <c r="A20" s="3">
        <v>14</v>
      </c>
      <c r="B20" s="4" t="s">
        <v>17</v>
      </c>
      <c r="C20" s="4" t="s">
        <v>18</v>
      </c>
      <c r="D20" s="4" t="s">
        <v>19</v>
      </c>
      <c r="E20" s="5">
        <v>4918</v>
      </c>
      <c r="F20" s="6">
        <v>33.850594000000001</v>
      </c>
      <c r="G20" s="138">
        <v>2.5240632999999998E-2</v>
      </c>
      <c r="H20" s="142"/>
    </row>
    <row r="21" spans="1:8" x14ac:dyDescent="0.2">
      <c r="A21" s="3">
        <v>15</v>
      </c>
      <c r="B21" s="4" t="s">
        <v>212</v>
      </c>
      <c r="C21" s="4" t="s">
        <v>213</v>
      </c>
      <c r="D21" s="4" t="s">
        <v>1027</v>
      </c>
      <c r="E21" s="5">
        <v>3606</v>
      </c>
      <c r="F21" s="6">
        <v>33.038172000000003</v>
      </c>
      <c r="G21" s="138">
        <v>2.4634851999999999E-2</v>
      </c>
      <c r="H21" s="142"/>
    </row>
    <row r="22" spans="1:8" x14ac:dyDescent="0.2">
      <c r="A22" s="3">
        <v>16</v>
      </c>
      <c r="B22" s="4" t="s">
        <v>376</v>
      </c>
      <c r="C22" s="4" t="s">
        <v>377</v>
      </c>
      <c r="D22" s="4" t="s">
        <v>254</v>
      </c>
      <c r="E22" s="5">
        <v>4040</v>
      </c>
      <c r="F22" s="6">
        <v>32.095779999999998</v>
      </c>
      <c r="G22" s="138">
        <v>2.3932159000000001E-2</v>
      </c>
      <c r="H22" s="142"/>
    </row>
    <row r="23" spans="1:8" x14ac:dyDescent="0.2">
      <c r="A23" s="3">
        <v>17</v>
      </c>
      <c r="B23" s="4" t="s">
        <v>416</v>
      </c>
      <c r="C23" s="4" t="s">
        <v>417</v>
      </c>
      <c r="D23" s="4" t="s">
        <v>1030</v>
      </c>
      <c r="E23" s="5">
        <v>2300</v>
      </c>
      <c r="F23" s="6">
        <v>27.947299999999998</v>
      </c>
      <c r="G23" s="138">
        <v>2.0838853000000001E-2</v>
      </c>
      <c r="H23" s="142"/>
    </row>
    <row r="24" spans="1:8" x14ac:dyDescent="0.2">
      <c r="A24" s="3">
        <v>18</v>
      </c>
      <c r="B24" s="4" t="s">
        <v>72</v>
      </c>
      <c r="C24" s="4" t="s">
        <v>73</v>
      </c>
      <c r="D24" s="4" t="s">
        <v>27</v>
      </c>
      <c r="E24" s="5">
        <v>2788</v>
      </c>
      <c r="F24" s="6">
        <v>27.655566</v>
      </c>
      <c r="G24" s="138">
        <v>2.0621322000000001E-2</v>
      </c>
      <c r="H24" s="142"/>
    </row>
    <row r="25" spans="1:8" x14ac:dyDescent="0.2">
      <c r="A25" s="3">
        <v>19</v>
      </c>
      <c r="B25" s="4" t="s">
        <v>420</v>
      </c>
      <c r="C25" s="4" t="s">
        <v>421</v>
      </c>
      <c r="D25" s="4" t="s">
        <v>164</v>
      </c>
      <c r="E25" s="5">
        <v>729</v>
      </c>
      <c r="F25" s="6">
        <v>27.523759500000001</v>
      </c>
      <c r="G25" s="138">
        <v>2.0523040999999999E-2</v>
      </c>
      <c r="H25" s="142"/>
    </row>
    <row r="26" spans="1:8" x14ac:dyDescent="0.2">
      <c r="A26" s="3">
        <v>20</v>
      </c>
      <c r="B26" s="4" t="s">
        <v>506</v>
      </c>
      <c r="C26" s="4" t="s">
        <v>507</v>
      </c>
      <c r="D26" s="4" t="s">
        <v>83</v>
      </c>
      <c r="E26" s="5">
        <v>8169</v>
      </c>
      <c r="F26" s="6">
        <v>27.231361499999998</v>
      </c>
      <c r="G26" s="138">
        <v>2.0305014999999999E-2</v>
      </c>
      <c r="H26" s="142"/>
    </row>
    <row r="27" spans="1:8" x14ac:dyDescent="0.2">
      <c r="A27" s="3">
        <v>21</v>
      </c>
      <c r="B27" s="4" t="s">
        <v>179</v>
      </c>
      <c r="C27" s="4" t="s">
        <v>180</v>
      </c>
      <c r="D27" s="4" t="s">
        <v>181</v>
      </c>
      <c r="E27" s="5">
        <v>11000</v>
      </c>
      <c r="F27" s="6">
        <v>27.213999999999999</v>
      </c>
      <c r="G27" s="138">
        <v>2.0292068999999999E-2</v>
      </c>
      <c r="H27" s="142"/>
    </row>
    <row r="28" spans="1:8" x14ac:dyDescent="0.2">
      <c r="A28" s="3">
        <v>22</v>
      </c>
      <c r="B28" s="4" t="s">
        <v>40</v>
      </c>
      <c r="C28" s="4" t="s">
        <v>41</v>
      </c>
      <c r="D28" s="4" t="s">
        <v>16</v>
      </c>
      <c r="E28" s="5">
        <v>6145</v>
      </c>
      <c r="F28" s="6">
        <v>26.558689999999999</v>
      </c>
      <c r="G28" s="138">
        <v>1.9803438E-2</v>
      </c>
      <c r="H28" s="142"/>
    </row>
    <row r="29" spans="1:8" x14ac:dyDescent="0.2">
      <c r="A29" s="3">
        <v>23</v>
      </c>
      <c r="B29" s="4" t="s">
        <v>441</v>
      </c>
      <c r="C29" s="4" t="s">
        <v>442</v>
      </c>
      <c r="D29" s="4" t="s">
        <v>24</v>
      </c>
      <c r="E29" s="5">
        <v>1305</v>
      </c>
      <c r="F29" s="6">
        <v>26.171775</v>
      </c>
      <c r="G29" s="138">
        <v>1.9514936E-2</v>
      </c>
      <c r="H29" s="142"/>
    </row>
    <row r="30" spans="1:8" x14ac:dyDescent="0.2">
      <c r="A30" s="3">
        <v>24</v>
      </c>
      <c r="B30" s="4" t="s">
        <v>352</v>
      </c>
      <c r="C30" s="4" t="s">
        <v>353</v>
      </c>
      <c r="D30" s="4" t="s">
        <v>48</v>
      </c>
      <c r="E30" s="5">
        <v>3496</v>
      </c>
      <c r="F30" s="6">
        <v>24.622328</v>
      </c>
      <c r="G30" s="138">
        <v>1.8359594E-2</v>
      </c>
      <c r="H30" s="142"/>
    </row>
    <row r="31" spans="1:8" x14ac:dyDescent="0.2">
      <c r="A31" s="3">
        <v>25</v>
      </c>
      <c r="B31" s="4" t="s">
        <v>504</v>
      </c>
      <c r="C31" s="4" t="s">
        <v>505</v>
      </c>
      <c r="D31" s="4" t="s">
        <v>51</v>
      </c>
      <c r="E31" s="5">
        <v>1032</v>
      </c>
      <c r="F31" s="6">
        <v>22.310292</v>
      </c>
      <c r="G31" s="138">
        <v>1.6635628E-2</v>
      </c>
      <c r="H31" s="142"/>
    </row>
    <row r="32" spans="1:8" ht="25.5" x14ac:dyDescent="0.2">
      <c r="A32" s="3">
        <v>26</v>
      </c>
      <c r="B32" s="4" t="s">
        <v>435</v>
      </c>
      <c r="C32" s="4" t="s">
        <v>436</v>
      </c>
      <c r="D32" s="4" t="s">
        <v>90</v>
      </c>
      <c r="E32" s="5">
        <v>9339</v>
      </c>
      <c r="F32" s="6">
        <v>22.0540485</v>
      </c>
      <c r="G32" s="138">
        <v>1.6444561E-2</v>
      </c>
      <c r="H32" s="142"/>
    </row>
    <row r="33" spans="1:8" ht="25.5" x14ac:dyDescent="0.2">
      <c r="A33" s="3">
        <v>27</v>
      </c>
      <c r="B33" s="4" t="s">
        <v>398</v>
      </c>
      <c r="C33" s="4" t="s">
        <v>399</v>
      </c>
      <c r="D33" s="4" t="s">
        <v>90</v>
      </c>
      <c r="E33" s="5">
        <v>2443</v>
      </c>
      <c r="F33" s="6">
        <v>19.876248</v>
      </c>
      <c r="G33" s="138">
        <v>1.4820688E-2</v>
      </c>
      <c r="H33" s="142"/>
    </row>
    <row r="34" spans="1:8" x14ac:dyDescent="0.2">
      <c r="A34" s="3">
        <v>28</v>
      </c>
      <c r="B34" s="4" t="s">
        <v>344</v>
      </c>
      <c r="C34" s="4" t="s">
        <v>345</v>
      </c>
      <c r="D34" s="4" t="s">
        <v>24</v>
      </c>
      <c r="E34" s="5">
        <v>22387</v>
      </c>
      <c r="F34" s="6">
        <v>18.872240999999999</v>
      </c>
      <c r="G34" s="138">
        <v>1.4072052E-2</v>
      </c>
      <c r="H34" s="142"/>
    </row>
    <row r="35" spans="1:8" x14ac:dyDescent="0.2">
      <c r="A35" s="3">
        <v>29</v>
      </c>
      <c r="B35" s="4" t="s">
        <v>348</v>
      </c>
      <c r="C35" s="4" t="s">
        <v>349</v>
      </c>
      <c r="D35" s="4" t="s">
        <v>59</v>
      </c>
      <c r="E35" s="5">
        <v>4100</v>
      </c>
      <c r="F35" s="6">
        <v>15.959250000000001</v>
      </c>
      <c r="G35" s="138">
        <v>1.1899985E-2</v>
      </c>
      <c r="H35" s="142"/>
    </row>
    <row r="36" spans="1:8" x14ac:dyDescent="0.2">
      <c r="A36" s="3">
        <v>30</v>
      </c>
      <c r="B36" s="4" t="s">
        <v>451</v>
      </c>
      <c r="C36" s="4" t="s">
        <v>452</v>
      </c>
      <c r="D36" s="4" t="s">
        <v>207</v>
      </c>
      <c r="E36" s="5">
        <v>1593</v>
      </c>
      <c r="F36" s="6">
        <v>15.667951499999999</v>
      </c>
      <c r="G36" s="138">
        <v>1.1682779000000001E-2</v>
      </c>
      <c r="H36" s="142"/>
    </row>
    <row r="37" spans="1:8" ht="25.5" x14ac:dyDescent="0.2">
      <c r="A37" s="3">
        <v>31</v>
      </c>
      <c r="B37" s="4" t="s">
        <v>418</v>
      </c>
      <c r="C37" s="4" t="s">
        <v>419</v>
      </c>
      <c r="D37" s="4" t="s">
        <v>90</v>
      </c>
      <c r="E37" s="5">
        <v>556</v>
      </c>
      <c r="F37" s="6">
        <v>15.022008</v>
      </c>
      <c r="G37" s="138">
        <v>1.1201133E-2</v>
      </c>
      <c r="H37" s="142"/>
    </row>
    <row r="38" spans="1:8" x14ac:dyDescent="0.2">
      <c r="A38" s="3">
        <v>32</v>
      </c>
      <c r="B38" s="4" t="s">
        <v>404</v>
      </c>
      <c r="C38" s="4" t="s">
        <v>405</v>
      </c>
      <c r="D38" s="4" t="s">
        <v>335</v>
      </c>
      <c r="E38" s="5">
        <v>5689</v>
      </c>
      <c r="F38" s="6">
        <v>14.014851500000001</v>
      </c>
      <c r="G38" s="138">
        <v>1.0450147999999999E-2</v>
      </c>
      <c r="H38" s="142"/>
    </row>
    <row r="39" spans="1:8" x14ac:dyDescent="0.2">
      <c r="A39" s="3">
        <v>33</v>
      </c>
      <c r="B39" s="4" t="s">
        <v>464</v>
      </c>
      <c r="C39" s="4" t="s">
        <v>465</v>
      </c>
      <c r="D39" s="4" t="s">
        <v>48</v>
      </c>
      <c r="E39" s="5">
        <v>3235</v>
      </c>
      <c r="F39" s="6">
        <v>13.577294999999999</v>
      </c>
      <c r="G39" s="138">
        <v>1.0123884999999999E-2</v>
      </c>
      <c r="H39" s="142"/>
    </row>
    <row r="40" spans="1:8" x14ac:dyDescent="0.2">
      <c r="A40" s="3">
        <v>34</v>
      </c>
      <c r="B40" s="4" t="s">
        <v>91</v>
      </c>
      <c r="C40" s="4" t="s">
        <v>92</v>
      </c>
      <c r="D40" s="4" t="s">
        <v>27</v>
      </c>
      <c r="E40" s="5">
        <v>178</v>
      </c>
      <c r="F40" s="6">
        <v>13.454219</v>
      </c>
      <c r="G40" s="138">
        <v>1.0032114E-2</v>
      </c>
      <c r="H40" s="142"/>
    </row>
    <row r="41" spans="1:8" x14ac:dyDescent="0.2">
      <c r="A41" s="3">
        <v>35</v>
      </c>
      <c r="B41" s="4" t="s">
        <v>422</v>
      </c>
      <c r="C41" s="4" t="s">
        <v>423</v>
      </c>
      <c r="D41" s="4" t="s">
        <v>164</v>
      </c>
      <c r="E41" s="5">
        <v>1875</v>
      </c>
      <c r="F41" s="6">
        <v>11.889374999999999</v>
      </c>
      <c r="G41" s="138">
        <v>8.8652910000000008E-3</v>
      </c>
      <c r="H41" s="142"/>
    </row>
    <row r="42" spans="1:8" x14ac:dyDescent="0.2">
      <c r="A42" s="3">
        <v>36</v>
      </c>
      <c r="B42" s="4" t="s">
        <v>360</v>
      </c>
      <c r="C42" s="4" t="s">
        <v>361</v>
      </c>
      <c r="D42" s="4" t="s">
        <v>24</v>
      </c>
      <c r="E42" s="5">
        <v>13106</v>
      </c>
      <c r="F42" s="6">
        <v>10.714155</v>
      </c>
      <c r="G42" s="138">
        <v>7.9889899999999996E-3</v>
      </c>
      <c r="H42" s="142"/>
    </row>
    <row r="43" spans="1:8" x14ac:dyDescent="0.2">
      <c r="A43" s="3">
        <v>37</v>
      </c>
      <c r="B43" s="4" t="s">
        <v>346</v>
      </c>
      <c r="C43" s="4" t="s">
        <v>347</v>
      </c>
      <c r="D43" s="4" t="s">
        <v>207</v>
      </c>
      <c r="E43" s="5">
        <v>202</v>
      </c>
      <c r="F43" s="6">
        <v>7.5141980000000004</v>
      </c>
      <c r="G43" s="138">
        <v>5.602948E-3</v>
      </c>
      <c r="H43" s="142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9">
        <v>1325.5592710000001</v>
      </c>
      <c r="G44" s="139">
        <v>0.98840083499999998</v>
      </c>
      <c r="H44" s="142"/>
    </row>
    <row r="45" spans="1:8" x14ac:dyDescent="0.2">
      <c r="A45" s="1"/>
      <c r="B45" s="1"/>
      <c r="C45" s="11"/>
      <c r="D45" s="1"/>
      <c r="E45" s="1"/>
      <c r="F45" s="12"/>
      <c r="G45" s="140"/>
      <c r="H45" s="142"/>
    </row>
    <row r="46" spans="1:8" x14ac:dyDescent="0.2">
      <c r="A46" s="1"/>
      <c r="B46" s="1"/>
      <c r="C46" s="2" t="s">
        <v>107</v>
      </c>
      <c r="D46" s="1"/>
      <c r="E46" s="1"/>
      <c r="F46" s="1"/>
      <c r="G46" s="137"/>
      <c r="H46" s="142"/>
    </row>
    <row r="47" spans="1:8" x14ac:dyDescent="0.2">
      <c r="A47" s="1"/>
      <c r="B47" s="1"/>
      <c r="C47" s="2" t="s">
        <v>105</v>
      </c>
      <c r="D47" s="1"/>
      <c r="E47" s="1" t="s">
        <v>106</v>
      </c>
      <c r="F47" s="13">
        <v>0</v>
      </c>
      <c r="G47" s="141">
        <v>0</v>
      </c>
      <c r="H47" s="142"/>
    </row>
    <row r="48" spans="1:8" x14ac:dyDescent="0.2">
      <c r="A48" s="1"/>
      <c r="B48" s="1"/>
      <c r="C48" s="11"/>
      <c r="D48" s="1"/>
      <c r="E48" s="1"/>
      <c r="F48" s="12"/>
      <c r="G48" s="140"/>
      <c r="H48" s="142"/>
    </row>
    <row r="49" spans="1:8" x14ac:dyDescent="0.2">
      <c r="A49" s="1"/>
      <c r="B49" s="1"/>
      <c r="C49" s="2" t="s">
        <v>108</v>
      </c>
      <c r="D49" s="1"/>
      <c r="E49" s="1"/>
      <c r="F49" s="1"/>
      <c r="G49" s="137"/>
      <c r="H49" s="142"/>
    </row>
    <row r="50" spans="1:8" x14ac:dyDescent="0.2">
      <c r="A50" s="1"/>
      <c r="B50" s="1"/>
      <c r="C50" s="2" t="s">
        <v>105</v>
      </c>
      <c r="D50" s="1"/>
      <c r="E50" s="1" t="s">
        <v>106</v>
      </c>
      <c r="F50" s="13">
        <v>0</v>
      </c>
      <c r="G50" s="141">
        <v>0</v>
      </c>
      <c r="H50" s="142"/>
    </row>
    <row r="51" spans="1:8" x14ac:dyDescent="0.2">
      <c r="A51" s="1"/>
      <c r="B51" s="1"/>
      <c r="C51" s="11"/>
      <c r="D51" s="1"/>
      <c r="E51" s="1"/>
      <c r="F51" s="12"/>
      <c r="G51" s="140"/>
      <c r="H51" s="142"/>
    </row>
    <row r="52" spans="1:8" x14ac:dyDescent="0.2">
      <c r="A52" s="1"/>
      <c r="B52" s="1"/>
      <c r="C52" s="2" t="s">
        <v>109</v>
      </c>
      <c r="D52" s="1"/>
      <c r="E52" s="1"/>
      <c r="F52" s="1"/>
      <c r="G52" s="137"/>
      <c r="H52" s="142"/>
    </row>
    <row r="53" spans="1:8" x14ac:dyDescent="0.2">
      <c r="A53" s="3">
        <v>1</v>
      </c>
      <c r="B53" s="4" t="s">
        <v>110</v>
      </c>
      <c r="C53" s="4" t="s">
        <v>996</v>
      </c>
      <c r="D53" s="4" t="s">
        <v>19</v>
      </c>
      <c r="E53" s="5">
        <v>351</v>
      </c>
      <c r="F53" s="6">
        <v>0.53808299999999998</v>
      </c>
      <c r="G53" s="138">
        <v>4.01221E-4</v>
      </c>
      <c r="H53" s="142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9">
        <v>0.53808299999999998</v>
      </c>
      <c r="G54" s="139">
        <v>4.01221E-4</v>
      </c>
      <c r="H54" s="142"/>
    </row>
    <row r="55" spans="1:8" x14ac:dyDescent="0.2">
      <c r="A55" s="1"/>
      <c r="B55" s="1"/>
      <c r="C55" s="11"/>
      <c r="D55" s="1"/>
      <c r="E55" s="1"/>
      <c r="F55" s="12"/>
      <c r="G55" s="140"/>
      <c r="H55" s="142"/>
    </row>
    <row r="56" spans="1:8" x14ac:dyDescent="0.2">
      <c r="A56" s="1"/>
      <c r="B56" s="1"/>
      <c r="C56" s="2" t="s">
        <v>111</v>
      </c>
      <c r="D56" s="1"/>
      <c r="E56" s="1"/>
      <c r="F56" s="12"/>
      <c r="G56" s="140"/>
      <c r="H56" s="14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1">
        <v>0</v>
      </c>
      <c r="H57" s="142"/>
    </row>
    <row r="58" spans="1:8" x14ac:dyDescent="0.2">
      <c r="A58" s="1"/>
      <c r="B58" s="1"/>
      <c r="C58" s="11"/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112</v>
      </c>
      <c r="D59" s="1"/>
      <c r="E59" s="1"/>
      <c r="F59" s="12"/>
      <c r="G59" s="140"/>
      <c r="H59" s="14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1">
        <v>0</v>
      </c>
      <c r="H60" s="142"/>
    </row>
    <row r="61" spans="1:8" x14ac:dyDescent="0.2">
      <c r="A61" s="1"/>
      <c r="B61" s="1"/>
      <c r="C61" s="11"/>
      <c r="D61" s="1"/>
      <c r="E61" s="1"/>
      <c r="F61" s="12"/>
      <c r="G61" s="140"/>
      <c r="H61" s="142"/>
    </row>
    <row r="62" spans="1:8" x14ac:dyDescent="0.2">
      <c r="A62" s="1"/>
      <c r="B62" s="1"/>
      <c r="C62" s="2" t="s">
        <v>113</v>
      </c>
      <c r="D62" s="1"/>
      <c r="E62" s="1"/>
      <c r="F62" s="9">
        <v>1326.097354</v>
      </c>
      <c r="G62" s="139">
        <v>0.98880205600000004</v>
      </c>
      <c r="H62" s="142"/>
    </row>
    <row r="63" spans="1:8" x14ac:dyDescent="0.2">
      <c r="A63" s="1"/>
      <c r="B63" s="1"/>
      <c r="C63" s="11"/>
      <c r="D63" s="1"/>
      <c r="E63" s="1"/>
      <c r="F63" s="12"/>
      <c r="G63" s="140"/>
      <c r="H63" s="142"/>
    </row>
    <row r="64" spans="1:8" x14ac:dyDescent="0.2">
      <c r="A64" s="1"/>
      <c r="B64" s="1"/>
      <c r="C64" s="2" t="s">
        <v>114</v>
      </c>
      <c r="D64" s="1"/>
      <c r="E64" s="1"/>
      <c r="F64" s="12"/>
      <c r="G64" s="140"/>
      <c r="H64" s="142"/>
    </row>
    <row r="65" spans="1:8" ht="25.5" x14ac:dyDescent="0.2">
      <c r="A65" s="1"/>
      <c r="B65" s="1"/>
      <c r="C65" s="2" t="s">
        <v>10</v>
      </c>
      <c r="D65" s="1"/>
      <c r="E65" s="1"/>
      <c r="F65" s="12"/>
      <c r="G65" s="140"/>
      <c r="H65" s="142"/>
    </row>
    <row r="66" spans="1:8" x14ac:dyDescent="0.2">
      <c r="A66" s="1"/>
      <c r="B66" s="1"/>
      <c r="C66" s="2" t="s">
        <v>105</v>
      </c>
      <c r="D66" s="1"/>
      <c r="E66" s="1" t="s">
        <v>106</v>
      </c>
      <c r="F66" s="13">
        <v>0</v>
      </c>
      <c r="G66" s="141">
        <v>0</v>
      </c>
      <c r="H66" s="142"/>
    </row>
    <row r="67" spans="1:8" x14ac:dyDescent="0.2">
      <c r="A67" s="1"/>
      <c r="B67" s="1"/>
      <c r="C67" s="11"/>
      <c r="D67" s="1"/>
      <c r="E67" s="1"/>
      <c r="F67" s="12"/>
      <c r="G67" s="140"/>
      <c r="H67" s="142"/>
    </row>
    <row r="68" spans="1:8" x14ac:dyDescent="0.2">
      <c r="A68" s="1"/>
      <c r="B68" s="1"/>
      <c r="C68" s="2" t="s">
        <v>115</v>
      </c>
      <c r="D68" s="1"/>
      <c r="E68" s="1"/>
      <c r="F68" s="1"/>
      <c r="G68" s="137"/>
      <c r="H68" s="142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1">
        <v>0</v>
      </c>
      <c r="H69" s="142"/>
    </row>
    <row r="70" spans="1:8" x14ac:dyDescent="0.2">
      <c r="A70" s="1"/>
      <c r="B70" s="1"/>
      <c r="C70" s="11"/>
      <c r="D70" s="1"/>
      <c r="E70" s="1"/>
      <c r="F70" s="12"/>
      <c r="G70" s="140"/>
      <c r="H70" s="142"/>
    </row>
    <row r="71" spans="1:8" x14ac:dyDescent="0.2">
      <c r="A71" s="1"/>
      <c r="B71" s="1"/>
      <c r="C71" s="2" t="s">
        <v>116</v>
      </c>
      <c r="D71" s="1"/>
      <c r="E71" s="1"/>
      <c r="F71" s="1"/>
      <c r="G71" s="137"/>
      <c r="H71" s="142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1">
        <v>0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117</v>
      </c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1">
        <v>0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118</v>
      </c>
      <c r="D77" s="1"/>
      <c r="E77" s="1"/>
      <c r="F77" s="9">
        <v>0</v>
      </c>
      <c r="G77" s="139">
        <v>0</v>
      </c>
      <c r="H77" s="142"/>
    </row>
    <row r="78" spans="1:8" x14ac:dyDescent="0.2">
      <c r="A78" s="1"/>
      <c r="B78" s="1"/>
      <c r="C78" s="11"/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119</v>
      </c>
      <c r="D79" s="1"/>
      <c r="E79" s="1"/>
      <c r="F79" s="12"/>
      <c r="G79" s="140"/>
      <c r="H79" s="142"/>
    </row>
    <row r="80" spans="1:8" x14ac:dyDescent="0.2">
      <c r="A80" s="1"/>
      <c r="B80" s="1"/>
      <c r="C80" s="2" t="s">
        <v>120</v>
      </c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1">
        <v>0</v>
      </c>
      <c r="H81" s="142"/>
    </row>
    <row r="82" spans="1:8" x14ac:dyDescent="0.2">
      <c r="A82" s="1"/>
      <c r="B82" s="1"/>
      <c r="C82" s="11"/>
      <c r="D82" s="1"/>
      <c r="E82" s="1"/>
      <c r="F82" s="12"/>
      <c r="G82" s="140"/>
      <c r="H82" s="142"/>
    </row>
    <row r="83" spans="1:8" x14ac:dyDescent="0.2">
      <c r="A83" s="1"/>
      <c r="B83" s="1"/>
      <c r="C83" s="2" t="s">
        <v>121</v>
      </c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1">
        <v>0</v>
      </c>
      <c r="H84" s="142"/>
    </row>
    <row r="85" spans="1:8" x14ac:dyDescent="0.2">
      <c r="A85" s="1"/>
      <c r="B85" s="1"/>
      <c r="C85" s="11"/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122</v>
      </c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1">
        <v>0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123</v>
      </c>
      <c r="D89" s="1"/>
      <c r="E89" s="1"/>
      <c r="F89" s="12"/>
      <c r="G89" s="140"/>
      <c r="H89" s="142"/>
    </row>
    <row r="90" spans="1:8" x14ac:dyDescent="0.2">
      <c r="A90" s="3">
        <v>1</v>
      </c>
      <c r="B90" s="4"/>
      <c r="C90" s="4" t="s">
        <v>124</v>
      </c>
      <c r="D90" s="4"/>
      <c r="E90" s="8"/>
      <c r="F90" s="6">
        <v>11.312071100000001</v>
      </c>
      <c r="G90" s="138">
        <v>8.434825E-3</v>
      </c>
      <c r="H90" s="152">
        <v>3.3197683930276081</v>
      </c>
    </row>
    <row r="91" spans="1:8" x14ac:dyDescent="0.2">
      <c r="A91" s="1"/>
      <c r="B91" s="1"/>
      <c r="C91" s="2" t="s">
        <v>105</v>
      </c>
      <c r="D91" s="1"/>
      <c r="E91" s="1" t="s">
        <v>106</v>
      </c>
      <c r="F91" s="9">
        <v>11.312071100000001</v>
      </c>
      <c r="G91" s="139">
        <v>8.434825E-3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125</v>
      </c>
      <c r="D93" s="1"/>
      <c r="E93" s="1"/>
      <c r="F93" s="9">
        <v>11.312071100000001</v>
      </c>
      <c r="G93" s="139">
        <v>8.434825E-3</v>
      </c>
      <c r="H93" s="142"/>
    </row>
    <row r="94" spans="1:8" x14ac:dyDescent="0.2">
      <c r="A94" s="1"/>
      <c r="B94" s="1"/>
      <c r="C94" s="12"/>
      <c r="D94" s="1"/>
      <c r="E94" s="1"/>
      <c r="F94" s="1"/>
      <c r="G94" s="137"/>
      <c r="H94" s="142"/>
    </row>
    <row r="95" spans="1:8" x14ac:dyDescent="0.2">
      <c r="A95" s="1"/>
      <c r="B95" s="1"/>
      <c r="C95" s="2" t="s">
        <v>126</v>
      </c>
      <c r="D95" s="1"/>
      <c r="E95" s="1"/>
      <c r="F95" s="1"/>
      <c r="G95" s="137"/>
      <c r="H95" s="142"/>
    </row>
    <row r="96" spans="1:8" x14ac:dyDescent="0.2">
      <c r="A96" s="1"/>
      <c r="B96" s="1"/>
      <c r="C96" s="2" t="s">
        <v>127</v>
      </c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128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129</v>
      </c>
      <c r="D100" s="1"/>
      <c r="E100" s="1"/>
      <c r="F100" s="1"/>
      <c r="G100" s="137"/>
      <c r="H100" s="142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1">
        <v>0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11"/>
      <c r="D103" s="1"/>
      <c r="E103" s="1"/>
      <c r="F103" s="12"/>
      <c r="G103" s="140"/>
      <c r="H103" s="142"/>
    </row>
    <row r="104" spans="1:8" ht="25.5" x14ac:dyDescent="0.2">
      <c r="A104" s="1"/>
      <c r="B104" s="1"/>
      <c r="C104" s="2" t="s">
        <v>130</v>
      </c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1">
        <v>0</v>
      </c>
      <c r="H105" s="142"/>
    </row>
    <row r="106" spans="1:8" x14ac:dyDescent="0.2">
      <c r="A106" s="1"/>
      <c r="B106" s="1"/>
      <c r="C106" s="11"/>
      <c r="D106" s="1"/>
      <c r="E106" s="1"/>
      <c r="F106" s="12"/>
      <c r="G106" s="140"/>
      <c r="H106" s="142"/>
    </row>
    <row r="107" spans="1:8" x14ac:dyDescent="0.2">
      <c r="A107" s="1"/>
      <c r="B107" s="4"/>
      <c r="C107" s="4"/>
      <c r="D107" s="2"/>
      <c r="E107" s="1"/>
      <c r="F107" s="4"/>
      <c r="G107" s="143"/>
      <c r="H107" s="142"/>
    </row>
    <row r="108" spans="1:8" x14ac:dyDescent="0.2">
      <c r="A108" s="8"/>
      <c r="B108" s="4"/>
      <c r="C108" s="4" t="s">
        <v>131</v>
      </c>
      <c r="D108" s="4"/>
      <c r="E108" s="8"/>
      <c r="F108" s="6">
        <v>3.7056593100000002</v>
      </c>
      <c r="G108" s="138">
        <v>2.7631180000000002E-3</v>
      </c>
      <c r="H108" s="142"/>
    </row>
    <row r="109" spans="1:8" x14ac:dyDescent="0.2">
      <c r="A109" s="11"/>
      <c r="B109" s="11"/>
      <c r="C109" s="2" t="s">
        <v>132</v>
      </c>
      <c r="D109" s="15"/>
      <c r="E109" s="15"/>
      <c r="F109" s="9">
        <v>1341.11508441</v>
      </c>
      <c r="G109" s="139">
        <v>0.99999999900000003</v>
      </c>
      <c r="H109" s="142"/>
    </row>
    <row r="110" spans="1:8" ht="14.1" customHeight="1" x14ac:dyDescent="0.2">
      <c r="A110" s="16"/>
      <c r="B110" s="16"/>
      <c r="C110" s="16"/>
      <c r="D110" s="17"/>
      <c r="E110" s="17"/>
      <c r="F110" s="17"/>
      <c r="G110" s="17"/>
    </row>
    <row r="111" spans="1:8" ht="14.1" customHeight="1" x14ac:dyDescent="0.2">
      <c r="A111" s="18"/>
      <c r="B111" s="205" t="s">
        <v>106</v>
      </c>
      <c r="C111" s="205"/>
      <c r="D111" s="205"/>
      <c r="E111" s="205"/>
      <c r="F111" s="205"/>
      <c r="G111" s="20"/>
    </row>
    <row r="112" spans="1:8" ht="14.1" customHeight="1" x14ac:dyDescent="0.2">
      <c r="A112" s="18"/>
      <c r="B112" s="205" t="s">
        <v>106</v>
      </c>
      <c r="C112" s="205"/>
      <c r="D112" s="205"/>
      <c r="E112" s="205"/>
      <c r="F112" s="205"/>
      <c r="G112" s="20"/>
    </row>
    <row r="113" spans="1:7" ht="14.1" customHeight="1" x14ac:dyDescent="0.2">
      <c r="A113" s="18"/>
      <c r="B113" s="18"/>
      <c r="C113" s="18"/>
      <c r="D113" s="20"/>
      <c r="E113" s="20"/>
      <c r="F113" s="20"/>
      <c r="G113" s="20"/>
    </row>
    <row r="114" spans="1:7" ht="14.1" customHeight="1" x14ac:dyDescent="0.2">
      <c r="A114" s="18"/>
      <c r="B114" s="203" t="s">
        <v>134</v>
      </c>
      <c r="C114" s="204"/>
      <c r="D114" s="12" t="s">
        <v>106</v>
      </c>
      <c r="E114" s="21"/>
      <c r="F114" s="20"/>
      <c r="G114" s="20"/>
    </row>
    <row r="115" spans="1:7" ht="29.1" customHeight="1" x14ac:dyDescent="0.2">
      <c r="A115" s="18"/>
      <c r="B115" s="199" t="s">
        <v>135</v>
      </c>
      <c r="C115" s="200"/>
      <c r="D115" s="2" t="s">
        <v>136</v>
      </c>
      <c r="E115" s="21"/>
      <c r="F115" s="20"/>
      <c r="G115" s="20"/>
    </row>
    <row r="116" spans="1:7" ht="17.100000000000001" customHeight="1" x14ac:dyDescent="0.2">
      <c r="A116" s="18"/>
      <c r="B116" s="199" t="s">
        <v>137</v>
      </c>
      <c r="C116" s="200"/>
      <c r="D116" s="2" t="s">
        <v>136</v>
      </c>
      <c r="E116" s="21"/>
      <c r="F116" s="20"/>
      <c r="G116" s="20"/>
    </row>
    <row r="117" spans="1:7" ht="17.100000000000001" customHeight="1" x14ac:dyDescent="0.2">
      <c r="A117" s="18"/>
      <c r="B117" s="199" t="s">
        <v>138</v>
      </c>
      <c r="C117" s="200"/>
      <c r="D117" s="12" t="s">
        <v>106</v>
      </c>
      <c r="E117" s="21"/>
      <c r="F117" s="20"/>
      <c r="G117" s="20"/>
    </row>
    <row r="118" spans="1:7" ht="24" customHeight="1" x14ac:dyDescent="0.2">
      <c r="A118" s="22"/>
      <c r="B118" s="23" t="s">
        <v>106</v>
      </c>
      <c r="C118" s="23" t="s">
        <v>139</v>
      </c>
      <c r="D118" s="23" t="s">
        <v>140</v>
      </c>
      <c r="E118" s="22"/>
      <c r="F118" s="22"/>
      <c r="G118" s="22"/>
    </row>
    <row r="119" spans="1:7" ht="18" customHeight="1" x14ac:dyDescent="0.2">
      <c r="A119" s="22"/>
      <c r="B119" s="23" t="s">
        <v>141</v>
      </c>
      <c r="C119" s="23" t="s">
        <v>142</v>
      </c>
      <c r="D119" s="23" t="s">
        <v>143</v>
      </c>
      <c r="E119" s="22"/>
      <c r="F119" s="22"/>
      <c r="G119" s="22"/>
    </row>
    <row r="120" spans="1:7" x14ac:dyDescent="0.2">
      <c r="A120" s="22"/>
      <c r="B120" s="4" t="s">
        <v>144</v>
      </c>
      <c r="C120" s="24">
        <v>23.122299999999999</v>
      </c>
      <c r="D120" s="24">
        <v>23.683900000000001</v>
      </c>
      <c r="E120" s="22"/>
      <c r="F120" s="19"/>
      <c r="G120" s="25"/>
    </row>
    <row r="121" spans="1:7" x14ac:dyDescent="0.2">
      <c r="A121" s="22"/>
      <c r="B121" s="4" t="s">
        <v>1019</v>
      </c>
      <c r="C121" s="24">
        <v>18.7346</v>
      </c>
      <c r="D121" s="24">
        <v>19.189599999999999</v>
      </c>
      <c r="E121" s="22"/>
      <c r="F121" s="19"/>
      <c r="G121" s="25"/>
    </row>
    <row r="122" spans="1:7" x14ac:dyDescent="0.2">
      <c r="A122" s="22"/>
      <c r="B122" s="4" t="s">
        <v>145</v>
      </c>
      <c r="C122" s="24">
        <v>22.6096</v>
      </c>
      <c r="D122" s="24">
        <v>23.1554</v>
      </c>
      <c r="E122" s="22"/>
      <c r="F122" s="19"/>
      <c r="G122" s="25"/>
    </row>
    <row r="123" spans="1:7" x14ac:dyDescent="0.2">
      <c r="A123" s="22"/>
      <c r="B123" s="4" t="s">
        <v>1020</v>
      </c>
      <c r="C123" s="24">
        <v>18.248799999999999</v>
      </c>
      <c r="D123" s="24">
        <v>18.689299999999999</v>
      </c>
      <c r="E123" s="22"/>
      <c r="F123" s="19"/>
      <c r="G123" s="25"/>
    </row>
    <row r="124" spans="1:7" ht="14.1" customHeight="1" x14ac:dyDescent="0.2">
      <c r="A124" s="22"/>
      <c r="B124" s="22"/>
      <c r="C124" s="22"/>
      <c r="D124" s="22"/>
      <c r="E124" s="22"/>
      <c r="F124" s="22"/>
      <c r="G124" s="22"/>
    </row>
    <row r="125" spans="1:7" ht="17.100000000000001" customHeight="1" x14ac:dyDescent="0.2">
      <c r="A125" s="22"/>
      <c r="B125" s="199" t="s">
        <v>1021</v>
      </c>
      <c r="C125" s="200"/>
      <c r="D125" s="2" t="s">
        <v>136</v>
      </c>
      <c r="E125" s="22"/>
      <c r="F125" s="22"/>
      <c r="G125" s="22"/>
    </row>
    <row r="126" spans="1:7" ht="18" customHeight="1" x14ac:dyDescent="0.2">
      <c r="A126" s="22"/>
      <c r="B126" s="26"/>
      <c r="C126" s="26"/>
      <c r="D126" s="27"/>
      <c r="E126" s="22"/>
      <c r="F126" s="22"/>
      <c r="G126" s="22"/>
    </row>
    <row r="127" spans="1:7" s="125" customFormat="1" x14ac:dyDescent="0.2">
      <c r="B127" s="201" t="s">
        <v>825</v>
      </c>
      <c r="C127" s="201"/>
      <c r="D127" s="201"/>
      <c r="E127" s="201"/>
      <c r="F127" s="201"/>
    </row>
    <row r="128" spans="1:7" ht="14.1" customHeight="1" x14ac:dyDescent="0.2">
      <c r="A128" s="22"/>
      <c r="B128" s="19"/>
      <c r="C128" s="19"/>
      <c r="D128" s="22"/>
      <c r="E128" s="22"/>
      <c r="F128" s="22"/>
      <c r="G128" s="22"/>
    </row>
    <row r="129" spans="1:7" ht="29.1" customHeight="1" x14ac:dyDescent="0.2">
      <c r="A129" s="22"/>
      <c r="B129" s="199" t="s">
        <v>146</v>
      </c>
      <c r="C129" s="200"/>
      <c r="D129" s="2" t="s">
        <v>136</v>
      </c>
      <c r="E129" s="22"/>
      <c r="F129" s="22"/>
      <c r="G129" s="22"/>
    </row>
    <row r="130" spans="1:7" ht="29.1" customHeight="1" x14ac:dyDescent="0.2">
      <c r="A130" s="22"/>
      <c r="B130" s="199" t="s">
        <v>147</v>
      </c>
      <c r="C130" s="200"/>
      <c r="D130" s="2" t="s">
        <v>136</v>
      </c>
      <c r="E130" s="22"/>
      <c r="F130" s="22"/>
      <c r="G130" s="22"/>
    </row>
    <row r="131" spans="1:7" ht="17.100000000000001" customHeight="1" x14ac:dyDescent="0.2">
      <c r="A131" s="22"/>
      <c r="B131" s="199" t="s">
        <v>148</v>
      </c>
      <c r="C131" s="200"/>
      <c r="D131" s="28">
        <v>0.22401539786288394</v>
      </c>
      <c r="E131" s="22"/>
      <c r="F131" s="19"/>
      <c r="G131" s="25"/>
    </row>
    <row r="132" spans="1:7" ht="17.100000000000001" customHeight="1" x14ac:dyDescent="0.2">
      <c r="A132" s="22"/>
      <c r="B132" s="199" t="s">
        <v>149</v>
      </c>
      <c r="C132" s="200"/>
      <c r="D132" s="2" t="s">
        <v>136</v>
      </c>
      <c r="E132" s="22"/>
      <c r="F132" s="22"/>
      <c r="G132" s="22"/>
    </row>
  </sheetData>
  <mergeCells count="16">
    <mergeCell ref="J2:N2"/>
    <mergeCell ref="B114:C114"/>
    <mergeCell ref="B111:F111"/>
    <mergeCell ref="B112:F112"/>
    <mergeCell ref="A1:H1"/>
    <mergeCell ref="A2:H2"/>
    <mergeCell ref="A3:H3"/>
    <mergeCell ref="B131:C131"/>
    <mergeCell ref="B132:C132"/>
    <mergeCell ref="B115:C115"/>
    <mergeCell ref="B116:C116"/>
    <mergeCell ref="B117:C117"/>
    <mergeCell ref="B125:C125"/>
    <mergeCell ref="B129:C129"/>
    <mergeCell ref="B130:C130"/>
    <mergeCell ref="B127:F12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161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509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156</v>
      </c>
      <c r="C7" s="4" t="s">
        <v>157</v>
      </c>
      <c r="D7" s="4" t="s">
        <v>1024</v>
      </c>
      <c r="E7" s="5">
        <v>23395</v>
      </c>
      <c r="F7" s="6">
        <v>309.45736249999999</v>
      </c>
      <c r="G7" s="138">
        <v>3.7668341000000001E-2</v>
      </c>
      <c r="H7" s="142"/>
    </row>
    <row r="8" spans="1:14" x14ac:dyDescent="0.2">
      <c r="A8" s="3">
        <v>2</v>
      </c>
      <c r="B8" s="4" t="s">
        <v>154</v>
      </c>
      <c r="C8" s="4" t="s">
        <v>155</v>
      </c>
      <c r="D8" s="4" t="s">
        <v>27</v>
      </c>
      <c r="E8" s="5">
        <v>30438</v>
      </c>
      <c r="F8" s="6">
        <v>282.190698</v>
      </c>
      <c r="G8" s="138">
        <v>3.4349338E-2</v>
      </c>
      <c r="H8" s="142"/>
    </row>
    <row r="9" spans="1:14" x14ac:dyDescent="0.2">
      <c r="A9" s="3">
        <v>3</v>
      </c>
      <c r="B9" s="4" t="s">
        <v>25</v>
      </c>
      <c r="C9" s="4" t="s">
        <v>26</v>
      </c>
      <c r="D9" s="4" t="s">
        <v>27</v>
      </c>
      <c r="E9" s="5">
        <v>19100</v>
      </c>
      <c r="F9" s="6">
        <v>262.17615000000001</v>
      </c>
      <c r="G9" s="138">
        <v>3.1913089999999998E-2</v>
      </c>
      <c r="H9" s="142"/>
    </row>
    <row r="10" spans="1:14" x14ac:dyDescent="0.2">
      <c r="A10" s="3">
        <v>4</v>
      </c>
      <c r="B10" s="4" t="s">
        <v>162</v>
      </c>
      <c r="C10" s="4" t="s">
        <v>163</v>
      </c>
      <c r="D10" s="4" t="s">
        <v>164</v>
      </c>
      <c r="E10" s="5">
        <v>70770</v>
      </c>
      <c r="F10" s="6">
        <v>241.85647499999999</v>
      </c>
      <c r="G10" s="138">
        <v>2.9439700999999999E-2</v>
      </c>
      <c r="H10" s="142"/>
    </row>
    <row r="11" spans="1:14" x14ac:dyDescent="0.2">
      <c r="A11" s="3">
        <v>5</v>
      </c>
      <c r="B11" s="4" t="s">
        <v>160</v>
      </c>
      <c r="C11" s="4" t="s">
        <v>161</v>
      </c>
      <c r="D11" s="4" t="s">
        <v>27</v>
      </c>
      <c r="E11" s="5">
        <v>29750</v>
      </c>
      <c r="F11" s="6">
        <v>237.13724999999999</v>
      </c>
      <c r="G11" s="138">
        <v>2.8865259000000001E-2</v>
      </c>
      <c r="H11" s="142"/>
    </row>
    <row r="12" spans="1:14" x14ac:dyDescent="0.2">
      <c r="A12" s="3">
        <v>6</v>
      </c>
      <c r="B12" s="4" t="s">
        <v>214</v>
      </c>
      <c r="C12" s="4" t="s">
        <v>215</v>
      </c>
      <c r="D12" s="4" t="s">
        <v>216</v>
      </c>
      <c r="E12" s="5">
        <v>83608</v>
      </c>
      <c r="F12" s="6">
        <v>227.706388</v>
      </c>
      <c r="G12" s="138">
        <v>2.7717298000000001E-2</v>
      </c>
      <c r="H12" s="142"/>
    </row>
    <row r="13" spans="1:14" x14ac:dyDescent="0.2">
      <c r="A13" s="3">
        <v>7</v>
      </c>
      <c r="B13" s="4" t="s">
        <v>151</v>
      </c>
      <c r="C13" s="4" t="s">
        <v>152</v>
      </c>
      <c r="D13" s="4" t="s">
        <v>153</v>
      </c>
      <c r="E13" s="5">
        <v>6170</v>
      </c>
      <c r="F13" s="6">
        <v>227.349075</v>
      </c>
      <c r="G13" s="138">
        <v>2.7673804999999999E-2</v>
      </c>
      <c r="H13" s="142"/>
    </row>
    <row r="14" spans="1:14" x14ac:dyDescent="0.2">
      <c r="A14" s="3">
        <v>8</v>
      </c>
      <c r="B14" s="4" t="s">
        <v>165</v>
      </c>
      <c r="C14" s="4" t="s">
        <v>166</v>
      </c>
      <c r="D14" s="4" t="s">
        <v>51</v>
      </c>
      <c r="E14" s="5">
        <v>47942</v>
      </c>
      <c r="F14" s="6">
        <v>226.59786299999999</v>
      </c>
      <c r="G14" s="138">
        <v>2.7582364000000002E-2</v>
      </c>
      <c r="H14" s="142"/>
    </row>
    <row r="15" spans="1:14" ht="15" x14ac:dyDescent="0.2">
      <c r="A15" s="3">
        <v>9</v>
      </c>
      <c r="B15" s="4" t="s">
        <v>158</v>
      </c>
      <c r="C15" s="4" t="s">
        <v>159</v>
      </c>
      <c r="D15" s="4" t="s">
        <v>80</v>
      </c>
      <c r="E15" s="5">
        <v>185734</v>
      </c>
      <c r="F15" s="6">
        <v>224.73813999999999</v>
      </c>
      <c r="G15" s="138">
        <v>2.7355991999999999E-2</v>
      </c>
      <c r="H15" s="142"/>
      <c r="J15" s="163" t="s">
        <v>1039</v>
      </c>
    </row>
    <row r="16" spans="1:14" x14ac:dyDescent="0.2">
      <c r="A16" s="3">
        <v>10</v>
      </c>
      <c r="B16" s="4" t="s">
        <v>474</v>
      </c>
      <c r="C16" s="4" t="s">
        <v>475</v>
      </c>
      <c r="D16" s="4" t="s">
        <v>207</v>
      </c>
      <c r="E16" s="5">
        <v>35767</v>
      </c>
      <c r="F16" s="6">
        <v>215.8359615</v>
      </c>
      <c r="G16" s="138">
        <v>2.6272383999999999E-2</v>
      </c>
      <c r="H16" s="142"/>
    </row>
    <row r="17" spans="1:8" x14ac:dyDescent="0.2">
      <c r="A17" s="3">
        <v>11</v>
      </c>
      <c r="B17" s="4" t="s">
        <v>179</v>
      </c>
      <c r="C17" s="4" t="s">
        <v>180</v>
      </c>
      <c r="D17" s="4" t="s">
        <v>181</v>
      </c>
      <c r="E17" s="5">
        <v>82902</v>
      </c>
      <c r="F17" s="6">
        <v>205.099548</v>
      </c>
      <c r="G17" s="138">
        <v>2.4965507000000001E-2</v>
      </c>
      <c r="H17" s="142"/>
    </row>
    <row r="18" spans="1:8" x14ac:dyDescent="0.2">
      <c r="A18" s="3">
        <v>12</v>
      </c>
      <c r="B18" s="4" t="s">
        <v>205</v>
      </c>
      <c r="C18" s="4" t="s">
        <v>206</v>
      </c>
      <c r="D18" s="4" t="s">
        <v>207</v>
      </c>
      <c r="E18" s="5">
        <v>42854</v>
      </c>
      <c r="F18" s="6">
        <v>192.52159499999999</v>
      </c>
      <c r="G18" s="138">
        <v>2.3434469999999999E-2</v>
      </c>
      <c r="H18" s="142"/>
    </row>
    <row r="19" spans="1:8" x14ac:dyDescent="0.2">
      <c r="A19" s="3">
        <v>13</v>
      </c>
      <c r="B19" s="4" t="s">
        <v>210</v>
      </c>
      <c r="C19" s="4" t="s">
        <v>211</v>
      </c>
      <c r="D19" s="4" t="s">
        <v>34</v>
      </c>
      <c r="E19" s="5">
        <v>44883</v>
      </c>
      <c r="F19" s="6">
        <v>181.41708600000001</v>
      </c>
      <c r="G19" s="138">
        <v>2.2082786E-2</v>
      </c>
      <c r="H19" s="142"/>
    </row>
    <row r="20" spans="1:8" x14ac:dyDescent="0.2">
      <c r="A20" s="3">
        <v>14</v>
      </c>
      <c r="B20" s="4" t="s">
        <v>52</v>
      </c>
      <c r="C20" s="4" t="s">
        <v>53</v>
      </c>
      <c r="D20" s="4" t="s">
        <v>51</v>
      </c>
      <c r="E20" s="5">
        <v>56853</v>
      </c>
      <c r="F20" s="6">
        <v>176.04531449999999</v>
      </c>
      <c r="G20" s="138">
        <v>2.1428913000000001E-2</v>
      </c>
      <c r="H20" s="142"/>
    </row>
    <row r="21" spans="1:8" ht="25.5" x14ac:dyDescent="0.2">
      <c r="A21" s="3">
        <v>15</v>
      </c>
      <c r="B21" s="4" t="s">
        <v>217</v>
      </c>
      <c r="C21" s="4" t="s">
        <v>218</v>
      </c>
      <c r="D21" s="4" t="s">
        <v>90</v>
      </c>
      <c r="E21" s="5">
        <v>38459</v>
      </c>
      <c r="F21" s="6">
        <v>175.5845645</v>
      </c>
      <c r="G21" s="138">
        <v>2.1372828999999999E-2</v>
      </c>
      <c r="H21" s="142"/>
    </row>
    <row r="22" spans="1:8" ht="25.5" x14ac:dyDescent="0.2">
      <c r="A22" s="3">
        <v>16</v>
      </c>
      <c r="B22" s="4" t="s">
        <v>30</v>
      </c>
      <c r="C22" s="4" t="s">
        <v>31</v>
      </c>
      <c r="D22" s="4" t="s">
        <v>1023</v>
      </c>
      <c r="E22" s="5">
        <v>5414</v>
      </c>
      <c r="F22" s="6">
        <v>168.25358499999999</v>
      </c>
      <c r="G22" s="138">
        <v>2.0480473999999999E-2</v>
      </c>
      <c r="H22" s="142"/>
    </row>
    <row r="23" spans="1:8" x14ac:dyDescent="0.2">
      <c r="A23" s="3">
        <v>17</v>
      </c>
      <c r="B23" s="4" t="s">
        <v>74</v>
      </c>
      <c r="C23" s="4" t="s">
        <v>75</v>
      </c>
      <c r="D23" s="4" t="s">
        <v>66</v>
      </c>
      <c r="E23" s="5">
        <v>40332</v>
      </c>
      <c r="F23" s="6">
        <v>165.3612</v>
      </c>
      <c r="G23" s="138">
        <v>2.0128402E-2</v>
      </c>
      <c r="H23" s="142"/>
    </row>
    <row r="24" spans="1:8" ht="25.5" x14ac:dyDescent="0.2">
      <c r="A24" s="3">
        <v>18</v>
      </c>
      <c r="B24" s="4" t="s">
        <v>193</v>
      </c>
      <c r="C24" s="4" t="s">
        <v>194</v>
      </c>
      <c r="D24" s="4" t="s">
        <v>37</v>
      </c>
      <c r="E24" s="5">
        <v>134113</v>
      </c>
      <c r="F24" s="6">
        <v>164.89193349999999</v>
      </c>
      <c r="G24" s="138">
        <v>2.0071281E-2</v>
      </c>
      <c r="H24" s="142"/>
    </row>
    <row r="25" spans="1:8" x14ac:dyDescent="0.2">
      <c r="A25" s="3">
        <v>19</v>
      </c>
      <c r="B25" s="4" t="s">
        <v>171</v>
      </c>
      <c r="C25" s="4" t="s">
        <v>172</v>
      </c>
      <c r="D25" s="4" t="s">
        <v>173</v>
      </c>
      <c r="E25" s="5">
        <v>16619</v>
      </c>
      <c r="F25" s="6">
        <v>156.7919555</v>
      </c>
      <c r="G25" s="138">
        <v>1.9085319999999999E-2</v>
      </c>
      <c r="H25" s="142"/>
    </row>
    <row r="26" spans="1:8" x14ac:dyDescent="0.2">
      <c r="A26" s="3">
        <v>20</v>
      </c>
      <c r="B26" s="4" t="s">
        <v>44</v>
      </c>
      <c r="C26" s="4" t="s">
        <v>45</v>
      </c>
      <c r="D26" s="4" t="s">
        <v>27</v>
      </c>
      <c r="E26" s="5">
        <v>12434</v>
      </c>
      <c r="F26" s="6">
        <v>151.844008</v>
      </c>
      <c r="G26" s="138">
        <v>1.8483037000000001E-2</v>
      </c>
      <c r="H26" s="142"/>
    </row>
    <row r="27" spans="1:8" ht="25.5" x14ac:dyDescent="0.2">
      <c r="A27" s="3">
        <v>21</v>
      </c>
      <c r="B27" s="4" t="s">
        <v>458</v>
      </c>
      <c r="C27" s="4" t="s">
        <v>459</v>
      </c>
      <c r="D27" s="4" t="s">
        <v>37</v>
      </c>
      <c r="E27" s="5">
        <v>11046</v>
      </c>
      <c r="F27" s="6">
        <v>149.060247</v>
      </c>
      <c r="G27" s="138">
        <v>1.8144186999999999E-2</v>
      </c>
      <c r="H27" s="142"/>
    </row>
    <row r="28" spans="1:8" x14ac:dyDescent="0.2">
      <c r="A28" s="3">
        <v>22</v>
      </c>
      <c r="B28" s="4" t="s">
        <v>176</v>
      </c>
      <c r="C28" s="4" t="s">
        <v>177</v>
      </c>
      <c r="D28" s="4" t="s">
        <v>1026</v>
      </c>
      <c r="E28" s="5">
        <v>37587</v>
      </c>
      <c r="F28" s="6">
        <v>147.8108775</v>
      </c>
      <c r="G28" s="138">
        <v>1.7992108999999999E-2</v>
      </c>
      <c r="H28" s="142"/>
    </row>
    <row r="29" spans="1:8" x14ac:dyDescent="0.2">
      <c r="A29" s="3">
        <v>23</v>
      </c>
      <c r="B29" s="4" t="s">
        <v>49</v>
      </c>
      <c r="C29" s="4" t="s">
        <v>50</v>
      </c>
      <c r="D29" s="4" t="s">
        <v>51</v>
      </c>
      <c r="E29" s="5">
        <v>4397</v>
      </c>
      <c r="F29" s="6">
        <v>143.50488899999999</v>
      </c>
      <c r="G29" s="138">
        <v>1.7467968E-2</v>
      </c>
      <c r="H29" s="142"/>
    </row>
    <row r="30" spans="1:8" ht="25.5" x14ac:dyDescent="0.2">
      <c r="A30" s="3">
        <v>24</v>
      </c>
      <c r="B30" s="4" t="s">
        <v>191</v>
      </c>
      <c r="C30" s="4" t="s">
        <v>192</v>
      </c>
      <c r="D30" s="4" t="s">
        <v>1023</v>
      </c>
      <c r="E30" s="5">
        <v>54769</v>
      </c>
      <c r="F30" s="6">
        <v>140.646792</v>
      </c>
      <c r="G30" s="138">
        <v>1.7120069000000002E-2</v>
      </c>
      <c r="H30" s="142"/>
    </row>
    <row r="31" spans="1:8" x14ac:dyDescent="0.2">
      <c r="A31" s="3">
        <v>25</v>
      </c>
      <c r="B31" s="4" t="s">
        <v>203</v>
      </c>
      <c r="C31" s="4" t="s">
        <v>204</v>
      </c>
      <c r="D31" s="4" t="s">
        <v>80</v>
      </c>
      <c r="E31" s="5">
        <v>23275</v>
      </c>
      <c r="F31" s="6">
        <v>137.345775</v>
      </c>
      <c r="G31" s="138">
        <v>1.6718256000000001E-2</v>
      </c>
      <c r="H31" s="142"/>
    </row>
    <row r="32" spans="1:8" x14ac:dyDescent="0.2">
      <c r="A32" s="3">
        <v>26</v>
      </c>
      <c r="B32" s="4" t="s">
        <v>201</v>
      </c>
      <c r="C32" s="4" t="s">
        <v>202</v>
      </c>
      <c r="D32" s="4" t="s">
        <v>80</v>
      </c>
      <c r="E32" s="5">
        <v>19955</v>
      </c>
      <c r="F32" s="6">
        <v>137.05094</v>
      </c>
      <c r="G32" s="138">
        <v>1.6682368E-2</v>
      </c>
      <c r="H32" s="142"/>
    </row>
    <row r="33" spans="1:8" x14ac:dyDescent="0.2">
      <c r="A33" s="3">
        <v>27</v>
      </c>
      <c r="B33" s="4" t="s">
        <v>199</v>
      </c>
      <c r="C33" s="4" t="s">
        <v>200</v>
      </c>
      <c r="D33" s="4" t="s">
        <v>164</v>
      </c>
      <c r="E33" s="5">
        <v>11519</v>
      </c>
      <c r="F33" s="6">
        <v>122.4181725</v>
      </c>
      <c r="G33" s="138">
        <v>1.4901210999999999E-2</v>
      </c>
      <c r="H33" s="142"/>
    </row>
    <row r="34" spans="1:8" ht="25.5" x14ac:dyDescent="0.2">
      <c r="A34" s="3">
        <v>28</v>
      </c>
      <c r="B34" s="4" t="s">
        <v>244</v>
      </c>
      <c r="C34" s="4" t="s">
        <v>245</v>
      </c>
      <c r="D34" s="4" t="s">
        <v>1029</v>
      </c>
      <c r="E34" s="5">
        <v>107569</v>
      </c>
      <c r="F34" s="6">
        <v>120.10078849999999</v>
      </c>
      <c r="G34" s="138">
        <v>1.4619129999999999E-2</v>
      </c>
      <c r="H34" s="142"/>
    </row>
    <row r="35" spans="1:8" ht="25.5" x14ac:dyDescent="0.2">
      <c r="A35" s="3">
        <v>29</v>
      </c>
      <c r="B35" s="4" t="s">
        <v>231</v>
      </c>
      <c r="C35" s="4" t="s">
        <v>232</v>
      </c>
      <c r="D35" s="4" t="s">
        <v>51</v>
      </c>
      <c r="E35" s="5">
        <v>5046</v>
      </c>
      <c r="F35" s="6">
        <v>108.17867099999999</v>
      </c>
      <c r="G35" s="138">
        <v>1.3167923999999999E-2</v>
      </c>
      <c r="H35" s="142"/>
    </row>
    <row r="36" spans="1:8" x14ac:dyDescent="0.2">
      <c r="A36" s="3">
        <v>30</v>
      </c>
      <c r="B36" s="4" t="s">
        <v>227</v>
      </c>
      <c r="C36" s="4" t="s">
        <v>228</v>
      </c>
      <c r="D36" s="4" t="s">
        <v>66</v>
      </c>
      <c r="E36" s="5">
        <v>108993</v>
      </c>
      <c r="F36" s="6">
        <v>107.3036085</v>
      </c>
      <c r="G36" s="138">
        <v>1.3061408E-2</v>
      </c>
      <c r="H36" s="142"/>
    </row>
    <row r="37" spans="1:8" x14ac:dyDescent="0.2">
      <c r="A37" s="3">
        <v>31</v>
      </c>
      <c r="B37" s="4" t="s">
        <v>225</v>
      </c>
      <c r="C37" s="4" t="s">
        <v>226</v>
      </c>
      <c r="D37" s="4" t="s">
        <v>1028</v>
      </c>
      <c r="E37" s="5">
        <v>18393</v>
      </c>
      <c r="F37" s="6">
        <v>104.159559</v>
      </c>
      <c r="G37" s="138">
        <v>1.2678702E-2</v>
      </c>
      <c r="H37" s="142"/>
    </row>
    <row r="38" spans="1:8" x14ac:dyDescent="0.2">
      <c r="A38" s="3">
        <v>32</v>
      </c>
      <c r="B38" s="4" t="s">
        <v>188</v>
      </c>
      <c r="C38" s="4" t="s">
        <v>189</v>
      </c>
      <c r="D38" s="4" t="s">
        <v>190</v>
      </c>
      <c r="E38" s="5">
        <v>10328</v>
      </c>
      <c r="F38" s="6">
        <v>102.851388</v>
      </c>
      <c r="G38" s="138">
        <v>1.2519466999999999E-2</v>
      </c>
      <c r="H38" s="142"/>
    </row>
    <row r="39" spans="1:8" x14ac:dyDescent="0.2">
      <c r="A39" s="3">
        <v>33</v>
      </c>
      <c r="B39" s="4" t="s">
        <v>296</v>
      </c>
      <c r="C39" s="4" t="s">
        <v>297</v>
      </c>
      <c r="D39" s="4" t="s">
        <v>27</v>
      </c>
      <c r="E39" s="5">
        <v>8330</v>
      </c>
      <c r="F39" s="6">
        <v>101.92588000000001</v>
      </c>
      <c r="G39" s="138">
        <v>1.2406810000000001E-2</v>
      </c>
      <c r="H39" s="142"/>
    </row>
    <row r="40" spans="1:8" x14ac:dyDescent="0.2">
      <c r="A40" s="3">
        <v>34</v>
      </c>
      <c r="B40" s="4" t="s">
        <v>241</v>
      </c>
      <c r="C40" s="4" t="s">
        <v>242</v>
      </c>
      <c r="D40" s="4" t="s">
        <v>243</v>
      </c>
      <c r="E40" s="5">
        <v>19323</v>
      </c>
      <c r="F40" s="6">
        <v>95.687495999999996</v>
      </c>
      <c r="G40" s="138">
        <v>1.164745E-2</v>
      </c>
      <c r="H40" s="142"/>
    </row>
    <row r="41" spans="1:8" x14ac:dyDescent="0.2">
      <c r="A41" s="3">
        <v>35</v>
      </c>
      <c r="B41" s="4" t="s">
        <v>271</v>
      </c>
      <c r="C41" s="4" t="s">
        <v>272</v>
      </c>
      <c r="D41" s="4" t="s">
        <v>1028</v>
      </c>
      <c r="E41" s="5">
        <v>65797</v>
      </c>
      <c r="F41" s="6">
        <v>95.603041000000005</v>
      </c>
      <c r="G41" s="138">
        <v>1.163717E-2</v>
      </c>
      <c r="H41" s="142"/>
    </row>
    <row r="42" spans="1:8" x14ac:dyDescent="0.2">
      <c r="A42" s="3">
        <v>36</v>
      </c>
      <c r="B42" s="4" t="s">
        <v>197</v>
      </c>
      <c r="C42" s="4" t="s">
        <v>198</v>
      </c>
      <c r="D42" s="4" t="s">
        <v>51</v>
      </c>
      <c r="E42" s="5">
        <v>9272</v>
      </c>
      <c r="F42" s="6">
        <v>95.098268000000004</v>
      </c>
      <c r="G42" s="138">
        <v>1.1575726999999999E-2</v>
      </c>
      <c r="H42" s="142"/>
    </row>
    <row r="43" spans="1:8" x14ac:dyDescent="0.2">
      <c r="A43" s="3">
        <v>37</v>
      </c>
      <c r="B43" s="4" t="s">
        <v>257</v>
      </c>
      <c r="C43" s="4" t="s">
        <v>258</v>
      </c>
      <c r="D43" s="4" t="s">
        <v>173</v>
      </c>
      <c r="E43" s="5">
        <v>25572</v>
      </c>
      <c r="F43" s="6">
        <v>89.501999999999995</v>
      </c>
      <c r="G43" s="138">
        <v>1.0894528000000001E-2</v>
      </c>
      <c r="H43" s="142"/>
    </row>
    <row r="44" spans="1:8" ht="25.5" x14ac:dyDescent="0.2">
      <c r="A44" s="3">
        <v>38</v>
      </c>
      <c r="B44" s="4" t="s">
        <v>252</v>
      </c>
      <c r="C44" s="4" t="s">
        <v>253</v>
      </c>
      <c r="D44" s="4" t="s">
        <v>90</v>
      </c>
      <c r="E44" s="5">
        <v>21059</v>
      </c>
      <c r="F44" s="6">
        <v>88.595213000000001</v>
      </c>
      <c r="G44" s="138">
        <v>1.0784149999999999E-2</v>
      </c>
      <c r="H44" s="142"/>
    </row>
    <row r="45" spans="1:8" x14ac:dyDescent="0.2">
      <c r="A45" s="3">
        <v>39</v>
      </c>
      <c r="B45" s="4" t="s">
        <v>250</v>
      </c>
      <c r="C45" s="4" t="s">
        <v>251</v>
      </c>
      <c r="D45" s="4" t="s">
        <v>164</v>
      </c>
      <c r="E45" s="5">
        <v>6375</v>
      </c>
      <c r="F45" s="6">
        <v>87.971812499999999</v>
      </c>
      <c r="G45" s="138">
        <v>1.0708268E-2</v>
      </c>
      <c r="H45" s="142"/>
    </row>
    <row r="46" spans="1:8" x14ac:dyDescent="0.2">
      <c r="A46" s="3">
        <v>40</v>
      </c>
      <c r="B46" s="4" t="s">
        <v>273</v>
      </c>
      <c r="C46" s="4" t="s">
        <v>274</v>
      </c>
      <c r="D46" s="4" t="s">
        <v>173</v>
      </c>
      <c r="E46" s="5">
        <v>14616</v>
      </c>
      <c r="F46" s="6">
        <v>87.579071999999996</v>
      </c>
      <c r="G46" s="138">
        <v>1.0660462000000001E-2</v>
      </c>
      <c r="H46" s="142"/>
    </row>
    <row r="47" spans="1:8" ht="25.5" x14ac:dyDescent="0.2">
      <c r="A47" s="3">
        <v>41</v>
      </c>
      <c r="B47" s="4" t="s">
        <v>255</v>
      </c>
      <c r="C47" s="4" t="s">
        <v>256</v>
      </c>
      <c r="D47" s="4" t="s">
        <v>90</v>
      </c>
      <c r="E47" s="5">
        <v>22731</v>
      </c>
      <c r="F47" s="6">
        <v>87.412060499999995</v>
      </c>
      <c r="G47" s="138">
        <v>1.0640133E-2</v>
      </c>
      <c r="H47" s="142"/>
    </row>
    <row r="48" spans="1:8" ht="25.5" x14ac:dyDescent="0.2">
      <c r="A48" s="3">
        <v>42</v>
      </c>
      <c r="B48" s="4" t="s">
        <v>178</v>
      </c>
      <c r="C48" s="4" t="s">
        <v>933</v>
      </c>
      <c r="D48" s="4" t="s">
        <v>37</v>
      </c>
      <c r="E48" s="5">
        <v>33472</v>
      </c>
      <c r="F48" s="6">
        <v>86.407967999999997</v>
      </c>
      <c r="G48" s="138">
        <v>1.051791E-2</v>
      </c>
      <c r="H48" s="142"/>
    </row>
    <row r="49" spans="1:8" x14ac:dyDescent="0.2">
      <c r="A49" s="3">
        <v>43</v>
      </c>
      <c r="B49" s="4" t="s">
        <v>195</v>
      </c>
      <c r="C49" s="4" t="s">
        <v>196</v>
      </c>
      <c r="D49" s="4" t="s">
        <v>24</v>
      </c>
      <c r="E49" s="5">
        <v>43070</v>
      </c>
      <c r="F49" s="6">
        <v>82.22063</v>
      </c>
      <c r="G49" s="138">
        <v>1.0008212000000001E-2</v>
      </c>
      <c r="H49" s="142"/>
    </row>
    <row r="50" spans="1:8" x14ac:dyDescent="0.2">
      <c r="A50" s="3">
        <v>44</v>
      </c>
      <c r="B50" s="4" t="s">
        <v>277</v>
      </c>
      <c r="C50" s="4" t="s">
        <v>278</v>
      </c>
      <c r="D50" s="4" t="s">
        <v>279</v>
      </c>
      <c r="E50" s="5">
        <v>33525</v>
      </c>
      <c r="F50" s="6">
        <v>77.710949999999997</v>
      </c>
      <c r="G50" s="138">
        <v>9.4592760000000008E-3</v>
      </c>
      <c r="H50" s="142"/>
    </row>
    <row r="51" spans="1:8" x14ac:dyDescent="0.2">
      <c r="A51" s="3">
        <v>45</v>
      </c>
      <c r="B51" s="4" t="s">
        <v>174</v>
      </c>
      <c r="C51" s="4" t="s">
        <v>175</v>
      </c>
      <c r="D51" s="4" t="s">
        <v>335</v>
      </c>
      <c r="E51" s="5">
        <v>7743</v>
      </c>
      <c r="F51" s="6">
        <v>76.593755999999999</v>
      </c>
      <c r="G51" s="138">
        <v>9.3232869999999995E-3</v>
      </c>
      <c r="H51" s="142"/>
    </row>
    <row r="52" spans="1:8" x14ac:dyDescent="0.2">
      <c r="A52" s="3">
        <v>46</v>
      </c>
      <c r="B52" s="4" t="s">
        <v>280</v>
      </c>
      <c r="C52" s="4" t="s">
        <v>281</v>
      </c>
      <c r="D52" s="4" t="s">
        <v>24</v>
      </c>
      <c r="E52" s="5">
        <v>82133</v>
      </c>
      <c r="F52" s="6">
        <v>74.741029999999995</v>
      </c>
      <c r="G52" s="138">
        <v>9.0977660000000002E-3</v>
      </c>
      <c r="H52" s="142"/>
    </row>
    <row r="53" spans="1:8" x14ac:dyDescent="0.2">
      <c r="A53" s="3">
        <v>47</v>
      </c>
      <c r="B53" s="4" t="s">
        <v>265</v>
      </c>
      <c r="C53" s="4" t="s">
        <v>266</v>
      </c>
      <c r="D53" s="4" t="s">
        <v>59</v>
      </c>
      <c r="E53" s="5">
        <v>7165</v>
      </c>
      <c r="F53" s="6">
        <v>74.104012499999996</v>
      </c>
      <c r="G53" s="138">
        <v>9.0202259999999992E-3</v>
      </c>
      <c r="H53" s="142"/>
    </row>
    <row r="54" spans="1:8" x14ac:dyDescent="0.2">
      <c r="A54" s="3">
        <v>48</v>
      </c>
      <c r="B54" s="4" t="s">
        <v>468</v>
      </c>
      <c r="C54" s="4" t="s">
        <v>469</v>
      </c>
      <c r="D54" s="4" t="s">
        <v>1024</v>
      </c>
      <c r="E54" s="5">
        <v>75633</v>
      </c>
      <c r="F54" s="6">
        <v>73.817807999999999</v>
      </c>
      <c r="G54" s="138">
        <v>8.9853880000000004E-3</v>
      </c>
      <c r="H54" s="142"/>
    </row>
    <row r="55" spans="1:8" x14ac:dyDescent="0.2">
      <c r="A55" s="3">
        <v>49</v>
      </c>
      <c r="B55" s="4" t="s">
        <v>267</v>
      </c>
      <c r="C55" s="4" t="s">
        <v>268</v>
      </c>
      <c r="D55" s="4" t="s">
        <v>1024</v>
      </c>
      <c r="E55" s="5">
        <v>4049</v>
      </c>
      <c r="F55" s="6">
        <v>67.158738499999998</v>
      </c>
      <c r="G55" s="138">
        <v>8.1748199999999993E-3</v>
      </c>
      <c r="H55" s="142"/>
    </row>
    <row r="56" spans="1:8" x14ac:dyDescent="0.2">
      <c r="A56" s="3">
        <v>50</v>
      </c>
      <c r="B56" s="4" t="s">
        <v>235</v>
      </c>
      <c r="C56" s="4" t="s">
        <v>236</v>
      </c>
      <c r="D56" s="4" t="s">
        <v>27</v>
      </c>
      <c r="E56" s="5">
        <v>3837</v>
      </c>
      <c r="F56" s="6">
        <v>65.035231499999995</v>
      </c>
      <c r="G56" s="138">
        <v>7.9163389999999997E-3</v>
      </c>
      <c r="H56" s="142"/>
    </row>
    <row r="57" spans="1:8" x14ac:dyDescent="0.2">
      <c r="A57" s="3">
        <v>51</v>
      </c>
      <c r="B57" s="4" t="s">
        <v>64</v>
      </c>
      <c r="C57" s="4" t="s">
        <v>65</v>
      </c>
      <c r="D57" s="4" t="s">
        <v>66</v>
      </c>
      <c r="E57" s="5">
        <v>39491</v>
      </c>
      <c r="F57" s="6">
        <v>64.251857000000001</v>
      </c>
      <c r="G57" s="138">
        <v>7.8209830000000001E-3</v>
      </c>
      <c r="H57" s="142"/>
    </row>
    <row r="58" spans="1:8" x14ac:dyDescent="0.2">
      <c r="A58" s="3">
        <v>52</v>
      </c>
      <c r="B58" s="4" t="s">
        <v>269</v>
      </c>
      <c r="C58" s="4" t="s">
        <v>270</v>
      </c>
      <c r="D58" s="4" t="s">
        <v>1028</v>
      </c>
      <c r="E58" s="5">
        <v>54120</v>
      </c>
      <c r="F58" s="6">
        <v>62.670960000000001</v>
      </c>
      <c r="G58" s="138">
        <v>7.6285509999999999E-3</v>
      </c>
      <c r="H58" s="142"/>
    </row>
    <row r="59" spans="1:8" x14ac:dyDescent="0.2">
      <c r="A59" s="3">
        <v>53</v>
      </c>
      <c r="B59" s="4" t="s">
        <v>167</v>
      </c>
      <c r="C59" s="4" t="s">
        <v>168</v>
      </c>
      <c r="D59" s="4" t="s">
        <v>1025</v>
      </c>
      <c r="E59" s="5">
        <v>29418</v>
      </c>
      <c r="F59" s="6">
        <v>60.277481999999999</v>
      </c>
      <c r="G59" s="138">
        <v>7.3372070000000001E-3</v>
      </c>
      <c r="H59" s="142"/>
    </row>
    <row r="60" spans="1:8" x14ac:dyDescent="0.2">
      <c r="A60" s="3">
        <v>54</v>
      </c>
      <c r="B60" s="4" t="s">
        <v>219</v>
      </c>
      <c r="C60" s="4" t="s">
        <v>220</v>
      </c>
      <c r="D60" s="4" t="s">
        <v>59</v>
      </c>
      <c r="E60" s="5">
        <v>23492</v>
      </c>
      <c r="F60" s="6">
        <v>56.9681</v>
      </c>
      <c r="G60" s="138">
        <v>6.9343759999999999E-3</v>
      </c>
      <c r="H60" s="142"/>
    </row>
    <row r="61" spans="1:8" x14ac:dyDescent="0.2">
      <c r="A61" s="3">
        <v>55</v>
      </c>
      <c r="B61" s="4" t="s">
        <v>282</v>
      </c>
      <c r="C61" s="4" t="s">
        <v>283</v>
      </c>
      <c r="D61" s="4" t="s">
        <v>207</v>
      </c>
      <c r="E61" s="5">
        <v>1052</v>
      </c>
      <c r="F61" s="6">
        <v>56.845872</v>
      </c>
      <c r="G61" s="138">
        <v>6.9194979999999996E-3</v>
      </c>
      <c r="H61" s="142"/>
    </row>
    <row r="62" spans="1:8" x14ac:dyDescent="0.2">
      <c r="A62" s="3">
        <v>56</v>
      </c>
      <c r="B62" s="4" t="s">
        <v>275</v>
      </c>
      <c r="C62" s="4" t="s">
        <v>276</v>
      </c>
      <c r="D62" s="4" t="s">
        <v>335</v>
      </c>
      <c r="E62" s="5">
        <v>4284</v>
      </c>
      <c r="F62" s="6">
        <v>52.954523999999999</v>
      </c>
      <c r="G62" s="138">
        <v>6.4458290000000001E-3</v>
      </c>
      <c r="H62" s="142"/>
    </row>
    <row r="63" spans="1:8" x14ac:dyDescent="0.2">
      <c r="A63" s="3">
        <v>57</v>
      </c>
      <c r="B63" s="4" t="s">
        <v>246</v>
      </c>
      <c r="C63" s="4" t="s">
        <v>247</v>
      </c>
      <c r="D63" s="4" t="s">
        <v>80</v>
      </c>
      <c r="E63" s="5">
        <v>94633</v>
      </c>
      <c r="F63" s="6">
        <v>52.000833499999999</v>
      </c>
      <c r="G63" s="138">
        <v>6.3297420000000002E-3</v>
      </c>
      <c r="H63" s="142"/>
    </row>
    <row r="64" spans="1:8" x14ac:dyDescent="0.2">
      <c r="A64" s="3">
        <v>58</v>
      </c>
      <c r="B64" s="4" t="s">
        <v>288</v>
      </c>
      <c r="C64" s="4" t="s">
        <v>289</v>
      </c>
      <c r="D64" s="4" t="s">
        <v>153</v>
      </c>
      <c r="E64" s="5">
        <v>3563</v>
      </c>
      <c r="F64" s="6">
        <v>49.7376985</v>
      </c>
      <c r="G64" s="138">
        <v>6.0542640000000002E-3</v>
      </c>
      <c r="H64" s="142"/>
    </row>
    <row r="65" spans="1:8" x14ac:dyDescent="0.2">
      <c r="A65" s="3">
        <v>59</v>
      </c>
      <c r="B65" s="4" t="s">
        <v>263</v>
      </c>
      <c r="C65" s="4" t="s">
        <v>264</v>
      </c>
      <c r="D65" s="4" t="s">
        <v>34</v>
      </c>
      <c r="E65" s="5">
        <v>40010</v>
      </c>
      <c r="F65" s="6">
        <v>46.351585</v>
      </c>
      <c r="G65" s="138">
        <v>5.6420929999999999E-3</v>
      </c>
      <c r="H65" s="142"/>
    </row>
    <row r="66" spans="1:8" x14ac:dyDescent="0.2">
      <c r="A66" s="3">
        <v>60</v>
      </c>
      <c r="B66" s="4" t="s">
        <v>261</v>
      </c>
      <c r="C66" s="4" t="s">
        <v>262</v>
      </c>
      <c r="D66" s="4" t="s">
        <v>51</v>
      </c>
      <c r="E66" s="5">
        <v>20113</v>
      </c>
      <c r="F66" s="6">
        <v>44.691085999999999</v>
      </c>
      <c r="G66" s="138">
        <v>5.439971E-3</v>
      </c>
      <c r="H66" s="142"/>
    </row>
    <row r="67" spans="1:8" x14ac:dyDescent="0.2">
      <c r="A67" s="3">
        <v>61</v>
      </c>
      <c r="B67" s="4" t="s">
        <v>284</v>
      </c>
      <c r="C67" s="4" t="s">
        <v>285</v>
      </c>
      <c r="D67" s="4" t="s">
        <v>164</v>
      </c>
      <c r="E67" s="5">
        <v>7394</v>
      </c>
      <c r="F67" s="6">
        <v>35.494897000000002</v>
      </c>
      <c r="G67" s="138">
        <v>4.3205759999999996E-3</v>
      </c>
      <c r="H67" s="142"/>
    </row>
    <row r="68" spans="1:8" ht="25.5" x14ac:dyDescent="0.2">
      <c r="A68" s="3">
        <v>62</v>
      </c>
      <c r="B68" s="4" t="s">
        <v>70</v>
      </c>
      <c r="C68" s="4" t="s">
        <v>71</v>
      </c>
      <c r="D68" s="4" t="s">
        <v>37</v>
      </c>
      <c r="E68" s="5">
        <v>4928</v>
      </c>
      <c r="F68" s="6">
        <v>35.484063999999996</v>
      </c>
      <c r="G68" s="138">
        <v>4.319257E-3</v>
      </c>
      <c r="H68" s="142"/>
    </row>
    <row r="69" spans="1:8" x14ac:dyDescent="0.2">
      <c r="A69" s="3">
        <v>63</v>
      </c>
      <c r="B69" s="4" t="s">
        <v>233</v>
      </c>
      <c r="C69" s="4" t="s">
        <v>234</v>
      </c>
      <c r="D69" s="4" t="s">
        <v>1025</v>
      </c>
      <c r="E69" s="5">
        <v>2309</v>
      </c>
      <c r="F69" s="6">
        <v>33.749498500000001</v>
      </c>
      <c r="G69" s="138">
        <v>4.1081190000000004E-3</v>
      </c>
      <c r="H69" s="142"/>
    </row>
    <row r="70" spans="1:8" x14ac:dyDescent="0.2">
      <c r="A70" s="3">
        <v>64</v>
      </c>
      <c r="B70" s="4" t="s">
        <v>290</v>
      </c>
      <c r="C70" s="4" t="s">
        <v>291</v>
      </c>
      <c r="D70" s="4" t="s">
        <v>153</v>
      </c>
      <c r="E70" s="5">
        <v>1660</v>
      </c>
      <c r="F70" s="6">
        <v>10.16667</v>
      </c>
      <c r="G70" s="138">
        <v>1.2375260000000001E-3</v>
      </c>
      <c r="H70" s="142"/>
    </row>
    <row r="71" spans="1:8" x14ac:dyDescent="0.2">
      <c r="A71" s="3">
        <v>65</v>
      </c>
      <c r="B71" s="4" t="s">
        <v>292</v>
      </c>
      <c r="C71" s="4" t="s">
        <v>293</v>
      </c>
      <c r="D71" s="4" t="s">
        <v>24</v>
      </c>
      <c r="E71" s="5">
        <v>15638</v>
      </c>
      <c r="F71" s="6">
        <v>9.7268360000000005</v>
      </c>
      <c r="G71" s="138">
        <v>1.183988E-3</v>
      </c>
      <c r="H71" s="142"/>
    </row>
    <row r="72" spans="1:8" x14ac:dyDescent="0.2">
      <c r="A72" s="3">
        <v>66</v>
      </c>
      <c r="B72" s="4" t="s">
        <v>286</v>
      </c>
      <c r="C72" s="4" t="s">
        <v>287</v>
      </c>
      <c r="D72" s="4" t="s">
        <v>207</v>
      </c>
      <c r="E72" s="5">
        <v>1627</v>
      </c>
      <c r="F72" s="6">
        <v>5.8742834999999998</v>
      </c>
      <c r="G72" s="138">
        <v>7.1504000000000001E-4</v>
      </c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9">
        <v>7897.6990754999997</v>
      </c>
      <c r="G73" s="139">
        <v>0.96133833199999996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107</v>
      </c>
      <c r="D75" s="1"/>
      <c r="E75" s="1"/>
      <c r="F75" s="1"/>
      <c r="G75" s="137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108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109</v>
      </c>
      <c r="D81" s="1"/>
      <c r="E81" s="1"/>
      <c r="F81" s="1"/>
      <c r="G81" s="137"/>
      <c r="H81" s="142"/>
    </row>
    <row r="82" spans="1:8" ht="25.5" x14ac:dyDescent="0.2">
      <c r="A82" s="3">
        <v>1</v>
      </c>
      <c r="B82" s="4" t="s">
        <v>294</v>
      </c>
      <c r="C82" s="4" t="s">
        <v>997</v>
      </c>
      <c r="D82" s="4" t="s">
        <v>66</v>
      </c>
      <c r="E82" s="5">
        <v>46361</v>
      </c>
      <c r="F82" s="6">
        <v>17.223111500000002</v>
      </c>
      <c r="G82" s="138">
        <v>2.0964629999999998E-3</v>
      </c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9">
        <v>17.223111500000002</v>
      </c>
      <c r="G83" s="139">
        <v>2.0964629999999998E-3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111</v>
      </c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112</v>
      </c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113</v>
      </c>
      <c r="D91" s="1"/>
      <c r="E91" s="1"/>
      <c r="F91" s="9">
        <v>7914.9221870000001</v>
      </c>
      <c r="G91" s="139">
        <v>0.96343479499999995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114</v>
      </c>
      <c r="D93" s="1"/>
      <c r="E93" s="1"/>
      <c r="F93" s="12"/>
      <c r="G93" s="140"/>
      <c r="H93" s="142"/>
    </row>
    <row r="94" spans="1:8" ht="25.5" x14ac:dyDescent="0.2">
      <c r="A94" s="1"/>
      <c r="B94" s="1"/>
      <c r="C94" s="2" t="s">
        <v>10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115</v>
      </c>
      <c r="D97" s="1"/>
      <c r="E97" s="1"/>
      <c r="F97" s="1"/>
      <c r="G97" s="137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116</v>
      </c>
      <c r="D100" s="1"/>
      <c r="E100" s="1"/>
      <c r="F100" s="1"/>
      <c r="G100" s="137"/>
      <c r="H100" s="142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1">
        <v>0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117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118</v>
      </c>
      <c r="D106" s="1"/>
      <c r="E106" s="1"/>
      <c r="F106" s="9">
        <v>0</v>
      </c>
      <c r="G106" s="139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119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120</v>
      </c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121</v>
      </c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122</v>
      </c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1">
        <v>0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123</v>
      </c>
      <c r="D118" s="1"/>
      <c r="E118" s="1"/>
      <c r="F118" s="12"/>
      <c r="G118" s="140"/>
      <c r="H118" s="142"/>
    </row>
    <row r="119" spans="1:8" x14ac:dyDescent="0.2">
      <c r="A119" s="3">
        <v>1</v>
      </c>
      <c r="B119" s="4"/>
      <c r="C119" s="4" t="s">
        <v>124</v>
      </c>
      <c r="D119" s="4"/>
      <c r="E119" s="8"/>
      <c r="F119" s="6">
        <v>186.62222639999999</v>
      </c>
      <c r="G119" s="138">
        <v>2.2716376E-2</v>
      </c>
      <c r="H119" s="152">
        <v>3.3197683930276081</v>
      </c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9">
        <v>186.62222639999999</v>
      </c>
      <c r="G120" s="139">
        <v>2.2716376E-2</v>
      </c>
      <c r="H120" s="142"/>
    </row>
    <row r="121" spans="1:8" x14ac:dyDescent="0.2">
      <c r="A121" s="1"/>
      <c r="B121" s="1"/>
      <c r="C121" s="11"/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125</v>
      </c>
      <c r="D122" s="1"/>
      <c r="E122" s="1"/>
      <c r="F122" s="9">
        <v>186.62222639999999</v>
      </c>
      <c r="G122" s="139">
        <v>2.2716376E-2</v>
      </c>
      <c r="H122" s="142"/>
    </row>
    <row r="123" spans="1:8" x14ac:dyDescent="0.2">
      <c r="A123" s="1"/>
      <c r="B123" s="1"/>
      <c r="C123" s="12"/>
      <c r="D123" s="1"/>
      <c r="E123" s="1"/>
      <c r="F123" s="1"/>
      <c r="G123" s="137"/>
      <c r="H123" s="142"/>
    </row>
    <row r="124" spans="1:8" x14ac:dyDescent="0.2">
      <c r="A124" s="1"/>
      <c r="B124" s="1"/>
      <c r="C124" s="2" t="s">
        <v>126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127</v>
      </c>
      <c r="D125" s="1"/>
      <c r="E125" s="1"/>
      <c r="F125" s="1"/>
      <c r="G125" s="137"/>
      <c r="H125" s="142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1">
        <v>0</v>
      </c>
      <c r="H126" s="142"/>
    </row>
    <row r="127" spans="1:8" x14ac:dyDescent="0.2">
      <c r="A127" s="1"/>
      <c r="B127" s="1"/>
      <c r="C127" s="11"/>
      <c r="D127" s="1"/>
      <c r="E127" s="1"/>
      <c r="F127" s="12"/>
      <c r="G127" s="140"/>
      <c r="H127" s="142"/>
    </row>
    <row r="128" spans="1:8" x14ac:dyDescent="0.2">
      <c r="A128" s="1"/>
      <c r="B128" s="1"/>
      <c r="C128" s="2" t="s">
        <v>128</v>
      </c>
      <c r="D128" s="1"/>
      <c r="E128" s="1"/>
      <c r="F128" s="1"/>
      <c r="G128" s="137"/>
      <c r="H128" s="142"/>
    </row>
    <row r="129" spans="1:8" x14ac:dyDescent="0.2">
      <c r="A129" s="1"/>
      <c r="B129" s="1"/>
      <c r="C129" s="2" t="s">
        <v>129</v>
      </c>
      <c r="D129" s="1"/>
      <c r="E129" s="1"/>
      <c r="F129" s="1"/>
      <c r="G129" s="137"/>
      <c r="H129" s="142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1">
        <v>0</v>
      </c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x14ac:dyDescent="0.2">
      <c r="A132" s="1"/>
      <c r="B132" s="1"/>
      <c r="C132" s="11"/>
      <c r="D132" s="1"/>
      <c r="E132" s="1"/>
      <c r="F132" s="12"/>
      <c r="G132" s="140"/>
      <c r="H132" s="142"/>
    </row>
    <row r="133" spans="1:8" ht="25.5" x14ac:dyDescent="0.2">
      <c r="A133" s="1"/>
      <c r="B133" s="1"/>
      <c r="C133" s="2" t="s">
        <v>130</v>
      </c>
      <c r="D133" s="1"/>
      <c r="E133" s="1"/>
      <c r="F133" s="12"/>
      <c r="G133" s="140"/>
      <c r="H133" s="142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1">
        <v>0</v>
      </c>
      <c r="H134" s="142"/>
    </row>
    <row r="135" spans="1:8" x14ac:dyDescent="0.2">
      <c r="A135" s="1"/>
      <c r="B135" s="1"/>
      <c r="C135" s="11"/>
      <c r="D135" s="1"/>
      <c r="E135" s="1"/>
      <c r="F135" s="12"/>
      <c r="G135" s="140"/>
      <c r="H135" s="142"/>
    </row>
    <row r="136" spans="1:8" x14ac:dyDescent="0.2">
      <c r="A136" s="1"/>
      <c r="B136" s="4"/>
      <c r="C136" s="4"/>
      <c r="D136" s="2"/>
      <c r="E136" s="1"/>
      <c r="F136" s="4"/>
      <c r="G136" s="143"/>
      <c r="H136" s="142"/>
    </row>
    <row r="137" spans="1:8" x14ac:dyDescent="0.2">
      <c r="A137" s="8"/>
      <c r="B137" s="4"/>
      <c r="C137" s="4" t="s">
        <v>131</v>
      </c>
      <c r="D137" s="4"/>
      <c r="E137" s="8"/>
      <c r="F137" s="6">
        <v>113.77250028</v>
      </c>
      <c r="G137" s="138">
        <v>1.3848826999999999E-2</v>
      </c>
      <c r="H137" s="142"/>
    </row>
    <row r="138" spans="1:8" x14ac:dyDescent="0.2">
      <c r="A138" s="11"/>
      <c r="B138" s="11"/>
      <c r="C138" s="2" t="s">
        <v>132</v>
      </c>
      <c r="D138" s="15"/>
      <c r="E138" s="15"/>
      <c r="F138" s="9">
        <v>8215.3169136800007</v>
      </c>
      <c r="G138" s="139">
        <v>0.99999999799999995</v>
      </c>
      <c r="H138" s="142"/>
    </row>
    <row r="139" spans="1:8" ht="14.1" customHeight="1" x14ac:dyDescent="0.2">
      <c r="A139" s="16"/>
      <c r="B139" s="16"/>
      <c r="C139" s="16"/>
      <c r="D139" s="17"/>
      <c r="E139" s="17"/>
      <c r="F139" s="17"/>
      <c r="G139" s="17"/>
    </row>
    <row r="140" spans="1:8" ht="14.1" customHeight="1" x14ac:dyDescent="0.2">
      <c r="A140" s="18"/>
      <c r="B140" s="205" t="s">
        <v>106</v>
      </c>
      <c r="C140" s="205"/>
      <c r="D140" s="205"/>
      <c r="E140" s="205"/>
      <c r="F140" s="205"/>
      <c r="G140" s="20"/>
    </row>
    <row r="141" spans="1:8" ht="14.1" customHeight="1" x14ac:dyDescent="0.2">
      <c r="A141" s="18"/>
      <c r="B141" s="205" t="s">
        <v>106</v>
      </c>
      <c r="C141" s="205"/>
      <c r="D141" s="205"/>
      <c r="E141" s="205"/>
      <c r="F141" s="205"/>
      <c r="G141" s="20"/>
    </row>
    <row r="142" spans="1:8" ht="14.1" customHeight="1" x14ac:dyDescent="0.2">
      <c r="A142" s="18"/>
      <c r="B142" s="18"/>
      <c r="C142" s="18"/>
      <c r="D142" s="20"/>
      <c r="E142" s="20"/>
      <c r="F142" s="20"/>
      <c r="G142" s="20"/>
    </row>
    <row r="143" spans="1:8" ht="14.1" customHeight="1" x14ac:dyDescent="0.2">
      <c r="A143" s="18"/>
      <c r="B143" s="203" t="s">
        <v>134</v>
      </c>
      <c r="C143" s="204"/>
      <c r="D143" s="12" t="s">
        <v>106</v>
      </c>
      <c r="E143" s="21"/>
      <c r="F143" s="20"/>
      <c r="G143" s="20"/>
    </row>
    <row r="144" spans="1:8" ht="29.1" customHeight="1" x14ac:dyDescent="0.2">
      <c r="A144" s="18"/>
      <c r="B144" s="199" t="s">
        <v>135</v>
      </c>
      <c r="C144" s="200"/>
      <c r="D144" s="2" t="s">
        <v>136</v>
      </c>
      <c r="E144" s="21"/>
      <c r="F144" s="20"/>
      <c r="G144" s="20"/>
    </row>
    <row r="145" spans="1:7" ht="17.100000000000001" customHeight="1" x14ac:dyDescent="0.2">
      <c r="A145" s="18"/>
      <c r="B145" s="199" t="s">
        <v>137</v>
      </c>
      <c r="C145" s="200"/>
      <c r="D145" s="2" t="s">
        <v>136</v>
      </c>
      <c r="E145" s="21"/>
      <c r="F145" s="20"/>
      <c r="G145" s="20"/>
    </row>
    <row r="146" spans="1:7" ht="17.100000000000001" customHeight="1" x14ac:dyDescent="0.2">
      <c r="A146" s="18"/>
      <c r="B146" s="199" t="s">
        <v>138</v>
      </c>
      <c r="C146" s="200"/>
      <c r="D146" s="12" t="s">
        <v>106</v>
      </c>
      <c r="E146" s="21"/>
      <c r="F146" s="20"/>
      <c r="G146" s="20"/>
    </row>
    <row r="147" spans="1:7" ht="24" customHeight="1" x14ac:dyDescent="0.2">
      <c r="A147" s="22"/>
      <c r="B147" s="23" t="s">
        <v>106</v>
      </c>
      <c r="C147" s="23" t="s">
        <v>139</v>
      </c>
      <c r="D147" s="23" t="s">
        <v>140</v>
      </c>
      <c r="E147" s="22"/>
      <c r="F147" s="22"/>
      <c r="G147" s="22"/>
    </row>
    <row r="148" spans="1:7" ht="18" customHeight="1" x14ac:dyDescent="0.2">
      <c r="A148" s="22"/>
      <c r="B148" s="23" t="s">
        <v>141</v>
      </c>
      <c r="C148" s="23" t="s">
        <v>142</v>
      </c>
      <c r="D148" s="23" t="s">
        <v>143</v>
      </c>
      <c r="E148" s="22"/>
      <c r="F148" s="22"/>
      <c r="G148" s="22"/>
    </row>
    <row r="149" spans="1:7" x14ac:dyDescent="0.2">
      <c r="A149" s="22"/>
      <c r="B149" s="4" t="s">
        <v>144</v>
      </c>
      <c r="C149" s="24">
        <v>17.327999999999999</v>
      </c>
      <c r="D149" s="24">
        <v>18.3049</v>
      </c>
      <c r="E149" s="22"/>
      <c r="F149" s="19"/>
      <c r="G149" s="25"/>
    </row>
    <row r="150" spans="1:7" x14ac:dyDescent="0.2">
      <c r="A150" s="22"/>
      <c r="B150" s="4" t="s">
        <v>1019</v>
      </c>
      <c r="C150" s="24">
        <v>15.9603</v>
      </c>
      <c r="D150" s="24">
        <v>16.860199999999999</v>
      </c>
      <c r="E150" s="22"/>
      <c r="F150" s="19"/>
      <c r="G150" s="25"/>
    </row>
    <row r="151" spans="1:7" x14ac:dyDescent="0.2">
      <c r="A151" s="22"/>
      <c r="B151" s="4" t="s">
        <v>145</v>
      </c>
      <c r="C151" s="24">
        <v>16.9422</v>
      </c>
      <c r="D151" s="24">
        <v>17.8949</v>
      </c>
      <c r="E151" s="22"/>
      <c r="F151" s="19"/>
      <c r="G151" s="25"/>
    </row>
    <row r="152" spans="1:7" x14ac:dyDescent="0.2">
      <c r="A152" s="22"/>
      <c r="B152" s="4" t="s">
        <v>1020</v>
      </c>
      <c r="C152" s="24">
        <v>15.590299999999999</v>
      </c>
      <c r="D152" s="24">
        <v>16.466999999999999</v>
      </c>
      <c r="E152" s="22"/>
      <c r="F152" s="19"/>
      <c r="G152" s="25"/>
    </row>
    <row r="153" spans="1:7" ht="14.1" customHeight="1" x14ac:dyDescent="0.2">
      <c r="A153" s="22"/>
      <c r="B153" s="22"/>
      <c r="C153" s="22"/>
      <c r="D153" s="22"/>
      <c r="E153" s="22"/>
      <c r="F153" s="22"/>
      <c r="G153" s="22"/>
    </row>
    <row r="154" spans="1:7" ht="17.100000000000001" customHeight="1" x14ac:dyDescent="0.2">
      <c r="A154" s="22"/>
      <c r="B154" s="199" t="s">
        <v>1021</v>
      </c>
      <c r="C154" s="200"/>
      <c r="D154" s="2" t="s">
        <v>136</v>
      </c>
      <c r="E154" s="22"/>
      <c r="F154" s="22"/>
      <c r="G154" s="22"/>
    </row>
    <row r="155" spans="1:7" ht="18" customHeight="1" x14ac:dyDescent="0.2">
      <c r="A155" s="22"/>
      <c r="B155" s="26"/>
      <c r="C155" s="26"/>
      <c r="D155" s="27"/>
      <c r="E155" s="22"/>
      <c r="F155" s="22"/>
      <c r="G155" s="22"/>
    </row>
    <row r="156" spans="1:7" s="125" customFormat="1" x14ac:dyDescent="0.2">
      <c r="B156" s="201" t="s">
        <v>825</v>
      </c>
      <c r="C156" s="201"/>
      <c r="D156" s="201"/>
      <c r="E156" s="201"/>
      <c r="F156" s="201"/>
    </row>
    <row r="157" spans="1:7" ht="14.1" customHeight="1" x14ac:dyDescent="0.2">
      <c r="A157" s="22"/>
      <c r="B157" s="19"/>
      <c r="C157" s="19"/>
      <c r="D157" s="22"/>
      <c r="E157" s="22"/>
      <c r="F157" s="22"/>
      <c r="G157" s="22"/>
    </row>
    <row r="158" spans="1:7" ht="29.1" customHeight="1" x14ac:dyDescent="0.2">
      <c r="A158" s="22"/>
      <c r="B158" s="199" t="s">
        <v>146</v>
      </c>
      <c r="C158" s="200"/>
      <c r="D158" s="2" t="s">
        <v>136</v>
      </c>
      <c r="E158" s="22"/>
      <c r="F158" s="22"/>
      <c r="G158" s="22"/>
    </row>
    <row r="159" spans="1:7" ht="29.1" customHeight="1" x14ac:dyDescent="0.2">
      <c r="A159" s="22"/>
      <c r="B159" s="199" t="s">
        <v>147</v>
      </c>
      <c r="C159" s="200"/>
      <c r="D159" s="2" t="s">
        <v>136</v>
      </c>
      <c r="E159" s="22"/>
      <c r="F159" s="22"/>
      <c r="G159" s="22"/>
    </row>
    <row r="160" spans="1:7" ht="17.100000000000001" customHeight="1" x14ac:dyDescent="0.2">
      <c r="A160" s="22"/>
      <c r="B160" s="199" t="s">
        <v>148</v>
      </c>
      <c r="C160" s="200"/>
      <c r="D160" s="28">
        <v>0.33634913856073168</v>
      </c>
      <c r="E160" s="22"/>
      <c r="F160" s="19"/>
      <c r="G160" s="25"/>
    </row>
    <row r="161" spans="1:7" ht="17.100000000000001" customHeight="1" x14ac:dyDescent="0.2">
      <c r="A161" s="22"/>
      <c r="B161" s="199" t="s">
        <v>149</v>
      </c>
      <c r="C161" s="200"/>
      <c r="D161" s="2" t="s">
        <v>136</v>
      </c>
      <c r="E161" s="22"/>
      <c r="F161" s="22"/>
      <c r="G161" s="22"/>
    </row>
  </sheetData>
  <mergeCells count="16">
    <mergeCell ref="J2:N2"/>
    <mergeCell ref="B143:C143"/>
    <mergeCell ref="B140:F140"/>
    <mergeCell ref="B141:F141"/>
    <mergeCell ref="A1:H1"/>
    <mergeCell ref="A2:H2"/>
    <mergeCell ref="A3:H3"/>
    <mergeCell ref="B160:C160"/>
    <mergeCell ref="B161:C161"/>
    <mergeCell ref="B144:C144"/>
    <mergeCell ref="B145:C145"/>
    <mergeCell ref="B146:C146"/>
    <mergeCell ref="B154:C154"/>
    <mergeCell ref="B158:C158"/>
    <mergeCell ref="B159:C159"/>
    <mergeCell ref="B156:F15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N16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510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154</v>
      </c>
      <c r="C7" s="4" t="s">
        <v>155</v>
      </c>
      <c r="D7" s="4" t="s">
        <v>27</v>
      </c>
      <c r="E7" s="5">
        <v>16510</v>
      </c>
      <c r="F7" s="6">
        <v>153.06421</v>
      </c>
      <c r="G7" s="138">
        <v>3.6587494999999998E-2</v>
      </c>
      <c r="H7" s="142"/>
    </row>
    <row r="8" spans="1:14" x14ac:dyDescent="0.2">
      <c r="A8" s="3">
        <v>2</v>
      </c>
      <c r="B8" s="4" t="s">
        <v>156</v>
      </c>
      <c r="C8" s="4" t="s">
        <v>157</v>
      </c>
      <c r="D8" s="4" t="s">
        <v>1024</v>
      </c>
      <c r="E8" s="5">
        <v>11047</v>
      </c>
      <c r="F8" s="6">
        <v>146.12419249999999</v>
      </c>
      <c r="G8" s="138">
        <v>3.4928596999999999E-2</v>
      </c>
      <c r="H8" s="142"/>
    </row>
    <row r="9" spans="1:14" x14ac:dyDescent="0.2">
      <c r="A9" s="3">
        <v>3</v>
      </c>
      <c r="B9" s="4" t="s">
        <v>25</v>
      </c>
      <c r="C9" s="4" t="s">
        <v>26</v>
      </c>
      <c r="D9" s="4" t="s">
        <v>27</v>
      </c>
      <c r="E9" s="5">
        <v>10258</v>
      </c>
      <c r="F9" s="6">
        <v>140.80643699999999</v>
      </c>
      <c r="G9" s="138">
        <v>3.3657474999999999E-2</v>
      </c>
      <c r="H9" s="142"/>
    </row>
    <row r="10" spans="1:14" x14ac:dyDescent="0.2">
      <c r="A10" s="3">
        <v>4</v>
      </c>
      <c r="B10" s="4" t="s">
        <v>151</v>
      </c>
      <c r="C10" s="4" t="s">
        <v>152</v>
      </c>
      <c r="D10" s="4" t="s">
        <v>153</v>
      </c>
      <c r="E10" s="5">
        <v>3479</v>
      </c>
      <c r="F10" s="6">
        <v>128.1924525</v>
      </c>
      <c r="G10" s="138">
        <v>3.0642308E-2</v>
      </c>
      <c r="H10" s="142"/>
    </row>
    <row r="11" spans="1:14" x14ac:dyDescent="0.2">
      <c r="A11" s="3">
        <v>5</v>
      </c>
      <c r="B11" s="4" t="s">
        <v>165</v>
      </c>
      <c r="C11" s="4" t="s">
        <v>166</v>
      </c>
      <c r="D11" s="4" t="s">
        <v>51</v>
      </c>
      <c r="E11" s="5">
        <v>24349</v>
      </c>
      <c r="F11" s="6">
        <v>115.0855485</v>
      </c>
      <c r="G11" s="138">
        <v>2.7509316999999998E-2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14420</v>
      </c>
      <c r="F12" s="6">
        <v>114.94182000000001</v>
      </c>
      <c r="G12" s="138">
        <v>2.7474960999999999E-2</v>
      </c>
      <c r="H12" s="142"/>
    </row>
    <row r="13" spans="1:14" x14ac:dyDescent="0.2">
      <c r="A13" s="3">
        <v>7</v>
      </c>
      <c r="B13" s="4" t="s">
        <v>214</v>
      </c>
      <c r="C13" s="4" t="s">
        <v>215</v>
      </c>
      <c r="D13" s="4" t="s">
        <v>216</v>
      </c>
      <c r="E13" s="5">
        <v>40589</v>
      </c>
      <c r="F13" s="6">
        <v>110.54414149999999</v>
      </c>
      <c r="G13" s="138">
        <v>2.6423768E-2</v>
      </c>
      <c r="H13" s="142"/>
    </row>
    <row r="14" spans="1:14" x14ac:dyDescent="0.2">
      <c r="A14" s="3">
        <v>8</v>
      </c>
      <c r="B14" s="4" t="s">
        <v>162</v>
      </c>
      <c r="C14" s="4" t="s">
        <v>163</v>
      </c>
      <c r="D14" s="4" t="s">
        <v>164</v>
      </c>
      <c r="E14" s="5">
        <v>32178</v>
      </c>
      <c r="F14" s="6">
        <v>109.968315</v>
      </c>
      <c r="G14" s="138">
        <v>2.6286126E-2</v>
      </c>
      <c r="H14" s="142"/>
    </row>
    <row r="15" spans="1:14" ht="15" x14ac:dyDescent="0.2">
      <c r="A15" s="3">
        <v>9</v>
      </c>
      <c r="B15" s="4" t="s">
        <v>158</v>
      </c>
      <c r="C15" s="4" t="s">
        <v>159</v>
      </c>
      <c r="D15" s="4" t="s">
        <v>80</v>
      </c>
      <c r="E15" s="5">
        <v>90867</v>
      </c>
      <c r="F15" s="6">
        <v>109.94907000000001</v>
      </c>
      <c r="G15" s="138">
        <v>2.6281525999999999E-2</v>
      </c>
      <c r="H15" s="142"/>
      <c r="J15" s="163" t="s">
        <v>1039</v>
      </c>
    </row>
    <row r="16" spans="1:14" x14ac:dyDescent="0.2">
      <c r="A16" s="3">
        <v>10</v>
      </c>
      <c r="B16" s="4" t="s">
        <v>179</v>
      </c>
      <c r="C16" s="4" t="s">
        <v>180</v>
      </c>
      <c r="D16" s="4" t="s">
        <v>181</v>
      </c>
      <c r="E16" s="5">
        <v>42955</v>
      </c>
      <c r="F16" s="6">
        <v>106.27067</v>
      </c>
      <c r="G16" s="138">
        <v>2.5402265E-2</v>
      </c>
      <c r="H16" s="142"/>
    </row>
    <row r="17" spans="1:8" x14ac:dyDescent="0.2">
      <c r="A17" s="3">
        <v>11</v>
      </c>
      <c r="B17" s="4" t="s">
        <v>474</v>
      </c>
      <c r="C17" s="4" t="s">
        <v>475</v>
      </c>
      <c r="D17" s="4" t="s">
        <v>207</v>
      </c>
      <c r="E17" s="5">
        <v>17560</v>
      </c>
      <c r="F17" s="6">
        <v>105.96581999999999</v>
      </c>
      <c r="G17" s="138">
        <v>2.5329396000000001E-2</v>
      </c>
      <c r="H17" s="142"/>
    </row>
    <row r="18" spans="1:8" x14ac:dyDescent="0.2">
      <c r="A18" s="3">
        <v>12</v>
      </c>
      <c r="B18" s="4" t="s">
        <v>205</v>
      </c>
      <c r="C18" s="4" t="s">
        <v>206</v>
      </c>
      <c r="D18" s="4" t="s">
        <v>207</v>
      </c>
      <c r="E18" s="5">
        <v>21423</v>
      </c>
      <c r="F18" s="6">
        <v>96.242827500000004</v>
      </c>
      <c r="G18" s="138">
        <v>2.3005273E-2</v>
      </c>
      <c r="H18" s="142"/>
    </row>
    <row r="19" spans="1:8" x14ac:dyDescent="0.2">
      <c r="A19" s="3">
        <v>13</v>
      </c>
      <c r="B19" s="4" t="s">
        <v>52</v>
      </c>
      <c r="C19" s="4" t="s">
        <v>53</v>
      </c>
      <c r="D19" s="4" t="s">
        <v>51</v>
      </c>
      <c r="E19" s="5">
        <v>28409</v>
      </c>
      <c r="F19" s="6">
        <v>87.9684685</v>
      </c>
      <c r="G19" s="138">
        <v>2.1027423E-2</v>
      </c>
      <c r="H19" s="142"/>
    </row>
    <row r="20" spans="1:8" ht="25.5" x14ac:dyDescent="0.2">
      <c r="A20" s="3">
        <v>14</v>
      </c>
      <c r="B20" s="4" t="s">
        <v>217</v>
      </c>
      <c r="C20" s="4" t="s">
        <v>218</v>
      </c>
      <c r="D20" s="4" t="s">
        <v>90</v>
      </c>
      <c r="E20" s="5">
        <v>19076</v>
      </c>
      <c r="F20" s="6">
        <v>87.091477999999995</v>
      </c>
      <c r="G20" s="138">
        <v>2.0817793000000001E-2</v>
      </c>
      <c r="H20" s="142"/>
    </row>
    <row r="21" spans="1:8" x14ac:dyDescent="0.2">
      <c r="A21" s="3">
        <v>15</v>
      </c>
      <c r="B21" s="4" t="s">
        <v>176</v>
      </c>
      <c r="C21" s="4" t="s">
        <v>177</v>
      </c>
      <c r="D21" s="4" t="s">
        <v>1026</v>
      </c>
      <c r="E21" s="5">
        <v>21095</v>
      </c>
      <c r="F21" s="6">
        <v>82.956087499999995</v>
      </c>
      <c r="G21" s="138">
        <v>1.9829295E-2</v>
      </c>
      <c r="H21" s="142"/>
    </row>
    <row r="22" spans="1:8" ht="25.5" x14ac:dyDescent="0.2">
      <c r="A22" s="3">
        <v>16</v>
      </c>
      <c r="B22" s="4" t="s">
        <v>193</v>
      </c>
      <c r="C22" s="4" t="s">
        <v>194</v>
      </c>
      <c r="D22" s="4" t="s">
        <v>37</v>
      </c>
      <c r="E22" s="5">
        <v>67085</v>
      </c>
      <c r="F22" s="6">
        <v>82.481007500000004</v>
      </c>
      <c r="G22" s="138">
        <v>1.9715735000000002E-2</v>
      </c>
      <c r="H22" s="142"/>
    </row>
    <row r="23" spans="1:8" ht="25.5" x14ac:dyDescent="0.2">
      <c r="A23" s="3">
        <v>17</v>
      </c>
      <c r="B23" s="4" t="s">
        <v>30</v>
      </c>
      <c r="C23" s="4" t="s">
        <v>31</v>
      </c>
      <c r="D23" s="4" t="s">
        <v>1023</v>
      </c>
      <c r="E23" s="5">
        <v>2641</v>
      </c>
      <c r="F23" s="6">
        <v>82.075677499999998</v>
      </c>
      <c r="G23" s="138">
        <v>1.9618848000000001E-2</v>
      </c>
      <c r="H23" s="142"/>
    </row>
    <row r="24" spans="1:8" x14ac:dyDescent="0.2">
      <c r="A24" s="3">
        <v>18</v>
      </c>
      <c r="B24" s="4" t="s">
        <v>74</v>
      </c>
      <c r="C24" s="4" t="s">
        <v>75</v>
      </c>
      <c r="D24" s="4" t="s">
        <v>66</v>
      </c>
      <c r="E24" s="5">
        <v>19628</v>
      </c>
      <c r="F24" s="6">
        <v>80.474800000000002</v>
      </c>
      <c r="G24" s="138">
        <v>1.9236184E-2</v>
      </c>
      <c r="H24" s="142"/>
    </row>
    <row r="25" spans="1:8" x14ac:dyDescent="0.2">
      <c r="A25" s="3">
        <v>19</v>
      </c>
      <c r="B25" s="4" t="s">
        <v>171</v>
      </c>
      <c r="C25" s="4" t="s">
        <v>172</v>
      </c>
      <c r="D25" s="4" t="s">
        <v>173</v>
      </c>
      <c r="E25" s="5">
        <v>8324</v>
      </c>
      <c r="F25" s="6">
        <v>78.532777999999993</v>
      </c>
      <c r="G25" s="138">
        <v>1.8771975999999999E-2</v>
      </c>
      <c r="H25" s="142"/>
    </row>
    <row r="26" spans="1:8" ht="25.5" x14ac:dyDescent="0.2">
      <c r="A26" s="3">
        <v>20</v>
      </c>
      <c r="B26" s="4" t="s">
        <v>191</v>
      </c>
      <c r="C26" s="4" t="s">
        <v>192</v>
      </c>
      <c r="D26" s="4" t="s">
        <v>1023</v>
      </c>
      <c r="E26" s="5">
        <v>29729</v>
      </c>
      <c r="F26" s="6">
        <v>76.344071999999997</v>
      </c>
      <c r="G26" s="138">
        <v>1.8248800999999999E-2</v>
      </c>
      <c r="H26" s="142"/>
    </row>
    <row r="27" spans="1:8" x14ac:dyDescent="0.2">
      <c r="A27" s="3">
        <v>21</v>
      </c>
      <c r="B27" s="4" t="s">
        <v>44</v>
      </c>
      <c r="C27" s="4" t="s">
        <v>45</v>
      </c>
      <c r="D27" s="4" t="s">
        <v>27</v>
      </c>
      <c r="E27" s="5">
        <v>6141</v>
      </c>
      <c r="F27" s="6">
        <v>74.993892000000002</v>
      </c>
      <c r="G27" s="138">
        <v>1.7926062999999999E-2</v>
      </c>
      <c r="H27" s="142"/>
    </row>
    <row r="28" spans="1:8" x14ac:dyDescent="0.2">
      <c r="A28" s="3">
        <v>22</v>
      </c>
      <c r="B28" s="4" t="s">
        <v>210</v>
      </c>
      <c r="C28" s="4" t="s">
        <v>211</v>
      </c>
      <c r="D28" s="4" t="s">
        <v>34</v>
      </c>
      <c r="E28" s="5">
        <v>18293</v>
      </c>
      <c r="F28" s="6">
        <v>73.940306000000007</v>
      </c>
      <c r="G28" s="138">
        <v>1.7674220000000001E-2</v>
      </c>
      <c r="H28" s="142"/>
    </row>
    <row r="29" spans="1:8" ht="25.5" x14ac:dyDescent="0.2">
      <c r="A29" s="3">
        <v>23</v>
      </c>
      <c r="B29" s="4" t="s">
        <v>458</v>
      </c>
      <c r="C29" s="4" t="s">
        <v>459</v>
      </c>
      <c r="D29" s="4" t="s">
        <v>37</v>
      </c>
      <c r="E29" s="5">
        <v>5475</v>
      </c>
      <c r="F29" s="6">
        <v>73.882387499999993</v>
      </c>
      <c r="G29" s="138">
        <v>1.7660375999999998E-2</v>
      </c>
      <c r="H29" s="142"/>
    </row>
    <row r="30" spans="1:8" x14ac:dyDescent="0.2">
      <c r="A30" s="3">
        <v>24</v>
      </c>
      <c r="B30" s="4" t="s">
        <v>197</v>
      </c>
      <c r="C30" s="4" t="s">
        <v>198</v>
      </c>
      <c r="D30" s="4" t="s">
        <v>51</v>
      </c>
      <c r="E30" s="5">
        <v>7179</v>
      </c>
      <c r="F30" s="6">
        <v>73.631413499999994</v>
      </c>
      <c r="G30" s="138">
        <v>1.7600385E-2</v>
      </c>
      <c r="H30" s="142"/>
    </row>
    <row r="31" spans="1:8" x14ac:dyDescent="0.2">
      <c r="A31" s="3">
        <v>25</v>
      </c>
      <c r="B31" s="4" t="s">
        <v>49</v>
      </c>
      <c r="C31" s="4" t="s">
        <v>50</v>
      </c>
      <c r="D31" s="4" t="s">
        <v>51</v>
      </c>
      <c r="E31" s="5">
        <v>2133</v>
      </c>
      <c r="F31" s="6">
        <v>69.614721000000003</v>
      </c>
      <c r="G31" s="138">
        <v>1.664026E-2</v>
      </c>
      <c r="H31" s="142"/>
    </row>
    <row r="32" spans="1:8" x14ac:dyDescent="0.2">
      <c r="A32" s="3">
        <v>26</v>
      </c>
      <c r="B32" s="4" t="s">
        <v>201</v>
      </c>
      <c r="C32" s="4" t="s">
        <v>202</v>
      </c>
      <c r="D32" s="4" t="s">
        <v>80</v>
      </c>
      <c r="E32" s="5">
        <v>9689</v>
      </c>
      <c r="F32" s="6">
        <v>66.544051999999994</v>
      </c>
      <c r="G32" s="138">
        <v>1.5906267000000002E-2</v>
      </c>
      <c r="H32" s="142"/>
    </row>
    <row r="33" spans="1:8" x14ac:dyDescent="0.2">
      <c r="A33" s="3">
        <v>27</v>
      </c>
      <c r="B33" s="4" t="s">
        <v>203</v>
      </c>
      <c r="C33" s="4" t="s">
        <v>204</v>
      </c>
      <c r="D33" s="4" t="s">
        <v>80</v>
      </c>
      <c r="E33" s="5">
        <v>11263</v>
      </c>
      <c r="F33" s="6">
        <v>66.462963000000002</v>
      </c>
      <c r="G33" s="138">
        <v>1.5886884E-2</v>
      </c>
      <c r="H33" s="142"/>
    </row>
    <row r="34" spans="1:8" x14ac:dyDescent="0.2">
      <c r="A34" s="3">
        <v>28</v>
      </c>
      <c r="B34" s="4" t="s">
        <v>199</v>
      </c>
      <c r="C34" s="4" t="s">
        <v>200</v>
      </c>
      <c r="D34" s="4" t="s">
        <v>164</v>
      </c>
      <c r="E34" s="5">
        <v>5845</v>
      </c>
      <c r="F34" s="6">
        <v>62.117737499999997</v>
      </c>
      <c r="G34" s="138">
        <v>1.4848228999999999E-2</v>
      </c>
      <c r="H34" s="142"/>
    </row>
    <row r="35" spans="1:8" x14ac:dyDescent="0.2">
      <c r="A35" s="3">
        <v>29</v>
      </c>
      <c r="B35" s="4" t="s">
        <v>167</v>
      </c>
      <c r="C35" s="4" t="s">
        <v>168</v>
      </c>
      <c r="D35" s="4" t="s">
        <v>1025</v>
      </c>
      <c r="E35" s="5">
        <v>28389</v>
      </c>
      <c r="F35" s="6">
        <v>58.169060999999999</v>
      </c>
      <c r="G35" s="138">
        <v>1.3904362E-2</v>
      </c>
      <c r="H35" s="142"/>
    </row>
    <row r="36" spans="1:8" x14ac:dyDescent="0.2">
      <c r="A36" s="3">
        <v>30</v>
      </c>
      <c r="B36" s="4" t="s">
        <v>227</v>
      </c>
      <c r="C36" s="4" t="s">
        <v>228</v>
      </c>
      <c r="D36" s="4" t="s">
        <v>66</v>
      </c>
      <c r="E36" s="5">
        <v>55673</v>
      </c>
      <c r="F36" s="6">
        <v>54.8100685</v>
      </c>
      <c r="G36" s="138">
        <v>1.3101450000000001E-2</v>
      </c>
      <c r="H36" s="142"/>
    </row>
    <row r="37" spans="1:8" ht="25.5" x14ac:dyDescent="0.2">
      <c r="A37" s="3">
        <v>31</v>
      </c>
      <c r="B37" s="4" t="s">
        <v>244</v>
      </c>
      <c r="C37" s="4" t="s">
        <v>245</v>
      </c>
      <c r="D37" s="4" t="s">
        <v>1029</v>
      </c>
      <c r="E37" s="5">
        <v>47409</v>
      </c>
      <c r="F37" s="6">
        <v>52.932148499999997</v>
      </c>
      <c r="G37" s="138">
        <v>1.2652564E-2</v>
      </c>
      <c r="H37" s="142"/>
    </row>
    <row r="38" spans="1:8" x14ac:dyDescent="0.2">
      <c r="A38" s="3">
        <v>32</v>
      </c>
      <c r="B38" s="4" t="s">
        <v>225</v>
      </c>
      <c r="C38" s="4" t="s">
        <v>226</v>
      </c>
      <c r="D38" s="4" t="s">
        <v>1028</v>
      </c>
      <c r="E38" s="5">
        <v>9270</v>
      </c>
      <c r="F38" s="6">
        <v>52.496009999999998</v>
      </c>
      <c r="G38" s="138">
        <v>1.2548312000000001E-2</v>
      </c>
      <c r="H38" s="142"/>
    </row>
    <row r="39" spans="1:8" x14ac:dyDescent="0.2">
      <c r="A39" s="3">
        <v>33</v>
      </c>
      <c r="B39" s="4" t="s">
        <v>235</v>
      </c>
      <c r="C39" s="4" t="s">
        <v>236</v>
      </c>
      <c r="D39" s="4" t="s">
        <v>27</v>
      </c>
      <c r="E39" s="5">
        <v>3019</v>
      </c>
      <c r="F39" s="6">
        <v>51.170540500000001</v>
      </c>
      <c r="G39" s="138">
        <v>1.2231479999999999E-2</v>
      </c>
      <c r="H39" s="142"/>
    </row>
    <row r="40" spans="1:8" x14ac:dyDescent="0.2">
      <c r="A40" s="3">
        <v>34</v>
      </c>
      <c r="B40" s="4" t="s">
        <v>188</v>
      </c>
      <c r="C40" s="4" t="s">
        <v>189</v>
      </c>
      <c r="D40" s="4" t="s">
        <v>190</v>
      </c>
      <c r="E40" s="5">
        <v>5085</v>
      </c>
      <c r="F40" s="6">
        <v>50.638972500000001</v>
      </c>
      <c r="G40" s="138">
        <v>1.2104418E-2</v>
      </c>
      <c r="H40" s="142"/>
    </row>
    <row r="41" spans="1:8" x14ac:dyDescent="0.2">
      <c r="A41" s="3">
        <v>35</v>
      </c>
      <c r="B41" s="4" t="s">
        <v>271</v>
      </c>
      <c r="C41" s="4" t="s">
        <v>272</v>
      </c>
      <c r="D41" s="4" t="s">
        <v>1028</v>
      </c>
      <c r="E41" s="5">
        <v>33289</v>
      </c>
      <c r="F41" s="6">
        <v>48.368917000000003</v>
      </c>
      <c r="G41" s="138">
        <v>1.1561798E-2</v>
      </c>
      <c r="H41" s="142"/>
    </row>
    <row r="42" spans="1:8" ht="25.5" x14ac:dyDescent="0.2">
      <c r="A42" s="3">
        <v>36</v>
      </c>
      <c r="B42" s="4" t="s">
        <v>231</v>
      </c>
      <c r="C42" s="4" t="s">
        <v>232</v>
      </c>
      <c r="D42" s="4" t="s">
        <v>51</v>
      </c>
      <c r="E42" s="5">
        <v>2210</v>
      </c>
      <c r="F42" s="6">
        <v>47.379085000000003</v>
      </c>
      <c r="G42" s="138">
        <v>1.1325195E-2</v>
      </c>
      <c r="H42" s="142"/>
    </row>
    <row r="43" spans="1:8" x14ac:dyDescent="0.2">
      <c r="A43" s="3">
        <v>37</v>
      </c>
      <c r="B43" s="4" t="s">
        <v>241</v>
      </c>
      <c r="C43" s="4" t="s">
        <v>242</v>
      </c>
      <c r="D43" s="4" t="s">
        <v>243</v>
      </c>
      <c r="E43" s="5">
        <v>9440</v>
      </c>
      <c r="F43" s="6">
        <v>46.746879999999997</v>
      </c>
      <c r="G43" s="138">
        <v>1.1174076999999999E-2</v>
      </c>
      <c r="H43" s="142"/>
    </row>
    <row r="44" spans="1:8" x14ac:dyDescent="0.2">
      <c r="A44" s="3">
        <v>38</v>
      </c>
      <c r="B44" s="4" t="s">
        <v>296</v>
      </c>
      <c r="C44" s="4" t="s">
        <v>297</v>
      </c>
      <c r="D44" s="4" t="s">
        <v>27</v>
      </c>
      <c r="E44" s="5">
        <v>3789</v>
      </c>
      <c r="F44" s="6">
        <v>46.362203999999998</v>
      </c>
      <c r="G44" s="138">
        <v>1.1082125999999999E-2</v>
      </c>
      <c r="H44" s="142"/>
    </row>
    <row r="45" spans="1:8" ht="25.5" x14ac:dyDescent="0.2">
      <c r="A45" s="3">
        <v>39</v>
      </c>
      <c r="B45" s="4" t="s">
        <v>255</v>
      </c>
      <c r="C45" s="4" t="s">
        <v>256</v>
      </c>
      <c r="D45" s="4" t="s">
        <v>90</v>
      </c>
      <c r="E45" s="5">
        <v>11256</v>
      </c>
      <c r="F45" s="6">
        <v>43.284948</v>
      </c>
      <c r="G45" s="138">
        <v>1.0346559E-2</v>
      </c>
      <c r="H45" s="142"/>
    </row>
    <row r="46" spans="1:8" ht="25.5" x14ac:dyDescent="0.2">
      <c r="A46" s="3">
        <v>40</v>
      </c>
      <c r="B46" s="4" t="s">
        <v>178</v>
      </c>
      <c r="C46" s="4" t="s">
        <v>933</v>
      </c>
      <c r="D46" s="4" t="s">
        <v>37</v>
      </c>
      <c r="E46" s="5">
        <v>16742</v>
      </c>
      <c r="F46" s="6">
        <v>43.219473000000001</v>
      </c>
      <c r="G46" s="138">
        <v>1.0330908E-2</v>
      </c>
      <c r="H46" s="142"/>
    </row>
    <row r="47" spans="1:8" x14ac:dyDescent="0.2">
      <c r="A47" s="3">
        <v>41</v>
      </c>
      <c r="B47" s="4" t="s">
        <v>273</v>
      </c>
      <c r="C47" s="4" t="s">
        <v>274</v>
      </c>
      <c r="D47" s="4" t="s">
        <v>173</v>
      </c>
      <c r="E47" s="5">
        <v>7210</v>
      </c>
      <c r="F47" s="6">
        <v>43.20232</v>
      </c>
      <c r="G47" s="138">
        <v>1.0326808E-2</v>
      </c>
      <c r="H47" s="142"/>
    </row>
    <row r="48" spans="1:8" ht="25.5" x14ac:dyDescent="0.2">
      <c r="A48" s="3">
        <v>42</v>
      </c>
      <c r="B48" s="4" t="s">
        <v>252</v>
      </c>
      <c r="C48" s="4" t="s">
        <v>253</v>
      </c>
      <c r="D48" s="4" t="s">
        <v>90</v>
      </c>
      <c r="E48" s="5">
        <v>10229</v>
      </c>
      <c r="F48" s="6">
        <v>43.033403</v>
      </c>
      <c r="G48" s="138">
        <v>1.0286431E-2</v>
      </c>
      <c r="H48" s="142"/>
    </row>
    <row r="49" spans="1:8" x14ac:dyDescent="0.2">
      <c r="A49" s="3">
        <v>43</v>
      </c>
      <c r="B49" s="4" t="s">
        <v>250</v>
      </c>
      <c r="C49" s="4" t="s">
        <v>251</v>
      </c>
      <c r="D49" s="4" t="s">
        <v>164</v>
      </c>
      <c r="E49" s="5">
        <v>3077</v>
      </c>
      <c r="F49" s="6">
        <v>42.4610615</v>
      </c>
      <c r="G49" s="138">
        <v>1.0149622000000001E-2</v>
      </c>
      <c r="H49" s="142"/>
    </row>
    <row r="50" spans="1:8" x14ac:dyDescent="0.2">
      <c r="A50" s="3">
        <v>44</v>
      </c>
      <c r="B50" s="4" t="s">
        <v>195</v>
      </c>
      <c r="C50" s="4" t="s">
        <v>196</v>
      </c>
      <c r="D50" s="4" t="s">
        <v>24</v>
      </c>
      <c r="E50" s="5">
        <v>21914</v>
      </c>
      <c r="F50" s="6">
        <v>41.833826000000002</v>
      </c>
      <c r="G50" s="138">
        <v>9.9996919999999993E-3</v>
      </c>
      <c r="H50" s="142"/>
    </row>
    <row r="51" spans="1:8" x14ac:dyDescent="0.2">
      <c r="A51" s="3">
        <v>45</v>
      </c>
      <c r="B51" s="4" t="s">
        <v>233</v>
      </c>
      <c r="C51" s="4" t="s">
        <v>234</v>
      </c>
      <c r="D51" s="4" t="s">
        <v>1025</v>
      </c>
      <c r="E51" s="5">
        <v>2822</v>
      </c>
      <c r="F51" s="6">
        <v>41.247762999999999</v>
      </c>
      <c r="G51" s="138">
        <v>9.8596029999999998E-3</v>
      </c>
      <c r="H51" s="142"/>
    </row>
    <row r="52" spans="1:8" x14ac:dyDescent="0.2">
      <c r="A52" s="3">
        <v>46</v>
      </c>
      <c r="B52" s="4" t="s">
        <v>277</v>
      </c>
      <c r="C52" s="4" t="s">
        <v>278</v>
      </c>
      <c r="D52" s="4" t="s">
        <v>279</v>
      </c>
      <c r="E52" s="5">
        <v>17355</v>
      </c>
      <c r="F52" s="6">
        <v>40.22889</v>
      </c>
      <c r="G52" s="138">
        <v>9.6160580000000002E-3</v>
      </c>
      <c r="H52" s="142"/>
    </row>
    <row r="53" spans="1:8" x14ac:dyDescent="0.2">
      <c r="A53" s="3">
        <v>47</v>
      </c>
      <c r="B53" s="4" t="s">
        <v>280</v>
      </c>
      <c r="C53" s="4" t="s">
        <v>281</v>
      </c>
      <c r="D53" s="4" t="s">
        <v>24</v>
      </c>
      <c r="E53" s="5">
        <v>41278</v>
      </c>
      <c r="F53" s="6">
        <v>37.562980000000003</v>
      </c>
      <c r="G53" s="138">
        <v>8.9788160000000006E-3</v>
      </c>
      <c r="H53" s="142"/>
    </row>
    <row r="54" spans="1:8" x14ac:dyDescent="0.2">
      <c r="A54" s="3">
        <v>48</v>
      </c>
      <c r="B54" s="4" t="s">
        <v>174</v>
      </c>
      <c r="C54" s="4" t="s">
        <v>175</v>
      </c>
      <c r="D54" s="4" t="s">
        <v>335</v>
      </c>
      <c r="E54" s="5">
        <v>3741</v>
      </c>
      <c r="F54" s="6">
        <v>37.005972</v>
      </c>
      <c r="G54" s="138">
        <v>8.8456720000000006E-3</v>
      </c>
      <c r="H54" s="142"/>
    </row>
    <row r="55" spans="1:8" x14ac:dyDescent="0.2">
      <c r="A55" s="3">
        <v>49</v>
      </c>
      <c r="B55" s="4" t="s">
        <v>468</v>
      </c>
      <c r="C55" s="4" t="s">
        <v>469</v>
      </c>
      <c r="D55" s="4" t="s">
        <v>1024</v>
      </c>
      <c r="E55" s="5">
        <v>36674</v>
      </c>
      <c r="F55" s="6">
        <v>35.793824000000001</v>
      </c>
      <c r="G55" s="138">
        <v>8.5559280000000008E-3</v>
      </c>
      <c r="H55" s="142"/>
    </row>
    <row r="56" spans="1:8" x14ac:dyDescent="0.2">
      <c r="A56" s="3">
        <v>50</v>
      </c>
      <c r="B56" s="4" t="s">
        <v>265</v>
      </c>
      <c r="C56" s="4" t="s">
        <v>266</v>
      </c>
      <c r="D56" s="4" t="s">
        <v>59</v>
      </c>
      <c r="E56" s="5">
        <v>3459</v>
      </c>
      <c r="F56" s="6">
        <v>35.774707499999998</v>
      </c>
      <c r="G56" s="138">
        <v>8.5513589999999997E-3</v>
      </c>
      <c r="H56" s="142"/>
    </row>
    <row r="57" spans="1:8" x14ac:dyDescent="0.2">
      <c r="A57" s="3">
        <v>51</v>
      </c>
      <c r="B57" s="4" t="s">
        <v>257</v>
      </c>
      <c r="C57" s="4" t="s">
        <v>258</v>
      </c>
      <c r="D57" s="4" t="s">
        <v>173</v>
      </c>
      <c r="E57" s="5">
        <v>9613</v>
      </c>
      <c r="F57" s="6">
        <v>33.645499999999998</v>
      </c>
      <c r="G57" s="138">
        <v>8.0424060000000002E-3</v>
      </c>
      <c r="H57" s="142"/>
    </row>
    <row r="58" spans="1:8" x14ac:dyDescent="0.2">
      <c r="A58" s="3">
        <v>52</v>
      </c>
      <c r="B58" s="4" t="s">
        <v>267</v>
      </c>
      <c r="C58" s="4" t="s">
        <v>268</v>
      </c>
      <c r="D58" s="4" t="s">
        <v>1024</v>
      </c>
      <c r="E58" s="5">
        <v>2022</v>
      </c>
      <c r="F58" s="6">
        <v>33.537903</v>
      </c>
      <c r="G58" s="138">
        <v>8.0166869999999998E-3</v>
      </c>
      <c r="H58" s="142"/>
    </row>
    <row r="59" spans="1:8" x14ac:dyDescent="0.2">
      <c r="A59" s="3">
        <v>53</v>
      </c>
      <c r="B59" s="4" t="s">
        <v>219</v>
      </c>
      <c r="C59" s="4" t="s">
        <v>220</v>
      </c>
      <c r="D59" s="4" t="s">
        <v>59</v>
      </c>
      <c r="E59" s="5">
        <v>12807</v>
      </c>
      <c r="F59" s="6">
        <v>31.056975000000001</v>
      </c>
      <c r="G59" s="138">
        <v>7.4236620000000001E-3</v>
      </c>
      <c r="H59" s="142"/>
    </row>
    <row r="60" spans="1:8" x14ac:dyDescent="0.2">
      <c r="A60" s="3">
        <v>54</v>
      </c>
      <c r="B60" s="4" t="s">
        <v>269</v>
      </c>
      <c r="C60" s="4" t="s">
        <v>270</v>
      </c>
      <c r="D60" s="4" t="s">
        <v>1028</v>
      </c>
      <c r="E60" s="5">
        <v>26235</v>
      </c>
      <c r="F60" s="6">
        <v>30.380130000000001</v>
      </c>
      <c r="G60" s="138">
        <v>7.2618730000000003E-3</v>
      </c>
      <c r="H60" s="142"/>
    </row>
    <row r="61" spans="1:8" x14ac:dyDescent="0.2">
      <c r="A61" s="3">
        <v>55</v>
      </c>
      <c r="B61" s="4" t="s">
        <v>282</v>
      </c>
      <c r="C61" s="4" t="s">
        <v>283</v>
      </c>
      <c r="D61" s="4" t="s">
        <v>207</v>
      </c>
      <c r="E61" s="5">
        <v>513</v>
      </c>
      <c r="F61" s="6">
        <v>27.720468</v>
      </c>
      <c r="G61" s="138">
        <v>6.6261239999999997E-3</v>
      </c>
      <c r="H61" s="142"/>
    </row>
    <row r="62" spans="1:8" x14ac:dyDescent="0.2">
      <c r="A62" s="3">
        <v>56</v>
      </c>
      <c r="B62" s="4" t="s">
        <v>64</v>
      </c>
      <c r="C62" s="4" t="s">
        <v>65</v>
      </c>
      <c r="D62" s="4" t="s">
        <v>66</v>
      </c>
      <c r="E62" s="5">
        <v>17008</v>
      </c>
      <c r="F62" s="6">
        <v>27.672015999999999</v>
      </c>
      <c r="G62" s="138">
        <v>6.6145429999999996E-3</v>
      </c>
      <c r="H62" s="142"/>
    </row>
    <row r="63" spans="1:8" x14ac:dyDescent="0.2">
      <c r="A63" s="3">
        <v>57</v>
      </c>
      <c r="B63" s="4" t="s">
        <v>246</v>
      </c>
      <c r="C63" s="4" t="s">
        <v>247</v>
      </c>
      <c r="D63" s="4" t="s">
        <v>80</v>
      </c>
      <c r="E63" s="5">
        <v>47615</v>
      </c>
      <c r="F63" s="6">
        <v>26.1644425</v>
      </c>
      <c r="G63" s="138">
        <v>6.2541819999999996E-3</v>
      </c>
      <c r="H63" s="142"/>
    </row>
    <row r="64" spans="1:8" x14ac:dyDescent="0.2">
      <c r="A64" s="3">
        <v>58</v>
      </c>
      <c r="B64" s="4" t="s">
        <v>288</v>
      </c>
      <c r="C64" s="4" t="s">
        <v>289</v>
      </c>
      <c r="D64" s="4" t="s">
        <v>153</v>
      </c>
      <c r="E64" s="5">
        <v>1858</v>
      </c>
      <c r="F64" s="6">
        <v>25.936751000000001</v>
      </c>
      <c r="G64" s="138">
        <v>6.1997559999999998E-3</v>
      </c>
      <c r="H64" s="142"/>
    </row>
    <row r="65" spans="1:8" x14ac:dyDescent="0.2">
      <c r="A65" s="3">
        <v>59</v>
      </c>
      <c r="B65" s="4" t="s">
        <v>275</v>
      </c>
      <c r="C65" s="4" t="s">
        <v>276</v>
      </c>
      <c r="D65" s="4" t="s">
        <v>335</v>
      </c>
      <c r="E65" s="5">
        <v>2079</v>
      </c>
      <c r="F65" s="6">
        <v>25.698519000000001</v>
      </c>
      <c r="G65" s="138">
        <v>6.1428109999999998E-3</v>
      </c>
      <c r="H65" s="142"/>
    </row>
    <row r="66" spans="1:8" ht="25.5" x14ac:dyDescent="0.2">
      <c r="A66" s="3">
        <v>60</v>
      </c>
      <c r="B66" s="4" t="s">
        <v>237</v>
      </c>
      <c r="C66" s="4" t="s">
        <v>238</v>
      </c>
      <c r="D66" s="4" t="s">
        <v>1023</v>
      </c>
      <c r="E66" s="5">
        <v>10702</v>
      </c>
      <c r="F66" s="6">
        <v>21.436105999999999</v>
      </c>
      <c r="G66" s="138">
        <v>5.1239500000000004E-3</v>
      </c>
      <c r="H66" s="142"/>
    </row>
    <row r="67" spans="1:8" ht="25.5" x14ac:dyDescent="0.2">
      <c r="A67" s="3">
        <v>61</v>
      </c>
      <c r="B67" s="4" t="s">
        <v>70</v>
      </c>
      <c r="C67" s="4" t="s">
        <v>71</v>
      </c>
      <c r="D67" s="4" t="s">
        <v>37</v>
      </c>
      <c r="E67" s="5">
        <v>2467</v>
      </c>
      <c r="F67" s="6">
        <v>17.763633500000001</v>
      </c>
      <c r="G67" s="138">
        <v>4.2461060000000004E-3</v>
      </c>
      <c r="H67" s="142"/>
    </row>
    <row r="68" spans="1:8" x14ac:dyDescent="0.2">
      <c r="A68" s="3">
        <v>62</v>
      </c>
      <c r="B68" s="4" t="s">
        <v>284</v>
      </c>
      <c r="C68" s="4" t="s">
        <v>285</v>
      </c>
      <c r="D68" s="4" t="s">
        <v>164</v>
      </c>
      <c r="E68" s="5">
        <v>3644</v>
      </c>
      <c r="F68" s="6">
        <v>17.493022</v>
      </c>
      <c r="G68" s="138">
        <v>4.1814210000000003E-3</v>
      </c>
      <c r="H68" s="142"/>
    </row>
    <row r="69" spans="1:8" x14ac:dyDescent="0.2">
      <c r="A69" s="3">
        <v>63</v>
      </c>
      <c r="B69" s="4" t="s">
        <v>290</v>
      </c>
      <c r="C69" s="4" t="s">
        <v>291</v>
      </c>
      <c r="D69" s="4" t="s">
        <v>153</v>
      </c>
      <c r="E69" s="5">
        <v>837</v>
      </c>
      <c r="F69" s="6">
        <v>5.1262065000000003</v>
      </c>
      <c r="G69" s="138">
        <v>1.225336E-3</v>
      </c>
      <c r="H69" s="142"/>
    </row>
    <row r="70" spans="1:8" x14ac:dyDescent="0.2">
      <c r="A70" s="3">
        <v>64</v>
      </c>
      <c r="B70" s="4" t="s">
        <v>292</v>
      </c>
      <c r="C70" s="4" t="s">
        <v>293</v>
      </c>
      <c r="D70" s="4" t="s">
        <v>24</v>
      </c>
      <c r="E70" s="5">
        <v>7830</v>
      </c>
      <c r="F70" s="6">
        <v>4.87026</v>
      </c>
      <c r="G70" s="138">
        <v>1.164156E-3</v>
      </c>
      <c r="H70" s="142"/>
    </row>
    <row r="71" spans="1:8" x14ac:dyDescent="0.2">
      <c r="A71" s="3">
        <v>65</v>
      </c>
      <c r="B71" s="4" t="s">
        <v>286</v>
      </c>
      <c r="C71" s="4" t="s">
        <v>287</v>
      </c>
      <c r="D71" s="4" t="s">
        <v>207</v>
      </c>
      <c r="E71" s="5">
        <v>800</v>
      </c>
      <c r="F71" s="6">
        <v>2.8883999999999999</v>
      </c>
      <c r="G71" s="138">
        <v>6.9042500000000004E-4</v>
      </c>
      <c r="H71" s="142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9">
        <v>3981.3807335000001</v>
      </c>
      <c r="G72" s="139">
        <v>0.95168392199999996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107</v>
      </c>
      <c r="D74" s="1"/>
      <c r="E74" s="1"/>
      <c r="F74" s="1"/>
      <c r="G74" s="137"/>
      <c r="H74" s="14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1">
        <v>0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108</v>
      </c>
      <c r="D77" s="1"/>
      <c r="E77" s="1"/>
      <c r="F77" s="1"/>
      <c r="G77" s="137"/>
      <c r="H77" s="142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1">
        <v>0</v>
      </c>
      <c r="H78" s="142"/>
    </row>
    <row r="79" spans="1:8" x14ac:dyDescent="0.2">
      <c r="A79" s="1"/>
      <c r="B79" s="1"/>
      <c r="C79" s="11"/>
      <c r="D79" s="1"/>
      <c r="E79" s="1"/>
      <c r="F79" s="12"/>
      <c r="G79" s="140"/>
      <c r="H79" s="142"/>
    </row>
    <row r="80" spans="1:8" x14ac:dyDescent="0.2">
      <c r="A80" s="1"/>
      <c r="B80" s="1"/>
      <c r="C80" s="2" t="s">
        <v>109</v>
      </c>
      <c r="D80" s="1"/>
      <c r="E80" s="1"/>
      <c r="F80" s="1"/>
      <c r="G80" s="137"/>
      <c r="H80" s="142"/>
    </row>
    <row r="81" spans="1:8" ht="25.5" x14ac:dyDescent="0.2">
      <c r="A81" s="3">
        <v>1</v>
      </c>
      <c r="B81" s="4" t="s">
        <v>294</v>
      </c>
      <c r="C81" s="4" t="s">
        <v>997</v>
      </c>
      <c r="D81" s="4" t="s">
        <v>66</v>
      </c>
      <c r="E81" s="5">
        <v>23153</v>
      </c>
      <c r="F81" s="6">
        <v>8.6013394999999999</v>
      </c>
      <c r="G81" s="138">
        <v>2.0560090000000001E-3</v>
      </c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8.6013394999999999</v>
      </c>
      <c r="G82" s="139">
        <v>2.0560090000000001E-3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111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112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113</v>
      </c>
      <c r="D90" s="1"/>
      <c r="E90" s="1"/>
      <c r="F90" s="9">
        <v>3989.9820730000001</v>
      </c>
      <c r="G90" s="139">
        <v>0.95373993099999999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114</v>
      </c>
      <c r="D92" s="1"/>
      <c r="E92" s="1"/>
      <c r="F92" s="12"/>
      <c r="G92" s="140"/>
      <c r="H92" s="142"/>
    </row>
    <row r="93" spans="1:8" ht="25.5" x14ac:dyDescent="0.2">
      <c r="A93" s="1"/>
      <c r="B93" s="1"/>
      <c r="C93" s="2" t="s">
        <v>10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115</v>
      </c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116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117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118</v>
      </c>
      <c r="D105" s="1"/>
      <c r="E105" s="1"/>
      <c r="F105" s="9">
        <v>0</v>
      </c>
      <c r="G105" s="139">
        <v>0</v>
      </c>
      <c r="H105" s="142"/>
    </row>
    <row r="106" spans="1:8" x14ac:dyDescent="0.2">
      <c r="A106" s="1"/>
      <c r="B106" s="1"/>
      <c r="C106" s="11"/>
      <c r="D106" s="1"/>
      <c r="E106" s="1"/>
      <c r="F106" s="12"/>
      <c r="G106" s="140"/>
      <c r="H106" s="142"/>
    </row>
    <row r="107" spans="1:8" x14ac:dyDescent="0.2">
      <c r="A107" s="1"/>
      <c r="B107" s="1"/>
      <c r="C107" s="2" t="s">
        <v>119</v>
      </c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1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123</v>
      </c>
      <c r="D117" s="1"/>
      <c r="E117" s="1"/>
      <c r="F117" s="12"/>
      <c r="G117" s="140"/>
      <c r="H117" s="142"/>
    </row>
    <row r="118" spans="1:8" x14ac:dyDescent="0.2">
      <c r="A118" s="3">
        <v>1</v>
      </c>
      <c r="B118" s="4"/>
      <c r="C118" s="4" t="s">
        <v>124</v>
      </c>
      <c r="D118" s="4"/>
      <c r="E118" s="8"/>
      <c r="F118" s="6">
        <v>164.84570690000001</v>
      </c>
      <c r="G118" s="138">
        <v>3.9403669000000002E-2</v>
      </c>
      <c r="H118" s="152">
        <v>3.3197683930276081</v>
      </c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9">
        <v>164.84570690000001</v>
      </c>
      <c r="G119" s="139">
        <v>3.9403669000000002E-2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125</v>
      </c>
      <c r="D121" s="1"/>
      <c r="E121" s="1"/>
      <c r="F121" s="9">
        <v>164.84570690000001</v>
      </c>
      <c r="G121" s="139">
        <v>3.9403669000000002E-2</v>
      </c>
      <c r="H121" s="142"/>
    </row>
    <row r="122" spans="1:8" x14ac:dyDescent="0.2">
      <c r="A122" s="1"/>
      <c r="B122" s="1"/>
      <c r="C122" s="12"/>
      <c r="D122" s="1"/>
      <c r="E122" s="1"/>
      <c r="F122" s="1"/>
      <c r="G122" s="137"/>
      <c r="H122" s="142"/>
    </row>
    <row r="123" spans="1:8" x14ac:dyDescent="0.2">
      <c r="A123" s="1"/>
      <c r="B123" s="1"/>
      <c r="C123" s="2" t="s">
        <v>126</v>
      </c>
      <c r="D123" s="1"/>
      <c r="E123" s="1"/>
      <c r="F123" s="1"/>
      <c r="G123" s="137"/>
      <c r="H123" s="142"/>
    </row>
    <row r="124" spans="1:8" x14ac:dyDescent="0.2">
      <c r="A124" s="1"/>
      <c r="B124" s="1"/>
      <c r="C124" s="2" t="s">
        <v>127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128</v>
      </c>
      <c r="D127" s="1"/>
      <c r="E127" s="1"/>
      <c r="F127" s="1"/>
      <c r="G127" s="137"/>
      <c r="H127" s="142"/>
    </row>
    <row r="128" spans="1:8" x14ac:dyDescent="0.2">
      <c r="A128" s="1"/>
      <c r="B128" s="1"/>
      <c r="C128" s="2" t="s">
        <v>129</v>
      </c>
      <c r="D128" s="1"/>
      <c r="E128" s="1"/>
      <c r="F128" s="1"/>
      <c r="G128" s="137"/>
      <c r="H128" s="142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1">
        <v>0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ht="25.5" x14ac:dyDescent="0.2">
      <c r="A132" s="1"/>
      <c r="B132" s="1"/>
      <c r="C132" s="2" t="s">
        <v>130</v>
      </c>
      <c r="D132" s="1"/>
      <c r="E132" s="1"/>
      <c r="F132" s="12"/>
      <c r="G132" s="140"/>
      <c r="H132" s="142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1">
        <v>0</v>
      </c>
      <c r="H133" s="142"/>
    </row>
    <row r="134" spans="1:8" x14ac:dyDescent="0.2">
      <c r="A134" s="1"/>
      <c r="B134" s="1"/>
      <c r="C134" s="11"/>
      <c r="D134" s="1"/>
      <c r="E134" s="1"/>
      <c r="F134" s="12"/>
      <c r="G134" s="140"/>
      <c r="H134" s="142"/>
    </row>
    <row r="135" spans="1:8" x14ac:dyDescent="0.2">
      <c r="A135" s="1"/>
      <c r="B135" s="4"/>
      <c r="C135" s="4"/>
      <c r="D135" s="2"/>
      <c r="E135" s="1"/>
      <c r="F135" s="4"/>
      <c r="G135" s="143"/>
      <c r="H135" s="142"/>
    </row>
    <row r="136" spans="1:8" x14ac:dyDescent="0.2">
      <c r="A136" s="8"/>
      <c r="B136" s="4"/>
      <c r="C136" s="4" t="s">
        <v>131</v>
      </c>
      <c r="D136" s="4"/>
      <c r="E136" s="8"/>
      <c r="F136" s="6">
        <v>28.683820390000001</v>
      </c>
      <c r="G136" s="138">
        <v>6.8563979999999997E-3</v>
      </c>
      <c r="H136" s="142"/>
    </row>
    <row r="137" spans="1:8" x14ac:dyDescent="0.2">
      <c r="A137" s="11"/>
      <c r="B137" s="11"/>
      <c r="C137" s="2" t="s">
        <v>132</v>
      </c>
      <c r="D137" s="15"/>
      <c r="E137" s="15"/>
      <c r="F137" s="9">
        <v>4183.5116002900004</v>
      </c>
      <c r="G137" s="139">
        <v>0.99999999799999995</v>
      </c>
      <c r="H137" s="142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205" t="s">
        <v>106</v>
      </c>
      <c r="C139" s="205"/>
      <c r="D139" s="205"/>
      <c r="E139" s="205"/>
      <c r="F139" s="205"/>
      <c r="G139" s="20"/>
    </row>
    <row r="140" spans="1:8" ht="14.1" customHeight="1" x14ac:dyDescent="0.2">
      <c r="A140" s="18"/>
      <c r="B140" s="205" t="s">
        <v>106</v>
      </c>
      <c r="C140" s="205"/>
      <c r="D140" s="205"/>
      <c r="E140" s="205"/>
      <c r="F140" s="205"/>
      <c r="G140" s="20"/>
    </row>
    <row r="141" spans="1:8" ht="14.1" customHeight="1" x14ac:dyDescent="0.2">
      <c r="A141" s="18"/>
      <c r="B141" s="18"/>
      <c r="C141" s="18"/>
      <c r="D141" s="20"/>
      <c r="E141" s="20"/>
      <c r="F141" s="20"/>
      <c r="G141" s="20"/>
    </row>
    <row r="142" spans="1:8" ht="14.1" customHeight="1" x14ac:dyDescent="0.2">
      <c r="A142" s="18"/>
      <c r="B142" s="203" t="s">
        <v>134</v>
      </c>
      <c r="C142" s="204"/>
      <c r="D142" s="12" t="s">
        <v>106</v>
      </c>
      <c r="E142" s="21"/>
      <c r="F142" s="20"/>
      <c r="G142" s="20"/>
    </row>
    <row r="143" spans="1:8" ht="29.1" customHeight="1" x14ac:dyDescent="0.2">
      <c r="A143" s="18"/>
      <c r="B143" s="199" t="s">
        <v>135</v>
      </c>
      <c r="C143" s="200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99" t="s">
        <v>137</v>
      </c>
      <c r="C144" s="200"/>
      <c r="D144" s="2" t="s">
        <v>136</v>
      </c>
      <c r="E144" s="21"/>
      <c r="F144" s="20"/>
      <c r="G144" s="20"/>
    </row>
    <row r="145" spans="1:7" ht="17.100000000000001" customHeight="1" x14ac:dyDescent="0.2">
      <c r="A145" s="18"/>
      <c r="B145" s="199" t="s">
        <v>138</v>
      </c>
      <c r="C145" s="200"/>
      <c r="D145" s="12" t="s">
        <v>106</v>
      </c>
      <c r="E145" s="21"/>
      <c r="F145" s="20"/>
      <c r="G145" s="20"/>
    </row>
    <row r="146" spans="1:7" ht="24" customHeight="1" x14ac:dyDescent="0.2">
      <c r="A146" s="22"/>
      <c r="B146" s="23" t="s">
        <v>106</v>
      </c>
      <c r="C146" s="23" t="s">
        <v>139</v>
      </c>
      <c r="D146" s="23" t="s">
        <v>140</v>
      </c>
      <c r="E146" s="22"/>
      <c r="F146" s="22"/>
      <c r="G146" s="22"/>
    </row>
    <row r="147" spans="1:7" ht="18" customHeight="1" x14ac:dyDescent="0.2">
      <c r="A147" s="22"/>
      <c r="B147" s="23" t="s">
        <v>141</v>
      </c>
      <c r="C147" s="23" t="s">
        <v>142</v>
      </c>
      <c r="D147" s="23" t="s">
        <v>143</v>
      </c>
      <c r="E147" s="22"/>
      <c r="F147" s="22"/>
      <c r="G147" s="22"/>
    </row>
    <row r="148" spans="1:7" x14ac:dyDescent="0.2">
      <c r="A148" s="22"/>
      <c r="B148" s="4" t="s">
        <v>144</v>
      </c>
      <c r="C148" s="24">
        <v>14.8583</v>
      </c>
      <c r="D148" s="24">
        <v>15.726900000000001</v>
      </c>
      <c r="E148" s="22"/>
      <c r="F148" s="19"/>
      <c r="G148" s="25"/>
    </row>
    <row r="149" spans="1:7" x14ac:dyDescent="0.2">
      <c r="A149" s="22"/>
      <c r="B149" s="4" t="s">
        <v>1019</v>
      </c>
      <c r="C149" s="24">
        <v>14.8583</v>
      </c>
      <c r="D149" s="24">
        <v>15.726900000000001</v>
      </c>
      <c r="E149" s="22"/>
      <c r="F149" s="19"/>
      <c r="G149" s="25"/>
    </row>
    <row r="150" spans="1:7" x14ac:dyDescent="0.2">
      <c r="A150" s="22"/>
      <c r="B150" s="4" t="s">
        <v>145</v>
      </c>
      <c r="C150" s="24">
        <v>14.593299999999999</v>
      </c>
      <c r="D150" s="24">
        <v>15.445</v>
      </c>
      <c r="E150" s="22"/>
      <c r="F150" s="19"/>
      <c r="G150" s="25"/>
    </row>
    <row r="151" spans="1:7" x14ac:dyDescent="0.2">
      <c r="A151" s="22"/>
      <c r="B151" s="4" t="s">
        <v>1020</v>
      </c>
      <c r="C151" s="24">
        <v>14.5932</v>
      </c>
      <c r="D151" s="24">
        <v>15.444900000000001</v>
      </c>
      <c r="E151" s="22"/>
      <c r="F151" s="19"/>
      <c r="G151" s="25"/>
    </row>
    <row r="152" spans="1:7" ht="14.1" customHeight="1" x14ac:dyDescent="0.2">
      <c r="A152" s="22"/>
      <c r="B152" s="22"/>
      <c r="C152" s="22"/>
      <c r="D152" s="22"/>
      <c r="E152" s="22"/>
      <c r="F152" s="22"/>
      <c r="G152" s="22"/>
    </row>
    <row r="153" spans="1:7" ht="17.100000000000001" customHeight="1" x14ac:dyDescent="0.2">
      <c r="A153" s="22"/>
      <c r="B153" s="199" t="s">
        <v>1021</v>
      </c>
      <c r="C153" s="200"/>
      <c r="D153" s="2" t="s">
        <v>136</v>
      </c>
      <c r="E153" s="22"/>
      <c r="F153" s="22"/>
      <c r="G153" s="22"/>
    </row>
    <row r="154" spans="1:7" ht="18" customHeight="1" x14ac:dyDescent="0.2">
      <c r="A154" s="22"/>
      <c r="B154" s="26"/>
      <c r="C154" s="26"/>
      <c r="D154" s="27"/>
      <c r="E154" s="22"/>
      <c r="F154" s="22"/>
      <c r="G154" s="22"/>
    </row>
    <row r="155" spans="1:7" s="125" customFormat="1" x14ac:dyDescent="0.2">
      <c r="B155" s="201" t="s">
        <v>825</v>
      </c>
      <c r="C155" s="201"/>
      <c r="D155" s="201"/>
      <c r="E155" s="201"/>
      <c r="F155" s="201"/>
    </row>
    <row r="156" spans="1:7" ht="14.1" customHeight="1" x14ac:dyDescent="0.2">
      <c r="A156" s="22"/>
      <c r="B156" s="19"/>
      <c r="C156" s="19"/>
      <c r="D156" s="22"/>
      <c r="E156" s="22"/>
      <c r="F156" s="22"/>
      <c r="G156" s="22"/>
    </row>
    <row r="157" spans="1:7" ht="29.1" customHeight="1" x14ac:dyDescent="0.2">
      <c r="A157" s="22"/>
      <c r="B157" s="199" t="s">
        <v>146</v>
      </c>
      <c r="C157" s="200"/>
      <c r="D157" s="2" t="s">
        <v>136</v>
      </c>
      <c r="E157" s="22"/>
      <c r="F157" s="22"/>
      <c r="G157" s="22"/>
    </row>
    <row r="158" spans="1:7" ht="29.1" customHeight="1" x14ac:dyDescent="0.2">
      <c r="A158" s="22"/>
      <c r="B158" s="199" t="s">
        <v>147</v>
      </c>
      <c r="C158" s="200"/>
      <c r="D158" s="2" t="s">
        <v>136</v>
      </c>
      <c r="E158" s="22"/>
      <c r="F158" s="22"/>
      <c r="G158" s="22"/>
    </row>
    <row r="159" spans="1:7" ht="17.100000000000001" customHeight="1" x14ac:dyDescent="0.2">
      <c r="A159" s="22"/>
      <c r="B159" s="199" t="s">
        <v>148</v>
      </c>
      <c r="C159" s="200"/>
      <c r="D159" s="28">
        <v>0.30690879556378653</v>
      </c>
      <c r="E159" s="22"/>
      <c r="F159" s="19"/>
      <c r="G159" s="25"/>
    </row>
    <row r="160" spans="1:7" ht="17.100000000000001" customHeight="1" x14ac:dyDescent="0.2">
      <c r="A160" s="22"/>
      <c r="B160" s="199" t="s">
        <v>149</v>
      </c>
      <c r="C160" s="200"/>
      <c r="D160" s="2" t="s">
        <v>136</v>
      </c>
      <c r="E160" s="22"/>
      <c r="F160" s="22"/>
      <c r="G160" s="22"/>
    </row>
  </sheetData>
  <mergeCells count="16">
    <mergeCell ref="J2:N2"/>
    <mergeCell ref="B142:C142"/>
    <mergeCell ref="B139:F139"/>
    <mergeCell ref="B140:F140"/>
    <mergeCell ref="A1:H1"/>
    <mergeCell ref="A2:H2"/>
    <mergeCell ref="A3:H3"/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N161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511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154</v>
      </c>
      <c r="C7" s="4" t="s">
        <v>155</v>
      </c>
      <c r="D7" s="4" t="s">
        <v>27</v>
      </c>
      <c r="E7" s="5">
        <v>17000</v>
      </c>
      <c r="F7" s="6">
        <v>157.607</v>
      </c>
      <c r="G7" s="138">
        <v>3.8640523000000003E-2</v>
      </c>
      <c r="H7" s="142"/>
    </row>
    <row r="8" spans="1:14" x14ac:dyDescent="0.2">
      <c r="A8" s="3">
        <v>2</v>
      </c>
      <c r="B8" s="4" t="s">
        <v>156</v>
      </c>
      <c r="C8" s="4" t="s">
        <v>157</v>
      </c>
      <c r="D8" s="4" t="s">
        <v>1024</v>
      </c>
      <c r="E8" s="5">
        <v>10860</v>
      </c>
      <c r="F8" s="6">
        <v>143.65065000000001</v>
      </c>
      <c r="G8" s="138">
        <v>3.5218843E-2</v>
      </c>
      <c r="H8" s="142"/>
    </row>
    <row r="9" spans="1:14" x14ac:dyDescent="0.2">
      <c r="A9" s="3">
        <v>3</v>
      </c>
      <c r="B9" s="4" t="s">
        <v>25</v>
      </c>
      <c r="C9" s="4" t="s">
        <v>26</v>
      </c>
      <c r="D9" s="4" t="s">
        <v>27</v>
      </c>
      <c r="E9" s="5">
        <v>8721</v>
      </c>
      <c r="F9" s="6">
        <v>119.70880649999999</v>
      </c>
      <c r="G9" s="138">
        <v>2.9349019E-2</v>
      </c>
      <c r="H9" s="142"/>
    </row>
    <row r="10" spans="1:14" x14ac:dyDescent="0.2">
      <c r="A10" s="3">
        <v>4</v>
      </c>
      <c r="B10" s="4" t="s">
        <v>165</v>
      </c>
      <c r="C10" s="4" t="s">
        <v>166</v>
      </c>
      <c r="D10" s="4" t="s">
        <v>51</v>
      </c>
      <c r="E10" s="5">
        <v>24926</v>
      </c>
      <c r="F10" s="6">
        <v>117.81273899999999</v>
      </c>
      <c r="G10" s="138">
        <v>2.8884159999999999E-2</v>
      </c>
      <c r="H10" s="142"/>
    </row>
    <row r="11" spans="1:14" x14ac:dyDescent="0.2">
      <c r="A11" s="3">
        <v>5</v>
      </c>
      <c r="B11" s="4" t="s">
        <v>158</v>
      </c>
      <c r="C11" s="4" t="s">
        <v>159</v>
      </c>
      <c r="D11" s="4" t="s">
        <v>80</v>
      </c>
      <c r="E11" s="5">
        <v>96019</v>
      </c>
      <c r="F11" s="6">
        <v>116.18299</v>
      </c>
      <c r="G11" s="138">
        <v>2.8484593999999998E-2</v>
      </c>
      <c r="H11" s="142"/>
    </row>
    <row r="12" spans="1:14" x14ac:dyDescent="0.2">
      <c r="A12" s="3">
        <v>6</v>
      </c>
      <c r="B12" s="4" t="s">
        <v>160</v>
      </c>
      <c r="C12" s="4" t="s">
        <v>161</v>
      </c>
      <c r="D12" s="4" t="s">
        <v>27</v>
      </c>
      <c r="E12" s="5">
        <v>14411</v>
      </c>
      <c r="F12" s="6">
        <v>114.870081</v>
      </c>
      <c r="G12" s="138">
        <v>2.8162708000000002E-2</v>
      </c>
      <c r="H12" s="142"/>
    </row>
    <row r="13" spans="1:14" x14ac:dyDescent="0.2">
      <c r="A13" s="3">
        <v>7</v>
      </c>
      <c r="B13" s="4" t="s">
        <v>151</v>
      </c>
      <c r="C13" s="4" t="s">
        <v>152</v>
      </c>
      <c r="D13" s="4" t="s">
        <v>153</v>
      </c>
      <c r="E13" s="5">
        <v>3099</v>
      </c>
      <c r="F13" s="6">
        <v>114.1904025</v>
      </c>
      <c r="G13" s="138">
        <v>2.7996071000000001E-2</v>
      </c>
      <c r="H13" s="142"/>
    </row>
    <row r="14" spans="1:14" x14ac:dyDescent="0.2">
      <c r="A14" s="3">
        <v>8</v>
      </c>
      <c r="B14" s="4" t="s">
        <v>474</v>
      </c>
      <c r="C14" s="4" t="s">
        <v>475</v>
      </c>
      <c r="D14" s="4" t="s">
        <v>207</v>
      </c>
      <c r="E14" s="5">
        <v>16726</v>
      </c>
      <c r="F14" s="6">
        <v>100.933047</v>
      </c>
      <c r="G14" s="138">
        <v>2.4745764E-2</v>
      </c>
      <c r="H14" s="142"/>
    </row>
    <row r="15" spans="1:14" ht="15" x14ac:dyDescent="0.2">
      <c r="A15" s="3">
        <v>9</v>
      </c>
      <c r="B15" s="4" t="s">
        <v>162</v>
      </c>
      <c r="C15" s="4" t="s">
        <v>163</v>
      </c>
      <c r="D15" s="4" t="s">
        <v>164</v>
      </c>
      <c r="E15" s="5">
        <v>27156</v>
      </c>
      <c r="F15" s="6">
        <v>92.805629999999994</v>
      </c>
      <c r="G15" s="138">
        <v>2.2753164999999999E-2</v>
      </c>
      <c r="H15" s="142"/>
      <c r="J15" s="163" t="s">
        <v>1039</v>
      </c>
    </row>
    <row r="16" spans="1:14" x14ac:dyDescent="0.2">
      <c r="A16" s="3">
        <v>10</v>
      </c>
      <c r="B16" s="4" t="s">
        <v>179</v>
      </c>
      <c r="C16" s="4" t="s">
        <v>180</v>
      </c>
      <c r="D16" s="4" t="s">
        <v>181</v>
      </c>
      <c r="E16" s="5">
        <v>35495</v>
      </c>
      <c r="F16" s="6">
        <v>87.814629999999994</v>
      </c>
      <c r="G16" s="138">
        <v>2.1529520999999999E-2</v>
      </c>
      <c r="H16" s="142"/>
    </row>
    <row r="17" spans="1:8" x14ac:dyDescent="0.2">
      <c r="A17" s="3">
        <v>11</v>
      </c>
      <c r="B17" s="4" t="s">
        <v>176</v>
      </c>
      <c r="C17" s="4" t="s">
        <v>177</v>
      </c>
      <c r="D17" s="4" t="s">
        <v>1026</v>
      </c>
      <c r="E17" s="5">
        <v>22271</v>
      </c>
      <c r="F17" s="6">
        <v>87.580707500000003</v>
      </c>
      <c r="G17" s="138">
        <v>2.1472169999999999E-2</v>
      </c>
      <c r="H17" s="142"/>
    </row>
    <row r="18" spans="1:8" x14ac:dyDescent="0.2">
      <c r="A18" s="3">
        <v>12</v>
      </c>
      <c r="B18" s="4" t="s">
        <v>214</v>
      </c>
      <c r="C18" s="4" t="s">
        <v>215</v>
      </c>
      <c r="D18" s="4" t="s">
        <v>216</v>
      </c>
      <c r="E18" s="5">
        <v>32045</v>
      </c>
      <c r="F18" s="6">
        <v>87.2745575</v>
      </c>
      <c r="G18" s="138">
        <v>2.1397111E-2</v>
      </c>
      <c r="H18" s="142"/>
    </row>
    <row r="19" spans="1:8" x14ac:dyDescent="0.2">
      <c r="A19" s="3">
        <v>13</v>
      </c>
      <c r="B19" s="4" t="s">
        <v>169</v>
      </c>
      <c r="C19" s="4" t="s">
        <v>170</v>
      </c>
      <c r="D19" s="4" t="s">
        <v>164</v>
      </c>
      <c r="E19" s="5">
        <v>2343</v>
      </c>
      <c r="F19" s="6">
        <v>87.072908999999996</v>
      </c>
      <c r="G19" s="138">
        <v>2.1347673000000001E-2</v>
      </c>
      <c r="H19" s="142"/>
    </row>
    <row r="20" spans="1:8" ht="25.5" x14ac:dyDescent="0.2">
      <c r="A20" s="3">
        <v>14</v>
      </c>
      <c r="B20" s="4" t="s">
        <v>217</v>
      </c>
      <c r="C20" s="4" t="s">
        <v>218</v>
      </c>
      <c r="D20" s="4" t="s">
        <v>90</v>
      </c>
      <c r="E20" s="5">
        <v>18738</v>
      </c>
      <c r="F20" s="6">
        <v>85.548338999999999</v>
      </c>
      <c r="G20" s="138">
        <v>2.0973894E-2</v>
      </c>
      <c r="H20" s="142"/>
    </row>
    <row r="21" spans="1:8" ht="25.5" x14ac:dyDescent="0.2">
      <c r="A21" s="3">
        <v>15</v>
      </c>
      <c r="B21" s="4" t="s">
        <v>193</v>
      </c>
      <c r="C21" s="4" t="s">
        <v>194</v>
      </c>
      <c r="D21" s="4" t="s">
        <v>37</v>
      </c>
      <c r="E21" s="5">
        <v>68857</v>
      </c>
      <c r="F21" s="6">
        <v>84.659681500000005</v>
      </c>
      <c r="G21" s="138">
        <v>2.0756021999999999E-2</v>
      </c>
      <c r="H21" s="142"/>
    </row>
    <row r="22" spans="1:8" x14ac:dyDescent="0.2">
      <c r="A22" s="3">
        <v>16</v>
      </c>
      <c r="B22" s="4" t="s">
        <v>74</v>
      </c>
      <c r="C22" s="4" t="s">
        <v>75</v>
      </c>
      <c r="D22" s="4" t="s">
        <v>66</v>
      </c>
      <c r="E22" s="5">
        <v>20448</v>
      </c>
      <c r="F22" s="6">
        <v>83.836799999999997</v>
      </c>
      <c r="G22" s="138">
        <v>2.0554276E-2</v>
      </c>
      <c r="H22" s="142"/>
    </row>
    <row r="23" spans="1:8" x14ac:dyDescent="0.2">
      <c r="A23" s="3">
        <v>17</v>
      </c>
      <c r="B23" s="4" t="s">
        <v>52</v>
      </c>
      <c r="C23" s="4" t="s">
        <v>53</v>
      </c>
      <c r="D23" s="4" t="s">
        <v>51</v>
      </c>
      <c r="E23" s="5">
        <v>26395</v>
      </c>
      <c r="F23" s="6">
        <v>81.732117500000001</v>
      </c>
      <c r="G23" s="138">
        <v>2.0038271E-2</v>
      </c>
      <c r="H23" s="142"/>
    </row>
    <row r="24" spans="1:8" x14ac:dyDescent="0.2">
      <c r="A24" s="3">
        <v>18</v>
      </c>
      <c r="B24" s="4" t="s">
        <v>205</v>
      </c>
      <c r="C24" s="4" t="s">
        <v>206</v>
      </c>
      <c r="D24" s="4" t="s">
        <v>207</v>
      </c>
      <c r="E24" s="5">
        <v>17579</v>
      </c>
      <c r="F24" s="6">
        <v>78.973657500000002</v>
      </c>
      <c r="G24" s="138">
        <v>1.9361979000000001E-2</v>
      </c>
      <c r="H24" s="142"/>
    </row>
    <row r="25" spans="1:8" x14ac:dyDescent="0.2">
      <c r="A25" s="3">
        <v>19</v>
      </c>
      <c r="B25" s="4" t="s">
        <v>44</v>
      </c>
      <c r="C25" s="4" t="s">
        <v>45</v>
      </c>
      <c r="D25" s="4" t="s">
        <v>27</v>
      </c>
      <c r="E25" s="5">
        <v>6458</v>
      </c>
      <c r="F25" s="6">
        <v>78.865095999999994</v>
      </c>
      <c r="G25" s="138">
        <v>1.9335363000000001E-2</v>
      </c>
      <c r="H25" s="142"/>
    </row>
    <row r="26" spans="1:8" x14ac:dyDescent="0.2">
      <c r="A26" s="3">
        <v>20</v>
      </c>
      <c r="B26" s="4" t="s">
        <v>210</v>
      </c>
      <c r="C26" s="4" t="s">
        <v>211</v>
      </c>
      <c r="D26" s="4" t="s">
        <v>34</v>
      </c>
      <c r="E26" s="5">
        <v>19016</v>
      </c>
      <c r="F26" s="6">
        <v>76.862672000000003</v>
      </c>
      <c r="G26" s="138">
        <v>1.8844428E-2</v>
      </c>
      <c r="H26" s="142"/>
    </row>
    <row r="27" spans="1:8" x14ac:dyDescent="0.2">
      <c r="A27" s="3">
        <v>21</v>
      </c>
      <c r="B27" s="4" t="s">
        <v>171</v>
      </c>
      <c r="C27" s="4" t="s">
        <v>172</v>
      </c>
      <c r="D27" s="4" t="s">
        <v>173</v>
      </c>
      <c r="E27" s="5">
        <v>8141</v>
      </c>
      <c r="F27" s="6">
        <v>76.806264499999997</v>
      </c>
      <c r="G27" s="138">
        <v>1.8830599E-2</v>
      </c>
      <c r="H27" s="142"/>
    </row>
    <row r="28" spans="1:8" x14ac:dyDescent="0.2">
      <c r="A28" s="3">
        <v>22</v>
      </c>
      <c r="B28" s="4" t="s">
        <v>49</v>
      </c>
      <c r="C28" s="4" t="s">
        <v>50</v>
      </c>
      <c r="D28" s="4" t="s">
        <v>51</v>
      </c>
      <c r="E28" s="5">
        <v>2243</v>
      </c>
      <c r="F28" s="6">
        <v>73.204791</v>
      </c>
      <c r="G28" s="138">
        <v>1.7947624999999998E-2</v>
      </c>
      <c r="H28" s="142"/>
    </row>
    <row r="29" spans="1:8" ht="25.5" x14ac:dyDescent="0.2">
      <c r="A29" s="3">
        <v>23</v>
      </c>
      <c r="B29" s="4" t="s">
        <v>30</v>
      </c>
      <c r="C29" s="4" t="s">
        <v>31</v>
      </c>
      <c r="D29" s="4" t="s">
        <v>1023</v>
      </c>
      <c r="E29" s="5">
        <v>2325</v>
      </c>
      <c r="F29" s="6">
        <v>72.255187500000005</v>
      </c>
      <c r="G29" s="138">
        <v>1.7714811E-2</v>
      </c>
      <c r="H29" s="142"/>
    </row>
    <row r="30" spans="1:8" x14ac:dyDescent="0.2">
      <c r="A30" s="3">
        <v>24</v>
      </c>
      <c r="B30" s="4" t="s">
        <v>221</v>
      </c>
      <c r="C30" s="4" t="s">
        <v>222</v>
      </c>
      <c r="D30" s="4" t="s">
        <v>207</v>
      </c>
      <c r="E30" s="5">
        <v>11402</v>
      </c>
      <c r="F30" s="6">
        <v>70.287628999999995</v>
      </c>
      <c r="G30" s="138">
        <v>1.7232424E-2</v>
      </c>
      <c r="H30" s="142"/>
    </row>
    <row r="31" spans="1:8" x14ac:dyDescent="0.2">
      <c r="A31" s="3">
        <v>25</v>
      </c>
      <c r="B31" s="4" t="s">
        <v>201</v>
      </c>
      <c r="C31" s="4" t="s">
        <v>202</v>
      </c>
      <c r="D31" s="4" t="s">
        <v>80</v>
      </c>
      <c r="E31" s="5">
        <v>10108</v>
      </c>
      <c r="F31" s="6">
        <v>69.421744000000004</v>
      </c>
      <c r="G31" s="138">
        <v>1.7020134999999999E-2</v>
      </c>
      <c r="H31" s="142"/>
    </row>
    <row r="32" spans="1:8" x14ac:dyDescent="0.2">
      <c r="A32" s="3">
        <v>26</v>
      </c>
      <c r="B32" s="4" t="s">
        <v>203</v>
      </c>
      <c r="C32" s="4" t="s">
        <v>204</v>
      </c>
      <c r="D32" s="4" t="s">
        <v>80</v>
      </c>
      <c r="E32" s="5">
        <v>11753</v>
      </c>
      <c r="F32" s="6">
        <v>69.354453000000007</v>
      </c>
      <c r="G32" s="138">
        <v>1.7003638000000001E-2</v>
      </c>
      <c r="H32" s="142"/>
    </row>
    <row r="33" spans="1:8" x14ac:dyDescent="0.2">
      <c r="A33" s="3">
        <v>27</v>
      </c>
      <c r="B33" s="4" t="s">
        <v>212</v>
      </c>
      <c r="C33" s="4" t="s">
        <v>213</v>
      </c>
      <c r="D33" s="4" t="s">
        <v>1027</v>
      </c>
      <c r="E33" s="5">
        <v>7162</v>
      </c>
      <c r="F33" s="6">
        <v>65.618244000000004</v>
      </c>
      <c r="G33" s="138">
        <v>1.6087631000000002E-2</v>
      </c>
      <c r="H33" s="142"/>
    </row>
    <row r="34" spans="1:8" ht="25.5" x14ac:dyDescent="0.2">
      <c r="A34" s="3">
        <v>28</v>
      </c>
      <c r="B34" s="4" t="s">
        <v>458</v>
      </c>
      <c r="C34" s="4" t="s">
        <v>459</v>
      </c>
      <c r="D34" s="4" t="s">
        <v>37</v>
      </c>
      <c r="E34" s="5">
        <v>4818</v>
      </c>
      <c r="F34" s="6">
        <v>65.016501000000005</v>
      </c>
      <c r="G34" s="138">
        <v>1.5940102000000001E-2</v>
      </c>
      <c r="H34" s="142"/>
    </row>
    <row r="35" spans="1:8" x14ac:dyDescent="0.2">
      <c r="A35" s="3">
        <v>29</v>
      </c>
      <c r="B35" s="4" t="s">
        <v>197</v>
      </c>
      <c r="C35" s="4" t="s">
        <v>198</v>
      </c>
      <c r="D35" s="4" t="s">
        <v>51</v>
      </c>
      <c r="E35" s="5">
        <v>6322</v>
      </c>
      <c r="F35" s="6">
        <v>64.841593000000003</v>
      </c>
      <c r="G35" s="138">
        <v>1.5897219000000001E-2</v>
      </c>
      <c r="H35" s="142"/>
    </row>
    <row r="36" spans="1:8" x14ac:dyDescent="0.2">
      <c r="A36" s="3">
        <v>30</v>
      </c>
      <c r="B36" s="4" t="s">
        <v>199</v>
      </c>
      <c r="C36" s="4" t="s">
        <v>200</v>
      </c>
      <c r="D36" s="4" t="s">
        <v>164</v>
      </c>
      <c r="E36" s="5">
        <v>6046</v>
      </c>
      <c r="F36" s="6">
        <v>64.253865000000005</v>
      </c>
      <c r="G36" s="138">
        <v>1.5753125999999999E-2</v>
      </c>
      <c r="H36" s="142"/>
    </row>
    <row r="37" spans="1:8" x14ac:dyDescent="0.2">
      <c r="A37" s="3">
        <v>31</v>
      </c>
      <c r="B37" s="4" t="s">
        <v>225</v>
      </c>
      <c r="C37" s="4" t="s">
        <v>226</v>
      </c>
      <c r="D37" s="4" t="s">
        <v>1028</v>
      </c>
      <c r="E37" s="5">
        <v>10737</v>
      </c>
      <c r="F37" s="6">
        <v>60.803631000000003</v>
      </c>
      <c r="G37" s="138">
        <v>1.4907231999999999E-2</v>
      </c>
      <c r="H37" s="142"/>
    </row>
    <row r="38" spans="1:8" x14ac:dyDescent="0.2">
      <c r="A38" s="3">
        <v>32</v>
      </c>
      <c r="B38" s="4" t="s">
        <v>246</v>
      </c>
      <c r="C38" s="4" t="s">
        <v>247</v>
      </c>
      <c r="D38" s="4" t="s">
        <v>80</v>
      </c>
      <c r="E38" s="5">
        <v>108845</v>
      </c>
      <c r="F38" s="6">
        <v>59.8103275</v>
      </c>
      <c r="G38" s="138">
        <v>1.4663703E-2</v>
      </c>
      <c r="H38" s="142"/>
    </row>
    <row r="39" spans="1:8" x14ac:dyDescent="0.2">
      <c r="A39" s="3">
        <v>33</v>
      </c>
      <c r="B39" s="4" t="s">
        <v>188</v>
      </c>
      <c r="C39" s="4" t="s">
        <v>189</v>
      </c>
      <c r="D39" s="4" t="s">
        <v>190</v>
      </c>
      <c r="E39" s="5">
        <v>5370</v>
      </c>
      <c r="F39" s="6">
        <v>53.477145</v>
      </c>
      <c r="G39" s="138">
        <v>1.3110996999999999E-2</v>
      </c>
      <c r="H39" s="142"/>
    </row>
    <row r="40" spans="1:8" x14ac:dyDescent="0.2">
      <c r="A40" s="3">
        <v>34</v>
      </c>
      <c r="B40" s="4" t="s">
        <v>227</v>
      </c>
      <c r="C40" s="4" t="s">
        <v>228</v>
      </c>
      <c r="D40" s="4" t="s">
        <v>66</v>
      </c>
      <c r="E40" s="5">
        <v>54093</v>
      </c>
      <c r="F40" s="6">
        <v>53.254558500000002</v>
      </c>
      <c r="G40" s="138">
        <v>1.3056425E-2</v>
      </c>
      <c r="H40" s="142"/>
    </row>
    <row r="41" spans="1:8" x14ac:dyDescent="0.2">
      <c r="A41" s="3">
        <v>35</v>
      </c>
      <c r="B41" s="4" t="s">
        <v>241</v>
      </c>
      <c r="C41" s="4" t="s">
        <v>242</v>
      </c>
      <c r="D41" s="4" t="s">
        <v>243</v>
      </c>
      <c r="E41" s="5">
        <v>9854</v>
      </c>
      <c r="F41" s="6">
        <v>48.797007999999998</v>
      </c>
      <c r="G41" s="138">
        <v>1.1963567E-2</v>
      </c>
      <c r="H41" s="142"/>
    </row>
    <row r="42" spans="1:8" ht="25.5" x14ac:dyDescent="0.2">
      <c r="A42" s="3">
        <v>36</v>
      </c>
      <c r="B42" s="4" t="s">
        <v>244</v>
      </c>
      <c r="C42" s="4" t="s">
        <v>245</v>
      </c>
      <c r="D42" s="4" t="s">
        <v>1029</v>
      </c>
      <c r="E42" s="5">
        <v>43509</v>
      </c>
      <c r="F42" s="6">
        <v>48.5777985</v>
      </c>
      <c r="G42" s="138">
        <v>1.1909823E-2</v>
      </c>
      <c r="H42" s="142"/>
    </row>
    <row r="43" spans="1:8" x14ac:dyDescent="0.2">
      <c r="A43" s="3">
        <v>37</v>
      </c>
      <c r="B43" s="4" t="s">
        <v>271</v>
      </c>
      <c r="C43" s="4" t="s">
        <v>272</v>
      </c>
      <c r="D43" s="4" t="s">
        <v>1028</v>
      </c>
      <c r="E43" s="5">
        <v>33431</v>
      </c>
      <c r="F43" s="6">
        <v>48.575243</v>
      </c>
      <c r="G43" s="138">
        <v>1.1909197E-2</v>
      </c>
      <c r="H43" s="142"/>
    </row>
    <row r="44" spans="1:8" ht="25.5" x14ac:dyDescent="0.2">
      <c r="A44" s="3">
        <v>38</v>
      </c>
      <c r="B44" s="4" t="s">
        <v>231</v>
      </c>
      <c r="C44" s="4" t="s">
        <v>232</v>
      </c>
      <c r="D44" s="4" t="s">
        <v>51</v>
      </c>
      <c r="E44" s="5">
        <v>2262</v>
      </c>
      <c r="F44" s="6">
        <v>48.493887000000001</v>
      </c>
      <c r="G44" s="138">
        <v>1.1889251E-2</v>
      </c>
      <c r="H44" s="142"/>
    </row>
    <row r="45" spans="1:8" x14ac:dyDescent="0.2">
      <c r="A45" s="3">
        <v>39</v>
      </c>
      <c r="B45" s="4" t="s">
        <v>296</v>
      </c>
      <c r="C45" s="4" t="s">
        <v>297</v>
      </c>
      <c r="D45" s="4" t="s">
        <v>27</v>
      </c>
      <c r="E45" s="5">
        <v>3843</v>
      </c>
      <c r="F45" s="6">
        <v>47.022948</v>
      </c>
      <c r="G45" s="138">
        <v>1.152862E-2</v>
      </c>
      <c r="H45" s="142"/>
    </row>
    <row r="46" spans="1:8" ht="25.5" x14ac:dyDescent="0.2">
      <c r="A46" s="3">
        <v>40</v>
      </c>
      <c r="B46" s="4" t="s">
        <v>255</v>
      </c>
      <c r="C46" s="4" t="s">
        <v>256</v>
      </c>
      <c r="D46" s="4" t="s">
        <v>90</v>
      </c>
      <c r="E46" s="5">
        <v>11863</v>
      </c>
      <c r="F46" s="6">
        <v>45.619166499999999</v>
      </c>
      <c r="G46" s="138">
        <v>1.1184454999999999E-2</v>
      </c>
      <c r="H46" s="142"/>
    </row>
    <row r="47" spans="1:8" ht="25.5" x14ac:dyDescent="0.2">
      <c r="A47" s="3">
        <v>41</v>
      </c>
      <c r="B47" s="4" t="s">
        <v>252</v>
      </c>
      <c r="C47" s="4" t="s">
        <v>253</v>
      </c>
      <c r="D47" s="4" t="s">
        <v>90</v>
      </c>
      <c r="E47" s="5">
        <v>10717</v>
      </c>
      <c r="F47" s="6">
        <v>45.086418999999999</v>
      </c>
      <c r="G47" s="138">
        <v>1.1053841E-2</v>
      </c>
      <c r="H47" s="142"/>
    </row>
    <row r="48" spans="1:8" x14ac:dyDescent="0.2">
      <c r="A48" s="3">
        <v>42</v>
      </c>
      <c r="B48" s="4" t="s">
        <v>273</v>
      </c>
      <c r="C48" s="4" t="s">
        <v>274</v>
      </c>
      <c r="D48" s="4" t="s">
        <v>173</v>
      </c>
      <c r="E48" s="5">
        <v>7135</v>
      </c>
      <c r="F48" s="6">
        <v>42.752920000000003</v>
      </c>
      <c r="G48" s="138">
        <v>1.0481737E-2</v>
      </c>
      <c r="H48" s="142"/>
    </row>
    <row r="49" spans="1:8" ht="25.5" x14ac:dyDescent="0.2">
      <c r="A49" s="3">
        <v>43</v>
      </c>
      <c r="B49" s="4" t="s">
        <v>178</v>
      </c>
      <c r="C49" s="4" t="s">
        <v>933</v>
      </c>
      <c r="D49" s="4" t="s">
        <v>37</v>
      </c>
      <c r="E49" s="5">
        <v>16461</v>
      </c>
      <c r="F49" s="6">
        <v>42.494071499999997</v>
      </c>
      <c r="G49" s="138">
        <v>1.0418274999999999E-2</v>
      </c>
      <c r="H49" s="142"/>
    </row>
    <row r="50" spans="1:8" ht="25.5" x14ac:dyDescent="0.2">
      <c r="A50" s="3">
        <v>44</v>
      </c>
      <c r="B50" s="4" t="s">
        <v>191</v>
      </c>
      <c r="C50" s="4" t="s">
        <v>192</v>
      </c>
      <c r="D50" s="4" t="s">
        <v>1023</v>
      </c>
      <c r="E50" s="5">
        <v>16531</v>
      </c>
      <c r="F50" s="6">
        <v>42.451608</v>
      </c>
      <c r="G50" s="138">
        <v>1.0407865000000001E-2</v>
      </c>
      <c r="H50" s="142"/>
    </row>
    <row r="51" spans="1:8" x14ac:dyDescent="0.2">
      <c r="A51" s="3">
        <v>45</v>
      </c>
      <c r="B51" s="4" t="s">
        <v>195</v>
      </c>
      <c r="C51" s="4" t="s">
        <v>196</v>
      </c>
      <c r="D51" s="4" t="s">
        <v>24</v>
      </c>
      <c r="E51" s="5">
        <v>21375</v>
      </c>
      <c r="F51" s="6">
        <v>40.804875000000003</v>
      </c>
      <c r="G51" s="138">
        <v>1.0004135000000001E-2</v>
      </c>
      <c r="H51" s="142"/>
    </row>
    <row r="52" spans="1:8" x14ac:dyDescent="0.2">
      <c r="A52" s="3">
        <v>46</v>
      </c>
      <c r="B52" s="4" t="s">
        <v>277</v>
      </c>
      <c r="C52" s="4" t="s">
        <v>278</v>
      </c>
      <c r="D52" s="4" t="s">
        <v>279</v>
      </c>
      <c r="E52" s="5">
        <v>17156</v>
      </c>
      <c r="F52" s="6">
        <v>39.767608000000003</v>
      </c>
      <c r="G52" s="138">
        <v>9.7498280000000003E-3</v>
      </c>
      <c r="H52" s="142"/>
    </row>
    <row r="53" spans="1:8" x14ac:dyDescent="0.2">
      <c r="A53" s="3">
        <v>47</v>
      </c>
      <c r="B53" s="4" t="s">
        <v>174</v>
      </c>
      <c r="C53" s="4" t="s">
        <v>175</v>
      </c>
      <c r="D53" s="4" t="s">
        <v>335</v>
      </c>
      <c r="E53" s="5">
        <v>3897</v>
      </c>
      <c r="F53" s="6">
        <v>38.549123999999999</v>
      </c>
      <c r="G53" s="138">
        <v>9.4510919999999995E-3</v>
      </c>
      <c r="H53" s="142"/>
    </row>
    <row r="54" spans="1:8" x14ac:dyDescent="0.2">
      <c r="A54" s="3">
        <v>48</v>
      </c>
      <c r="B54" s="4" t="s">
        <v>280</v>
      </c>
      <c r="C54" s="4" t="s">
        <v>281</v>
      </c>
      <c r="D54" s="4" t="s">
        <v>24</v>
      </c>
      <c r="E54" s="5">
        <v>41531</v>
      </c>
      <c r="F54" s="6">
        <v>37.793210000000002</v>
      </c>
      <c r="G54" s="138">
        <v>9.2657650000000005E-3</v>
      </c>
      <c r="H54" s="142"/>
    </row>
    <row r="55" spans="1:8" x14ac:dyDescent="0.2">
      <c r="A55" s="3">
        <v>49</v>
      </c>
      <c r="B55" s="4" t="s">
        <v>265</v>
      </c>
      <c r="C55" s="4" t="s">
        <v>266</v>
      </c>
      <c r="D55" s="4" t="s">
        <v>59</v>
      </c>
      <c r="E55" s="5">
        <v>3629</v>
      </c>
      <c r="F55" s="6">
        <v>37.532932500000001</v>
      </c>
      <c r="G55" s="138">
        <v>9.2019530000000006E-3</v>
      </c>
      <c r="H55" s="142"/>
    </row>
    <row r="56" spans="1:8" x14ac:dyDescent="0.2">
      <c r="A56" s="3">
        <v>50</v>
      </c>
      <c r="B56" s="4" t="s">
        <v>239</v>
      </c>
      <c r="C56" s="4" t="s">
        <v>240</v>
      </c>
      <c r="D56" s="4" t="s">
        <v>207</v>
      </c>
      <c r="E56" s="5">
        <v>1976</v>
      </c>
      <c r="F56" s="6">
        <v>36.890931999999999</v>
      </c>
      <c r="G56" s="138">
        <v>9.0445530000000003E-3</v>
      </c>
      <c r="H56" s="142"/>
    </row>
    <row r="57" spans="1:8" x14ac:dyDescent="0.2">
      <c r="A57" s="3">
        <v>51</v>
      </c>
      <c r="B57" s="4" t="s">
        <v>257</v>
      </c>
      <c r="C57" s="4" t="s">
        <v>258</v>
      </c>
      <c r="D57" s="4" t="s">
        <v>173</v>
      </c>
      <c r="E57" s="5">
        <v>10008</v>
      </c>
      <c r="F57" s="6">
        <v>35.027999999999999</v>
      </c>
      <c r="G57" s="138">
        <v>8.5878180000000005E-3</v>
      </c>
      <c r="H57" s="142"/>
    </row>
    <row r="58" spans="1:8" x14ac:dyDescent="0.2">
      <c r="A58" s="3">
        <v>52</v>
      </c>
      <c r="B58" s="4" t="s">
        <v>250</v>
      </c>
      <c r="C58" s="4" t="s">
        <v>251</v>
      </c>
      <c r="D58" s="4" t="s">
        <v>164</v>
      </c>
      <c r="E58" s="5">
        <v>2474</v>
      </c>
      <c r="F58" s="6">
        <v>34.139963000000002</v>
      </c>
      <c r="G58" s="138">
        <v>8.3700979999999994E-3</v>
      </c>
      <c r="H58" s="142"/>
    </row>
    <row r="59" spans="1:8" x14ac:dyDescent="0.2">
      <c r="A59" s="3">
        <v>53</v>
      </c>
      <c r="B59" s="4" t="s">
        <v>267</v>
      </c>
      <c r="C59" s="4" t="s">
        <v>268</v>
      </c>
      <c r="D59" s="4" t="s">
        <v>1024</v>
      </c>
      <c r="E59" s="5">
        <v>2010</v>
      </c>
      <c r="F59" s="6">
        <v>33.338864999999998</v>
      </c>
      <c r="G59" s="138">
        <v>8.1736929999999992E-3</v>
      </c>
      <c r="H59" s="142"/>
    </row>
    <row r="60" spans="1:8" x14ac:dyDescent="0.2">
      <c r="A60" s="3">
        <v>54</v>
      </c>
      <c r="B60" s="4" t="s">
        <v>269</v>
      </c>
      <c r="C60" s="4" t="s">
        <v>270</v>
      </c>
      <c r="D60" s="4" t="s">
        <v>1028</v>
      </c>
      <c r="E60" s="5">
        <v>27390</v>
      </c>
      <c r="F60" s="6">
        <v>31.71762</v>
      </c>
      <c r="G60" s="138">
        <v>7.7762120000000002E-3</v>
      </c>
      <c r="H60" s="142"/>
    </row>
    <row r="61" spans="1:8" x14ac:dyDescent="0.2">
      <c r="A61" s="3">
        <v>55</v>
      </c>
      <c r="B61" s="4" t="s">
        <v>282</v>
      </c>
      <c r="C61" s="4" t="s">
        <v>283</v>
      </c>
      <c r="D61" s="4" t="s">
        <v>207</v>
      </c>
      <c r="E61" s="5">
        <v>536</v>
      </c>
      <c r="F61" s="6">
        <v>28.963296</v>
      </c>
      <c r="G61" s="138">
        <v>7.1009339999999997E-3</v>
      </c>
      <c r="H61" s="142"/>
    </row>
    <row r="62" spans="1:8" x14ac:dyDescent="0.2">
      <c r="A62" s="3">
        <v>56</v>
      </c>
      <c r="B62" s="4" t="s">
        <v>288</v>
      </c>
      <c r="C62" s="4" t="s">
        <v>289</v>
      </c>
      <c r="D62" s="4" t="s">
        <v>153</v>
      </c>
      <c r="E62" s="5">
        <v>1926</v>
      </c>
      <c r="F62" s="6">
        <v>26.885997</v>
      </c>
      <c r="G62" s="138">
        <v>6.591642E-3</v>
      </c>
      <c r="H62" s="142"/>
    </row>
    <row r="63" spans="1:8" x14ac:dyDescent="0.2">
      <c r="A63" s="3">
        <v>57</v>
      </c>
      <c r="B63" s="4" t="s">
        <v>275</v>
      </c>
      <c r="C63" s="4" t="s">
        <v>276</v>
      </c>
      <c r="D63" s="4" t="s">
        <v>335</v>
      </c>
      <c r="E63" s="5">
        <v>2169</v>
      </c>
      <c r="F63" s="6">
        <v>26.811008999999999</v>
      </c>
      <c r="G63" s="138">
        <v>6.5732580000000002E-3</v>
      </c>
      <c r="H63" s="142"/>
    </row>
    <row r="64" spans="1:8" x14ac:dyDescent="0.2">
      <c r="A64" s="3">
        <v>58</v>
      </c>
      <c r="B64" s="4" t="s">
        <v>468</v>
      </c>
      <c r="C64" s="4" t="s">
        <v>469</v>
      </c>
      <c r="D64" s="4" t="s">
        <v>1024</v>
      </c>
      <c r="E64" s="5">
        <v>25821</v>
      </c>
      <c r="F64" s="6">
        <v>25.201295999999999</v>
      </c>
      <c r="G64" s="138">
        <v>6.1786039999999999E-3</v>
      </c>
      <c r="H64" s="142"/>
    </row>
    <row r="65" spans="1:8" x14ac:dyDescent="0.2">
      <c r="A65" s="3">
        <v>59</v>
      </c>
      <c r="B65" s="4" t="s">
        <v>64</v>
      </c>
      <c r="C65" s="4" t="s">
        <v>65</v>
      </c>
      <c r="D65" s="4" t="s">
        <v>66</v>
      </c>
      <c r="E65" s="5">
        <v>15361</v>
      </c>
      <c r="F65" s="6">
        <v>24.992346999999999</v>
      </c>
      <c r="G65" s="138">
        <v>6.1273760000000004E-3</v>
      </c>
      <c r="H65" s="142"/>
    </row>
    <row r="66" spans="1:8" x14ac:dyDescent="0.2">
      <c r="A66" s="3">
        <v>60</v>
      </c>
      <c r="B66" s="4" t="s">
        <v>261</v>
      </c>
      <c r="C66" s="4" t="s">
        <v>262</v>
      </c>
      <c r="D66" s="4" t="s">
        <v>51</v>
      </c>
      <c r="E66" s="5">
        <v>11000</v>
      </c>
      <c r="F66" s="6">
        <v>24.442</v>
      </c>
      <c r="G66" s="138">
        <v>5.9924469999999997E-3</v>
      </c>
      <c r="H66" s="142"/>
    </row>
    <row r="67" spans="1:8" x14ac:dyDescent="0.2">
      <c r="A67" s="3">
        <v>61</v>
      </c>
      <c r="B67" s="4" t="s">
        <v>219</v>
      </c>
      <c r="C67" s="4" t="s">
        <v>220</v>
      </c>
      <c r="D67" s="4" t="s">
        <v>59</v>
      </c>
      <c r="E67" s="5">
        <v>8751</v>
      </c>
      <c r="F67" s="6">
        <v>21.221174999999999</v>
      </c>
      <c r="G67" s="138">
        <v>5.2027970000000003E-3</v>
      </c>
      <c r="H67" s="142"/>
    </row>
    <row r="68" spans="1:8" x14ac:dyDescent="0.2">
      <c r="A68" s="3">
        <v>62</v>
      </c>
      <c r="B68" s="4" t="s">
        <v>284</v>
      </c>
      <c r="C68" s="4" t="s">
        <v>285</v>
      </c>
      <c r="D68" s="4" t="s">
        <v>164</v>
      </c>
      <c r="E68" s="5">
        <v>3830</v>
      </c>
      <c r="F68" s="6">
        <v>18.385915000000001</v>
      </c>
      <c r="G68" s="138">
        <v>4.5076760000000004E-3</v>
      </c>
      <c r="H68" s="142"/>
    </row>
    <row r="69" spans="1:8" ht="25.5" x14ac:dyDescent="0.2">
      <c r="A69" s="3">
        <v>63</v>
      </c>
      <c r="B69" s="4" t="s">
        <v>70</v>
      </c>
      <c r="C69" s="4" t="s">
        <v>71</v>
      </c>
      <c r="D69" s="4" t="s">
        <v>37</v>
      </c>
      <c r="E69" s="5">
        <v>972</v>
      </c>
      <c r="F69" s="6">
        <v>6.9988859999999997</v>
      </c>
      <c r="G69" s="138">
        <v>1.7159180000000001E-3</v>
      </c>
      <c r="H69" s="142"/>
    </row>
    <row r="70" spans="1:8" x14ac:dyDescent="0.2">
      <c r="A70" s="3">
        <v>64</v>
      </c>
      <c r="B70" s="4" t="s">
        <v>290</v>
      </c>
      <c r="C70" s="4" t="s">
        <v>291</v>
      </c>
      <c r="D70" s="4" t="s">
        <v>153</v>
      </c>
      <c r="E70" s="5">
        <v>821</v>
      </c>
      <c r="F70" s="6">
        <v>5.0282144999999998</v>
      </c>
      <c r="G70" s="138">
        <v>1.232768E-3</v>
      </c>
      <c r="H70" s="142"/>
    </row>
    <row r="71" spans="1:8" x14ac:dyDescent="0.2">
      <c r="A71" s="3">
        <v>65</v>
      </c>
      <c r="B71" s="4" t="s">
        <v>292</v>
      </c>
      <c r="C71" s="4" t="s">
        <v>293</v>
      </c>
      <c r="D71" s="4" t="s">
        <v>24</v>
      </c>
      <c r="E71" s="5">
        <v>7724</v>
      </c>
      <c r="F71" s="6">
        <v>4.8043279999999999</v>
      </c>
      <c r="G71" s="138">
        <v>1.177878E-3</v>
      </c>
      <c r="H71" s="142"/>
    </row>
    <row r="72" spans="1:8" x14ac:dyDescent="0.2">
      <c r="A72" s="3">
        <v>66</v>
      </c>
      <c r="B72" s="4" t="s">
        <v>286</v>
      </c>
      <c r="C72" s="4" t="s">
        <v>287</v>
      </c>
      <c r="D72" s="4" t="s">
        <v>207</v>
      </c>
      <c r="E72" s="5">
        <v>831</v>
      </c>
      <c r="F72" s="6">
        <v>3.0003255000000002</v>
      </c>
      <c r="G72" s="138">
        <v>7.3559000000000005E-4</v>
      </c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9">
        <v>3958.5574354999999</v>
      </c>
      <c r="G73" s="139">
        <v>0.970519888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107</v>
      </c>
      <c r="D75" s="1"/>
      <c r="E75" s="1"/>
      <c r="F75" s="1"/>
      <c r="G75" s="137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108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109</v>
      </c>
      <c r="D81" s="1"/>
      <c r="E81" s="1"/>
      <c r="F81" s="1"/>
      <c r="G81" s="137"/>
      <c r="H81" s="142"/>
    </row>
    <row r="82" spans="1:8" ht="25.5" x14ac:dyDescent="0.2">
      <c r="A82" s="3">
        <v>1</v>
      </c>
      <c r="B82" s="4" t="s">
        <v>294</v>
      </c>
      <c r="C82" s="4" t="s">
        <v>997</v>
      </c>
      <c r="D82" s="4" t="s">
        <v>66</v>
      </c>
      <c r="E82" s="5">
        <v>23010</v>
      </c>
      <c r="F82" s="6">
        <v>8.5482150000000008</v>
      </c>
      <c r="G82" s="138">
        <v>2.0957670000000001E-3</v>
      </c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9">
        <v>8.5482150000000008</v>
      </c>
      <c r="G83" s="139">
        <v>2.0957670000000001E-3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111</v>
      </c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112</v>
      </c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1">
        <v>0</v>
      </c>
      <c r="H89" s="142"/>
    </row>
    <row r="90" spans="1:8" x14ac:dyDescent="0.2">
      <c r="A90" s="1"/>
      <c r="B90" s="1"/>
      <c r="C90" s="11"/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113</v>
      </c>
      <c r="D91" s="1"/>
      <c r="E91" s="1"/>
      <c r="F91" s="9">
        <v>3967.1056505000001</v>
      </c>
      <c r="G91" s="139">
        <v>0.97261565500000002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114</v>
      </c>
      <c r="D93" s="1"/>
      <c r="E93" s="1"/>
      <c r="F93" s="12"/>
      <c r="G93" s="140"/>
      <c r="H93" s="142"/>
    </row>
    <row r="94" spans="1:8" ht="25.5" x14ac:dyDescent="0.2">
      <c r="A94" s="1"/>
      <c r="B94" s="1"/>
      <c r="C94" s="2" t="s">
        <v>10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115</v>
      </c>
      <c r="D97" s="1"/>
      <c r="E97" s="1"/>
      <c r="F97" s="1"/>
      <c r="G97" s="137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116</v>
      </c>
      <c r="D100" s="1"/>
      <c r="E100" s="1"/>
      <c r="F100" s="1"/>
      <c r="G100" s="137"/>
      <c r="H100" s="142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1">
        <v>0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117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118</v>
      </c>
      <c r="D106" s="1"/>
      <c r="E106" s="1"/>
      <c r="F106" s="9">
        <v>0</v>
      </c>
      <c r="G106" s="139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119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120</v>
      </c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121</v>
      </c>
      <c r="D112" s="1"/>
      <c r="E112" s="1"/>
      <c r="F112" s="12"/>
      <c r="G112" s="140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122</v>
      </c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1">
        <v>0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123</v>
      </c>
      <c r="D118" s="1"/>
      <c r="E118" s="1"/>
      <c r="F118" s="12"/>
      <c r="G118" s="140"/>
      <c r="H118" s="142"/>
    </row>
    <row r="119" spans="1:8" x14ac:dyDescent="0.2">
      <c r="A119" s="3">
        <v>1</v>
      </c>
      <c r="B119" s="4"/>
      <c r="C119" s="4" t="s">
        <v>124</v>
      </c>
      <c r="D119" s="4"/>
      <c r="E119" s="8"/>
      <c r="F119" s="6">
        <v>122.2401819</v>
      </c>
      <c r="G119" s="138">
        <v>2.9969637E-2</v>
      </c>
      <c r="H119" s="152">
        <v>3.3197683930276081</v>
      </c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9">
        <v>122.2401819</v>
      </c>
      <c r="G120" s="139">
        <v>2.9969637E-2</v>
      </c>
      <c r="H120" s="142"/>
    </row>
    <row r="121" spans="1:8" x14ac:dyDescent="0.2">
      <c r="A121" s="1"/>
      <c r="B121" s="1"/>
      <c r="C121" s="11"/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125</v>
      </c>
      <c r="D122" s="1"/>
      <c r="E122" s="1"/>
      <c r="F122" s="9">
        <v>122.2401819</v>
      </c>
      <c r="G122" s="139">
        <v>2.9969637E-2</v>
      </c>
      <c r="H122" s="142"/>
    </row>
    <row r="123" spans="1:8" x14ac:dyDescent="0.2">
      <c r="A123" s="1"/>
      <c r="B123" s="1"/>
      <c r="C123" s="12"/>
      <c r="D123" s="1"/>
      <c r="E123" s="1"/>
      <c r="F123" s="1"/>
      <c r="G123" s="137"/>
      <c r="H123" s="142"/>
    </row>
    <row r="124" spans="1:8" x14ac:dyDescent="0.2">
      <c r="A124" s="1"/>
      <c r="B124" s="1"/>
      <c r="C124" s="2" t="s">
        <v>126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127</v>
      </c>
      <c r="D125" s="1"/>
      <c r="E125" s="1"/>
      <c r="F125" s="1"/>
      <c r="G125" s="137"/>
      <c r="H125" s="142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1">
        <v>0</v>
      </c>
      <c r="H126" s="142"/>
    </row>
    <row r="127" spans="1:8" x14ac:dyDescent="0.2">
      <c r="A127" s="1"/>
      <c r="B127" s="1"/>
      <c r="C127" s="11"/>
      <c r="D127" s="1"/>
      <c r="E127" s="1"/>
      <c r="F127" s="12"/>
      <c r="G127" s="140"/>
      <c r="H127" s="142"/>
    </row>
    <row r="128" spans="1:8" x14ac:dyDescent="0.2">
      <c r="A128" s="1"/>
      <c r="B128" s="1"/>
      <c r="C128" s="2" t="s">
        <v>128</v>
      </c>
      <c r="D128" s="1"/>
      <c r="E128" s="1"/>
      <c r="F128" s="1"/>
      <c r="G128" s="137"/>
      <c r="H128" s="142"/>
    </row>
    <row r="129" spans="1:8" x14ac:dyDescent="0.2">
      <c r="A129" s="1"/>
      <c r="B129" s="1"/>
      <c r="C129" s="2" t="s">
        <v>129</v>
      </c>
      <c r="D129" s="1"/>
      <c r="E129" s="1"/>
      <c r="F129" s="1"/>
      <c r="G129" s="137"/>
      <c r="H129" s="142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1">
        <v>0</v>
      </c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x14ac:dyDescent="0.2">
      <c r="A132" s="1"/>
      <c r="B132" s="1"/>
      <c r="C132" s="11"/>
      <c r="D132" s="1"/>
      <c r="E132" s="1"/>
      <c r="F132" s="12"/>
      <c r="G132" s="140"/>
      <c r="H132" s="142"/>
    </row>
    <row r="133" spans="1:8" ht="25.5" x14ac:dyDescent="0.2">
      <c r="A133" s="1"/>
      <c r="B133" s="1"/>
      <c r="C133" s="2" t="s">
        <v>130</v>
      </c>
      <c r="D133" s="1"/>
      <c r="E133" s="1"/>
      <c r="F133" s="12"/>
      <c r="G133" s="140"/>
      <c r="H133" s="142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1">
        <v>0</v>
      </c>
      <c r="H134" s="142"/>
    </row>
    <row r="135" spans="1:8" x14ac:dyDescent="0.2">
      <c r="A135" s="1"/>
      <c r="B135" s="1"/>
      <c r="C135" s="11"/>
      <c r="D135" s="1"/>
      <c r="E135" s="1"/>
      <c r="F135" s="12"/>
      <c r="G135" s="140"/>
      <c r="H135" s="142"/>
    </row>
    <row r="136" spans="1:8" x14ac:dyDescent="0.2">
      <c r="A136" s="1"/>
      <c r="B136" s="4"/>
      <c r="C136" s="4"/>
      <c r="D136" s="2"/>
      <c r="E136" s="1"/>
      <c r="F136" s="4"/>
      <c r="G136" s="143"/>
      <c r="H136" s="142"/>
    </row>
    <row r="137" spans="1:8" x14ac:dyDescent="0.2">
      <c r="A137" s="8"/>
      <c r="B137" s="4"/>
      <c r="C137" s="4" t="s">
        <v>131</v>
      </c>
      <c r="D137" s="4"/>
      <c r="E137" s="8"/>
      <c r="F137" s="6">
        <v>-10.544896809999999</v>
      </c>
      <c r="G137" s="138">
        <v>-2.5852929999999998E-3</v>
      </c>
      <c r="H137" s="142"/>
    </row>
    <row r="138" spans="1:8" x14ac:dyDescent="0.2">
      <c r="A138" s="11"/>
      <c r="B138" s="11"/>
      <c r="C138" s="2" t="s">
        <v>132</v>
      </c>
      <c r="D138" s="15"/>
      <c r="E138" s="15"/>
      <c r="F138" s="9">
        <v>4078.8009355899999</v>
      </c>
      <c r="G138" s="139">
        <v>0.99999999900000003</v>
      </c>
      <c r="H138" s="142"/>
    </row>
    <row r="139" spans="1:8" ht="14.1" customHeight="1" x14ac:dyDescent="0.2">
      <c r="A139" s="16"/>
      <c r="B139" s="16"/>
      <c r="C139" s="16"/>
      <c r="D139" s="17"/>
      <c r="E139" s="17"/>
      <c r="F139" s="17"/>
      <c r="G139" s="17"/>
    </row>
    <row r="140" spans="1:8" ht="14.1" customHeight="1" x14ac:dyDescent="0.2">
      <c r="A140" s="18"/>
      <c r="B140" s="205" t="s">
        <v>106</v>
      </c>
      <c r="C140" s="205"/>
      <c r="D140" s="205"/>
      <c r="E140" s="205"/>
      <c r="F140" s="205"/>
      <c r="G140" s="20"/>
    </row>
    <row r="141" spans="1:8" ht="14.1" customHeight="1" x14ac:dyDescent="0.2">
      <c r="A141" s="18"/>
      <c r="B141" s="205" t="s">
        <v>106</v>
      </c>
      <c r="C141" s="205"/>
      <c r="D141" s="205"/>
      <c r="E141" s="205"/>
      <c r="F141" s="205"/>
      <c r="G141" s="20"/>
    </row>
    <row r="142" spans="1:8" ht="14.1" customHeight="1" x14ac:dyDescent="0.2">
      <c r="A142" s="18"/>
      <c r="B142" s="18"/>
      <c r="C142" s="18"/>
      <c r="D142" s="20"/>
      <c r="E142" s="20"/>
      <c r="F142" s="20"/>
      <c r="G142" s="20"/>
    </row>
    <row r="143" spans="1:8" ht="14.1" customHeight="1" x14ac:dyDescent="0.2">
      <c r="A143" s="18"/>
      <c r="B143" s="203" t="s">
        <v>134</v>
      </c>
      <c r="C143" s="204"/>
      <c r="D143" s="12" t="s">
        <v>106</v>
      </c>
      <c r="E143" s="21"/>
      <c r="F143" s="20"/>
      <c r="G143" s="20"/>
    </row>
    <row r="144" spans="1:8" ht="29.1" customHeight="1" x14ac:dyDescent="0.2">
      <c r="A144" s="18"/>
      <c r="B144" s="199" t="s">
        <v>135</v>
      </c>
      <c r="C144" s="200"/>
      <c r="D144" s="2" t="s">
        <v>136</v>
      </c>
      <c r="E144" s="21"/>
      <c r="F144" s="20"/>
      <c r="G144" s="20"/>
    </row>
    <row r="145" spans="1:7" ht="17.100000000000001" customHeight="1" x14ac:dyDescent="0.2">
      <c r="A145" s="18"/>
      <c r="B145" s="199" t="s">
        <v>137</v>
      </c>
      <c r="C145" s="200"/>
      <c r="D145" s="2" t="s">
        <v>136</v>
      </c>
      <c r="E145" s="21"/>
      <c r="F145" s="20"/>
      <c r="G145" s="20"/>
    </row>
    <row r="146" spans="1:7" ht="17.100000000000001" customHeight="1" x14ac:dyDescent="0.2">
      <c r="A146" s="18"/>
      <c r="B146" s="199" t="s">
        <v>138</v>
      </c>
      <c r="C146" s="200"/>
      <c r="D146" s="12" t="s">
        <v>106</v>
      </c>
      <c r="E146" s="21"/>
      <c r="F146" s="20"/>
      <c r="G146" s="20"/>
    </row>
    <row r="147" spans="1:7" ht="24" customHeight="1" x14ac:dyDescent="0.2">
      <c r="A147" s="22"/>
      <c r="B147" s="23" t="s">
        <v>106</v>
      </c>
      <c r="C147" s="23" t="s">
        <v>139</v>
      </c>
      <c r="D147" s="23" t="s">
        <v>140</v>
      </c>
      <c r="E147" s="22"/>
      <c r="F147" s="22"/>
      <c r="G147" s="22"/>
    </row>
    <row r="148" spans="1:7" ht="18" customHeight="1" x14ac:dyDescent="0.2">
      <c r="A148" s="22"/>
      <c r="B148" s="23" t="s">
        <v>141</v>
      </c>
      <c r="C148" s="23" t="s">
        <v>142</v>
      </c>
      <c r="D148" s="23" t="s">
        <v>143</v>
      </c>
      <c r="E148" s="22"/>
      <c r="F148" s="22"/>
      <c r="G148" s="22"/>
    </row>
    <row r="149" spans="1:7" x14ac:dyDescent="0.2">
      <c r="A149" s="22"/>
      <c r="B149" s="4" t="s">
        <v>144</v>
      </c>
      <c r="C149" s="24">
        <v>14.841200000000001</v>
      </c>
      <c r="D149" s="24">
        <v>15.694800000000001</v>
      </c>
      <c r="E149" s="22"/>
      <c r="F149" s="19"/>
      <c r="G149" s="25"/>
    </row>
    <row r="150" spans="1:7" x14ac:dyDescent="0.2">
      <c r="A150" s="22"/>
      <c r="B150" s="4" t="s">
        <v>1019</v>
      </c>
      <c r="C150" s="24">
        <v>14.841200000000001</v>
      </c>
      <c r="D150" s="24">
        <v>15.694800000000001</v>
      </c>
      <c r="E150" s="22"/>
      <c r="F150" s="19"/>
      <c r="G150" s="25"/>
    </row>
    <row r="151" spans="1:7" x14ac:dyDescent="0.2">
      <c r="A151" s="22"/>
      <c r="B151" s="4" t="s">
        <v>145</v>
      </c>
      <c r="C151" s="24">
        <v>14.554500000000001</v>
      </c>
      <c r="D151" s="24">
        <v>15.389099999999999</v>
      </c>
      <c r="E151" s="22"/>
      <c r="F151" s="19"/>
      <c r="G151" s="25"/>
    </row>
    <row r="152" spans="1:7" x14ac:dyDescent="0.2">
      <c r="A152" s="22"/>
      <c r="B152" s="4" t="s">
        <v>1020</v>
      </c>
      <c r="C152" s="24">
        <v>14.554500000000001</v>
      </c>
      <c r="D152" s="24">
        <v>15.389099999999999</v>
      </c>
      <c r="E152" s="22"/>
      <c r="F152" s="19"/>
      <c r="G152" s="25"/>
    </row>
    <row r="153" spans="1:7" ht="14.1" customHeight="1" x14ac:dyDescent="0.2">
      <c r="A153" s="22"/>
      <c r="B153" s="22"/>
      <c r="C153" s="22"/>
      <c r="D153" s="22"/>
      <c r="E153" s="22"/>
      <c r="F153" s="22"/>
      <c r="G153" s="22"/>
    </row>
    <row r="154" spans="1:7" ht="17.100000000000001" customHeight="1" x14ac:dyDescent="0.2">
      <c r="A154" s="22"/>
      <c r="B154" s="199" t="s">
        <v>1021</v>
      </c>
      <c r="C154" s="200"/>
      <c r="D154" s="2" t="s">
        <v>136</v>
      </c>
      <c r="E154" s="22"/>
      <c r="F154" s="22"/>
      <c r="G154" s="22"/>
    </row>
    <row r="155" spans="1:7" ht="18" customHeight="1" x14ac:dyDescent="0.2">
      <c r="A155" s="22"/>
      <c r="B155" s="26"/>
      <c r="C155" s="26"/>
      <c r="D155" s="27"/>
      <c r="E155" s="22"/>
      <c r="F155" s="22"/>
      <c r="G155" s="22"/>
    </row>
    <row r="156" spans="1:7" s="125" customFormat="1" x14ac:dyDescent="0.2">
      <c r="B156" s="201" t="s">
        <v>825</v>
      </c>
      <c r="C156" s="201"/>
      <c r="D156" s="201"/>
      <c r="E156" s="201"/>
      <c r="F156" s="201"/>
    </row>
    <row r="157" spans="1:7" ht="14.1" customHeight="1" x14ac:dyDescent="0.2">
      <c r="A157" s="22"/>
      <c r="B157" s="19"/>
      <c r="C157" s="19"/>
      <c r="D157" s="22"/>
      <c r="E157" s="22"/>
      <c r="F157" s="22"/>
      <c r="G157" s="22"/>
    </row>
    <row r="158" spans="1:7" ht="29.1" customHeight="1" x14ac:dyDescent="0.2">
      <c r="A158" s="22"/>
      <c r="B158" s="199" t="s">
        <v>146</v>
      </c>
      <c r="C158" s="200"/>
      <c r="D158" s="2" t="s">
        <v>136</v>
      </c>
      <c r="E158" s="22"/>
      <c r="F158" s="22"/>
      <c r="G158" s="22"/>
    </row>
    <row r="159" spans="1:7" ht="29.1" customHeight="1" x14ac:dyDescent="0.2">
      <c r="A159" s="22"/>
      <c r="B159" s="199" t="s">
        <v>147</v>
      </c>
      <c r="C159" s="200"/>
      <c r="D159" s="2" t="s">
        <v>136</v>
      </c>
      <c r="E159" s="22"/>
      <c r="F159" s="22"/>
      <c r="G159" s="22"/>
    </row>
    <row r="160" spans="1:7" ht="17.100000000000001" customHeight="1" x14ac:dyDescent="0.2">
      <c r="A160" s="22"/>
      <c r="B160" s="199" t="s">
        <v>148</v>
      </c>
      <c r="C160" s="200"/>
      <c r="D160" s="28">
        <v>0.33755139212242835</v>
      </c>
      <c r="E160" s="22"/>
      <c r="F160" s="19"/>
      <c r="G160" s="25"/>
    </row>
    <row r="161" spans="1:7" ht="17.100000000000001" customHeight="1" x14ac:dyDescent="0.2">
      <c r="A161" s="22"/>
      <c r="B161" s="199" t="s">
        <v>149</v>
      </c>
      <c r="C161" s="200"/>
      <c r="D161" s="2" t="s">
        <v>136</v>
      </c>
      <c r="E161" s="22"/>
      <c r="F161" s="22"/>
      <c r="G161" s="22"/>
    </row>
  </sheetData>
  <mergeCells count="16">
    <mergeCell ref="J2:N2"/>
    <mergeCell ref="B143:C143"/>
    <mergeCell ref="B140:F140"/>
    <mergeCell ref="B141:F141"/>
    <mergeCell ref="A1:H1"/>
    <mergeCell ref="A2:H2"/>
    <mergeCell ref="A3:H3"/>
    <mergeCell ref="B160:C160"/>
    <mergeCell ref="B161:C161"/>
    <mergeCell ref="B144:C144"/>
    <mergeCell ref="B145:C145"/>
    <mergeCell ref="B146:C146"/>
    <mergeCell ref="B154:C154"/>
    <mergeCell ref="B158:C158"/>
    <mergeCell ref="B159:C159"/>
    <mergeCell ref="B156:F15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N163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512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154</v>
      </c>
      <c r="C7" s="4" t="s">
        <v>155</v>
      </c>
      <c r="D7" s="4" t="s">
        <v>27</v>
      </c>
      <c r="E7" s="5">
        <v>17182</v>
      </c>
      <c r="F7" s="6">
        <v>159.29432199999999</v>
      </c>
      <c r="G7" s="138">
        <v>3.7516233000000003E-2</v>
      </c>
      <c r="H7" s="142"/>
    </row>
    <row r="8" spans="1:14" x14ac:dyDescent="0.2">
      <c r="A8" s="3">
        <v>2</v>
      </c>
      <c r="B8" s="4" t="s">
        <v>156</v>
      </c>
      <c r="C8" s="4" t="s">
        <v>157</v>
      </c>
      <c r="D8" s="4" t="s">
        <v>1024</v>
      </c>
      <c r="E8" s="5">
        <v>11809</v>
      </c>
      <c r="F8" s="6">
        <v>156.20354750000001</v>
      </c>
      <c r="G8" s="138">
        <v>3.6788307999999999E-2</v>
      </c>
      <c r="H8" s="142"/>
    </row>
    <row r="9" spans="1:14" x14ac:dyDescent="0.2">
      <c r="A9" s="3">
        <v>3</v>
      </c>
      <c r="B9" s="4" t="s">
        <v>165</v>
      </c>
      <c r="C9" s="4" t="s">
        <v>166</v>
      </c>
      <c r="D9" s="4" t="s">
        <v>51</v>
      </c>
      <c r="E9" s="5">
        <v>25103</v>
      </c>
      <c r="F9" s="6">
        <v>118.64932949999999</v>
      </c>
      <c r="G9" s="138">
        <v>2.7943718999999999E-2</v>
      </c>
      <c r="H9" s="142"/>
    </row>
    <row r="10" spans="1:14" x14ac:dyDescent="0.2">
      <c r="A10" s="3">
        <v>4</v>
      </c>
      <c r="B10" s="4" t="s">
        <v>158</v>
      </c>
      <c r="C10" s="4" t="s">
        <v>159</v>
      </c>
      <c r="D10" s="4" t="s">
        <v>80</v>
      </c>
      <c r="E10" s="5">
        <v>97935</v>
      </c>
      <c r="F10" s="6">
        <v>118.50135</v>
      </c>
      <c r="G10" s="138">
        <v>2.7908868E-2</v>
      </c>
      <c r="H10" s="142"/>
    </row>
    <row r="11" spans="1:14" x14ac:dyDescent="0.2">
      <c r="A11" s="3">
        <v>5</v>
      </c>
      <c r="B11" s="4" t="s">
        <v>160</v>
      </c>
      <c r="C11" s="4" t="s">
        <v>161</v>
      </c>
      <c r="D11" s="4" t="s">
        <v>27</v>
      </c>
      <c r="E11" s="5">
        <v>14589</v>
      </c>
      <c r="F11" s="6">
        <v>116.28891900000001</v>
      </c>
      <c r="G11" s="138">
        <v>2.7387807E-2</v>
      </c>
      <c r="H11" s="142"/>
    </row>
    <row r="12" spans="1:14" x14ac:dyDescent="0.2">
      <c r="A12" s="3">
        <v>6</v>
      </c>
      <c r="B12" s="4" t="s">
        <v>151</v>
      </c>
      <c r="C12" s="4" t="s">
        <v>152</v>
      </c>
      <c r="D12" s="4" t="s">
        <v>153</v>
      </c>
      <c r="E12" s="5">
        <v>3069</v>
      </c>
      <c r="F12" s="6">
        <v>113.08497749999999</v>
      </c>
      <c r="G12" s="138">
        <v>2.6633230000000001E-2</v>
      </c>
      <c r="H12" s="142"/>
    </row>
    <row r="13" spans="1:14" x14ac:dyDescent="0.2">
      <c r="A13" s="3">
        <v>7</v>
      </c>
      <c r="B13" s="4" t="s">
        <v>474</v>
      </c>
      <c r="C13" s="4" t="s">
        <v>475</v>
      </c>
      <c r="D13" s="4" t="s">
        <v>207</v>
      </c>
      <c r="E13" s="5">
        <v>17233</v>
      </c>
      <c r="F13" s="6">
        <v>103.99253849999999</v>
      </c>
      <c r="G13" s="138">
        <v>2.4491822999999999E-2</v>
      </c>
      <c r="H13" s="142"/>
    </row>
    <row r="14" spans="1:14" x14ac:dyDescent="0.2">
      <c r="A14" s="3">
        <v>8</v>
      </c>
      <c r="B14" s="4" t="s">
        <v>299</v>
      </c>
      <c r="C14" s="4" t="s">
        <v>300</v>
      </c>
      <c r="D14" s="4" t="s">
        <v>66</v>
      </c>
      <c r="E14" s="5">
        <v>5508</v>
      </c>
      <c r="F14" s="6">
        <v>102.815082</v>
      </c>
      <c r="G14" s="138">
        <v>2.4214513999999999E-2</v>
      </c>
      <c r="H14" s="142"/>
    </row>
    <row r="15" spans="1:14" ht="15" x14ac:dyDescent="0.2">
      <c r="A15" s="3">
        <v>9</v>
      </c>
      <c r="B15" s="4" t="s">
        <v>179</v>
      </c>
      <c r="C15" s="4" t="s">
        <v>180</v>
      </c>
      <c r="D15" s="4" t="s">
        <v>181</v>
      </c>
      <c r="E15" s="5">
        <v>36249</v>
      </c>
      <c r="F15" s="6">
        <v>89.680025999999998</v>
      </c>
      <c r="G15" s="138">
        <v>2.1121008E-2</v>
      </c>
      <c r="H15" s="142"/>
      <c r="J15" s="163" t="s">
        <v>1039</v>
      </c>
    </row>
    <row r="16" spans="1:14" x14ac:dyDescent="0.2">
      <c r="A16" s="3">
        <v>10</v>
      </c>
      <c r="B16" s="4" t="s">
        <v>214</v>
      </c>
      <c r="C16" s="4" t="s">
        <v>215</v>
      </c>
      <c r="D16" s="4" t="s">
        <v>216</v>
      </c>
      <c r="E16" s="5">
        <v>32633</v>
      </c>
      <c r="F16" s="6">
        <v>88.875975499999996</v>
      </c>
      <c r="G16" s="138">
        <v>2.0931642E-2</v>
      </c>
      <c r="H16" s="142"/>
    </row>
    <row r="17" spans="1:8" x14ac:dyDescent="0.2">
      <c r="A17" s="3">
        <v>11</v>
      </c>
      <c r="B17" s="4" t="s">
        <v>52</v>
      </c>
      <c r="C17" s="4" t="s">
        <v>53</v>
      </c>
      <c r="D17" s="4" t="s">
        <v>51</v>
      </c>
      <c r="E17" s="5">
        <v>28642</v>
      </c>
      <c r="F17" s="6">
        <v>88.689953000000003</v>
      </c>
      <c r="G17" s="138">
        <v>2.0887830999999999E-2</v>
      </c>
      <c r="H17" s="142"/>
    </row>
    <row r="18" spans="1:8" x14ac:dyDescent="0.2">
      <c r="A18" s="3">
        <v>12</v>
      </c>
      <c r="B18" s="4" t="s">
        <v>176</v>
      </c>
      <c r="C18" s="4" t="s">
        <v>177</v>
      </c>
      <c r="D18" s="4" t="s">
        <v>1026</v>
      </c>
      <c r="E18" s="5">
        <v>22539</v>
      </c>
      <c r="F18" s="6">
        <v>88.634617500000004</v>
      </c>
      <c r="G18" s="138">
        <v>2.0874798999999999E-2</v>
      </c>
      <c r="H18" s="142"/>
    </row>
    <row r="19" spans="1:8" x14ac:dyDescent="0.2">
      <c r="A19" s="3">
        <v>13</v>
      </c>
      <c r="B19" s="4" t="s">
        <v>162</v>
      </c>
      <c r="C19" s="4" t="s">
        <v>163</v>
      </c>
      <c r="D19" s="4" t="s">
        <v>164</v>
      </c>
      <c r="E19" s="5">
        <v>25859</v>
      </c>
      <c r="F19" s="6">
        <v>88.373132499999997</v>
      </c>
      <c r="G19" s="138">
        <v>2.0813214999999999E-2</v>
      </c>
      <c r="H19" s="142"/>
    </row>
    <row r="20" spans="1:8" x14ac:dyDescent="0.2">
      <c r="A20" s="3">
        <v>14</v>
      </c>
      <c r="B20" s="4" t="s">
        <v>169</v>
      </c>
      <c r="C20" s="4" t="s">
        <v>170</v>
      </c>
      <c r="D20" s="4" t="s">
        <v>164</v>
      </c>
      <c r="E20" s="5">
        <v>2353</v>
      </c>
      <c r="F20" s="6">
        <v>87.444539000000006</v>
      </c>
      <c r="G20" s="138">
        <v>2.0594517E-2</v>
      </c>
      <c r="H20" s="142"/>
    </row>
    <row r="21" spans="1:8" ht="25.5" x14ac:dyDescent="0.2">
      <c r="A21" s="3">
        <v>15</v>
      </c>
      <c r="B21" s="4" t="s">
        <v>193</v>
      </c>
      <c r="C21" s="4" t="s">
        <v>194</v>
      </c>
      <c r="D21" s="4" t="s">
        <v>37</v>
      </c>
      <c r="E21" s="5">
        <v>69803</v>
      </c>
      <c r="F21" s="6">
        <v>85.822788500000001</v>
      </c>
      <c r="G21" s="138">
        <v>2.0212569999999999E-2</v>
      </c>
      <c r="H21" s="142"/>
    </row>
    <row r="22" spans="1:8" ht="25.5" x14ac:dyDescent="0.2">
      <c r="A22" s="3">
        <v>16</v>
      </c>
      <c r="B22" s="4" t="s">
        <v>217</v>
      </c>
      <c r="C22" s="4" t="s">
        <v>218</v>
      </c>
      <c r="D22" s="4" t="s">
        <v>90</v>
      </c>
      <c r="E22" s="5">
        <v>18670</v>
      </c>
      <c r="F22" s="6">
        <v>85.237885000000006</v>
      </c>
      <c r="G22" s="138">
        <v>2.0074816999999998E-2</v>
      </c>
      <c r="H22" s="142"/>
    </row>
    <row r="23" spans="1:8" ht="25.5" x14ac:dyDescent="0.2">
      <c r="A23" s="3">
        <v>17</v>
      </c>
      <c r="B23" s="4" t="s">
        <v>30</v>
      </c>
      <c r="C23" s="4" t="s">
        <v>31</v>
      </c>
      <c r="D23" s="4" t="s">
        <v>1023</v>
      </c>
      <c r="E23" s="5">
        <v>2709</v>
      </c>
      <c r="F23" s="6">
        <v>84.188947499999998</v>
      </c>
      <c r="G23" s="138">
        <v>1.9827775999999998E-2</v>
      </c>
      <c r="H23" s="142"/>
    </row>
    <row r="24" spans="1:8" x14ac:dyDescent="0.2">
      <c r="A24" s="3">
        <v>18</v>
      </c>
      <c r="B24" s="4" t="s">
        <v>171</v>
      </c>
      <c r="C24" s="4" t="s">
        <v>172</v>
      </c>
      <c r="D24" s="4" t="s">
        <v>173</v>
      </c>
      <c r="E24" s="5">
        <v>8890</v>
      </c>
      <c r="F24" s="6">
        <v>83.872704999999996</v>
      </c>
      <c r="G24" s="138">
        <v>1.9753296E-2</v>
      </c>
      <c r="H24" s="142"/>
    </row>
    <row r="25" spans="1:8" x14ac:dyDescent="0.2">
      <c r="A25" s="3">
        <v>19</v>
      </c>
      <c r="B25" s="4" t="s">
        <v>44</v>
      </c>
      <c r="C25" s="4" t="s">
        <v>45</v>
      </c>
      <c r="D25" s="4" t="s">
        <v>27</v>
      </c>
      <c r="E25" s="5">
        <v>6666</v>
      </c>
      <c r="F25" s="6">
        <v>81.405192</v>
      </c>
      <c r="G25" s="138">
        <v>1.9172159000000001E-2</v>
      </c>
      <c r="H25" s="142"/>
    </row>
    <row r="26" spans="1:8" x14ac:dyDescent="0.2">
      <c r="A26" s="3">
        <v>20</v>
      </c>
      <c r="B26" s="4" t="s">
        <v>205</v>
      </c>
      <c r="C26" s="4" t="s">
        <v>206</v>
      </c>
      <c r="D26" s="4" t="s">
        <v>207</v>
      </c>
      <c r="E26" s="5">
        <v>17769</v>
      </c>
      <c r="F26" s="6">
        <v>79.827232499999994</v>
      </c>
      <c r="G26" s="138">
        <v>1.8800526000000001E-2</v>
      </c>
      <c r="H26" s="142"/>
    </row>
    <row r="27" spans="1:8" x14ac:dyDescent="0.2">
      <c r="A27" s="3">
        <v>21</v>
      </c>
      <c r="B27" s="4" t="s">
        <v>210</v>
      </c>
      <c r="C27" s="4" t="s">
        <v>211</v>
      </c>
      <c r="D27" s="4" t="s">
        <v>34</v>
      </c>
      <c r="E27" s="5">
        <v>19575</v>
      </c>
      <c r="F27" s="6">
        <v>79.122150000000005</v>
      </c>
      <c r="G27" s="138">
        <v>1.8634468000000001E-2</v>
      </c>
      <c r="H27" s="142"/>
    </row>
    <row r="28" spans="1:8" ht="25.5" x14ac:dyDescent="0.2">
      <c r="A28" s="3">
        <v>22</v>
      </c>
      <c r="B28" s="4" t="s">
        <v>458</v>
      </c>
      <c r="C28" s="4" t="s">
        <v>459</v>
      </c>
      <c r="D28" s="4" t="s">
        <v>37</v>
      </c>
      <c r="E28" s="5">
        <v>5634</v>
      </c>
      <c r="F28" s="6">
        <v>76.028013000000001</v>
      </c>
      <c r="G28" s="138">
        <v>1.7905752E-2</v>
      </c>
      <c r="H28" s="142"/>
    </row>
    <row r="29" spans="1:8" x14ac:dyDescent="0.2">
      <c r="A29" s="3">
        <v>23</v>
      </c>
      <c r="B29" s="4" t="s">
        <v>49</v>
      </c>
      <c r="C29" s="4" t="s">
        <v>50</v>
      </c>
      <c r="D29" s="4" t="s">
        <v>51</v>
      </c>
      <c r="E29" s="5">
        <v>2279</v>
      </c>
      <c r="F29" s="6">
        <v>74.379722999999998</v>
      </c>
      <c r="G29" s="138">
        <v>1.7517555000000001E-2</v>
      </c>
      <c r="H29" s="142"/>
    </row>
    <row r="30" spans="1:8" x14ac:dyDescent="0.2">
      <c r="A30" s="3">
        <v>24</v>
      </c>
      <c r="B30" s="4" t="s">
        <v>74</v>
      </c>
      <c r="C30" s="4" t="s">
        <v>75</v>
      </c>
      <c r="D30" s="4" t="s">
        <v>66</v>
      </c>
      <c r="E30" s="5">
        <v>17357</v>
      </c>
      <c r="F30" s="6">
        <v>71.163700000000006</v>
      </c>
      <c r="G30" s="138">
        <v>1.6760132000000001E-2</v>
      </c>
      <c r="H30" s="142"/>
    </row>
    <row r="31" spans="1:8" x14ac:dyDescent="0.2">
      <c r="A31" s="3">
        <v>25</v>
      </c>
      <c r="B31" s="4" t="s">
        <v>221</v>
      </c>
      <c r="C31" s="4" t="s">
        <v>222</v>
      </c>
      <c r="D31" s="4" t="s">
        <v>207</v>
      </c>
      <c r="E31" s="5">
        <v>11300</v>
      </c>
      <c r="F31" s="6">
        <v>69.658850000000001</v>
      </c>
      <c r="G31" s="138">
        <v>1.6405717E-2</v>
      </c>
      <c r="H31" s="142"/>
    </row>
    <row r="32" spans="1:8" x14ac:dyDescent="0.2">
      <c r="A32" s="3">
        <v>26</v>
      </c>
      <c r="B32" s="4" t="s">
        <v>201</v>
      </c>
      <c r="C32" s="4" t="s">
        <v>202</v>
      </c>
      <c r="D32" s="4" t="s">
        <v>80</v>
      </c>
      <c r="E32" s="5">
        <v>10036</v>
      </c>
      <c r="F32" s="6">
        <v>68.927248000000006</v>
      </c>
      <c r="G32" s="138">
        <v>1.6233414000000002E-2</v>
      </c>
      <c r="H32" s="142"/>
    </row>
    <row r="33" spans="1:8" x14ac:dyDescent="0.2">
      <c r="A33" s="3">
        <v>27</v>
      </c>
      <c r="B33" s="4" t="s">
        <v>203</v>
      </c>
      <c r="C33" s="4" t="s">
        <v>204</v>
      </c>
      <c r="D33" s="4" t="s">
        <v>80</v>
      </c>
      <c r="E33" s="5">
        <v>11616</v>
      </c>
      <c r="F33" s="6">
        <v>68.546015999999995</v>
      </c>
      <c r="G33" s="138">
        <v>1.6143628E-2</v>
      </c>
      <c r="H33" s="142"/>
    </row>
    <row r="34" spans="1:8" x14ac:dyDescent="0.2">
      <c r="A34" s="3">
        <v>28</v>
      </c>
      <c r="B34" s="4" t="s">
        <v>197</v>
      </c>
      <c r="C34" s="4" t="s">
        <v>198</v>
      </c>
      <c r="D34" s="4" t="s">
        <v>51</v>
      </c>
      <c r="E34" s="5">
        <v>6426</v>
      </c>
      <c r="F34" s="6">
        <v>65.908269000000004</v>
      </c>
      <c r="G34" s="138">
        <v>1.5522398999999999E-2</v>
      </c>
      <c r="H34" s="142"/>
    </row>
    <row r="35" spans="1:8" x14ac:dyDescent="0.2">
      <c r="A35" s="3">
        <v>29</v>
      </c>
      <c r="B35" s="4" t="s">
        <v>212</v>
      </c>
      <c r="C35" s="4" t="s">
        <v>213</v>
      </c>
      <c r="D35" s="4" t="s">
        <v>1027</v>
      </c>
      <c r="E35" s="5">
        <v>7019</v>
      </c>
      <c r="F35" s="6">
        <v>64.308077999999995</v>
      </c>
      <c r="G35" s="138">
        <v>1.5145529E-2</v>
      </c>
      <c r="H35" s="142"/>
    </row>
    <row r="36" spans="1:8" x14ac:dyDescent="0.2">
      <c r="A36" s="3">
        <v>30</v>
      </c>
      <c r="B36" s="4" t="s">
        <v>302</v>
      </c>
      <c r="C36" s="4" t="s">
        <v>303</v>
      </c>
      <c r="D36" s="4" t="s">
        <v>27</v>
      </c>
      <c r="E36" s="5">
        <v>9335</v>
      </c>
      <c r="F36" s="6">
        <v>63.534010000000002</v>
      </c>
      <c r="G36" s="138">
        <v>1.4963224000000001E-2</v>
      </c>
      <c r="H36" s="142"/>
    </row>
    <row r="37" spans="1:8" x14ac:dyDescent="0.2">
      <c r="A37" s="3">
        <v>31</v>
      </c>
      <c r="B37" s="4" t="s">
        <v>199</v>
      </c>
      <c r="C37" s="4" t="s">
        <v>200</v>
      </c>
      <c r="D37" s="4" t="s">
        <v>164</v>
      </c>
      <c r="E37" s="5">
        <v>5785</v>
      </c>
      <c r="F37" s="6">
        <v>61.480087500000003</v>
      </c>
      <c r="G37" s="138">
        <v>1.4479495E-2</v>
      </c>
      <c r="H37" s="142"/>
    </row>
    <row r="38" spans="1:8" x14ac:dyDescent="0.2">
      <c r="A38" s="3">
        <v>32</v>
      </c>
      <c r="B38" s="4" t="s">
        <v>223</v>
      </c>
      <c r="C38" s="4" t="s">
        <v>224</v>
      </c>
      <c r="D38" s="4" t="s">
        <v>66</v>
      </c>
      <c r="E38" s="5">
        <v>6312</v>
      </c>
      <c r="F38" s="6">
        <v>60.497363999999997</v>
      </c>
      <c r="G38" s="138">
        <v>1.4248047999999999E-2</v>
      </c>
      <c r="H38" s="142"/>
    </row>
    <row r="39" spans="1:8" x14ac:dyDescent="0.2">
      <c r="A39" s="3">
        <v>33</v>
      </c>
      <c r="B39" s="4" t="s">
        <v>246</v>
      </c>
      <c r="C39" s="4" t="s">
        <v>247</v>
      </c>
      <c r="D39" s="4" t="s">
        <v>80</v>
      </c>
      <c r="E39" s="5">
        <v>108798</v>
      </c>
      <c r="F39" s="6">
        <v>59.784500999999999</v>
      </c>
      <c r="G39" s="138">
        <v>1.4080158000000001E-2</v>
      </c>
      <c r="H39" s="142"/>
    </row>
    <row r="40" spans="1:8" x14ac:dyDescent="0.2">
      <c r="A40" s="3">
        <v>34</v>
      </c>
      <c r="B40" s="4" t="s">
        <v>225</v>
      </c>
      <c r="C40" s="4" t="s">
        <v>226</v>
      </c>
      <c r="D40" s="4" t="s">
        <v>1028</v>
      </c>
      <c r="E40" s="5">
        <v>10181</v>
      </c>
      <c r="F40" s="6">
        <v>57.655003000000001</v>
      </c>
      <c r="G40" s="138">
        <v>1.3578629E-2</v>
      </c>
      <c r="H40" s="142"/>
    </row>
    <row r="41" spans="1:8" x14ac:dyDescent="0.2">
      <c r="A41" s="3">
        <v>35</v>
      </c>
      <c r="B41" s="4" t="s">
        <v>296</v>
      </c>
      <c r="C41" s="4" t="s">
        <v>297</v>
      </c>
      <c r="D41" s="4" t="s">
        <v>27</v>
      </c>
      <c r="E41" s="5">
        <v>4326</v>
      </c>
      <c r="F41" s="6">
        <v>52.932935999999998</v>
      </c>
      <c r="G41" s="138">
        <v>1.2466511E-2</v>
      </c>
      <c r="H41" s="142"/>
    </row>
    <row r="42" spans="1:8" x14ac:dyDescent="0.2">
      <c r="A42" s="3">
        <v>36</v>
      </c>
      <c r="B42" s="4" t="s">
        <v>227</v>
      </c>
      <c r="C42" s="4" t="s">
        <v>228</v>
      </c>
      <c r="D42" s="4" t="s">
        <v>66</v>
      </c>
      <c r="E42" s="5">
        <v>50979</v>
      </c>
      <c r="F42" s="6">
        <v>50.1888255</v>
      </c>
      <c r="G42" s="138">
        <v>1.1820231E-2</v>
      </c>
      <c r="H42" s="142"/>
    </row>
    <row r="43" spans="1:8" x14ac:dyDescent="0.2">
      <c r="A43" s="3">
        <v>37</v>
      </c>
      <c r="B43" s="4" t="s">
        <v>241</v>
      </c>
      <c r="C43" s="4" t="s">
        <v>242</v>
      </c>
      <c r="D43" s="4" t="s">
        <v>243</v>
      </c>
      <c r="E43" s="5">
        <v>9975</v>
      </c>
      <c r="F43" s="6">
        <v>49.3962</v>
      </c>
      <c r="G43" s="138">
        <v>1.1633555E-2</v>
      </c>
      <c r="H43" s="142"/>
    </row>
    <row r="44" spans="1:8" x14ac:dyDescent="0.2">
      <c r="A44" s="3">
        <v>38</v>
      </c>
      <c r="B44" s="4" t="s">
        <v>235</v>
      </c>
      <c r="C44" s="4" t="s">
        <v>236</v>
      </c>
      <c r="D44" s="4" t="s">
        <v>27</v>
      </c>
      <c r="E44" s="5">
        <v>2911</v>
      </c>
      <c r="F44" s="6">
        <v>49.339994500000003</v>
      </c>
      <c r="G44" s="138">
        <v>1.1620317999999999E-2</v>
      </c>
      <c r="H44" s="142"/>
    </row>
    <row r="45" spans="1:8" ht="25.5" x14ac:dyDescent="0.2">
      <c r="A45" s="3">
        <v>39</v>
      </c>
      <c r="B45" s="4" t="s">
        <v>244</v>
      </c>
      <c r="C45" s="4" t="s">
        <v>245</v>
      </c>
      <c r="D45" s="4" t="s">
        <v>1029</v>
      </c>
      <c r="E45" s="5">
        <v>44136</v>
      </c>
      <c r="F45" s="6">
        <v>49.277844000000002</v>
      </c>
      <c r="G45" s="138">
        <v>1.1605681E-2</v>
      </c>
      <c r="H45" s="142"/>
    </row>
    <row r="46" spans="1:8" ht="25.5" x14ac:dyDescent="0.2">
      <c r="A46" s="3">
        <v>40</v>
      </c>
      <c r="B46" s="4" t="s">
        <v>231</v>
      </c>
      <c r="C46" s="4" t="s">
        <v>232</v>
      </c>
      <c r="D46" s="4" t="s">
        <v>51</v>
      </c>
      <c r="E46" s="5">
        <v>2285</v>
      </c>
      <c r="F46" s="6">
        <v>48.9869725</v>
      </c>
      <c r="G46" s="138">
        <v>1.1537176E-2</v>
      </c>
      <c r="H46" s="142"/>
    </row>
    <row r="47" spans="1:8" x14ac:dyDescent="0.2">
      <c r="A47" s="3">
        <v>41</v>
      </c>
      <c r="B47" s="4" t="s">
        <v>257</v>
      </c>
      <c r="C47" s="4" t="s">
        <v>258</v>
      </c>
      <c r="D47" s="4" t="s">
        <v>173</v>
      </c>
      <c r="E47" s="5">
        <v>13354</v>
      </c>
      <c r="F47" s="6">
        <v>46.738999999999997</v>
      </c>
      <c r="G47" s="138">
        <v>1.1007744999999999E-2</v>
      </c>
      <c r="H47" s="142"/>
    </row>
    <row r="48" spans="1:8" x14ac:dyDescent="0.2">
      <c r="A48" s="3">
        <v>42</v>
      </c>
      <c r="B48" s="4" t="s">
        <v>271</v>
      </c>
      <c r="C48" s="4" t="s">
        <v>272</v>
      </c>
      <c r="D48" s="4" t="s">
        <v>1028</v>
      </c>
      <c r="E48" s="5">
        <v>32152</v>
      </c>
      <c r="F48" s="6">
        <v>46.716856</v>
      </c>
      <c r="G48" s="138">
        <v>1.1002529E-2</v>
      </c>
      <c r="H48" s="142"/>
    </row>
    <row r="49" spans="1:8" ht="25.5" x14ac:dyDescent="0.2">
      <c r="A49" s="3">
        <v>43</v>
      </c>
      <c r="B49" s="4" t="s">
        <v>255</v>
      </c>
      <c r="C49" s="4" t="s">
        <v>256</v>
      </c>
      <c r="D49" s="4" t="s">
        <v>90</v>
      </c>
      <c r="E49" s="5">
        <v>12063</v>
      </c>
      <c r="F49" s="6">
        <v>46.3882665</v>
      </c>
      <c r="G49" s="138">
        <v>1.0925140999999999E-2</v>
      </c>
      <c r="H49" s="142"/>
    </row>
    <row r="50" spans="1:8" ht="25.5" x14ac:dyDescent="0.2">
      <c r="A50" s="3">
        <v>44</v>
      </c>
      <c r="B50" s="4" t="s">
        <v>252</v>
      </c>
      <c r="C50" s="4" t="s">
        <v>253</v>
      </c>
      <c r="D50" s="4" t="s">
        <v>90</v>
      </c>
      <c r="E50" s="5">
        <v>11006</v>
      </c>
      <c r="F50" s="6">
        <v>46.302242</v>
      </c>
      <c r="G50" s="138">
        <v>1.0904881E-2</v>
      </c>
      <c r="H50" s="142"/>
    </row>
    <row r="51" spans="1:8" ht="25.5" x14ac:dyDescent="0.2">
      <c r="A51" s="3">
        <v>45</v>
      </c>
      <c r="B51" s="4" t="s">
        <v>178</v>
      </c>
      <c r="C51" s="4" t="s">
        <v>933</v>
      </c>
      <c r="D51" s="4" t="s">
        <v>37</v>
      </c>
      <c r="E51" s="5">
        <v>17050</v>
      </c>
      <c r="F51" s="6">
        <v>44.014575000000001</v>
      </c>
      <c r="G51" s="138">
        <v>1.0366101000000001E-2</v>
      </c>
      <c r="H51" s="142"/>
    </row>
    <row r="52" spans="1:8" x14ac:dyDescent="0.2">
      <c r="A52" s="3">
        <v>46</v>
      </c>
      <c r="B52" s="4" t="s">
        <v>273</v>
      </c>
      <c r="C52" s="4" t="s">
        <v>274</v>
      </c>
      <c r="D52" s="4" t="s">
        <v>173</v>
      </c>
      <c r="E52" s="5">
        <v>7112</v>
      </c>
      <c r="F52" s="6">
        <v>42.615104000000002</v>
      </c>
      <c r="G52" s="138">
        <v>1.0036504E-2</v>
      </c>
      <c r="H52" s="142"/>
    </row>
    <row r="53" spans="1:8" x14ac:dyDescent="0.2">
      <c r="A53" s="3">
        <v>47</v>
      </c>
      <c r="B53" s="4" t="s">
        <v>195</v>
      </c>
      <c r="C53" s="4" t="s">
        <v>196</v>
      </c>
      <c r="D53" s="4" t="s">
        <v>24</v>
      </c>
      <c r="E53" s="5">
        <v>22233</v>
      </c>
      <c r="F53" s="6">
        <v>42.442796999999999</v>
      </c>
      <c r="G53" s="138">
        <v>9.9959230000000003E-3</v>
      </c>
      <c r="H53" s="142"/>
    </row>
    <row r="54" spans="1:8" ht="25.5" x14ac:dyDescent="0.2">
      <c r="A54" s="3">
        <v>48</v>
      </c>
      <c r="B54" s="4" t="s">
        <v>191</v>
      </c>
      <c r="C54" s="4" t="s">
        <v>192</v>
      </c>
      <c r="D54" s="4" t="s">
        <v>1023</v>
      </c>
      <c r="E54" s="5">
        <v>16405</v>
      </c>
      <c r="F54" s="6">
        <v>42.128039999999999</v>
      </c>
      <c r="G54" s="138">
        <v>9.9217929999999999E-3</v>
      </c>
      <c r="H54" s="142"/>
    </row>
    <row r="55" spans="1:8" x14ac:dyDescent="0.2">
      <c r="A55" s="3">
        <v>49</v>
      </c>
      <c r="B55" s="4" t="s">
        <v>277</v>
      </c>
      <c r="C55" s="4" t="s">
        <v>278</v>
      </c>
      <c r="D55" s="4" t="s">
        <v>279</v>
      </c>
      <c r="E55" s="5">
        <v>16931</v>
      </c>
      <c r="F55" s="6">
        <v>39.246057999999998</v>
      </c>
      <c r="G55" s="138">
        <v>9.2430429999999994E-3</v>
      </c>
      <c r="H55" s="142"/>
    </row>
    <row r="56" spans="1:8" x14ac:dyDescent="0.2">
      <c r="A56" s="3">
        <v>50</v>
      </c>
      <c r="B56" s="4" t="s">
        <v>280</v>
      </c>
      <c r="C56" s="4" t="s">
        <v>281</v>
      </c>
      <c r="D56" s="4" t="s">
        <v>24</v>
      </c>
      <c r="E56" s="5">
        <v>42227</v>
      </c>
      <c r="F56" s="6">
        <v>38.426569999999998</v>
      </c>
      <c r="G56" s="138">
        <v>9.050041E-3</v>
      </c>
      <c r="H56" s="142"/>
    </row>
    <row r="57" spans="1:8" x14ac:dyDescent="0.2">
      <c r="A57" s="3">
        <v>51</v>
      </c>
      <c r="B57" s="4" t="s">
        <v>174</v>
      </c>
      <c r="C57" s="4" t="s">
        <v>175</v>
      </c>
      <c r="D57" s="4" t="s">
        <v>335</v>
      </c>
      <c r="E57" s="5">
        <v>3850</v>
      </c>
      <c r="F57" s="6">
        <v>38.084200000000003</v>
      </c>
      <c r="G57" s="138">
        <v>8.9694079999999999E-3</v>
      </c>
      <c r="H57" s="142"/>
    </row>
    <row r="58" spans="1:8" x14ac:dyDescent="0.2">
      <c r="A58" s="3">
        <v>52</v>
      </c>
      <c r="B58" s="4" t="s">
        <v>261</v>
      </c>
      <c r="C58" s="4" t="s">
        <v>262</v>
      </c>
      <c r="D58" s="4" t="s">
        <v>51</v>
      </c>
      <c r="E58" s="5">
        <v>16672</v>
      </c>
      <c r="F58" s="6">
        <v>37.045183999999999</v>
      </c>
      <c r="G58" s="138">
        <v>8.7247039999999998E-3</v>
      </c>
      <c r="H58" s="142"/>
    </row>
    <row r="59" spans="1:8" x14ac:dyDescent="0.2">
      <c r="A59" s="3">
        <v>53</v>
      </c>
      <c r="B59" s="4" t="s">
        <v>267</v>
      </c>
      <c r="C59" s="4" t="s">
        <v>268</v>
      </c>
      <c r="D59" s="4" t="s">
        <v>1024</v>
      </c>
      <c r="E59" s="5">
        <v>2092</v>
      </c>
      <c r="F59" s="6">
        <v>34.698957999999998</v>
      </c>
      <c r="G59" s="138">
        <v>8.1721320000000004E-3</v>
      </c>
      <c r="H59" s="142"/>
    </row>
    <row r="60" spans="1:8" x14ac:dyDescent="0.2">
      <c r="A60" s="3">
        <v>54</v>
      </c>
      <c r="B60" s="4" t="s">
        <v>239</v>
      </c>
      <c r="C60" s="4" t="s">
        <v>240</v>
      </c>
      <c r="D60" s="4" t="s">
        <v>207</v>
      </c>
      <c r="E60" s="5">
        <v>1825</v>
      </c>
      <c r="F60" s="6">
        <v>34.071837500000001</v>
      </c>
      <c r="G60" s="138">
        <v>8.0244349999999999E-3</v>
      </c>
      <c r="H60" s="142"/>
    </row>
    <row r="61" spans="1:8" x14ac:dyDescent="0.2">
      <c r="A61" s="3">
        <v>55</v>
      </c>
      <c r="B61" s="4" t="s">
        <v>269</v>
      </c>
      <c r="C61" s="4" t="s">
        <v>270</v>
      </c>
      <c r="D61" s="4" t="s">
        <v>1028</v>
      </c>
      <c r="E61" s="5">
        <v>27060</v>
      </c>
      <c r="F61" s="6">
        <v>31.33548</v>
      </c>
      <c r="G61" s="138">
        <v>7.3799820000000002E-3</v>
      </c>
      <c r="H61" s="142"/>
    </row>
    <row r="62" spans="1:8" x14ac:dyDescent="0.2">
      <c r="A62" s="3">
        <v>56</v>
      </c>
      <c r="B62" s="4" t="s">
        <v>282</v>
      </c>
      <c r="C62" s="4" t="s">
        <v>283</v>
      </c>
      <c r="D62" s="4" t="s">
        <v>207</v>
      </c>
      <c r="E62" s="5">
        <v>546</v>
      </c>
      <c r="F62" s="6">
        <v>29.503655999999999</v>
      </c>
      <c r="G62" s="138">
        <v>6.948559E-3</v>
      </c>
      <c r="H62" s="142"/>
    </row>
    <row r="63" spans="1:8" x14ac:dyDescent="0.2">
      <c r="A63" s="3">
        <v>57</v>
      </c>
      <c r="B63" s="4" t="s">
        <v>167</v>
      </c>
      <c r="C63" s="4" t="s">
        <v>168</v>
      </c>
      <c r="D63" s="4" t="s">
        <v>1025</v>
      </c>
      <c r="E63" s="5">
        <v>13147</v>
      </c>
      <c r="F63" s="6">
        <v>26.938203000000001</v>
      </c>
      <c r="G63" s="138">
        <v>6.3443559999999998E-3</v>
      </c>
      <c r="H63" s="142"/>
    </row>
    <row r="64" spans="1:8" x14ac:dyDescent="0.2">
      <c r="A64" s="3">
        <v>58</v>
      </c>
      <c r="B64" s="4" t="s">
        <v>275</v>
      </c>
      <c r="C64" s="4" t="s">
        <v>276</v>
      </c>
      <c r="D64" s="4" t="s">
        <v>335</v>
      </c>
      <c r="E64" s="5">
        <v>2142</v>
      </c>
      <c r="F64" s="6">
        <v>26.477262</v>
      </c>
      <c r="G64" s="138">
        <v>6.2357970000000004E-3</v>
      </c>
      <c r="H64" s="142"/>
    </row>
    <row r="65" spans="1:8" x14ac:dyDescent="0.2">
      <c r="A65" s="3">
        <v>59</v>
      </c>
      <c r="B65" s="4" t="s">
        <v>64</v>
      </c>
      <c r="C65" s="4" t="s">
        <v>65</v>
      </c>
      <c r="D65" s="4" t="s">
        <v>66</v>
      </c>
      <c r="E65" s="5">
        <v>15702</v>
      </c>
      <c r="F65" s="6">
        <v>25.547153999999999</v>
      </c>
      <c r="G65" s="138">
        <v>6.0167429999999997E-3</v>
      </c>
      <c r="H65" s="142"/>
    </row>
    <row r="66" spans="1:8" x14ac:dyDescent="0.2">
      <c r="A66" s="3">
        <v>60</v>
      </c>
      <c r="B66" s="4" t="s">
        <v>219</v>
      </c>
      <c r="C66" s="4" t="s">
        <v>220</v>
      </c>
      <c r="D66" s="4" t="s">
        <v>59</v>
      </c>
      <c r="E66" s="5">
        <v>10387</v>
      </c>
      <c r="F66" s="6">
        <v>25.188475</v>
      </c>
      <c r="G66" s="138">
        <v>5.9322680000000001E-3</v>
      </c>
      <c r="H66" s="142"/>
    </row>
    <row r="67" spans="1:8" x14ac:dyDescent="0.2">
      <c r="A67" s="3">
        <v>61</v>
      </c>
      <c r="B67" s="4" t="s">
        <v>288</v>
      </c>
      <c r="C67" s="4" t="s">
        <v>289</v>
      </c>
      <c r="D67" s="4" t="s">
        <v>153</v>
      </c>
      <c r="E67" s="5">
        <v>1792</v>
      </c>
      <c r="F67" s="6">
        <v>25.015423999999999</v>
      </c>
      <c r="G67" s="138">
        <v>5.8915119999999998E-3</v>
      </c>
      <c r="H67" s="142"/>
    </row>
    <row r="68" spans="1:8" x14ac:dyDescent="0.2">
      <c r="A68" s="3">
        <v>62</v>
      </c>
      <c r="B68" s="4" t="s">
        <v>250</v>
      </c>
      <c r="C68" s="4" t="s">
        <v>251</v>
      </c>
      <c r="D68" s="4" t="s">
        <v>164</v>
      </c>
      <c r="E68" s="5">
        <v>1721</v>
      </c>
      <c r="F68" s="6">
        <v>23.748939499999999</v>
      </c>
      <c r="G68" s="138">
        <v>5.5932359999999997E-3</v>
      </c>
      <c r="H68" s="142"/>
    </row>
    <row r="69" spans="1:8" x14ac:dyDescent="0.2">
      <c r="A69" s="3">
        <v>63</v>
      </c>
      <c r="B69" s="4" t="s">
        <v>468</v>
      </c>
      <c r="C69" s="4" t="s">
        <v>469</v>
      </c>
      <c r="D69" s="4" t="s">
        <v>1024</v>
      </c>
      <c r="E69" s="5">
        <v>20305</v>
      </c>
      <c r="F69" s="6">
        <v>19.817679999999999</v>
      </c>
      <c r="G69" s="138">
        <v>4.6673649999999997E-3</v>
      </c>
      <c r="H69" s="142"/>
    </row>
    <row r="70" spans="1:8" x14ac:dyDescent="0.2">
      <c r="A70" s="3">
        <v>64</v>
      </c>
      <c r="B70" s="4" t="s">
        <v>284</v>
      </c>
      <c r="C70" s="4" t="s">
        <v>285</v>
      </c>
      <c r="D70" s="4" t="s">
        <v>164</v>
      </c>
      <c r="E70" s="5">
        <v>3970</v>
      </c>
      <c r="F70" s="6">
        <v>19.057984999999999</v>
      </c>
      <c r="G70" s="138">
        <v>4.4884449999999998E-3</v>
      </c>
      <c r="H70" s="142"/>
    </row>
    <row r="71" spans="1:8" x14ac:dyDescent="0.2">
      <c r="A71" s="3">
        <v>65</v>
      </c>
      <c r="B71" s="4" t="s">
        <v>290</v>
      </c>
      <c r="C71" s="4" t="s">
        <v>291</v>
      </c>
      <c r="D71" s="4" t="s">
        <v>153</v>
      </c>
      <c r="E71" s="5">
        <v>851</v>
      </c>
      <c r="F71" s="6">
        <v>5.2119495000000002</v>
      </c>
      <c r="G71" s="138">
        <v>1.2274930000000001E-3</v>
      </c>
      <c r="H71" s="142"/>
    </row>
    <row r="72" spans="1:8" x14ac:dyDescent="0.2">
      <c r="A72" s="3">
        <v>66</v>
      </c>
      <c r="B72" s="4" t="s">
        <v>292</v>
      </c>
      <c r="C72" s="4" t="s">
        <v>293</v>
      </c>
      <c r="D72" s="4" t="s">
        <v>24</v>
      </c>
      <c r="E72" s="5">
        <v>7930</v>
      </c>
      <c r="F72" s="6">
        <v>4.9324599999999998</v>
      </c>
      <c r="G72" s="138">
        <v>1.1616689999999999E-3</v>
      </c>
      <c r="H72" s="142"/>
    </row>
    <row r="73" spans="1:8" ht="25.5" x14ac:dyDescent="0.2">
      <c r="A73" s="3">
        <v>67</v>
      </c>
      <c r="B73" s="4" t="s">
        <v>70</v>
      </c>
      <c r="C73" s="4" t="s">
        <v>71</v>
      </c>
      <c r="D73" s="4" t="s">
        <v>37</v>
      </c>
      <c r="E73" s="5">
        <v>680</v>
      </c>
      <c r="F73" s="6">
        <v>4.8963400000000004</v>
      </c>
      <c r="G73" s="138">
        <v>1.1531619999999999E-3</v>
      </c>
      <c r="H73" s="142"/>
    </row>
    <row r="74" spans="1:8" x14ac:dyDescent="0.2">
      <c r="A74" s="3">
        <v>68</v>
      </c>
      <c r="B74" s="4" t="s">
        <v>286</v>
      </c>
      <c r="C74" s="4" t="s">
        <v>287</v>
      </c>
      <c r="D74" s="4" t="s">
        <v>207</v>
      </c>
      <c r="E74" s="5">
        <v>829</v>
      </c>
      <c r="F74" s="6">
        <v>2.9931044999999998</v>
      </c>
      <c r="G74" s="138">
        <v>7.0492199999999997E-4</v>
      </c>
      <c r="H74" s="14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9">
        <v>4111.5826454999997</v>
      </c>
      <c r="G75" s="139">
        <v>0.96834016700000003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107</v>
      </c>
      <c r="D77" s="1"/>
      <c r="E77" s="1"/>
      <c r="F77" s="1"/>
      <c r="G77" s="137"/>
      <c r="H77" s="142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1">
        <v>0</v>
      </c>
      <c r="H78" s="142"/>
    </row>
    <row r="79" spans="1:8" x14ac:dyDescent="0.2">
      <c r="A79" s="1"/>
      <c r="B79" s="1"/>
      <c r="C79" s="11"/>
      <c r="D79" s="1"/>
      <c r="E79" s="1"/>
      <c r="F79" s="12"/>
      <c r="G79" s="140"/>
      <c r="H79" s="142"/>
    </row>
    <row r="80" spans="1:8" x14ac:dyDescent="0.2">
      <c r="A80" s="1"/>
      <c r="B80" s="1"/>
      <c r="C80" s="2" t="s">
        <v>108</v>
      </c>
      <c r="D80" s="1"/>
      <c r="E80" s="1"/>
      <c r="F80" s="1"/>
      <c r="G80" s="137"/>
      <c r="H80" s="142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1">
        <v>0</v>
      </c>
      <c r="H81" s="142"/>
    </row>
    <row r="82" spans="1:8" x14ac:dyDescent="0.2">
      <c r="A82" s="1"/>
      <c r="B82" s="1"/>
      <c r="C82" s="11"/>
      <c r="D82" s="1"/>
      <c r="E82" s="1"/>
      <c r="F82" s="12"/>
      <c r="G82" s="140"/>
      <c r="H82" s="142"/>
    </row>
    <row r="83" spans="1:8" x14ac:dyDescent="0.2">
      <c r="A83" s="1"/>
      <c r="B83" s="1"/>
      <c r="C83" s="2" t="s">
        <v>109</v>
      </c>
      <c r="D83" s="1"/>
      <c r="E83" s="1"/>
      <c r="F83" s="1"/>
      <c r="G83" s="137"/>
      <c r="H83" s="142"/>
    </row>
    <row r="84" spans="1:8" ht="25.5" x14ac:dyDescent="0.2">
      <c r="A84" s="3">
        <v>1</v>
      </c>
      <c r="B84" s="4" t="s">
        <v>294</v>
      </c>
      <c r="C84" s="4" t="s">
        <v>997</v>
      </c>
      <c r="D84" s="4" t="s">
        <v>66</v>
      </c>
      <c r="E84" s="5">
        <v>23018</v>
      </c>
      <c r="F84" s="6">
        <v>8.5511870000000005</v>
      </c>
      <c r="G84" s="138">
        <v>2.0139340000000002E-3</v>
      </c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9">
        <v>8.5511870000000005</v>
      </c>
      <c r="G85" s="139">
        <v>2.0139340000000002E-3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111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112</v>
      </c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113</v>
      </c>
      <c r="D93" s="1"/>
      <c r="E93" s="1"/>
      <c r="F93" s="9">
        <v>4120.1338324999997</v>
      </c>
      <c r="G93" s="139">
        <v>0.97035410099999997</v>
      </c>
      <c r="H93" s="142"/>
    </row>
    <row r="94" spans="1:8" x14ac:dyDescent="0.2">
      <c r="A94" s="1"/>
      <c r="B94" s="1"/>
      <c r="C94" s="11"/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114</v>
      </c>
      <c r="D95" s="1"/>
      <c r="E95" s="1"/>
      <c r="F95" s="12"/>
      <c r="G95" s="140"/>
      <c r="H95" s="142"/>
    </row>
    <row r="96" spans="1:8" ht="25.5" x14ac:dyDescent="0.2">
      <c r="A96" s="1"/>
      <c r="B96" s="1"/>
      <c r="C96" s="2" t="s">
        <v>10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115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116</v>
      </c>
      <c r="D102" s="1"/>
      <c r="E102" s="1"/>
      <c r="F102" s="1"/>
      <c r="G102" s="137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117</v>
      </c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1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118</v>
      </c>
      <c r="D108" s="1"/>
      <c r="E108" s="1"/>
      <c r="F108" s="9">
        <v>0</v>
      </c>
      <c r="G108" s="139">
        <v>0</v>
      </c>
      <c r="H108" s="142"/>
    </row>
    <row r="109" spans="1:8" x14ac:dyDescent="0.2">
      <c r="A109" s="1"/>
      <c r="B109" s="1"/>
      <c r="C109" s="11"/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119</v>
      </c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120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121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1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122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1"/>
      <c r="C120" s="2" t="s">
        <v>123</v>
      </c>
      <c r="D120" s="1"/>
      <c r="E120" s="1"/>
      <c r="F120" s="12"/>
      <c r="G120" s="140"/>
      <c r="H120" s="142"/>
    </row>
    <row r="121" spans="1:8" x14ac:dyDescent="0.2">
      <c r="A121" s="3">
        <v>1</v>
      </c>
      <c r="B121" s="4"/>
      <c r="C121" s="4" t="s">
        <v>124</v>
      </c>
      <c r="D121" s="4"/>
      <c r="E121" s="8"/>
      <c r="F121" s="6">
        <v>138.32371910000001</v>
      </c>
      <c r="G121" s="138">
        <v>3.2577336999999998E-2</v>
      </c>
      <c r="H121" s="152">
        <v>3.3197683930276081</v>
      </c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9">
        <v>138.32371910000001</v>
      </c>
      <c r="G122" s="139">
        <v>3.2577336999999998E-2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125</v>
      </c>
      <c r="D124" s="1"/>
      <c r="E124" s="1"/>
      <c r="F124" s="9">
        <v>138.32371910000001</v>
      </c>
      <c r="G124" s="139">
        <v>3.2577336999999998E-2</v>
      </c>
      <c r="H124" s="142"/>
    </row>
    <row r="125" spans="1:8" x14ac:dyDescent="0.2">
      <c r="A125" s="1"/>
      <c r="B125" s="1"/>
      <c r="C125" s="12"/>
      <c r="D125" s="1"/>
      <c r="E125" s="1"/>
      <c r="F125" s="1"/>
      <c r="G125" s="137"/>
      <c r="H125" s="142"/>
    </row>
    <row r="126" spans="1:8" x14ac:dyDescent="0.2">
      <c r="A126" s="1"/>
      <c r="B126" s="1"/>
      <c r="C126" s="2" t="s">
        <v>126</v>
      </c>
      <c r="D126" s="1"/>
      <c r="E126" s="1"/>
      <c r="F126" s="1"/>
      <c r="G126" s="137"/>
      <c r="H126" s="142"/>
    </row>
    <row r="127" spans="1:8" x14ac:dyDescent="0.2">
      <c r="A127" s="1"/>
      <c r="B127" s="1"/>
      <c r="C127" s="2" t="s">
        <v>127</v>
      </c>
      <c r="D127" s="1"/>
      <c r="E127" s="1"/>
      <c r="F127" s="1"/>
      <c r="G127" s="137"/>
      <c r="H127" s="142"/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13">
        <v>0</v>
      </c>
      <c r="G128" s="141">
        <v>0</v>
      </c>
      <c r="H128" s="142"/>
    </row>
    <row r="129" spans="1:8" x14ac:dyDescent="0.2">
      <c r="A129" s="1"/>
      <c r="B129" s="1"/>
      <c r="C129" s="11"/>
      <c r="D129" s="1"/>
      <c r="E129" s="1"/>
      <c r="F129" s="12"/>
      <c r="G129" s="140"/>
      <c r="H129" s="142"/>
    </row>
    <row r="130" spans="1:8" x14ac:dyDescent="0.2">
      <c r="A130" s="1"/>
      <c r="B130" s="1"/>
      <c r="C130" s="2" t="s">
        <v>128</v>
      </c>
      <c r="D130" s="1"/>
      <c r="E130" s="1"/>
      <c r="F130" s="1"/>
      <c r="G130" s="137"/>
      <c r="H130" s="142"/>
    </row>
    <row r="131" spans="1:8" x14ac:dyDescent="0.2">
      <c r="A131" s="1"/>
      <c r="B131" s="1"/>
      <c r="C131" s="2" t="s">
        <v>129</v>
      </c>
      <c r="D131" s="1"/>
      <c r="E131" s="1"/>
      <c r="F131" s="1"/>
      <c r="G131" s="137"/>
      <c r="H131" s="142"/>
    </row>
    <row r="132" spans="1:8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1">
        <v>0</v>
      </c>
      <c r="H132" s="142"/>
    </row>
    <row r="133" spans="1:8" x14ac:dyDescent="0.2">
      <c r="A133" s="1"/>
      <c r="B133" s="1"/>
      <c r="C133" s="11"/>
      <c r="D133" s="1"/>
      <c r="E133" s="1"/>
      <c r="F133" s="12"/>
      <c r="G133" s="140"/>
      <c r="H133" s="142"/>
    </row>
    <row r="134" spans="1:8" x14ac:dyDescent="0.2">
      <c r="A134" s="1"/>
      <c r="B134" s="1"/>
      <c r="C134" s="11"/>
      <c r="D134" s="1"/>
      <c r="E134" s="1"/>
      <c r="F134" s="12"/>
      <c r="G134" s="140"/>
      <c r="H134" s="142"/>
    </row>
    <row r="135" spans="1:8" ht="25.5" x14ac:dyDescent="0.2">
      <c r="A135" s="1"/>
      <c r="B135" s="1"/>
      <c r="C135" s="2" t="s">
        <v>130</v>
      </c>
      <c r="D135" s="1"/>
      <c r="E135" s="1"/>
      <c r="F135" s="12"/>
      <c r="G135" s="140"/>
      <c r="H135" s="142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1">
        <v>0</v>
      </c>
      <c r="H136" s="142"/>
    </row>
    <row r="137" spans="1:8" x14ac:dyDescent="0.2">
      <c r="A137" s="1"/>
      <c r="B137" s="1"/>
      <c r="C137" s="11"/>
      <c r="D137" s="1"/>
      <c r="E137" s="1"/>
      <c r="F137" s="12"/>
      <c r="G137" s="140"/>
      <c r="H137" s="142"/>
    </row>
    <row r="138" spans="1:8" x14ac:dyDescent="0.2">
      <c r="A138" s="1"/>
      <c r="B138" s="4"/>
      <c r="C138" s="4"/>
      <c r="D138" s="2"/>
      <c r="E138" s="1"/>
      <c r="F138" s="4"/>
      <c r="G138" s="143"/>
      <c r="H138" s="142"/>
    </row>
    <row r="139" spans="1:8" x14ac:dyDescent="0.2">
      <c r="A139" s="8"/>
      <c r="B139" s="4"/>
      <c r="C139" s="4" t="s">
        <v>131</v>
      </c>
      <c r="D139" s="4"/>
      <c r="E139" s="8"/>
      <c r="F139" s="6">
        <v>-12.44693921</v>
      </c>
      <c r="G139" s="138">
        <v>-2.9314430000000002E-3</v>
      </c>
      <c r="H139" s="142"/>
    </row>
    <row r="140" spans="1:8" x14ac:dyDescent="0.2">
      <c r="A140" s="11"/>
      <c r="B140" s="11"/>
      <c r="C140" s="2" t="s">
        <v>132</v>
      </c>
      <c r="D140" s="15"/>
      <c r="E140" s="15"/>
      <c r="F140" s="9">
        <v>4246.0106123899996</v>
      </c>
      <c r="G140" s="139">
        <v>0.99999999500000003</v>
      </c>
      <c r="H140" s="142"/>
    </row>
    <row r="141" spans="1:8" ht="14.1" customHeight="1" x14ac:dyDescent="0.2">
      <c r="A141" s="16"/>
      <c r="B141" s="16"/>
      <c r="C141" s="16"/>
      <c r="D141" s="17"/>
      <c r="E141" s="17"/>
      <c r="F141" s="17"/>
      <c r="G141" s="17"/>
    </row>
    <row r="142" spans="1:8" ht="14.1" customHeight="1" x14ac:dyDescent="0.2">
      <c r="A142" s="18"/>
      <c r="B142" s="205" t="s">
        <v>106</v>
      </c>
      <c r="C142" s="205"/>
      <c r="D142" s="205"/>
      <c r="E142" s="205"/>
      <c r="F142" s="205"/>
      <c r="G142" s="20"/>
    </row>
    <row r="143" spans="1:8" ht="14.1" customHeight="1" x14ac:dyDescent="0.2">
      <c r="A143" s="18"/>
      <c r="B143" s="205" t="s">
        <v>106</v>
      </c>
      <c r="C143" s="205"/>
      <c r="D143" s="205"/>
      <c r="E143" s="205"/>
      <c r="F143" s="205"/>
      <c r="G143" s="20"/>
    </row>
    <row r="144" spans="1:8" ht="14.1" customHeight="1" x14ac:dyDescent="0.2">
      <c r="A144" s="18"/>
      <c r="B144" s="18"/>
      <c r="C144" s="18"/>
      <c r="D144" s="20"/>
      <c r="E144" s="20"/>
      <c r="F144" s="20"/>
      <c r="G144" s="20"/>
    </row>
    <row r="145" spans="1:7" ht="14.1" customHeight="1" x14ac:dyDescent="0.2">
      <c r="A145" s="18"/>
      <c r="B145" s="203" t="s">
        <v>134</v>
      </c>
      <c r="C145" s="204"/>
      <c r="D145" s="12" t="s">
        <v>106</v>
      </c>
      <c r="E145" s="21"/>
      <c r="F145" s="20"/>
      <c r="G145" s="20"/>
    </row>
    <row r="146" spans="1:7" ht="29.1" customHeight="1" x14ac:dyDescent="0.2">
      <c r="A146" s="18"/>
      <c r="B146" s="199" t="s">
        <v>135</v>
      </c>
      <c r="C146" s="200"/>
      <c r="D146" s="2" t="s">
        <v>136</v>
      </c>
      <c r="E146" s="21"/>
      <c r="F146" s="20"/>
      <c r="G146" s="20"/>
    </row>
    <row r="147" spans="1:7" ht="17.100000000000001" customHeight="1" x14ac:dyDescent="0.2">
      <c r="A147" s="18"/>
      <c r="B147" s="199" t="s">
        <v>137</v>
      </c>
      <c r="C147" s="200"/>
      <c r="D147" s="2" t="s">
        <v>136</v>
      </c>
      <c r="E147" s="21"/>
      <c r="F147" s="20"/>
      <c r="G147" s="20"/>
    </row>
    <row r="148" spans="1:7" ht="17.100000000000001" customHeight="1" x14ac:dyDescent="0.2">
      <c r="A148" s="18"/>
      <c r="B148" s="199" t="s">
        <v>138</v>
      </c>
      <c r="C148" s="200"/>
      <c r="D148" s="12" t="s">
        <v>106</v>
      </c>
      <c r="E148" s="21"/>
      <c r="F148" s="20"/>
      <c r="G148" s="20"/>
    </row>
    <row r="149" spans="1:7" ht="24" customHeight="1" x14ac:dyDescent="0.2">
      <c r="A149" s="22"/>
      <c r="B149" s="23" t="s">
        <v>106</v>
      </c>
      <c r="C149" s="23" t="s">
        <v>139</v>
      </c>
      <c r="D149" s="23" t="s">
        <v>140</v>
      </c>
      <c r="E149" s="22"/>
      <c r="F149" s="22"/>
      <c r="G149" s="22"/>
    </row>
    <row r="150" spans="1:7" ht="18" customHeight="1" x14ac:dyDescent="0.2">
      <c r="A150" s="22"/>
      <c r="B150" s="23" t="s">
        <v>141</v>
      </c>
      <c r="C150" s="23" t="s">
        <v>142</v>
      </c>
      <c r="D150" s="23" t="s">
        <v>143</v>
      </c>
      <c r="E150" s="22"/>
      <c r="F150" s="22"/>
      <c r="G150" s="22"/>
    </row>
    <row r="151" spans="1:7" x14ac:dyDescent="0.2">
      <c r="A151" s="22"/>
      <c r="B151" s="4" t="s">
        <v>144</v>
      </c>
      <c r="C151" s="24">
        <v>14.148300000000001</v>
      </c>
      <c r="D151" s="24">
        <v>15.004099999999999</v>
      </c>
      <c r="E151" s="22"/>
      <c r="F151" s="19"/>
      <c r="G151" s="25"/>
    </row>
    <row r="152" spans="1:7" x14ac:dyDescent="0.2">
      <c r="A152" s="22"/>
      <c r="B152" s="4" t="s">
        <v>1019</v>
      </c>
      <c r="C152" s="24">
        <v>14.148300000000001</v>
      </c>
      <c r="D152" s="24">
        <v>15.004</v>
      </c>
      <c r="E152" s="22"/>
      <c r="F152" s="19"/>
      <c r="G152" s="25"/>
    </row>
    <row r="153" spans="1:7" x14ac:dyDescent="0.2">
      <c r="A153" s="22"/>
      <c r="B153" s="4" t="s">
        <v>145</v>
      </c>
      <c r="C153" s="24">
        <v>13.622199999999999</v>
      </c>
      <c r="D153" s="24">
        <v>14.443899999999999</v>
      </c>
      <c r="E153" s="22"/>
      <c r="F153" s="19"/>
      <c r="G153" s="25"/>
    </row>
    <row r="154" spans="1:7" x14ac:dyDescent="0.2">
      <c r="A154" s="22"/>
      <c r="B154" s="4" t="s">
        <v>1020</v>
      </c>
      <c r="C154" s="24">
        <v>13.6221</v>
      </c>
      <c r="D154" s="24">
        <v>14.443899999999999</v>
      </c>
      <c r="E154" s="22"/>
      <c r="F154" s="19"/>
      <c r="G154" s="25"/>
    </row>
    <row r="155" spans="1:7" ht="14.1" customHeight="1" x14ac:dyDescent="0.2">
      <c r="A155" s="22"/>
      <c r="B155" s="22"/>
      <c r="C155" s="22"/>
      <c r="D155" s="22"/>
      <c r="E155" s="22"/>
      <c r="F155" s="22"/>
      <c r="G155" s="22"/>
    </row>
    <row r="156" spans="1:7" ht="17.100000000000001" customHeight="1" x14ac:dyDescent="0.2">
      <c r="A156" s="22"/>
      <c r="B156" s="199" t="s">
        <v>1021</v>
      </c>
      <c r="C156" s="200"/>
      <c r="D156" s="2" t="s">
        <v>136</v>
      </c>
      <c r="E156" s="22"/>
      <c r="F156" s="22"/>
      <c r="G156" s="22"/>
    </row>
    <row r="157" spans="1:7" ht="18" customHeight="1" x14ac:dyDescent="0.2">
      <c r="A157" s="22"/>
      <c r="B157" s="26"/>
      <c r="C157" s="26"/>
      <c r="D157" s="27"/>
      <c r="E157" s="22"/>
      <c r="F157" s="22"/>
      <c r="G157" s="22"/>
    </row>
    <row r="158" spans="1:7" s="125" customFormat="1" x14ac:dyDescent="0.2">
      <c r="B158" s="201" t="s">
        <v>825</v>
      </c>
      <c r="C158" s="201"/>
      <c r="D158" s="201"/>
      <c r="E158" s="201"/>
      <c r="F158" s="201"/>
    </row>
    <row r="159" spans="1:7" ht="14.1" customHeight="1" x14ac:dyDescent="0.2">
      <c r="A159" s="22"/>
      <c r="B159" s="19"/>
      <c r="C159" s="19"/>
      <c r="D159" s="22"/>
      <c r="E159" s="22"/>
      <c r="F159" s="22"/>
      <c r="G159" s="22"/>
    </row>
    <row r="160" spans="1:7" ht="29.1" customHeight="1" x14ac:dyDescent="0.2">
      <c r="A160" s="22"/>
      <c r="B160" s="199" t="s">
        <v>146</v>
      </c>
      <c r="C160" s="200"/>
      <c r="D160" s="2" t="s">
        <v>136</v>
      </c>
      <c r="E160" s="22"/>
      <c r="F160" s="22"/>
      <c r="G160" s="22"/>
    </row>
    <row r="161" spans="1:7" ht="29.1" customHeight="1" x14ac:dyDescent="0.2">
      <c r="A161" s="22"/>
      <c r="B161" s="199" t="s">
        <v>147</v>
      </c>
      <c r="C161" s="200"/>
      <c r="D161" s="2" t="s">
        <v>136</v>
      </c>
      <c r="E161" s="22"/>
      <c r="F161" s="22"/>
      <c r="G161" s="22"/>
    </row>
    <row r="162" spans="1:7" ht="17.100000000000001" customHeight="1" x14ac:dyDescent="0.2">
      <c r="A162" s="22"/>
      <c r="B162" s="199" t="s">
        <v>148</v>
      </c>
      <c r="C162" s="200"/>
      <c r="D162" s="28">
        <v>0.3423762910679507</v>
      </c>
      <c r="E162" s="22"/>
      <c r="F162" s="19"/>
      <c r="G162" s="25"/>
    </row>
    <row r="163" spans="1:7" ht="17.100000000000001" customHeight="1" x14ac:dyDescent="0.2">
      <c r="A163" s="22"/>
      <c r="B163" s="199" t="s">
        <v>149</v>
      </c>
      <c r="C163" s="200"/>
      <c r="D163" s="2" t="s">
        <v>136</v>
      </c>
      <c r="E163" s="22"/>
      <c r="F163" s="22"/>
      <c r="G163" s="22"/>
    </row>
  </sheetData>
  <mergeCells count="16">
    <mergeCell ref="J2:N2"/>
    <mergeCell ref="B145:C145"/>
    <mergeCell ref="B142:F142"/>
    <mergeCell ref="B143:F143"/>
    <mergeCell ref="A1:H1"/>
    <mergeCell ref="A2:H2"/>
    <mergeCell ref="A3:H3"/>
    <mergeCell ref="B162:C162"/>
    <mergeCell ref="B163:C163"/>
    <mergeCell ref="B146:C146"/>
    <mergeCell ref="B147:C147"/>
    <mergeCell ref="B148:C148"/>
    <mergeCell ref="B156:C156"/>
    <mergeCell ref="B160:C160"/>
    <mergeCell ref="B161:C161"/>
    <mergeCell ref="B158:F15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N16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30.1406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513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201</v>
      </c>
      <c r="C7" s="4" t="s">
        <v>202</v>
      </c>
      <c r="D7" s="4" t="s">
        <v>80</v>
      </c>
      <c r="E7" s="5">
        <v>781537</v>
      </c>
      <c r="F7" s="6">
        <v>5367.5961159999997</v>
      </c>
      <c r="G7" s="138">
        <v>3.4500771999999999E-2</v>
      </c>
      <c r="H7" s="142"/>
    </row>
    <row r="8" spans="1:14" x14ac:dyDescent="0.2">
      <c r="A8" s="3">
        <v>2</v>
      </c>
      <c r="B8" s="4" t="s">
        <v>267</v>
      </c>
      <c r="C8" s="4" t="s">
        <v>268</v>
      </c>
      <c r="D8" s="4" t="s">
        <v>1024</v>
      </c>
      <c r="E8" s="5">
        <v>305795</v>
      </c>
      <c r="F8" s="6">
        <v>5072.0687674999999</v>
      </c>
      <c r="G8" s="138">
        <v>3.2601239999999997E-2</v>
      </c>
      <c r="H8" s="142"/>
    </row>
    <row r="9" spans="1:14" x14ac:dyDescent="0.2">
      <c r="A9" s="3">
        <v>3</v>
      </c>
      <c r="B9" s="4" t="s">
        <v>199</v>
      </c>
      <c r="C9" s="4" t="s">
        <v>200</v>
      </c>
      <c r="D9" s="4" t="s">
        <v>164</v>
      </c>
      <c r="E9" s="5">
        <v>475853</v>
      </c>
      <c r="F9" s="6">
        <v>5057.1277575000004</v>
      </c>
      <c r="G9" s="138">
        <v>3.2505205000000002E-2</v>
      </c>
      <c r="H9" s="142"/>
    </row>
    <row r="10" spans="1:14" x14ac:dyDescent="0.2">
      <c r="A10" s="3">
        <v>4</v>
      </c>
      <c r="B10" s="4" t="s">
        <v>514</v>
      </c>
      <c r="C10" s="4" t="s">
        <v>515</v>
      </c>
      <c r="D10" s="4" t="s">
        <v>207</v>
      </c>
      <c r="E10" s="5">
        <v>585169</v>
      </c>
      <c r="F10" s="6">
        <v>4887.3314879999998</v>
      </c>
      <c r="G10" s="138">
        <v>3.1413822000000001E-2</v>
      </c>
      <c r="H10" s="142"/>
    </row>
    <row r="11" spans="1:14" x14ac:dyDescent="0.2">
      <c r="A11" s="3">
        <v>5</v>
      </c>
      <c r="B11" s="4" t="s">
        <v>44</v>
      </c>
      <c r="C11" s="4" t="s">
        <v>45</v>
      </c>
      <c r="D11" s="4" t="s">
        <v>27</v>
      </c>
      <c r="E11" s="5">
        <v>388630</v>
      </c>
      <c r="F11" s="6">
        <v>4745.94956</v>
      </c>
      <c r="G11" s="138">
        <v>3.0505075999999999E-2</v>
      </c>
      <c r="H11" s="142"/>
    </row>
    <row r="12" spans="1:14" x14ac:dyDescent="0.2">
      <c r="A12" s="3">
        <v>6</v>
      </c>
      <c r="B12" s="4" t="s">
        <v>169</v>
      </c>
      <c r="C12" s="4" t="s">
        <v>170</v>
      </c>
      <c r="D12" s="4" t="s">
        <v>164</v>
      </c>
      <c r="E12" s="5">
        <v>124503</v>
      </c>
      <c r="F12" s="6">
        <v>4626.9049889999997</v>
      </c>
      <c r="G12" s="138">
        <v>2.9739904000000001E-2</v>
      </c>
      <c r="H12" s="142"/>
    </row>
    <row r="13" spans="1:14" x14ac:dyDescent="0.2">
      <c r="A13" s="3">
        <v>7</v>
      </c>
      <c r="B13" s="4" t="s">
        <v>460</v>
      </c>
      <c r="C13" s="4" t="s">
        <v>461</v>
      </c>
      <c r="D13" s="4" t="s">
        <v>27</v>
      </c>
      <c r="E13" s="5">
        <v>490032</v>
      </c>
      <c r="F13" s="6">
        <v>4349.2790160000004</v>
      </c>
      <c r="G13" s="138">
        <v>2.7955435000000001E-2</v>
      </c>
      <c r="H13" s="142"/>
    </row>
    <row r="14" spans="1:14" x14ac:dyDescent="0.2">
      <c r="A14" s="3">
        <v>8</v>
      </c>
      <c r="B14" s="4" t="s">
        <v>366</v>
      </c>
      <c r="C14" s="4" t="s">
        <v>367</v>
      </c>
      <c r="D14" s="4" t="s">
        <v>24</v>
      </c>
      <c r="E14" s="5">
        <v>2552643</v>
      </c>
      <c r="F14" s="6">
        <v>4024.2416895000001</v>
      </c>
      <c r="G14" s="138">
        <v>2.5866224E-2</v>
      </c>
      <c r="H14" s="142"/>
    </row>
    <row r="15" spans="1:14" ht="15" x14ac:dyDescent="0.2">
      <c r="A15" s="3">
        <v>9</v>
      </c>
      <c r="B15" s="4" t="s">
        <v>214</v>
      </c>
      <c r="C15" s="4" t="s">
        <v>215</v>
      </c>
      <c r="D15" s="4" t="s">
        <v>216</v>
      </c>
      <c r="E15" s="5">
        <v>1458401</v>
      </c>
      <c r="F15" s="6">
        <v>3971.9551234999999</v>
      </c>
      <c r="G15" s="138">
        <v>2.5530147E-2</v>
      </c>
      <c r="H15" s="142"/>
      <c r="J15" s="163" t="s">
        <v>1039</v>
      </c>
    </row>
    <row r="16" spans="1:14" x14ac:dyDescent="0.2">
      <c r="A16" s="3">
        <v>10</v>
      </c>
      <c r="B16" s="4" t="s">
        <v>221</v>
      </c>
      <c r="C16" s="4" t="s">
        <v>222</v>
      </c>
      <c r="D16" s="4" t="s">
        <v>207</v>
      </c>
      <c r="E16" s="5">
        <v>633232</v>
      </c>
      <c r="F16" s="6">
        <v>3903.5586640000001</v>
      </c>
      <c r="G16" s="138">
        <v>2.5090522000000001E-2</v>
      </c>
      <c r="H16" s="142"/>
    </row>
    <row r="17" spans="1:8" x14ac:dyDescent="0.2">
      <c r="A17" s="3">
        <v>11</v>
      </c>
      <c r="B17" s="4" t="s">
        <v>151</v>
      </c>
      <c r="C17" s="4" t="s">
        <v>152</v>
      </c>
      <c r="D17" s="4" t="s">
        <v>153</v>
      </c>
      <c r="E17" s="5">
        <v>105489</v>
      </c>
      <c r="F17" s="6">
        <v>3887.0059274999999</v>
      </c>
      <c r="G17" s="138">
        <v>2.4984128000000001E-2</v>
      </c>
      <c r="H17" s="142"/>
    </row>
    <row r="18" spans="1:8" x14ac:dyDescent="0.2">
      <c r="A18" s="3">
        <v>12</v>
      </c>
      <c r="B18" s="4" t="s">
        <v>225</v>
      </c>
      <c r="C18" s="4" t="s">
        <v>226</v>
      </c>
      <c r="D18" s="4" t="s">
        <v>1028</v>
      </c>
      <c r="E18" s="5">
        <v>668744</v>
      </c>
      <c r="F18" s="6">
        <v>3787.097272</v>
      </c>
      <c r="G18" s="138">
        <v>2.4341954999999998E-2</v>
      </c>
      <c r="H18" s="142"/>
    </row>
    <row r="19" spans="1:8" x14ac:dyDescent="0.2">
      <c r="A19" s="3">
        <v>13</v>
      </c>
      <c r="B19" s="4" t="s">
        <v>239</v>
      </c>
      <c r="C19" s="4" t="s">
        <v>240</v>
      </c>
      <c r="D19" s="4" t="s">
        <v>207</v>
      </c>
      <c r="E19" s="5">
        <v>200691</v>
      </c>
      <c r="F19" s="6">
        <v>3746.8006245000001</v>
      </c>
      <c r="G19" s="138">
        <v>2.4082943999999998E-2</v>
      </c>
      <c r="H19" s="142"/>
    </row>
    <row r="20" spans="1:8" x14ac:dyDescent="0.2">
      <c r="A20" s="3">
        <v>14</v>
      </c>
      <c r="B20" s="4" t="s">
        <v>160</v>
      </c>
      <c r="C20" s="4" t="s">
        <v>161</v>
      </c>
      <c r="D20" s="4" t="s">
        <v>27</v>
      </c>
      <c r="E20" s="5">
        <v>466400</v>
      </c>
      <c r="F20" s="6">
        <v>3717.6743999999999</v>
      </c>
      <c r="G20" s="138">
        <v>2.3895731999999999E-2</v>
      </c>
      <c r="H20" s="142"/>
    </row>
    <row r="21" spans="1:8" x14ac:dyDescent="0.2">
      <c r="A21" s="3">
        <v>15</v>
      </c>
      <c r="B21" s="4" t="s">
        <v>184</v>
      </c>
      <c r="C21" s="4" t="s">
        <v>185</v>
      </c>
      <c r="D21" s="4" t="s">
        <v>173</v>
      </c>
      <c r="E21" s="5">
        <v>261830</v>
      </c>
      <c r="F21" s="6">
        <v>3657.372355</v>
      </c>
      <c r="G21" s="138">
        <v>2.3508134E-2</v>
      </c>
      <c r="H21" s="142"/>
    </row>
    <row r="22" spans="1:8" x14ac:dyDescent="0.2">
      <c r="A22" s="3">
        <v>16</v>
      </c>
      <c r="B22" s="4" t="s">
        <v>162</v>
      </c>
      <c r="C22" s="4" t="s">
        <v>163</v>
      </c>
      <c r="D22" s="4" t="s">
        <v>164</v>
      </c>
      <c r="E22" s="5">
        <v>1026489</v>
      </c>
      <c r="F22" s="6">
        <v>3508.0261575</v>
      </c>
      <c r="G22" s="138">
        <v>2.2548196E-2</v>
      </c>
      <c r="H22" s="142"/>
    </row>
    <row r="23" spans="1:8" x14ac:dyDescent="0.2">
      <c r="A23" s="3">
        <v>17</v>
      </c>
      <c r="B23" s="4" t="s">
        <v>372</v>
      </c>
      <c r="C23" s="4" t="s">
        <v>373</v>
      </c>
      <c r="D23" s="4" t="s">
        <v>51</v>
      </c>
      <c r="E23" s="5">
        <v>72430</v>
      </c>
      <c r="F23" s="6">
        <v>3340.3991700000001</v>
      </c>
      <c r="G23" s="138">
        <v>2.1470757E-2</v>
      </c>
      <c r="H23" s="142"/>
    </row>
    <row r="24" spans="1:8" x14ac:dyDescent="0.2">
      <c r="A24" s="3">
        <v>18</v>
      </c>
      <c r="B24" s="4" t="s">
        <v>449</v>
      </c>
      <c r="C24" s="4" t="s">
        <v>450</v>
      </c>
      <c r="D24" s="4" t="s">
        <v>80</v>
      </c>
      <c r="E24" s="5">
        <v>483280</v>
      </c>
      <c r="F24" s="6">
        <v>3326.1745999999998</v>
      </c>
      <c r="G24" s="138">
        <v>2.1379327E-2</v>
      </c>
      <c r="H24" s="142"/>
    </row>
    <row r="25" spans="1:8" x14ac:dyDescent="0.2">
      <c r="A25" s="3">
        <v>19</v>
      </c>
      <c r="B25" s="4" t="s">
        <v>165</v>
      </c>
      <c r="C25" s="4" t="s">
        <v>166</v>
      </c>
      <c r="D25" s="4" t="s">
        <v>51</v>
      </c>
      <c r="E25" s="5">
        <v>600000</v>
      </c>
      <c r="F25" s="6">
        <v>2835.9</v>
      </c>
      <c r="G25" s="138">
        <v>1.8228036999999999E-2</v>
      </c>
      <c r="H25" s="142"/>
    </row>
    <row r="26" spans="1:8" x14ac:dyDescent="0.2">
      <c r="A26" s="3">
        <v>20</v>
      </c>
      <c r="B26" s="4" t="s">
        <v>516</v>
      </c>
      <c r="C26" s="4" t="s">
        <v>517</v>
      </c>
      <c r="D26" s="4" t="s">
        <v>24</v>
      </c>
      <c r="E26" s="5">
        <v>870071</v>
      </c>
      <c r="F26" s="6">
        <v>2756.3849279999999</v>
      </c>
      <c r="G26" s="138">
        <v>1.7716946000000001E-2</v>
      </c>
      <c r="H26" s="142"/>
    </row>
    <row r="27" spans="1:8" ht="25.5" x14ac:dyDescent="0.2">
      <c r="A27" s="3">
        <v>21</v>
      </c>
      <c r="B27" s="4" t="s">
        <v>252</v>
      </c>
      <c r="C27" s="4" t="s">
        <v>253</v>
      </c>
      <c r="D27" s="4" t="s">
        <v>90</v>
      </c>
      <c r="E27" s="5">
        <v>637187</v>
      </c>
      <c r="F27" s="6">
        <v>2680.6457089999999</v>
      </c>
      <c r="G27" s="138">
        <v>1.7230123999999999E-2</v>
      </c>
      <c r="H27" s="142"/>
    </row>
    <row r="28" spans="1:8" x14ac:dyDescent="0.2">
      <c r="A28" s="3">
        <v>22</v>
      </c>
      <c r="B28" s="4" t="s">
        <v>182</v>
      </c>
      <c r="C28" s="4" t="s">
        <v>183</v>
      </c>
      <c r="D28" s="4" t="s">
        <v>164</v>
      </c>
      <c r="E28" s="5">
        <v>48685</v>
      </c>
      <c r="F28" s="6">
        <v>2601.9454824999998</v>
      </c>
      <c r="G28" s="138">
        <v>1.6724269999999999E-2</v>
      </c>
      <c r="H28" s="142"/>
    </row>
    <row r="29" spans="1:8" x14ac:dyDescent="0.2">
      <c r="A29" s="3">
        <v>23</v>
      </c>
      <c r="B29" s="4" t="s">
        <v>212</v>
      </c>
      <c r="C29" s="4" t="s">
        <v>213</v>
      </c>
      <c r="D29" s="4" t="s">
        <v>1027</v>
      </c>
      <c r="E29" s="5">
        <v>275421</v>
      </c>
      <c r="F29" s="6">
        <v>2523.4072019999999</v>
      </c>
      <c r="G29" s="138">
        <v>1.6219457999999999E-2</v>
      </c>
      <c r="H29" s="142"/>
    </row>
    <row r="30" spans="1:8" x14ac:dyDescent="0.2">
      <c r="A30" s="3">
        <v>24</v>
      </c>
      <c r="B30" s="4" t="s">
        <v>518</v>
      </c>
      <c r="C30" s="4" t="s">
        <v>519</v>
      </c>
      <c r="D30" s="4" t="s">
        <v>153</v>
      </c>
      <c r="E30" s="5">
        <v>197214</v>
      </c>
      <c r="F30" s="6">
        <v>2442.5939969999999</v>
      </c>
      <c r="G30" s="138">
        <v>1.5700022000000001E-2</v>
      </c>
      <c r="H30" s="142"/>
    </row>
    <row r="31" spans="1:8" x14ac:dyDescent="0.2">
      <c r="A31" s="3">
        <v>25</v>
      </c>
      <c r="B31" s="4" t="s">
        <v>49</v>
      </c>
      <c r="C31" s="4" t="s">
        <v>50</v>
      </c>
      <c r="D31" s="4" t="s">
        <v>51</v>
      </c>
      <c r="E31" s="5">
        <v>73290</v>
      </c>
      <c r="F31" s="6">
        <v>2391.9657299999999</v>
      </c>
      <c r="G31" s="138">
        <v>1.5374604E-2</v>
      </c>
      <c r="H31" s="142"/>
    </row>
    <row r="32" spans="1:8" x14ac:dyDescent="0.2">
      <c r="A32" s="3">
        <v>26</v>
      </c>
      <c r="B32" s="4" t="s">
        <v>520</v>
      </c>
      <c r="C32" s="4" t="s">
        <v>521</v>
      </c>
      <c r="D32" s="4" t="s">
        <v>164</v>
      </c>
      <c r="E32" s="5">
        <v>580622</v>
      </c>
      <c r="F32" s="6">
        <v>2378.5180230000001</v>
      </c>
      <c r="G32" s="138">
        <v>1.5288168E-2</v>
      </c>
      <c r="H32" s="142"/>
    </row>
    <row r="33" spans="1:8" ht="25.5" x14ac:dyDescent="0.2">
      <c r="A33" s="3">
        <v>27</v>
      </c>
      <c r="B33" s="4" t="s">
        <v>502</v>
      </c>
      <c r="C33" s="4" t="s">
        <v>503</v>
      </c>
      <c r="D33" s="4" t="s">
        <v>1023</v>
      </c>
      <c r="E33" s="5">
        <v>159286</v>
      </c>
      <c r="F33" s="6">
        <v>2286.8691020000001</v>
      </c>
      <c r="G33" s="138">
        <v>1.4699085000000001E-2</v>
      </c>
      <c r="H33" s="142"/>
    </row>
    <row r="34" spans="1:8" ht="25.5" x14ac:dyDescent="0.2">
      <c r="A34" s="3">
        <v>28</v>
      </c>
      <c r="B34" s="4" t="s">
        <v>30</v>
      </c>
      <c r="C34" s="4" t="s">
        <v>31</v>
      </c>
      <c r="D34" s="4" t="s">
        <v>1023</v>
      </c>
      <c r="E34" s="5">
        <v>72630</v>
      </c>
      <c r="F34" s="6">
        <v>2257.158825</v>
      </c>
      <c r="G34" s="138">
        <v>1.4508119E-2</v>
      </c>
      <c r="H34" s="142"/>
    </row>
    <row r="35" spans="1:8" x14ac:dyDescent="0.2">
      <c r="A35" s="3">
        <v>29</v>
      </c>
      <c r="B35" s="4" t="s">
        <v>282</v>
      </c>
      <c r="C35" s="4" t="s">
        <v>283</v>
      </c>
      <c r="D35" s="4" t="s">
        <v>207</v>
      </c>
      <c r="E35" s="5">
        <v>40215</v>
      </c>
      <c r="F35" s="6">
        <v>2173.0577400000002</v>
      </c>
      <c r="G35" s="138">
        <v>1.3967551E-2</v>
      </c>
      <c r="H35" s="142"/>
    </row>
    <row r="36" spans="1:8" ht="25.5" x14ac:dyDescent="0.2">
      <c r="A36" s="3">
        <v>30</v>
      </c>
      <c r="B36" s="4" t="s">
        <v>522</v>
      </c>
      <c r="C36" s="4" t="s">
        <v>523</v>
      </c>
      <c r="D36" s="4" t="s">
        <v>90</v>
      </c>
      <c r="E36" s="5">
        <v>581987</v>
      </c>
      <c r="F36" s="6">
        <v>2132.9823550000001</v>
      </c>
      <c r="G36" s="138">
        <v>1.3709961999999999E-2</v>
      </c>
      <c r="H36" s="142"/>
    </row>
    <row r="37" spans="1:8" x14ac:dyDescent="0.2">
      <c r="A37" s="3">
        <v>31</v>
      </c>
      <c r="B37" s="4" t="s">
        <v>235</v>
      </c>
      <c r="C37" s="4" t="s">
        <v>236</v>
      </c>
      <c r="D37" s="4" t="s">
        <v>27</v>
      </c>
      <c r="E37" s="5">
        <v>123319</v>
      </c>
      <c r="F37" s="6">
        <v>2090.1953905</v>
      </c>
      <c r="G37" s="138">
        <v>1.3434944000000001E-2</v>
      </c>
      <c r="H37" s="142"/>
    </row>
    <row r="38" spans="1:8" x14ac:dyDescent="0.2">
      <c r="A38" s="3">
        <v>32</v>
      </c>
      <c r="B38" s="4" t="s">
        <v>524</v>
      </c>
      <c r="C38" s="4" t="s">
        <v>525</v>
      </c>
      <c r="D38" s="4" t="s">
        <v>34</v>
      </c>
      <c r="E38" s="5">
        <v>466310</v>
      </c>
      <c r="F38" s="6">
        <v>2066.2196100000001</v>
      </c>
      <c r="G38" s="138">
        <v>1.3280838E-2</v>
      </c>
      <c r="H38" s="142"/>
    </row>
    <row r="39" spans="1:8" x14ac:dyDescent="0.2">
      <c r="A39" s="3">
        <v>33</v>
      </c>
      <c r="B39" s="4" t="s">
        <v>526</v>
      </c>
      <c r="C39" s="4" t="s">
        <v>527</v>
      </c>
      <c r="D39" s="4" t="s">
        <v>254</v>
      </c>
      <c r="E39" s="5">
        <v>605404</v>
      </c>
      <c r="F39" s="6">
        <v>2052.016858</v>
      </c>
      <c r="G39" s="138">
        <v>1.3189548000000001E-2</v>
      </c>
      <c r="H39" s="142"/>
    </row>
    <row r="40" spans="1:8" x14ac:dyDescent="0.2">
      <c r="A40" s="3">
        <v>34</v>
      </c>
      <c r="B40" s="4" t="s">
        <v>174</v>
      </c>
      <c r="C40" s="4" t="s">
        <v>175</v>
      </c>
      <c r="D40" s="4" t="s">
        <v>335</v>
      </c>
      <c r="E40" s="5">
        <v>204091</v>
      </c>
      <c r="F40" s="6">
        <v>2018.868172</v>
      </c>
      <c r="G40" s="138">
        <v>1.2976481E-2</v>
      </c>
      <c r="H40" s="142"/>
    </row>
    <row r="41" spans="1:8" x14ac:dyDescent="0.2">
      <c r="A41" s="3">
        <v>35</v>
      </c>
      <c r="B41" s="4" t="s">
        <v>528</v>
      </c>
      <c r="C41" s="4" t="s">
        <v>529</v>
      </c>
      <c r="D41" s="4" t="s">
        <v>51</v>
      </c>
      <c r="E41" s="5">
        <v>167736</v>
      </c>
      <c r="F41" s="6">
        <v>2007.7999199999999</v>
      </c>
      <c r="G41" s="138">
        <v>1.2905339E-2</v>
      </c>
      <c r="H41" s="142"/>
    </row>
    <row r="42" spans="1:8" x14ac:dyDescent="0.2">
      <c r="A42" s="3">
        <v>36</v>
      </c>
      <c r="B42" s="4" t="s">
        <v>52</v>
      </c>
      <c r="C42" s="4" t="s">
        <v>53</v>
      </c>
      <c r="D42" s="4" t="s">
        <v>51</v>
      </c>
      <c r="E42" s="5">
        <v>600000</v>
      </c>
      <c r="F42" s="6">
        <v>1857.9</v>
      </c>
      <c r="G42" s="138">
        <v>1.1941841999999999E-2</v>
      </c>
      <c r="H42" s="142"/>
    </row>
    <row r="43" spans="1:8" x14ac:dyDescent="0.2">
      <c r="A43" s="3">
        <v>37</v>
      </c>
      <c r="B43" s="4" t="s">
        <v>64</v>
      </c>
      <c r="C43" s="4" t="s">
        <v>65</v>
      </c>
      <c r="D43" s="4" t="s">
        <v>66</v>
      </c>
      <c r="E43" s="5">
        <v>1129503</v>
      </c>
      <c r="F43" s="6">
        <v>1837.7013810000001</v>
      </c>
      <c r="G43" s="138">
        <v>1.1812013E-2</v>
      </c>
      <c r="H43" s="142"/>
    </row>
    <row r="44" spans="1:8" x14ac:dyDescent="0.2">
      <c r="A44" s="3">
        <v>38</v>
      </c>
      <c r="B44" s="4" t="s">
        <v>259</v>
      </c>
      <c r="C44" s="4" t="s">
        <v>260</v>
      </c>
      <c r="D44" s="4" t="s">
        <v>207</v>
      </c>
      <c r="E44" s="5">
        <v>322636</v>
      </c>
      <c r="F44" s="6">
        <v>1704.32467</v>
      </c>
      <c r="G44" s="138">
        <v>1.0954721000000001E-2</v>
      </c>
      <c r="H44" s="142"/>
    </row>
    <row r="45" spans="1:8" ht="25.5" x14ac:dyDescent="0.2">
      <c r="A45" s="3">
        <v>39</v>
      </c>
      <c r="B45" s="4" t="s">
        <v>217</v>
      </c>
      <c r="C45" s="4" t="s">
        <v>218</v>
      </c>
      <c r="D45" s="4" t="s">
        <v>90</v>
      </c>
      <c r="E45" s="5">
        <v>368640</v>
      </c>
      <c r="F45" s="6">
        <v>1683.02592</v>
      </c>
      <c r="G45" s="138">
        <v>1.0817821E-2</v>
      </c>
      <c r="H45" s="142"/>
    </row>
    <row r="46" spans="1:8" x14ac:dyDescent="0.2">
      <c r="A46" s="3">
        <v>40</v>
      </c>
      <c r="B46" s="4" t="s">
        <v>284</v>
      </c>
      <c r="C46" s="4" t="s">
        <v>285</v>
      </c>
      <c r="D46" s="4" t="s">
        <v>164</v>
      </c>
      <c r="E46" s="5">
        <v>342266</v>
      </c>
      <c r="F46" s="6">
        <v>1643.0479330000001</v>
      </c>
      <c r="G46" s="138">
        <v>1.0560857999999999E-2</v>
      </c>
      <c r="H46" s="142"/>
    </row>
    <row r="47" spans="1:8" x14ac:dyDescent="0.2">
      <c r="A47" s="3">
        <v>41</v>
      </c>
      <c r="B47" s="4" t="s">
        <v>530</v>
      </c>
      <c r="C47" s="4" t="s">
        <v>531</v>
      </c>
      <c r="D47" s="4" t="s">
        <v>27</v>
      </c>
      <c r="E47" s="5">
        <v>458729</v>
      </c>
      <c r="F47" s="6">
        <v>1627.5704920000001</v>
      </c>
      <c r="G47" s="138">
        <v>1.0461376E-2</v>
      </c>
      <c r="H47" s="142"/>
    </row>
    <row r="48" spans="1:8" x14ac:dyDescent="0.2">
      <c r="A48" s="3">
        <v>42</v>
      </c>
      <c r="B48" s="4" t="s">
        <v>532</v>
      </c>
      <c r="C48" s="4" t="s">
        <v>533</v>
      </c>
      <c r="D48" s="4" t="s">
        <v>181</v>
      </c>
      <c r="E48" s="5">
        <v>94501</v>
      </c>
      <c r="F48" s="6">
        <v>1597.1141505000001</v>
      </c>
      <c r="G48" s="138">
        <v>1.0265613999999999E-2</v>
      </c>
      <c r="H48" s="142"/>
    </row>
    <row r="49" spans="1:8" x14ac:dyDescent="0.2">
      <c r="A49" s="3">
        <v>43</v>
      </c>
      <c r="B49" s="4" t="s">
        <v>74</v>
      </c>
      <c r="C49" s="4" t="s">
        <v>75</v>
      </c>
      <c r="D49" s="4" t="s">
        <v>66</v>
      </c>
      <c r="E49" s="5">
        <v>389270</v>
      </c>
      <c r="F49" s="6">
        <v>1596.0070000000001</v>
      </c>
      <c r="G49" s="138">
        <v>1.0258498E-2</v>
      </c>
      <c r="H49" s="142"/>
    </row>
    <row r="50" spans="1:8" x14ac:dyDescent="0.2">
      <c r="A50" s="3">
        <v>44</v>
      </c>
      <c r="B50" s="4" t="s">
        <v>229</v>
      </c>
      <c r="C50" s="4" t="s">
        <v>230</v>
      </c>
      <c r="D50" s="4" t="s">
        <v>51</v>
      </c>
      <c r="E50" s="5">
        <v>169950</v>
      </c>
      <c r="F50" s="6">
        <v>1476.8655000000001</v>
      </c>
      <c r="G50" s="138">
        <v>9.4927039999999994E-3</v>
      </c>
      <c r="H50" s="142"/>
    </row>
    <row r="51" spans="1:8" x14ac:dyDescent="0.2">
      <c r="A51" s="3">
        <v>45</v>
      </c>
      <c r="B51" s="4" t="s">
        <v>534</v>
      </c>
      <c r="C51" s="4" t="s">
        <v>535</v>
      </c>
      <c r="D51" s="4" t="s">
        <v>1028</v>
      </c>
      <c r="E51" s="5">
        <v>3249123</v>
      </c>
      <c r="F51" s="6">
        <v>1475.101842</v>
      </c>
      <c r="G51" s="138">
        <v>9.4813680000000004E-3</v>
      </c>
      <c r="H51" s="142"/>
    </row>
    <row r="52" spans="1:8" x14ac:dyDescent="0.2">
      <c r="A52" s="3">
        <v>46</v>
      </c>
      <c r="B52" s="4" t="s">
        <v>536</v>
      </c>
      <c r="C52" s="4" t="s">
        <v>537</v>
      </c>
      <c r="D52" s="4" t="s">
        <v>153</v>
      </c>
      <c r="E52" s="5">
        <v>181328</v>
      </c>
      <c r="F52" s="6">
        <v>1457.786456</v>
      </c>
      <c r="G52" s="138">
        <v>9.3700710000000006E-3</v>
      </c>
      <c r="H52" s="142"/>
    </row>
    <row r="53" spans="1:8" x14ac:dyDescent="0.2">
      <c r="A53" s="3">
        <v>47</v>
      </c>
      <c r="B53" s="4" t="s">
        <v>78</v>
      </c>
      <c r="C53" s="4" t="s">
        <v>79</v>
      </c>
      <c r="D53" s="4" t="s">
        <v>80</v>
      </c>
      <c r="E53" s="5">
        <v>500000</v>
      </c>
      <c r="F53" s="6">
        <v>1430.25</v>
      </c>
      <c r="G53" s="138">
        <v>9.1930780000000004E-3</v>
      </c>
      <c r="H53" s="142"/>
    </row>
    <row r="54" spans="1:8" x14ac:dyDescent="0.2">
      <c r="A54" s="3">
        <v>48</v>
      </c>
      <c r="B54" s="4" t="s">
        <v>538</v>
      </c>
      <c r="C54" s="4" t="s">
        <v>539</v>
      </c>
      <c r="D54" s="4" t="s">
        <v>59</v>
      </c>
      <c r="E54" s="5">
        <v>163344</v>
      </c>
      <c r="F54" s="6">
        <v>1342.3609919999999</v>
      </c>
      <c r="G54" s="138">
        <v>8.628162E-3</v>
      </c>
      <c r="H54" s="142"/>
    </row>
    <row r="55" spans="1:8" x14ac:dyDescent="0.2">
      <c r="A55" s="3">
        <v>49</v>
      </c>
      <c r="B55" s="4" t="s">
        <v>540</v>
      </c>
      <c r="C55" s="4" t="s">
        <v>541</v>
      </c>
      <c r="D55" s="4" t="s">
        <v>51</v>
      </c>
      <c r="E55" s="5">
        <v>159852</v>
      </c>
      <c r="F55" s="6">
        <v>1207.2023039999999</v>
      </c>
      <c r="G55" s="138">
        <v>7.7594159999999999E-3</v>
      </c>
      <c r="H55" s="142"/>
    </row>
    <row r="56" spans="1:8" x14ac:dyDescent="0.2">
      <c r="A56" s="3">
        <v>50</v>
      </c>
      <c r="B56" s="4" t="s">
        <v>277</v>
      </c>
      <c r="C56" s="4" t="s">
        <v>278</v>
      </c>
      <c r="D56" s="4" t="s">
        <v>279</v>
      </c>
      <c r="E56" s="5">
        <v>520000</v>
      </c>
      <c r="F56" s="6">
        <v>1205.3599999999999</v>
      </c>
      <c r="G56" s="138">
        <v>7.7475749999999996E-3</v>
      </c>
      <c r="H56" s="142"/>
    </row>
    <row r="57" spans="1:8" ht="25.5" x14ac:dyDescent="0.2">
      <c r="A57" s="3">
        <v>51</v>
      </c>
      <c r="B57" s="4" t="s">
        <v>231</v>
      </c>
      <c r="C57" s="4" t="s">
        <v>232</v>
      </c>
      <c r="D57" s="4" t="s">
        <v>51</v>
      </c>
      <c r="E57" s="5">
        <v>54911</v>
      </c>
      <c r="F57" s="6">
        <v>1177.2094735000001</v>
      </c>
      <c r="G57" s="138">
        <v>7.566634E-3</v>
      </c>
      <c r="H57" s="142"/>
    </row>
    <row r="58" spans="1:8" x14ac:dyDescent="0.2">
      <c r="A58" s="3">
        <v>52</v>
      </c>
      <c r="B58" s="4" t="s">
        <v>542</v>
      </c>
      <c r="C58" s="4" t="s">
        <v>543</v>
      </c>
      <c r="D58" s="4" t="s">
        <v>27</v>
      </c>
      <c r="E58" s="5">
        <v>525000</v>
      </c>
      <c r="F58" s="6">
        <v>1090.95</v>
      </c>
      <c r="G58" s="138">
        <v>7.0121929999999999E-3</v>
      </c>
      <c r="H58" s="142"/>
    </row>
    <row r="59" spans="1:8" x14ac:dyDescent="0.2">
      <c r="A59" s="3">
        <v>53</v>
      </c>
      <c r="B59" s="4" t="s">
        <v>186</v>
      </c>
      <c r="C59" s="4" t="s">
        <v>187</v>
      </c>
      <c r="D59" s="4" t="s">
        <v>207</v>
      </c>
      <c r="E59" s="5">
        <v>82344</v>
      </c>
      <c r="F59" s="6">
        <v>1056.26766</v>
      </c>
      <c r="G59" s="138">
        <v>6.7892680000000002E-3</v>
      </c>
      <c r="H59" s="142"/>
    </row>
    <row r="60" spans="1:8" x14ac:dyDescent="0.2">
      <c r="A60" s="3">
        <v>54</v>
      </c>
      <c r="B60" s="4" t="s">
        <v>544</v>
      </c>
      <c r="C60" s="4" t="s">
        <v>545</v>
      </c>
      <c r="D60" s="4" t="s">
        <v>1024</v>
      </c>
      <c r="E60" s="5">
        <v>31067</v>
      </c>
      <c r="F60" s="6">
        <v>942.74364849999995</v>
      </c>
      <c r="G60" s="138">
        <v>6.0595809999999996E-3</v>
      </c>
      <c r="H60" s="142"/>
    </row>
    <row r="61" spans="1:8" ht="25.5" x14ac:dyDescent="0.2">
      <c r="A61" s="3">
        <v>55</v>
      </c>
      <c r="B61" s="4" t="s">
        <v>338</v>
      </c>
      <c r="C61" s="4" t="s">
        <v>339</v>
      </c>
      <c r="D61" s="4" t="s">
        <v>51</v>
      </c>
      <c r="E61" s="5">
        <v>192724</v>
      </c>
      <c r="F61" s="6">
        <v>922.95523600000001</v>
      </c>
      <c r="G61" s="138">
        <v>5.9323889999999997E-3</v>
      </c>
      <c r="H61" s="142"/>
    </row>
    <row r="62" spans="1:8" x14ac:dyDescent="0.2">
      <c r="A62" s="3">
        <v>56</v>
      </c>
      <c r="B62" s="4" t="s">
        <v>546</v>
      </c>
      <c r="C62" s="4" t="s">
        <v>547</v>
      </c>
      <c r="D62" s="4" t="s">
        <v>24</v>
      </c>
      <c r="E62" s="5">
        <v>633649</v>
      </c>
      <c r="F62" s="6">
        <v>889.32637150000005</v>
      </c>
      <c r="G62" s="138">
        <v>5.7162360000000004E-3</v>
      </c>
      <c r="H62" s="142"/>
    </row>
    <row r="63" spans="1:8" x14ac:dyDescent="0.2">
      <c r="A63" s="3">
        <v>57</v>
      </c>
      <c r="B63" s="4" t="s">
        <v>548</v>
      </c>
      <c r="C63" s="4" t="s">
        <v>549</v>
      </c>
      <c r="D63" s="4" t="s">
        <v>1026</v>
      </c>
      <c r="E63" s="5">
        <v>36660</v>
      </c>
      <c r="F63" s="6">
        <v>840.28386</v>
      </c>
      <c r="G63" s="138">
        <v>5.4010100000000004E-3</v>
      </c>
      <c r="H63" s="142"/>
    </row>
    <row r="64" spans="1:8" x14ac:dyDescent="0.2">
      <c r="A64" s="3">
        <v>58</v>
      </c>
      <c r="B64" s="4" t="s">
        <v>550</v>
      </c>
      <c r="C64" s="4" t="s">
        <v>551</v>
      </c>
      <c r="D64" s="4" t="s">
        <v>173</v>
      </c>
      <c r="E64" s="5">
        <v>33457</v>
      </c>
      <c r="F64" s="6">
        <v>705.85905749999995</v>
      </c>
      <c r="G64" s="138">
        <v>4.5369809999999998E-3</v>
      </c>
      <c r="H64" s="142"/>
    </row>
    <row r="65" spans="1:8" x14ac:dyDescent="0.2">
      <c r="A65" s="3">
        <v>59</v>
      </c>
      <c r="B65" s="4" t="s">
        <v>205</v>
      </c>
      <c r="C65" s="4" t="s">
        <v>206</v>
      </c>
      <c r="D65" s="4" t="s">
        <v>207</v>
      </c>
      <c r="E65" s="5">
        <v>151791</v>
      </c>
      <c r="F65" s="6">
        <v>681.92106750000005</v>
      </c>
      <c r="G65" s="138">
        <v>4.3831169999999997E-3</v>
      </c>
      <c r="H65" s="142"/>
    </row>
    <row r="66" spans="1:8" x14ac:dyDescent="0.2">
      <c r="A66" s="3">
        <v>60</v>
      </c>
      <c r="B66" s="4" t="s">
        <v>552</v>
      </c>
      <c r="C66" s="4" t="s">
        <v>553</v>
      </c>
      <c r="D66" s="4" t="s">
        <v>1024</v>
      </c>
      <c r="E66" s="5">
        <v>61814</v>
      </c>
      <c r="F66" s="6">
        <v>659.52447299999994</v>
      </c>
      <c r="G66" s="138">
        <v>4.239161E-3</v>
      </c>
      <c r="H66" s="142"/>
    </row>
    <row r="67" spans="1:8" x14ac:dyDescent="0.2">
      <c r="A67" s="3">
        <v>61</v>
      </c>
      <c r="B67" s="4" t="s">
        <v>250</v>
      </c>
      <c r="C67" s="4" t="s">
        <v>251</v>
      </c>
      <c r="D67" s="4" t="s">
        <v>164</v>
      </c>
      <c r="E67" s="5">
        <v>46532</v>
      </c>
      <c r="F67" s="6">
        <v>642.118334</v>
      </c>
      <c r="G67" s="138">
        <v>4.127281E-3</v>
      </c>
      <c r="H67" s="142"/>
    </row>
    <row r="68" spans="1:8" x14ac:dyDescent="0.2">
      <c r="A68" s="3">
        <v>62</v>
      </c>
      <c r="B68" s="4" t="s">
        <v>348</v>
      </c>
      <c r="C68" s="4" t="s">
        <v>349</v>
      </c>
      <c r="D68" s="4" t="s">
        <v>59</v>
      </c>
      <c r="E68" s="5">
        <v>105000</v>
      </c>
      <c r="F68" s="6">
        <v>408.71249999999998</v>
      </c>
      <c r="G68" s="138">
        <v>2.6270410000000001E-3</v>
      </c>
      <c r="H68" s="142"/>
    </row>
    <row r="69" spans="1:8" x14ac:dyDescent="0.2">
      <c r="A69" s="3">
        <v>63</v>
      </c>
      <c r="B69" s="4" t="s">
        <v>208</v>
      </c>
      <c r="C69" s="4" t="s">
        <v>209</v>
      </c>
      <c r="D69" s="4" t="s">
        <v>153</v>
      </c>
      <c r="E69" s="5">
        <v>24254</v>
      </c>
      <c r="F69" s="6">
        <v>351.986175</v>
      </c>
      <c r="G69" s="138">
        <v>2.262427E-3</v>
      </c>
      <c r="H69" s="142"/>
    </row>
    <row r="70" spans="1:8" x14ac:dyDescent="0.2">
      <c r="A70" s="3">
        <v>64</v>
      </c>
      <c r="B70" s="4" t="s">
        <v>554</v>
      </c>
      <c r="C70" s="4" t="s">
        <v>555</v>
      </c>
      <c r="D70" s="4" t="s">
        <v>254</v>
      </c>
      <c r="E70" s="5">
        <v>130000</v>
      </c>
      <c r="F70" s="6">
        <v>168.02500000000001</v>
      </c>
      <c r="G70" s="138">
        <v>1.079998E-3</v>
      </c>
      <c r="H70" s="142"/>
    </row>
    <row r="71" spans="1:8" x14ac:dyDescent="0.2">
      <c r="A71" s="3">
        <v>65</v>
      </c>
      <c r="B71" s="4" t="s">
        <v>556</v>
      </c>
      <c r="C71" s="4" t="s">
        <v>557</v>
      </c>
      <c r="D71" s="4" t="s">
        <v>51</v>
      </c>
      <c r="E71" s="5">
        <v>84</v>
      </c>
      <c r="F71" s="6">
        <v>7.4620559999999996</v>
      </c>
      <c r="G71" s="143" t="s">
        <v>104</v>
      </c>
      <c r="H71" s="142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9">
        <v>148360.05628201901</v>
      </c>
      <c r="G72" s="139">
        <v>0.95359941299999995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107</v>
      </c>
      <c r="D74" s="1"/>
      <c r="E74" s="1"/>
      <c r="F74" s="1"/>
      <c r="G74" s="137"/>
      <c r="H74" s="14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1">
        <v>0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108</v>
      </c>
      <c r="D77" s="1"/>
      <c r="E77" s="1"/>
      <c r="F77" s="1"/>
      <c r="G77" s="137"/>
      <c r="H77" s="142"/>
    </row>
    <row r="78" spans="1:8" x14ac:dyDescent="0.2">
      <c r="A78" s="3">
        <v>1</v>
      </c>
      <c r="B78" s="4" t="s">
        <v>102</v>
      </c>
      <c r="C78" s="4" t="s">
        <v>990</v>
      </c>
      <c r="D78" s="4" t="s">
        <v>103</v>
      </c>
      <c r="E78" s="5">
        <v>375961</v>
      </c>
      <c r="F78" s="6">
        <v>7.5190000000000003E-6</v>
      </c>
      <c r="G78" s="143" t="s">
        <v>104</v>
      </c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109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111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112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113</v>
      </c>
      <c r="D90" s="1"/>
      <c r="E90" s="1"/>
      <c r="F90" s="9">
        <v>148360.05628201901</v>
      </c>
      <c r="G90" s="139">
        <v>0.95359941299999995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114</v>
      </c>
      <c r="D92" s="1"/>
      <c r="E92" s="1"/>
      <c r="F92" s="12"/>
      <c r="G92" s="140"/>
      <c r="H92" s="142"/>
    </row>
    <row r="93" spans="1:8" ht="25.5" x14ac:dyDescent="0.2">
      <c r="A93" s="1"/>
      <c r="B93" s="1"/>
      <c r="C93" s="2" t="s">
        <v>10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115</v>
      </c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116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117</v>
      </c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1">
        <v>0</v>
      </c>
      <c r="H103" s="142"/>
    </row>
    <row r="104" spans="1:8" x14ac:dyDescent="0.2">
      <c r="A104" s="1"/>
      <c r="B104" s="1"/>
      <c r="C104" s="11"/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118</v>
      </c>
      <c r="D105" s="1"/>
      <c r="E105" s="1"/>
      <c r="F105" s="9">
        <v>0</v>
      </c>
      <c r="G105" s="139">
        <v>0</v>
      </c>
      <c r="H105" s="142"/>
    </row>
    <row r="106" spans="1:8" x14ac:dyDescent="0.2">
      <c r="A106" s="1"/>
      <c r="B106" s="1"/>
      <c r="C106" s="11"/>
      <c r="D106" s="1"/>
      <c r="E106" s="1"/>
      <c r="F106" s="12"/>
      <c r="G106" s="140"/>
      <c r="H106" s="142"/>
    </row>
    <row r="107" spans="1:8" x14ac:dyDescent="0.2">
      <c r="A107" s="1"/>
      <c r="B107" s="1"/>
      <c r="C107" s="2" t="s">
        <v>119</v>
      </c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1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1"/>
      <c r="C117" s="2" t="s">
        <v>123</v>
      </c>
      <c r="D117" s="1"/>
      <c r="E117" s="1"/>
      <c r="F117" s="12"/>
      <c r="G117" s="140"/>
      <c r="H117" s="142"/>
    </row>
    <row r="118" spans="1:8" x14ac:dyDescent="0.2">
      <c r="A118" s="3">
        <v>1</v>
      </c>
      <c r="B118" s="4"/>
      <c r="C118" s="4" t="s">
        <v>124</v>
      </c>
      <c r="D118" s="4"/>
      <c r="E118" s="8"/>
      <c r="F118" s="6">
        <v>7196.5370591000001</v>
      </c>
      <c r="G118" s="138">
        <v>4.6256476999999997E-2</v>
      </c>
      <c r="H118" s="152">
        <v>3.3197683930276081</v>
      </c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9">
        <v>7196.5370591000001</v>
      </c>
      <c r="G119" s="139">
        <v>4.6256476999999997E-2</v>
      </c>
      <c r="H119" s="142"/>
    </row>
    <row r="120" spans="1:8" x14ac:dyDescent="0.2">
      <c r="A120" s="1"/>
      <c r="B120" s="1"/>
      <c r="C120" s="11"/>
      <c r="D120" s="1"/>
      <c r="E120" s="1"/>
      <c r="F120" s="12"/>
      <c r="G120" s="140"/>
      <c r="H120" s="142"/>
    </row>
    <row r="121" spans="1:8" x14ac:dyDescent="0.2">
      <c r="A121" s="1"/>
      <c r="B121" s="1"/>
      <c r="C121" s="2" t="s">
        <v>125</v>
      </c>
      <c r="D121" s="1"/>
      <c r="E121" s="1"/>
      <c r="F121" s="9">
        <v>7196.5370591000001</v>
      </c>
      <c r="G121" s="139">
        <v>4.6256476999999997E-2</v>
      </c>
      <c r="H121" s="142"/>
    </row>
    <row r="122" spans="1:8" x14ac:dyDescent="0.2">
      <c r="A122" s="1"/>
      <c r="B122" s="1"/>
      <c r="C122" s="12"/>
      <c r="D122" s="1"/>
      <c r="E122" s="1"/>
      <c r="F122" s="1"/>
      <c r="G122" s="137"/>
      <c r="H122" s="142"/>
    </row>
    <row r="123" spans="1:8" x14ac:dyDescent="0.2">
      <c r="A123" s="1"/>
      <c r="B123" s="1"/>
      <c r="C123" s="2" t="s">
        <v>126</v>
      </c>
      <c r="D123" s="1"/>
      <c r="E123" s="1"/>
      <c r="F123" s="1"/>
      <c r="G123" s="137"/>
      <c r="H123" s="142"/>
    </row>
    <row r="124" spans="1:8" x14ac:dyDescent="0.2">
      <c r="A124" s="1"/>
      <c r="B124" s="1"/>
      <c r="C124" s="2" t="s">
        <v>127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1">
        <v>0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128</v>
      </c>
      <c r="D127" s="1"/>
      <c r="E127" s="1"/>
      <c r="F127" s="1"/>
      <c r="G127" s="137"/>
      <c r="H127" s="142"/>
    </row>
    <row r="128" spans="1:8" x14ac:dyDescent="0.2">
      <c r="A128" s="1"/>
      <c r="B128" s="1"/>
      <c r="C128" s="2" t="s">
        <v>129</v>
      </c>
      <c r="D128" s="1"/>
      <c r="E128" s="1"/>
      <c r="F128" s="1"/>
      <c r="G128" s="137"/>
      <c r="H128" s="142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1">
        <v>0</v>
      </c>
      <c r="H129" s="142"/>
    </row>
    <row r="130" spans="1:8" x14ac:dyDescent="0.2">
      <c r="A130" s="1"/>
      <c r="B130" s="1"/>
      <c r="C130" s="11"/>
      <c r="D130" s="1"/>
      <c r="E130" s="1"/>
      <c r="F130" s="12"/>
      <c r="G130" s="140"/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ht="25.5" x14ac:dyDescent="0.2">
      <c r="A132" s="1"/>
      <c r="B132" s="1"/>
      <c r="C132" s="2" t="s">
        <v>130</v>
      </c>
      <c r="D132" s="1"/>
      <c r="E132" s="1"/>
      <c r="F132" s="12"/>
      <c r="G132" s="140"/>
      <c r="H132" s="142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1">
        <v>0</v>
      </c>
      <c r="H133" s="142"/>
    </row>
    <row r="134" spans="1:8" x14ac:dyDescent="0.2">
      <c r="A134" s="1"/>
      <c r="B134" s="1"/>
      <c r="C134" s="11"/>
      <c r="D134" s="1"/>
      <c r="E134" s="1"/>
      <c r="F134" s="12"/>
      <c r="G134" s="140"/>
      <c r="H134" s="142"/>
    </row>
    <row r="135" spans="1:8" x14ac:dyDescent="0.2">
      <c r="A135" s="1"/>
      <c r="B135" s="4"/>
      <c r="C135" s="4"/>
      <c r="D135" s="2"/>
      <c r="E135" s="1"/>
      <c r="F135" s="4"/>
      <c r="G135" s="143"/>
      <c r="H135" s="142"/>
    </row>
    <row r="136" spans="1:8" x14ac:dyDescent="0.2">
      <c r="A136" s="8"/>
      <c r="B136" s="4"/>
      <c r="C136" s="4" t="s">
        <v>131</v>
      </c>
      <c r="D136" s="4"/>
      <c r="E136" s="8"/>
      <c r="F136" s="6">
        <v>22.420129540000001</v>
      </c>
      <c r="G136" s="138">
        <v>1.44108E-4</v>
      </c>
      <c r="H136" s="142"/>
    </row>
    <row r="137" spans="1:8" x14ac:dyDescent="0.2">
      <c r="A137" s="11"/>
      <c r="B137" s="11"/>
      <c r="C137" s="2" t="s">
        <v>132</v>
      </c>
      <c r="D137" s="15"/>
      <c r="E137" s="15"/>
      <c r="F137" s="9">
        <v>155579.013470659</v>
      </c>
      <c r="G137" s="139">
        <v>0.99999999799999995</v>
      </c>
      <c r="H137" s="142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205" t="s">
        <v>106</v>
      </c>
      <c r="C139" s="205"/>
      <c r="D139" s="205"/>
      <c r="E139" s="205"/>
      <c r="F139" s="205"/>
      <c r="G139" s="20"/>
    </row>
    <row r="140" spans="1:8" ht="17.100000000000001" customHeight="1" x14ac:dyDescent="0.2">
      <c r="A140" s="18"/>
      <c r="B140" s="205" t="s">
        <v>133</v>
      </c>
      <c r="C140" s="205"/>
      <c r="D140" s="205"/>
      <c r="E140" s="205"/>
      <c r="F140" s="205"/>
      <c r="G140" s="20"/>
    </row>
    <row r="141" spans="1:8" ht="14.1" customHeight="1" x14ac:dyDescent="0.2">
      <c r="A141" s="18"/>
      <c r="B141" s="18"/>
      <c r="C141" s="18"/>
      <c r="D141" s="20"/>
      <c r="E141" s="20"/>
      <c r="F141" s="20"/>
      <c r="G141" s="20"/>
    </row>
    <row r="142" spans="1:8" ht="14.1" customHeight="1" x14ac:dyDescent="0.2">
      <c r="A142" s="18"/>
      <c r="B142" s="203" t="s">
        <v>134</v>
      </c>
      <c r="C142" s="204"/>
      <c r="D142" s="12" t="s">
        <v>106</v>
      </c>
      <c r="E142" s="21"/>
      <c r="F142" s="20"/>
      <c r="G142" s="20"/>
    </row>
    <row r="143" spans="1:8" ht="29.1" customHeight="1" x14ac:dyDescent="0.2">
      <c r="A143" s="18"/>
      <c r="B143" s="199" t="s">
        <v>135</v>
      </c>
      <c r="C143" s="200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99" t="s">
        <v>137</v>
      </c>
      <c r="C144" s="200"/>
      <c r="D144" s="2" t="s">
        <v>136</v>
      </c>
      <c r="E144" s="21"/>
      <c r="F144" s="20"/>
      <c r="G144" s="20"/>
    </row>
    <row r="145" spans="1:7" ht="17.100000000000001" customHeight="1" x14ac:dyDescent="0.2">
      <c r="A145" s="18"/>
      <c r="B145" s="199" t="s">
        <v>138</v>
      </c>
      <c r="C145" s="200"/>
      <c r="D145" s="12" t="s">
        <v>106</v>
      </c>
      <c r="E145" s="21"/>
      <c r="F145" s="20"/>
      <c r="G145" s="20"/>
    </row>
    <row r="146" spans="1:7" ht="24" customHeight="1" x14ac:dyDescent="0.2">
      <c r="A146" s="22"/>
      <c r="B146" s="23" t="s">
        <v>106</v>
      </c>
      <c r="C146" s="23" t="s">
        <v>139</v>
      </c>
      <c r="D146" s="23" t="s">
        <v>140</v>
      </c>
      <c r="E146" s="22"/>
      <c r="F146" s="22"/>
      <c r="G146" s="22"/>
    </row>
    <row r="147" spans="1:7" ht="18" customHeight="1" x14ac:dyDescent="0.2">
      <c r="A147" s="22"/>
      <c r="B147" s="23" t="s">
        <v>141</v>
      </c>
      <c r="C147" s="23" t="s">
        <v>142</v>
      </c>
      <c r="D147" s="23" t="s">
        <v>143</v>
      </c>
      <c r="E147" s="22"/>
      <c r="F147" s="22"/>
      <c r="G147" s="22"/>
    </row>
    <row r="148" spans="1:7" x14ac:dyDescent="0.2">
      <c r="A148" s="22"/>
      <c r="B148" s="4" t="s">
        <v>144</v>
      </c>
      <c r="C148" s="24">
        <v>146.4769</v>
      </c>
      <c r="D148" s="24">
        <v>154.67250000000001</v>
      </c>
      <c r="E148" s="22"/>
      <c r="F148" s="19"/>
      <c r="G148" s="25"/>
    </row>
    <row r="149" spans="1:7" x14ac:dyDescent="0.2">
      <c r="A149" s="22"/>
      <c r="B149" s="4" t="s">
        <v>1019</v>
      </c>
      <c r="C149" s="24">
        <v>25.670200000000001</v>
      </c>
      <c r="D149" s="24">
        <v>27.1065</v>
      </c>
      <c r="E149" s="22"/>
      <c r="F149" s="19"/>
      <c r="G149" s="25"/>
    </row>
    <row r="150" spans="1:7" x14ac:dyDescent="0.2">
      <c r="A150" s="22"/>
      <c r="B150" s="4" t="s">
        <v>406</v>
      </c>
      <c r="C150" s="24">
        <v>149.52109999999999</v>
      </c>
      <c r="D150" s="24">
        <v>157.88800000000001</v>
      </c>
      <c r="E150" s="22"/>
      <c r="F150" s="19"/>
      <c r="G150" s="25"/>
    </row>
    <row r="151" spans="1:7" x14ac:dyDescent="0.2">
      <c r="A151" s="22"/>
      <c r="B151" s="4" t="s">
        <v>1022</v>
      </c>
      <c r="C151" s="24">
        <v>26.6815</v>
      </c>
      <c r="D151" s="24">
        <v>28.174299999999999</v>
      </c>
      <c r="E151" s="22"/>
      <c r="F151" s="19"/>
      <c r="G151" s="25"/>
    </row>
    <row r="152" spans="1:7" x14ac:dyDescent="0.2">
      <c r="A152" s="22"/>
      <c r="B152" s="4" t="s">
        <v>145</v>
      </c>
      <c r="C152" s="24">
        <v>138.20529999999999</v>
      </c>
      <c r="D152" s="24">
        <v>145.81870000000001</v>
      </c>
      <c r="E152" s="22"/>
      <c r="F152" s="19"/>
      <c r="G152" s="25"/>
    </row>
    <row r="153" spans="1:7" x14ac:dyDescent="0.2">
      <c r="A153" s="22"/>
      <c r="B153" s="4" t="s">
        <v>1020</v>
      </c>
      <c r="C153" s="24">
        <v>23.5732</v>
      </c>
      <c r="D153" s="24">
        <v>24.8718</v>
      </c>
      <c r="E153" s="22"/>
      <c r="F153" s="19"/>
      <c r="G153" s="25"/>
    </row>
    <row r="154" spans="1:7" ht="14.1" customHeight="1" x14ac:dyDescent="0.2">
      <c r="A154" s="22"/>
      <c r="B154" s="22"/>
      <c r="C154" s="22"/>
      <c r="D154" s="22"/>
      <c r="E154" s="22"/>
      <c r="F154" s="22"/>
      <c r="G154" s="22"/>
    </row>
    <row r="155" spans="1:7" ht="17.100000000000001" customHeight="1" x14ac:dyDescent="0.2">
      <c r="A155" s="22"/>
      <c r="B155" s="199" t="s">
        <v>1021</v>
      </c>
      <c r="C155" s="200"/>
      <c r="D155" s="2" t="s">
        <v>136</v>
      </c>
      <c r="E155" s="22"/>
      <c r="F155" s="22"/>
      <c r="G155" s="22"/>
    </row>
    <row r="156" spans="1:7" ht="18" customHeight="1" x14ac:dyDescent="0.2">
      <c r="A156" s="22"/>
      <c r="B156" s="26"/>
      <c r="C156" s="26"/>
      <c r="D156" s="27"/>
      <c r="E156" s="22"/>
      <c r="F156" s="22"/>
      <c r="G156" s="22"/>
    </row>
    <row r="157" spans="1:7" s="125" customFormat="1" x14ac:dyDescent="0.2">
      <c r="B157" s="201" t="s">
        <v>825</v>
      </c>
      <c r="C157" s="201"/>
      <c r="D157" s="201"/>
      <c r="E157" s="201"/>
      <c r="F157" s="201"/>
    </row>
    <row r="158" spans="1:7" ht="14.1" customHeight="1" x14ac:dyDescent="0.2">
      <c r="A158" s="22"/>
      <c r="B158" s="19"/>
      <c r="C158" s="19"/>
      <c r="D158" s="22"/>
      <c r="E158" s="22"/>
      <c r="F158" s="22"/>
      <c r="G158" s="22"/>
    </row>
    <row r="159" spans="1:7" ht="29.1" customHeight="1" x14ac:dyDescent="0.2">
      <c r="A159" s="22"/>
      <c r="B159" s="199" t="s">
        <v>146</v>
      </c>
      <c r="C159" s="200"/>
      <c r="D159" s="2" t="s">
        <v>136</v>
      </c>
      <c r="E159" s="22"/>
      <c r="F159" s="22"/>
      <c r="G159" s="22"/>
    </row>
    <row r="160" spans="1:7" ht="29.1" customHeight="1" x14ac:dyDescent="0.2">
      <c r="A160" s="22"/>
      <c r="B160" s="199" t="s">
        <v>147</v>
      </c>
      <c r="C160" s="200"/>
      <c r="D160" s="2" t="s">
        <v>136</v>
      </c>
      <c r="E160" s="22"/>
      <c r="F160" s="22"/>
      <c r="G160" s="22"/>
    </row>
    <row r="161" spans="1:7" ht="17.100000000000001" customHeight="1" x14ac:dyDescent="0.2">
      <c r="A161" s="22"/>
      <c r="B161" s="199" t="s">
        <v>148</v>
      </c>
      <c r="C161" s="200"/>
      <c r="D161" s="28">
        <v>0.57201632434520777</v>
      </c>
      <c r="E161" s="22"/>
      <c r="F161" s="19"/>
      <c r="G161" s="25"/>
    </row>
    <row r="162" spans="1:7" ht="17.100000000000001" customHeight="1" x14ac:dyDescent="0.2">
      <c r="A162" s="22"/>
      <c r="B162" s="199" t="s">
        <v>149</v>
      </c>
      <c r="C162" s="200"/>
      <c r="D162" s="2" t="s">
        <v>136</v>
      </c>
      <c r="E162" s="22"/>
      <c r="F162" s="22"/>
      <c r="G162" s="22"/>
    </row>
  </sheetData>
  <mergeCells count="16">
    <mergeCell ref="J2:N2"/>
    <mergeCell ref="B142:C142"/>
    <mergeCell ref="B139:F139"/>
    <mergeCell ref="B140:F140"/>
    <mergeCell ref="A1:H1"/>
    <mergeCell ref="A2:H2"/>
    <mergeCell ref="A3:H3"/>
    <mergeCell ref="B161:C161"/>
    <mergeCell ref="B162:C162"/>
    <mergeCell ref="B143:C143"/>
    <mergeCell ref="B144:C144"/>
    <mergeCell ref="B145:C145"/>
    <mergeCell ref="B155:C155"/>
    <mergeCell ref="B159:C159"/>
    <mergeCell ref="B160:C160"/>
    <mergeCell ref="B157:F15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N159"/>
  <sheetViews>
    <sheetView showGridLines="0" zoomScaleNormal="10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558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ht="25.5" x14ac:dyDescent="0.2">
      <c r="A7" s="3">
        <v>1</v>
      </c>
      <c r="B7" s="4" t="s">
        <v>418</v>
      </c>
      <c r="C7" s="4" t="s">
        <v>419</v>
      </c>
      <c r="D7" s="4" t="s">
        <v>90</v>
      </c>
      <c r="E7" s="5">
        <v>330000</v>
      </c>
      <c r="F7" s="6">
        <v>8915.94</v>
      </c>
      <c r="G7" s="138">
        <v>6.8525366000000004E-2</v>
      </c>
      <c r="H7" s="142"/>
    </row>
    <row r="8" spans="1:14" ht="25.5" x14ac:dyDescent="0.2">
      <c r="A8" s="3">
        <v>2</v>
      </c>
      <c r="B8" s="4" t="s">
        <v>323</v>
      </c>
      <c r="C8" s="4" t="s">
        <v>324</v>
      </c>
      <c r="D8" s="4" t="s">
        <v>90</v>
      </c>
      <c r="E8" s="5">
        <v>950000</v>
      </c>
      <c r="F8" s="6">
        <v>8527.2000000000007</v>
      </c>
      <c r="G8" s="138">
        <v>6.5537622000000004E-2</v>
      </c>
      <c r="H8" s="142"/>
    </row>
    <row r="9" spans="1:14" ht="25.5" x14ac:dyDescent="0.2">
      <c r="A9" s="3">
        <v>3</v>
      </c>
      <c r="B9" s="4" t="s">
        <v>559</v>
      </c>
      <c r="C9" s="4" t="s">
        <v>560</v>
      </c>
      <c r="D9" s="4" t="s">
        <v>90</v>
      </c>
      <c r="E9" s="5">
        <v>255000</v>
      </c>
      <c r="F9" s="6">
        <v>8273.8575000000001</v>
      </c>
      <c r="G9" s="138">
        <v>6.3590504000000006E-2</v>
      </c>
      <c r="H9" s="142"/>
    </row>
    <row r="10" spans="1:14" x14ac:dyDescent="0.2">
      <c r="A10" s="3">
        <v>4</v>
      </c>
      <c r="B10" s="4" t="s">
        <v>408</v>
      </c>
      <c r="C10" s="4" t="s">
        <v>409</v>
      </c>
      <c r="D10" s="4" t="s">
        <v>24</v>
      </c>
      <c r="E10" s="5">
        <v>410000</v>
      </c>
      <c r="F10" s="6">
        <v>6539.2950000000001</v>
      </c>
      <c r="G10" s="138">
        <v>5.0259152000000001E-2</v>
      </c>
      <c r="H10" s="142"/>
    </row>
    <row r="11" spans="1:14" ht="25.5" x14ac:dyDescent="0.2">
      <c r="A11" s="3">
        <v>5</v>
      </c>
      <c r="B11" s="4" t="s">
        <v>398</v>
      </c>
      <c r="C11" s="4" t="s">
        <v>399</v>
      </c>
      <c r="D11" s="4" t="s">
        <v>90</v>
      </c>
      <c r="E11" s="5">
        <v>800000</v>
      </c>
      <c r="F11" s="6">
        <v>6508.8</v>
      </c>
      <c r="G11" s="138">
        <v>5.0024776E-2</v>
      </c>
      <c r="H11" s="142"/>
    </row>
    <row r="12" spans="1:14" ht="15" x14ac:dyDescent="0.2">
      <c r="A12" s="3">
        <v>6</v>
      </c>
      <c r="B12" s="4" t="s">
        <v>22</v>
      </c>
      <c r="C12" s="4" t="s">
        <v>23</v>
      </c>
      <c r="D12" s="4" t="s">
        <v>24</v>
      </c>
      <c r="E12" s="5">
        <v>920000</v>
      </c>
      <c r="F12" s="6">
        <v>6447.82</v>
      </c>
      <c r="G12" s="138">
        <v>4.9556101999999998E-2</v>
      </c>
      <c r="H12" s="142"/>
      <c r="J12" s="163" t="s">
        <v>1040</v>
      </c>
    </row>
    <row r="13" spans="1:14" ht="25.5" x14ac:dyDescent="0.2">
      <c r="A13" s="3">
        <v>7</v>
      </c>
      <c r="B13" s="4" t="s">
        <v>338</v>
      </c>
      <c r="C13" s="4" t="s">
        <v>339</v>
      </c>
      <c r="D13" s="4" t="s">
        <v>51</v>
      </c>
      <c r="E13" s="5">
        <v>1300000</v>
      </c>
      <c r="F13" s="6">
        <v>6225.7</v>
      </c>
      <c r="G13" s="138">
        <v>4.7848951000000001E-2</v>
      </c>
      <c r="H13" s="142"/>
    </row>
    <row r="14" spans="1:14" ht="25.5" x14ac:dyDescent="0.2">
      <c r="A14" s="3">
        <v>8</v>
      </c>
      <c r="B14" s="4" t="s">
        <v>435</v>
      </c>
      <c r="C14" s="4" t="s">
        <v>436</v>
      </c>
      <c r="D14" s="4" t="s">
        <v>90</v>
      </c>
      <c r="E14" s="5">
        <v>2500000</v>
      </c>
      <c r="F14" s="6">
        <v>5903.75</v>
      </c>
      <c r="G14" s="138">
        <v>4.5374535000000001E-2</v>
      </c>
      <c r="H14" s="142"/>
    </row>
    <row r="15" spans="1:14" x14ac:dyDescent="0.2">
      <c r="A15" s="3">
        <v>9</v>
      </c>
      <c r="B15" s="4" t="s">
        <v>318</v>
      </c>
      <c r="C15" s="4" t="s">
        <v>319</v>
      </c>
      <c r="D15" s="4" t="s">
        <v>51</v>
      </c>
      <c r="E15" s="5">
        <v>465000</v>
      </c>
      <c r="F15" s="6">
        <v>5663.9324999999999</v>
      </c>
      <c r="G15" s="138">
        <v>4.3531366000000002E-2</v>
      </c>
      <c r="H15" s="142"/>
    </row>
    <row r="16" spans="1:14" ht="25.5" x14ac:dyDescent="0.2">
      <c r="A16" s="3">
        <v>10</v>
      </c>
      <c r="B16" s="4" t="s">
        <v>20</v>
      </c>
      <c r="C16" s="4" t="s">
        <v>21</v>
      </c>
      <c r="D16" s="4" t="s">
        <v>1023</v>
      </c>
      <c r="E16" s="5">
        <v>560000</v>
      </c>
      <c r="F16" s="6">
        <v>5514.04</v>
      </c>
      <c r="G16" s="138">
        <v>4.2379334999999997E-2</v>
      </c>
      <c r="H16" s="142"/>
    </row>
    <row r="17" spans="1:8" x14ac:dyDescent="0.2">
      <c r="A17" s="3">
        <v>11</v>
      </c>
      <c r="B17" s="4" t="s">
        <v>426</v>
      </c>
      <c r="C17" s="4" t="s">
        <v>427</v>
      </c>
      <c r="D17" s="4" t="s">
        <v>83</v>
      </c>
      <c r="E17" s="5">
        <v>650000</v>
      </c>
      <c r="F17" s="6">
        <v>5219.8249999999998</v>
      </c>
      <c r="G17" s="138">
        <v>4.0118082999999999E-2</v>
      </c>
      <c r="H17" s="142"/>
    </row>
    <row r="18" spans="1:8" x14ac:dyDescent="0.2">
      <c r="A18" s="3">
        <v>12</v>
      </c>
      <c r="B18" s="4" t="s">
        <v>416</v>
      </c>
      <c r="C18" s="4" t="s">
        <v>417</v>
      </c>
      <c r="D18" s="4" t="s">
        <v>1030</v>
      </c>
      <c r="E18" s="5">
        <v>350000</v>
      </c>
      <c r="F18" s="6">
        <v>4252.8500000000004</v>
      </c>
      <c r="G18" s="138">
        <v>3.2686188999999997E-2</v>
      </c>
      <c r="H18" s="142"/>
    </row>
    <row r="19" spans="1:8" x14ac:dyDescent="0.2">
      <c r="A19" s="3">
        <v>13</v>
      </c>
      <c r="B19" s="4" t="s">
        <v>340</v>
      </c>
      <c r="C19" s="4" t="s">
        <v>341</v>
      </c>
      <c r="D19" s="4" t="s">
        <v>216</v>
      </c>
      <c r="E19" s="5">
        <v>12000</v>
      </c>
      <c r="F19" s="6">
        <v>3804.5880000000002</v>
      </c>
      <c r="G19" s="138">
        <v>2.9240975999999998E-2</v>
      </c>
      <c r="H19" s="142"/>
    </row>
    <row r="20" spans="1:8" x14ac:dyDescent="0.2">
      <c r="A20" s="3">
        <v>14</v>
      </c>
      <c r="B20" s="4" t="s">
        <v>556</v>
      </c>
      <c r="C20" s="4" t="s">
        <v>557</v>
      </c>
      <c r="D20" s="4" t="s">
        <v>51</v>
      </c>
      <c r="E20" s="5">
        <v>40000</v>
      </c>
      <c r="F20" s="6">
        <v>3553.36</v>
      </c>
      <c r="G20" s="138">
        <v>2.7310108999999999E-2</v>
      </c>
      <c r="H20" s="142"/>
    </row>
    <row r="21" spans="1:8" x14ac:dyDescent="0.2">
      <c r="A21" s="3">
        <v>15</v>
      </c>
      <c r="B21" s="4" t="s">
        <v>561</v>
      </c>
      <c r="C21" s="4" t="s">
        <v>562</v>
      </c>
      <c r="D21" s="4" t="s">
        <v>80</v>
      </c>
      <c r="E21" s="5">
        <v>44000</v>
      </c>
      <c r="F21" s="6">
        <v>3373.9639999999999</v>
      </c>
      <c r="G21" s="138">
        <v>2.5931322999999999E-2</v>
      </c>
      <c r="H21" s="142"/>
    </row>
    <row r="22" spans="1:8" x14ac:dyDescent="0.2">
      <c r="A22" s="3">
        <v>16</v>
      </c>
      <c r="B22" s="4" t="s">
        <v>376</v>
      </c>
      <c r="C22" s="4" t="s">
        <v>377</v>
      </c>
      <c r="D22" s="4" t="s">
        <v>254</v>
      </c>
      <c r="E22" s="5">
        <v>408022</v>
      </c>
      <c r="F22" s="6">
        <v>3241.5307790000002</v>
      </c>
      <c r="G22" s="138">
        <v>2.4913478999999999E-2</v>
      </c>
      <c r="H22" s="142"/>
    </row>
    <row r="23" spans="1:8" x14ac:dyDescent="0.2">
      <c r="A23" s="3">
        <v>17</v>
      </c>
      <c r="B23" s="4" t="s">
        <v>563</v>
      </c>
      <c r="C23" s="4" t="s">
        <v>564</v>
      </c>
      <c r="D23" s="4" t="s">
        <v>83</v>
      </c>
      <c r="E23" s="5">
        <v>43000</v>
      </c>
      <c r="F23" s="6">
        <v>3155.3615</v>
      </c>
      <c r="G23" s="138">
        <v>2.4251207E-2</v>
      </c>
      <c r="H23" s="142"/>
    </row>
    <row r="24" spans="1:8" ht="25.5" x14ac:dyDescent="0.2">
      <c r="A24" s="3">
        <v>18</v>
      </c>
      <c r="B24" s="4" t="s">
        <v>484</v>
      </c>
      <c r="C24" s="4" t="s">
        <v>485</v>
      </c>
      <c r="D24" s="4" t="s">
        <v>90</v>
      </c>
      <c r="E24" s="5">
        <v>340000</v>
      </c>
      <c r="F24" s="6">
        <v>2900.54</v>
      </c>
      <c r="G24" s="138">
        <v>2.2292721000000001E-2</v>
      </c>
      <c r="H24" s="142"/>
    </row>
    <row r="25" spans="1:8" x14ac:dyDescent="0.2">
      <c r="A25" s="3">
        <v>19</v>
      </c>
      <c r="B25" s="4" t="s">
        <v>504</v>
      </c>
      <c r="C25" s="4" t="s">
        <v>505</v>
      </c>
      <c r="D25" s="4" t="s">
        <v>51</v>
      </c>
      <c r="E25" s="5">
        <v>120000</v>
      </c>
      <c r="F25" s="6">
        <v>2594.2199999999998</v>
      </c>
      <c r="G25" s="138">
        <v>1.9938432999999998E-2</v>
      </c>
      <c r="H25" s="142"/>
    </row>
    <row r="26" spans="1:8" ht="25.5" x14ac:dyDescent="0.2">
      <c r="A26" s="3">
        <v>20</v>
      </c>
      <c r="B26" s="4" t="s">
        <v>492</v>
      </c>
      <c r="C26" s="4" t="s">
        <v>493</v>
      </c>
      <c r="D26" s="4" t="s">
        <v>90</v>
      </c>
      <c r="E26" s="5">
        <v>18382</v>
      </c>
      <c r="F26" s="6">
        <v>2587.045916</v>
      </c>
      <c r="G26" s="138">
        <v>1.9883294999999999E-2</v>
      </c>
      <c r="H26" s="142"/>
    </row>
    <row r="27" spans="1:8" x14ac:dyDescent="0.2">
      <c r="A27" s="3">
        <v>21</v>
      </c>
      <c r="B27" s="4" t="s">
        <v>404</v>
      </c>
      <c r="C27" s="4" t="s">
        <v>405</v>
      </c>
      <c r="D27" s="4" t="s">
        <v>335</v>
      </c>
      <c r="E27" s="5">
        <v>1000000</v>
      </c>
      <c r="F27" s="6">
        <v>2463.5</v>
      </c>
      <c r="G27" s="138">
        <v>1.8933756999999999E-2</v>
      </c>
      <c r="H27" s="142"/>
    </row>
    <row r="28" spans="1:8" x14ac:dyDescent="0.2">
      <c r="A28" s="3">
        <v>22</v>
      </c>
      <c r="B28" s="4" t="s">
        <v>382</v>
      </c>
      <c r="C28" s="4" t="s">
        <v>383</v>
      </c>
      <c r="D28" s="4" t="s">
        <v>51</v>
      </c>
      <c r="E28" s="5">
        <v>100000</v>
      </c>
      <c r="F28" s="6">
        <v>2284.9499999999998</v>
      </c>
      <c r="G28" s="138">
        <v>1.7561473000000001E-2</v>
      </c>
      <c r="H28" s="142"/>
    </row>
    <row r="29" spans="1:8" ht="25.5" x14ac:dyDescent="0.2">
      <c r="A29" s="3">
        <v>23</v>
      </c>
      <c r="B29" s="4" t="s">
        <v>217</v>
      </c>
      <c r="C29" s="4" t="s">
        <v>218</v>
      </c>
      <c r="D29" s="4" t="s">
        <v>90</v>
      </c>
      <c r="E29" s="5">
        <v>450000</v>
      </c>
      <c r="F29" s="6">
        <v>2054.4749999999999</v>
      </c>
      <c r="G29" s="138">
        <v>1.5790108000000001E-2</v>
      </c>
      <c r="H29" s="142"/>
    </row>
    <row r="30" spans="1:8" x14ac:dyDescent="0.2">
      <c r="A30" s="3">
        <v>24</v>
      </c>
      <c r="B30" s="4" t="s">
        <v>378</v>
      </c>
      <c r="C30" s="4" t="s">
        <v>379</v>
      </c>
      <c r="D30" s="4" t="s">
        <v>51</v>
      </c>
      <c r="E30" s="5">
        <v>2700040</v>
      </c>
      <c r="F30" s="6">
        <v>1968.32916</v>
      </c>
      <c r="G30" s="138">
        <v>1.5128015E-2</v>
      </c>
      <c r="H30" s="142"/>
    </row>
    <row r="31" spans="1:8" ht="25.5" x14ac:dyDescent="0.2">
      <c r="A31" s="3">
        <v>25</v>
      </c>
      <c r="B31" s="4" t="s">
        <v>565</v>
      </c>
      <c r="C31" s="4" t="s">
        <v>566</v>
      </c>
      <c r="D31" s="4" t="s">
        <v>90</v>
      </c>
      <c r="E31" s="5">
        <v>10000</v>
      </c>
      <c r="F31" s="6">
        <v>1944.5550000000001</v>
      </c>
      <c r="G31" s="138">
        <v>1.4945294E-2</v>
      </c>
      <c r="H31" s="142"/>
    </row>
    <row r="32" spans="1:8" x14ac:dyDescent="0.2">
      <c r="A32" s="3">
        <v>26</v>
      </c>
      <c r="B32" s="4" t="s">
        <v>225</v>
      </c>
      <c r="C32" s="4" t="s">
        <v>226</v>
      </c>
      <c r="D32" s="4" t="s">
        <v>1028</v>
      </c>
      <c r="E32" s="5">
        <v>340000</v>
      </c>
      <c r="F32" s="6">
        <v>1925.42</v>
      </c>
      <c r="G32" s="138">
        <v>1.4798228E-2</v>
      </c>
      <c r="H32" s="142"/>
    </row>
    <row r="33" spans="1:8" x14ac:dyDescent="0.2">
      <c r="A33" s="3">
        <v>27</v>
      </c>
      <c r="B33" s="4" t="s">
        <v>223</v>
      </c>
      <c r="C33" s="4" t="s">
        <v>224</v>
      </c>
      <c r="D33" s="4" t="s">
        <v>66</v>
      </c>
      <c r="E33" s="5">
        <v>175000</v>
      </c>
      <c r="F33" s="6">
        <v>1677.2874999999999</v>
      </c>
      <c r="G33" s="138">
        <v>1.2891151999999999E-2</v>
      </c>
      <c r="H33" s="142"/>
    </row>
    <row r="34" spans="1:8" x14ac:dyDescent="0.2">
      <c r="A34" s="3">
        <v>28</v>
      </c>
      <c r="B34" s="4" t="s">
        <v>567</v>
      </c>
      <c r="C34" s="4" t="s">
        <v>568</v>
      </c>
      <c r="D34" s="4" t="s">
        <v>51</v>
      </c>
      <c r="E34" s="5">
        <v>84000</v>
      </c>
      <c r="F34" s="6">
        <v>1493.646</v>
      </c>
      <c r="G34" s="138">
        <v>1.1479736000000001E-2</v>
      </c>
      <c r="H34" s="142"/>
    </row>
    <row r="35" spans="1:8" x14ac:dyDescent="0.2">
      <c r="A35" s="3">
        <v>29</v>
      </c>
      <c r="B35" s="4" t="s">
        <v>214</v>
      </c>
      <c r="C35" s="4" t="s">
        <v>215</v>
      </c>
      <c r="D35" s="4" t="s">
        <v>216</v>
      </c>
      <c r="E35" s="5">
        <v>500000</v>
      </c>
      <c r="F35" s="6">
        <v>1361.75</v>
      </c>
      <c r="G35" s="138">
        <v>1.0466021000000001E-2</v>
      </c>
      <c r="H35" s="142"/>
    </row>
    <row r="36" spans="1:8" x14ac:dyDescent="0.2">
      <c r="A36" s="3">
        <v>30</v>
      </c>
      <c r="B36" s="4" t="s">
        <v>569</v>
      </c>
      <c r="C36" s="4" t="s">
        <v>570</v>
      </c>
      <c r="D36" s="4" t="s">
        <v>51</v>
      </c>
      <c r="E36" s="5">
        <v>500000</v>
      </c>
      <c r="F36" s="6">
        <v>1289.75</v>
      </c>
      <c r="G36" s="138">
        <v>9.9126500000000003E-3</v>
      </c>
      <c r="H36" s="142"/>
    </row>
    <row r="37" spans="1:8" x14ac:dyDescent="0.2">
      <c r="A37" s="3">
        <v>31</v>
      </c>
      <c r="B37" s="4" t="s">
        <v>534</v>
      </c>
      <c r="C37" s="4" t="s">
        <v>535</v>
      </c>
      <c r="D37" s="4" t="s">
        <v>1028</v>
      </c>
      <c r="E37" s="5">
        <v>2450000</v>
      </c>
      <c r="F37" s="6">
        <v>1112.3</v>
      </c>
      <c r="G37" s="138">
        <v>8.5488200000000004E-3</v>
      </c>
      <c r="H37" s="142"/>
    </row>
    <row r="38" spans="1:8" x14ac:dyDescent="0.2">
      <c r="A38" s="3">
        <v>32</v>
      </c>
      <c r="B38" s="4" t="s">
        <v>388</v>
      </c>
      <c r="C38" s="4" t="s">
        <v>389</v>
      </c>
      <c r="D38" s="4" t="s">
        <v>335</v>
      </c>
      <c r="E38" s="5">
        <v>743000</v>
      </c>
      <c r="F38" s="6">
        <v>1014.938</v>
      </c>
      <c r="G38" s="138">
        <v>7.8005230000000002E-3</v>
      </c>
      <c r="H38" s="142"/>
    </row>
    <row r="39" spans="1:8" ht="25.5" x14ac:dyDescent="0.2">
      <c r="A39" s="3">
        <v>33</v>
      </c>
      <c r="B39" s="4" t="s">
        <v>571</v>
      </c>
      <c r="C39" s="4" t="s">
        <v>572</v>
      </c>
      <c r="D39" s="4" t="s">
        <v>90</v>
      </c>
      <c r="E39" s="5">
        <v>175000</v>
      </c>
      <c r="F39" s="6">
        <v>958.125</v>
      </c>
      <c r="G39" s="138">
        <v>7.3638749999999998E-3</v>
      </c>
      <c r="H39" s="142"/>
    </row>
    <row r="40" spans="1:8" x14ac:dyDescent="0.2">
      <c r="A40" s="3">
        <v>34</v>
      </c>
      <c r="B40" s="4" t="s">
        <v>573</v>
      </c>
      <c r="C40" s="4" t="s">
        <v>574</v>
      </c>
      <c r="D40" s="4" t="s">
        <v>51</v>
      </c>
      <c r="E40" s="5">
        <v>170000</v>
      </c>
      <c r="F40" s="6">
        <v>861.22</v>
      </c>
      <c r="G40" s="138">
        <v>6.6190909999999997E-3</v>
      </c>
      <c r="H40" s="142"/>
    </row>
    <row r="41" spans="1:8" x14ac:dyDescent="0.2">
      <c r="A41" s="3">
        <v>35</v>
      </c>
      <c r="B41" s="4" t="s">
        <v>269</v>
      </c>
      <c r="C41" s="4" t="s">
        <v>270</v>
      </c>
      <c r="D41" s="4" t="s">
        <v>1028</v>
      </c>
      <c r="E41" s="5">
        <v>505154</v>
      </c>
      <c r="F41" s="6">
        <v>584.96833200000003</v>
      </c>
      <c r="G41" s="138">
        <v>4.4958990000000002E-3</v>
      </c>
      <c r="H41" s="142"/>
    </row>
    <row r="42" spans="1:8" x14ac:dyDescent="0.2">
      <c r="A42" s="3">
        <v>36</v>
      </c>
      <c r="B42" s="4" t="s">
        <v>575</v>
      </c>
      <c r="C42" s="4" t="s">
        <v>576</v>
      </c>
      <c r="D42" s="4" t="s">
        <v>83</v>
      </c>
      <c r="E42" s="5">
        <v>12500</v>
      </c>
      <c r="F42" s="6">
        <v>479.08125000000001</v>
      </c>
      <c r="G42" s="138">
        <v>3.6820820000000001E-3</v>
      </c>
      <c r="H42" s="142"/>
    </row>
    <row r="43" spans="1:8" x14ac:dyDescent="0.2">
      <c r="A43" s="3">
        <v>37</v>
      </c>
      <c r="B43" s="4" t="s">
        <v>577</v>
      </c>
      <c r="C43" s="4" t="s">
        <v>578</v>
      </c>
      <c r="D43" s="4" t="s">
        <v>51</v>
      </c>
      <c r="E43" s="5">
        <v>12047</v>
      </c>
      <c r="F43" s="6">
        <v>165.6040855</v>
      </c>
      <c r="G43" s="138">
        <v>1.2727859999999999E-3</v>
      </c>
      <c r="H43" s="142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9">
        <v>126843.51952250001</v>
      </c>
      <c r="G44" s="139">
        <v>0.97488303399999998</v>
      </c>
      <c r="H44" s="142"/>
    </row>
    <row r="45" spans="1:8" x14ac:dyDescent="0.2">
      <c r="A45" s="1"/>
      <c r="B45" s="1"/>
      <c r="C45" s="11"/>
      <c r="D45" s="1"/>
      <c r="E45" s="1"/>
      <c r="F45" s="12"/>
      <c r="G45" s="140"/>
      <c r="H45" s="142"/>
    </row>
    <row r="46" spans="1:8" x14ac:dyDescent="0.2">
      <c r="A46" s="1"/>
      <c r="B46" s="1"/>
      <c r="C46" s="2" t="s">
        <v>107</v>
      </c>
      <c r="D46" s="1"/>
      <c r="E46" s="1"/>
      <c r="F46" s="1"/>
      <c r="G46" s="137"/>
      <c r="H46" s="142"/>
    </row>
    <row r="47" spans="1:8" x14ac:dyDescent="0.2">
      <c r="A47" s="1"/>
      <c r="B47" s="1"/>
      <c r="C47" s="2" t="s">
        <v>105</v>
      </c>
      <c r="D47" s="1"/>
      <c r="E47" s="1" t="s">
        <v>106</v>
      </c>
      <c r="F47" s="13">
        <v>0</v>
      </c>
      <c r="G47" s="141">
        <v>0</v>
      </c>
      <c r="H47" s="142"/>
    </row>
    <row r="48" spans="1:8" x14ac:dyDescent="0.2">
      <c r="A48" s="1"/>
      <c r="B48" s="1"/>
      <c r="C48" s="11"/>
      <c r="D48" s="1"/>
      <c r="E48" s="1"/>
      <c r="F48" s="12"/>
      <c r="G48" s="140"/>
      <c r="H48" s="142"/>
    </row>
    <row r="49" spans="1:8" x14ac:dyDescent="0.2">
      <c r="A49" s="1"/>
      <c r="B49" s="1"/>
      <c r="C49" s="2" t="s">
        <v>108</v>
      </c>
      <c r="D49" s="1"/>
      <c r="E49" s="1"/>
      <c r="F49" s="1"/>
      <c r="G49" s="137"/>
      <c r="H49" s="142"/>
    </row>
    <row r="50" spans="1:8" x14ac:dyDescent="0.2">
      <c r="A50" s="1"/>
      <c r="B50" s="1"/>
      <c r="C50" s="2" t="s">
        <v>105</v>
      </c>
      <c r="D50" s="1"/>
      <c r="E50" s="1" t="s">
        <v>106</v>
      </c>
      <c r="F50" s="13">
        <v>0</v>
      </c>
      <c r="G50" s="141">
        <v>0</v>
      </c>
      <c r="H50" s="142"/>
    </row>
    <row r="51" spans="1:8" x14ac:dyDescent="0.2">
      <c r="A51" s="1"/>
      <c r="B51" s="1"/>
      <c r="C51" s="11"/>
      <c r="D51" s="1"/>
      <c r="E51" s="1"/>
      <c r="F51" s="12"/>
      <c r="G51" s="140"/>
      <c r="H51" s="142"/>
    </row>
    <row r="52" spans="1:8" x14ac:dyDescent="0.2">
      <c r="A52" s="1"/>
      <c r="B52" s="1"/>
      <c r="C52" s="2" t="s">
        <v>109</v>
      </c>
      <c r="D52" s="1"/>
      <c r="E52" s="1"/>
      <c r="F52" s="1"/>
      <c r="G52" s="137"/>
      <c r="H52" s="142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13">
        <v>0</v>
      </c>
      <c r="G53" s="141">
        <v>0</v>
      </c>
      <c r="H53" s="142"/>
    </row>
    <row r="54" spans="1:8" x14ac:dyDescent="0.2">
      <c r="A54" s="1"/>
      <c r="B54" s="1"/>
      <c r="C54" s="11"/>
      <c r="D54" s="1"/>
      <c r="E54" s="1"/>
      <c r="F54" s="12"/>
      <c r="G54" s="140"/>
      <c r="H54" s="142"/>
    </row>
    <row r="55" spans="1:8" x14ac:dyDescent="0.2">
      <c r="A55" s="1"/>
      <c r="B55" s="1"/>
      <c r="C55" s="2" t="s">
        <v>111</v>
      </c>
      <c r="D55" s="1"/>
      <c r="E55" s="1"/>
      <c r="F55" s="12"/>
      <c r="G55" s="140"/>
      <c r="H55" s="142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13">
        <v>0</v>
      </c>
      <c r="G56" s="141">
        <v>0</v>
      </c>
      <c r="H56" s="142"/>
    </row>
    <row r="57" spans="1:8" x14ac:dyDescent="0.2">
      <c r="A57" s="1"/>
      <c r="B57" s="1"/>
      <c r="C57" s="11"/>
      <c r="D57" s="1"/>
      <c r="E57" s="1"/>
      <c r="F57" s="12"/>
      <c r="G57" s="140"/>
      <c r="H57" s="142"/>
    </row>
    <row r="58" spans="1:8" x14ac:dyDescent="0.2">
      <c r="A58" s="1"/>
      <c r="B58" s="1"/>
      <c r="C58" s="2" t="s">
        <v>112</v>
      </c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1">
        <v>0</v>
      </c>
      <c r="H59" s="142"/>
    </row>
    <row r="60" spans="1:8" x14ac:dyDescent="0.2">
      <c r="A60" s="1"/>
      <c r="B60" s="1"/>
      <c r="C60" s="11"/>
      <c r="D60" s="1"/>
      <c r="E60" s="1"/>
      <c r="F60" s="12"/>
      <c r="G60" s="140"/>
      <c r="H60" s="142"/>
    </row>
    <row r="61" spans="1:8" x14ac:dyDescent="0.2">
      <c r="A61" s="1"/>
      <c r="B61" s="1"/>
      <c r="C61" s="2" t="s">
        <v>113</v>
      </c>
      <c r="D61" s="1"/>
      <c r="E61" s="1"/>
      <c r="F61" s="9">
        <v>126843.51952250001</v>
      </c>
      <c r="G61" s="139">
        <v>0.97488303399999998</v>
      </c>
      <c r="H61" s="142"/>
    </row>
    <row r="62" spans="1:8" x14ac:dyDescent="0.2">
      <c r="A62" s="1"/>
      <c r="B62" s="1"/>
      <c r="C62" s="11"/>
      <c r="D62" s="1"/>
      <c r="E62" s="1"/>
      <c r="F62" s="12"/>
      <c r="G62" s="140"/>
      <c r="H62" s="142"/>
    </row>
    <row r="63" spans="1:8" x14ac:dyDescent="0.2">
      <c r="A63" s="1"/>
      <c r="B63" s="1"/>
      <c r="C63" s="2" t="s">
        <v>114</v>
      </c>
      <c r="D63" s="1"/>
      <c r="E63" s="1"/>
      <c r="F63" s="12"/>
      <c r="G63" s="140"/>
      <c r="H63" s="142"/>
    </row>
    <row r="64" spans="1:8" ht="25.5" x14ac:dyDescent="0.2">
      <c r="A64" s="1"/>
      <c r="B64" s="1"/>
      <c r="C64" s="2" t="s">
        <v>10</v>
      </c>
      <c r="D64" s="1"/>
      <c r="E64" s="1"/>
      <c r="F64" s="12"/>
      <c r="G64" s="140"/>
      <c r="H64" s="142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1">
        <v>0</v>
      </c>
      <c r="H65" s="142"/>
    </row>
    <row r="66" spans="1:8" x14ac:dyDescent="0.2">
      <c r="A66" s="1"/>
      <c r="B66" s="1"/>
      <c r="C66" s="11"/>
      <c r="D66" s="1"/>
      <c r="E66" s="1"/>
      <c r="F66" s="12"/>
      <c r="G66" s="140"/>
      <c r="H66" s="142"/>
    </row>
    <row r="67" spans="1:8" x14ac:dyDescent="0.2">
      <c r="A67" s="1"/>
      <c r="B67" s="1"/>
      <c r="C67" s="2" t="s">
        <v>115</v>
      </c>
      <c r="D67" s="1"/>
      <c r="E67" s="1"/>
      <c r="F67" s="1"/>
      <c r="G67" s="137"/>
      <c r="H67" s="142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1">
        <v>0</v>
      </c>
      <c r="H68" s="142"/>
    </row>
    <row r="69" spans="1:8" x14ac:dyDescent="0.2">
      <c r="A69" s="1"/>
      <c r="B69" s="1"/>
      <c r="C69" s="11"/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116</v>
      </c>
      <c r="D70" s="1"/>
      <c r="E70" s="1"/>
      <c r="F70" s="1"/>
      <c r="G70" s="137"/>
      <c r="H70" s="142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1">
        <v>0</v>
      </c>
      <c r="H71" s="142"/>
    </row>
    <row r="72" spans="1:8" x14ac:dyDescent="0.2">
      <c r="A72" s="1"/>
      <c r="B72" s="1"/>
      <c r="C72" s="11"/>
      <c r="D72" s="1"/>
      <c r="E72" s="1"/>
      <c r="F72" s="12"/>
      <c r="G72" s="140"/>
      <c r="H72" s="142"/>
    </row>
    <row r="73" spans="1:8" x14ac:dyDescent="0.2">
      <c r="A73" s="1"/>
      <c r="B73" s="1"/>
      <c r="C73" s="2" t="s">
        <v>117</v>
      </c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1">
        <v>0</v>
      </c>
      <c r="H74" s="142"/>
    </row>
    <row r="75" spans="1:8" x14ac:dyDescent="0.2">
      <c r="A75" s="1"/>
      <c r="B75" s="1"/>
      <c r="C75" s="11"/>
      <c r="D75" s="1"/>
      <c r="E75" s="1"/>
      <c r="F75" s="12"/>
      <c r="G75" s="140"/>
      <c r="H75" s="142"/>
    </row>
    <row r="76" spans="1:8" x14ac:dyDescent="0.2">
      <c r="A76" s="1"/>
      <c r="B76" s="1"/>
      <c r="C76" s="2" t="s">
        <v>118</v>
      </c>
      <c r="D76" s="1"/>
      <c r="E76" s="1"/>
      <c r="F76" s="9">
        <v>0</v>
      </c>
      <c r="G76" s="139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119</v>
      </c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120</v>
      </c>
      <c r="D79" s="1"/>
      <c r="E79" s="1"/>
      <c r="F79" s="12"/>
      <c r="G79" s="140"/>
      <c r="H79" s="142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1">
        <v>0</v>
      </c>
      <c r="H80" s="142"/>
    </row>
    <row r="81" spans="1:8" x14ac:dyDescent="0.2">
      <c r="A81" s="1"/>
      <c r="B81" s="1"/>
      <c r="C81" s="11"/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121</v>
      </c>
      <c r="D82" s="1"/>
      <c r="E82" s="1"/>
      <c r="F82" s="12"/>
      <c r="G82" s="140"/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1">
        <v>0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122</v>
      </c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123</v>
      </c>
      <c r="D88" s="1"/>
      <c r="E88" s="1"/>
      <c r="F88" s="12"/>
      <c r="G88" s="140"/>
      <c r="H88" s="142"/>
    </row>
    <row r="89" spans="1:8" x14ac:dyDescent="0.2">
      <c r="A89" s="3">
        <v>1</v>
      </c>
      <c r="B89" s="4"/>
      <c r="C89" s="4" t="s">
        <v>124</v>
      </c>
      <c r="D89" s="4"/>
      <c r="E89" s="8"/>
      <c r="F89" s="6">
        <v>444.08930930000002</v>
      </c>
      <c r="G89" s="138">
        <v>3.413143E-3</v>
      </c>
      <c r="H89" s="152">
        <v>3.3197683930276081</v>
      </c>
    </row>
    <row r="90" spans="1:8" x14ac:dyDescent="0.2">
      <c r="A90" s="1"/>
      <c r="B90" s="1"/>
      <c r="C90" s="2" t="s">
        <v>105</v>
      </c>
      <c r="D90" s="1"/>
      <c r="E90" s="1" t="s">
        <v>106</v>
      </c>
      <c r="F90" s="9">
        <v>444.08930930000002</v>
      </c>
      <c r="G90" s="139">
        <v>3.413143E-3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125</v>
      </c>
      <c r="D92" s="1"/>
      <c r="E92" s="1"/>
      <c r="F92" s="9">
        <v>444.08930930000002</v>
      </c>
      <c r="G92" s="139">
        <v>3.413143E-3</v>
      </c>
      <c r="H92" s="142"/>
    </row>
    <row r="93" spans="1:8" x14ac:dyDescent="0.2">
      <c r="A93" s="1"/>
      <c r="B93" s="1"/>
      <c r="C93" s="12"/>
      <c r="D93" s="1"/>
      <c r="E93" s="1"/>
      <c r="F93" s="1"/>
      <c r="G93" s="137"/>
      <c r="H93" s="142"/>
    </row>
    <row r="94" spans="1:8" x14ac:dyDescent="0.2">
      <c r="A94" s="1"/>
      <c r="B94" s="1"/>
      <c r="C94" s="2" t="s">
        <v>126</v>
      </c>
      <c r="D94" s="1"/>
      <c r="E94" s="1"/>
      <c r="F94" s="1"/>
      <c r="G94" s="137"/>
      <c r="H94" s="142"/>
    </row>
    <row r="95" spans="1:8" x14ac:dyDescent="0.2">
      <c r="A95" s="1"/>
      <c r="B95" s="1"/>
      <c r="C95" s="2" t="s">
        <v>127</v>
      </c>
      <c r="D95" s="1"/>
      <c r="E95" s="1"/>
      <c r="F95" s="1"/>
      <c r="G95" s="137"/>
      <c r="H95" s="142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1">
        <v>0</v>
      </c>
      <c r="H96" s="142"/>
    </row>
    <row r="97" spans="1:8" x14ac:dyDescent="0.2">
      <c r="A97" s="1"/>
      <c r="B97" s="1"/>
      <c r="C97" s="11"/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128</v>
      </c>
      <c r="D98" s="1"/>
      <c r="E98" s="1"/>
      <c r="F98" s="1"/>
      <c r="G98" s="137"/>
      <c r="H98" s="142"/>
    </row>
    <row r="99" spans="1:8" x14ac:dyDescent="0.2">
      <c r="A99" s="1"/>
      <c r="B99" s="1"/>
      <c r="C99" s="2" t="s">
        <v>129</v>
      </c>
      <c r="D99" s="1"/>
      <c r="E99" s="1"/>
      <c r="F99" s="1"/>
      <c r="G99" s="137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ht="25.5" x14ac:dyDescent="0.2">
      <c r="A103" s="1"/>
      <c r="B103" s="1"/>
      <c r="C103" s="2" t="s">
        <v>130</v>
      </c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1">
        <v>0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4"/>
      <c r="C106" s="4"/>
      <c r="D106" s="2"/>
      <c r="E106" s="1"/>
      <c r="F106" s="4"/>
      <c r="G106" s="143"/>
      <c r="H106" s="142"/>
    </row>
    <row r="107" spans="1:8" x14ac:dyDescent="0.2">
      <c r="A107" s="8"/>
      <c r="B107" s="4"/>
      <c r="C107" s="4" t="s">
        <v>131</v>
      </c>
      <c r="D107" s="4"/>
      <c r="E107" s="8"/>
      <c r="F107" s="6">
        <v>2823.9173545200001</v>
      </c>
      <c r="G107" s="138">
        <v>2.1703822000000001E-2</v>
      </c>
      <c r="H107" s="142"/>
    </row>
    <row r="108" spans="1:8" x14ac:dyDescent="0.2">
      <c r="A108" s="11"/>
      <c r="B108" s="11"/>
      <c r="C108" s="2" t="s">
        <v>132</v>
      </c>
      <c r="D108" s="15"/>
      <c r="E108" s="15"/>
      <c r="F108" s="9">
        <v>130111.52618632</v>
      </c>
      <c r="G108" s="139">
        <v>0.99999999900000003</v>
      </c>
      <c r="H108" s="142"/>
    </row>
    <row r="109" spans="1:8" ht="14.1" customHeight="1" x14ac:dyDescent="0.2">
      <c r="A109" s="16"/>
      <c r="B109" s="16"/>
      <c r="C109" s="16"/>
      <c r="D109" s="17"/>
      <c r="E109" s="17"/>
      <c r="F109" s="17"/>
      <c r="G109" s="17"/>
    </row>
    <row r="110" spans="1:8" ht="14.1" customHeight="1" x14ac:dyDescent="0.2">
      <c r="A110" s="18"/>
      <c r="B110" s="205" t="s">
        <v>106</v>
      </c>
      <c r="C110" s="205"/>
      <c r="D110" s="205"/>
      <c r="E110" s="205"/>
      <c r="F110" s="205"/>
      <c r="G110" s="20"/>
    </row>
    <row r="111" spans="1:8" ht="14.1" customHeight="1" x14ac:dyDescent="0.2">
      <c r="A111" s="18"/>
      <c r="B111" s="205" t="s">
        <v>106</v>
      </c>
      <c r="C111" s="205"/>
      <c r="D111" s="205"/>
      <c r="E111" s="205"/>
      <c r="F111" s="205"/>
      <c r="G111" s="20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7" ht="14.1" customHeight="1" x14ac:dyDescent="0.2">
      <c r="A113" s="18"/>
      <c r="B113" s="203" t="s">
        <v>134</v>
      </c>
      <c r="C113" s="204"/>
      <c r="D113" s="12" t="s">
        <v>106</v>
      </c>
      <c r="E113" s="21"/>
      <c r="F113" s="20"/>
      <c r="G113" s="20"/>
    </row>
    <row r="114" spans="1:7" ht="29.1" customHeight="1" x14ac:dyDescent="0.2">
      <c r="A114" s="18"/>
      <c r="B114" s="199" t="s">
        <v>135</v>
      </c>
      <c r="C114" s="200"/>
      <c r="D114" s="2" t="s">
        <v>136</v>
      </c>
      <c r="E114" s="21"/>
      <c r="F114" s="20"/>
      <c r="G114" s="20"/>
    </row>
    <row r="115" spans="1:7" ht="17.100000000000001" customHeight="1" x14ac:dyDescent="0.2">
      <c r="A115" s="18"/>
      <c r="B115" s="199" t="s">
        <v>137</v>
      </c>
      <c r="C115" s="200"/>
      <c r="D115" s="2" t="s">
        <v>136</v>
      </c>
      <c r="E115" s="21"/>
      <c r="F115" s="20"/>
      <c r="G115" s="20"/>
    </row>
    <row r="116" spans="1:7" ht="17.100000000000001" customHeight="1" x14ac:dyDescent="0.2">
      <c r="A116" s="18"/>
      <c r="B116" s="199" t="s">
        <v>138</v>
      </c>
      <c r="C116" s="200"/>
      <c r="D116" s="12" t="s">
        <v>106</v>
      </c>
      <c r="E116" s="21"/>
      <c r="F116" s="20"/>
      <c r="G116" s="20"/>
    </row>
    <row r="117" spans="1:7" ht="24" customHeight="1" x14ac:dyDescent="0.2">
      <c r="A117" s="22"/>
      <c r="B117" s="23" t="s">
        <v>106</v>
      </c>
      <c r="C117" s="23" t="s">
        <v>139</v>
      </c>
      <c r="D117" s="23" t="s">
        <v>140</v>
      </c>
      <c r="E117" s="22"/>
      <c r="F117" s="22"/>
      <c r="G117" s="22"/>
    </row>
    <row r="118" spans="1:7" ht="18" customHeight="1" x14ac:dyDescent="0.2">
      <c r="A118" s="22"/>
      <c r="B118" s="23" t="s">
        <v>141</v>
      </c>
      <c r="C118" s="23" t="s">
        <v>142</v>
      </c>
      <c r="D118" s="23" t="s">
        <v>143</v>
      </c>
      <c r="E118" s="22"/>
      <c r="F118" s="22"/>
      <c r="G118" s="22"/>
    </row>
    <row r="119" spans="1:7" x14ac:dyDescent="0.2">
      <c r="A119" s="22"/>
      <c r="B119" s="4" t="s">
        <v>144</v>
      </c>
      <c r="C119" s="24">
        <v>59.918900000000001</v>
      </c>
      <c r="D119" s="24">
        <v>61.579700000000003</v>
      </c>
      <c r="E119" s="22"/>
      <c r="F119" s="19"/>
      <c r="G119" s="25"/>
    </row>
    <row r="120" spans="1:7" x14ac:dyDescent="0.2">
      <c r="A120" s="22"/>
      <c r="B120" s="4" t="s">
        <v>1019</v>
      </c>
      <c r="C120" s="24">
        <v>23.078399999999998</v>
      </c>
      <c r="D120" s="24">
        <v>23.7181</v>
      </c>
      <c r="E120" s="22"/>
      <c r="F120" s="19"/>
      <c r="G120" s="25"/>
    </row>
    <row r="121" spans="1:7" x14ac:dyDescent="0.2">
      <c r="A121" s="22"/>
      <c r="B121" s="4" t="s">
        <v>145</v>
      </c>
      <c r="C121" s="24">
        <v>56.591900000000003</v>
      </c>
      <c r="D121" s="24">
        <v>58.113300000000002</v>
      </c>
      <c r="E121" s="22"/>
      <c r="F121" s="19"/>
      <c r="G121" s="25"/>
    </row>
    <row r="122" spans="1:7" x14ac:dyDescent="0.2">
      <c r="A122" s="22"/>
      <c r="B122" s="4" t="s">
        <v>1020</v>
      </c>
      <c r="C122" s="24">
        <v>21.437899999999999</v>
      </c>
      <c r="D122" s="24">
        <v>22.014199999999999</v>
      </c>
      <c r="E122" s="22"/>
      <c r="F122" s="19"/>
      <c r="G122" s="25"/>
    </row>
    <row r="123" spans="1:7" ht="14.1" customHeight="1" x14ac:dyDescent="0.2">
      <c r="A123" s="22"/>
      <c r="B123" s="22"/>
      <c r="C123" s="22"/>
      <c r="D123" s="22"/>
      <c r="E123" s="22"/>
      <c r="F123" s="22"/>
      <c r="G123" s="22"/>
    </row>
    <row r="124" spans="1:7" ht="17.100000000000001" customHeight="1" x14ac:dyDescent="0.2">
      <c r="A124" s="22"/>
      <c r="B124" s="199" t="s">
        <v>1021</v>
      </c>
      <c r="C124" s="200"/>
      <c r="D124" s="2" t="s">
        <v>136</v>
      </c>
      <c r="E124" s="22"/>
      <c r="F124" s="22"/>
      <c r="G124" s="22"/>
    </row>
    <row r="125" spans="1:7" ht="18" customHeight="1" x14ac:dyDescent="0.2">
      <c r="A125" s="22"/>
      <c r="B125" s="26"/>
      <c r="C125" s="26"/>
      <c r="D125" s="27"/>
      <c r="E125" s="22"/>
      <c r="F125" s="22"/>
      <c r="G125" s="22"/>
    </row>
    <row r="126" spans="1:7" s="125" customFormat="1" x14ac:dyDescent="0.2">
      <c r="B126" s="201" t="s">
        <v>825</v>
      </c>
      <c r="C126" s="201"/>
      <c r="D126" s="201"/>
      <c r="E126" s="201"/>
      <c r="F126" s="201"/>
    </row>
    <row r="127" spans="1:7" ht="14.1" customHeight="1" x14ac:dyDescent="0.2">
      <c r="A127" s="22"/>
      <c r="B127" s="19"/>
      <c r="C127" s="19"/>
      <c r="D127" s="22"/>
      <c r="E127" s="22"/>
      <c r="F127" s="22"/>
      <c r="G127" s="22"/>
    </row>
    <row r="128" spans="1:7" ht="29.1" customHeight="1" x14ac:dyDescent="0.2">
      <c r="A128" s="22"/>
      <c r="B128" s="199" t="s">
        <v>146</v>
      </c>
      <c r="C128" s="200"/>
      <c r="D128" s="2" t="s">
        <v>136</v>
      </c>
      <c r="E128" s="22"/>
      <c r="F128" s="22"/>
      <c r="G128" s="22"/>
    </row>
    <row r="129" spans="1:7" ht="29.1" customHeight="1" x14ac:dyDescent="0.2">
      <c r="A129" s="22"/>
      <c r="B129" s="199" t="s">
        <v>147</v>
      </c>
      <c r="C129" s="200"/>
      <c r="D129" s="2" t="s">
        <v>136</v>
      </c>
      <c r="E129" s="22"/>
      <c r="F129" s="22"/>
      <c r="G129" s="22"/>
    </row>
    <row r="130" spans="1:7" ht="17.100000000000001" customHeight="1" x14ac:dyDescent="0.2">
      <c r="A130" s="22"/>
      <c r="B130" s="199" t="s">
        <v>148</v>
      </c>
      <c r="C130" s="200"/>
      <c r="D130" s="28">
        <v>0.13801217623701328</v>
      </c>
      <c r="E130" s="22"/>
      <c r="F130" s="19"/>
      <c r="G130" s="25"/>
    </row>
    <row r="131" spans="1:7" ht="17.100000000000001" customHeight="1" x14ac:dyDescent="0.2">
      <c r="A131" s="22"/>
      <c r="B131" s="199" t="s">
        <v>149</v>
      </c>
      <c r="C131" s="200"/>
      <c r="D131" s="2" t="s">
        <v>136</v>
      </c>
      <c r="E131" s="22"/>
      <c r="F131" s="22"/>
      <c r="G131" s="22"/>
    </row>
    <row r="133" spans="1:7" x14ac:dyDescent="0.2">
      <c r="B133" s="164" t="s">
        <v>1051</v>
      </c>
    </row>
    <row r="135" spans="1:7" x14ac:dyDescent="0.2">
      <c r="B135" s="164" t="s">
        <v>1052</v>
      </c>
    </row>
    <row r="136" spans="1:7" x14ac:dyDescent="0.2">
      <c r="B136" s="164"/>
    </row>
    <row r="137" spans="1:7" x14ac:dyDescent="0.2">
      <c r="B137" s="164" t="s">
        <v>1053</v>
      </c>
    </row>
    <row r="138" spans="1:7" x14ac:dyDescent="0.2">
      <c r="B138" s="164"/>
    </row>
    <row r="139" spans="1:7" x14ac:dyDescent="0.2">
      <c r="B139" s="164" t="s">
        <v>1054</v>
      </c>
    </row>
    <row r="140" spans="1:7" x14ac:dyDescent="0.2">
      <c r="B140" s="164"/>
    </row>
    <row r="141" spans="1:7" x14ac:dyDescent="0.2">
      <c r="B141" s="164" t="s">
        <v>1055</v>
      </c>
    </row>
    <row r="142" spans="1:7" ht="63.75" x14ac:dyDescent="0.2">
      <c r="B142" s="165" t="s">
        <v>1056</v>
      </c>
      <c r="C142" s="165" t="s">
        <v>1066</v>
      </c>
      <c r="D142" s="165" t="s">
        <v>1067</v>
      </c>
      <c r="E142" s="165" t="s">
        <v>1072</v>
      </c>
      <c r="F142" s="165" t="s">
        <v>1071</v>
      </c>
    </row>
    <row r="143" spans="1:7" x14ac:dyDescent="0.2">
      <c r="B143" s="166">
        <v>50</v>
      </c>
      <c r="C143" s="166">
        <v>50</v>
      </c>
      <c r="D143" s="174">
        <v>495.94999039999999</v>
      </c>
      <c r="E143" s="174">
        <v>530.76250000000005</v>
      </c>
      <c r="F143" s="172">
        <v>34.812509600000055</v>
      </c>
    </row>
    <row r="144" spans="1:7" x14ac:dyDescent="0.2">
      <c r="B144" s="164"/>
    </row>
    <row r="145" spans="2:2" x14ac:dyDescent="0.2">
      <c r="B145" s="164" t="s">
        <v>1057</v>
      </c>
    </row>
    <row r="146" spans="2:2" x14ac:dyDescent="0.2">
      <c r="B146" s="164"/>
    </row>
    <row r="147" spans="2:2" x14ac:dyDescent="0.2">
      <c r="B147" s="164" t="s">
        <v>1058</v>
      </c>
    </row>
    <row r="148" spans="2:2" x14ac:dyDescent="0.2">
      <c r="B148" s="164"/>
    </row>
    <row r="149" spans="2:2" x14ac:dyDescent="0.2">
      <c r="B149" s="164" t="s">
        <v>1059</v>
      </c>
    </row>
    <row r="150" spans="2:2" x14ac:dyDescent="0.2">
      <c r="B150" s="164"/>
    </row>
    <row r="151" spans="2:2" x14ac:dyDescent="0.2">
      <c r="B151" s="164" t="s">
        <v>1060</v>
      </c>
    </row>
    <row r="152" spans="2:2" x14ac:dyDescent="0.2">
      <c r="B152" s="164"/>
    </row>
    <row r="153" spans="2:2" x14ac:dyDescent="0.2">
      <c r="B153" s="164" t="s">
        <v>1061</v>
      </c>
    </row>
    <row r="154" spans="2:2" x14ac:dyDescent="0.2">
      <c r="B154" s="164"/>
    </row>
    <row r="155" spans="2:2" x14ac:dyDescent="0.2">
      <c r="B155" s="164" t="s">
        <v>1062</v>
      </c>
    </row>
    <row r="157" spans="2:2" x14ac:dyDescent="0.2">
      <c r="B157" s="164" t="s">
        <v>1063</v>
      </c>
    </row>
    <row r="159" spans="2:2" x14ac:dyDescent="0.2">
      <c r="B159" s="164" t="s">
        <v>1064</v>
      </c>
    </row>
  </sheetData>
  <mergeCells count="16">
    <mergeCell ref="J2:N2"/>
    <mergeCell ref="B113:C113"/>
    <mergeCell ref="B110:F110"/>
    <mergeCell ref="B111:F111"/>
    <mergeCell ref="A1:H1"/>
    <mergeCell ref="A2:H2"/>
    <mergeCell ref="A3:H3"/>
    <mergeCell ref="B130:C130"/>
    <mergeCell ref="B131:C131"/>
    <mergeCell ref="B114:C114"/>
    <mergeCell ref="B115:C115"/>
    <mergeCell ref="B116:C116"/>
    <mergeCell ref="B124:C124"/>
    <mergeCell ref="B128:C128"/>
    <mergeCell ref="B129:C129"/>
    <mergeCell ref="B126:F126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171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579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2018224</v>
      </c>
      <c r="F7" s="6">
        <v>14144.722904</v>
      </c>
      <c r="G7" s="138">
        <v>7.6730220000000002E-2</v>
      </c>
      <c r="H7" s="142"/>
    </row>
    <row r="8" spans="1:14" x14ac:dyDescent="0.2">
      <c r="A8" s="3">
        <v>2</v>
      </c>
      <c r="B8" s="4" t="s">
        <v>408</v>
      </c>
      <c r="C8" s="4" t="s">
        <v>409</v>
      </c>
      <c r="D8" s="4" t="s">
        <v>24</v>
      </c>
      <c r="E8" s="5">
        <v>870509</v>
      </c>
      <c r="F8" s="6">
        <v>13884.183295500001</v>
      </c>
      <c r="G8" s="138">
        <v>7.5316882000000002E-2</v>
      </c>
      <c r="H8" s="142"/>
    </row>
    <row r="9" spans="1:14" x14ac:dyDescent="0.2">
      <c r="A9" s="3">
        <v>3</v>
      </c>
      <c r="B9" s="4" t="s">
        <v>307</v>
      </c>
      <c r="C9" s="4" t="s">
        <v>934</v>
      </c>
      <c r="D9" s="4" t="s">
        <v>164</v>
      </c>
      <c r="E9" s="5">
        <v>291050</v>
      </c>
      <c r="F9" s="6">
        <v>12224.39105</v>
      </c>
      <c r="G9" s="138">
        <v>6.6313084999999994E-2</v>
      </c>
      <c r="H9" s="142"/>
    </row>
    <row r="10" spans="1:14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390930</v>
      </c>
      <c r="F10" s="6">
        <v>9848.5040250000002</v>
      </c>
      <c r="G10" s="138">
        <v>5.3424721000000001E-2</v>
      </c>
      <c r="H10" s="142"/>
    </row>
    <row r="11" spans="1:14" x14ac:dyDescent="0.2">
      <c r="A11" s="3">
        <v>5</v>
      </c>
      <c r="B11" s="4" t="s">
        <v>17</v>
      </c>
      <c r="C11" s="4" t="s">
        <v>18</v>
      </c>
      <c r="D11" s="4" t="s">
        <v>19</v>
      </c>
      <c r="E11" s="5">
        <v>1292423</v>
      </c>
      <c r="F11" s="6">
        <v>8895.7475090000007</v>
      </c>
      <c r="G11" s="138">
        <v>4.8256346999999998E-2</v>
      </c>
      <c r="H11" s="142"/>
    </row>
    <row r="12" spans="1:14" ht="25.5" x14ac:dyDescent="0.2">
      <c r="A12" s="3">
        <v>6</v>
      </c>
      <c r="B12" s="4" t="s">
        <v>412</v>
      </c>
      <c r="C12" s="4" t="s">
        <v>413</v>
      </c>
      <c r="D12" s="4" t="s">
        <v>80</v>
      </c>
      <c r="E12" s="5">
        <v>238846</v>
      </c>
      <c r="F12" s="6">
        <v>6578.5353779999996</v>
      </c>
      <c r="G12" s="138">
        <v>3.5686273999999997E-2</v>
      </c>
      <c r="H12" s="142"/>
    </row>
    <row r="13" spans="1:14" x14ac:dyDescent="0.2">
      <c r="A13" s="3">
        <v>7</v>
      </c>
      <c r="B13" s="4" t="s">
        <v>336</v>
      </c>
      <c r="C13" s="4" t="s">
        <v>337</v>
      </c>
      <c r="D13" s="4" t="s">
        <v>24</v>
      </c>
      <c r="E13" s="5">
        <v>785346</v>
      </c>
      <c r="F13" s="6">
        <v>6020.0697630000004</v>
      </c>
      <c r="G13" s="138">
        <v>3.2656791999999997E-2</v>
      </c>
      <c r="H13" s="142"/>
    </row>
    <row r="14" spans="1:14" x14ac:dyDescent="0.2">
      <c r="A14" s="3">
        <v>8</v>
      </c>
      <c r="B14" s="4" t="s">
        <v>352</v>
      </c>
      <c r="C14" s="4" t="s">
        <v>353</v>
      </c>
      <c r="D14" s="4" t="s">
        <v>48</v>
      </c>
      <c r="E14" s="5">
        <v>774290</v>
      </c>
      <c r="F14" s="6">
        <v>5453.3244699999996</v>
      </c>
      <c r="G14" s="138">
        <v>2.9582395000000001E-2</v>
      </c>
      <c r="H14" s="142"/>
    </row>
    <row r="15" spans="1:14" ht="15" x14ac:dyDescent="0.2">
      <c r="A15" s="3">
        <v>9</v>
      </c>
      <c r="B15" s="4" t="s">
        <v>97</v>
      </c>
      <c r="C15" s="4" t="s">
        <v>98</v>
      </c>
      <c r="D15" s="4" t="s">
        <v>56</v>
      </c>
      <c r="E15" s="5">
        <v>974973</v>
      </c>
      <c r="F15" s="6">
        <v>5197.5810629999996</v>
      </c>
      <c r="G15" s="138">
        <v>2.8195075999999999E-2</v>
      </c>
      <c r="H15" s="142"/>
      <c r="J15" s="163" t="s">
        <v>1041</v>
      </c>
    </row>
    <row r="16" spans="1:14" ht="25.5" x14ac:dyDescent="0.2">
      <c r="A16" s="3">
        <v>10</v>
      </c>
      <c r="B16" s="4" t="s">
        <v>362</v>
      </c>
      <c r="C16" s="4" t="s">
        <v>363</v>
      </c>
      <c r="D16" s="4" t="s">
        <v>48</v>
      </c>
      <c r="E16" s="5">
        <v>135000</v>
      </c>
      <c r="F16" s="6">
        <v>5127.9750000000004</v>
      </c>
      <c r="G16" s="138">
        <v>2.7817486999999998E-2</v>
      </c>
      <c r="H16" s="142"/>
    </row>
    <row r="17" spans="1:8" x14ac:dyDescent="0.2">
      <c r="A17" s="3">
        <v>11</v>
      </c>
      <c r="B17" s="4" t="s">
        <v>394</v>
      </c>
      <c r="C17" s="4" t="s">
        <v>395</v>
      </c>
      <c r="D17" s="4" t="s">
        <v>1030</v>
      </c>
      <c r="E17" s="5">
        <v>25000</v>
      </c>
      <c r="F17" s="6">
        <v>4446.6875</v>
      </c>
      <c r="G17" s="138">
        <v>2.4121739E-2</v>
      </c>
      <c r="H17" s="142"/>
    </row>
    <row r="18" spans="1:8" x14ac:dyDescent="0.2">
      <c r="A18" s="3">
        <v>12</v>
      </c>
      <c r="B18" s="4" t="s">
        <v>310</v>
      </c>
      <c r="C18" s="4" t="s">
        <v>311</v>
      </c>
      <c r="D18" s="4" t="s">
        <v>181</v>
      </c>
      <c r="E18" s="5">
        <v>95620</v>
      </c>
      <c r="F18" s="6">
        <v>4285.3059199999998</v>
      </c>
      <c r="G18" s="138">
        <v>2.3246299000000002E-2</v>
      </c>
      <c r="H18" s="142"/>
    </row>
    <row r="19" spans="1:8" x14ac:dyDescent="0.2">
      <c r="A19" s="3">
        <v>13</v>
      </c>
      <c r="B19" s="4" t="s">
        <v>441</v>
      </c>
      <c r="C19" s="4" t="s">
        <v>442</v>
      </c>
      <c r="D19" s="4" t="s">
        <v>24</v>
      </c>
      <c r="E19" s="5">
        <v>209758</v>
      </c>
      <c r="F19" s="6">
        <v>4206.6966899999998</v>
      </c>
      <c r="G19" s="138">
        <v>2.2819872000000001E-2</v>
      </c>
      <c r="H19" s="142"/>
    </row>
    <row r="20" spans="1:8" x14ac:dyDescent="0.2">
      <c r="A20" s="3">
        <v>14</v>
      </c>
      <c r="B20" s="4" t="s">
        <v>156</v>
      </c>
      <c r="C20" s="4" t="s">
        <v>157</v>
      </c>
      <c r="D20" s="4" t="s">
        <v>1024</v>
      </c>
      <c r="E20" s="5">
        <v>300427</v>
      </c>
      <c r="F20" s="6">
        <v>3973.8981425000002</v>
      </c>
      <c r="G20" s="138">
        <v>2.155702E-2</v>
      </c>
      <c r="H20" s="142"/>
    </row>
    <row r="21" spans="1:8" x14ac:dyDescent="0.2">
      <c r="A21" s="3">
        <v>15</v>
      </c>
      <c r="B21" s="4" t="s">
        <v>225</v>
      </c>
      <c r="C21" s="4" t="s">
        <v>226</v>
      </c>
      <c r="D21" s="4" t="s">
        <v>1028</v>
      </c>
      <c r="E21" s="5">
        <v>667345</v>
      </c>
      <c r="F21" s="6">
        <v>3779.1747350000001</v>
      </c>
      <c r="G21" s="138">
        <v>2.0500713E-2</v>
      </c>
      <c r="H21" s="142"/>
    </row>
    <row r="22" spans="1:8" x14ac:dyDescent="0.2">
      <c r="A22" s="3">
        <v>16</v>
      </c>
      <c r="B22" s="4" t="s">
        <v>203</v>
      </c>
      <c r="C22" s="4" t="s">
        <v>204</v>
      </c>
      <c r="D22" s="4" t="s">
        <v>80</v>
      </c>
      <c r="E22" s="5">
        <v>609563</v>
      </c>
      <c r="F22" s="6">
        <v>3597.0312629999999</v>
      </c>
      <c r="G22" s="138">
        <v>1.9512648E-2</v>
      </c>
      <c r="H22" s="142"/>
    </row>
    <row r="23" spans="1:8" x14ac:dyDescent="0.2">
      <c r="A23" s="3">
        <v>17</v>
      </c>
      <c r="B23" s="4" t="s">
        <v>182</v>
      </c>
      <c r="C23" s="4" t="s">
        <v>183</v>
      </c>
      <c r="D23" s="4" t="s">
        <v>164</v>
      </c>
      <c r="E23" s="5">
        <v>61347</v>
      </c>
      <c r="F23" s="6">
        <v>3278.6597415000001</v>
      </c>
      <c r="G23" s="138">
        <v>1.7785592999999999E-2</v>
      </c>
      <c r="H23" s="142"/>
    </row>
    <row r="24" spans="1:8" x14ac:dyDescent="0.2">
      <c r="A24" s="3">
        <v>18</v>
      </c>
      <c r="B24" s="4" t="s">
        <v>561</v>
      </c>
      <c r="C24" s="4" t="s">
        <v>562</v>
      </c>
      <c r="D24" s="4" t="s">
        <v>80</v>
      </c>
      <c r="E24" s="5">
        <v>39471</v>
      </c>
      <c r="F24" s="6">
        <v>3026.6757510000002</v>
      </c>
      <c r="G24" s="138">
        <v>1.6418667000000001E-2</v>
      </c>
      <c r="H24" s="142"/>
    </row>
    <row r="25" spans="1:8" x14ac:dyDescent="0.2">
      <c r="A25" s="3">
        <v>19</v>
      </c>
      <c r="B25" s="4" t="s">
        <v>212</v>
      </c>
      <c r="C25" s="4" t="s">
        <v>213</v>
      </c>
      <c r="D25" s="4" t="s">
        <v>1027</v>
      </c>
      <c r="E25" s="5">
        <v>308429</v>
      </c>
      <c r="F25" s="6">
        <v>2825.8264979999999</v>
      </c>
      <c r="G25" s="138">
        <v>1.5329129E-2</v>
      </c>
      <c r="H25" s="142"/>
    </row>
    <row r="26" spans="1:8" x14ac:dyDescent="0.2">
      <c r="A26" s="3">
        <v>20</v>
      </c>
      <c r="B26" s="4" t="s">
        <v>580</v>
      </c>
      <c r="C26" s="4" t="s">
        <v>581</v>
      </c>
      <c r="D26" s="4" t="s">
        <v>164</v>
      </c>
      <c r="E26" s="5">
        <v>45000</v>
      </c>
      <c r="F26" s="6">
        <v>2517.3225000000002</v>
      </c>
      <c r="G26" s="138">
        <v>1.3655601999999999E-2</v>
      </c>
      <c r="H26" s="142"/>
    </row>
    <row r="27" spans="1:8" x14ac:dyDescent="0.2">
      <c r="A27" s="3">
        <v>21</v>
      </c>
      <c r="B27" s="4" t="s">
        <v>416</v>
      </c>
      <c r="C27" s="4" t="s">
        <v>417</v>
      </c>
      <c r="D27" s="4" t="s">
        <v>1030</v>
      </c>
      <c r="E27" s="5">
        <v>191459</v>
      </c>
      <c r="F27" s="6">
        <v>2326.4183090000001</v>
      </c>
      <c r="G27" s="138">
        <v>1.2620012999999999E-2</v>
      </c>
      <c r="H27" s="142"/>
    </row>
    <row r="28" spans="1:8" x14ac:dyDescent="0.2">
      <c r="A28" s="3">
        <v>22</v>
      </c>
      <c r="B28" s="4" t="s">
        <v>333</v>
      </c>
      <c r="C28" s="4" t="s">
        <v>334</v>
      </c>
      <c r="D28" s="4" t="s">
        <v>335</v>
      </c>
      <c r="E28" s="5">
        <v>222388</v>
      </c>
      <c r="F28" s="6">
        <v>2281.3672980000001</v>
      </c>
      <c r="G28" s="138">
        <v>1.2375627E-2</v>
      </c>
      <c r="H28" s="142"/>
    </row>
    <row r="29" spans="1:8" x14ac:dyDescent="0.2">
      <c r="A29" s="3">
        <v>23</v>
      </c>
      <c r="B29" s="4" t="s">
        <v>223</v>
      </c>
      <c r="C29" s="4" t="s">
        <v>224</v>
      </c>
      <c r="D29" s="4" t="s">
        <v>66</v>
      </c>
      <c r="E29" s="5">
        <v>237112</v>
      </c>
      <c r="F29" s="6">
        <v>2272.599964</v>
      </c>
      <c r="G29" s="138">
        <v>1.2328067E-2</v>
      </c>
      <c r="H29" s="142"/>
    </row>
    <row r="30" spans="1:8" x14ac:dyDescent="0.2">
      <c r="A30" s="3">
        <v>24</v>
      </c>
      <c r="B30" s="4" t="s">
        <v>340</v>
      </c>
      <c r="C30" s="4" t="s">
        <v>341</v>
      </c>
      <c r="D30" s="4" t="s">
        <v>216</v>
      </c>
      <c r="E30" s="5">
        <v>7154</v>
      </c>
      <c r="F30" s="6">
        <v>2268.1685459999999</v>
      </c>
      <c r="G30" s="138">
        <v>1.2304028E-2</v>
      </c>
      <c r="H30" s="142"/>
    </row>
    <row r="31" spans="1:8" x14ac:dyDescent="0.2">
      <c r="A31" s="3">
        <v>25</v>
      </c>
      <c r="B31" s="4" t="s">
        <v>504</v>
      </c>
      <c r="C31" s="4" t="s">
        <v>505</v>
      </c>
      <c r="D31" s="4" t="s">
        <v>51</v>
      </c>
      <c r="E31" s="5">
        <v>102611</v>
      </c>
      <c r="F31" s="6">
        <v>2218.2959034999999</v>
      </c>
      <c r="G31" s="138">
        <v>1.2033485999999999E-2</v>
      </c>
      <c r="H31" s="142"/>
    </row>
    <row r="32" spans="1:8" x14ac:dyDescent="0.2">
      <c r="A32" s="3">
        <v>26</v>
      </c>
      <c r="B32" s="4" t="s">
        <v>582</v>
      </c>
      <c r="C32" s="4" t="s">
        <v>583</v>
      </c>
      <c r="D32" s="4" t="s">
        <v>1028</v>
      </c>
      <c r="E32" s="5">
        <v>1358497</v>
      </c>
      <c r="F32" s="6">
        <v>2206.8783764999998</v>
      </c>
      <c r="G32" s="138">
        <v>1.1971549999999999E-2</v>
      </c>
      <c r="H32" s="142"/>
    </row>
    <row r="33" spans="1:8" x14ac:dyDescent="0.2">
      <c r="A33" s="3">
        <v>27</v>
      </c>
      <c r="B33" s="4" t="s">
        <v>46</v>
      </c>
      <c r="C33" s="4" t="s">
        <v>47</v>
      </c>
      <c r="D33" s="4" t="s">
        <v>48</v>
      </c>
      <c r="E33" s="5">
        <v>298141</v>
      </c>
      <c r="F33" s="6">
        <v>2183.7337545</v>
      </c>
      <c r="G33" s="138">
        <v>1.1845998999999999E-2</v>
      </c>
      <c r="H33" s="142"/>
    </row>
    <row r="34" spans="1:8" x14ac:dyDescent="0.2">
      <c r="A34" s="3">
        <v>28</v>
      </c>
      <c r="B34" s="4" t="s">
        <v>584</v>
      </c>
      <c r="C34" s="4" t="s">
        <v>585</v>
      </c>
      <c r="D34" s="4" t="s">
        <v>335</v>
      </c>
      <c r="E34" s="5">
        <v>24634</v>
      </c>
      <c r="F34" s="6">
        <v>2064.0582260000001</v>
      </c>
      <c r="G34" s="138">
        <v>1.1196800999999999E-2</v>
      </c>
      <c r="H34" s="142"/>
    </row>
    <row r="35" spans="1:8" x14ac:dyDescent="0.2">
      <c r="A35" s="3">
        <v>29</v>
      </c>
      <c r="B35" s="4" t="s">
        <v>267</v>
      </c>
      <c r="C35" s="4" t="s">
        <v>268</v>
      </c>
      <c r="D35" s="4" t="s">
        <v>1024</v>
      </c>
      <c r="E35" s="5">
        <v>122830</v>
      </c>
      <c r="F35" s="6">
        <v>2037.3197950000001</v>
      </c>
      <c r="G35" s="138">
        <v>1.1051754E-2</v>
      </c>
      <c r="H35" s="142"/>
    </row>
    <row r="36" spans="1:8" x14ac:dyDescent="0.2">
      <c r="A36" s="3">
        <v>30</v>
      </c>
      <c r="B36" s="4" t="s">
        <v>250</v>
      </c>
      <c r="C36" s="4" t="s">
        <v>251</v>
      </c>
      <c r="D36" s="4" t="s">
        <v>164</v>
      </c>
      <c r="E36" s="5">
        <v>139876</v>
      </c>
      <c r="F36" s="6">
        <v>1930.2188619999999</v>
      </c>
      <c r="G36" s="138">
        <v>1.0470768E-2</v>
      </c>
      <c r="H36" s="142"/>
    </row>
    <row r="37" spans="1:8" x14ac:dyDescent="0.2">
      <c r="A37" s="3">
        <v>31</v>
      </c>
      <c r="B37" s="4" t="s">
        <v>464</v>
      </c>
      <c r="C37" s="4" t="s">
        <v>465</v>
      </c>
      <c r="D37" s="4" t="s">
        <v>48</v>
      </c>
      <c r="E37" s="5">
        <v>450000</v>
      </c>
      <c r="F37" s="6">
        <v>1888.65</v>
      </c>
      <c r="G37" s="138">
        <v>1.0245272E-2</v>
      </c>
      <c r="H37" s="142"/>
    </row>
    <row r="38" spans="1:8" x14ac:dyDescent="0.2">
      <c r="A38" s="3">
        <v>32</v>
      </c>
      <c r="B38" s="4" t="s">
        <v>241</v>
      </c>
      <c r="C38" s="4" t="s">
        <v>242</v>
      </c>
      <c r="D38" s="4" t="s">
        <v>243</v>
      </c>
      <c r="E38" s="5">
        <v>380798</v>
      </c>
      <c r="F38" s="6">
        <v>1885.7116960000001</v>
      </c>
      <c r="G38" s="138">
        <v>1.0229332000000001E-2</v>
      </c>
      <c r="H38" s="142"/>
    </row>
    <row r="39" spans="1:8" x14ac:dyDescent="0.2">
      <c r="A39" s="3">
        <v>33</v>
      </c>
      <c r="B39" s="4" t="s">
        <v>402</v>
      </c>
      <c r="C39" s="4" t="s">
        <v>403</v>
      </c>
      <c r="D39" s="4" t="s">
        <v>1026</v>
      </c>
      <c r="E39" s="5">
        <v>610000</v>
      </c>
      <c r="F39" s="6">
        <v>1849.52</v>
      </c>
      <c r="G39" s="138">
        <v>1.0033004999999999E-2</v>
      </c>
      <c r="H39" s="142"/>
    </row>
    <row r="40" spans="1:8" x14ac:dyDescent="0.2">
      <c r="A40" s="3">
        <v>34</v>
      </c>
      <c r="B40" s="4" t="s">
        <v>552</v>
      </c>
      <c r="C40" s="4" t="s">
        <v>553</v>
      </c>
      <c r="D40" s="4" t="s">
        <v>1024</v>
      </c>
      <c r="E40" s="5">
        <v>168338</v>
      </c>
      <c r="F40" s="6">
        <v>1796.0822909999999</v>
      </c>
      <c r="G40" s="138">
        <v>9.7431240000000006E-3</v>
      </c>
      <c r="H40" s="142"/>
    </row>
    <row r="41" spans="1:8" x14ac:dyDescent="0.2">
      <c r="A41" s="3">
        <v>35</v>
      </c>
      <c r="B41" s="4" t="s">
        <v>586</v>
      </c>
      <c r="C41" s="4" t="s">
        <v>587</v>
      </c>
      <c r="D41" s="4" t="s">
        <v>1028</v>
      </c>
      <c r="E41" s="5">
        <v>298149</v>
      </c>
      <c r="F41" s="6">
        <v>1772.0485815</v>
      </c>
      <c r="G41" s="138">
        <v>9.6127490000000003E-3</v>
      </c>
      <c r="H41" s="142"/>
    </row>
    <row r="42" spans="1:8" x14ac:dyDescent="0.2">
      <c r="A42" s="3">
        <v>36</v>
      </c>
      <c r="B42" s="4" t="s">
        <v>179</v>
      </c>
      <c r="C42" s="4" t="s">
        <v>180</v>
      </c>
      <c r="D42" s="4" t="s">
        <v>181</v>
      </c>
      <c r="E42" s="5">
        <v>652856</v>
      </c>
      <c r="F42" s="6">
        <v>1615.1657439999999</v>
      </c>
      <c r="G42" s="138">
        <v>8.7617140000000003E-3</v>
      </c>
      <c r="H42" s="142"/>
    </row>
    <row r="43" spans="1:8" x14ac:dyDescent="0.2">
      <c r="A43" s="3">
        <v>37</v>
      </c>
      <c r="B43" s="4" t="s">
        <v>176</v>
      </c>
      <c r="C43" s="4" t="s">
        <v>177</v>
      </c>
      <c r="D43" s="4" t="s">
        <v>1026</v>
      </c>
      <c r="E43" s="5">
        <v>404089</v>
      </c>
      <c r="F43" s="6">
        <v>1589.0799924999999</v>
      </c>
      <c r="G43" s="138">
        <v>8.6202080000000007E-3</v>
      </c>
      <c r="H43" s="142"/>
    </row>
    <row r="44" spans="1:8" x14ac:dyDescent="0.2">
      <c r="A44" s="3">
        <v>38</v>
      </c>
      <c r="B44" s="4" t="s">
        <v>588</v>
      </c>
      <c r="C44" s="4" t="s">
        <v>589</v>
      </c>
      <c r="D44" s="4" t="s">
        <v>335</v>
      </c>
      <c r="E44" s="5">
        <v>22186</v>
      </c>
      <c r="F44" s="6">
        <v>1426.870404</v>
      </c>
      <c r="G44" s="138">
        <v>7.7402770000000003E-3</v>
      </c>
      <c r="H44" s="142"/>
    </row>
    <row r="45" spans="1:8" x14ac:dyDescent="0.2">
      <c r="A45" s="3">
        <v>39</v>
      </c>
      <c r="B45" s="4" t="s">
        <v>174</v>
      </c>
      <c r="C45" s="4" t="s">
        <v>175</v>
      </c>
      <c r="D45" s="4" t="s">
        <v>335</v>
      </c>
      <c r="E45" s="5">
        <v>130000</v>
      </c>
      <c r="F45" s="6">
        <v>1285.96</v>
      </c>
      <c r="G45" s="138">
        <v>6.9758870000000001E-3</v>
      </c>
      <c r="H45" s="142"/>
    </row>
    <row r="46" spans="1:8" x14ac:dyDescent="0.2">
      <c r="A46" s="3">
        <v>40</v>
      </c>
      <c r="B46" s="4" t="s">
        <v>590</v>
      </c>
      <c r="C46" s="4" t="s">
        <v>591</v>
      </c>
      <c r="D46" s="4" t="s">
        <v>1030</v>
      </c>
      <c r="E46" s="5">
        <v>165838</v>
      </c>
      <c r="F46" s="6">
        <v>1198.0137119999999</v>
      </c>
      <c r="G46" s="138">
        <v>6.4988090000000004E-3</v>
      </c>
      <c r="H46" s="142"/>
    </row>
    <row r="47" spans="1:8" x14ac:dyDescent="0.2">
      <c r="A47" s="3">
        <v>41</v>
      </c>
      <c r="B47" s="4" t="s">
        <v>388</v>
      </c>
      <c r="C47" s="4" t="s">
        <v>389</v>
      </c>
      <c r="D47" s="4" t="s">
        <v>335</v>
      </c>
      <c r="E47" s="5">
        <v>868907</v>
      </c>
      <c r="F47" s="6">
        <v>1186.926962</v>
      </c>
      <c r="G47" s="138">
        <v>6.4386670000000003E-3</v>
      </c>
      <c r="H47" s="142"/>
    </row>
    <row r="48" spans="1:8" x14ac:dyDescent="0.2">
      <c r="A48" s="3">
        <v>42</v>
      </c>
      <c r="B48" s="4" t="s">
        <v>269</v>
      </c>
      <c r="C48" s="4" t="s">
        <v>270</v>
      </c>
      <c r="D48" s="4" t="s">
        <v>1028</v>
      </c>
      <c r="E48" s="5">
        <v>984573</v>
      </c>
      <c r="F48" s="6">
        <v>1140.135534</v>
      </c>
      <c r="G48" s="138">
        <v>6.1848399999999996E-3</v>
      </c>
      <c r="H48" s="142"/>
    </row>
    <row r="49" spans="1:8" x14ac:dyDescent="0.2">
      <c r="A49" s="3">
        <v>43</v>
      </c>
      <c r="B49" s="4" t="s">
        <v>534</v>
      </c>
      <c r="C49" s="4" t="s">
        <v>535</v>
      </c>
      <c r="D49" s="4" t="s">
        <v>1028</v>
      </c>
      <c r="E49" s="5">
        <v>2164038</v>
      </c>
      <c r="F49" s="6">
        <v>982.473252</v>
      </c>
      <c r="G49" s="138">
        <v>5.3295770000000003E-3</v>
      </c>
      <c r="H49" s="142"/>
    </row>
    <row r="50" spans="1:8" ht="25.5" x14ac:dyDescent="0.2">
      <c r="A50" s="3">
        <v>44</v>
      </c>
      <c r="B50" s="4" t="s">
        <v>443</v>
      </c>
      <c r="C50" s="4" t="s">
        <v>444</v>
      </c>
      <c r="D50" s="4" t="s">
        <v>1030</v>
      </c>
      <c r="E50" s="5">
        <v>60976</v>
      </c>
      <c r="F50" s="6">
        <v>969.21352000000002</v>
      </c>
      <c r="G50" s="138">
        <v>5.2576469999999998E-3</v>
      </c>
      <c r="H50" s="142"/>
    </row>
    <row r="51" spans="1:8" x14ac:dyDescent="0.2">
      <c r="A51" s="3">
        <v>45</v>
      </c>
      <c r="B51" s="4" t="s">
        <v>592</v>
      </c>
      <c r="C51" s="4" t="s">
        <v>593</v>
      </c>
      <c r="D51" s="4" t="s">
        <v>335</v>
      </c>
      <c r="E51" s="5">
        <v>22461</v>
      </c>
      <c r="F51" s="6">
        <v>954.63742200000002</v>
      </c>
      <c r="G51" s="138">
        <v>5.1785770000000002E-3</v>
      </c>
      <c r="H51" s="142"/>
    </row>
    <row r="52" spans="1:8" x14ac:dyDescent="0.2">
      <c r="A52" s="3">
        <v>46</v>
      </c>
      <c r="B52" s="4" t="s">
        <v>304</v>
      </c>
      <c r="C52" s="4" t="s">
        <v>305</v>
      </c>
      <c r="D52" s="4" t="s">
        <v>1028</v>
      </c>
      <c r="E52" s="5">
        <v>2402077</v>
      </c>
      <c r="F52" s="6">
        <v>924.79964500000006</v>
      </c>
      <c r="G52" s="138">
        <v>5.0167179999999999E-3</v>
      </c>
      <c r="H52" s="142"/>
    </row>
    <row r="53" spans="1:8" x14ac:dyDescent="0.2">
      <c r="A53" s="3">
        <v>47</v>
      </c>
      <c r="B53" s="4" t="s">
        <v>594</v>
      </c>
      <c r="C53" s="4" t="s">
        <v>595</v>
      </c>
      <c r="D53" s="4" t="s">
        <v>181</v>
      </c>
      <c r="E53" s="5">
        <v>30137</v>
      </c>
      <c r="F53" s="6">
        <v>813.94009600000004</v>
      </c>
      <c r="G53" s="138">
        <v>4.4153430000000004E-3</v>
      </c>
      <c r="H53" s="142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9">
        <v>168380.601085</v>
      </c>
      <c r="G54" s="139">
        <v>0.91340639999999995</v>
      </c>
      <c r="H54" s="142"/>
    </row>
    <row r="55" spans="1:8" x14ac:dyDescent="0.2">
      <c r="A55" s="1"/>
      <c r="B55" s="1"/>
      <c r="C55" s="11"/>
      <c r="D55" s="1"/>
      <c r="E55" s="1"/>
      <c r="F55" s="12"/>
      <c r="G55" s="140"/>
      <c r="H55" s="142"/>
    </row>
    <row r="56" spans="1:8" x14ac:dyDescent="0.2">
      <c r="A56" s="1"/>
      <c r="B56" s="1"/>
      <c r="C56" s="2" t="s">
        <v>107</v>
      </c>
      <c r="D56" s="1"/>
      <c r="E56" s="1"/>
      <c r="F56" s="1"/>
      <c r="G56" s="137"/>
      <c r="H56" s="142"/>
    </row>
    <row r="57" spans="1:8" x14ac:dyDescent="0.2">
      <c r="A57" s="3">
        <v>1</v>
      </c>
      <c r="B57" s="4" t="s">
        <v>596</v>
      </c>
      <c r="C57" s="4" t="s">
        <v>597</v>
      </c>
      <c r="D57" s="4"/>
      <c r="E57" s="5">
        <v>37829</v>
      </c>
      <c r="F57" s="6">
        <v>723.87831504500002</v>
      </c>
      <c r="G57" s="138">
        <v>3.926789E-3</v>
      </c>
      <c r="H57" s="142"/>
    </row>
    <row r="58" spans="1:8" x14ac:dyDescent="0.2">
      <c r="A58" s="1"/>
      <c r="B58" s="1"/>
      <c r="C58" s="2" t="s">
        <v>105</v>
      </c>
      <c r="D58" s="1"/>
      <c r="E58" s="1" t="s">
        <v>106</v>
      </c>
      <c r="F58" s="9">
        <v>723.87831504500002</v>
      </c>
      <c r="G58" s="139">
        <v>3.926789E-3</v>
      </c>
      <c r="H58" s="142"/>
    </row>
    <row r="59" spans="1:8" x14ac:dyDescent="0.2">
      <c r="A59" s="1"/>
      <c r="B59" s="1"/>
      <c r="C59" s="11"/>
      <c r="D59" s="1"/>
      <c r="E59" s="1"/>
      <c r="F59" s="12"/>
      <c r="G59" s="140"/>
      <c r="H59" s="142"/>
    </row>
    <row r="60" spans="1:8" x14ac:dyDescent="0.2">
      <c r="A60" s="1"/>
      <c r="B60" s="1"/>
      <c r="C60" s="2" t="s">
        <v>108</v>
      </c>
      <c r="D60" s="1"/>
      <c r="E60" s="1"/>
      <c r="F60" s="1"/>
      <c r="G60" s="137"/>
      <c r="H60" s="142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1">
        <v>0</v>
      </c>
      <c r="H61" s="142"/>
    </row>
    <row r="62" spans="1:8" x14ac:dyDescent="0.2">
      <c r="A62" s="1"/>
      <c r="B62" s="1"/>
      <c r="C62" s="11"/>
      <c r="D62" s="1"/>
      <c r="E62" s="1"/>
      <c r="F62" s="12"/>
      <c r="G62" s="140"/>
      <c r="H62" s="142"/>
    </row>
    <row r="63" spans="1:8" x14ac:dyDescent="0.2">
      <c r="A63" s="1"/>
      <c r="B63" s="1"/>
      <c r="C63" s="2" t="s">
        <v>109</v>
      </c>
      <c r="D63" s="1"/>
      <c r="E63" s="1"/>
      <c r="F63" s="1"/>
      <c r="G63" s="137"/>
      <c r="H63" s="142"/>
    </row>
    <row r="64" spans="1:8" x14ac:dyDescent="0.2">
      <c r="A64" s="3">
        <v>1</v>
      </c>
      <c r="B64" s="4" t="s">
        <v>110</v>
      </c>
      <c r="C64" s="4" t="s">
        <v>996</v>
      </c>
      <c r="D64" s="4" t="s">
        <v>19</v>
      </c>
      <c r="E64" s="5">
        <v>92315</v>
      </c>
      <c r="F64" s="6">
        <v>141.51889499999999</v>
      </c>
      <c r="G64" s="138">
        <v>7.6769100000000003E-4</v>
      </c>
      <c r="H64" s="142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9">
        <v>141.51889499999999</v>
      </c>
      <c r="G65" s="139">
        <v>7.6769100000000003E-4</v>
      </c>
      <c r="H65" s="142"/>
    </row>
    <row r="66" spans="1:8" x14ac:dyDescent="0.2">
      <c r="A66" s="1"/>
      <c r="B66" s="1"/>
      <c r="C66" s="11"/>
      <c r="D66" s="1"/>
      <c r="E66" s="1"/>
      <c r="F66" s="12"/>
      <c r="G66" s="140"/>
      <c r="H66" s="142"/>
    </row>
    <row r="67" spans="1:8" x14ac:dyDescent="0.2">
      <c r="A67" s="1"/>
      <c r="B67" s="1"/>
      <c r="C67" s="2" t="s">
        <v>111</v>
      </c>
      <c r="D67" s="1"/>
      <c r="E67" s="1"/>
      <c r="F67" s="12"/>
      <c r="G67" s="140"/>
      <c r="H67" s="142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1">
        <v>0</v>
      </c>
      <c r="H68" s="142"/>
    </row>
    <row r="69" spans="1:8" x14ac:dyDescent="0.2">
      <c r="A69" s="1"/>
      <c r="B69" s="1"/>
      <c r="C69" s="11"/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112</v>
      </c>
      <c r="D70" s="1"/>
      <c r="E70" s="1"/>
      <c r="F70" s="12"/>
      <c r="G70" s="140"/>
      <c r="H70" s="142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1">
        <v>0</v>
      </c>
      <c r="H71" s="142"/>
    </row>
    <row r="72" spans="1:8" x14ac:dyDescent="0.2">
      <c r="A72" s="1"/>
      <c r="B72" s="1"/>
      <c r="C72" s="11"/>
      <c r="D72" s="1"/>
      <c r="E72" s="1"/>
      <c r="F72" s="12"/>
      <c r="G72" s="140"/>
      <c r="H72" s="142"/>
    </row>
    <row r="73" spans="1:8" x14ac:dyDescent="0.2">
      <c r="A73" s="1"/>
      <c r="B73" s="1"/>
      <c r="C73" s="2" t="s">
        <v>113</v>
      </c>
      <c r="D73" s="1"/>
      <c r="E73" s="1"/>
      <c r="F73" s="9">
        <v>169245.99829504499</v>
      </c>
      <c r="G73" s="139">
        <v>0.91810088000000001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114</v>
      </c>
      <c r="D75" s="1"/>
      <c r="E75" s="1"/>
      <c r="F75" s="12"/>
      <c r="G75" s="140"/>
      <c r="H75" s="142"/>
    </row>
    <row r="76" spans="1:8" ht="25.5" x14ac:dyDescent="0.2">
      <c r="A76" s="1"/>
      <c r="B76" s="1"/>
      <c r="C76" s="2" t="s">
        <v>10</v>
      </c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1">
        <v>0</v>
      </c>
      <c r="H77" s="142"/>
    </row>
    <row r="78" spans="1:8" x14ac:dyDescent="0.2">
      <c r="A78" s="1"/>
      <c r="B78" s="1"/>
      <c r="C78" s="11"/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115</v>
      </c>
      <c r="D79" s="1"/>
      <c r="E79" s="1"/>
      <c r="F79" s="1"/>
      <c r="G79" s="137"/>
      <c r="H79" s="142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1">
        <v>0</v>
      </c>
      <c r="H80" s="142"/>
    </row>
    <row r="81" spans="1:8" x14ac:dyDescent="0.2">
      <c r="A81" s="1"/>
      <c r="B81" s="1"/>
      <c r="C81" s="11"/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116</v>
      </c>
      <c r="D82" s="1"/>
      <c r="E82" s="1"/>
      <c r="F82" s="1"/>
      <c r="G82" s="137"/>
      <c r="H82" s="142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1">
        <v>0</v>
      </c>
      <c r="H83" s="142"/>
    </row>
    <row r="84" spans="1:8" x14ac:dyDescent="0.2">
      <c r="A84" s="1"/>
      <c r="B84" s="1"/>
      <c r="C84" s="11"/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117</v>
      </c>
      <c r="D85" s="1"/>
      <c r="E85" s="1"/>
      <c r="F85" s="12"/>
      <c r="G85" s="140"/>
      <c r="H85" s="142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1">
        <v>0</v>
      </c>
      <c r="H86" s="142"/>
    </row>
    <row r="87" spans="1:8" x14ac:dyDescent="0.2">
      <c r="A87" s="1"/>
      <c r="B87" s="1"/>
      <c r="C87" s="11"/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118</v>
      </c>
      <c r="D88" s="1"/>
      <c r="E88" s="1"/>
      <c r="F88" s="9">
        <v>0</v>
      </c>
      <c r="G88" s="139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119</v>
      </c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120</v>
      </c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1">
        <v>0</v>
      </c>
      <c r="H92" s="142"/>
    </row>
    <row r="93" spans="1:8" x14ac:dyDescent="0.2">
      <c r="A93" s="1"/>
      <c r="B93" s="1"/>
      <c r="C93" s="11"/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121</v>
      </c>
      <c r="D94" s="1"/>
      <c r="E94" s="1"/>
      <c r="F94" s="12"/>
      <c r="G94" s="140"/>
      <c r="H94" s="142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1">
        <v>0</v>
      </c>
      <c r="H95" s="142"/>
    </row>
    <row r="96" spans="1:8" x14ac:dyDescent="0.2">
      <c r="A96" s="1"/>
      <c r="B96" s="1"/>
      <c r="C96" s="11"/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122</v>
      </c>
      <c r="D97" s="1"/>
      <c r="E97" s="1"/>
      <c r="F97" s="12"/>
      <c r="G97" s="140"/>
      <c r="H97" s="142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1">
        <v>0</v>
      </c>
      <c r="H98" s="142"/>
    </row>
    <row r="99" spans="1:8" x14ac:dyDescent="0.2">
      <c r="A99" s="1"/>
      <c r="B99" s="1"/>
      <c r="C99" s="11"/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123</v>
      </c>
      <c r="D100" s="1"/>
      <c r="E100" s="1"/>
      <c r="F100" s="12"/>
      <c r="G100" s="140"/>
      <c r="H100" s="142"/>
    </row>
    <row r="101" spans="1:8" x14ac:dyDescent="0.2">
      <c r="A101" s="3">
        <v>1</v>
      </c>
      <c r="B101" s="4"/>
      <c r="C101" s="4" t="s">
        <v>124</v>
      </c>
      <c r="D101" s="4"/>
      <c r="E101" s="8"/>
      <c r="F101" s="6">
        <v>12386.523518399999</v>
      </c>
      <c r="G101" s="138">
        <v>6.7192597000000007E-2</v>
      </c>
      <c r="H101" s="152">
        <v>3.3197683930276081</v>
      </c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9">
        <v>12386.523518399999</v>
      </c>
      <c r="G102" s="139">
        <v>6.7192597000000007E-2</v>
      </c>
      <c r="H102" s="142"/>
    </row>
    <row r="103" spans="1:8" x14ac:dyDescent="0.2">
      <c r="A103" s="1"/>
      <c r="B103" s="1"/>
      <c r="C103" s="11"/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125</v>
      </c>
      <c r="D104" s="1"/>
      <c r="E104" s="1"/>
      <c r="F104" s="9">
        <v>12386.523518399999</v>
      </c>
      <c r="G104" s="139">
        <v>6.7192597000000007E-2</v>
      </c>
      <c r="H104" s="142"/>
    </row>
    <row r="105" spans="1:8" x14ac:dyDescent="0.2">
      <c r="A105" s="1"/>
      <c r="B105" s="1"/>
      <c r="C105" s="12"/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126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127</v>
      </c>
      <c r="D107" s="1"/>
      <c r="E107" s="1"/>
      <c r="F107" s="1"/>
      <c r="G107" s="137"/>
      <c r="H107" s="142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1">
        <v>0</v>
      </c>
      <c r="H108" s="142"/>
    </row>
    <row r="109" spans="1:8" x14ac:dyDescent="0.2">
      <c r="A109" s="1"/>
      <c r="B109" s="1"/>
      <c r="C109" s="11"/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128</v>
      </c>
      <c r="D110" s="1"/>
      <c r="E110" s="1"/>
      <c r="F110" s="1"/>
      <c r="G110" s="137"/>
      <c r="H110" s="142"/>
    </row>
    <row r="111" spans="1:8" x14ac:dyDescent="0.2">
      <c r="A111" s="1"/>
      <c r="B111" s="1"/>
      <c r="C111" s="2" t="s">
        <v>129</v>
      </c>
      <c r="D111" s="1"/>
      <c r="E111" s="1"/>
      <c r="F111" s="1"/>
      <c r="G111" s="137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ht="25.5" x14ac:dyDescent="0.2">
      <c r="A115" s="1"/>
      <c r="B115" s="1"/>
      <c r="C115" s="2" t="s">
        <v>130</v>
      </c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1">
        <v>0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4"/>
      <c r="C118" s="4"/>
      <c r="D118" s="2"/>
      <c r="E118" s="1"/>
      <c r="F118" s="4"/>
      <c r="G118" s="143"/>
      <c r="H118" s="142"/>
    </row>
    <row r="119" spans="1:8" x14ac:dyDescent="0.2">
      <c r="A119" s="8"/>
      <c r="B119" s="4"/>
      <c r="C119" s="4" t="s">
        <v>131</v>
      </c>
      <c r="D119" s="4"/>
      <c r="E119" s="8"/>
      <c r="F119" s="6">
        <v>2711.0521258099998</v>
      </c>
      <c r="G119" s="138">
        <v>1.4706518E-2</v>
      </c>
      <c r="H119" s="142"/>
    </row>
    <row r="120" spans="1:8" x14ac:dyDescent="0.2">
      <c r="A120" s="11"/>
      <c r="B120" s="11"/>
      <c r="C120" s="2" t="s">
        <v>132</v>
      </c>
      <c r="D120" s="15"/>
      <c r="E120" s="15"/>
      <c r="F120" s="9">
        <v>184343.573939255</v>
      </c>
      <c r="G120" s="139">
        <v>0.99999999500000003</v>
      </c>
      <c r="H120" s="142"/>
    </row>
    <row r="121" spans="1:8" ht="14.1" customHeight="1" x14ac:dyDescent="0.2">
      <c r="A121" s="16"/>
      <c r="B121" s="16"/>
      <c r="C121" s="16"/>
      <c r="D121" s="17"/>
      <c r="E121" s="17"/>
      <c r="F121" s="17"/>
      <c r="G121" s="17"/>
    </row>
    <row r="122" spans="1:8" ht="14.1" customHeight="1" x14ac:dyDescent="0.2">
      <c r="A122" s="18"/>
      <c r="B122" s="205" t="s">
        <v>106</v>
      </c>
      <c r="C122" s="205"/>
      <c r="D122" s="205"/>
      <c r="E122" s="205"/>
      <c r="F122" s="205"/>
      <c r="G122" s="20"/>
    </row>
    <row r="123" spans="1:8" ht="14.1" customHeight="1" x14ac:dyDescent="0.2">
      <c r="A123" s="18"/>
      <c r="B123" s="205" t="s">
        <v>106</v>
      </c>
      <c r="C123" s="205"/>
      <c r="D123" s="205"/>
      <c r="E123" s="205"/>
      <c r="F123" s="205"/>
      <c r="G123" s="20"/>
    </row>
    <row r="124" spans="1:8" ht="14.1" customHeight="1" x14ac:dyDescent="0.2">
      <c r="A124" s="18"/>
      <c r="B124" s="18"/>
      <c r="C124" s="18"/>
      <c r="D124" s="20"/>
      <c r="E124" s="20"/>
      <c r="F124" s="20"/>
      <c r="G124" s="20"/>
    </row>
    <row r="125" spans="1:8" ht="14.1" customHeight="1" x14ac:dyDescent="0.2">
      <c r="A125" s="18"/>
      <c r="B125" s="203" t="s">
        <v>134</v>
      </c>
      <c r="C125" s="204"/>
      <c r="D125" s="12" t="s">
        <v>106</v>
      </c>
      <c r="E125" s="21"/>
      <c r="F125" s="20"/>
      <c r="G125" s="20"/>
    </row>
    <row r="126" spans="1:8" ht="29.1" customHeight="1" x14ac:dyDescent="0.2">
      <c r="A126" s="18"/>
      <c r="B126" s="199" t="s">
        <v>135</v>
      </c>
      <c r="C126" s="200"/>
      <c r="D126" s="2" t="s">
        <v>136</v>
      </c>
      <c r="E126" s="21"/>
      <c r="F126" s="20"/>
      <c r="G126" s="20"/>
    </row>
    <row r="127" spans="1:8" ht="17.100000000000001" customHeight="1" x14ac:dyDescent="0.2">
      <c r="A127" s="18"/>
      <c r="B127" s="199" t="s">
        <v>137</v>
      </c>
      <c r="C127" s="200"/>
      <c r="D127" s="2" t="s">
        <v>136</v>
      </c>
      <c r="E127" s="21"/>
      <c r="F127" s="20"/>
      <c r="G127" s="20"/>
    </row>
    <row r="128" spans="1:8" ht="17.100000000000001" customHeight="1" x14ac:dyDescent="0.2">
      <c r="A128" s="18"/>
      <c r="B128" s="199" t="s">
        <v>138</v>
      </c>
      <c r="C128" s="200"/>
      <c r="D128" s="12" t="s">
        <v>106</v>
      </c>
      <c r="E128" s="21"/>
      <c r="F128" s="20"/>
      <c r="G128" s="20"/>
    </row>
    <row r="129" spans="1:7" ht="24" customHeight="1" x14ac:dyDescent="0.2">
      <c r="A129" s="22"/>
      <c r="B129" s="23" t="s">
        <v>106</v>
      </c>
      <c r="C129" s="23" t="s">
        <v>139</v>
      </c>
      <c r="D129" s="23" t="s">
        <v>140</v>
      </c>
      <c r="E129" s="22"/>
      <c r="F129" s="22"/>
      <c r="G129" s="22"/>
    </row>
    <row r="130" spans="1:7" ht="18" customHeight="1" x14ac:dyDescent="0.2">
      <c r="A130" s="22"/>
      <c r="B130" s="23" t="s">
        <v>141</v>
      </c>
      <c r="C130" s="23" t="s">
        <v>142</v>
      </c>
      <c r="D130" s="23" t="s">
        <v>143</v>
      </c>
      <c r="E130" s="22"/>
      <c r="F130" s="22"/>
      <c r="G130" s="22"/>
    </row>
    <row r="131" spans="1:7" x14ac:dyDescent="0.2">
      <c r="A131" s="22"/>
      <c r="B131" s="4" t="s">
        <v>144</v>
      </c>
      <c r="C131" s="24">
        <v>20.550599999999999</v>
      </c>
      <c r="D131" s="24">
        <v>21.395399999999999</v>
      </c>
      <c r="E131" s="22"/>
      <c r="F131" s="19"/>
      <c r="G131" s="25"/>
    </row>
    <row r="132" spans="1:7" x14ac:dyDescent="0.2">
      <c r="A132" s="22"/>
      <c r="B132" s="4" t="s">
        <v>1019</v>
      </c>
      <c r="C132" s="24">
        <v>17.513999999999999</v>
      </c>
      <c r="D132" s="24">
        <v>18.234000000000002</v>
      </c>
      <c r="E132" s="22"/>
      <c r="F132" s="19"/>
      <c r="G132" s="25"/>
    </row>
    <row r="133" spans="1:7" x14ac:dyDescent="0.2">
      <c r="A133" s="22"/>
      <c r="B133" s="4" t="s">
        <v>145</v>
      </c>
      <c r="C133" s="24">
        <v>19.933299999999999</v>
      </c>
      <c r="D133" s="24">
        <v>20.729399999999998</v>
      </c>
      <c r="E133" s="22"/>
      <c r="F133" s="19"/>
      <c r="G133" s="25"/>
    </row>
    <row r="134" spans="1:7" x14ac:dyDescent="0.2">
      <c r="A134" s="22"/>
      <c r="B134" s="4" t="s">
        <v>1020</v>
      </c>
      <c r="C134" s="24">
        <v>16.9724</v>
      </c>
      <c r="D134" s="24">
        <v>17.650200000000002</v>
      </c>
      <c r="E134" s="22"/>
      <c r="F134" s="19"/>
      <c r="G134" s="25"/>
    </row>
    <row r="135" spans="1:7" ht="14.1" customHeight="1" x14ac:dyDescent="0.2">
      <c r="A135" s="22"/>
      <c r="B135" s="22"/>
      <c r="C135" s="22"/>
      <c r="D135" s="22"/>
      <c r="E135" s="22"/>
      <c r="F135" s="22"/>
      <c r="G135" s="22"/>
    </row>
    <row r="136" spans="1:7" ht="17.100000000000001" customHeight="1" x14ac:dyDescent="0.2">
      <c r="A136" s="22"/>
      <c r="B136" s="199" t="s">
        <v>1021</v>
      </c>
      <c r="C136" s="200"/>
      <c r="D136" s="2" t="s">
        <v>136</v>
      </c>
      <c r="E136" s="22"/>
      <c r="F136" s="22"/>
      <c r="G136" s="22"/>
    </row>
    <row r="137" spans="1:7" ht="18" customHeight="1" x14ac:dyDescent="0.2">
      <c r="A137" s="22"/>
      <c r="B137" s="26"/>
      <c r="C137" s="26"/>
      <c r="D137" s="27"/>
      <c r="E137" s="22"/>
      <c r="F137" s="22"/>
      <c r="G137" s="22"/>
    </row>
    <row r="138" spans="1:7" s="125" customFormat="1" x14ac:dyDescent="0.2">
      <c r="B138" s="201" t="s">
        <v>825</v>
      </c>
      <c r="C138" s="201"/>
      <c r="D138" s="201"/>
      <c r="E138" s="201"/>
      <c r="F138" s="201"/>
    </row>
    <row r="139" spans="1:7" ht="14.1" customHeight="1" x14ac:dyDescent="0.2">
      <c r="A139" s="22"/>
      <c r="B139" s="19"/>
      <c r="C139" s="19"/>
      <c r="D139" s="22"/>
      <c r="E139" s="22"/>
      <c r="F139" s="22"/>
      <c r="G139" s="22"/>
    </row>
    <row r="140" spans="1:7" ht="29.1" customHeight="1" x14ac:dyDescent="0.2">
      <c r="A140" s="22"/>
      <c r="B140" s="199" t="s">
        <v>146</v>
      </c>
      <c r="C140" s="200"/>
      <c r="D140" s="2" t="s">
        <v>136</v>
      </c>
      <c r="E140" s="22"/>
      <c r="F140" s="22"/>
      <c r="G140" s="22"/>
    </row>
    <row r="141" spans="1:7" ht="29.1" customHeight="1" x14ac:dyDescent="0.2">
      <c r="A141" s="22"/>
      <c r="B141" s="199" t="s">
        <v>147</v>
      </c>
      <c r="C141" s="200"/>
      <c r="D141" s="2" t="s">
        <v>999</v>
      </c>
      <c r="E141" s="22"/>
      <c r="F141" s="22"/>
      <c r="G141" s="22"/>
    </row>
    <row r="142" spans="1:7" ht="17.100000000000001" customHeight="1" x14ac:dyDescent="0.2">
      <c r="A142" s="22"/>
      <c r="B142" s="199" t="s">
        <v>148</v>
      </c>
      <c r="C142" s="200"/>
      <c r="D142" s="28">
        <v>0.44789133597980402</v>
      </c>
      <c r="E142" s="22"/>
      <c r="F142" s="19"/>
      <c r="G142" s="25"/>
    </row>
    <row r="143" spans="1:7" ht="17.100000000000001" customHeight="1" x14ac:dyDescent="0.2">
      <c r="A143" s="22"/>
      <c r="B143" s="199" t="s">
        <v>149</v>
      </c>
      <c r="C143" s="200"/>
      <c r="D143" s="2" t="s">
        <v>136</v>
      </c>
      <c r="E143" s="22"/>
      <c r="F143" s="22"/>
      <c r="G143" s="22"/>
    </row>
    <row r="145" spans="2:6" x14ac:dyDescent="0.2">
      <c r="B145" s="164" t="s">
        <v>1051</v>
      </c>
    </row>
    <row r="147" spans="2:6" x14ac:dyDescent="0.2">
      <c r="B147" s="164" t="s">
        <v>1052</v>
      </c>
    </row>
    <row r="148" spans="2:6" x14ac:dyDescent="0.2">
      <c r="B148" s="164"/>
    </row>
    <row r="149" spans="2:6" x14ac:dyDescent="0.2">
      <c r="B149" s="164" t="s">
        <v>1053</v>
      </c>
    </row>
    <row r="150" spans="2:6" x14ac:dyDescent="0.2">
      <c r="B150" s="164"/>
    </row>
    <row r="151" spans="2:6" x14ac:dyDescent="0.2">
      <c r="B151" s="164" t="s">
        <v>1054</v>
      </c>
    </row>
    <row r="152" spans="2:6" x14ac:dyDescent="0.2">
      <c r="B152" s="164"/>
    </row>
    <row r="153" spans="2:6" x14ac:dyDescent="0.2">
      <c r="B153" s="164" t="s">
        <v>1055</v>
      </c>
    </row>
    <row r="154" spans="2:6" ht="63.75" x14ac:dyDescent="0.2">
      <c r="B154" s="165" t="s">
        <v>1056</v>
      </c>
      <c r="C154" s="165" t="s">
        <v>1066</v>
      </c>
      <c r="D154" s="165" t="s">
        <v>1067</v>
      </c>
      <c r="E154" s="165" t="s">
        <v>1072</v>
      </c>
      <c r="F154" s="165" t="s">
        <v>1071</v>
      </c>
    </row>
    <row r="155" spans="2:6" x14ac:dyDescent="0.2">
      <c r="B155" s="168">
        <v>200</v>
      </c>
      <c r="C155" s="168">
        <v>200</v>
      </c>
      <c r="D155" s="171">
        <v>3074.3</v>
      </c>
      <c r="E155" s="171">
        <v>3083.01</v>
      </c>
      <c r="F155" s="172">
        <v>8.7100000000000364</v>
      </c>
    </row>
    <row r="156" spans="2:6" x14ac:dyDescent="0.2">
      <c r="B156" s="164"/>
    </row>
    <row r="157" spans="2:6" x14ac:dyDescent="0.2">
      <c r="B157" s="164" t="s">
        <v>1057</v>
      </c>
    </row>
    <row r="158" spans="2:6" x14ac:dyDescent="0.2">
      <c r="B158" s="164"/>
    </row>
    <row r="159" spans="2:6" x14ac:dyDescent="0.2">
      <c r="B159" s="164" t="s">
        <v>1058</v>
      </c>
    </row>
    <row r="160" spans="2:6" x14ac:dyDescent="0.2">
      <c r="B160" s="164"/>
    </row>
    <row r="161" spans="2:2" x14ac:dyDescent="0.2">
      <c r="B161" s="164" t="s">
        <v>1059</v>
      </c>
    </row>
    <row r="162" spans="2:2" x14ac:dyDescent="0.2">
      <c r="B162" s="164"/>
    </row>
    <row r="163" spans="2:2" x14ac:dyDescent="0.2">
      <c r="B163" s="164" t="s">
        <v>1060</v>
      </c>
    </row>
    <row r="164" spans="2:2" x14ac:dyDescent="0.2">
      <c r="B164" s="164"/>
    </row>
    <row r="165" spans="2:2" x14ac:dyDescent="0.2">
      <c r="B165" s="164" t="s">
        <v>1061</v>
      </c>
    </row>
    <row r="166" spans="2:2" x14ac:dyDescent="0.2">
      <c r="B166" s="164"/>
    </row>
    <row r="167" spans="2:2" x14ac:dyDescent="0.2">
      <c r="B167" s="164" t="s">
        <v>1062</v>
      </c>
    </row>
    <row r="169" spans="2:2" x14ac:dyDescent="0.2">
      <c r="B169" s="164" t="s">
        <v>1063</v>
      </c>
    </row>
    <row r="171" spans="2:2" x14ac:dyDescent="0.2">
      <c r="B171" s="164" t="s">
        <v>1064</v>
      </c>
    </row>
  </sheetData>
  <mergeCells count="16">
    <mergeCell ref="J2:N2"/>
    <mergeCell ref="B125:C125"/>
    <mergeCell ref="B122:F122"/>
    <mergeCell ref="B123:F123"/>
    <mergeCell ref="A1:H1"/>
    <mergeCell ref="A2:H2"/>
    <mergeCell ref="A3:H3"/>
    <mergeCell ref="B142:C142"/>
    <mergeCell ref="B143:C143"/>
    <mergeCell ref="B126:C126"/>
    <mergeCell ref="B127:C127"/>
    <mergeCell ref="B128:C128"/>
    <mergeCell ref="B136:C136"/>
    <mergeCell ref="B140:C140"/>
    <mergeCell ref="B141:C141"/>
    <mergeCell ref="B138:F138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199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598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394</v>
      </c>
      <c r="C7" s="4" t="s">
        <v>395</v>
      </c>
      <c r="D7" s="4" t="s">
        <v>1030</v>
      </c>
      <c r="E7" s="5">
        <v>266</v>
      </c>
      <c r="F7" s="6">
        <v>47.312755000000003</v>
      </c>
      <c r="G7" s="138">
        <v>1.2918904E-2</v>
      </c>
      <c r="H7" s="142"/>
    </row>
    <row r="8" spans="1:14" x14ac:dyDescent="0.2">
      <c r="A8" s="3">
        <v>2</v>
      </c>
      <c r="B8" s="4" t="s">
        <v>599</v>
      </c>
      <c r="C8" s="4" t="s">
        <v>600</v>
      </c>
      <c r="D8" s="4" t="s">
        <v>66</v>
      </c>
      <c r="E8" s="5">
        <v>11214</v>
      </c>
      <c r="F8" s="6">
        <v>46.784807999999998</v>
      </c>
      <c r="G8" s="138">
        <v>1.2774746999999999E-2</v>
      </c>
      <c r="H8" s="142"/>
    </row>
    <row r="9" spans="1:14" x14ac:dyDescent="0.2">
      <c r="A9" s="3">
        <v>3</v>
      </c>
      <c r="B9" s="4" t="s">
        <v>601</v>
      </c>
      <c r="C9" s="4" t="s">
        <v>602</v>
      </c>
      <c r="D9" s="4" t="s">
        <v>164</v>
      </c>
      <c r="E9" s="5">
        <v>788</v>
      </c>
      <c r="F9" s="6">
        <v>45.429381999999997</v>
      </c>
      <c r="G9" s="138">
        <v>1.2404643E-2</v>
      </c>
      <c r="H9" s="142"/>
    </row>
    <row r="10" spans="1:14" x14ac:dyDescent="0.2">
      <c r="A10" s="3">
        <v>4</v>
      </c>
      <c r="B10" s="4" t="s">
        <v>603</v>
      </c>
      <c r="C10" s="4" t="s">
        <v>604</v>
      </c>
      <c r="D10" s="4" t="s">
        <v>51</v>
      </c>
      <c r="E10" s="5">
        <v>3273</v>
      </c>
      <c r="F10" s="6">
        <v>44.941563000000002</v>
      </c>
      <c r="G10" s="138">
        <v>1.2271442E-2</v>
      </c>
      <c r="H10" s="142"/>
    </row>
    <row r="11" spans="1:14" x14ac:dyDescent="0.2">
      <c r="A11" s="3">
        <v>5</v>
      </c>
      <c r="B11" s="4" t="s">
        <v>605</v>
      </c>
      <c r="C11" s="4" t="s">
        <v>606</v>
      </c>
      <c r="D11" s="4" t="s">
        <v>80</v>
      </c>
      <c r="E11" s="5">
        <v>901</v>
      </c>
      <c r="F11" s="6">
        <v>43.325485999999998</v>
      </c>
      <c r="G11" s="138">
        <v>1.1830167000000001E-2</v>
      </c>
      <c r="H11" s="142"/>
    </row>
    <row r="12" spans="1:14" x14ac:dyDescent="0.2">
      <c r="A12" s="3">
        <v>6</v>
      </c>
      <c r="B12" s="4" t="s">
        <v>607</v>
      </c>
      <c r="C12" s="4" t="s">
        <v>608</v>
      </c>
      <c r="D12" s="4" t="s">
        <v>34</v>
      </c>
      <c r="E12" s="5">
        <v>2760</v>
      </c>
      <c r="F12" s="6">
        <v>43.014600000000002</v>
      </c>
      <c r="G12" s="138">
        <v>1.1745279000000001E-2</v>
      </c>
      <c r="H12" s="142"/>
    </row>
    <row r="13" spans="1:14" x14ac:dyDescent="0.2">
      <c r="A13" s="3">
        <v>7</v>
      </c>
      <c r="B13" s="4" t="s">
        <v>310</v>
      </c>
      <c r="C13" s="4" t="s">
        <v>311</v>
      </c>
      <c r="D13" s="4" t="s">
        <v>181</v>
      </c>
      <c r="E13" s="5">
        <v>953</v>
      </c>
      <c r="F13" s="6">
        <v>42.709648000000001</v>
      </c>
      <c r="G13" s="138">
        <v>1.1662011E-2</v>
      </c>
      <c r="H13" s="142"/>
    </row>
    <row r="14" spans="1:14" x14ac:dyDescent="0.2">
      <c r="A14" s="3">
        <v>8</v>
      </c>
      <c r="B14" s="4" t="s">
        <v>588</v>
      </c>
      <c r="C14" s="4" t="s">
        <v>589</v>
      </c>
      <c r="D14" s="4" t="s">
        <v>335</v>
      </c>
      <c r="E14" s="5">
        <v>662</v>
      </c>
      <c r="F14" s="6">
        <v>42.575868</v>
      </c>
      <c r="G14" s="138">
        <v>1.1625481999999999E-2</v>
      </c>
      <c r="H14" s="142"/>
    </row>
    <row r="15" spans="1:14" ht="15" x14ac:dyDescent="0.2">
      <c r="A15" s="3">
        <v>9</v>
      </c>
      <c r="B15" s="4" t="s">
        <v>314</v>
      </c>
      <c r="C15" s="4" t="s">
        <v>315</v>
      </c>
      <c r="D15" s="4" t="s">
        <v>1028</v>
      </c>
      <c r="E15" s="5">
        <v>1049</v>
      </c>
      <c r="F15" s="6">
        <v>42.389040999999999</v>
      </c>
      <c r="G15" s="138">
        <v>1.1574467999999999E-2</v>
      </c>
      <c r="H15" s="142"/>
      <c r="J15" s="163" t="s">
        <v>1042</v>
      </c>
    </row>
    <row r="16" spans="1:14" x14ac:dyDescent="0.2">
      <c r="A16" s="3">
        <v>10</v>
      </c>
      <c r="B16" s="4" t="s">
        <v>428</v>
      </c>
      <c r="C16" s="4" t="s">
        <v>429</v>
      </c>
      <c r="D16" s="4" t="s">
        <v>430</v>
      </c>
      <c r="E16" s="5">
        <v>8681</v>
      </c>
      <c r="F16" s="6">
        <v>42.358939499999998</v>
      </c>
      <c r="G16" s="138">
        <v>1.1566249000000001E-2</v>
      </c>
      <c r="H16" s="142"/>
    </row>
    <row r="17" spans="1:8" x14ac:dyDescent="0.2">
      <c r="A17" s="3">
        <v>11</v>
      </c>
      <c r="B17" s="4" t="s">
        <v>17</v>
      </c>
      <c r="C17" s="4" t="s">
        <v>18</v>
      </c>
      <c r="D17" s="4" t="s">
        <v>19</v>
      </c>
      <c r="E17" s="5">
        <v>6140</v>
      </c>
      <c r="F17" s="6">
        <v>42.261620000000001</v>
      </c>
      <c r="G17" s="138">
        <v>1.1539674999999999E-2</v>
      </c>
      <c r="H17" s="142"/>
    </row>
    <row r="18" spans="1:8" ht="25.5" x14ac:dyDescent="0.2">
      <c r="A18" s="3">
        <v>12</v>
      </c>
      <c r="B18" s="4" t="s">
        <v>484</v>
      </c>
      <c r="C18" s="4" t="s">
        <v>485</v>
      </c>
      <c r="D18" s="4" t="s">
        <v>90</v>
      </c>
      <c r="E18" s="5">
        <v>4951</v>
      </c>
      <c r="F18" s="6">
        <v>42.236981</v>
      </c>
      <c r="G18" s="138">
        <v>1.1532947E-2</v>
      </c>
      <c r="H18" s="142"/>
    </row>
    <row r="19" spans="1:8" x14ac:dyDescent="0.2">
      <c r="A19" s="3">
        <v>13</v>
      </c>
      <c r="B19" s="4" t="s">
        <v>368</v>
      </c>
      <c r="C19" s="4" t="s">
        <v>369</v>
      </c>
      <c r="D19" s="4" t="s">
        <v>164</v>
      </c>
      <c r="E19" s="5">
        <v>3300</v>
      </c>
      <c r="F19" s="6">
        <v>42.225149999999999</v>
      </c>
      <c r="G19" s="138">
        <v>1.1529717E-2</v>
      </c>
      <c r="H19" s="142"/>
    </row>
    <row r="20" spans="1:8" x14ac:dyDescent="0.2">
      <c r="A20" s="3">
        <v>14</v>
      </c>
      <c r="B20" s="4" t="s">
        <v>592</v>
      </c>
      <c r="C20" s="4" t="s">
        <v>593</v>
      </c>
      <c r="D20" s="4" t="s">
        <v>335</v>
      </c>
      <c r="E20" s="5">
        <v>992</v>
      </c>
      <c r="F20" s="6">
        <v>42.161983999999997</v>
      </c>
      <c r="G20" s="138">
        <v>1.1512468999999999E-2</v>
      </c>
      <c r="H20" s="142"/>
    </row>
    <row r="21" spans="1:8" x14ac:dyDescent="0.2">
      <c r="A21" s="3">
        <v>15</v>
      </c>
      <c r="B21" s="4" t="s">
        <v>437</v>
      </c>
      <c r="C21" s="4" t="s">
        <v>438</v>
      </c>
      <c r="D21" s="4" t="s">
        <v>164</v>
      </c>
      <c r="E21" s="5">
        <v>3028</v>
      </c>
      <c r="F21" s="6">
        <v>41.804568000000003</v>
      </c>
      <c r="G21" s="138">
        <v>1.1414875999999999E-2</v>
      </c>
      <c r="H21" s="142"/>
    </row>
    <row r="22" spans="1:8" x14ac:dyDescent="0.2">
      <c r="A22" s="3">
        <v>16</v>
      </c>
      <c r="B22" s="4" t="s">
        <v>609</v>
      </c>
      <c r="C22" s="4" t="s">
        <v>610</v>
      </c>
      <c r="D22" s="4" t="s">
        <v>207</v>
      </c>
      <c r="E22" s="5">
        <v>1047</v>
      </c>
      <c r="F22" s="6">
        <v>41.678452499999999</v>
      </c>
      <c r="G22" s="138">
        <v>1.1380438999999999E-2</v>
      </c>
      <c r="H22" s="142"/>
    </row>
    <row r="23" spans="1:8" x14ac:dyDescent="0.2">
      <c r="A23" s="3">
        <v>17</v>
      </c>
      <c r="B23" s="4" t="s">
        <v>561</v>
      </c>
      <c r="C23" s="4" t="s">
        <v>562</v>
      </c>
      <c r="D23" s="4" t="s">
        <v>80</v>
      </c>
      <c r="E23" s="5">
        <v>542</v>
      </c>
      <c r="F23" s="6">
        <v>41.561101999999998</v>
      </c>
      <c r="G23" s="138">
        <v>1.1348396E-2</v>
      </c>
      <c r="H23" s="142"/>
    </row>
    <row r="24" spans="1:8" x14ac:dyDescent="0.2">
      <c r="A24" s="3">
        <v>18</v>
      </c>
      <c r="B24" s="4" t="s">
        <v>611</v>
      </c>
      <c r="C24" s="4" t="s">
        <v>612</v>
      </c>
      <c r="D24" s="4" t="s">
        <v>19</v>
      </c>
      <c r="E24" s="5">
        <v>13438</v>
      </c>
      <c r="F24" s="6">
        <v>41.483105999999999</v>
      </c>
      <c r="G24" s="138">
        <v>1.1327099E-2</v>
      </c>
      <c r="H24" s="142"/>
    </row>
    <row r="25" spans="1:8" x14ac:dyDescent="0.2">
      <c r="A25" s="3">
        <v>19</v>
      </c>
      <c r="B25" s="4" t="s">
        <v>613</v>
      </c>
      <c r="C25" s="4" t="s">
        <v>614</v>
      </c>
      <c r="D25" s="4" t="s">
        <v>615</v>
      </c>
      <c r="E25" s="5">
        <v>22125</v>
      </c>
      <c r="F25" s="6">
        <v>40.953375000000001</v>
      </c>
      <c r="G25" s="138">
        <v>1.1182455000000001E-2</v>
      </c>
      <c r="H25" s="142"/>
    </row>
    <row r="26" spans="1:8" x14ac:dyDescent="0.2">
      <c r="A26" s="3">
        <v>20</v>
      </c>
      <c r="B26" s="4" t="s">
        <v>616</v>
      </c>
      <c r="C26" s="4" t="s">
        <v>617</v>
      </c>
      <c r="D26" s="4" t="s">
        <v>207</v>
      </c>
      <c r="E26" s="5">
        <v>198</v>
      </c>
      <c r="F26" s="6">
        <v>40.625244000000002</v>
      </c>
      <c r="G26" s="138">
        <v>1.1092856999999999E-2</v>
      </c>
      <c r="H26" s="142"/>
    </row>
    <row r="27" spans="1:8" x14ac:dyDescent="0.2">
      <c r="A27" s="3">
        <v>21</v>
      </c>
      <c r="B27" s="4" t="s">
        <v>504</v>
      </c>
      <c r="C27" s="4" t="s">
        <v>505</v>
      </c>
      <c r="D27" s="4" t="s">
        <v>51</v>
      </c>
      <c r="E27" s="5">
        <v>1872</v>
      </c>
      <c r="F27" s="6">
        <v>40.469831999999997</v>
      </c>
      <c r="G27" s="138">
        <v>1.1050422000000001E-2</v>
      </c>
      <c r="H27" s="142"/>
    </row>
    <row r="28" spans="1:8" x14ac:dyDescent="0.2">
      <c r="A28" s="3">
        <v>22</v>
      </c>
      <c r="B28" s="4" t="s">
        <v>618</v>
      </c>
      <c r="C28" s="4" t="s">
        <v>619</v>
      </c>
      <c r="D28" s="4" t="s">
        <v>34</v>
      </c>
      <c r="E28" s="5">
        <v>28146</v>
      </c>
      <c r="F28" s="6">
        <v>39.925100999999998</v>
      </c>
      <c r="G28" s="138">
        <v>1.0901681E-2</v>
      </c>
      <c r="H28" s="142"/>
    </row>
    <row r="29" spans="1:8" x14ac:dyDescent="0.2">
      <c r="A29" s="3">
        <v>23</v>
      </c>
      <c r="B29" s="4" t="s">
        <v>424</v>
      </c>
      <c r="C29" s="4" t="s">
        <v>425</v>
      </c>
      <c r="D29" s="4" t="s">
        <v>207</v>
      </c>
      <c r="E29" s="5">
        <v>4871</v>
      </c>
      <c r="F29" s="6">
        <v>39.8569575</v>
      </c>
      <c r="G29" s="138">
        <v>1.0883074E-2</v>
      </c>
      <c r="H29" s="142"/>
    </row>
    <row r="30" spans="1:8" x14ac:dyDescent="0.2">
      <c r="A30" s="3">
        <v>24</v>
      </c>
      <c r="B30" s="4" t="s">
        <v>416</v>
      </c>
      <c r="C30" s="4" t="s">
        <v>417</v>
      </c>
      <c r="D30" s="4" t="s">
        <v>1030</v>
      </c>
      <c r="E30" s="5">
        <v>3263</v>
      </c>
      <c r="F30" s="6">
        <v>39.648713000000001</v>
      </c>
      <c r="G30" s="138">
        <v>1.0826212E-2</v>
      </c>
      <c r="H30" s="142"/>
    </row>
    <row r="31" spans="1:8" x14ac:dyDescent="0.2">
      <c r="A31" s="3">
        <v>25</v>
      </c>
      <c r="B31" s="4" t="s">
        <v>14</v>
      </c>
      <c r="C31" s="4" t="s">
        <v>15</v>
      </c>
      <c r="D31" s="4" t="s">
        <v>16</v>
      </c>
      <c r="E31" s="5">
        <v>1562</v>
      </c>
      <c r="F31" s="6">
        <v>39.350684999999999</v>
      </c>
      <c r="G31" s="138">
        <v>1.0744834999999999E-2</v>
      </c>
      <c r="H31" s="142"/>
    </row>
    <row r="32" spans="1:8" x14ac:dyDescent="0.2">
      <c r="A32" s="3">
        <v>26</v>
      </c>
      <c r="B32" s="4" t="s">
        <v>67</v>
      </c>
      <c r="C32" s="4" t="s">
        <v>68</v>
      </c>
      <c r="D32" s="4" t="s">
        <v>69</v>
      </c>
      <c r="E32" s="5">
        <v>27196</v>
      </c>
      <c r="F32" s="6">
        <v>39.298220000000001</v>
      </c>
      <c r="G32" s="138">
        <v>1.0730508999999999E-2</v>
      </c>
      <c r="H32" s="142"/>
    </row>
    <row r="33" spans="1:8" ht="25.5" x14ac:dyDescent="0.2">
      <c r="A33" s="3">
        <v>27</v>
      </c>
      <c r="B33" s="4" t="s">
        <v>620</v>
      </c>
      <c r="C33" s="4" t="s">
        <v>621</v>
      </c>
      <c r="D33" s="4" t="s">
        <v>90</v>
      </c>
      <c r="E33" s="5">
        <v>3742</v>
      </c>
      <c r="F33" s="6">
        <v>38.538857999999998</v>
      </c>
      <c r="G33" s="138">
        <v>1.0523163E-2</v>
      </c>
      <c r="H33" s="142"/>
    </row>
    <row r="34" spans="1:8" x14ac:dyDescent="0.2">
      <c r="A34" s="3">
        <v>28</v>
      </c>
      <c r="B34" s="4" t="s">
        <v>622</v>
      </c>
      <c r="C34" s="4" t="s">
        <v>623</v>
      </c>
      <c r="D34" s="4" t="s">
        <v>48</v>
      </c>
      <c r="E34" s="5">
        <v>1895</v>
      </c>
      <c r="F34" s="6">
        <v>38.311214999999997</v>
      </c>
      <c r="G34" s="138">
        <v>1.0461003999999999E-2</v>
      </c>
      <c r="H34" s="142"/>
    </row>
    <row r="35" spans="1:8" x14ac:dyDescent="0.2">
      <c r="A35" s="3">
        <v>29</v>
      </c>
      <c r="B35" s="4" t="s">
        <v>346</v>
      </c>
      <c r="C35" s="4" t="s">
        <v>347</v>
      </c>
      <c r="D35" s="4" t="s">
        <v>207</v>
      </c>
      <c r="E35" s="5">
        <v>1029</v>
      </c>
      <c r="F35" s="6">
        <v>38.277771000000001</v>
      </c>
      <c r="G35" s="138">
        <v>1.0451871999999999E-2</v>
      </c>
      <c r="H35" s="142"/>
    </row>
    <row r="36" spans="1:8" x14ac:dyDescent="0.2">
      <c r="A36" s="3">
        <v>30</v>
      </c>
      <c r="B36" s="4" t="s">
        <v>422</v>
      </c>
      <c r="C36" s="4" t="s">
        <v>423</v>
      </c>
      <c r="D36" s="4" t="s">
        <v>164</v>
      </c>
      <c r="E36" s="5">
        <v>5993</v>
      </c>
      <c r="F36" s="6">
        <v>38.001612999999999</v>
      </c>
      <c r="G36" s="138">
        <v>1.0376466000000001E-2</v>
      </c>
      <c r="H36" s="142"/>
    </row>
    <row r="37" spans="1:8" x14ac:dyDescent="0.2">
      <c r="A37" s="3">
        <v>31</v>
      </c>
      <c r="B37" s="4" t="s">
        <v>441</v>
      </c>
      <c r="C37" s="4" t="s">
        <v>442</v>
      </c>
      <c r="D37" s="4" t="s">
        <v>24</v>
      </c>
      <c r="E37" s="5">
        <v>1890</v>
      </c>
      <c r="F37" s="6">
        <v>37.903950000000002</v>
      </c>
      <c r="G37" s="138">
        <v>1.0349799E-2</v>
      </c>
      <c r="H37" s="142"/>
    </row>
    <row r="38" spans="1:8" ht="25.5" x14ac:dyDescent="0.2">
      <c r="A38" s="3">
        <v>32</v>
      </c>
      <c r="B38" s="4" t="s">
        <v>624</v>
      </c>
      <c r="C38" s="4" t="s">
        <v>625</v>
      </c>
      <c r="D38" s="4" t="s">
        <v>1023</v>
      </c>
      <c r="E38" s="5">
        <v>9464</v>
      </c>
      <c r="F38" s="6">
        <v>37.874927999999997</v>
      </c>
      <c r="G38" s="138">
        <v>1.0341873999999999E-2</v>
      </c>
      <c r="H38" s="142"/>
    </row>
    <row r="39" spans="1:8" ht="25.5" x14ac:dyDescent="0.2">
      <c r="A39" s="3">
        <v>33</v>
      </c>
      <c r="B39" s="4" t="s">
        <v>435</v>
      </c>
      <c r="C39" s="4" t="s">
        <v>436</v>
      </c>
      <c r="D39" s="4" t="s">
        <v>90</v>
      </c>
      <c r="E39" s="5">
        <v>16024</v>
      </c>
      <c r="F39" s="6">
        <v>37.840676000000002</v>
      </c>
      <c r="G39" s="138">
        <v>1.0332522E-2</v>
      </c>
      <c r="H39" s="142"/>
    </row>
    <row r="40" spans="1:8" ht="25.5" x14ac:dyDescent="0.2">
      <c r="A40" s="3">
        <v>34</v>
      </c>
      <c r="B40" s="4" t="s">
        <v>626</v>
      </c>
      <c r="C40" s="4" t="s">
        <v>627</v>
      </c>
      <c r="D40" s="4" t="s">
        <v>90</v>
      </c>
      <c r="E40" s="5">
        <v>2378</v>
      </c>
      <c r="F40" s="6">
        <v>37.370269999999998</v>
      </c>
      <c r="G40" s="138">
        <v>1.0204075999999999E-2</v>
      </c>
      <c r="H40" s="142"/>
    </row>
    <row r="41" spans="1:8" x14ac:dyDescent="0.2">
      <c r="A41" s="3">
        <v>35</v>
      </c>
      <c r="B41" s="4" t="s">
        <v>433</v>
      </c>
      <c r="C41" s="4" t="s">
        <v>434</v>
      </c>
      <c r="D41" s="4" t="s">
        <v>207</v>
      </c>
      <c r="E41" s="5">
        <v>777</v>
      </c>
      <c r="F41" s="6">
        <v>37.285899000000001</v>
      </c>
      <c r="G41" s="138">
        <v>1.0181038E-2</v>
      </c>
      <c r="H41" s="142"/>
    </row>
    <row r="42" spans="1:8" x14ac:dyDescent="0.2">
      <c r="A42" s="3">
        <v>36</v>
      </c>
      <c r="B42" s="4" t="s">
        <v>628</v>
      </c>
      <c r="C42" s="4" t="s">
        <v>629</v>
      </c>
      <c r="D42" s="4" t="s">
        <v>16</v>
      </c>
      <c r="E42" s="5">
        <v>29495</v>
      </c>
      <c r="F42" s="6">
        <v>36.957234999999997</v>
      </c>
      <c r="G42" s="138">
        <v>1.0091295E-2</v>
      </c>
      <c r="H42" s="142"/>
    </row>
    <row r="43" spans="1:8" x14ac:dyDescent="0.2">
      <c r="A43" s="3">
        <v>37</v>
      </c>
      <c r="B43" s="4" t="s">
        <v>11</v>
      </c>
      <c r="C43" s="4" t="s">
        <v>12</v>
      </c>
      <c r="D43" s="4" t="s">
        <v>13</v>
      </c>
      <c r="E43" s="5">
        <v>2163</v>
      </c>
      <c r="F43" s="6">
        <v>36.834808500000001</v>
      </c>
      <c r="G43" s="138">
        <v>1.0057866E-2</v>
      </c>
      <c r="H43" s="142"/>
    </row>
    <row r="44" spans="1:8" x14ac:dyDescent="0.2">
      <c r="A44" s="3">
        <v>38</v>
      </c>
      <c r="B44" s="4" t="s">
        <v>630</v>
      </c>
      <c r="C44" s="4" t="s">
        <v>631</v>
      </c>
      <c r="D44" s="4" t="s">
        <v>153</v>
      </c>
      <c r="E44" s="5">
        <v>1546</v>
      </c>
      <c r="F44" s="6">
        <v>36.824947000000002</v>
      </c>
      <c r="G44" s="138">
        <v>1.0055174E-2</v>
      </c>
      <c r="H44" s="142"/>
    </row>
    <row r="45" spans="1:8" x14ac:dyDescent="0.2">
      <c r="A45" s="3">
        <v>39</v>
      </c>
      <c r="B45" s="4" t="s">
        <v>420</v>
      </c>
      <c r="C45" s="4" t="s">
        <v>421</v>
      </c>
      <c r="D45" s="4" t="s">
        <v>164</v>
      </c>
      <c r="E45" s="5">
        <v>973</v>
      </c>
      <c r="F45" s="6">
        <v>36.736101499999997</v>
      </c>
      <c r="G45" s="138">
        <v>1.0030914E-2</v>
      </c>
      <c r="H45" s="142"/>
    </row>
    <row r="46" spans="1:8" ht="25.5" x14ac:dyDescent="0.2">
      <c r="A46" s="3">
        <v>40</v>
      </c>
      <c r="B46" s="4" t="s">
        <v>632</v>
      </c>
      <c r="C46" s="4" t="s">
        <v>633</v>
      </c>
      <c r="D46" s="4" t="s">
        <v>1023</v>
      </c>
      <c r="E46" s="5">
        <v>1617</v>
      </c>
      <c r="F46" s="6">
        <v>36.455264999999997</v>
      </c>
      <c r="G46" s="138">
        <v>9.9542309999999991E-3</v>
      </c>
      <c r="H46" s="142"/>
    </row>
    <row r="47" spans="1:8" ht="25.5" x14ac:dyDescent="0.2">
      <c r="A47" s="3">
        <v>41</v>
      </c>
      <c r="B47" s="4" t="s">
        <v>634</v>
      </c>
      <c r="C47" s="4" t="s">
        <v>635</v>
      </c>
      <c r="D47" s="4" t="s">
        <v>1023</v>
      </c>
      <c r="E47" s="5">
        <v>2170</v>
      </c>
      <c r="F47" s="6">
        <v>36.227065000000003</v>
      </c>
      <c r="G47" s="138">
        <v>9.8919200000000002E-3</v>
      </c>
      <c r="H47" s="142"/>
    </row>
    <row r="48" spans="1:8" ht="25.5" x14ac:dyDescent="0.2">
      <c r="A48" s="3">
        <v>42</v>
      </c>
      <c r="B48" s="4" t="s">
        <v>418</v>
      </c>
      <c r="C48" s="4" t="s">
        <v>419</v>
      </c>
      <c r="D48" s="4" t="s">
        <v>90</v>
      </c>
      <c r="E48" s="5">
        <v>1339</v>
      </c>
      <c r="F48" s="6">
        <v>36.177101999999998</v>
      </c>
      <c r="G48" s="138">
        <v>9.8782769999999995E-3</v>
      </c>
      <c r="H48" s="142"/>
    </row>
    <row r="49" spans="1:8" ht="25.5" x14ac:dyDescent="0.2">
      <c r="A49" s="3">
        <v>43</v>
      </c>
      <c r="B49" s="4" t="s">
        <v>565</v>
      </c>
      <c r="C49" s="4" t="s">
        <v>566</v>
      </c>
      <c r="D49" s="4" t="s">
        <v>90</v>
      </c>
      <c r="E49" s="5">
        <v>186</v>
      </c>
      <c r="F49" s="6">
        <v>36.168723</v>
      </c>
      <c r="G49" s="138">
        <v>9.8759899999999994E-3</v>
      </c>
      <c r="H49" s="142"/>
    </row>
    <row r="50" spans="1:8" x14ac:dyDescent="0.2">
      <c r="A50" s="3">
        <v>44</v>
      </c>
      <c r="B50" s="4" t="s">
        <v>431</v>
      </c>
      <c r="C50" s="4" t="s">
        <v>432</v>
      </c>
      <c r="D50" s="4" t="s">
        <v>59</v>
      </c>
      <c r="E50" s="5">
        <v>2806</v>
      </c>
      <c r="F50" s="6">
        <v>36.166533999999999</v>
      </c>
      <c r="G50" s="138">
        <v>9.8753920000000002E-3</v>
      </c>
      <c r="H50" s="142"/>
    </row>
    <row r="51" spans="1:8" x14ac:dyDescent="0.2">
      <c r="A51" s="3">
        <v>45</v>
      </c>
      <c r="B51" s="4" t="s">
        <v>636</v>
      </c>
      <c r="C51" s="4" t="s">
        <v>637</v>
      </c>
      <c r="D51" s="4" t="s">
        <v>34</v>
      </c>
      <c r="E51" s="5">
        <v>19008</v>
      </c>
      <c r="F51" s="6">
        <v>36.096192000000002</v>
      </c>
      <c r="G51" s="138">
        <v>9.8561849999999999E-3</v>
      </c>
      <c r="H51" s="142"/>
    </row>
    <row r="52" spans="1:8" ht="25.5" x14ac:dyDescent="0.2">
      <c r="A52" s="3">
        <v>46</v>
      </c>
      <c r="B52" s="4" t="s">
        <v>412</v>
      </c>
      <c r="C52" s="4" t="s">
        <v>413</v>
      </c>
      <c r="D52" s="4" t="s">
        <v>80</v>
      </c>
      <c r="E52" s="5">
        <v>1309</v>
      </c>
      <c r="F52" s="6">
        <v>36.053787</v>
      </c>
      <c r="G52" s="138">
        <v>9.8446060000000005E-3</v>
      </c>
      <c r="H52" s="142"/>
    </row>
    <row r="53" spans="1:8" x14ac:dyDescent="0.2">
      <c r="A53" s="3">
        <v>47</v>
      </c>
      <c r="B53" s="4" t="s">
        <v>638</v>
      </c>
      <c r="C53" s="4" t="s">
        <v>639</v>
      </c>
      <c r="D53" s="4" t="s">
        <v>430</v>
      </c>
      <c r="E53" s="5">
        <v>12522</v>
      </c>
      <c r="F53" s="6">
        <v>36.019533000000003</v>
      </c>
      <c r="G53" s="138">
        <v>9.8352530000000004E-3</v>
      </c>
      <c r="H53" s="142"/>
    </row>
    <row r="54" spans="1:8" x14ac:dyDescent="0.2">
      <c r="A54" s="3">
        <v>48</v>
      </c>
      <c r="B54" s="4" t="s">
        <v>640</v>
      </c>
      <c r="C54" s="4" t="s">
        <v>641</v>
      </c>
      <c r="D54" s="4" t="s">
        <v>24</v>
      </c>
      <c r="E54" s="5">
        <v>3231</v>
      </c>
      <c r="F54" s="6">
        <v>35.925488999999999</v>
      </c>
      <c r="G54" s="138">
        <v>9.8095739999999997E-3</v>
      </c>
      <c r="H54" s="142"/>
    </row>
    <row r="55" spans="1:8" ht="25.5" x14ac:dyDescent="0.2">
      <c r="A55" s="3">
        <v>49</v>
      </c>
      <c r="B55" s="4" t="s">
        <v>642</v>
      </c>
      <c r="C55" s="4" t="s">
        <v>643</v>
      </c>
      <c r="D55" s="4" t="s">
        <v>1030</v>
      </c>
      <c r="E55" s="5">
        <v>5334</v>
      </c>
      <c r="F55" s="6">
        <v>35.836478999999997</v>
      </c>
      <c r="G55" s="138">
        <v>9.7852689999999992E-3</v>
      </c>
      <c r="H55" s="142"/>
    </row>
    <row r="56" spans="1:8" ht="25.5" x14ac:dyDescent="0.2">
      <c r="A56" s="3">
        <v>50</v>
      </c>
      <c r="B56" s="4" t="s">
        <v>497</v>
      </c>
      <c r="C56" s="4" t="s">
        <v>498</v>
      </c>
      <c r="D56" s="4" t="s">
        <v>90</v>
      </c>
      <c r="E56" s="5">
        <v>5804</v>
      </c>
      <c r="F56" s="6">
        <v>35.813581999999997</v>
      </c>
      <c r="G56" s="138">
        <v>9.7790169999999992E-3</v>
      </c>
      <c r="H56" s="142"/>
    </row>
    <row r="57" spans="1:8" ht="25.5" x14ac:dyDescent="0.2">
      <c r="A57" s="3">
        <v>51</v>
      </c>
      <c r="B57" s="4" t="s">
        <v>644</v>
      </c>
      <c r="C57" s="4" t="s">
        <v>645</v>
      </c>
      <c r="D57" s="4" t="s">
        <v>90</v>
      </c>
      <c r="E57" s="5">
        <v>899</v>
      </c>
      <c r="F57" s="6">
        <v>35.501060500000001</v>
      </c>
      <c r="G57" s="138">
        <v>9.6936820000000003E-3</v>
      </c>
      <c r="H57" s="142"/>
    </row>
    <row r="58" spans="1:8" ht="25.5" x14ac:dyDescent="0.2">
      <c r="A58" s="3">
        <v>52</v>
      </c>
      <c r="B58" s="4" t="s">
        <v>559</v>
      </c>
      <c r="C58" s="4" t="s">
        <v>560</v>
      </c>
      <c r="D58" s="4" t="s">
        <v>90</v>
      </c>
      <c r="E58" s="5">
        <v>1094</v>
      </c>
      <c r="F58" s="6">
        <v>35.496471</v>
      </c>
      <c r="G58" s="138">
        <v>9.6924290000000007E-3</v>
      </c>
      <c r="H58" s="142"/>
    </row>
    <row r="59" spans="1:8" ht="25.5" x14ac:dyDescent="0.2">
      <c r="A59" s="3">
        <v>53</v>
      </c>
      <c r="B59" s="4" t="s">
        <v>398</v>
      </c>
      <c r="C59" s="4" t="s">
        <v>399</v>
      </c>
      <c r="D59" s="4" t="s">
        <v>90</v>
      </c>
      <c r="E59" s="5">
        <v>4352</v>
      </c>
      <c r="F59" s="6">
        <v>35.407871999999998</v>
      </c>
      <c r="G59" s="138">
        <v>9.6682369999999997E-3</v>
      </c>
      <c r="H59" s="142"/>
    </row>
    <row r="60" spans="1:8" x14ac:dyDescent="0.2">
      <c r="A60" s="3">
        <v>54</v>
      </c>
      <c r="B60" s="4" t="s">
        <v>22</v>
      </c>
      <c r="C60" s="4" t="s">
        <v>23</v>
      </c>
      <c r="D60" s="4" t="s">
        <v>24</v>
      </c>
      <c r="E60" s="5">
        <v>5035</v>
      </c>
      <c r="F60" s="6">
        <v>35.287797500000003</v>
      </c>
      <c r="G60" s="138">
        <v>9.6354500000000003E-3</v>
      </c>
      <c r="H60" s="142"/>
    </row>
    <row r="61" spans="1:8" x14ac:dyDescent="0.2">
      <c r="A61" s="3">
        <v>55</v>
      </c>
      <c r="B61" s="4" t="s">
        <v>646</v>
      </c>
      <c r="C61" s="4" t="s">
        <v>647</v>
      </c>
      <c r="D61" s="4" t="s">
        <v>207</v>
      </c>
      <c r="E61" s="5">
        <v>1143</v>
      </c>
      <c r="F61" s="6">
        <v>35.267265000000002</v>
      </c>
      <c r="G61" s="138">
        <v>9.6298430000000008E-3</v>
      </c>
      <c r="H61" s="142"/>
    </row>
    <row r="62" spans="1:8" x14ac:dyDescent="0.2">
      <c r="A62" s="3">
        <v>56</v>
      </c>
      <c r="B62" s="4" t="s">
        <v>410</v>
      </c>
      <c r="C62" s="4" t="s">
        <v>411</v>
      </c>
      <c r="D62" s="4" t="s">
        <v>164</v>
      </c>
      <c r="E62" s="5">
        <v>2102</v>
      </c>
      <c r="F62" s="6">
        <v>35.212704000000002</v>
      </c>
      <c r="G62" s="138">
        <v>9.6149449999999997E-3</v>
      </c>
      <c r="H62" s="142"/>
    </row>
    <row r="63" spans="1:8" ht="25.5" x14ac:dyDescent="0.2">
      <c r="A63" s="3">
        <v>57</v>
      </c>
      <c r="B63" s="4" t="s">
        <v>571</v>
      </c>
      <c r="C63" s="4" t="s">
        <v>572</v>
      </c>
      <c r="D63" s="4" t="s">
        <v>90</v>
      </c>
      <c r="E63" s="5">
        <v>6426</v>
      </c>
      <c r="F63" s="6">
        <v>35.18235</v>
      </c>
      <c r="G63" s="138">
        <v>9.6066569999999993E-3</v>
      </c>
      <c r="H63" s="142"/>
    </row>
    <row r="64" spans="1:8" x14ac:dyDescent="0.2">
      <c r="A64" s="3">
        <v>58</v>
      </c>
      <c r="B64" s="4" t="s">
        <v>648</v>
      </c>
      <c r="C64" s="4" t="s">
        <v>649</v>
      </c>
      <c r="D64" s="4" t="s">
        <v>80</v>
      </c>
      <c r="E64" s="5">
        <v>1353</v>
      </c>
      <c r="F64" s="6">
        <v>35.121174000000003</v>
      </c>
      <c r="G64" s="138">
        <v>9.589953E-3</v>
      </c>
      <c r="H64" s="142"/>
    </row>
    <row r="65" spans="1:8" ht="25.5" x14ac:dyDescent="0.2">
      <c r="A65" s="3">
        <v>59</v>
      </c>
      <c r="B65" s="4" t="s">
        <v>38</v>
      </c>
      <c r="C65" s="4" t="s">
        <v>39</v>
      </c>
      <c r="D65" s="4" t="s">
        <v>1023</v>
      </c>
      <c r="E65" s="5">
        <v>474</v>
      </c>
      <c r="F65" s="6">
        <v>35.057513999999998</v>
      </c>
      <c r="G65" s="138">
        <v>9.5725700000000007E-3</v>
      </c>
      <c r="H65" s="142"/>
    </row>
    <row r="66" spans="1:8" x14ac:dyDescent="0.2">
      <c r="A66" s="3">
        <v>60</v>
      </c>
      <c r="B66" s="4" t="s">
        <v>650</v>
      </c>
      <c r="C66" s="4" t="s">
        <v>651</v>
      </c>
      <c r="D66" s="4" t="s">
        <v>80</v>
      </c>
      <c r="E66" s="5">
        <v>3379</v>
      </c>
      <c r="F66" s="6">
        <v>34.790184000000004</v>
      </c>
      <c r="G66" s="138">
        <v>9.4995749999999997E-3</v>
      </c>
      <c r="H66" s="142"/>
    </row>
    <row r="67" spans="1:8" ht="25.5" x14ac:dyDescent="0.2">
      <c r="A67" s="3">
        <v>61</v>
      </c>
      <c r="B67" s="4" t="s">
        <v>652</v>
      </c>
      <c r="C67" s="4" t="s">
        <v>653</v>
      </c>
      <c r="D67" s="4" t="s">
        <v>37</v>
      </c>
      <c r="E67" s="5">
        <v>1633</v>
      </c>
      <c r="F67" s="6">
        <v>34.773102000000002</v>
      </c>
      <c r="G67" s="138">
        <v>9.494911E-3</v>
      </c>
      <c r="H67" s="142"/>
    </row>
    <row r="68" spans="1:8" x14ac:dyDescent="0.2">
      <c r="A68" s="3">
        <v>62</v>
      </c>
      <c r="B68" s="4" t="s">
        <v>414</v>
      </c>
      <c r="C68" s="4" t="s">
        <v>415</v>
      </c>
      <c r="D68" s="4" t="s">
        <v>24</v>
      </c>
      <c r="E68" s="5">
        <v>7667</v>
      </c>
      <c r="F68" s="6">
        <v>34.73151</v>
      </c>
      <c r="G68" s="138">
        <v>9.4835539999999999E-3</v>
      </c>
      <c r="H68" s="142"/>
    </row>
    <row r="69" spans="1:8" x14ac:dyDescent="0.2">
      <c r="A69" s="3">
        <v>63</v>
      </c>
      <c r="B69" s="4" t="s">
        <v>97</v>
      </c>
      <c r="C69" s="4" t="s">
        <v>98</v>
      </c>
      <c r="D69" s="4" t="s">
        <v>56</v>
      </c>
      <c r="E69" s="5">
        <v>6493</v>
      </c>
      <c r="F69" s="6">
        <v>34.614182999999997</v>
      </c>
      <c r="G69" s="138">
        <v>9.4515169999999996E-3</v>
      </c>
      <c r="H69" s="142"/>
    </row>
    <row r="70" spans="1:8" x14ac:dyDescent="0.2">
      <c r="A70" s="3">
        <v>64</v>
      </c>
      <c r="B70" s="4" t="s">
        <v>408</v>
      </c>
      <c r="C70" s="4" t="s">
        <v>409</v>
      </c>
      <c r="D70" s="4" t="s">
        <v>24</v>
      </c>
      <c r="E70" s="5">
        <v>2169</v>
      </c>
      <c r="F70" s="6">
        <v>34.594465499999998</v>
      </c>
      <c r="G70" s="138">
        <v>9.4461330000000007E-3</v>
      </c>
      <c r="H70" s="142"/>
    </row>
    <row r="71" spans="1:8" x14ac:dyDescent="0.2">
      <c r="A71" s="3">
        <v>65</v>
      </c>
      <c r="B71" s="4" t="s">
        <v>86</v>
      </c>
      <c r="C71" s="4" t="s">
        <v>87</v>
      </c>
      <c r="D71" s="4" t="s">
        <v>56</v>
      </c>
      <c r="E71" s="5">
        <v>14437</v>
      </c>
      <c r="F71" s="6">
        <v>34.439463500000002</v>
      </c>
      <c r="G71" s="138">
        <v>9.4038090000000008E-3</v>
      </c>
      <c r="H71" s="142"/>
    </row>
    <row r="72" spans="1:8" x14ac:dyDescent="0.2">
      <c r="A72" s="3">
        <v>66</v>
      </c>
      <c r="B72" s="4" t="s">
        <v>54</v>
      </c>
      <c r="C72" s="4" t="s">
        <v>55</v>
      </c>
      <c r="D72" s="4" t="s">
        <v>56</v>
      </c>
      <c r="E72" s="5">
        <v>21589</v>
      </c>
      <c r="F72" s="6">
        <v>34.294126499999997</v>
      </c>
      <c r="G72" s="138">
        <v>9.3641249999999992E-3</v>
      </c>
      <c r="H72" s="142"/>
    </row>
    <row r="73" spans="1:8" ht="25.5" x14ac:dyDescent="0.2">
      <c r="A73" s="3">
        <v>67</v>
      </c>
      <c r="B73" s="4" t="s">
        <v>93</v>
      </c>
      <c r="C73" s="4" t="s">
        <v>94</v>
      </c>
      <c r="D73" s="4" t="s">
        <v>48</v>
      </c>
      <c r="E73" s="5">
        <v>4626</v>
      </c>
      <c r="F73" s="6">
        <v>34.135254000000003</v>
      </c>
      <c r="G73" s="138">
        <v>9.3207440000000006E-3</v>
      </c>
      <c r="H73" s="142"/>
    </row>
    <row r="74" spans="1:8" ht="25.5" x14ac:dyDescent="0.2">
      <c r="A74" s="3">
        <v>68</v>
      </c>
      <c r="B74" s="4" t="s">
        <v>443</v>
      </c>
      <c r="C74" s="4" t="s">
        <v>444</v>
      </c>
      <c r="D74" s="4" t="s">
        <v>1030</v>
      </c>
      <c r="E74" s="5">
        <v>2139</v>
      </c>
      <c r="F74" s="6">
        <v>33.999405000000003</v>
      </c>
      <c r="G74" s="138">
        <v>9.2836499999999992E-3</v>
      </c>
      <c r="H74" s="142"/>
    </row>
    <row r="75" spans="1:8" x14ac:dyDescent="0.2">
      <c r="A75" s="3">
        <v>69</v>
      </c>
      <c r="B75" s="4" t="s">
        <v>654</v>
      </c>
      <c r="C75" s="4" t="s">
        <v>655</v>
      </c>
      <c r="D75" s="4" t="s">
        <v>83</v>
      </c>
      <c r="E75" s="5">
        <v>1210</v>
      </c>
      <c r="F75" s="6">
        <v>33.761420000000001</v>
      </c>
      <c r="G75" s="138">
        <v>9.2186669999999998E-3</v>
      </c>
      <c r="H75" s="142"/>
    </row>
    <row r="76" spans="1:8" x14ac:dyDescent="0.2">
      <c r="A76" s="3">
        <v>70</v>
      </c>
      <c r="B76" s="4" t="s">
        <v>451</v>
      </c>
      <c r="C76" s="4" t="s">
        <v>452</v>
      </c>
      <c r="D76" s="4" t="s">
        <v>207</v>
      </c>
      <c r="E76" s="5">
        <v>3429</v>
      </c>
      <c r="F76" s="6">
        <v>33.725929499999999</v>
      </c>
      <c r="G76" s="138">
        <v>9.2089770000000001E-3</v>
      </c>
      <c r="H76" s="142"/>
    </row>
    <row r="77" spans="1:8" x14ac:dyDescent="0.2">
      <c r="A77" s="3">
        <v>71</v>
      </c>
      <c r="B77" s="4" t="s">
        <v>426</v>
      </c>
      <c r="C77" s="4" t="s">
        <v>427</v>
      </c>
      <c r="D77" s="4" t="s">
        <v>83</v>
      </c>
      <c r="E77" s="5">
        <v>4165</v>
      </c>
      <c r="F77" s="6">
        <v>33.447032499999999</v>
      </c>
      <c r="G77" s="138">
        <v>9.132823E-3</v>
      </c>
      <c r="H77" s="142"/>
    </row>
    <row r="78" spans="1:8" x14ac:dyDescent="0.2">
      <c r="A78" s="3">
        <v>72</v>
      </c>
      <c r="B78" s="4" t="s">
        <v>656</v>
      </c>
      <c r="C78" s="4" t="s">
        <v>657</v>
      </c>
      <c r="D78" s="4" t="s">
        <v>173</v>
      </c>
      <c r="E78" s="5">
        <v>214</v>
      </c>
      <c r="F78" s="6">
        <v>33.115430000000003</v>
      </c>
      <c r="G78" s="138">
        <v>9.0422780000000008E-3</v>
      </c>
      <c r="H78" s="142"/>
    </row>
    <row r="79" spans="1:8" x14ac:dyDescent="0.2">
      <c r="A79" s="3">
        <v>73</v>
      </c>
      <c r="B79" s="4" t="s">
        <v>658</v>
      </c>
      <c r="C79" s="4" t="s">
        <v>659</v>
      </c>
      <c r="D79" s="4" t="s">
        <v>16</v>
      </c>
      <c r="E79" s="5">
        <v>10994</v>
      </c>
      <c r="F79" s="6">
        <v>32.981999999999999</v>
      </c>
      <c r="G79" s="138">
        <v>9.0058440000000007E-3</v>
      </c>
      <c r="H79" s="142"/>
    </row>
    <row r="80" spans="1:8" x14ac:dyDescent="0.2">
      <c r="A80" s="3">
        <v>74</v>
      </c>
      <c r="B80" s="4" t="s">
        <v>336</v>
      </c>
      <c r="C80" s="4" t="s">
        <v>337</v>
      </c>
      <c r="D80" s="4" t="s">
        <v>24</v>
      </c>
      <c r="E80" s="5">
        <v>4300</v>
      </c>
      <c r="F80" s="6">
        <v>32.961649999999999</v>
      </c>
      <c r="G80" s="138">
        <v>9.0002880000000004E-3</v>
      </c>
      <c r="H80" s="142"/>
    </row>
    <row r="81" spans="1:8" ht="25.5" x14ac:dyDescent="0.2">
      <c r="A81" s="3">
        <v>75</v>
      </c>
      <c r="B81" s="4" t="s">
        <v>660</v>
      </c>
      <c r="C81" s="4" t="s">
        <v>661</v>
      </c>
      <c r="D81" s="4" t="s">
        <v>1023</v>
      </c>
      <c r="E81" s="5">
        <v>114</v>
      </c>
      <c r="F81" s="6">
        <v>32.947766999999999</v>
      </c>
      <c r="G81" s="138">
        <v>8.9964969999999991E-3</v>
      </c>
      <c r="H81" s="142"/>
    </row>
    <row r="82" spans="1:8" ht="25.5" x14ac:dyDescent="0.2">
      <c r="A82" s="3">
        <v>76</v>
      </c>
      <c r="B82" s="4" t="s">
        <v>492</v>
      </c>
      <c r="C82" s="4" t="s">
        <v>493</v>
      </c>
      <c r="D82" s="4" t="s">
        <v>90</v>
      </c>
      <c r="E82" s="5">
        <v>234</v>
      </c>
      <c r="F82" s="6">
        <v>32.932692000000003</v>
      </c>
      <c r="G82" s="138">
        <v>8.9923810000000007E-3</v>
      </c>
      <c r="H82" s="142"/>
    </row>
    <row r="83" spans="1:8" ht="25.5" x14ac:dyDescent="0.2">
      <c r="A83" s="3">
        <v>77</v>
      </c>
      <c r="B83" s="4" t="s">
        <v>662</v>
      </c>
      <c r="C83" s="4" t="s">
        <v>663</v>
      </c>
      <c r="D83" s="4" t="s">
        <v>90</v>
      </c>
      <c r="E83" s="5">
        <v>4070</v>
      </c>
      <c r="F83" s="6">
        <v>32.926299999999998</v>
      </c>
      <c r="G83" s="138">
        <v>8.9906350000000003E-3</v>
      </c>
      <c r="H83" s="142"/>
    </row>
    <row r="84" spans="1:8" ht="25.5" x14ac:dyDescent="0.2">
      <c r="A84" s="3">
        <v>78</v>
      </c>
      <c r="B84" s="4" t="s">
        <v>664</v>
      </c>
      <c r="C84" s="4" t="s">
        <v>665</v>
      </c>
      <c r="D84" s="4" t="s">
        <v>90</v>
      </c>
      <c r="E84" s="5">
        <v>1968</v>
      </c>
      <c r="F84" s="6">
        <v>32.855759999999997</v>
      </c>
      <c r="G84" s="138">
        <v>8.9713740000000007E-3</v>
      </c>
      <c r="H84" s="142"/>
    </row>
    <row r="85" spans="1:8" x14ac:dyDescent="0.2">
      <c r="A85" s="3">
        <v>79</v>
      </c>
      <c r="B85" s="4" t="s">
        <v>590</v>
      </c>
      <c r="C85" s="4" t="s">
        <v>591</v>
      </c>
      <c r="D85" s="4" t="s">
        <v>1030</v>
      </c>
      <c r="E85" s="5">
        <v>4539</v>
      </c>
      <c r="F85" s="6">
        <v>32.789735999999998</v>
      </c>
      <c r="G85" s="138">
        <v>8.9533459999999992E-3</v>
      </c>
      <c r="H85" s="142"/>
    </row>
    <row r="86" spans="1:8" x14ac:dyDescent="0.2">
      <c r="A86" s="3">
        <v>80</v>
      </c>
      <c r="B86" s="4" t="s">
        <v>666</v>
      </c>
      <c r="C86" s="4" t="s">
        <v>667</v>
      </c>
      <c r="D86" s="4" t="s">
        <v>34</v>
      </c>
      <c r="E86" s="5">
        <v>2838</v>
      </c>
      <c r="F86" s="6">
        <v>32.540508000000003</v>
      </c>
      <c r="G86" s="138">
        <v>8.8852930000000007E-3</v>
      </c>
      <c r="H86" s="142"/>
    </row>
    <row r="87" spans="1:8" x14ac:dyDescent="0.2">
      <c r="A87" s="3">
        <v>81</v>
      </c>
      <c r="B87" s="4" t="s">
        <v>506</v>
      </c>
      <c r="C87" s="4" t="s">
        <v>507</v>
      </c>
      <c r="D87" s="4" t="s">
        <v>83</v>
      </c>
      <c r="E87" s="5">
        <v>9665</v>
      </c>
      <c r="F87" s="6">
        <v>32.218277499999999</v>
      </c>
      <c r="G87" s="138">
        <v>8.7973070000000007E-3</v>
      </c>
      <c r="H87" s="142"/>
    </row>
    <row r="88" spans="1:8" x14ac:dyDescent="0.2">
      <c r="A88" s="3">
        <v>82</v>
      </c>
      <c r="B88" s="4" t="s">
        <v>668</v>
      </c>
      <c r="C88" s="4" t="s">
        <v>669</v>
      </c>
      <c r="D88" s="4" t="s">
        <v>80</v>
      </c>
      <c r="E88" s="5">
        <v>2216</v>
      </c>
      <c r="F88" s="6">
        <v>32.138648000000003</v>
      </c>
      <c r="G88" s="138">
        <v>8.7755639999999996E-3</v>
      </c>
      <c r="H88" s="142"/>
    </row>
    <row r="89" spans="1:8" x14ac:dyDescent="0.2">
      <c r="A89" s="3">
        <v>83</v>
      </c>
      <c r="B89" s="4" t="s">
        <v>670</v>
      </c>
      <c r="C89" s="4" t="s">
        <v>671</v>
      </c>
      <c r="D89" s="4" t="s">
        <v>1024</v>
      </c>
      <c r="E89" s="5">
        <v>1101</v>
      </c>
      <c r="F89" s="6">
        <v>32.023685999999998</v>
      </c>
      <c r="G89" s="138">
        <v>8.7441729999999992E-3</v>
      </c>
      <c r="H89" s="142"/>
    </row>
    <row r="90" spans="1:8" x14ac:dyDescent="0.2">
      <c r="A90" s="3">
        <v>84</v>
      </c>
      <c r="B90" s="4" t="s">
        <v>672</v>
      </c>
      <c r="C90" s="4" t="s">
        <v>673</v>
      </c>
      <c r="D90" s="4" t="s">
        <v>59</v>
      </c>
      <c r="E90" s="5">
        <v>4755</v>
      </c>
      <c r="F90" s="6">
        <v>31.777664999999999</v>
      </c>
      <c r="G90" s="138">
        <v>8.6769970000000005E-3</v>
      </c>
      <c r="H90" s="142"/>
    </row>
    <row r="91" spans="1:8" x14ac:dyDescent="0.2">
      <c r="A91" s="3">
        <v>85</v>
      </c>
      <c r="B91" s="4" t="s">
        <v>674</v>
      </c>
      <c r="C91" s="4" t="s">
        <v>675</v>
      </c>
      <c r="D91" s="4" t="s">
        <v>83</v>
      </c>
      <c r="E91" s="5">
        <v>1121</v>
      </c>
      <c r="F91" s="6">
        <v>31.752324999999999</v>
      </c>
      <c r="G91" s="138">
        <v>8.670077E-3</v>
      </c>
      <c r="H91" s="142"/>
    </row>
    <row r="92" spans="1:8" x14ac:dyDescent="0.2">
      <c r="A92" s="3">
        <v>86</v>
      </c>
      <c r="B92" s="4" t="s">
        <v>676</v>
      </c>
      <c r="C92" s="4" t="s">
        <v>677</v>
      </c>
      <c r="D92" s="4" t="s">
        <v>615</v>
      </c>
      <c r="E92" s="5">
        <v>2152</v>
      </c>
      <c r="F92" s="6">
        <v>31.593512</v>
      </c>
      <c r="G92" s="138">
        <v>8.6267129999999994E-3</v>
      </c>
      <c r="H92" s="142"/>
    </row>
    <row r="93" spans="1:8" x14ac:dyDescent="0.2">
      <c r="A93" s="3">
        <v>87</v>
      </c>
      <c r="B93" s="4" t="s">
        <v>563</v>
      </c>
      <c r="C93" s="4" t="s">
        <v>564</v>
      </c>
      <c r="D93" s="4" t="s">
        <v>83</v>
      </c>
      <c r="E93" s="5">
        <v>429</v>
      </c>
      <c r="F93" s="6">
        <v>31.480234500000002</v>
      </c>
      <c r="G93" s="138">
        <v>8.5957819999999997E-3</v>
      </c>
      <c r="H93" s="142"/>
    </row>
    <row r="94" spans="1:8" x14ac:dyDescent="0.2">
      <c r="A94" s="3">
        <v>88</v>
      </c>
      <c r="B94" s="4" t="s">
        <v>678</v>
      </c>
      <c r="C94" s="4" t="s">
        <v>679</v>
      </c>
      <c r="D94" s="4" t="s">
        <v>24</v>
      </c>
      <c r="E94" s="5">
        <v>77587</v>
      </c>
      <c r="F94" s="6">
        <v>31.112386999999998</v>
      </c>
      <c r="G94" s="138">
        <v>8.4953400000000005E-3</v>
      </c>
      <c r="H94" s="142"/>
    </row>
    <row r="95" spans="1:8" x14ac:dyDescent="0.2">
      <c r="A95" s="3">
        <v>89</v>
      </c>
      <c r="B95" s="4" t="s">
        <v>354</v>
      </c>
      <c r="C95" s="4" t="s">
        <v>355</v>
      </c>
      <c r="D95" s="4" t="s">
        <v>173</v>
      </c>
      <c r="E95" s="5">
        <v>39</v>
      </c>
      <c r="F95" s="6">
        <v>30.956464499999999</v>
      </c>
      <c r="G95" s="138">
        <v>8.4527649999999992E-3</v>
      </c>
      <c r="H95" s="142"/>
    </row>
    <row r="96" spans="1:8" x14ac:dyDescent="0.2">
      <c r="A96" s="3">
        <v>90</v>
      </c>
      <c r="B96" s="4" t="s">
        <v>680</v>
      </c>
      <c r="C96" s="4" t="s">
        <v>681</v>
      </c>
      <c r="D96" s="4" t="s">
        <v>24</v>
      </c>
      <c r="E96" s="5">
        <v>241457</v>
      </c>
      <c r="F96" s="6">
        <v>30.302853500000001</v>
      </c>
      <c r="G96" s="138">
        <v>8.2742939999999997E-3</v>
      </c>
      <c r="H96" s="142"/>
    </row>
    <row r="97" spans="1:8" x14ac:dyDescent="0.2">
      <c r="A97" s="3">
        <v>91</v>
      </c>
      <c r="B97" s="4" t="s">
        <v>40</v>
      </c>
      <c r="C97" s="4" t="s">
        <v>41</v>
      </c>
      <c r="D97" s="4" t="s">
        <v>16</v>
      </c>
      <c r="E97" s="5">
        <v>6989</v>
      </c>
      <c r="F97" s="6">
        <v>30.206458000000001</v>
      </c>
      <c r="G97" s="138">
        <v>8.2479730000000005E-3</v>
      </c>
      <c r="H97" s="142"/>
    </row>
    <row r="98" spans="1:8" x14ac:dyDescent="0.2">
      <c r="A98" s="3">
        <v>92</v>
      </c>
      <c r="B98" s="4" t="s">
        <v>682</v>
      </c>
      <c r="C98" s="4" t="s">
        <v>683</v>
      </c>
      <c r="D98" s="4" t="s">
        <v>207</v>
      </c>
      <c r="E98" s="5">
        <v>8293</v>
      </c>
      <c r="F98" s="6">
        <v>30.078710999999998</v>
      </c>
      <c r="G98" s="138">
        <v>8.213092E-3</v>
      </c>
      <c r="H98" s="142"/>
    </row>
    <row r="99" spans="1:8" x14ac:dyDescent="0.2">
      <c r="A99" s="3">
        <v>93</v>
      </c>
      <c r="B99" s="4" t="s">
        <v>575</v>
      </c>
      <c r="C99" s="4" t="s">
        <v>576</v>
      </c>
      <c r="D99" s="4" t="s">
        <v>83</v>
      </c>
      <c r="E99" s="5">
        <v>783</v>
      </c>
      <c r="F99" s="6">
        <v>30.009649499999998</v>
      </c>
      <c r="G99" s="138">
        <v>8.1942339999999999E-3</v>
      </c>
      <c r="H99" s="142"/>
    </row>
    <row r="100" spans="1:8" x14ac:dyDescent="0.2">
      <c r="A100" s="3">
        <v>94</v>
      </c>
      <c r="B100" s="4" t="s">
        <v>684</v>
      </c>
      <c r="C100" s="4" t="s">
        <v>685</v>
      </c>
      <c r="D100" s="4" t="s">
        <v>207</v>
      </c>
      <c r="E100" s="5">
        <v>614</v>
      </c>
      <c r="F100" s="6">
        <v>29.967497999999999</v>
      </c>
      <c r="G100" s="138">
        <v>8.1827240000000006E-3</v>
      </c>
      <c r="H100" s="142"/>
    </row>
    <row r="101" spans="1:8" x14ac:dyDescent="0.2">
      <c r="A101" s="3">
        <v>95</v>
      </c>
      <c r="B101" s="4" t="s">
        <v>686</v>
      </c>
      <c r="C101" s="4" t="s">
        <v>687</v>
      </c>
      <c r="D101" s="4" t="s">
        <v>207</v>
      </c>
      <c r="E101" s="5">
        <v>5273</v>
      </c>
      <c r="F101" s="6">
        <v>29.099050500000001</v>
      </c>
      <c r="G101" s="138">
        <v>7.9455919999999996E-3</v>
      </c>
      <c r="H101" s="142"/>
    </row>
    <row r="102" spans="1:8" x14ac:dyDescent="0.2">
      <c r="A102" s="3">
        <v>96</v>
      </c>
      <c r="B102" s="4" t="s">
        <v>688</v>
      </c>
      <c r="C102" s="4" t="s">
        <v>689</v>
      </c>
      <c r="D102" s="4" t="s">
        <v>322</v>
      </c>
      <c r="E102" s="5">
        <v>4077</v>
      </c>
      <c r="F102" s="6">
        <v>28.852929</v>
      </c>
      <c r="G102" s="138">
        <v>7.8783880000000001E-3</v>
      </c>
      <c r="H102" s="142"/>
    </row>
    <row r="103" spans="1:8" x14ac:dyDescent="0.2">
      <c r="A103" s="3">
        <v>97</v>
      </c>
      <c r="B103" s="4" t="s">
        <v>690</v>
      </c>
      <c r="C103" s="4" t="s">
        <v>691</v>
      </c>
      <c r="D103" s="4" t="s">
        <v>24</v>
      </c>
      <c r="E103" s="5">
        <v>9882</v>
      </c>
      <c r="F103" s="6">
        <v>27.966059999999999</v>
      </c>
      <c r="G103" s="138">
        <v>7.636225E-3</v>
      </c>
      <c r="H103" s="142"/>
    </row>
    <row r="104" spans="1:8" x14ac:dyDescent="0.2">
      <c r="A104" s="3">
        <v>98</v>
      </c>
      <c r="B104" s="4" t="s">
        <v>692</v>
      </c>
      <c r="C104" s="4" t="s">
        <v>693</v>
      </c>
      <c r="D104" s="4" t="s">
        <v>207</v>
      </c>
      <c r="E104" s="5">
        <v>2861</v>
      </c>
      <c r="F104" s="6">
        <v>27.225276000000001</v>
      </c>
      <c r="G104" s="138">
        <v>7.4339519999999997E-3</v>
      </c>
      <c r="H104" s="142"/>
    </row>
    <row r="105" spans="1:8" x14ac:dyDescent="0.2">
      <c r="A105" s="3">
        <v>99</v>
      </c>
      <c r="B105" s="4" t="s">
        <v>694</v>
      </c>
      <c r="C105" s="4" t="s">
        <v>695</v>
      </c>
      <c r="D105" s="4" t="s">
        <v>615</v>
      </c>
      <c r="E105" s="5">
        <v>18433</v>
      </c>
      <c r="F105" s="6">
        <v>26.359190000000002</v>
      </c>
      <c r="G105" s="138">
        <v>7.1974639999999998E-3</v>
      </c>
      <c r="H105" s="142"/>
    </row>
    <row r="106" spans="1:8" x14ac:dyDescent="0.2">
      <c r="A106" s="3">
        <v>100</v>
      </c>
      <c r="B106" s="4" t="s">
        <v>696</v>
      </c>
      <c r="C106" s="4" t="s">
        <v>697</v>
      </c>
      <c r="D106" s="4" t="s">
        <v>207</v>
      </c>
      <c r="E106" s="5">
        <v>3488</v>
      </c>
      <c r="F106" s="6">
        <v>25.281023999999999</v>
      </c>
      <c r="G106" s="138">
        <v>6.9030669999999997E-3</v>
      </c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9">
        <v>3607.3752300000001</v>
      </c>
      <c r="G107" s="139">
        <v>0.98500574200000002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107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108</v>
      </c>
      <c r="D112" s="1"/>
      <c r="E112" s="1"/>
      <c r="F112" s="1"/>
      <c r="G112" s="137"/>
      <c r="H112" s="142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1">
        <v>0</v>
      </c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109</v>
      </c>
      <c r="D115" s="1"/>
      <c r="E115" s="1"/>
      <c r="F115" s="1"/>
      <c r="G115" s="137"/>
      <c r="H115" s="142"/>
    </row>
    <row r="116" spans="1:8" x14ac:dyDescent="0.2">
      <c r="A116" s="3">
        <v>1</v>
      </c>
      <c r="B116" s="4" t="s">
        <v>110</v>
      </c>
      <c r="C116" s="4" t="s">
        <v>996</v>
      </c>
      <c r="D116" s="4" t="s">
        <v>19</v>
      </c>
      <c r="E116" s="5">
        <v>438</v>
      </c>
      <c r="F116" s="6">
        <v>0.671454</v>
      </c>
      <c r="G116" s="138">
        <v>1.8334300000000001E-4</v>
      </c>
      <c r="H116" s="142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9">
        <v>0.671454</v>
      </c>
      <c r="G117" s="139">
        <v>1.8334300000000001E-4</v>
      </c>
      <c r="H117" s="142"/>
    </row>
    <row r="118" spans="1:8" x14ac:dyDescent="0.2">
      <c r="A118" s="1"/>
      <c r="B118" s="1"/>
      <c r="C118" s="11"/>
      <c r="D118" s="1"/>
      <c r="E118" s="1"/>
      <c r="F118" s="12"/>
      <c r="G118" s="140"/>
      <c r="H118" s="142"/>
    </row>
    <row r="119" spans="1:8" x14ac:dyDescent="0.2">
      <c r="A119" s="1"/>
      <c r="B119" s="1"/>
      <c r="C119" s="2" t="s">
        <v>111</v>
      </c>
      <c r="D119" s="1"/>
      <c r="E119" s="1"/>
      <c r="F119" s="12"/>
      <c r="G119" s="140"/>
      <c r="H119" s="142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1">
        <v>0</v>
      </c>
      <c r="H120" s="142"/>
    </row>
    <row r="121" spans="1:8" x14ac:dyDescent="0.2">
      <c r="A121" s="1"/>
      <c r="B121" s="1"/>
      <c r="C121" s="11"/>
      <c r="D121" s="1"/>
      <c r="E121" s="1"/>
      <c r="F121" s="12"/>
      <c r="G121" s="140"/>
      <c r="H121" s="142"/>
    </row>
    <row r="122" spans="1:8" x14ac:dyDescent="0.2">
      <c r="A122" s="1"/>
      <c r="B122" s="1"/>
      <c r="C122" s="2" t="s">
        <v>112</v>
      </c>
      <c r="D122" s="1"/>
      <c r="E122" s="1"/>
      <c r="F122" s="12"/>
      <c r="G122" s="140"/>
      <c r="H122" s="142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1">
        <v>0</v>
      </c>
      <c r="H123" s="142"/>
    </row>
    <row r="124" spans="1:8" x14ac:dyDescent="0.2">
      <c r="A124" s="1"/>
      <c r="B124" s="1"/>
      <c r="C124" s="11"/>
      <c r="D124" s="1"/>
      <c r="E124" s="1"/>
      <c r="F124" s="12"/>
      <c r="G124" s="140"/>
      <c r="H124" s="142"/>
    </row>
    <row r="125" spans="1:8" x14ac:dyDescent="0.2">
      <c r="A125" s="1"/>
      <c r="B125" s="1"/>
      <c r="C125" s="2" t="s">
        <v>113</v>
      </c>
      <c r="D125" s="1"/>
      <c r="E125" s="1"/>
      <c r="F125" s="9">
        <v>3608.0466839999999</v>
      </c>
      <c r="G125" s="139">
        <v>0.98518908500000002</v>
      </c>
      <c r="H125" s="142"/>
    </row>
    <row r="126" spans="1:8" x14ac:dyDescent="0.2">
      <c r="A126" s="1"/>
      <c r="B126" s="1"/>
      <c r="C126" s="11"/>
      <c r="D126" s="1"/>
      <c r="E126" s="1"/>
      <c r="F126" s="12"/>
      <c r="G126" s="140"/>
      <c r="H126" s="142"/>
    </row>
    <row r="127" spans="1:8" x14ac:dyDescent="0.2">
      <c r="A127" s="1"/>
      <c r="B127" s="1"/>
      <c r="C127" s="2" t="s">
        <v>114</v>
      </c>
      <c r="D127" s="1"/>
      <c r="E127" s="1"/>
      <c r="F127" s="12"/>
      <c r="G127" s="140"/>
      <c r="H127" s="142"/>
    </row>
    <row r="128" spans="1:8" ht="25.5" x14ac:dyDescent="0.2">
      <c r="A128" s="1"/>
      <c r="B128" s="1"/>
      <c r="C128" s="2" t="s">
        <v>10</v>
      </c>
      <c r="D128" s="1"/>
      <c r="E128" s="1"/>
      <c r="F128" s="12"/>
      <c r="G128" s="140"/>
      <c r="H128" s="142"/>
    </row>
    <row r="129" spans="1:8" ht="25.5" x14ac:dyDescent="0.2">
      <c r="A129" s="3">
        <v>1</v>
      </c>
      <c r="B129" s="4" t="s">
        <v>698</v>
      </c>
      <c r="C129" s="4" t="s">
        <v>699</v>
      </c>
      <c r="D129" s="4" t="s">
        <v>700</v>
      </c>
      <c r="E129" s="5">
        <v>828</v>
      </c>
      <c r="F129" s="6">
        <v>0.240948828</v>
      </c>
      <c r="G129" s="138">
        <v>6.5791999999999996E-5</v>
      </c>
      <c r="H129" s="151">
        <v>5.3449999999999998</v>
      </c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9">
        <v>0.240948828</v>
      </c>
      <c r="G130" s="139">
        <v>6.5791999999999996E-5</v>
      </c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x14ac:dyDescent="0.2">
      <c r="A132" s="1"/>
      <c r="B132" s="1"/>
      <c r="C132" s="2" t="s">
        <v>115</v>
      </c>
      <c r="D132" s="1"/>
      <c r="E132" s="1"/>
      <c r="F132" s="1"/>
      <c r="G132" s="137"/>
      <c r="H132" s="142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1">
        <v>0</v>
      </c>
      <c r="H133" s="142"/>
    </row>
    <row r="134" spans="1:8" x14ac:dyDescent="0.2">
      <c r="A134" s="1"/>
      <c r="B134" s="1"/>
      <c r="C134" s="11"/>
      <c r="D134" s="1"/>
      <c r="E134" s="1"/>
      <c r="F134" s="12"/>
      <c r="G134" s="140"/>
      <c r="H134" s="142"/>
    </row>
    <row r="135" spans="1:8" x14ac:dyDescent="0.2">
      <c r="A135" s="1"/>
      <c r="B135" s="1"/>
      <c r="C135" s="2" t="s">
        <v>116</v>
      </c>
      <c r="D135" s="1"/>
      <c r="E135" s="1"/>
      <c r="F135" s="1"/>
      <c r="G135" s="137"/>
      <c r="H135" s="142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1">
        <v>0</v>
      </c>
      <c r="H136" s="142"/>
    </row>
    <row r="137" spans="1:8" x14ac:dyDescent="0.2">
      <c r="A137" s="1"/>
      <c r="B137" s="1"/>
      <c r="C137" s="11"/>
      <c r="D137" s="1"/>
      <c r="E137" s="1"/>
      <c r="F137" s="12"/>
      <c r="G137" s="140"/>
      <c r="H137" s="142"/>
    </row>
    <row r="138" spans="1:8" x14ac:dyDescent="0.2">
      <c r="A138" s="1"/>
      <c r="B138" s="1"/>
      <c r="C138" s="2" t="s">
        <v>117</v>
      </c>
      <c r="D138" s="1"/>
      <c r="E138" s="1"/>
      <c r="F138" s="12"/>
      <c r="G138" s="140"/>
      <c r="H138" s="142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1">
        <v>0</v>
      </c>
      <c r="H139" s="142"/>
    </row>
    <row r="140" spans="1:8" x14ac:dyDescent="0.2">
      <c r="A140" s="1"/>
      <c r="B140" s="1"/>
      <c r="C140" s="11"/>
      <c r="D140" s="1"/>
      <c r="E140" s="1"/>
      <c r="F140" s="12"/>
      <c r="G140" s="140"/>
      <c r="H140" s="142"/>
    </row>
    <row r="141" spans="1:8" x14ac:dyDescent="0.2">
      <c r="A141" s="1"/>
      <c r="B141" s="1"/>
      <c r="C141" s="2" t="s">
        <v>118</v>
      </c>
      <c r="D141" s="1"/>
      <c r="E141" s="1"/>
      <c r="F141" s="9">
        <v>0.240948828</v>
      </c>
      <c r="G141" s="139">
        <v>6.5791999999999996E-5</v>
      </c>
      <c r="H141" s="142"/>
    </row>
    <row r="142" spans="1:8" x14ac:dyDescent="0.2">
      <c r="A142" s="1"/>
      <c r="B142" s="1"/>
      <c r="C142" s="11"/>
      <c r="D142" s="1"/>
      <c r="E142" s="1"/>
      <c r="F142" s="12"/>
      <c r="G142" s="140"/>
      <c r="H142" s="142"/>
    </row>
    <row r="143" spans="1:8" x14ac:dyDescent="0.2">
      <c r="A143" s="1"/>
      <c r="B143" s="1"/>
      <c r="C143" s="2" t="s">
        <v>119</v>
      </c>
      <c r="D143" s="1"/>
      <c r="E143" s="1"/>
      <c r="F143" s="12"/>
      <c r="G143" s="140"/>
      <c r="H143" s="142"/>
    </row>
    <row r="144" spans="1:8" x14ac:dyDescent="0.2">
      <c r="A144" s="1"/>
      <c r="B144" s="1"/>
      <c r="C144" s="2" t="s">
        <v>120</v>
      </c>
      <c r="D144" s="1"/>
      <c r="E144" s="1"/>
      <c r="F144" s="12"/>
      <c r="G144" s="140"/>
      <c r="H144" s="142"/>
    </row>
    <row r="145" spans="1:8" x14ac:dyDescent="0.2">
      <c r="A145" s="1"/>
      <c r="B145" s="1"/>
      <c r="C145" s="2" t="s">
        <v>105</v>
      </c>
      <c r="D145" s="1"/>
      <c r="E145" s="1" t="s">
        <v>106</v>
      </c>
      <c r="F145" s="13">
        <v>0</v>
      </c>
      <c r="G145" s="141">
        <v>0</v>
      </c>
      <c r="H145" s="142"/>
    </row>
    <row r="146" spans="1:8" x14ac:dyDescent="0.2">
      <c r="A146" s="1"/>
      <c r="B146" s="1"/>
      <c r="C146" s="11"/>
      <c r="D146" s="1"/>
      <c r="E146" s="1"/>
      <c r="F146" s="12"/>
      <c r="G146" s="140"/>
      <c r="H146" s="142"/>
    </row>
    <row r="147" spans="1:8" x14ac:dyDescent="0.2">
      <c r="A147" s="1"/>
      <c r="B147" s="1"/>
      <c r="C147" s="2" t="s">
        <v>121</v>
      </c>
      <c r="D147" s="1"/>
      <c r="E147" s="1"/>
      <c r="F147" s="12"/>
      <c r="G147" s="140"/>
      <c r="H147" s="142"/>
    </row>
    <row r="148" spans="1:8" x14ac:dyDescent="0.2">
      <c r="A148" s="1"/>
      <c r="B148" s="1"/>
      <c r="C148" s="2" t="s">
        <v>105</v>
      </c>
      <c r="D148" s="1"/>
      <c r="E148" s="1" t="s">
        <v>106</v>
      </c>
      <c r="F148" s="13">
        <v>0</v>
      </c>
      <c r="G148" s="141">
        <v>0</v>
      </c>
      <c r="H148" s="142"/>
    </row>
    <row r="149" spans="1:8" x14ac:dyDescent="0.2">
      <c r="A149" s="1"/>
      <c r="B149" s="1"/>
      <c r="C149" s="11"/>
      <c r="D149" s="1"/>
      <c r="E149" s="1"/>
      <c r="F149" s="12"/>
      <c r="G149" s="140"/>
      <c r="H149" s="142"/>
    </row>
    <row r="150" spans="1:8" x14ac:dyDescent="0.2">
      <c r="A150" s="1"/>
      <c r="B150" s="1"/>
      <c r="C150" s="2" t="s">
        <v>122</v>
      </c>
      <c r="D150" s="1"/>
      <c r="E150" s="1"/>
      <c r="F150" s="12"/>
      <c r="G150" s="140"/>
      <c r="H150" s="142"/>
    </row>
    <row r="151" spans="1:8" x14ac:dyDescent="0.2">
      <c r="A151" s="1"/>
      <c r="B151" s="1"/>
      <c r="C151" s="2" t="s">
        <v>105</v>
      </c>
      <c r="D151" s="1"/>
      <c r="E151" s="1" t="s">
        <v>106</v>
      </c>
      <c r="F151" s="13">
        <v>0</v>
      </c>
      <c r="G151" s="141">
        <v>0</v>
      </c>
      <c r="H151" s="142"/>
    </row>
    <row r="152" spans="1:8" x14ac:dyDescent="0.2">
      <c r="A152" s="1"/>
      <c r="B152" s="1"/>
      <c r="C152" s="11"/>
      <c r="D152" s="1"/>
      <c r="E152" s="1"/>
      <c r="F152" s="12"/>
      <c r="G152" s="140"/>
      <c r="H152" s="142"/>
    </row>
    <row r="153" spans="1:8" x14ac:dyDescent="0.2">
      <c r="A153" s="1"/>
      <c r="B153" s="1"/>
      <c r="C153" s="2" t="s">
        <v>123</v>
      </c>
      <c r="D153" s="1"/>
      <c r="E153" s="1"/>
      <c r="F153" s="12"/>
      <c r="G153" s="140"/>
      <c r="H153" s="142"/>
    </row>
    <row r="154" spans="1:8" x14ac:dyDescent="0.2">
      <c r="A154" s="3">
        <v>1</v>
      </c>
      <c r="B154" s="4"/>
      <c r="C154" s="4" t="s">
        <v>124</v>
      </c>
      <c r="D154" s="4"/>
      <c r="E154" s="8"/>
      <c r="F154" s="6">
        <v>59.947447799999999</v>
      </c>
      <c r="G154" s="138">
        <v>1.6368849000000001E-2</v>
      </c>
      <c r="H154" s="152">
        <v>3.3197683930276081</v>
      </c>
    </row>
    <row r="155" spans="1:8" x14ac:dyDescent="0.2">
      <c r="A155" s="1"/>
      <c r="B155" s="1"/>
      <c r="C155" s="2" t="s">
        <v>105</v>
      </c>
      <c r="D155" s="1"/>
      <c r="E155" s="1" t="s">
        <v>106</v>
      </c>
      <c r="F155" s="9">
        <v>59.947447799999999</v>
      </c>
      <c r="G155" s="139">
        <v>1.6368849000000001E-2</v>
      </c>
      <c r="H155" s="142"/>
    </row>
    <row r="156" spans="1:8" x14ac:dyDescent="0.2">
      <c r="A156" s="1"/>
      <c r="B156" s="1"/>
      <c r="C156" s="11"/>
      <c r="D156" s="1"/>
      <c r="E156" s="1"/>
      <c r="F156" s="12"/>
      <c r="G156" s="140"/>
      <c r="H156" s="142"/>
    </row>
    <row r="157" spans="1:8" x14ac:dyDescent="0.2">
      <c r="A157" s="1"/>
      <c r="B157" s="1"/>
      <c r="C157" s="2" t="s">
        <v>125</v>
      </c>
      <c r="D157" s="1"/>
      <c r="E157" s="1"/>
      <c r="F157" s="9">
        <v>59.947447799999999</v>
      </c>
      <c r="G157" s="139">
        <v>1.6368849000000001E-2</v>
      </c>
      <c r="H157" s="142"/>
    </row>
    <row r="158" spans="1:8" x14ac:dyDescent="0.2">
      <c r="A158" s="1"/>
      <c r="B158" s="1"/>
      <c r="C158" s="12"/>
      <c r="D158" s="1"/>
      <c r="E158" s="1"/>
      <c r="F158" s="1"/>
      <c r="G158" s="137"/>
      <c r="H158" s="142"/>
    </row>
    <row r="159" spans="1:8" x14ac:dyDescent="0.2">
      <c r="A159" s="1"/>
      <c r="B159" s="1"/>
      <c r="C159" s="2" t="s">
        <v>126</v>
      </c>
      <c r="D159" s="1"/>
      <c r="E159" s="1"/>
      <c r="F159" s="1"/>
      <c r="G159" s="137"/>
      <c r="H159" s="142"/>
    </row>
    <row r="160" spans="1:8" x14ac:dyDescent="0.2">
      <c r="A160" s="1"/>
      <c r="B160" s="1"/>
      <c r="C160" s="2" t="s">
        <v>127</v>
      </c>
      <c r="D160" s="1"/>
      <c r="E160" s="1"/>
      <c r="F160" s="1"/>
      <c r="G160" s="137"/>
      <c r="H160" s="142"/>
    </row>
    <row r="161" spans="1:8" x14ac:dyDescent="0.2">
      <c r="A161" s="1"/>
      <c r="B161" s="1"/>
      <c r="C161" s="2" t="s">
        <v>105</v>
      </c>
      <c r="D161" s="1"/>
      <c r="E161" s="1" t="s">
        <v>106</v>
      </c>
      <c r="F161" s="13">
        <v>0</v>
      </c>
      <c r="G161" s="141">
        <v>0</v>
      </c>
      <c r="H161" s="142"/>
    </row>
    <row r="162" spans="1:8" x14ac:dyDescent="0.2">
      <c r="A162" s="1"/>
      <c r="B162" s="1"/>
      <c r="C162" s="11"/>
      <c r="D162" s="1"/>
      <c r="E162" s="1"/>
      <c r="F162" s="12"/>
      <c r="G162" s="140"/>
      <c r="H162" s="142"/>
    </row>
    <row r="163" spans="1:8" x14ac:dyDescent="0.2">
      <c r="A163" s="1"/>
      <c r="B163" s="1"/>
      <c r="C163" s="2" t="s">
        <v>128</v>
      </c>
      <c r="D163" s="1"/>
      <c r="E163" s="1"/>
      <c r="F163" s="1"/>
      <c r="G163" s="137"/>
      <c r="H163" s="142"/>
    </row>
    <row r="164" spans="1:8" x14ac:dyDescent="0.2">
      <c r="A164" s="1"/>
      <c r="B164" s="1"/>
      <c r="C164" s="2" t="s">
        <v>129</v>
      </c>
      <c r="D164" s="1"/>
      <c r="E164" s="1"/>
      <c r="F164" s="1"/>
      <c r="G164" s="137"/>
      <c r="H164" s="142"/>
    </row>
    <row r="165" spans="1:8" x14ac:dyDescent="0.2">
      <c r="A165" s="1"/>
      <c r="B165" s="1"/>
      <c r="C165" s="2" t="s">
        <v>105</v>
      </c>
      <c r="D165" s="1"/>
      <c r="E165" s="1" t="s">
        <v>106</v>
      </c>
      <c r="F165" s="13">
        <v>0</v>
      </c>
      <c r="G165" s="141">
        <v>0</v>
      </c>
      <c r="H165" s="142"/>
    </row>
    <row r="166" spans="1:8" x14ac:dyDescent="0.2">
      <c r="A166" s="1"/>
      <c r="B166" s="1"/>
      <c r="C166" s="11"/>
      <c r="D166" s="1"/>
      <c r="E166" s="1"/>
      <c r="F166" s="12"/>
      <c r="G166" s="140"/>
      <c r="H166" s="142"/>
    </row>
    <row r="167" spans="1:8" x14ac:dyDescent="0.2">
      <c r="A167" s="1"/>
      <c r="B167" s="1"/>
      <c r="C167" s="11"/>
      <c r="D167" s="1"/>
      <c r="E167" s="1"/>
      <c r="F167" s="12"/>
      <c r="G167" s="140"/>
      <c r="H167" s="142"/>
    </row>
    <row r="168" spans="1:8" ht="25.5" x14ac:dyDescent="0.2">
      <c r="A168" s="1"/>
      <c r="B168" s="1"/>
      <c r="C168" s="2" t="s">
        <v>130</v>
      </c>
      <c r="D168" s="1"/>
      <c r="E168" s="1"/>
      <c r="F168" s="12"/>
      <c r="G168" s="140"/>
      <c r="H168" s="142"/>
    </row>
    <row r="169" spans="1:8" x14ac:dyDescent="0.2">
      <c r="A169" s="1"/>
      <c r="B169" s="1"/>
      <c r="C169" s="2" t="s">
        <v>105</v>
      </c>
      <c r="D169" s="1"/>
      <c r="E169" s="1" t="s">
        <v>106</v>
      </c>
      <c r="F169" s="13">
        <v>0</v>
      </c>
      <c r="G169" s="141">
        <v>0</v>
      </c>
      <c r="H169" s="142"/>
    </row>
    <row r="170" spans="1:8" x14ac:dyDescent="0.2">
      <c r="A170" s="1"/>
      <c r="B170" s="1"/>
      <c r="C170" s="11"/>
      <c r="D170" s="1"/>
      <c r="E170" s="1"/>
      <c r="F170" s="12"/>
      <c r="G170" s="140"/>
      <c r="H170" s="142"/>
    </row>
    <row r="171" spans="1:8" x14ac:dyDescent="0.2">
      <c r="A171" s="1"/>
      <c r="B171" s="4"/>
      <c r="C171" s="4"/>
      <c r="D171" s="2"/>
      <c r="E171" s="1"/>
      <c r="F171" s="4"/>
      <c r="G171" s="143"/>
      <c r="H171" s="142"/>
    </row>
    <row r="172" spans="1:8" x14ac:dyDescent="0.2">
      <c r="A172" s="8"/>
      <c r="B172" s="4"/>
      <c r="C172" s="4" t="s">
        <v>878</v>
      </c>
      <c r="D172" s="4"/>
      <c r="E172" s="8"/>
      <c r="F172" s="6">
        <v>-5.9465577200000004</v>
      </c>
      <c r="G172" s="138">
        <v>-1.6237269999999999E-3</v>
      </c>
      <c r="H172" s="142"/>
    </row>
    <row r="173" spans="1:8" x14ac:dyDescent="0.2">
      <c r="A173" s="11"/>
      <c r="B173" s="11"/>
      <c r="C173" s="2" t="s">
        <v>132</v>
      </c>
      <c r="D173" s="15"/>
      <c r="E173" s="15"/>
      <c r="F173" s="9">
        <v>3662.2885229079998</v>
      </c>
      <c r="G173" s="139">
        <v>0.99999999900000003</v>
      </c>
      <c r="H173" s="142"/>
    </row>
    <row r="174" spans="1:8" ht="14.1" customHeight="1" x14ac:dyDescent="0.2">
      <c r="A174" s="16"/>
      <c r="B174" s="16"/>
      <c r="C174" s="16"/>
      <c r="D174" s="17"/>
      <c r="E174" s="17"/>
      <c r="F174" s="17"/>
      <c r="G174" s="17"/>
    </row>
    <row r="175" spans="1:8" ht="17.100000000000001" customHeight="1" x14ac:dyDescent="0.2">
      <c r="A175" s="18"/>
      <c r="B175" s="205" t="s">
        <v>701</v>
      </c>
      <c r="C175" s="205"/>
      <c r="D175" s="205"/>
      <c r="E175" s="205"/>
      <c r="F175" s="205"/>
      <c r="G175" s="20"/>
    </row>
    <row r="176" spans="1:8" s="93" customFormat="1" ht="17.100000000000001" customHeight="1" x14ac:dyDescent="0.2">
      <c r="A176" s="107"/>
      <c r="B176" s="212" t="s">
        <v>880</v>
      </c>
      <c r="C176" s="212"/>
      <c r="D176" s="212"/>
      <c r="E176" s="212"/>
      <c r="F176" s="212"/>
      <c r="G176" s="108"/>
    </row>
    <row r="177" spans="1:7" ht="14.1" customHeight="1" x14ac:dyDescent="0.2">
      <c r="A177" s="18"/>
      <c r="B177" s="205" t="s">
        <v>106</v>
      </c>
      <c r="C177" s="205"/>
      <c r="D177" s="205"/>
      <c r="E177" s="205"/>
      <c r="F177" s="205"/>
      <c r="G177" s="20"/>
    </row>
    <row r="178" spans="1:7" ht="14.1" customHeight="1" x14ac:dyDescent="0.2">
      <c r="A178" s="18"/>
      <c r="B178" s="18"/>
      <c r="C178" s="18"/>
      <c r="D178" s="20"/>
      <c r="E178" s="20"/>
      <c r="F178" s="20"/>
      <c r="G178" s="20"/>
    </row>
    <row r="179" spans="1:7" ht="14.1" customHeight="1" x14ac:dyDescent="0.2">
      <c r="A179" s="18"/>
      <c r="B179" s="203" t="s">
        <v>134</v>
      </c>
      <c r="C179" s="204"/>
      <c r="D179" s="12" t="s">
        <v>106</v>
      </c>
      <c r="E179" s="21"/>
      <c r="F179" s="20"/>
      <c r="G179" s="20"/>
    </row>
    <row r="180" spans="1:7" ht="29.1" customHeight="1" x14ac:dyDescent="0.2">
      <c r="A180" s="18"/>
      <c r="B180" s="199" t="s">
        <v>135</v>
      </c>
      <c r="C180" s="200"/>
      <c r="D180" s="2" t="s">
        <v>136</v>
      </c>
      <c r="E180" s="21"/>
      <c r="F180" s="20"/>
      <c r="G180" s="20"/>
    </row>
    <row r="181" spans="1:7" ht="17.100000000000001" customHeight="1" x14ac:dyDescent="0.2">
      <c r="A181" s="18"/>
      <c r="B181" s="199" t="s">
        <v>137</v>
      </c>
      <c r="C181" s="200"/>
      <c r="D181" s="2" t="s">
        <v>136</v>
      </c>
      <c r="E181" s="21"/>
      <c r="F181" s="20"/>
      <c r="G181" s="20"/>
    </row>
    <row r="182" spans="1:7" ht="17.100000000000001" customHeight="1" x14ac:dyDescent="0.2">
      <c r="A182" s="18"/>
      <c r="B182" s="199" t="s">
        <v>138</v>
      </c>
      <c r="C182" s="200"/>
      <c r="D182" s="12" t="s">
        <v>106</v>
      </c>
      <c r="E182" s="21"/>
      <c r="F182" s="20"/>
      <c r="G182" s="20"/>
    </row>
    <row r="183" spans="1:7" ht="24" customHeight="1" x14ac:dyDescent="0.2">
      <c r="A183" s="22"/>
      <c r="B183" s="23" t="s">
        <v>106</v>
      </c>
      <c r="C183" s="23" t="s">
        <v>139</v>
      </c>
      <c r="D183" s="23" t="s">
        <v>140</v>
      </c>
      <c r="E183" s="22"/>
      <c r="F183" s="22"/>
      <c r="G183" s="22"/>
    </row>
    <row r="184" spans="1:7" ht="18" customHeight="1" x14ac:dyDescent="0.2">
      <c r="A184" s="22"/>
      <c r="B184" s="23" t="s">
        <v>141</v>
      </c>
      <c r="C184" s="23" t="s">
        <v>142</v>
      </c>
      <c r="D184" s="23" t="s">
        <v>143</v>
      </c>
      <c r="E184" s="22"/>
      <c r="F184" s="22"/>
      <c r="G184" s="22"/>
    </row>
    <row r="185" spans="1:7" x14ac:dyDescent="0.2">
      <c r="A185" s="22"/>
      <c r="B185" s="4" t="s">
        <v>144</v>
      </c>
      <c r="C185" s="24">
        <v>18.247599999999998</v>
      </c>
      <c r="D185" s="24">
        <v>18.8309</v>
      </c>
      <c r="E185" s="22"/>
      <c r="F185" s="19"/>
      <c r="G185" s="25"/>
    </row>
    <row r="186" spans="1:7" x14ac:dyDescent="0.2">
      <c r="A186" s="22"/>
      <c r="B186" s="4" t="s">
        <v>1019</v>
      </c>
      <c r="C186" s="24">
        <v>16.2377</v>
      </c>
      <c r="D186" s="24">
        <v>16.756799999999998</v>
      </c>
      <c r="E186" s="22"/>
      <c r="F186" s="19"/>
      <c r="G186" s="25"/>
    </row>
    <row r="187" spans="1:7" x14ac:dyDescent="0.2">
      <c r="A187" s="22"/>
      <c r="B187" s="4" t="s">
        <v>145</v>
      </c>
      <c r="C187" s="24">
        <v>17.694800000000001</v>
      </c>
      <c r="D187" s="24">
        <v>18.253299999999999</v>
      </c>
      <c r="E187" s="22"/>
      <c r="F187" s="19"/>
      <c r="G187" s="25"/>
    </row>
    <row r="188" spans="1:7" x14ac:dyDescent="0.2">
      <c r="A188" s="22"/>
      <c r="B188" s="4" t="s">
        <v>1020</v>
      </c>
      <c r="C188" s="24">
        <v>15.7387</v>
      </c>
      <c r="D188" s="24">
        <v>16.235399999999998</v>
      </c>
      <c r="E188" s="22"/>
      <c r="F188" s="19"/>
      <c r="G188" s="25"/>
    </row>
    <row r="189" spans="1:7" ht="14.1" customHeight="1" x14ac:dyDescent="0.2">
      <c r="A189" s="22"/>
      <c r="B189" s="22"/>
      <c r="C189" s="22"/>
      <c r="D189" s="22"/>
      <c r="E189" s="22"/>
      <c r="F189" s="22"/>
      <c r="G189" s="22"/>
    </row>
    <row r="190" spans="1:7" ht="17.100000000000001" customHeight="1" x14ac:dyDescent="0.2">
      <c r="A190" s="22"/>
      <c r="B190" s="199" t="s">
        <v>1021</v>
      </c>
      <c r="C190" s="200"/>
      <c r="D190" s="2" t="s">
        <v>136</v>
      </c>
      <c r="E190" s="22"/>
      <c r="F190" s="22"/>
      <c r="G190" s="22"/>
    </row>
    <row r="191" spans="1:7" ht="18" customHeight="1" x14ac:dyDescent="0.2">
      <c r="A191" s="22"/>
      <c r="B191" s="26"/>
      <c r="C191" s="26"/>
      <c r="D191" s="27"/>
      <c r="E191" s="22"/>
      <c r="F191" s="22"/>
      <c r="G191" s="22"/>
    </row>
    <row r="192" spans="1:7" s="125" customFormat="1" x14ac:dyDescent="0.2">
      <c r="B192" s="201" t="s">
        <v>825</v>
      </c>
      <c r="C192" s="201"/>
      <c r="D192" s="201"/>
      <c r="E192" s="201"/>
      <c r="F192" s="201"/>
    </row>
    <row r="193" spans="1:7" ht="14.1" customHeight="1" x14ac:dyDescent="0.2">
      <c r="A193" s="22"/>
      <c r="B193" s="19"/>
      <c r="C193" s="19"/>
      <c r="D193" s="22"/>
      <c r="E193" s="22"/>
      <c r="F193" s="22"/>
      <c r="G193" s="22"/>
    </row>
    <row r="194" spans="1:7" ht="29.1" customHeight="1" x14ac:dyDescent="0.2">
      <c r="A194" s="22"/>
      <c r="B194" s="199" t="s">
        <v>146</v>
      </c>
      <c r="C194" s="200"/>
      <c r="D194" s="2" t="s">
        <v>136</v>
      </c>
      <c r="E194" s="22"/>
      <c r="F194" s="22"/>
      <c r="G194" s="22"/>
    </row>
    <row r="195" spans="1:7" ht="29.1" customHeight="1" x14ac:dyDescent="0.2">
      <c r="A195" s="22"/>
      <c r="B195" s="199" t="s">
        <v>147</v>
      </c>
      <c r="C195" s="200"/>
      <c r="D195" s="2" t="s">
        <v>136</v>
      </c>
      <c r="E195" s="22"/>
      <c r="F195" s="22"/>
      <c r="G195" s="22"/>
    </row>
    <row r="196" spans="1:7" s="93" customFormat="1" ht="17.100000000000001" customHeight="1" x14ac:dyDescent="0.2">
      <c r="A196" s="110"/>
      <c r="B196" s="210" t="s">
        <v>1001</v>
      </c>
      <c r="C196" s="211"/>
      <c r="D196" s="118">
        <v>1.9346081607891656E-4</v>
      </c>
      <c r="E196" s="117"/>
      <c r="F196" s="110"/>
      <c r="G196" s="110"/>
    </row>
    <row r="197" spans="1:7" s="93" customFormat="1" ht="17.100000000000001" customHeight="1" x14ac:dyDescent="0.2">
      <c r="A197" s="110"/>
      <c r="B197" s="210" t="s">
        <v>1002</v>
      </c>
      <c r="C197" s="211"/>
      <c r="D197" s="118">
        <v>0</v>
      </c>
      <c r="E197" s="117"/>
      <c r="F197" s="110"/>
      <c r="G197" s="110"/>
    </row>
    <row r="198" spans="1:7" ht="17.100000000000001" customHeight="1" x14ac:dyDescent="0.2">
      <c r="A198" s="22"/>
      <c r="B198" s="199" t="s">
        <v>1003</v>
      </c>
      <c r="C198" s="200"/>
      <c r="D198" s="28">
        <v>0.51512967250803343</v>
      </c>
      <c r="E198" s="22"/>
      <c r="F198" s="19"/>
      <c r="G198" s="25"/>
    </row>
    <row r="199" spans="1:7" ht="17.100000000000001" customHeight="1" x14ac:dyDescent="0.2">
      <c r="A199" s="22"/>
      <c r="B199" s="199" t="s">
        <v>1004</v>
      </c>
      <c r="C199" s="200"/>
      <c r="D199" s="2" t="s">
        <v>136</v>
      </c>
      <c r="E199" s="22"/>
      <c r="F199" s="22"/>
      <c r="G199" s="22"/>
    </row>
  </sheetData>
  <mergeCells count="19">
    <mergeCell ref="J2:N2"/>
    <mergeCell ref="B179:C179"/>
    <mergeCell ref="B175:F175"/>
    <mergeCell ref="B177:F177"/>
    <mergeCell ref="B176:F176"/>
    <mergeCell ref="A1:H1"/>
    <mergeCell ref="A2:H2"/>
    <mergeCell ref="A3:H3"/>
    <mergeCell ref="B198:C198"/>
    <mergeCell ref="B199:C199"/>
    <mergeCell ref="B180:C180"/>
    <mergeCell ref="B181:C181"/>
    <mergeCell ref="B182:C182"/>
    <mergeCell ref="B190:C190"/>
    <mergeCell ref="B194:C194"/>
    <mergeCell ref="B195:C195"/>
    <mergeCell ref="B196:C196"/>
    <mergeCell ref="B197:C197"/>
    <mergeCell ref="B192:F19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N148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702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675000</v>
      </c>
      <c r="F7" s="6">
        <v>17004.9375</v>
      </c>
      <c r="G7" s="138">
        <v>7.6020754999999995E-2</v>
      </c>
      <c r="H7" s="142"/>
    </row>
    <row r="8" spans="1:14" x14ac:dyDescent="0.2">
      <c r="A8" s="3">
        <v>2</v>
      </c>
      <c r="B8" s="4" t="s">
        <v>410</v>
      </c>
      <c r="C8" s="4" t="s">
        <v>411</v>
      </c>
      <c r="D8" s="4" t="s">
        <v>164</v>
      </c>
      <c r="E8" s="5">
        <v>975000</v>
      </c>
      <c r="F8" s="6">
        <v>16333.2</v>
      </c>
      <c r="G8" s="138">
        <v>7.3017745999999994E-2</v>
      </c>
      <c r="H8" s="142"/>
    </row>
    <row r="9" spans="1:14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2250000</v>
      </c>
      <c r="F9" s="6">
        <v>15769.125</v>
      </c>
      <c r="G9" s="138">
        <v>7.0496041999999995E-2</v>
      </c>
      <c r="H9" s="142"/>
    </row>
    <row r="10" spans="1:14" x14ac:dyDescent="0.2">
      <c r="A10" s="3">
        <v>4</v>
      </c>
      <c r="B10" s="4" t="s">
        <v>408</v>
      </c>
      <c r="C10" s="4" t="s">
        <v>409</v>
      </c>
      <c r="D10" s="4" t="s">
        <v>24</v>
      </c>
      <c r="E10" s="5">
        <v>900000</v>
      </c>
      <c r="F10" s="6">
        <v>14354.55</v>
      </c>
      <c r="G10" s="138">
        <v>6.4172170000000001E-2</v>
      </c>
      <c r="H10" s="142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80</v>
      </c>
      <c r="E11" s="5">
        <v>350000</v>
      </c>
      <c r="F11" s="6">
        <v>9640.0499999999993</v>
      </c>
      <c r="G11" s="138">
        <v>4.3095947000000003E-2</v>
      </c>
      <c r="H11" s="142"/>
    </row>
    <row r="12" spans="1:14" x14ac:dyDescent="0.2">
      <c r="A12" s="3">
        <v>6</v>
      </c>
      <c r="B12" s="4" t="s">
        <v>336</v>
      </c>
      <c r="C12" s="4" t="s">
        <v>337</v>
      </c>
      <c r="D12" s="4" t="s">
        <v>24</v>
      </c>
      <c r="E12" s="5">
        <v>1200000</v>
      </c>
      <c r="F12" s="6">
        <v>9198.6</v>
      </c>
      <c r="G12" s="138">
        <v>4.1122440000000003E-2</v>
      </c>
      <c r="H12" s="142"/>
    </row>
    <row r="13" spans="1:14" x14ac:dyDescent="0.2">
      <c r="A13" s="3">
        <v>7</v>
      </c>
      <c r="B13" s="4" t="s">
        <v>368</v>
      </c>
      <c r="C13" s="4" t="s">
        <v>369</v>
      </c>
      <c r="D13" s="4" t="s">
        <v>164</v>
      </c>
      <c r="E13" s="5">
        <v>650000</v>
      </c>
      <c r="F13" s="6">
        <v>8317.0750000000007</v>
      </c>
      <c r="G13" s="138">
        <v>3.7181573000000002E-2</v>
      </c>
      <c r="H13" s="142"/>
    </row>
    <row r="14" spans="1:14" x14ac:dyDescent="0.2">
      <c r="A14" s="3">
        <v>8</v>
      </c>
      <c r="B14" s="4" t="s">
        <v>414</v>
      </c>
      <c r="C14" s="4" t="s">
        <v>415</v>
      </c>
      <c r="D14" s="4" t="s">
        <v>24</v>
      </c>
      <c r="E14" s="5">
        <v>1690000</v>
      </c>
      <c r="F14" s="6">
        <v>7655.7</v>
      </c>
      <c r="G14" s="138">
        <v>3.4224889000000001E-2</v>
      </c>
      <c r="H14" s="142"/>
    </row>
    <row r="15" spans="1:14" ht="15" x14ac:dyDescent="0.2">
      <c r="A15" s="3">
        <v>9</v>
      </c>
      <c r="B15" s="4" t="s">
        <v>420</v>
      </c>
      <c r="C15" s="4" t="s">
        <v>421</v>
      </c>
      <c r="D15" s="4" t="s">
        <v>164</v>
      </c>
      <c r="E15" s="5">
        <v>195750</v>
      </c>
      <c r="F15" s="6">
        <v>7390.6391249999997</v>
      </c>
      <c r="G15" s="138">
        <v>3.3039931000000002E-2</v>
      </c>
      <c r="H15" s="142"/>
      <c r="J15" s="163" t="s">
        <v>1041</v>
      </c>
    </row>
    <row r="16" spans="1:14" x14ac:dyDescent="0.2">
      <c r="A16" s="3">
        <v>10</v>
      </c>
      <c r="B16" s="4" t="s">
        <v>25</v>
      </c>
      <c r="C16" s="4" t="s">
        <v>26</v>
      </c>
      <c r="D16" s="4" t="s">
        <v>27</v>
      </c>
      <c r="E16" s="5">
        <v>520000</v>
      </c>
      <c r="F16" s="6">
        <v>7137.78</v>
      </c>
      <c r="G16" s="138">
        <v>3.1909522000000003E-2</v>
      </c>
      <c r="H16" s="142"/>
    </row>
    <row r="17" spans="1:8" ht="25.5" x14ac:dyDescent="0.2">
      <c r="A17" s="3">
        <v>11</v>
      </c>
      <c r="B17" s="4" t="s">
        <v>323</v>
      </c>
      <c r="C17" s="4" t="s">
        <v>324</v>
      </c>
      <c r="D17" s="4" t="s">
        <v>90</v>
      </c>
      <c r="E17" s="5">
        <v>750000</v>
      </c>
      <c r="F17" s="6">
        <v>6732</v>
      </c>
      <c r="G17" s="138">
        <v>3.0095477999999998E-2</v>
      </c>
      <c r="H17" s="142"/>
    </row>
    <row r="18" spans="1:8" x14ac:dyDescent="0.2">
      <c r="A18" s="3">
        <v>12</v>
      </c>
      <c r="B18" s="4" t="s">
        <v>212</v>
      </c>
      <c r="C18" s="4" t="s">
        <v>213</v>
      </c>
      <c r="D18" s="4" t="s">
        <v>1027</v>
      </c>
      <c r="E18" s="5">
        <v>645000</v>
      </c>
      <c r="F18" s="6">
        <v>5909.49</v>
      </c>
      <c r="G18" s="138">
        <v>2.6418437999999999E-2</v>
      </c>
      <c r="H18" s="142"/>
    </row>
    <row r="19" spans="1:8" x14ac:dyDescent="0.2">
      <c r="A19" s="3">
        <v>13</v>
      </c>
      <c r="B19" s="4" t="s">
        <v>151</v>
      </c>
      <c r="C19" s="4" t="s">
        <v>152</v>
      </c>
      <c r="D19" s="4" t="s">
        <v>153</v>
      </c>
      <c r="E19" s="5">
        <v>157500</v>
      </c>
      <c r="F19" s="6">
        <v>5803.4812499999998</v>
      </c>
      <c r="G19" s="138">
        <v>2.5944525E-2</v>
      </c>
      <c r="H19" s="142"/>
    </row>
    <row r="20" spans="1:8" x14ac:dyDescent="0.2">
      <c r="A20" s="3">
        <v>14</v>
      </c>
      <c r="B20" s="4" t="s">
        <v>11</v>
      </c>
      <c r="C20" s="4" t="s">
        <v>12</v>
      </c>
      <c r="D20" s="4" t="s">
        <v>13</v>
      </c>
      <c r="E20" s="5">
        <v>340000</v>
      </c>
      <c r="F20" s="6">
        <v>5790.03</v>
      </c>
      <c r="G20" s="138">
        <v>2.5884391E-2</v>
      </c>
      <c r="H20" s="142"/>
    </row>
    <row r="21" spans="1:8" x14ac:dyDescent="0.2">
      <c r="A21" s="3">
        <v>15</v>
      </c>
      <c r="B21" s="4" t="s">
        <v>416</v>
      </c>
      <c r="C21" s="4" t="s">
        <v>417</v>
      </c>
      <c r="D21" s="4" t="s">
        <v>1030</v>
      </c>
      <c r="E21" s="5">
        <v>460000</v>
      </c>
      <c r="F21" s="6">
        <v>5589.46</v>
      </c>
      <c r="G21" s="138">
        <v>2.4987741000000001E-2</v>
      </c>
      <c r="H21" s="142"/>
    </row>
    <row r="22" spans="1:8" x14ac:dyDescent="0.2">
      <c r="A22" s="3">
        <v>16</v>
      </c>
      <c r="B22" s="4" t="s">
        <v>314</v>
      </c>
      <c r="C22" s="4" t="s">
        <v>315</v>
      </c>
      <c r="D22" s="4" t="s">
        <v>1028</v>
      </c>
      <c r="E22" s="5">
        <v>134000</v>
      </c>
      <c r="F22" s="6">
        <v>5414.8059999999996</v>
      </c>
      <c r="G22" s="138">
        <v>2.4206947999999999E-2</v>
      </c>
      <c r="H22" s="142"/>
    </row>
    <row r="23" spans="1:8" x14ac:dyDescent="0.2">
      <c r="A23" s="3">
        <v>17</v>
      </c>
      <c r="B23" s="4" t="s">
        <v>17</v>
      </c>
      <c r="C23" s="4" t="s">
        <v>18</v>
      </c>
      <c r="D23" s="4" t="s">
        <v>19</v>
      </c>
      <c r="E23" s="5">
        <v>770000</v>
      </c>
      <c r="F23" s="6">
        <v>5299.91</v>
      </c>
      <c r="G23" s="138">
        <v>2.3693303999999998E-2</v>
      </c>
      <c r="H23" s="142"/>
    </row>
    <row r="24" spans="1:8" ht="25.5" x14ac:dyDescent="0.2">
      <c r="A24" s="3">
        <v>18</v>
      </c>
      <c r="B24" s="4" t="s">
        <v>418</v>
      </c>
      <c r="C24" s="4" t="s">
        <v>419</v>
      </c>
      <c r="D24" s="4" t="s">
        <v>90</v>
      </c>
      <c r="E24" s="5">
        <v>175000</v>
      </c>
      <c r="F24" s="6">
        <v>4728.1499999999996</v>
      </c>
      <c r="G24" s="138">
        <v>2.1137244999999999E-2</v>
      </c>
      <c r="H24" s="142"/>
    </row>
    <row r="25" spans="1:8" x14ac:dyDescent="0.2">
      <c r="A25" s="3">
        <v>19</v>
      </c>
      <c r="B25" s="4" t="s">
        <v>91</v>
      </c>
      <c r="C25" s="4" t="s">
        <v>92</v>
      </c>
      <c r="D25" s="4" t="s">
        <v>27</v>
      </c>
      <c r="E25" s="5">
        <v>60000</v>
      </c>
      <c r="F25" s="6">
        <v>4535.13</v>
      </c>
      <c r="G25" s="138">
        <v>2.0274347000000002E-2</v>
      </c>
      <c r="H25" s="142"/>
    </row>
    <row r="26" spans="1:8" ht="25.5" x14ac:dyDescent="0.2">
      <c r="A26" s="3">
        <v>20</v>
      </c>
      <c r="B26" s="4" t="s">
        <v>338</v>
      </c>
      <c r="C26" s="4" t="s">
        <v>339</v>
      </c>
      <c r="D26" s="4" t="s">
        <v>51</v>
      </c>
      <c r="E26" s="5">
        <v>850000</v>
      </c>
      <c r="F26" s="6">
        <v>4070.65</v>
      </c>
      <c r="G26" s="138">
        <v>1.8197884000000001E-2</v>
      </c>
      <c r="H26" s="142"/>
    </row>
    <row r="27" spans="1:8" ht="25.5" x14ac:dyDescent="0.2">
      <c r="A27" s="3">
        <v>21</v>
      </c>
      <c r="B27" s="4" t="s">
        <v>20</v>
      </c>
      <c r="C27" s="4" t="s">
        <v>21</v>
      </c>
      <c r="D27" s="4" t="s">
        <v>1023</v>
      </c>
      <c r="E27" s="5">
        <v>400000</v>
      </c>
      <c r="F27" s="6">
        <v>3938.6</v>
      </c>
      <c r="G27" s="138">
        <v>1.7607554000000001E-2</v>
      </c>
      <c r="H27" s="142"/>
    </row>
    <row r="28" spans="1:8" ht="25.5" x14ac:dyDescent="0.2">
      <c r="A28" s="3">
        <v>22</v>
      </c>
      <c r="B28" s="4" t="s">
        <v>327</v>
      </c>
      <c r="C28" s="4" t="s">
        <v>328</v>
      </c>
      <c r="D28" s="4" t="s">
        <v>90</v>
      </c>
      <c r="E28" s="5">
        <v>625000</v>
      </c>
      <c r="F28" s="6">
        <v>3587.5</v>
      </c>
      <c r="G28" s="138">
        <v>1.6037956999999999E-2</v>
      </c>
      <c r="H28" s="142"/>
    </row>
    <row r="29" spans="1:8" x14ac:dyDescent="0.2">
      <c r="A29" s="3">
        <v>23</v>
      </c>
      <c r="B29" s="4" t="s">
        <v>394</v>
      </c>
      <c r="C29" s="4" t="s">
        <v>395</v>
      </c>
      <c r="D29" s="4" t="s">
        <v>1030</v>
      </c>
      <c r="E29" s="5">
        <v>19700</v>
      </c>
      <c r="F29" s="6">
        <v>3503.9897500000002</v>
      </c>
      <c r="G29" s="138">
        <v>1.5664623999999999E-2</v>
      </c>
      <c r="H29" s="142"/>
    </row>
    <row r="30" spans="1:8" x14ac:dyDescent="0.2">
      <c r="A30" s="3">
        <v>24</v>
      </c>
      <c r="B30" s="4" t="s">
        <v>439</v>
      </c>
      <c r="C30" s="4" t="s">
        <v>440</v>
      </c>
      <c r="D30" s="4" t="s">
        <v>173</v>
      </c>
      <c r="E30" s="5">
        <v>590000</v>
      </c>
      <c r="F30" s="6">
        <v>3279.5149999999999</v>
      </c>
      <c r="G30" s="138">
        <v>1.4661107E-2</v>
      </c>
      <c r="H30" s="142"/>
    </row>
    <row r="31" spans="1:8" x14ac:dyDescent="0.2">
      <c r="A31" s="3">
        <v>25</v>
      </c>
      <c r="B31" s="4" t="s">
        <v>40</v>
      </c>
      <c r="C31" s="4" t="s">
        <v>41</v>
      </c>
      <c r="D31" s="4" t="s">
        <v>16</v>
      </c>
      <c r="E31" s="5">
        <v>735000</v>
      </c>
      <c r="F31" s="6">
        <v>3176.67</v>
      </c>
      <c r="G31" s="138">
        <v>1.4201337E-2</v>
      </c>
      <c r="H31" s="142"/>
    </row>
    <row r="32" spans="1:8" x14ac:dyDescent="0.2">
      <c r="A32" s="3">
        <v>26</v>
      </c>
      <c r="B32" s="4" t="s">
        <v>428</v>
      </c>
      <c r="C32" s="4" t="s">
        <v>429</v>
      </c>
      <c r="D32" s="4" t="s">
        <v>430</v>
      </c>
      <c r="E32" s="5">
        <v>626000</v>
      </c>
      <c r="F32" s="6">
        <v>3054.567</v>
      </c>
      <c r="G32" s="138">
        <v>1.3655475E-2</v>
      </c>
      <c r="H32" s="142"/>
    </row>
    <row r="33" spans="1:8" x14ac:dyDescent="0.2">
      <c r="A33" s="3">
        <v>27</v>
      </c>
      <c r="B33" s="4" t="s">
        <v>348</v>
      </c>
      <c r="C33" s="4" t="s">
        <v>349</v>
      </c>
      <c r="D33" s="4" t="s">
        <v>59</v>
      </c>
      <c r="E33" s="5">
        <v>750000</v>
      </c>
      <c r="F33" s="6">
        <v>2919.375</v>
      </c>
      <c r="G33" s="138">
        <v>1.3051096999999999E-2</v>
      </c>
      <c r="H33" s="142"/>
    </row>
    <row r="34" spans="1:8" ht="25.5" x14ac:dyDescent="0.2">
      <c r="A34" s="3">
        <v>28</v>
      </c>
      <c r="B34" s="4" t="s">
        <v>38</v>
      </c>
      <c r="C34" s="4" t="s">
        <v>39</v>
      </c>
      <c r="D34" s="4" t="s">
        <v>1023</v>
      </c>
      <c r="E34" s="5">
        <v>38500</v>
      </c>
      <c r="F34" s="6">
        <v>2847.4985000000001</v>
      </c>
      <c r="G34" s="138">
        <v>1.2729773E-2</v>
      </c>
      <c r="H34" s="142"/>
    </row>
    <row r="35" spans="1:8" x14ac:dyDescent="0.2">
      <c r="A35" s="3">
        <v>29</v>
      </c>
      <c r="B35" s="4" t="s">
        <v>433</v>
      </c>
      <c r="C35" s="4" t="s">
        <v>434</v>
      </c>
      <c r="D35" s="4" t="s">
        <v>207</v>
      </c>
      <c r="E35" s="5">
        <v>58000</v>
      </c>
      <c r="F35" s="6">
        <v>2783.2460000000001</v>
      </c>
      <c r="G35" s="138">
        <v>1.2442531E-2</v>
      </c>
      <c r="H35" s="142"/>
    </row>
    <row r="36" spans="1:8" x14ac:dyDescent="0.2">
      <c r="A36" s="3">
        <v>30</v>
      </c>
      <c r="B36" s="4" t="s">
        <v>346</v>
      </c>
      <c r="C36" s="4" t="s">
        <v>347</v>
      </c>
      <c r="D36" s="4" t="s">
        <v>207</v>
      </c>
      <c r="E36" s="5">
        <v>69000</v>
      </c>
      <c r="F36" s="6">
        <v>2566.7310000000002</v>
      </c>
      <c r="G36" s="138">
        <v>1.1474598000000001E-2</v>
      </c>
      <c r="H36" s="142"/>
    </row>
    <row r="37" spans="1:8" x14ac:dyDescent="0.2">
      <c r="A37" s="3">
        <v>31</v>
      </c>
      <c r="B37" s="4" t="s">
        <v>424</v>
      </c>
      <c r="C37" s="4" t="s">
        <v>425</v>
      </c>
      <c r="D37" s="4" t="s">
        <v>207</v>
      </c>
      <c r="E37" s="5">
        <v>280000</v>
      </c>
      <c r="F37" s="6">
        <v>2291.1</v>
      </c>
      <c r="G37" s="138">
        <v>1.0242387E-2</v>
      </c>
      <c r="H37" s="142"/>
    </row>
    <row r="38" spans="1:8" x14ac:dyDescent="0.2">
      <c r="A38" s="3">
        <v>32</v>
      </c>
      <c r="B38" s="4" t="s">
        <v>165</v>
      </c>
      <c r="C38" s="4" t="s">
        <v>166</v>
      </c>
      <c r="D38" s="4" t="s">
        <v>51</v>
      </c>
      <c r="E38" s="5">
        <v>475000</v>
      </c>
      <c r="F38" s="6">
        <v>2245.0875000000001</v>
      </c>
      <c r="G38" s="138">
        <v>1.0036688E-2</v>
      </c>
      <c r="H38" s="142"/>
    </row>
    <row r="39" spans="1:8" x14ac:dyDescent="0.2">
      <c r="A39" s="3">
        <v>33</v>
      </c>
      <c r="B39" s="4" t="s">
        <v>352</v>
      </c>
      <c r="C39" s="4" t="s">
        <v>353</v>
      </c>
      <c r="D39" s="4" t="s">
        <v>48</v>
      </c>
      <c r="E39" s="5">
        <v>300000</v>
      </c>
      <c r="F39" s="6">
        <v>2112.9</v>
      </c>
      <c r="G39" s="138">
        <v>9.445742E-3</v>
      </c>
      <c r="H39" s="142"/>
    </row>
    <row r="40" spans="1:8" x14ac:dyDescent="0.2">
      <c r="A40" s="3">
        <v>34</v>
      </c>
      <c r="B40" s="4" t="s">
        <v>426</v>
      </c>
      <c r="C40" s="4" t="s">
        <v>427</v>
      </c>
      <c r="D40" s="4" t="s">
        <v>83</v>
      </c>
      <c r="E40" s="5">
        <v>225000</v>
      </c>
      <c r="F40" s="6">
        <v>1806.8625</v>
      </c>
      <c r="G40" s="138">
        <v>8.0775980000000001E-3</v>
      </c>
      <c r="H40" s="142"/>
    </row>
    <row r="41" spans="1:8" x14ac:dyDescent="0.2">
      <c r="A41" s="3">
        <v>35</v>
      </c>
      <c r="B41" s="4" t="s">
        <v>437</v>
      </c>
      <c r="C41" s="4" t="s">
        <v>438</v>
      </c>
      <c r="D41" s="4" t="s">
        <v>164</v>
      </c>
      <c r="E41" s="5">
        <v>130000</v>
      </c>
      <c r="F41" s="6">
        <v>1794.78</v>
      </c>
      <c r="G41" s="138">
        <v>8.0235830000000008E-3</v>
      </c>
      <c r="H41" s="142"/>
    </row>
    <row r="42" spans="1:8" x14ac:dyDescent="0.2">
      <c r="A42" s="3">
        <v>36</v>
      </c>
      <c r="B42" s="4" t="s">
        <v>441</v>
      </c>
      <c r="C42" s="4" t="s">
        <v>442</v>
      </c>
      <c r="D42" s="4" t="s">
        <v>24</v>
      </c>
      <c r="E42" s="5">
        <v>86500</v>
      </c>
      <c r="F42" s="6">
        <v>1734.7574999999999</v>
      </c>
      <c r="G42" s="138">
        <v>7.7552519999999998E-3</v>
      </c>
      <c r="H42" s="142"/>
    </row>
    <row r="43" spans="1:8" ht="25.5" x14ac:dyDescent="0.2">
      <c r="A43" s="3">
        <v>37</v>
      </c>
      <c r="B43" s="4" t="s">
        <v>435</v>
      </c>
      <c r="C43" s="4" t="s">
        <v>436</v>
      </c>
      <c r="D43" s="4" t="s">
        <v>90</v>
      </c>
      <c r="E43" s="5">
        <v>725000</v>
      </c>
      <c r="F43" s="6">
        <v>1712.0875000000001</v>
      </c>
      <c r="G43" s="138">
        <v>7.6539060000000003E-3</v>
      </c>
      <c r="H43" s="142"/>
    </row>
    <row r="44" spans="1:8" x14ac:dyDescent="0.2">
      <c r="A44" s="3">
        <v>38</v>
      </c>
      <c r="B44" s="4" t="s">
        <v>290</v>
      </c>
      <c r="C44" s="4" t="s">
        <v>291</v>
      </c>
      <c r="D44" s="4" t="s">
        <v>153</v>
      </c>
      <c r="E44" s="5">
        <v>254000</v>
      </c>
      <c r="F44" s="6">
        <v>1555.623</v>
      </c>
      <c r="G44" s="138">
        <v>6.9544289999999998E-3</v>
      </c>
      <c r="H44" s="142"/>
    </row>
    <row r="45" spans="1:8" x14ac:dyDescent="0.2">
      <c r="A45" s="3">
        <v>39</v>
      </c>
      <c r="B45" s="4" t="s">
        <v>350</v>
      </c>
      <c r="C45" s="4" t="s">
        <v>351</v>
      </c>
      <c r="D45" s="4" t="s">
        <v>80</v>
      </c>
      <c r="E45" s="5">
        <v>95000</v>
      </c>
      <c r="F45" s="6">
        <v>1233.9075</v>
      </c>
      <c r="G45" s="138">
        <v>5.5161969999999996E-3</v>
      </c>
      <c r="H45" s="142"/>
    </row>
    <row r="46" spans="1:8" x14ac:dyDescent="0.2">
      <c r="A46" s="3">
        <v>40</v>
      </c>
      <c r="B46" s="4" t="s">
        <v>451</v>
      </c>
      <c r="C46" s="4" t="s">
        <v>452</v>
      </c>
      <c r="D46" s="4" t="s">
        <v>207</v>
      </c>
      <c r="E46" s="5">
        <v>120000</v>
      </c>
      <c r="F46" s="6">
        <v>1180.26</v>
      </c>
      <c r="G46" s="138">
        <v>5.2763649999999999E-3</v>
      </c>
      <c r="H46" s="142"/>
    </row>
    <row r="47" spans="1:8" x14ac:dyDescent="0.2">
      <c r="A47" s="3">
        <v>41</v>
      </c>
      <c r="B47" s="4" t="s">
        <v>340</v>
      </c>
      <c r="C47" s="4" t="s">
        <v>341</v>
      </c>
      <c r="D47" s="4" t="s">
        <v>216</v>
      </c>
      <c r="E47" s="5">
        <v>3400</v>
      </c>
      <c r="F47" s="6">
        <v>1077.9666</v>
      </c>
      <c r="G47" s="138">
        <v>4.8190610000000004E-3</v>
      </c>
      <c r="H47" s="142"/>
    </row>
    <row r="48" spans="1:8" x14ac:dyDescent="0.2">
      <c r="A48" s="3">
        <v>42</v>
      </c>
      <c r="B48" s="4" t="s">
        <v>378</v>
      </c>
      <c r="C48" s="4" t="s">
        <v>379</v>
      </c>
      <c r="D48" s="4" t="s">
        <v>51</v>
      </c>
      <c r="E48" s="5">
        <v>1157873</v>
      </c>
      <c r="F48" s="6">
        <v>844.08941700000003</v>
      </c>
      <c r="G48" s="138">
        <v>3.7735109999999998E-3</v>
      </c>
      <c r="H48" s="142"/>
    </row>
    <row r="49" spans="1:8" x14ac:dyDescent="0.2">
      <c r="A49" s="3">
        <v>43</v>
      </c>
      <c r="B49" s="4" t="s">
        <v>360</v>
      </c>
      <c r="C49" s="4" t="s">
        <v>361</v>
      </c>
      <c r="D49" s="4" t="s">
        <v>24</v>
      </c>
      <c r="E49" s="5">
        <v>1000000</v>
      </c>
      <c r="F49" s="6">
        <v>817.5</v>
      </c>
      <c r="G49" s="138">
        <v>3.654643E-3</v>
      </c>
      <c r="H49" s="142"/>
    </row>
    <row r="50" spans="1:8" x14ac:dyDescent="0.2">
      <c r="A50" s="3">
        <v>44</v>
      </c>
      <c r="B50" s="4" t="s">
        <v>310</v>
      </c>
      <c r="C50" s="4" t="s">
        <v>311</v>
      </c>
      <c r="D50" s="4" t="s">
        <v>181</v>
      </c>
      <c r="E50" s="5">
        <v>18000</v>
      </c>
      <c r="F50" s="6">
        <v>806.68799999999999</v>
      </c>
      <c r="G50" s="138">
        <v>3.606307E-3</v>
      </c>
      <c r="H50" s="142"/>
    </row>
    <row r="51" spans="1:8" ht="25.5" x14ac:dyDescent="0.2">
      <c r="A51" s="3">
        <v>45</v>
      </c>
      <c r="B51" s="4" t="s">
        <v>443</v>
      </c>
      <c r="C51" s="4" t="s">
        <v>444</v>
      </c>
      <c r="D51" s="4" t="s">
        <v>1030</v>
      </c>
      <c r="E51" s="5">
        <v>44750</v>
      </c>
      <c r="F51" s="6">
        <v>711.30124999999998</v>
      </c>
      <c r="G51" s="138">
        <v>3.1798799999999999E-3</v>
      </c>
      <c r="H51" s="142"/>
    </row>
    <row r="52" spans="1:8" x14ac:dyDescent="0.2">
      <c r="A52" s="3">
        <v>46</v>
      </c>
      <c r="B52" s="4" t="s">
        <v>184</v>
      </c>
      <c r="C52" s="4" t="s">
        <v>185</v>
      </c>
      <c r="D52" s="4" t="s">
        <v>173</v>
      </c>
      <c r="E52" s="5">
        <v>49000</v>
      </c>
      <c r="F52" s="6">
        <v>684.45650000000001</v>
      </c>
      <c r="G52" s="138">
        <v>3.0598700000000001E-3</v>
      </c>
      <c r="H52" s="142"/>
    </row>
    <row r="53" spans="1:8" x14ac:dyDescent="0.2">
      <c r="A53" s="3">
        <v>47</v>
      </c>
      <c r="B53" s="4" t="s">
        <v>344</v>
      </c>
      <c r="C53" s="4" t="s">
        <v>345</v>
      </c>
      <c r="D53" s="4" t="s">
        <v>24</v>
      </c>
      <c r="E53" s="5">
        <v>700000</v>
      </c>
      <c r="F53" s="6">
        <v>590.1</v>
      </c>
      <c r="G53" s="138">
        <v>2.638048E-3</v>
      </c>
      <c r="H53" s="142"/>
    </row>
    <row r="54" spans="1:8" x14ac:dyDescent="0.2">
      <c r="A54" s="3">
        <v>48</v>
      </c>
      <c r="B54" s="4" t="s">
        <v>273</v>
      </c>
      <c r="C54" s="4" t="s">
        <v>274</v>
      </c>
      <c r="D54" s="4" t="s">
        <v>173</v>
      </c>
      <c r="E54" s="5">
        <v>97938</v>
      </c>
      <c r="F54" s="6">
        <v>586.84449600000005</v>
      </c>
      <c r="G54" s="138">
        <v>2.623495E-3</v>
      </c>
      <c r="H54" s="142"/>
    </row>
    <row r="55" spans="1:8" x14ac:dyDescent="0.2">
      <c r="A55" s="3">
        <v>49</v>
      </c>
      <c r="B55" s="4" t="s">
        <v>388</v>
      </c>
      <c r="C55" s="4" t="s">
        <v>389</v>
      </c>
      <c r="D55" s="4" t="s">
        <v>335</v>
      </c>
      <c r="E55" s="5">
        <v>332000</v>
      </c>
      <c r="F55" s="6">
        <v>453.512</v>
      </c>
      <c r="G55" s="138">
        <v>2.0274300000000002E-3</v>
      </c>
      <c r="H55" s="142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9">
        <v>222572.27988799999</v>
      </c>
      <c r="G56" s="139">
        <v>0.99501176099999999</v>
      </c>
      <c r="H56" s="142"/>
    </row>
    <row r="57" spans="1:8" x14ac:dyDescent="0.2">
      <c r="A57" s="1"/>
      <c r="B57" s="1"/>
      <c r="C57" s="11"/>
      <c r="D57" s="1"/>
      <c r="E57" s="1"/>
      <c r="F57" s="12"/>
      <c r="G57" s="140"/>
      <c r="H57" s="142"/>
    </row>
    <row r="58" spans="1:8" x14ac:dyDescent="0.2">
      <c r="A58" s="1"/>
      <c r="B58" s="1"/>
      <c r="C58" s="2" t="s">
        <v>107</v>
      </c>
      <c r="D58" s="1"/>
      <c r="E58" s="1"/>
      <c r="F58" s="1"/>
      <c r="G58" s="137"/>
      <c r="H58" s="142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1">
        <v>0</v>
      </c>
      <c r="H59" s="142"/>
    </row>
    <row r="60" spans="1:8" x14ac:dyDescent="0.2">
      <c r="A60" s="1"/>
      <c r="B60" s="1"/>
      <c r="C60" s="11"/>
      <c r="D60" s="1"/>
      <c r="E60" s="1"/>
      <c r="F60" s="12"/>
      <c r="G60" s="140"/>
      <c r="H60" s="142"/>
    </row>
    <row r="61" spans="1:8" x14ac:dyDescent="0.2">
      <c r="A61" s="1"/>
      <c r="B61" s="1"/>
      <c r="C61" s="2" t="s">
        <v>108</v>
      </c>
      <c r="D61" s="1"/>
      <c r="E61" s="1"/>
      <c r="F61" s="1"/>
      <c r="G61" s="137"/>
      <c r="H61" s="142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1">
        <v>0</v>
      </c>
      <c r="H62" s="142"/>
    </row>
    <row r="63" spans="1:8" x14ac:dyDescent="0.2">
      <c r="A63" s="1"/>
      <c r="B63" s="1"/>
      <c r="C63" s="11"/>
      <c r="D63" s="1"/>
      <c r="E63" s="1"/>
      <c r="F63" s="12"/>
      <c r="G63" s="140"/>
      <c r="H63" s="142"/>
    </row>
    <row r="64" spans="1:8" x14ac:dyDescent="0.2">
      <c r="A64" s="1"/>
      <c r="B64" s="1"/>
      <c r="C64" s="2" t="s">
        <v>109</v>
      </c>
      <c r="D64" s="1"/>
      <c r="E64" s="1"/>
      <c r="F64" s="1"/>
      <c r="G64" s="137"/>
      <c r="H64" s="142"/>
    </row>
    <row r="65" spans="1:8" x14ac:dyDescent="0.2">
      <c r="A65" s="3">
        <v>1</v>
      </c>
      <c r="B65" s="4" t="s">
        <v>110</v>
      </c>
      <c r="C65" s="4" t="s">
        <v>996</v>
      </c>
      <c r="D65" s="4" t="s">
        <v>19</v>
      </c>
      <c r="E65" s="5">
        <v>55357</v>
      </c>
      <c r="F65" s="6">
        <v>84.862280999999996</v>
      </c>
      <c r="G65" s="138">
        <v>3.7937799999999999E-4</v>
      </c>
      <c r="H65" s="142"/>
    </row>
    <row r="66" spans="1:8" x14ac:dyDescent="0.2">
      <c r="A66" s="1"/>
      <c r="B66" s="1"/>
      <c r="C66" s="2" t="s">
        <v>105</v>
      </c>
      <c r="D66" s="1"/>
      <c r="E66" s="1" t="s">
        <v>106</v>
      </c>
      <c r="F66" s="9">
        <v>84.862280999999996</v>
      </c>
      <c r="G66" s="139">
        <v>3.7937799999999999E-4</v>
      </c>
      <c r="H66" s="142"/>
    </row>
    <row r="67" spans="1:8" x14ac:dyDescent="0.2">
      <c r="A67" s="1"/>
      <c r="B67" s="1"/>
      <c r="C67" s="11"/>
      <c r="D67" s="1"/>
      <c r="E67" s="1"/>
      <c r="F67" s="12"/>
      <c r="G67" s="140"/>
      <c r="H67" s="142"/>
    </row>
    <row r="68" spans="1:8" x14ac:dyDescent="0.2">
      <c r="A68" s="1"/>
      <c r="B68" s="1"/>
      <c r="C68" s="2" t="s">
        <v>111</v>
      </c>
      <c r="D68" s="1"/>
      <c r="E68" s="1"/>
      <c r="F68" s="12"/>
      <c r="G68" s="140"/>
      <c r="H68" s="142"/>
    </row>
    <row r="69" spans="1:8" s="93" customFormat="1" ht="25.5" x14ac:dyDescent="0.2">
      <c r="A69" s="127">
        <v>1</v>
      </c>
      <c r="B69" s="87" t="s">
        <v>988</v>
      </c>
      <c r="C69" s="87" t="s">
        <v>989</v>
      </c>
      <c r="D69" s="87" t="s">
        <v>80</v>
      </c>
      <c r="E69" s="128">
        <v>42600</v>
      </c>
      <c r="F69" s="129">
        <v>354.45330000000001</v>
      </c>
      <c r="G69" s="150">
        <v>1.5845900000000001E-3</v>
      </c>
      <c r="H69" s="6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354.45330000000001</v>
      </c>
      <c r="G70" s="141">
        <v>1.5845900000000001E-3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112</v>
      </c>
      <c r="D72" s="1"/>
      <c r="E72" s="1"/>
      <c r="F72" s="12"/>
      <c r="G72" s="140"/>
      <c r="H72" s="142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1">
        <v>0</v>
      </c>
      <c r="H73" s="142"/>
    </row>
    <row r="74" spans="1:8" x14ac:dyDescent="0.2">
      <c r="A74" s="1"/>
      <c r="B74" s="1"/>
      <c r="C74" s="11"/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113</v>
      </c>
      <c r="D75" s="1"/>
      <c r="E75" s="1"/>
      <c r="F75" s="9">
        <v>223011.59546899999</v>
      </c>
      <c r="G75" s="139">
        <v>0.99697572899999998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114</v>
      </c>
      <c r="D77" s="1"/>
      <c r="E77" s="1"/>
      <c r="F77" s="12"/>
      <c r="G77" s="140"/>
      <c r="H77" s="142"/>
    </row>
    <row r="78" spans="1:8" ht="25.5" x14ac:dyDescent="0.2">
      <c r="A78" s="1"/>
      <c r="B78" s="1"/>
      <c r="C78" s="2" t="s">
        <v>10</v>
      </c>
      <c r="D78" s="1"/>
      <c r="E78" s="1"/>
      <c r="F78" s="12"/>
      <c r="G78" s="140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115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116</v>
      </c>
      <c r="D84" s="1"/>
      <c r="E84" s="1"/>
      <c r="F84" s="1"/>
      <c r="G84" s="137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117</v>
      </c>
      <c r="D87" s="1"/>
      <c r="E87" s="1"/>
      <c r="F87" s="12"/>
      <c r="G87" s="140"/>
      <c r="H87" s="142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1">
        <v>0</v>
      </c>
      <c r="H88" s="142"/>
    </row>
    <row r="89" spans="1:8" x14ac:dyDescent="0.2">
      <c r="A89" s="1"/>
      <c r="B89" s="1"/>
      <c r="C89" s="11"/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118</v>
      </c>
      <c r="D90" s="1"/>
      <c r="E90" s="1"/>
      <c r="F90" s="9">
        <v>0</v>
      </c>
      <c r="G90" s="139">
        <v>0</v>
      </c>
      <c r="H90" s="142"/>
    </row>
    <row r="91" spans="1:8" x14ac:dyDescent="0.2">
      <c r="A91" s="1"/>
      <c r="B91" s="1"/>
      <c r="C91" s="11"/>
      <c r="D91" s="1"/>
      <c r="E91" s="1"/>
      <c r="F91" s="12"/>
      <c r="G91" s="140"/>
      <c r="H91" s="142"/>
    </row>
    <row r="92" spans="1:8" x14ac:dyDescent="0.2">
      <c r="A92" s="1"/>
      <c r="B92" s="1"/>
      <c r="C92" s="2" t="s">
        <v>119</v>
      </c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120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121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122</v>
      </c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123</v>
      </c>
      <c r="D102" s="1"/>
      <c r="E102" s="1"/>
      <c r="F102" s="12"/>
      <c r="G102" s="140"/>
      <c r="H102" s="142"/>
    </row>
    <row r="103" spans="1:8" x14ac:dyDescent="0.2">
      <c r="A103" s="3">
        <v>1</v>
      </c>
      <c r="B103" s="4"/>
      <c r="C103" s="4" t="s">
        <v>124</v>
      </c>
      <c r="D103" s="4"/>
      <c r="E103" s="8"/>
      <c r="F103" s="6">
        <v>1004.5769315</v>
      </c>
      <c r="G103" s="138">
        <v>4.4909720000000002E-3</v>
      </c>
      <c r="H103" s="152">
        <v>3.3197683930276081</v>
      </c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9">
        <v>1004.5769315</v>
      </c>
      <c r="G104" s="139">
        <v>4.4909720000000002E-3</v>
      </c>
      <c r="H104" s="142"/>
    </row>
    <row r="105" spans="1:8" x14ac:dyDescent="0.2">
      <c r="A105" s="1"/>
      <c r="B105" s="1"/>
      <c r="C105" s="11"/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125</v>
      </c>
      <c r="D106" s="1"/>
      <c r="E106" s="1"/>
      <c r="F106" s="9">
        <v>1004.5769315</v>
      </c>
      <c r="G106" s="139">
        <v>4.4909720000000002E-3</v>
      </c>
      <c r="H106" s="142"/>
    </row>
    <row r="107" spans="1:8" x14ac:dyDescent="0.2">
      <c r="A107" s="1"/>
      <c r="B107" s="1"/>
      <c r="C107" s="12"/>
      <c r="D107" s="1"/>
      <c r="E107" s="1"/>
      <c r="F107" s="1"/>
      <c r="G107" s="137"/>
      <c r="H107" s="142"/>
    </row>
    <row r="108" spans="1:8" x14ac:dyDescent="0.2">
      <c r="A108" s="1"/>
      <c r="B108" s="1"/>
      <c r="C108" s="2" t="s">
        <v>126</v>
      </c>
      <c r="D108" s="1"/>
      <c r="E108" s="1"/>
      <c r="F108" s="1"/>
      <c r="G108" s="137"/>
      <c r="H108" s="142"/>
    </row>
    <row r="109" spans="1:8" x14ac:dyDescent="0.2">
      <c r="A109" s="1"/>
      <c r="B109" s="1"/>
      <c r="C109" s="2" t="s">
        <v>127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1">
        <v>0</v>
      </c>
      <c r="H110" s="142"/>
    </row>
    <row r="111" spans="1:8" x14ac:dyDescent="0.2">
      <c r="A111" s="1"/>
      <c r="B111" s="1"/>
      <c r="C111" s="11"/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128</v>
      </c>
      <c r="D112" s="1"/>
      <c r="E112" s="1"/>
      <c r="F112" s="1"/>
      <c r="G112" s="137"/>
      <c r="H112" s="142"/>
    </row>
    <row r="113" spans="1:8" x14ac:dyDescent="0.2">
      <c r="A113" s="1"/>
      <c r="B113" s="1"/>
      <c r="C113" s="2" t="s">
        <v>129</v>
      </c>
      <c r="D113" s="1"/>
      <c r="E113" s="1"/>
      <c r="F113" s="1"/>
      <c r="G113" s="137"/>
      <c r="H113" s="142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1">
        <v>0</v>
      </c>
      <c r="H114" s="142"/>
    </row>
    <row r="115" spans="1:8" x14ac:dyDescent="0.2">
      <c r="A115" s="1"/>
      <c r="B115" s="1"/>
      <c r="C115" s="11"/>
      <c r="D115" s="1"/>
      <c r="E115" s="1"/>
      <c r="F115" s="12"/>
      <c r="G115" s="140"/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ht="25.5" x14ac:dyDescent="0.2">
      <c r="A117" s="1"/>
      <c r="B117" s="1"/>
      <c r="C117" s="2" t="s">
        <v>130</v>
      </c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1">
        <v>0</v>
      </c>
      <c r="H118" s="142"/>
    </row>
    <row r="119" spans="1:8" x14ac:dyDescent="0.2">
      <c r="A119" s="1"/>
      <c r="B119" s="1"/>
      <c r="C119" s="11"/>
      <c r="D119" s="1"/>
      <c r="E119" s="1"/>
      <c r="F119" s="12"/>
      <c r="G119" s="140"/>
      <c r="H119" s="142"/>
    </row>
    <row r="120" spans="1:8" x14ac:dyDescent="0.2">
      <c r="A120" s="1"/>
      <c r="B120" s="4"/>
      <c r="C120" s="4"/>
      <c r="D120" s="2"/>
      <c r="E120" s="1"/>
      <c r="F120" s="4"/>
      <c r="G120" s="143"/>
      <c r="H120" s="142"/>
    </row>
    <row r="121" spans="1:8" x14ac:dyDescent="0.2">
      <c r="A121" s="8"/>
      <c r="B121" s="4"/>
      <c r="C121" s="4" t="s">
        <v>131</v>
      </c>
      <c r="D121" s="4"/>
      <c r="E121" s="8"/>
      <c r="F121" s="6">
        <v>-328.08338459999999</v>
      </c>
      <c r="G121" s="138">
        <v>-1.4667E-3</v>
      </c>
      <c r="H121" s="142"/>
    </row>
    <row r="122" spans="1:8" x14ac:dyDescent="0.2">
      <c r="A122" s="11"/>
      <c r="B122" s="11"/>
      <c r="C122" s="2" t="s">
        <v>132</v>
      </c>
      <c r="D122" s="15"/>
      <c r="E122" s="15"/>
      <c r="F122" s="9">
        <v>223688.08901589998</v>
      </c>
      <c r="G122" s="139">
        <v>1.0000000010000001</v>
      </c>
      <c r="H122" s="142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205" t="s">
        <v>106</v>
      </c>
      <c r="C124" s="205"/>
      <c r="D124" s="205"/>
      <c r="E124" s="205"/>
      <c r="F124" s="205"/>
      <c r="G124" s="20"/>
    </row>
    <row r="125" spans="1:8" ht="14.1" customHeight="1" x14ac:dyDescent="0.2">
      <c r="A125" s="18"/>
      <c r="B125" s="205" t="s">
        <v>106</v>
      </c>
      <c r="C125" s="205"/>
      <c r="D125" s="205"/>
      <c r="E125" s="205"/>
      <c r="F125" s="205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203" t="s">
        <v>134</v>
      </c>
      <c r="C127" s="204"/>
      <c r="D127" s="12" t="s">
        <v>106</v>
      </c>
      <c r="E127" s="21"/>
      <c r="F127" s="20"/>
      <c r="G127" s="20"/>
    </row>
    <row r="128" spans="1:8" ht="29.1" customHeight="1" x14ac:dyDescent="0.2">
      <c r="A128" s="18"/>
      <c r="B128" s="199" t="s">
        <v>135</v>
      </c>
      <c r="C128" s="200"/>
      <c r="D128" s="2" t="s">
        <v>136</v>
      </c>
      <c r="E128" s="21"/>
      <c r="F128" s="20"/>
      <c r="G128" s="20"/>
    </row>
    <row r="129" spans="1:7" ht="17.100000000000001" customHeight="1" x14ac:dyDescent="0.2">
      <c r="A129" s="18"/>
      <c r="B129" s="199" t="s">
        <v>137</v>
      </c>
      <c r="C129" s="200"/>
      <c r="D129" s="2" t="s">
        <v>136</v>
      </c>
      <c r="E129" s="21"/>
      <c r="F129" s="20"/>
      <c r="G129" s="20"/>
    </row>
    <row r="130" spans="1:7" ht="17.100000000000001" customHeight="1" x14ac:dyDescent="0.2">
      <c r="A130" s="18"/>
      <c r="B130" s="199" t="s">
        <v>138</v>
      </c>
      <c r="C130" s="200"/>
      <c r="D130" s="12" t="s">
        <v>106</v>
      </c>
      <c r="E130" s="21"/>
      <c r="F130" s="20"/>
      <c r="G130" s="20"/>
    </row>
    <row r="131" spans="1:7" ht="24" customHeight="1" x14ac:dyDescent="0.2">
      <c r="A131" s="22"/>
      <c r="B131" s="23" t="s">
        <v>106</v>
      </c>
      <c r="C131" s="23" t="s">
        <v>139</v>
      </c>
      <c r="D131" s="23" t="s">
        <v>140</v>
      </c>
      <c r="E131" s="22"/>
      <c r="F131" s="22"/>
      <c r="G131" s="22"/>
    </row>
    <row r="132" spans="1:7" ht="18" customHeight="1" x14ac:dyDescent="0.2">
      <c r="A132" s="22"/>
      <c r="B132" s="23" t="s">
        <v>141</v>
      </c>
      <c r="C132" s="23" t="s">
        <v>142</v>
      </c>
      <c r="D132" s="23" t="s">
        <v>143</v>
      </c>
      <c r="E132" s="22"/>
      <c r="F132" s="22"/>
      <c r="G132" s="22"/>
    </row>
    <row r="133" spans="1:7" x14ac:dyDescent="0.2">
      <c r="A133" s="22"/>
      <c r="B133" s="4" t="s">
        <v>144</v>
      </c>
      <c r="C133" s="24">
        <v>149.7628</v>
      </c>
      <c r="D133" s="24">
        <v>152.20959999999999</v>
      </c>
      <c r="E133" s="22"/>
      <c r="F133" s="19"/>
      <c r="G133" s="25"/>
    </row>
    <row r="134" spans="1:7" x14ac:dyDescent="0.2">
      <c r="A134" s="22"/>
      <c r="B134" s="4" t="s">
        <v>1019</v>
      </c>
      <c r="C134" s="24">
        <v>17.1172</v>
      </c>
      <c r="D134" s="24">
        <v>16.9191</v>
      </c>
      <c r="E134" s="22"/>
      <c r="F134" s="19"/>
      <c r="G134" s="25"/>
    </row>
    <row r="135" spans="1:7" x14ac:dyDescent="0.2">
      <c r="A135" s="22"/>
      <c r="B135" s="4" t="s">
        <v>145</v>
      </c>
      <c r="C135" s="24">
        <v>144.48910000000001</v>
      </c>
      <c r="D135" s="24">
        <v>146.80709999999999</v>
      </c>
      <c r="E135" s="22"/>
      <c r="F135" s="19"/>
      <c r="G135" s="25"/>
    </row>
    <row r="136" spans="1:7" x14ac:dyDescent="0.2">
      <c r="A136" s="22"/>
      <c r="B136" s="4" t="s">
        <v>1020</v>
      </c>
      <c r="C136" s="24">
        <v>14.3992</v>
      </c>
      <c r="D136" s="24">
        <v>14.228199999999999</v>
      </c>
      <c r="E136" s="22"/>
      <c r="F136" s="19"/>
      <c r="G136" s="25"/>
    </row>
    <row r="137" spans="1:7" ht="14.1" customHeight="1" x14ac:dyDescent="0.2">
      <c r="A137" s="22"/>
      <c r="B137" s="22"/>
      <c r="C137" s="22"/>
      <c r="D137" s="22"/>
      <c r="E137" s="22"/>
      <c r="F137" s="22"/>
      <c r="G137" s="22"/>
    </row>
    <row r="138" spans="1:7" ht="17.100000000000001" customHeight="1" x14ac:dyDescent="0.2">
      <c r="A138" s="22"/>
      <c r="B138" s="213" t="s">
        <v>1021</v>
      </c>
      <c r="C138" s="214"/>
      <c r="D138" s="95" t="s">
        <v>106</v>
      </c>
      <c r="E138" s="22"/>
      <c r="F138" s="22"/>
      <c r="G138" s="22"/>
    </row>
    <row r="139" spans="1:7" s="93" customFormat="1" ht="18" customHeight="1" x14ac:dyDescent="0.2">
      <c r="A139" s="110"/>
      <c r="B139" s="120" t="s">
        <v>141</v>
      </c>
      <c r="C139" s="121" t="s">
        <v>930</v>
      </c>
      <c r="D139" s="121" t="s">
        <v>931</v>
      </c>
      <c r="E139" s="110"/>
      <c r="F139" s="110"/>
      <c r="G139" s="110"/>
    </row>
    <row r="140" spans="1:7" x14ac:dyDescent="0.2">
      <c r="A140" s="22"/>
      <c r="B140" s="97" t="s">
        <v>1019</v>
      </c>
      <c r="C140" s="122">
        <v>0.48599999999999999</v>
      </c>
      <c r="D140" s="122" t="s">
        <v>993</v>
      </c>
      <c r="E140" s="22"/>
      <c r="F140" s="19"/>
      <c r="G140" s="25"/>
    </row>
    <row r="141" spans="1:7" x14ac:dyDescent="0.2">
      <c r="A141" s="22"/>
      <c r="B141" s="97" t="s">
        <v>1020</v>
      </c>
      <c r="C141" s="122">
        <v>0.40899999999999997</v>
      </c>
      <c r="D141" s="122">
        <v>0.40899999999999997</v>
      </c>
      <c r="E141" s="22"/>
      <c r="F141" s="19"/>
      <c r="G141" s="25"/>
    </row>
    <row r="142" spans="1:7" ht="17.100000000000001" customHeight="1" x14ac:dyDescent="0.2">
      <c r="A142" s="22"/>
      <c r="B142" s="156"/>
      <c r="C142" s="157"/>
      <c r="D142" s="157"/>
      <c r="E142" s="22"/>
      <c r="F142" s="133"/>
      <c r="G142" s="25"/>
    </row>
    <row r="143" spans="1:7" s="125" customFormat="1" x14ac:dyDescent="0.2">
      <c r="B143" s="201" t="s">
        <v>825</v>
      </c>
      <c r="C143" s="201"/>
      <c r="D143" s="201"/>
      <c r="E143" s="201"/>
      <c r="F143" s="201"/>
    </row>
    <row r="144" spans="1:7" ht="14.1" customHeight="1" x14ac:dyDescent="0.2">
      <c r="A144" s="22"/>
      <c r="B144" s="19"/>
      <c r="C144" s="19"/>
      <c r="D144" s="22"/>
      <c r="E144" s="22"/>
      <c r="F144" s="22"/>
      <c r="G144" s="22"/>
    </row>
    <row r="145" spans="1:7" ht="29.1" customHeight="1" x14ac:dyDescent="0.2">
      <c r="A145" s="22"/>
      <c r="B145" s="199" t="s">
        <v>146</v>
      </c>
      <c r="C145" s="200"/>
      <c r="D145" s="2" t="s">
        <v>136</v>
      </c>
      <c r="E145" s="22"/>
      <c r="F145" s="22"/>
      <c r="G145" s="22"/>
    </row>
    <row r="146" spans="1:7" ht="29.1" customHeight="1" x14ac:dyDescent="0.2">
      <c r="A146" s="22"/>
      <c r="B146" s="199" t="s">
        <v>147</v>
      </c>
      <c r="C146" s="200"/>
      <c r="D146" s="2" t="s">
        <v>136</v>
      </c>
      <c r="E146" s="22"/>
      <c r="F146" s="22"/>
      <c r="G146" s="22"/>
    </row>
    <row r="147" spans="1:7" ht="17.100000000000001" customHeight="1" x14ac:dyDescent="0.2">
      <c r="A147" s="22"/>
      <c r="B147" s="199" t="s">
        <v>148</v>
      </c>
      <c r="C147" s="200"/>
      <c r="D147" s="28">
        <v>0.51527805245287495</v>
      </c>
      <c r="E147" s="22"/>
      <c r="F147" s="19"/>
      <c r="G147" s="25"/>
    </row>
    <row r="148" spans="1:7" ht="17.100000000000001" customHeight="1" x14ac:dyDescent="0.2">
      <c r="A148" s="22"/>
      <c r="B148" s="199" t="s">
        <v>149</v>
      </c>
      <c r="C148" s="200"/>
      <c r="D148" s="2" t="s">
        <v>136</v>
      </c>
      <c r="E148" s="22"/>
      <c r="F148" s="22"/>
      <c r="G148" s="22"/>
    </row>
  </sheetData>
  <mergeCells count="16">
    <mergeCell ref="J2:N2"/>
    <mergeCell ref="B127:C127"/>
    <mergeCell ref="B124:F124"/>
    <mergeCell ref="B125:F125"/>
    <mergeCell ref="A1:H1"/>
    <mergeCell ref="A2:H2"/>
    <mergeCell ref="A3:H3"/>
    <mergeCell ref="B147:C147"/>
    <mergeCell ref="B148:C148"/>
    <mergeCell ref="B128:C128"/>
    <mergeCell ref="B129:C129"/>
    <mergeCell ref="B130:C130"/>
    <mergeCell ref="B138:C138"/>
    <mergeCell ref="B145:C145"/>
    <mergeCell ref="B146:C146"/>
    <mergeCell ref="B143:F14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N19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7.57031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703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25000</v>
      </c>
      <c r="F7" s="6">
        <v>629.8125</v>
      </c>
      <c r="G7" s="138">
        <v>7.0355444000000003E-2</v>
      </c>
      <c r="H7" s="142"/>
    </row>
    <row r="8" spans="1:14" x14ac:dyDescent="0.2">
      <c r="A8" s="3">
        <v>2</v>
      </c>
      <c r="B8" s="4" t="s">
        <v>336</v>
      </c>
      <c r="C8" s="4" t="s">
        <v>337</v>
      </c>
      <c r="D8" s="4" t="s">
        <v>24</v>
      </c>
      <c r="E8" s="5">
        <v>75600</v>
      </c>
      <c r="F8" s="6">
        <v>579.51179999999999</v>
      </c>
      <c r="G8" s="138">
        <v>6.4736425E-2</v>
      </c>
      <c r="H8" s="142"/>
    </row>
    <row r="9" spans="1:14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55000</v>
      </c>
      <c r="F9" s="6">
        <v>385.46749999999997</v>
      </c>
      <c r="G9" s="138">
        <v>4.3060016999999999E-2</v>
      </c>
      <c r="H9" s="142"/>
    </row>
    <row r="10" spans="1:14" x14ac:dyDescent="0.2">
      <c r="A10" s="3">
        <v>4</v>
      </c>
      <c r="B10" s="4" t="s">
        <v>348</v>
      </c>
      <c r="C10" s="4" t="s">
        <v>349</v>
      </c>
      <c r="D10" s="4" t="s">
        <v>59</v>
      </c>
      <c r="E10" s="5">
        <v>90000</v>
      </c>
      <c r="F10" s="6">
        <v>350.32499999999999</v>
      </c>
      <c r="G10" s="138">
        <v>3.9134298999999997E-2</v>
      </c>
      <c r="H10" s="142"/>
    </row>
    <row r="11" spans="1:14" ht="25.5" x14ac:dyDescent="0.2">
      <c r="A11" s="3">
        <v>5</v>
      </c>
      <c r="B11" s="4" t="s">
        <v>418</v>
      </c>
      <c r="C11" s="4" t="s">
        <v>419</v>
      </c>
      <c r="D11" s="4" t="s">
        <v>90</v>
      </c>
      <c r="E11" s="5">
        <v>12300</v>
      </c>
      <c r="F11" s="6">
        <v>332.32139999999998</v>
      </c>
      <c r="G11" s="138">
        <v>3.7123142999999997E-2</v>
      </c>
      <c r="H11" s="142"/>
    </row>
    <row r="12" spans="1:14" ht="25.5" x14ac:dyDescent="0.2">
      <c r="A12" s="3">
        <v>6</v>
      </c>
      <c r="B12" s="4" t="s">
        <v>435</v>
      </c>
      <c r="C12" s="4" t="s">
        <v>436</v>
      </c>
      <c r="D12" s="4" t="s">
        <v>90</v>
      </c>
      <c r="E12" s="5">
        <v>131200</v>
      </c>
      <c r="F12" s="6">
        <v>309.8288</v>
      </c>
      <c r="G12" s="138">
        <v>3.4610527000000002E-2</v>
      </c>
      <c r="H12" s="142"/>
    </row>
    <row r="13" spans="1:14" x14ac:dyDescent="0.2">
      <c r="A13" s="3">
        <v>7</v>
      </c>
      <c r="B13" s="4" t="s">
        <v>384</v>
      </c>
      <c r="C13" s="4" t="s">
        <v>385</v>
      </c>
      <c r="D13" s="4" t="s">
        <v>80</v>
      </c>
      <c r="E13" s="5">
        <v>72000</v>
      </c>
      <c r="F13" s="6">
        <v>307.476</v>
      </c>
      <c r="G13" s="138">
        <v>3.4347699000000002E-2</v>
      </c>
      <c r="H13" s="142"/>
    </row>
    <row r="14" spans="1:14" x14ac:dyDescent="0.2">
      <c r="A14" s="3">
        <v>8</v>
      </c>
      <c r="B14" s="4" t="s">
        <v>97</v>
      </c>
      <c r="C14" s="4" t="s">
        <v>98</v>
      </c>
      <c r="D14" s="4" t="s">
        <v>56</v>
      </c>
      <c r="E14" s="5">
        <v>55000</v>
      </c>
      <c r="F14" s="6">
        <v>293.20499999999998</v>
      </c>
      <c r="G14" s="138">
        <v>3.2753507000000001E-2</v>
      </c>
      <c r="H14" s="142"/>
    </row>
    <row r="15" spans="1:14" ht="15" x14ac:dyDescent="0.2">
      <c r="A15" s="3">
        <v>9</v>
      </c>
      <c r="B15" s="4" t="s">
        <v>414</v>
      </c>
      <c r="C15" s="4" t="s">
        <v>415</v>
      </c>
      <c r="D15" s="4" t="s">
        <v>24</v>
      </c>
      <c r="E15" s="5">
        <v>60000</v>
      </c>
      <c r="F15" s="6">
        <v>271.8</v>
      </c>
      <c r="G15" s="138">
        <v>3.0362384999999999E-2</v>
      </c>
      <c r="H15" s="142"/>
      <c r="J15" s="163" t="s">
        <v>1043</v>
      </c>
    </row>
    <row r="16" spans="1:14" x14ac:dyDescent="0.2">
      <c r="A16" s="3">
        <v>10</v>
      </c>
      <c r="B16" s="4" t="s">
        <v>310</v>
      </c>
      <c r="C16" s="4" t="s">
        <v>311</v>
      </c>
      <c r="D16" s="4" t="s">
        <v>181</v>
      </c>
      <c r="E16" s="5">
        <v>6000</v>
      </c>
      <c r="F16" s="6">
        <v>268.89600000000002</v>
      </c>
      <c r="G16" s="138">
        <v>3.0037983000000001E-2</v>
      </c>
      <c r="H16" s="142"/>
    </row>
    <row r="17" spans="1:8" x14ac:dyDescent="0.2">
      <c r="A17" s="3">
        <v>11</v>
      </c>
      <c r="B17" s="4" t="s">
        <v>350</v>
      </c>
      <c r="C17" s="4" t="s">
        <v>351</v>
      </c>
      <c r="D17" s="4" t="s">
        <v>80</v>
      </c>
      <c r="E17" s="5">
        <v>20400</v>
      </c>
      <c r="F17" s="6">
        <v>264.96539999999999</v>
      </c>
      <c r="G17" s="138">
        <v>2.9598902E-2</v>
      </c>
      <c r="H17" s="142"/>
    </row>
    <row r="18" spans="1:8" x14ac:dyDescent="0.2">
      <c r="A18" s="3">
        <v>12</v>
      </c>
      <c r="B18" s="4" t="s">
        <v>394</v>
      </c>
      <c r="C18" s="4" t="s">
        <v>395</v>
      </c>
      <c r="D18" s="4" t="s">
        <v>1030</v>
      </c>
      <c r="E18" s="5">
        <v>1350</v>
      </c>
      <c r="F18" s="6">
        <v>240.12112500000001</v>
      </c>
      <c r="G18" s="138">
        <v>2.6823584000000001E-2</v>
      </c>
      <c r="H18" s="142"/>
    </row>
    <row r="19" spans="1:8" x14ac:dyDescent="0.2">
      <c r="A19" s="3">
        <v>13</v>
      </c>
      <c r="B19" s="4" t="s">
        <v>590</v>
      </c>
      <c r="C19" s="4" t="s">
        <v>591</v>
      </c>
      <c r="D19" s="4" t="s">
        <v>1030</v>
      </c>
      <c r="E19" s="5">
        <v>33000</v>
      </c>
      <c r="F19" s="6">
        <v>238.392</v>
      </c>
      <c r="G19" s="138">
        <v>2.6630425999999999E-2</v>
      </c>
      <c r="H19" s="142"/>
    </row>
    <row r="20" spans="1:8" x14ac:dyDescent="0.2">
      <c r="A20" s="3">
        <v>14</v>
      </c>
      <c r="B20" s="4" t="s">
        <v>408</v>
      </c>
      <c r="C20" s="4" t="s">
        <v>409</v>
      </c>
      <c r="D20" s="4" t="s">
        <v>24</v>
      </c>
      <c r="E20" s="5">
        <v>14300</v>
      </c>
      <c r="F20" s="6">
        <v>228.07785000000001</v>
      </c>
      <c r="G20" s="138">
        <v>2.5478246999999999E-2</v>
      </c>
      <c r="H20" s="142"/>
    </row>
    <row r="21" spans="1:8" x14ac:dyDescent="0.2">
      <c r="A21" s="3">
        <v>15</v>
      </c>
      <c r="B21" s="4" t="s">
        <v>93</v>
      </c>
      <c r="C21" s="4" t="s">
        <v>94</v>
      </c>
      <c r="D21" s="4" t="s">
        <v>48</v>
      </c>
      <c r="E21" s="5">
        <v>30000</v>
      </c>
      <c r="F21" s="6">
        <v>221.37</v>
      </c>
      <c r="G21" s="138">
        <v>2.4728923E-2</v>
      </c>
      <c r="H21" s="142"/>
    </row>
    <row r="22" spans="1:8" x14ac:dyDescent="0.2">
      <c r="A22" s="3">
        <v>16</v>
      </c>
      <c r="B22" s="4" t="s">
        <v>704</v>
      </c>
      <c r="C22" s="4" t="s">
        <v>705</v>
      </c>
      <c r="D22" s="4" t="s">
        <v>24</v>
      </c>
      <c r="E22" s="5">
        <v>108000</v>
      </c>
      <c r="F22" s="6">
        <v>186.84</v>
      </c>
      <c r="G22" s="138">
        <v>2.0871626000000001E-2</v>
      </c>
      <c r="H22" s="142"/>
    </row>
    <row r="23" spans="1:8" x14ac:dyDescent="0.2">
      <c r="A23" s="3">
        <v>17</v>
      </c>
      <c r="B23" s="4" t="s">
        <v>81</v>
      </c>
      <c r="C23" s="4" t="s">
        <v>82</v>
      </c>
      <c r="D23" s="4" t="s">
        <v>83</v>
      </c>
      <c r="E23" s="5">
        <v>135000</v>
      </c>
      <c r="F23" s="6">
        <v>180.63</v>
      </c>
      <c r="G23" s="138">
        <v>2.0177916000000001E-2</v>
      </c>
      <c r="H23" s="142"/>
    </row>
    <row r="24" spans="1:8" x14ac:dyDescent="0.2">
      <c r="A24" s="3">
        <v>18</v>
      </c>
      <c r="B24" s="4" t="s">
        <v>40</v>
      </c>
      <c r="C24" s="4" t="s">
        <v>41</v>
      </c>
      <c r="D24" s="4" t="s">
        <v>16</v>
      </c>
      <c r="E24" s="5">
        <v>41400</v>
      </c>
      <c r="F24" s="6">
        <v>178.9308</v>
      </c>
      <c r="G24" s="138">
        <v>1.9988101000000001E-2</v>
      </c>
      <c r="H24" s="142"/>
    </row>
    <row r="25" spans="1:8" x14ac:dyDescent="0.2">
      <c r="A25" s="3">
        <v>19</v>
      </c>
      <c r="B25" s="4" t="s">
        <v>638</v>
      </c>
      <c r="C25" s="4" t="s">
        <v>639</v>
      </c>
      <c r="D25" s="4" t="s">
        <v>430</v>
      </c>
      <c r="E25" s="5">
        <v>62000</v>
      </c>
      <c r="F25" s="6">
        <v>178.34299999999999</v>
      </c>
      <c r="G25" s="138">
        <v>1.9922439E-2</v>
      </c>
      <c r="H25" s="142"/>
    </row>
    <row r="26" spans="1:8" x14ac:dyDescent="0.2">
      <c r="A26" s="3">
        <v>20</v>
      </c>
      <c r="B26" s="4" t="s">
        <v>364</v>
      </c>
      <c r="C26" s="4" t="s">
        <v>365</v>
      </c>
      <c r="D26" s="4" t="s">
        <v>27</v>
      </c>
      <c r="E26" s="5">
        <v>24000</v>
      </c>
      <c r="F26" s="6">
        <v>176.988</v>
      </c>
      <c r="G26" s="138">
        <v>1.9771074E-2</v>
      </c>
      <c r="H26" s="142"/>
    </row>
    <row r="27" spans="1:8" x14ac:dyDescent="0.2">
      <c r="A27" s="3">
        <v>21</v>
      </c>
      <c r="B27" s="4" t="s">
        <v>428</v>
      </c>
      <c r="C27" s="4" t="s">
        <v>429</v>
      </c>
      <c r="D27" s="4" t="s">
        <v>430</v>
      </c>
      <c r="E27" s="5">
        <v>30100</v>
      </c>
      <c r="F27" s="6">
        <v>146.87295</v>
      </c>
      <c r="G27" s="138">
        <v>1.6406964999999999E-2</v>
      </c>
      <c r="H27" s="142"/>
    </row>
    <row r="28" spans="1:8" x14ac:dyDescent="0.2">
      <c r="A28" s="3">
        <v>22</v>
      </c>
      <c r="B28" s="4" t="s">
        <v>431</v>
      </c>
      <c r="C28" s="4" t="s">
        <v>432</v>
      </c>
      <c r="D28" s="4" t="s">
        <v>59</v>
      </c>
      <c r="E28" s="5">
        <v>10200</v>
      </c>
      <c r="F28" s="6">
        <v>131.46780000000001</v>
      </c>
      <c r="G28" s="138">
        <v>1.4686078E-2</v>
      </c>
      <c r="H28" s="142"/>
    </row>
    <row r="29" spans="1:8" ht="25.5" x14ac:dyDescent="0.2">
      <c r="A29" s="3">
        <v>23</v>
      </c>
      <c r="B29" s="4" t="s">
        <v>497</v>
      </c>
      <c r="C29" s="4" t="s">
        <v>498</v>
      </c>
      <c r="D29" s="4" t="s">
        <v>90</v>
      </c>
      <c r="E29" s="5">
        <v>20000</v>
      </c>
      <c r="F29" s="6">
        <v>123.41</v>
      </c>
      <c r="G29" s="138">
        <v>1.3785953E-2</v>
      </c>
      <c r="H29" s="142"/>
    </row>
    <row r="30" spans="1:8" x14ac:dyDescent="0.2">
      <c r="A30" s="3">
        <v>24</v>
      </c>
      <c r="B30" s="4" t="s">
        <v>340</v>
      </c>
      <c r="C30" s="4" t="s">
        <v>341</v>
      </c>
      <c r="D30" s="4" t="s">
        <v>216</v>
      </c>
      <c r="E30" s="5">
        <v>300</v>
      </c>
      <c r="F30" s="6">
        <v>95.114699999999999</v>
      </c>
      <c r="G30" s="138">
        <v>1.0625126E-2</v>
      </c>
      <c r="H30" s="142"/>
    </row>
    <row r="31" spans="1:8" x14ac:dyDescent="0.2">
      <c r="A31" s="1"/>
      <c r="B31" s="1"/>
      <c r="C31" s="2" t="s">
        <v>105</v>
      </c>
      <c r="D31" s="1"/>
      <c r="E31" s="1" t="s">
        <v>106</v>
      </c>
      <c r="F31" s="9">
        <v>6320.167625</v>
      </c>
      <c r="G31" s="139">
        <v>0.70601678899999998</v>
      </c>
      <c r="H31" s="142"/>
    </row>
    <row r="32" spans="1:8" x14ac:dyDescent="0.2">
      <c r="A32" s="1"/>
      <c r="B32" s="1"/>
      <c r="C32" s="11"/>
      <c r="D32" s="1"/>
      <c r="E32" s="1"/>
      <c r="F32" s="12"/>
      <c r="G32" s="140"/>
      <c r="H32" s="142"/>
    </row>
    <row r="33" spans="1:8" x14ac:dyDescent="0.2">
      <c r="A33" s="1"/>
      <c r="B33" s="1"/>
      <c r="C33" s="2" t="s">
        <v>107</v>
      </c>
      <c r="D33" s="1"/>
      <c r="E33" s="1"/>
      <c r="F33" s="1"/>
      <c r="G33" s="137"/>
      <c r="H33" s="142"/>
    </row>
    <row r="34" spans="1:8" x14ac:dyDescent="0.2">
      <c r="A34" s="1"/>
      <c r="B34" s="1"/>
      <c r="C34" s="2" t="s">
        <v>105</v>
      </c>
      <c r="D34" s="1"/>
      <c r="E34" s="1" t="s">
        <v>106</v>
      </c>
      <c r="F34" s="13">
        <v>0</v>
      </c>
      <c r="G34" s="141">
        <v>0</v>
      </c>
      <c r="H34" s="142"/>
    </row>
    <row r="35" spans="1:8" x14ac:dyDescent="0.2">
      <c r="A35" s="1"/>
      <c r="B35" s="1"/>
      <c r="C35" s="11"/>
      <c r="D35" s="1"/>
      <c r="E35" s="1"/>
      <c r="F35" s="12"/>
      <c r="G35" s="140"/>
      <c r="H35" s="142"/>
    </row>
    <row r="36" spans="1:8" x14ac:dyDescent="0.2">
      <c r="A36" s="1"/>
      <c r="B36" s="1"/>
      <c r="C36" s="2" t="s">
        <v>108</v>
      </c>
      <c r="D36" s="1"/>
      <c r="E36" s="1"/>
      <c r="F36" s="1"/>
      <c r="G36" s="137"/>
      <c r="H36" s="142"/>
    </row>
    <row r="37" spans="1:8" x14ac:dyDescent="0.2">
      <c r="A37" s="1"/>
      <c r="B37" s="1"/>
      <c r="C37" s="2" t="s">
        <v>105</v>
      </c>
      <c r="D37" s="1"/>
      <c r="E37" s="1" t="s">
        <v>106</v>
      </c>
      <c r="F37" s="13">
        <v>0</v>
      </c>
      <c r="G37" s="141">
        <v>0</v>
      </c>
      <c r="H37" s="142"/>
    </row>
    <row r="38" spans="1:8" x14ac:dyDescent="0.2">
      <c r="A38" s="1"/>
      <c r="B38" s="1"/>
      <c r="C38" s="11"/>
      <c r="D38" s="1"/>
      <c r="E38" s="1"/>
      <c r="F38" s="12"/>
      <c r="G38" s="140"/>
      <c r="H38" s="142"/>
    </row>
    <row r="39" spans="1:8" x14ac:dyDescent="0.2">
      <c r="A39" s="1"/>
      <c r="B39" s="1"/>
      <c r="C39" s="2" t="s">
        <v>109</v>
      </c>
      <c r="D39" s="1"/>
      <c r="E39" s="1"/>
      <c r="F39" s="1"/>
      <c r="G39" s="137"/>
      <c r="H39" s="142"/>
    </row>
    <row r="40" spans="1:8" x14ac:dyDescent="0.2">
      <c r="A40" s="1"/>
      <c r="B40" s="1"/>
      <c r="C40" s="2" t="s">
        <v>105</v>
      </c>
      <c r="D40" s="1"/>
      <c r="E40" s="1" t="s">
        <v>106</v>
      </c>
      <c r="F40" s="13">
        <v>0</v>
      </c>
      <c r="G40" s="141">
        <v>0</v>
      </c>
      <c r="H40" s="142"/>
    </row>
    <row r="41" spans="1:8" x14ac:dyDescent="0.2">
      <c r="A41" s="1"/>
      <c r="B41" s="1"/>
      <c r="C41" s="11"/>
      <c r="D41" s="1"/>
      <c r="E41" s="1"/>
      <c r="F41" s="12"/>
      <c r="G41" s="140"/>
      <c r="H41" s="142"/>
    </row>
    <row r="42" spans="1:8" x14ac:dyDescent="0.2">
      <c r="A42" s="1"/>
      <c r="B42" s="1"/>
      <c r="C42" s="2" t="s">
        <v>111</v>
      </c>
      <c r="D42" s="1"/>
      <c r="E42" s="1"/>
      <c r="F42" s="12"/>
      <c r="G42" s="140"/>
      <c r="H42" s="142"/>
    </row>
    <row r="43" spans="1:8" x14ac:dyDescent="0.2">
      <c r="A43" s="1"/>
      <c r="B43" s="1"/>
      <c r="C43" s="2" t="s">
        <v>105</v>
      </c>
      <c r="D43" s="1"/>
      <c r="E43" s="1" t="s">
        <v>106</v>
      </c>
      <c r="F43" s="13">
        <v>0</v>
      </c>
      <c r="G43" s="141">
        <v>0</v>
      </c>
      <c r="H43" s="142"/>
    </row>
    <row r="44" spans="1:8" x14ac:dyDescent="0.2">
      <c r="A44" s="1"/>
      <c r="B44" s="1"/>
      <c r="C44" s="11"/>
      <c r="D44" s="1"/>
      <c r="E44" s="1"/>
      <c r="F44" s="12"/>
      <c r="G44" s="140"/>
      <c r="H44" s="142"/>
    </row>
    <row r="45" spans="1:8" x14ac:dyDescent="0.2">
      <c r="A45" s="1"/>
      <c r="B45" s="1"/>
      <c r="C45" s="2" t="s">
        <v>112</v>
      </c>
      <c r="D45" s="1"/>
      <c r="E45" s="1"/>
      <c r="F45" s="12"/>
      <c r="G45" s="140"/>
      <c r="H45" s="142"/>
    </row>
    <row r="46" spans="1:8" x14ac:dyDescent="0.2">
      <c r="A46" s="3">
        <v>1</v>
      </c>
      <c r="B46" s="4"/>
      <c r="C46" s="4" t="s">
        <v>972</v>
      </c>
      <c r="D46" s="4" t="s">
        <v>706</v>
      </c>
      <c r="E46" s="5">
        <v>-300</v>
      </c>
      <c r="F46" s="6">
        <v>-95.717699999999994</v>
      </c>
      <c r="G46" s="138">
        <v>-1.0692489999999999E-2</v>
      </c>
      <c r="H46" s="142"/>
    </row>
    <row r="47" spans="1:8" x14ac:dyDescent="0.2">
      <c r="A47" s="3">
        <v>2</v>
      </c>
      <c r="B47" s="4"/>
      <c r="C47" s="4" t="s">
        <v>973</v>
      </c>
      <c r="D47" s="4" t="s">
        <v>706</v>
      </c>
      <c r="E47" s="5">
        <v>-20000</v>
      </c>
      <c r="F47" s="6">
        <v>-124.07</v>
      </c>
      <c r="G47" s="138">
        <v>-1.3859680000000001E-2</v>
      </c>
      <c r="H47" s="142"/>
    </row>
    <row r="48" spans="1:8" x14ac:dyDescent="0.2">
      <c r="A48" s="3">
        <v>3</v>
      </c>
      <c r="B48" s="4"/>
      <c r="C48" s="4" t="s">
        <v>964</v>
      </c>
      <c r="D48" s="4" t="s">
        <v>706</v>
      </c>
      <c r="E48" s="5">
        <v>-10200</v>
      </c>
      <c r="F48" s="6">
        <v>-131.886</v>
      </c>
      <c r="G48" s="138">
        <v>-1.4732790000000001E-2</v>
      </c>
      <c r="H48" s="142"/>
    </row>
    <row r="49" spans="1:8" x14ac:dyDescent="0.2">
      <c r="A49" s="3">
        <v>4</v>
      </c>
      <c r="B49" s="4"/>
      <c r="C49" s="4" t="s">
        <v>974</v>
      </c>
      <c r="D49" s="4" t="s">
        <v>706</v>
      </c>
      <c r="E49" s="5">
        <v>-30100</v>
      </c>
      <c r="F49" s="6">
        <v>-147.0686</v>
      </c>
      <c r="G49" s="138">
        <v>-1.642882E-2</v>
      </c>
      <c r="H49" s="142"/>
    </row>
    <row r="50" spans="1:8" x14ac:dyDescent="0.2">
      <c r="A50" s="3">
        <v>5</v>
      </c>
      <c r="B50" s="4"/>
      <c r="C50" s="4" t="s">
        <v>975</v>
      </c>
      <c r="D50" s="4" t="s">
        <v>706</v>
      </c>
      <c r="E50" s="5">
        <v>-24000</v>
      </c>
      <c r="F50" s="6">
        <v>-177.732</v>
      </c>
      <c r="G50" s="138">
        <v>-1.9854179999999999E-2</v>
      </c>
      <c r="H50" s="142"/>
    </row>
    <row r="51" spans="1:8" x14ac:dyDescent="0.2">
      <c r="A51" s="3">
        <v>6</v>
      </c>
      <c r="B51" s="4"/>
      <c r="C51" s="4" t="s">
        <v>955</v>
      </c>
      <c r="D51" s="4" t="s">
        <v>706</v>
      </c>
      <c r="E51" s="5">
        <v>-62000</v>
      </c>
      <c r="F51" s="6">
        <v>-178.80799999999999</v>
      </c>
      <c r="G51" s="138">
        <v>-1.997438E-2</v>
      </c>
      <c r="H51" s="142"/>
    </row>
    <row r="52" spans="1:8" x14ac:dyDescent="0.2">
      <c r="A52" s="3">
        <v>7</v>
      </c>
      <c r="B52" s="4"/>
      <c r="C52" s="4" t="s">
        <v>940</v>
      </c>
      <c r="D52" s="4" t="s">
        <v>706</v>
      </c>
      <c r="E52" s="5">
        <v>-41400</v>
      </c>
      <c r="F52" s="6">
        <v>-179.32409999999999</v>
      </c>
      <c r="G52" s="138">
        <v>-2.0032040000000001E-2</v>
      </c>
      <c r="H52" s="142"/>
    </row>
    <row r="53" spans="1:8" x14ac:dyDescent="0.2">
      <c r="A53" s="3">
        <v>8</v>
      </c>
      <c r="B53" s="4"/>
      <c r="C53" s="4" t="s">
        <v>976</v>
      </c>
      <c r="D53" s="4" t="s">
        <v>706</v>
      </c>
      <c r="E53" s="5">
        <v>-135000</v>
      </c>
      <c r="F53" s="6">
        <v>-181.64250000000001</v>
      </c>
      <c r="G53" s="138">
        <v>-2.029102E-2</v>
      </c>
      <c r="H53" s="142"/>
    </row>
    <row r="54" spans="1:8" x14ac:dyDescent="0.2">
      <c r="A54" s="3">
        <v>9</v>
      </c>
      <c r="B54" s="4"/>
      <c r="C54" s="4" t="s">
        <v>977</v>
      </c>
      <c r="D54" s="4" t="s">
        <v>706</v>
      </c>
      <c r="E54" s="5">
        <v>-108000</v>
      </c>
      <c r="F54" s="6">
        <v>-187.81200000000001</v>
      </c>
      <c r="G54" s="138">
        <v>-2.0980210000000003E-2</v>
      </c>
      <c r="H54" s="142"/>
    </row>
    <row r="55" spans="1:8" x14ac:dyDescent="0.2">
      <c r="A55" s="3">
        <v>10</v>
      </c>
      <c r="B55" s="4"/>
      <c r="C55" s="4" t="s">
        <v>961</v>
      </c>
      <c r="D55" s="4" t="s">
        <v>706</v>
      </c>
      <c r="E55" s="5">
        <v>-30000</v>
      </c>
      <c r="F55" s="6">
        <v>-221.98500000000001</v>
      </c>
      <c r="G55" s="138">
        <v>-2.4797619999999999E-2</v>
      </c>
      <c r="H55" s="142"/>
    </row>
    <row r="56" spans="1:8" x14ac:dyDescent="0.2">
      <c r="A56" s="3">
        <v>11</v>
      </c>
      <c r="B56" s="4"/>
      <c r="C56" s="4" t="s">
        <v>978</v>
      </c>
      <c r="D56" s="4" t="s">
        <v>706</v>
      </c>
      <c r="E56" s="5">
        <v>-14300</v>
      </c>
      <c r="F56" s="6">
        <v>-228.82145</v>
      </c>
      <c r="G56" s="138">
        <v>-2.556131E-2</v>
      </c>
      <c r="H56" s="142"/>
    </row>
    <row r="57" spans="1:8" x14ac:dyDescent="0.2">
      <c r="A57" s="3">
        <v>12</v>
      </c>
      <c r="B57" s="4"/>
      <c r="C57" s="4" t="s">
        <v>966</v>
      </c>
      <c r="D57" s="4" t="s">
        <v>706</v>
      </c>
      <c r="E57" s="5">
        <v>-33000</v>
      </c>
      <c r="F57" s="6">
        <v>-239.62950000000001</v>
      </c>
      <c r="G57" s="138">
        <v>-2.676866E-2</v>
      </c>
      <c r="H57" s="142"/>
    </row>
    <row r="58" spans="1:8" x14ac:dyDescent="0.2">
      <c r="A58" s="3">
        <v>13</v>
      </c>
      <c r="B58" s="4"/>
      <c r="C58" s="4" t="s">
        <v>979</v>
      </c>
      <c r="D58" s="4" t="s">
        <v>706</v>
      </c>
      <c r="E58" s="5">
        <v>-1350</v>
      </c>
      <c r="F58" s="6">
        <v>-240.86429999999999</v>
      </c>
      <c r="G58" s="138">
        <v>-2.6906599999999999E-2</v>
      </c>
      <c r="H58" s="142"/>
    </row>
    <row r="59" spans="1:8" ht="25.5" x14ac:dyDescent="0.2">
      <c r="A59" s="3">
        <v>14</v>
      </c>
      <c r="B59" s="4"/>
      <c r="C59" s="4" t="s">
        <v>980</v>
      </c>
      <c r="D59" s="4" t="s">
        <v>706</v>
      </c>
      <c r="E59" s="5">
        <v>-20400</v>
      </c>
      <c r="F59" s="6">
        <v>-266.77080000000001</v>
      </c>
      <c r="G59" s="138">
        <v>-2.980058E-2</v>
      </c>
      <c r="H59" s="142"/>
    </row>
    <row r="60" spans="1:8" x14ac:dyDescent="0.2">
      <c r="A60" s="3">
        <v>15</v>
      </c>
      <c r="B60" s="4"/>
      <c r="C60" s="4" t="s">
        <v>981</v>
      </c>
      <c r="D60" s="4" t="s">
        <v>706</v>
      </c>
      <c r="E60" s="5">
        <v>-6000</v>
      </c>
      <c r="F60" s="6">
        <v>-269.43599999999998</v>
      </c>
      <c r="G60" s="138">
        <v>-3.0098310000000003E-2</v>
      </c>
      <c r="H60" s="142"/>
    </row>
    <row r="61" spans="1:8" x14ac:dyDescent="0.2">
      <c r="A61" s="3">
        <v>16</v>
      </c>
      <c r="B61" s="4"/>
      <c r="C61" s="4" t="s">
        <v>970</v>
      </c>
      <c r="D61" s="4" t="s">
        <v>706</v>
      </c>
      <c r="E61" s="5">
        <v>-60000</v>
      </c>
      <c r="F61" s="6">
        <v>-272.45999999999998</v>
      </c>
      <c r="G61" s="138">
        <v>-3.0436109999999999E-2</v>
      </c>
      <c r="H61" s="142"/>
    </row>
    <row r="62" spans="1:8" x14ac:dyDescent="0.2">
      <c r="A62" s="3">
        <v>17</v>
      </c>
      <c r="B62" s="4"/>
      <c r="C62" s="4" t="s">
        <v>982</v>
      </c>
      <c r="D62" s="4" t="s">
        <v>706</v>
      </c>
      <c r="E62" s="5">
        <v>-55000</v>
      </c>
      <c r="F62" s="6">
        <v>-294.4425</v>
      </c>
      <c r="G62" s="138">
        <v>-3.2891750000000004E-2</v>
      </c>
      <c r="H62" s="142"/>
    </row>
    <row r="63" spans="1:8" x14ac:dyDescent="0.2">
      <c r="A63" s="3">
        <v>18</v>
      </c>
      <c r="B63" s="4"/>
      <c r="C63" s="4" t="s">
        <v>983</v>
      </c>
      <c r="D63" s="4" t="s">
        <v>706</v>
      </c>
      <c r="E63" s="5">
        <v>-72000</v>
      </c>
      <c r="F63" s="6">
        <v>-309.06</v>
      </c>
      <c r="G63" s="138">
        <v>-3.4524650000000004E-2</v>
      </c>
      <c r="H63" s="142"/>
    </row>
    <row r="64" spans="1:8" x14ac:dyDescent="0.2">
      <c r="A64" s="3">
        <v>19</v>
      </c>
      <c r="B64" s="4"/>
      <c r="C64" s="4" t="s">
        <v>943</v>
      </c>
      <c r="D64" s="4" t="s">
        <v>706</v>
      </c>
      <c r="E64" s="5">
        <v>-131200</v>
      </c>
      <c r="F64" s="6">
        <v>-310.74720000000002</v>
      </c>
      <c r="G64" s="138">
        <v>-3.471312E-2</v>
      </c>
      <c r="H64" s="142"/>
    </row>
    <row r="65" spans="1:8" x14ac:dyDescent="0.2">
      <c r="A65" s="3">
        <v>20</v>
      </c>
      <c r="B65" s="4"/>
      <c r="C65" s="4" t="s">
        <v>952</v>
      </c>
      <c r="D65" s="4" t="s">
        <v>706</v>
      </c>
      <c r="E65" s="5">
        <v>-12300</v>
      </c>
      <c r="F65" s="6">
        <v>-331.54034999999999</v>
      </c>
      <c r="G65" s="138">
        <v>-3.7035890000000002E-2</v>
      </c>
      <c r="H65" s="142"/>
    </row>
    <row r="66" spans="1:8" x14ac:dyDescent="0.2">
      <c r="A66" s="3">
        <v>21</v>
      </c>
      <c r="B66" s="4"/>
      <c r="C66" s="4" t="s">
        <v>945</v>
      </c>
      <c r="D66" s="4" t="s">
        <v>706</v>
      </c>
      <c r="E66" s="5">
        <v>-90000</v>
      </c>
      <c r="F66" s="6">
        <v>-351.18</v>
      </c>
      <c r="G66" s="138">
        <v>-3.9229810000000004E-2</v>
      </c>
      <c r="H66" s="142"/>
    </row>
    <row r="67" spans="1:8" x14ac:dyDescent="0.2">
      <c r="A67" s="3">
        <v>22</v>
      </c>
      <c r="B67" s="4"/>
      <c r="C67" s="4" t="s">
        <v>949</v>
      </c>
      <c r="D67" s="4" t="s">
        <v>706</v>
      </c>
      <c r="E67" s="5">
        <v>-55000</v>
      </c>
      <c r="F67" s="6">
        <v>-387.31</v>
      </c>
      <c r="G67" s="138">
        <v>-4.3265840000000007E-2</v>
      </c>
      <c r="H67" s="142"/>
    </row>
    <row r="68" spans="1:8" x14ac:dyDescent="0.2">
      <c r="A68" s="3">
        <v>23</v>
      </c>
      <c r="B68" s="4"/>
      <c r="C68" s="4" t="s">
        <v>963</v>
      </c>
      <c r="D68" s="4" t="s">
        <v>706</v>
      </c>
      <c r="E68" s="5">
        <v>-75600</v>
      </c>
      <c r="F68" s="6">
        <v>-582.38459999999998</v>
      </c>
      <c r="G68" s="138">
        <v>-6.5057340000000005E-2</v>
      </c>
      <c r="H68" s="142"/>
    </row>
    <row r="69" spans="1:8" x14ac:dyDescent="0.2">
      <c r="A69" s="3">
        <v>24</v>
      </c>
      <c r="B69" s="4"/>
      <c r="C69" s="4" t="s">
        <v>946</v>
      </c>
      <c r="D69" s="4" t="s">
        <v>706</v>
      </c>
      <c r="E69" s="5">
        <v>-25000</v>
      </c>
      <c r="F69" s="6">
        <v>-630.13750000000005</v>
      </c>
      <c r="G69" s="138">
        <v>-7.0391750000000003E-2</v>
      </c>
      <c r="H69" s="14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9">
        <v>-6340.8301000000001</v>
      </c>
      <c r="G70" s="139">
        <v>-0.70832496199999995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113</v>
      </c>
      <c r="D72" s="1"/>
      <c r="E72" s="1"/>
      <c r="F72" s="9">
        <v>6320.167625</v>
      </c>
      <c r="G72" s="139">
        <v>0.70601678899999998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114</v>
      </c>
      <c r="D74" s="1"/>
      <c r="E74" s="1"/>
      <c r="F74" s="12"/>
      <c r="G74" s="140"/>
      <c r="H74" s="142"/>
    </row>
    <row r="75" spans="1:8" x14ac:dyDescent="0.2">
      <c r="A75" s="1"/>
      <c r="B75" s="1"/>
      <c r="C75" s="2" t="s">
        <v>10</v>
      </c>
      <c r="D75" s="1"/>
      <c r="E75" s="1"/>
      <c r="F75" s="12"/>
      <c r="G75" s="140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115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116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117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118</v>
      </c>
      <c r="D87" s="1"/>
      <c r="E87" s="1"/>
      <c r="F87" s="9">
        <v>0</v>
      </c>
      <c r="G87" s="139">
        <v>0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119</v>
      </c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120</v>
      </c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121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122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123</v>
      </c>
      <c r="D99" s="1"/>
      <c r="E99" s="1"/>
      <c r="F99" s="12"/>
      <c r="G99" s="140"/>
      <c r="H99" s="142"/>
    </row>
    <row r="100" spans="1:8" x14ac:dyDescent="0.2">
      <c r="A100" s="3">
        <v>1</v>
      </c>
      <c r="B100" s="4"/>
      <c r="C100" s="4" t="s">
        <v>124</v>
      </c>
      <c r="D100" s="4"/>
      <c r="E100" s="8"/>
      <c r="F100" s="6">
        <v>434.53037860000001</v>
      </c>
      <c r="G100" s="138">
        <v>4.8540760000000002E-2</v>
      </c>
      <c r="H100" s="152">
        <v>3.3197683930276081</v>
      </c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9">
        <v>434.53037860000001</v>
      </c>
      <c r="G101" s="139">
        <v>4.8540760000000002E-2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125</v>
      </c>
      <c r="D103" s="1"/>
      <c r="E103" s="1"/>
      <c r="F103" s="9">
        <v>434.53037860000001</v>
      </c>
      <c r="G103" s="139">
        <v>4.8540760000000002E-2</v>
      </c>
      <c r="H103" s="142"/>
    </row>
    <row r="104" spans="1:8" x14ac:dyDescent="0.2">
      <c r="A104" s="1"/>
      <c r="B104" s="1"/>
      <c r="C104" s="12"/>
      <c r="D104" s="1"/>
      <c r="E104" s="1"/>
      <c r="F104" s="1"/>
      <c r="G104" s="137"/>
      <c r="H104" s="142"/>
    </row>
    <row r="105" spans="1:8" x14ac:dyDescent="0.2">
      <c r="A105" s="1"/>
      <c r="B105" s="1"/>
      <c r="C105" s="2" t="s">
        <v>126</v>
      </c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127</v>
      </c>
      <c r="D106" s="1"/>
      <c r="E106" s="1"/>
      <c r="F106" s="1"/>
      <c r="G106" s="137"/>
      <c r="H106" s="142"/>
    </row>
    <row r="107" spans="1:8" x14ac:dyDescent="0.2">
      <c r="A107" s="3">
        <v>1</v>
      </c>
      <c r="B107" s="4" t="s">
        <v>707</v>
      </c>
      <c r="C107" s="4" t="s">
        <v>994</v>
      </c>
      <c r="D107" s="4" t="s">
        <v>814</v>
      </c>
      <c r="E107" s="5">
        <v>464328.50199999998</v>
      </c>
      <c r="F107" s="6">
        <v>204.87752225099999</v>
      </c>
      <c r="G107" s="138">
        <v>2.2886572000000001E-2</v>
      </c>
      <c r="H107" s="142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9">
        <v>204.87752225099999</v>
      </c>
      <c r="G108" s="139">
        <v>2.2886572000000001E-2</v>
      </c>
      <c r="H108" s="142"/>
    </row>
    <row r="109" spans="1:8" x14ac:dyDescent="0.2">
      <c r="A109" s="1"/>
      <c r="B109" s="1"/>
      <c r="C109" s="11"/>
      <c r="D109" s="1"/>
      <c r="E109" s="1"/>
      <c r="F109" s="12"/>
      <c r="G109" s="140"/>
      <c r="H109" s="142"/>
    </row>
    <row r="110" spans="1:8" x14ac:dyDescent="0.2">
      <c r="A110" s="1"/>
      <c r="B110" s="1"/>
      <c r="C110" s="2" t="s">
        <v>128</v>
      </c>
      <c r="D110" s="1"/>
      <c r="E110" s="1"/>
      <c r="F110" s="1"/>
      <c r="G110" s="137"/>
      <c r="H110" s="142"/>
    </row>
    <row r="111" spans="1:8" x14ac:dyDescent="0.2">
      <c r="A111" s="1"/>
      <c r="B111" s="1"/>
      <c r="C111" s="2" t="s">
        <v>129</v>
      </c>
      <c r="D111" s="1"/>
      <c r="E111" s="1"/>
      <c r="F111" s="1"/>
      <c r="G111" s="137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11"/>
      <c r="D114" s="1"/>
      <c r="E114" s="1"/>
      <c r="F114" s="12"/>
      <c r="G114" s="140"/>
      <c r="H114" s="142"/>
    </row>
    <row r="115" spans="1:8" ht="25.5" x14ac:dyDescent="0.2">
      <c r="A115" s="1"/>
      <c r="B115" s="1"/>
      <c r="C115" s="2" t="s">
        <v>130</v>
      </c>
      <c r="D115" s="1"/>
      <c r="E115" s="1"/>
      <c r="F115" s="12"/>
      <c r="G115" s="140"/>
      <c r="H115" s="142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1">
        <v>0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8"/>
      <c r="B118" s="4"/>
      <c r="C118" s="4" t="s">
        <v>708</v>
      </c>
      <c r="D118" s="4"/>
      <c r="E118" s="8"/>
      <c r="F118" s="6">
        <v>2087.0947138000001</v>
      </c>
      <c r="G118" s="138">
        <v>0.23314633300000001</v>
      </c>
      <c r="H118" s="142"/>
    </row>
    <row r="119" spans="1:8" x14ac:dyDescent="0.2">
      <c r="A119" s="8"/>
      <c r="B119" s="4"/>
      <c r="C119" s="4" t="s">
        <v>131</v>
      </c>
      <c r="D119" s="4"/>
      <c r="E119" s="8"/>
      <c r="F119" s="6">
        <v>-94.804296391001117</v>
      </c>
      <c r="G119" s="138">
        <v>-1.0590450861519073E-2</v>
      </c>
      <c r="H119" s="142"/>
    </row>
    <row r="120" spans="1:8" x14ac:dyDescent="0.2">
      <c r="A120" s="11"/>
      <c r="B120" s="11"/>
      <c r="C120" s="2" t="s">
        <v>132</v>
      </c>
      <c r="D120" s="15"/>
      <c r="E120" s="15"/>
      <c r="F120" s="9">
        <v>8951.8659432599998</v>
      </c>
      <c r="G120" s="139">
        <v>1.0000000031384808</v>
      </c>
      <c r="H120" s="142"/>
    </row>
    <row r="121" spans="1:8" ht="14.1" customHeight="1" x14ac:dyDescent="0.2">
      <c r="A121" s="16"/>
      <c r="B121" s="16"/>
      <c r="C121" s="16"/>
      <c r="D121" s="17"/>
      <c r="E121" s="17"/>
      <c r="G121" s="17"/>
    </row>
    <row r="122" spans="1:8" ht="14.1" customHeight="1" x14ac:dyDescent="0.2">
      <c r="A122" s="18"/>
      <c r="B122" s="215" t="s">
        <v>995</v>
      </c>
      <c r="C122" s="215"/>
      <c r="D122" s="215"/>
      <c r="E122" s="215"/>
      <c r="F122" s="215"/>
      <c r="G122" s="20"/>
    </row>
    <row r="123" spans="1:8" ht="14.1" customHeight="1" x14ac:dyDescent="0.2">
      <c r="A123" s="18"/>
      <c r="B123" s="18"/>
      <c r="C123" s="18"/>
      <c r="D123" s="20"/>
      <c r="E123" s="20"/>
      <c r="G123" s="20"/>
    </row>
    <row r="124" spans="1:8" ht="14.1" customHeight="1" x14ac:dyDescent="0.2">
      <c r="A124" s="18"/>
      <c r="B124" s="203" t="s">
        <v>134</v>
      </c>
      <c r="C124" s="204"/>
      <c r="D124" s="12" t="s">
        <v>106</v>
      </c>
      <c r="E124" s="21"/>
      <c r="F124" s="20"/>
      <c r="G124" s="20"/>
    </row>
    <row r="125" spans="1:8" ht="29.1" customHeight="1" x14ac:dyDescent="0.2">
      <c r="A125" s="18"/>
      <c r="B125" s="199" t="s">
        <v>135</v>
      </c>
      <c r="C125" s="200"/>
      <c r="D125" s="2" t="s">
        <v>136</v>
      </c>
      <c r="E125" s="21"/>
      <c r="F125" s="20"/>
      <c r="G125" s="20"/>
    </row>
    <row r="126" spans="1:8" ht="17.100000000000001" customHeight="1" x14ac:dyDescent="0.2">
      <c r="A126" s="18"/>
      <c r="B126" s="199" t="s">
        <v>137</v>
      </c>
      <c r="C126" s="200"/>
      <c r="D126" s="2" t="s">
        <v>136</v>
      </c>
      <c r="E126" s="21"/>
      <c r="F126" s="20"/>
      <c r="G126" s="20"/>
    </row>
    <row r="127" spans="1:8" ht="17.100000000000001" customHeight="1" x14ac:dyDescent="0.2">
      <c r="A127" s="18"/>
      <c r="B127" s="199" t="s">
        <v>138</v>
      </c>
      <c r="C127" s="200"/>
      <c r="D127" s="12" t="s">
        <v>106</v>
      </c>
      <c r="E127" s="21"/>
      <c r="F127" s="20"/>
      <c r="G127" s="20"/>
    </row>
    <row r="128" spans="1:8" ht="24" customHeight="1" x14ac:dyDescent="0.2">
      <c r="A128" s="22"/>
      <c r="B128" s="23" t="s">
        <v>106</v>
      </c>
      <c r="C128" s="23" t="s">
        <v>139</v>
      </c>
      <c r="D128" s="23" t="s">
        <v>140</v>
      </c>
      <c r="E128" s="22"/>
      <c r="F128" s="22"/>
      <c r="G128" s="22"/>
    </row>
    <row r="129" spans="1:7" ht="18" customHeight="1" x14ac:dyDescent="0.2">
      <c r="A129" s="22"/>
      <c r="B129" s="23" t="s">
        <v>141</v>
      </c>
      <c r="C129" s="23" t="s">
        <v>142</v>
      </c>
      <c r="D129" s="23" t="s">
        <v>143</v>
      </c>
      <c r="E129" s="22"/>
      <c r="F129" s="22"/>
      <c r="G129" s="22"/>
    </row>
    <row r="130" spans="1:7" x14ac:dyDescent="0.2">
      <c r="A130" s="22"/>
      <c r="B130" s="4" t="s">
        <v>144</v>
      </c>
      <c r="C130" s="24">
        <v>10.735900000000001</v>
      </c>
      <c r="D130" s="24">
        <v>10.741400000000001</v>
      </c>
      <c r="E130" s="22"/>
      <c r="F130" s="19"/>
      <c r="G130" s="25"/>
    </row>
    <row r="131" spans="1:7" x14ac:dyDescent="0.2">
      <c r="A131" s="22"/>
      <c r="B131" s="4" t="s">
        <v>1019</v>
      </c>
      <c r="C131" s="24">
        <v>10.732100000000001</v>
      </c>
      <c r="D131" s="24">
        <v>10.737299999999999</v>
      </c>
      <c r="E131" s="22"/>
      <c r="F131" s="19"/>
      <c r="G131" s="25"/>
    </row>
    <row r="132" spans="1:7" x14ac:dyDescent="0.2">
      <c r="A132" s="22"/>
      <c r="B132" s="4" t="s">
        <v>145</v>
      </c>
      <c r="C132" s="24">
        <v>10.6187</v>
      </c>
      <c r="D132" s="24">
        <v>10.6173</v>
      </c>
      <c r="E132" s="22"/>
      <c r="F132" s="19"/>
      <c r="G132" s="25"/>
    </row>
    <row r="133" spans="1:7" x14ac:dyDescent="0.2">
      <c r="A133" s="22"/>
      <c r="B133" s="4" t="s">
        <v>1020</v>
      </c>
      <c r="C133" s="24">
        <v>10.6188</v>
      </c>
      <c r="D133" s="24">
        <v>10.6173</v>
      </c>
      <c r="E133" s="22"/>
      <c r="F133" s="19"/>
      <c r="G133" s="25"/>
    </row>
    <row r="134" spans="1:7" ht="14.1" customHeight="1" x14ac:dyDescent="0.2">
      <c r="A134" s="22"/>
      <c r="B134" s="22"/>
      <c r="C134" s="22"/>
      <c r="D134" s="22"/>
      <c r="E134" s="22"/>
      <c r="F134" s="22"/>
      <c r="G134" s="22"/>
    </row>
    <row r="135" spans="1:7" ht="17.100000000000001" customHeight="1" x14ac:dyDescent="0.2">
      <c r="A135" s="22"/>
      <c r="B135" s="199" t="s">
        <v>1021</v>
      </c>
      <c r="C135" s="200"/>
      <c r="D135" s="2" t="s">
        <v>136</v>
      </c>
      <c r="E135" s="22"/>
      <c r="F135" s="22"/>
      <c r="G135" s="22"/>
    </row>
    <row r="136" spans="1:7" ht="18" customHeight="1" x14ac:dyDescent="0.2">
      <c r="A136" s="22"/>
      <c r="B136" s="26"/>
      <c r="C136" s="26"/>
      <c r="D136" s="27"/>
      <c r="E136" s="22"/>
      <c r="F136" s="22"/>
      <c r="G136" s="22"/>
    </row>
    <row r="137" spans="1:7" s="125" customFormat="1" x14ac:dyDescent="0.2">
      <c r="B137" s="201" t="s">
        <v>825</v>
      </c>
      <c r="C137" s="201"/>
      <c r="D137" s="201"/>
      <c r="E137" s="201"/>
      <c r="F137" s="201"/>
    </row>
    <row r="138" spans="1:7" ht="14.1" customHeight="1" x14ac:dyDescent="0.2">
      <c r="A138" s="22"/>
      <c r="B138" s="19"/>
      <c r="C138" s="19"/>
      <c r="D138" s="22"/>
      <c r="E138" s="22"/>
      <c r="F138" s="22"/>
      <c r="G138" s="22"/>
    </row>
    <row r="139" spans="1:7" ht="29.1" customHeight="1" x14ac:dyDescent="0.2">
      <c r="A139" s="22"/>
      <c r="B139" s="199" t="s">
        <v>146</v>
      </c>
      <c r="C139" s="200"/>
      <c r="D139" s="2" t="s">
        <v>1073</v>
      </c>
      <c r="E139" s="22"/>
      <c r="F139" s="22"/>
      <c r="G139" s="22"/>
    </row>
    <row r="140" spans="1:7" ht="29.1" customHeight="1" x14ac:dyDescent="0.2">
      <c r="A140" s="22"/>
      <c r="B140" s="199" t="s">
        <v>147</v>
      </c>
      <c r="C140" s="200"/>
      <c r="D140" s="2" t="s">
        <v>136</v>
      </c>
      <c r="E140" s="22"/>
      <c r="F140" s="22"/>
      <c r="G140" s="22"/>
    </row>
    <row r="141" spans="1:7" ht="17.100000000000001" customHeight="1" x14ac:dyDescent="0.2">
      <c r="A141" s="22"/>
      <c r="B141" s="199" t="s">
        <v>148</v>
      </c>
      <c r="C141" s="200"/>
      <c r="D141" s="28">
        <v>11.74246363103882</v>
      </c>
      <c r="E141" s="22"/>
      <c r="F141" s="19"/>
      <c r="G141" s="25"/>
    </row>
    <row r="142" spans="1:7" ht="17.100000000000001" customHeight="1" x14ac:dyDescent="0.2">
      <c r="A142" s="22"/>
      <c r="B142" s="199" t="s">
        <v>149</v>
      </c>
      <c r="C142" s="200"/>
      <c r="D142" s="2" t="s">
        <v>136</v>
      </c>
      <c r="E142" s="22"/>
      <c r="F142" s="22"/>
      <c r="G142" s="22"/>
    </row>
    <row r="144" spans="1:7" x14ac:dyDescent="0.2">
      <c r="B144" s="164" t="s">
        <v>1051</v>
      </c>
    </row>
    <row r="146" spans="2:6" x14ac:dyDescent="0.2">
      <c r="B146" s="164" t="s">
        <v>1074</v>
      </c>
    </row>
    <row r="147" spans="2:6" ht="25.5" x14ac:dyDescent="0.2">
      <c r="B147" s="179" t="s">
        <v>1075</v>
      </c>
      <c r="C147" s="179" t="s">
        <v>1076</v>
      </c>
      <c r="D147" s="165" t="s">
        <v>1077</v>
      </c>
      <c r="E147" s="165" t="s">
        <v>1078</v>
      </c>
      <c r="F147" s="165" t="s">
        <v>1079</v>
      </c>
    </row>
    <row r="148" spans="2:6" ht="25.5" x14ac:dyDescent="0.2">
      <c r="B148" s="4" t="s">
        <v>961</v>
      </c>
      <c r="C148" s="180" t="s">
        <v>1080</v>
      </c>
      <c r="D148" s="181">
        <v>749.05</v>
      </c>
      <c r="E148" s="181">
        <v>739.95</v>
      </c>
      <c r="F148" s="182">
        <v>63.322951199999999</v>
      </c>
    </row>
    <row r="149" spans="2:6" ht="38.25" x14ac:dyDescent="0.2">
      <c r="B149" s="4" t="s">
        <v>981</v>
      </c>
      <c r="C149" s="180" t="s">
        <v>1080</v>
      </c>
      <c r="D149" s="181">
        <v>4606.9799999999996</v>
      </c>
      <c r="E149" s="181">
        <v>4490.6000000000004</v>
      </c>
      <c r="F149" s="182">
        <v>67.137780000000006</v>
      </c>
    </row>
    <row r="150" spans="2:6" ht="25.5" x14ac:dyDescent="0.2">
      <c r="B150" s="4" t="s">
        <v>976</v>
      </c>
      <c r="C150" s="180" t="s">
        <v>1080</v>
      </c>
      <c r="D150" s="181">
        <v>126.74</v>
      </c>
      <c r="E150" s="181">
        <v>134.55000000000001</v>
      </c>
      <c r="F150" s="182">
        <v>58.386489000000005</v>
      </c>
    </row>
    <row r="151" spans="2:6" x14ac:dyDescent="0.2">
      <c r="B151" s="4" t="s">
        <v>963</v>
      </c>
      <c r="C151" s="180" t="s">
        <v>1080</v>
      </c>
      <c r="D151" s="181">
        <v>796.64</v>
      </c>
      <c r="E151" s="181">
        <v>770.35</v>
      </c>
      <c r="F151" s="182">
        <v>173.26178100000001</v>
      </c>
    </row>
    <row r="152" spans="2:6" ht="25.5" x14ac:dyDescent="0.2">
      <c r="B152" s="4" t="s">
        <v>979</v>
      </c>
      <c r="C152" s="180" t="s">
        <v>1080</v>
      </c>
      <c r="D152" s="181">
        <v>17945.91</v>
      </c>
      <c r="E152" s="181">
        <v>17841.8</v>
      </c>
      <c r="F152" s="182">
        <v>69.176831399999998</v>
      </c>
    </row>
    <row r="153" spans="2:6" ht="25.5" x14ac:dyDescent="0.2">
      <c r="B153" s="4" t="s">
        <v>975</v>
      </c>
      <c r="C153" s="180" t="s">
        <v>1080</v>
      </c>
      <c r="D153" s="181">
        <v>771.12</v>
      </c>
      <c r="E153" s="181">
        <v>740.55</v>
      </c>
      <c r="F153" s="182">
        <v>45.2902208</v>
      </c>
    </row>
    <row r="154" spans="2:6" ht="38.25" x14ac:dyDescent="0.2">
      <c r="B154" s="4" t="s">
        <v>940</v>
      </c>
      <c r="C154" s="180" t="s">
        <v>1080</v>
      </c>
      <c r="D154" s="181">
        <v>417.77</v>
      </c>
      <c r="E154" s="181">
        <v>433.15</v>
      </c>
      <c r="F154" s="182">
        <v>78.941623500000006</v>
      </c>
    </row>
    <row r="155" spans="2:6" x14ac:dyDescent="0.2">
      <c r="B155" s="4" t="s">
        <v>977</v>
      </c>
      <c r="C155" s="180" t="s">
        <v>1080</v>
      </c>
      <c r="D155" s="181">
        <v>169.87</v>
      </c>
      <c r="E155" s="181">
        <v>173.9</v>
      </c>
      <c r="F155" s="182">
        <v>65.382660000000001</v>
      </c>
    </row>
    <row r="156" spans="2:6" ht="25.5" x14ac:dyDescent="0.2">
      <c r="B156" s="4" t="s">
        <v>973</v>
      </c>
      <c r="C156" s="180" t="s">
        <v>1080</v>
      </c>
      <c r="D156" s="181">
        <v>656.08</v>
      </c>
      <c r="E156" s="181">
        <v>620.35</v>
      </c>
      <c r="F156" s="182">
        <v>21.888529599999998</v>
      </c>
    </row>
    <row r="157" spans="2:6" ht="25.5" x14ac:dyDescent="0.2">
      <c r="B157" s="4" t="s">
        <v>978</v>
      </c>
      <c r="C157" s="180" t="s">
        <v>1080</v>
      </c>
      <c r="D157" s="181">
        <v>1610.28</v>
      </c>
      <c r="E157" s="181">
        <v>1600.15</v>
      </c>
      <c r="F157" s="182">
        <v>41.786911400000008</v>
      </c>
    </row>
    <row r="158" spans="2:6" ht="25.5" x14ac:dyDescent="0.2">
      <c r="B158" s="4" t="s">
        <v>966</v>
      </c>
      <c r="C158" s="180" t="s">
        <v>1080</v>
      </c>
      <c r="D158" s="181">
        <v>727.46</v>
      </c>
      <c r="E158" s="181">
        <v>726.15</v>
      </c>
      <c r="F158" s="182">
        <v>53.395734000000004</v>
      </c>
    </row>
    <row r="159" spans="2:6" ht="25.5" x14ac:dyDescent="0.2">
      <c r="B159" s="4" t="s">
        <v>974</v>
      </c>
      <c r="C159" s="180" t="s">
        <v>1080</v>
      </c>
      <c r="D159" s="181">
        <v>477.75</v>
      </c>
      <c r="E159" s="181">
        <v>488.6</v>
      </c>
      <c r="F159" s="182">
        <v>40.701521000000007</v>
      </c>
    </row>
    <row r="160" spans="2:6" ht="25.5" x14ac:dyDescent="0.2">
      <c r="B160" s="4" t="s">
        <v>952</v>
      </c>
      <c r="C160" s="180" t="s">
        <v>1080</v>
      </c>
      <c r="D160" s="181">
        <v>2741.89</v>
      </c>
      <c r="E160" s="181">
        <v>2695.45</v>
      </c>
      <c r="F160" s="182">
        <v>58.853134300000008</v>
      </c>
    </row>
    <row r="161" spans="2:6" x14ac:dyDescent="0.2">
      <c r="B161" s="183" t="s">
        <v>949</v>
      </c>
      <c r="C161" s="180" t="s">
        <v>1080</v>
      </c>
      <c r="D161" s="181">
        <v>722.65</v>
      </c>
      <c r="E161" s="181">
        <v>704.2</v>
      </c>
      <c r="F161" s="182">
        <v>89.692251999999996</v>
      </c>
    </row>
    <row r="162" spans="2:6" ht="25.5" x14ac:dyDescent="0.2">
      <c r="B162" s="184" t="s">
        <v>982</v>
      </c>
      <c r="C162" s="180" t="s">
        <v>1080</v>
      </c>
      <c r="D162" s="181">
        <v>527.16</v>
      </c>
      <c r="E162" s="181">
        <v>535.35</v>
      </c>
      <c r="F162" s="182">
        <v>67.428687999999994</v>
      </c>
    </row>
    <row r="163" spans="2:6" x14ac:dyDescent="0.2">
      <c r="B163" s="184" t="s">
        <v>943</v>
      </c>
      <c r="C163" s="180" t="s">
        <v>1080</v>
      </c>
      <c r="D163" s="181">
        <v>239.79</v>
      </c>
      <c r="E163" s="181">
        <v>236.85</v>
      </c>
      <c r="F163" s="182">
        <v>67.790711999999999</v>
      </c>
    </row>
    <row r="164" spans="2:6" ht="25.5" x14ac:dyDescent="0.2">
      <c r="B164" s="185" t="s">
        <v>945</v>
      </c>
      <c r="C164" s="180" t="s">
        <v>1080</v>
      </c>
      <c r="D164" s="181">
        <v>366.85</v>
      </c>
      <c r="E164" s="181">
        <v>390.2</v>
      </c>
      <c r="F164" s="182">
        <v>125.0406</v>
      </c>
    </row>
    <row r="165" spans="2:6" ht="25.5" x14ac:dyDescent="0.2">
      <c r="B165" s="185" t="s">
        <v>983</v>
      </c>
      <c r="C165" s="180" t="s">
        <v>1080</v>
      </c>
      <c r="D165" s="181">
        <v>435.99</v>
      </c>
      <c r="E165" s="181">
        <v>429.25</v>
      </c>
      <c r="F165" s="182">
        <v>94.092299999999994</v>
      </c>
    </row>
    <row r="166" spans="2:6" ht="25.5" x14ac:dyDescent="0.2">
      <c r="B166" s="185" t="s">
        <v>972</v>
      </c>
      <c r="C166" s="180" t="s">
        <v>1080</v>
      </c>
      <c r="D166" s="181">
        <v>34234.22</v>
      </c>
      <c r="E166" s="181">
        <v>31905.9</v>
      </c>
      <c r="F166" s="182">
        <v>20.974419999999999</v>
      </c>
    </row>
    <row r="167" spans="2:6" ht="25.5" x14ac:dyDescent="0.2">
      <c r="B167" s="185" t="s">
        <v>946</v>
      </c>
      <c r="C167" s="180" t="s">
        <v>1080</v>
      </c>
      <c r="D167" s="181">
        <v>2523.67</v>
      </c>
      <c r="E167" s="181">
        <v>2520.5500000000002</v>
      </c>
      <c r="F167" s="182">
        <v>139.45281</v>
      </c>
    </row>
    <row r="168" spans="2:6" ht="25.5" x14ac:dyDescent="0.2">
      <c r="B168" s="185" t="s">
        <v>970</v>
      </c>
      <c r="C168" s="180" t="s">
        <v>1080</v>
      </c>
      <c r="D168" s="181">
        <v>451.07</v>
      </c>
      <c r="E168" s="181">
        <v>454.1</v>
      </c>
      <c r="F168" s="182">
        <v>95.6601</v>
      </c>
    </row>
    <row r="169" spans="2:6" ht="38.25" x14ac:dyDescent="0.2">
      <c r="B169" s="185" t="s">
        <v>980</v>
      </c>
      <c r="C169" s="180" t="s">
        <v>1080</v>
      </c>
      <c r="D169" s="181">
        <v>1335.91</v>
      </c>
      <c r="E169" s="181">
        <v>1307.7</v>
      </c>
      <c r="F169" s="182">
        <v>80.386098000000004</v>
      </c>
    </row>
    <row r="170" spans="2:6" ht="25.5" x14ac:dyDescent="0.2">
      <c r="B170" s="185" t="s">
        <v>964</v>
      </c>
      <c r="C170" s="180" t="s">
        <v>1080</v>
      </c>
      <c r="D170" s="181">
        <v>1280.72</v>
      </c>
      <c r="E170" s="181">
        <v>1293</v>
      </c>
      <c r="F170" s="182">
        <v>41.73789</v>
      </c>
    </row>
    <row r="171" spans="2:6" ht="25.5" x14ac:dyDescent="0.2">
      <c r="B171" s="185" t="s">
        <v>955</v>
      </c>
      <c r="C171" s="180" t="s">
        <v>1080</v>
      </c>
      <c r="D171" s="181">
        <v>292.01</v>
      </c>
      <c r="E171" s="181">
        <v>288.39999999999998</v>
      </c>
      <c r="F171" s="182">
        <v>62.554279999999999</v>
      </c>
    </row>
    <row r="172" spans="2:6" x14ac:dyDescent="0.2">
      <c r="B172" s="164"/>
    </row>
    <row r="173" spans="2:6" x14ac:dyDescent="0.2">
      <c r="B173" s="164" t="s">
        <v>1065</v>
      </c>
    </row>
    <row r="174" spans="2:6" ht="63.75" x14ac:dyDescent="0.2">
      <c r="B174" s="165" t="s">
        <v>1056</v>
      </c>
      <c r="C174" s="165" t="s">
        <v>1066</v>
      </c>
      <c r="D174" s="165" t="s">
        <v>1067</v>
      </c>
      <c r="E174" s="165" t="s">
        <v>1068</v>
      </c>
      <c r="F174" s="165" t="s">
        <v>1069</v>
      </c>
    </row>
    <row r="175" spans="2:6" x14ac:dyDescent="0.2">
      <c r="B175" s="167">
        <v>3992</v>
      </c>
      <c r="C175" s="167">
        <v>3992</v>
      </c>
      <c r="D175" s="169">
        <v>32872.678799999994</v>
      </c>
      <c r="E175" s="169">
        <v>31971.367400000003</v>
      </c>
      <c r="F175" s="170">
        <v>-936.79339999999138</v>
      </c>
    </row>
    <row r="176" spans="2:6" x14ac:dyDescent="0.2">
      <c r="B176" s="164"/>
    </row>
    <row r="177" spans="2:6" x14ac:dyDescent="0.2">
      <c r="B177" s="164" t="s">
        <v>1054</v>
      </c>
    </row>
    <row r="178" spans="2:6" x14ac:dyDescent="0.2">
      <c r="B178" s="164"/>
    </row>
    <row r="179" spans="2:6" x14ac:dyDescent="0.2">
      <c r="B179" s="164" t="s">
        <v>1081</v>
      </c>
    </row>
    <row r="180" spans="2:6" x14ac:dyDescent="0.2">
      <c r="B180" s="164"/>
    </row>
    <row r="181" spans="2:6" x14ac:dyDescent="0.2">
      <c r="B181" s="164" t="s">
        <v>1057</v>
      </c>
    </row>
    <row r="182" spans="2:6" x14ac:dyDescent="0.2">
      <c r="B182" s="164"/>
    </row>
    <row r="183" spans="2:6" x14ac:dyDescent="0.2">
      <c r="B183" s="164" t="s">
        <v>1058</v>
      </c>
    </row>
    <row r="184" spans="2:6" x14ac:dyDescent="0.2">
      <c r="B184" s="186"/>
      <c r="C184" s="186"/>
      <c r="D184" s="187"/>
      <c r="E184" s="187"/>
      <c r="F184" s="177"/>
    </row>
    <row r="185" spans="2:6" x14ac:dyDescent="0.2">
      <c r="B185" s="164" t="s">
        <v>1059</v>
      </c>
    </row>
    <row r="186" spans="2:6" x14ac:dyDescent="0.2">
      <c r="B186" s="164"/>
    </row>
    <row r="187" spans="2:6" x14ac:dyDescent="0.2">
      <c r="B187" s="164" t="s">
        <v>1060</v>
      </c>
    </row>
    <row r="188" spans="2:6" x14ac:dyDescent="0.2">
      <c r="B188" s="164"/>
    </row>
    <row r="189" spans="2:6" x14ac:dyDescent="0.2">
      <c r="B189" s="164" t="s">
        <v>1061</v>
      </c>
    </row>
    <row r="190" spans="2:6" x14ac:dyDescent="0.2">
      <c r="B190" s="164"/>
    </row>
    <row r="191" spans="2:6" x14ac:dyDescent="0.2">
      <c r="B191" s="164" t="s">
        <v>1062</v>
      </c>
    </row>
    <row r="193" spans="2:2" x14ac:dyDescent="0.2">
      <c r="B193" s="164" t="s">
        <v>1063</v>
      </c>
    </row>
    <row r="195" spans="2:2" x14ac:dyDescent="0.2">
      <c r="B195" s="164" t="s">
        <v>1064</v>
      </c>
    </row>
    <row r="197" spans="2:2" x14ac:dyDescent="0.2">
      <c r="B197" s="164" t="s">
        <v>1082</v>
      </c>
    </row>
  </sheetData>
  <mergeCells count="15">
    <mergeCell ref="J2:N2"/>
    <mergeCell ref="B124:C124"/>
    <mergeCell ref="B141:C141"/>
    <mergeCell ref="B122:F122"/>
    <mergeCell ref="A1:H1"/>
    <mergeCell ref="A2:H2"/>
    <mergeCell ref="A3:H3"/>
    <mergeCell ref="B137:F137"/>
    <mergeCell ref="B142:C142"/>
    <mergeCell ref="B125:C125"/>
    <mergeCell ref="B126:C126"/>
    <mergeCell ref="B127:C127"/>
    <mergeCell ref="B135:C135"/>
    <mergeCell ref="B139:C139"/>
    <mergeCell ref="B140:C140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DB29-B23E-40CA-84B3-C1C3FEF5C3CA}">
  <sheetPr>
    <outlinePr summaryBelow="0" summaryRight="0"/>
  </sheetPr>
  <dimension ref="A1:N269"/>
  <sheetViews>
    <sheetView showGridLines="0" workbookViewId="0">
      <selection activeCell="A4" sqref="A4"/>
    </sheetView>
  </sheetViews>
  <sheetFormatPr defaultRowHeight="12.75" x14ac:dyDescent="0.2"/>
  <cols>
    <col min="1" max="1" width="6.85546875" style="93" customWidth="1"/>
    <col min="2" max="2" width="20.5703125" style="93" customWidth="1"/>
    <col min="3" max="3" width="34.28515625" style="93" customWidth="1"/>
    <col min="4" max="4" width="17.85546875" style="93" customWidth="1"/>
    <col min="5" max="6" width="19.140625" style="93" customWidth="1"/>
    <col min="7" max="7" width="16.42578125" style="93" customWidth="1"/>
    <col min="8" max="8" width="11.5703125" style="93" bestFit="1" customWidth="1"/>
    <col min="9" max="253" width="9.140625" style="93"/>
    <col min="254" max="254" width="6.85546875" style="93" customWidth="1"/>
    <col min="255" max="255" width="20.5703125" style="93" customWidth="1"/>
    <col min="256" max="256" width="34.28515625" style="93" customWidth="1"/>
    <col min="257" max="257" width="17.85546875" style="93" customWidth="1"/>
    <col min="258" max="259" width="19.140625" style="93" customWidth="1"/>
    <col min="260" max="260" width="16.42578125" style="93" customWidth="1"/>
    <col min="261" max="509" width="9.140625" style="93"/>
    <col min="510" max="510" width="6.85546875" style="93" customWidth="1"/>
    <col min="511" max="511" width="20.5703125" style="93" customWidth="1"/>
    <col min="512" max="512" width="34.28515625" style="93" customWidth="1"/>
    <col min="513" max="513" width="17.85546875" style="93" customWidth="1"/>
    <col min="514" max="515" width="19.140625" style="93" customWidth="1"/>
    <col min="516" max="516" width="16.42578125" style="93" customWidth="1"/>
    <col min="517" max="765" width="9.140625" style="93"/>
    <col min="766" max="766" width="6.85546875" style="93" customWidth="1"/>
    <col min="767" max="767" width="20.5703125" style="93" customWidth="1"/>
    <col min="768" max="768" width="34.28515625" style="93" customWidth="1"/>
    <col min="769" max="769" width="17.85546875" style="93" customWidth="1"/>
    <col min="770" max="771" width="19.140625" style="93" customWidth="1"/>
    <col min="772" max="772" width="16.42578125" style="93" customWidth="1"/>
    <col min="773" max="1021" width="9.140625" style="93"/>
    <col min="1022" max="1022" width="6.85546875" style="93" customWidth="1"/>
    <col min="1023" max="1023" width="20.5703125" style="93" customWidth="1"/>
    <col min="1024" max="1024" width="34.28515625" style="93" customWidth="1"/>
    <col min="1025" max="1025" width="17.85546875" style="93" customWidth="1"/>
    <col min="1026" max="1027" width="19.140625" style="93" customWidth="1"/>
    <col min="1028" max="1028" width="16.42578125" style="93" customWidth="1"/>
    <col min="1029" max="1277" width="9.140625" style="93"/>
    <col min="1278" max="1278" width="6.85546875" style="93" customWidth="1"/>
    <col min="1279" max="1279" width="20.5703125" style="93" customWidth="1"/>
    <col min="1280" max="1280" width="34.28515625" style="93" customWidth="1"/>
    <col min="1281" max="1281" width="17.85546875" style="93" customWidth="1"/>
    <col min="1282" max="1283" width="19.140625" style="93" customWidth="1"/>
    <col min="1284" max="1284" width="16.42578125" style="93" customWidth="1"/>
    <col min="1285" max="1533" width="9.140625" style="93"/>
    <col min="1534" max="1534" width="6.85546875" style="93" customWidth="1"/>
    <col min="1535" max="1535" width="20.5703125" style="93" customWidth="1"/>
    <col min="1536" max="1536" width="34.28515625" style="93" customWidth="1"/>
    <col min="1537" max="1537" width="17.85546875" style="93" customWidth="1"/>
    <col min="1538" max="1539" width="19.140625" style="93" customWidth="1"/>
    <col min="1540" max="1540" width="16.42578125" style="93" customWidth="1"/>
    <col min="1541" max="1789" width="9.140625" style="93"/>
    <col min="1790" max="1790" width="6.85546875" style="93" customWidth="1"/>
    <col min="1791" max="1791" width="20.5703125" style="93" customWidth="1"/>
    <col min="1792" max="1792" width="34.28515625" style="93" customWidth="1"/>
    <col min="1793" max="1793" width="17.85546875" style="93" customWidth="1"/>
    <col min="1794" max="1795" width="19.140625" style="93" customWidth="1"/>
    <col min="1796" max="1796" width="16.42578125" style="93" customWidth="1"/>
    <col min="1797" max="2045" width="9.140625" style="93"/>
    <col min="2046" max="2046" width="6.85546875" style="93" customWidth="1"/>
    <col min="2047" max="2047" width="20.5703125" style="93" customWidth="1"/>
    <col min="2048" max="2048" width="34.28515625" style="93" customWidth="1"/>
    <col min="2049" max="2049" width="17.85546875" style="93" customWidth="1"/>
    <col min="2050" max="2051" width="19.140625" style="93" customWidth="1"/>
    <col min="2052" max="2052" width="16.42578125" style="93" customWidth="1"/>
    <col min="2053" max="2301" width="9.140625" style="93"/>
    <col min="2302" max="2302" width="6.85546875" style="93" customWidth="1"/>
    <col min="2303" max="2303" width="20.5703125" style="93" customWidth="1"/>
    <col min="2304" max="2304" width="34.28515625" style="93" customWidth="1"/>
    <col min="2305" max="2305" width="17.85546875" style="93" customWidth="1"/>
    <col min="2306" max="2307" width="19.140625" style="93" customWidth="1"/>
    <col min="2308" max="2308" width="16.42578125" style="93" customWidth="1"/>
    <col min="2309" max="2557" width="9.140625" style="93"/>
    <col min="2558" max="2558" width="6.85546875" style="93" customWidth="1"/>
    <col min="2559" max="2559" width="20.5703125" style="93" customWidth="1"/>
    <col min="2560" max="2560" width="34.28515625" style="93" customWidth="1"/>
    <col min="2561" max="2561" width="17.85546875" style="93" customWidth="1"/>
    <col min="2562" max="2563" width="19.140625" style="93" customWidth="1"/>
    <col min="2564" max="2564" width="16.42578125" style="93" customWidth="1"/>
    <col min="2565" max="2813" width="9.140625" style="93"/>
    <col min="2814" max="2814" width="6.85546875" style="93" customWidth="1"/>
    <col min="2815" max="2815" width="20.5703125" style="93" customWidth="1"/>
    <col min="2816" max="2816" width="34.28515625" style="93" customWidth="1"/>
    <col min="2817" max="2817" width="17.85546875" style="93" customWidth="1"/>
    <col min="2818" max="2819" width="19.140625" style="93" customWidth="1"/>
    <col min="2820" max="2820" width="16.42578125" style="93" customWidth="1"/>
    <col min="2821" max="3069" width="9.140625" style="93"/>
    <col min="3070" max="3070" width="6.85546875" style="93" customWidth="1"/>
    <col min="3071" max="3071" width="20.5703125" style="93" customWidth="1"/>
    <col min="3072" max="3072" width="34.28515625" style="93" customWidth="1"/>
    <col min="3073" max="3073" width="17.85546875" style="93" customWidth="1"/>
    <col min="3074" max="3075" width="19.140625" style="93" customWidth="1"/>
    <col min="3076" max="3076" width="16.42578125" style="93" customWidth="1"/>
    <col min="3077" max="3325" width="9.140625" style="93"/>
    <col min="3326" max="3326" width="6.85546875" style="93" customWidth="1"/>
    <col min="3327" max="3327" width="20.5703125" style="93" customWidth="1"/>
    <col min="3328" max="3328" width="34.28515625" style="93" customWidth="1"/>
    <col min="3329" max="3329" width="17.85546875" style="93" customWidth="1"/>
    <col min="3330" max="3331" width="19.140625" style="93" customWidth="1"/>
    <col min="3332" max="3332" width="16.42578125" style="93" customWidth="1"/>
    <col min="3333" max="3581" width="9.140625" style="93"/>
    <col min="3582" max="3582" width="6.85546875" style="93" customWidth="1"/>
    <col min="3583" max="3583" width="20.5703125" style="93" customWidth="1"/>
    <col min="3584" max="3584" width="34.28515625" style="93" customWidth="1"/>
    <col min="3585" max="3585" width="17.85546875" style="93" customWidth="1"/>
    <col min="3586" max="3587" width="19.140625" style="93" customWidth="1"/>
    <col min="3588" max="3588" width="16.42578125" style="93" customWidth="1"/>
    <col min="3589" max="3837" width="9.140625" style="93"/>
    <col min="3838" max="3838" width="6.85546875" style="93" customWidth="1"/>
    <col min="3839" max="3839" width="20.5703125" style="93" customWidth="1"/>
    <col min="3840" max="3840" width="34.28515625" style="93" customWidth="1"/>
    <col min="3841" max="3841" width="17.85546875" style="93" customWidth="1"/>
    <col min="3842" max="3843" width="19.140625" style="93" customWidth="1"/>
    <col min="3844" max="3844" width="16.42578125" style="93" customWidth="1"/>
    <col min="3845" max="4093" width="9.140625" style="93"/>
    <col min="4094" max="4094" width="6.85546875" style="93" customWidth="1"/>
    <col min="4095" max="4095" width="20.5703125" style="93" customWidth="1"/>
    <col min="4096" max="4096" width="34.28515625" style="93" customWidth="1"/>
    <col min="4097" max="4097" width="17.85546875" style="93" customWidth="1"/>
    <col min="4098" max="4099" width="19.140625" style="93" customWidth="1"/>
    <col min="4100" max="4100" width="16.42578125" style="93" customWidth="1"/>
    <col min="4101" max="4349" width="9.140625" style="93"/>
    <col min="4350" max="4350" width="6.85546875" style="93" customWidth="1"/>
    <col min="4351" max="4351" width="20.5703125" style="93" customWidth="1"/>
    <col min="4352" max="4352" width="34.28515625" style="93" customWidth="1"/>
    <col min="4353" max="4353" width="17.85546875" style="93" customWidth="1"/>
    <col min="4354" max="4355" width="19.140625" style="93" customWidth="1"/>
    <col min="4356" max="4356" width="16.42578125" style="93" customWidth="1"/>
    <col min="4357" max="4605" width="9.140625" style="93"/>
    <col min="4606" max="4606" width="6.85546875" style="93" customWidth="1"/>
    <col min="4607" max="4607" width="20.5703125" style="93" customWidth="1"/>
    <col min="4608" max="4608" width="34.28515625" style="93" customWidth="1"/>
    <col min="4609" max="4609" width="17.85546875" style="93" customWidth="1"/>
    <col min="4610" max="4611" width="19.140625" style="93" customWidth="1"/>
    <col min="4612" max="4612" width="16.42578125" style="93" customWidth="1"/>
    <col min="4613" max="4861" width="9.140625" style="93"/>
    <col min="4862" max="4862" width="6.85546875" style="93" customWidth="1"/>
    <col min="4863" max="4863" width="20.5703125" style="93" customWidth="1"/>
    <col min="4864" max="4864" width="34.28515625" style="93" customWidth="1"/>
    <col min="4865" max="4865" width="17.85546875" style="93" customWidth="1"/>
    <col min="4866" max="4867" width="19.140625" style="93" customWidth="1"/>
    <col min="4868" max="4868" width="16.42578125" style="93" customWidth="1"/>
    <col min="4869" max="5117" width="9.140625" style="93"/>
    <col min="5118" max="5118" width="6.85546875" style="93" customWidth="1"/>
    <col min="5119" max="5119" width="20.5703125" style="93" customWidth="1"/>
    <col min="5120" max="5120" width="34.28515625" style="93" customWidth="1"/>
    <col min="5121" max="5121" width="17.85546875" style="93" customWidth="1"/>
    <col min="5122" max="5123" width="19.140625" style="93" customWidth="1"/>
    <col min="5124" max="5124" width="16.42578125" style="93" customWidth="1"/>
    <col min="5125" max="5373" width="9.140625" style="93"/>
    <col min="5374" max="5374" width="6.85546875" style="93" customWidth="1"/>
    <col min="5375" max="5375" width="20.5703125" style="93" customWidth="1"/>
    <col min="5376" max="5376" width="34.28515625" style="93" customWidth="1"/>
    <col min="5377" max="5377" width="17.85546875" style="93" customWidth="1"/>
    <col min="5378" max="5379" width="19.140625" style="93" customWidth="1"/>
    <col min="5380" max="5380" width="16.42578125" style="93" customWidth="1"/>
    <col min="5381" max="5629" width="9.140625" style="93"/>
    <col min="5630" max="5630" width="6.85546875" style="93" customWidth="1"/>
    <col min="5631" max="5631" width="20.5703125" style="93" customWidth="1"/>
    <col min="5632" max="5632" width="34.28515625" style="93" customWidth="1"/>
    <col min="5633" max="5633" width="17.85546875" style="93" customWidth="1"/>
    <col min="5634" max="5635" width="19.140625" style="93" customWidth="1"/>
    <col min="5636" max="5636" width="16.42578125" style="93" customWidth="1"/>
    <col min="5637" max="5885" width="9.140625" style="93"/>
    <col min="5886" max="5886" width="6.85546875" style="93" customWidth="1"/>
    <col min="5887" max="5887" width="20.5703125" style="93" customWidth="1"/>
    <col min="5888" max="5888" width="34.28515625" style="93" customWidth="1"/>
    <col min="5889" max="5889" width="17.85546875" style="93" customWidth="1"/>
    <col min="5890" max="5891" width="19.140625" style="93" customWidth="1"/>
    <col min="5892" max="5892" width="16.42578125" style="93" customWidth="1"/>
    <col min="5893" max="6141" width="9.140625" style="93"/>
    <col min="6142" max="6142" width="6.85546875" style="93" customWidth="1"/>
    <col min="6143" max="6143" width="20.5703125" style="93" customWidth="1"/>
    <col min="6144" max="6144" width="34.28515625" style="93" customWidth="1"/>
    <col min="6145" max="6145" width="17.85546875" style="93" customWidth="1"/>
    <col min="6146" max="6147" width="19.140625" style="93" customWidth="1"/>
    <col min="6148" max="6148" width="16.42578125" style="93" customWidth="1"/>
    <col min="6149" max="6397" width="9.140625" style="93"/>
    <col min="6398" max="6398" width="6.85546875" style="93" customWidth="1"/>
    <col min="6399" max="6399" width="20.5703125" style="93" customWidth="1"/>
    <col min="6400" max="6400" width="34.28515625" style="93" customWidth="1"/>
    <col min="6401" max="6401" width="17.85546875" style="93" customWidth="1"/>
    <col min="6402" max="6403" width="19.140625" style="93" customWidth="1"/>
    <col min="6404" max="6404" width="16.42578125" style="93" customWidth="1"/>
    <col min="6405" max="6653" width="9.140625" style="93"/>
    <col min="6654" max="6654" width="6.85546875" style="93" customWidth="1"/>
    <col min="6655" max="6655" width="20.5703125" style="93" customWidth="1"/>
    <col min="6656" max="6656" width="34.28515625" style="93" customWidth="1"/>
    <col min="6657" max="6657" width="17.85546875" style="93" customWidth="1"/>
    <col min="6658" max="6659" width="19.140625" style="93" customWidth="1"/>
    <col min="6660" max="6660" width="16.42578125" style="93" customWidth="1"/>
    <col min="6661" max="6909" width="9.140625" style="93"/>
    <col min="6910" max="6910" width="6.85546875" style="93" customWidth="1"/>
    <col min="6911" max="6911" width="20.5703125" style="93" customWidth="1"/>
    <col min="6912" max="6912" width="34.28515625" style="93" customWidth="1"/>
    <col min="6913" max="6913" width="17.85546875" style="93" customWidth="1"/>
    <col min="6914" max="6915" width="19.140625" style="93" customWidth="1"/>
    <col min="6916" max="6916" width="16.42578125" style="93" customWidth="1"/>
    <col min="6917" max="7165" width="9.140625" style="93"/>
    <col min="7166" max="7166" width="6.85546875" style="93" customWidth="1"/>
    <col min="7167" max="7167" width="20.5703125" style="93" customWidth="1"/>
    <col min="7168" max="7168" width="34.28515625" style="93" customWidth="1"/>
    <col min="7169" max="7169" width="17.85546875" style="93" customWidth="1"/>
    <col min="7170" max="7171" width="19.140625" style="93" customWidth="1"/>
    <col min="7172" max="7172" width="16.42578125" style="93" customWidth="1"/>
    <col min="7173" max="7421" width="9.140625" style="93"/>
    <col min="7422" max="7422" width="6.85546875" style="93" customWidth="1"/>
    <col min="7423" max="7423" width="20.5703125" style="93" customWidth="1"/>
    <col min="7424" max="7424" width="34.28515625" style="93" customWidth="1"/>
    <col min="7425" max="7425" width="17.85546875" style="93" customWidth="1"/>
    <col min="7426" max="7427" width="19.140625" style="93" customWidth="1"/>
    <col min="7428" max="7428" width="16.42578125" style="93" customWidth="1"/>
    <col min="7429" max="7677" width="9.140625" style="93"/>
    <col min="7678" max="7678" width="6.85546875" style="93" customWidth="1"/>
    <col min="7679" max="7679" width="20.5703125" style="93" customWidth="1"/>
    <col min="7680" max="7680" width="34.28515625" style="93" customWidth="1"/>
    <col min="7681" max="7681" width="17.85546875" style="93" customWidth="1"/>
    <col min="7682" max="7683" width="19.140625" style="93" customWidth="1"/>
    <col min="7684" max="7684" width="16.42578125" style="93" customWidth="1"/>
    <col min="7685" max="7933" width="9.140625" style="93"/>
    <col min="7934" max="7934" width="6.85546875" style="93" customWidth="1"/>
    <col min="7935" max="7935" width="20.5703125" style="93" customWidth="1"/>
    <col min="7936" max="7936" width="34.28515625" style="93" customWidth="1"/>
    <col min="7937" max="7937" width="17.85546875" style="93" customWidth="1"/>
    <col min="7938" max="7939" width="19.140625" style="93" customWidth="1"/>
    <col min="7940" max="7940" width="16.42578125" style="93" customWidth="1"/>
    <col min="7941" max="8189" width="9.140625" style="93"/>
    <col min="8190" max="8190" width="6.85546875" style="93" customWidth="1"/>
    <col min="8191" max="8191" width="20.5703125" style="93" customWidth="1"/>
    <col min="8192" max="8192" width="34.28515625" style="93" customWidth="1"/>
    <col min="8193" max="8193" width="17.85546875" style="93" customWidth="1"/>
    <col min="8194" max="8195" width="19.140625" style="93" customWidth="1"/>
    <col min="8196" max="8196" width="16.42578125" style="93" customWidth="1"/>
    <col min="8197" max="8445" width="9.140625" style="93"/>
    <col min="8446" max="8446" width="6.85546875" style="93" customWidth="1"/>
    <col min="8447" max="8447" width="20.5703125" style="93" customWidth="1"/>
    <col min="8448" max="8448" width="34.28515625" style="93" customWidth="1"/>
    <col min="8449" max="8449" width="17.85546875" style="93" customWidth="1"/>
    <col min="8450" max="8451" width="19.140625" style="93" customWidth="1"/>
    <col min="8452" max="8452" width="16.42578125" style="93" customWidth="1"/>
    <col min="8453" max="8701" width="9.140625" style="93"/>
    <col min="8702" max="8702" width="6.85546875" style="93" customWidth="1"/>
    <col min="8703" max="8703" width="20.5703125" style="93" customWidth="1"/>
    <col min="8704" max="8704" width="34.28515625" style="93" customWidth="1"/>
    <col min="8705" max="8705" width="17.85546875" style="93" customWidth="1"/>
    <col min="8706" max="8707" width="19.140625" style="93" customWidth="1"/>
    <col min="8708" max="8708" width="16.42578125" style="93" customWidth="1"/>
    <col min="8709" max="8957" width="9.140625" style="93"/>
    <col min="8958" max="8958" width="6.85546875" style="93" customWidth="1"/>
    <col min="8959" max="8959" width="20.5703125" style="93" customWidth="1"/>
    <col min="8960" max="8960" width="34.28515625" style="93" customWidth="1"/>
    <col min="8961" max="8961" width="17.85546875" style="93" customWidth="1"/>
    <col min="8962" max="8963" width="19.140625" style="93" customWidth="1"/>
    <col min="8964" max="8964" width="16.42578125" style="93" customWidth="1"/>
    <col min="8965" max="9213" width="9.140625" style="93"/>
    <col min="9214" max="9214" width="6.85546875" style="93" customWidth="1"/>
    <col min="9215" max="9215" width="20.5703125" style="93" customWidth="1"/>
    <col min="9216" max="9216" width="34.28515625" style="93" customWidth="1"/>
    <col min="9217" max="9217" width="17.85546875" style="93" customWidth="1"/>
    <col min="9218" max="9219" width="19.140625" style="93" customWidth="1"/>
    <col min="9220" max="9220" width="16.42578125" style="93" customWidth="1"/>
    <col min="9221" max="9469" width="9.140625" style="93"/>
    <col min="9470" max="9470" width="6.85546875" style="93" customWidth="1"/>
    <col min="9471" max="9471" width="20.5703125" style="93" customWidth="1"/>
    <col min="9472" max="9472" width="34.28515625" style="93" customWidth="1"/>
    <col min="9473" max="9473" width="17.85546875" style="93" customWidth="1"/>
    <col min="9474" max="9475" width="19.140625" style="93" customWidth="1"/>
    <col min="9476" max="9476" width="16.42578125" style="93" customWidth="1"/>
    <col min="9477" max="9725" width="9.140625" style="93"/>
    <col min="9726" max="9726" width="6.85546875" style="93" customWidth="1"/>
    <col min="9727" max="9727" width="20.5703125" style="93" customWidth="1"/>
    <col min="9728" max="9728" width="34.28515625" style="93" customWidth="1"/>
    <col min="9729" max="9729" width="17.85546875" style="93" customWidth="1"/>
    <col min="9730" max="9731" width="19.140625" style="93" customWidth="1"/>
    <col min="9732" max="9732" width="16.42578125" style="93" customWidth="1"/>
    <col min="9733" max="9981" width="9.140625" style="93"/>
    <col min="9982" max="9982" width="6.85546875" style="93" customWidth="1"/>
    <col min="9983" max="9983" width="20.5703125" style="93" customWidth="1"/>
    <col min="9984" max="9984" width="34.28515625" style="93" customWidth="1"/>
    <col min="9985" max="9985" width="17.85546875" style="93" customWidth="1"/>
    <col min="9986" max="9987" width="19.140625" style="93" customWidth="1"/>
    <col min="9988" max="9988" width="16.42578125" style="93" customWidth="1"/>
    <col min="9989" max="10237" width="9.140625" style="93"/>
    <col min="10238" max="10238" width="6.85546875" style="93" customWidth="1"/>
    <col min="10239" max="10239" width="20.5703125" style="93" customWidth="1"/>
    <col min="10240" max="10240" width="34.28515625" style="93" customWidth="1"/>
    <col min="10241" max="10241" width="17.85546875" style="93" customWidth="1"/>
    <col min="10242" max="10243" width="19.140625" style="93" customWidth="1"/>
    <col min="10244" max="10244" width="16.42578125" style="93" customWidth="1"/>
    <col min="10245" max="10493" width="9.140625" style="93"/>
    <col min="10494" max="10494" width="6.85546875" style="93" customWidth="1"/>
    <col min="10495" max="10495" width="20.5703125" style="93" customWidth="1"/>
    <col min="10496" max="10496" width="34.28515625" style="93" customWidth="1"/>
    <col min="10497" max="10497" width="17.85546875" style="93" customWidth="1"/>
    <col min="10498" max="10499" width="19.140625" style="93" customWidth="1"/>
    <col min="10500" max="10500" width="16.42578125" style="93" customWidth="1"/>
    <col min="10501" max="10749" width="9.140625" style="93"/>
    <col min="10750" max="10750" width="6.85546875" style="93" customWidth="1"/>
    <col min="10751" max="10751" width="20.5703125" style="93" customWidth="1"/>
    <col min="10752" max="10752" width="34.28515625" style="93" customWidth="1"/>
    <col min="10753" max="10753" width="17.85546875" style="93" customWidth="1"/>
    <col min="10754" max="10755" width="19.140625" style="93" customWidth="1"/>
    <col min="10756" max="10756" width="16.42578125" style="93" customWidth="1"/>
    <col min="10757" max="11005" width="9.140625" style="93"/>
    <col min="11006" max="11006" width="6.85546875" style="93" customWidth="1"/>
    <col min="11007" max="11007" width="20.5703125" style="93" customWidth="1"/>
    <col min="11008" max="11008" width="34.28515625" style="93" customWidth="1"/>
    <col min="11009" max="11009" width="17.85546875" style="93" customWidth="1"/>
    <col min="11010" max="11011" width="19.140625" style="93" customWidth="1"/>
    <col min="11012" max="11012" width="16.42578125" style="93" customWidth="1"/>
    <col min="11013" max="11261" width="9.140625" style="93"/>
    <col min="11262" max="11262" width="6.85546875" style="93" customWidth="1"/>
    <col min="11263" max="11263" width="20.5703125" style="93" customWidth="1"/>
    <col min="11264" max="11264" width="34.28515625" style="93" customWidth="1"/>
    <col min="11265" max="11265" width="17.85546875" style="93" customWidth="1"/>
    <col min="11266" max="11267" width="19.140625" style="93" customWidth="1"/>
    <col min="11268" max="11268" width="16.42578125" style="93" customWidth="1"/>
    <col min="11269" max="11517" width="9.140625" style="93"/>
    <col min="11518" max="11518" width="6.85546875" style="93" customWidth="1"/>
    <col min="11519" max="11519" width="20.5703125" style="93" customWidth="1"/>
    <col min="11520" max="11520" width="34.28515625" style="93" customWidth="1"/>
    <col min="11521" max="11521" width="17.85546875" style="93" customWidth="1"/>
    <col min="11522" max="11523" width="19.140625" style="93" customWidth="1"/>
    <col min="11524" max="11524" width="16.42578125" style="93" customWidth="1"/>
    <col min="11525" max="11773" width="9.140625" style="93"/>
    <col min="11774" max="11774" width="6.85546875" style="93" customWidth="1"/>
    <col min="11775" max="11775" width="20.5703125" style="93" customWidth="1"/>
    <col min="11776" max="11776" width="34.28515625" style="93" customWidth="1"/>
    <col min="11777" max="11777" width="17.85546875" style="93" customWidth="1"/>
    <col min="11778" max="11779" width="19.140625" style="93" customWidth="1"/>
    <col min="11780" max="11780" width="16.42578125" style="93" customWidth="1"/>
    <col min="11781" max="12029" width="9.140625" style="93"/>
    <col min="12030" max="12030" width="6.85546875" style="93" customWidth="1"/>
    <col min="12031" max="12031" width="20.5703125" style="93" customWidth="1"/>
    <col min="12032" max="12032" width="34.28515625" style="93" customWidth="1"/>
    <col min="12033" max="12033" width="17.85546875" style="93" customWidth="1"/>
    <col min="12034" max="12035" width="19.140625" style="93" customWidth="1"/>
    <col min="12036" max="12036" width="16.42578125" style="93" customWidth="1"/>
    <col min="12037" max="12285" width="9.140625" style="93"/>
    <col min="12286" max="12286" width="6.85546875" style="93" customWidth="1"/>
    <col min="12287" max="12287" width="20.5703125" style="93" customWidth="1"/>
    <col min="12288" max="12288" width="34.28515625" style="93" customWidth="1"/>
    <col min="12289" max="12289" width="17.85546875" style="93" customWidth="1"/>
    <col min="12290" max="12291" width="19.140625" style="93" customWidth="1"/>
    <col min="12292" max="12292" width="16.42578125" style="93" customWidth="1"/>
    <col min="12293" max="12541" width="9.140625" style="93"/>
    <col min="12542" max="12542" width="6.85546875" style="93" customWidth="1"/>
    <col min="12543" max="12543" width="20.5703125" style="93" customWidth="1"/>
    <col min="12544" max="12544" width="34.28515625" style="93" customWidth="1"/>
    <col min="12545" max="12545" width="17.85546875" style="93" customWidth="1"/>
    <col min="12546" max="12547" width="19.140625" style="93" customWidth="1"/>
    <col min="12548" max="12548" width="16.42578125" style="93" customWidth="1"/>
    <col min="12549" max="12797" width="9.140625" style="93"/>
    <col min="12798" max="12798" width="6.85546875" style="93" customWidth="1"/>
    <col min="12799" max="12799" width="20.5703125" style="93" customWidth="1"/>
    <col min="12800" max="12800" width="34.28515625" style="93" customWidth="1"/>
    <col min="12801" max="12801" width="17.85546875" style="93" customWidth="1"/>
    <col min="12802" max="12803" width="19.140625" style="93" customWidth="1"/>
    <col min="12804" max="12804" width="16.42578125" style="93" customWidth="1"/>
    <col min="12805" max="13053" width="9.140625" style="93"/>
    <col min="13054" max="13054" width="6.85546875" style="93" customWidth="1"/>
    <col min="13055" max="13055" width="20.5703125" style="93" customWidth="1"/>
    <col min="13056" max="13056" width="34.28515625" style="93" customWidth="1"/>
    <col min="13057" max="13057" width="17.85546875" style="93" customWidth="1"/>
    <col min="13058" max="13059" width="19.140625" style="93" customWidth="1"/>
    <col min="13060" max="13060" width="16.42578125" style="93" customWidth="1"/>
    <col min="13061" max="13309" width="9.140625" style="93"/>
    <col min="13310" max="13310" width="6.85546875" style="93" customWidth="1"/>
    <col min="13311" max="13311" width="20.5703125" style="93" customWidth="1"/>
    <col min="13312" max="13312" width="34.28515625" style="93" customWidth="1"/>
    <col min="13313" max="13313" width="17.85546875" style="93" customWidth="1"/>
    <col min="13314" max="13315" width="19.140625" style="93" customWidth="1"/>
    <col min="13316" max="13316" width="16.42578125" style="93" customWidth="1"/>
    <col min="13317" max="13565" width="9.140625" style="93"/>
    <col min="13566" max="13566" width="6.85546875" style="93" customWidth="1"/>
    <col min="13567" max="13567" width="20.5703125" style="93" customWidth="1"/>
    <col min="13568" max="13568" width="34.28515625" style="93" customWidth="1"/>
    <col min="13569" max="13569" width="17.85546875" style="93" customWidth="1"/>
    <col min="13570" max="13571" width="19.140625" style="93" customWidth="1"/>
    <col min="13572" max="13572" width="16.42578125" style="93" customWidth="1"/>
    <col min="13573" max="13821" width="9.140625" style="93"/>
    <col min="13822" max="13822" width="6.85546875" style="93" customWidth="1"/>
    <col min="13823" max="13823" width="20.5703125" style="93" customWidth="1"/>
    <col min="13824" max="13824" width="34.28515625" style="93" customWidth="1"/>
    <col min="13825" max="13825" width="17.85546875" style="93" customWidth="1"/>
    <col min="13826" max="13827" width="19.140625" style="93" customWidth="1"/>
    <col min="13828" max="13828" width="16.42578125" style="93" customWidth="1"/>
    <col min="13829" max="14077" width="9.140625" style="93"/>
    <col min="14078" max="14078" width="6.85546875" style="93" customWidth="1"/>
    <col min="14079" max="14079" width="20.5703125" style="93" customWidth="1"/>
    <col min="14080" max="14080" width="34.28515625" style="93" customWidth="1"/>
    <col min="14081" max="14081" width="17.85546875" style="93" customWidth="1"/>
    <col min="14082" max="14083" width="19.140625" style="93" customWidth="1"/>
    <col min="14084" max="14084" width="16.42578125" style="93" customWidth="1"/>
    <col min="14085" max="14333" width="9.140625" style="93"/>
    <col min="14334" max="14334" width="6.85546875" style="93" customWidth="1"/>
    <col min="14335" max="14335" width="20.5703125" style="93" customWidth="1"/>
    <col min="14336" max="14336" width="34.28515625" style="93" customWidth="1"/>
    <col min="14337" max="14337" width="17.85546875" style="93" customWidth="1"/>
    <col min="14338" max="14339" width="19.140625" style="93" customWidth="1"/>
    <col min="14340" max="14340" width="16.42578125" style="93" customWidth="1"/>
    <col min="14341" max="14589" width="9.140625" style="93"/>
    <col min="14590" max="14590" width="6.85546875" style="93" customWidth="1"/>
    <col min="14591" max="14591" width="20.5703125" style="93" customWidth="1"/>
    <col min="14592" max="14592" width="34.28515625" style="93" customWidth="1"/>
    <col min="14593" max="14593" width="17.85546875" style="93" customWidth="1"/>
    <col min="14594" max="14595" width="19.140625" style="93" customWidth="1"/>
    <col min="14596" max="14596" width="16.42578125" style="93" customWidth="1"/>
    <col min="14597" max="14845" width="9.140625" style="93"/>
    <col min="14846" max="14846" width="6.85546875" style="93" customWidth="1"/>
    <col min="14847" max="14847" width="20.5703125" style="93" customWidth="1"/>
    <col min="14848" max="14848" width="34.28515625" style="93" customWidth="1"/>
    <col min="14849" max="14849" width="17.85546875" style="93" customWidth="1"/>
    <col min="14850" max="14851" width="19.140625" style="93" customWidth="1"/>
    <col min="14852" max="14852" width="16.42578125" style="93" customWidth="1"/>
    <col min="14853" max="15101" width="9.140625" style="93"/>
    <col min="15102" max="15102" width="6.85546875" style="93" customWidth="1"/>
    <col min="15103" max="15103" width="20.5703125" style="93" customWidth="1"/>
    <col min="15104" max="15104" width="34.28515625" style="93" customWidth="1"/>
    <col min="15105" max="15105" width="17.85546875" style="93" customWidth="1"/>
    <col min="15106" max="15107" width="19.140625" style="93" customWidth="1"/>
    <col min="15108" max="15108" width="16.42578125" style="93" customWidth="1"/>
    <col min="15109" max="15357" width="9.140625" style="93"/>
    <col min="15358" max="15358" width="6.85546875" style="93" customWidth="1"/>
    <col min="15359" max="15359" width="20.5703125" style="93" customWidth="1"/>
    <col min="15360" max="15360" width="34.28515625" style="93" customWidth="1"/>
    <col min="15361" max="15361" width="17.85546875" style="93" customWidth="1"/>
    <col min="15362" max="15363" width="19.140625" style="93" customWidth="1"/>
    <col min="15364" max="15364" width="16.42578125" style="93" customWidth="1"/>
    <col min="15365" max="15613" width="9.140625" style="93"/>
    <col min="15614" max="15614" width="6.85546875" style="93" customWidth="1"/>
    <col min="15615" max="15615" width="20.5703125" style="93" customWidth="1"/>
    <col min="15616" max="15616" width="34.28515625" style="93" customWidth="1"/>
    <col min="15617" max="15617" width="17.85546875" style="93" customWidth="1"/>
    <col min="15618" max="15619" width="19.140625" style="93" customWidth="1"/>
    <col min="15620" max="15620" width="16.42578125" style="93" customWidth="1"/>
    <col min="15621" max="15869" width="9.140625" style="93"/>
    <col min="15870" max="15870" width="6.85546875" style="93" customWidth="1"/>
    <col min="15871" max="15871" width="20.5703125" style="93" customWidth="1"/>
    <col min="15872" max="15872" width="34.28515625" style="93" customWidth="1"/>
    <col min="15873" max="15873" width="17.85546875" style="93" customWidth="1"/>
    <col min="15874" max="15875" width="19.140625" style="93" customWidth="1"/>
    <col min="15876" max="15876" width="16.42578125" style="93" customWidth="1"/>
    <col min="15877" max="16125" width="9.140625" style="93"/>
    <col min="16126" max="16126" width="6.85546875" style="93" customWidth="1"/>
    <col min="16127" max="16127" width="20.5703125" style="93" customWidth="1"/>
    <col min="16128" max="16128" width="34.28515625" style="93" customWidth="1"/>
    <col min="16129" max="16129" width="17.85546875" style="93" customWidth="1"/>
    <col min="16130" max="16131" width="19.140625" style="93" customWidth="1"/>
    <col min="16132" max="16132" width="16.42578125" style="93" customWidth="1"/>
    <col min="16133" max="16384" width="9.140625" style="93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792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62" customFormat="1" ht="30" x14ac:dyDescent="0.2">
      <c r="A4" s="161" t="s">
        <v>2</v>
      </c>
      <c r="B4" s="161" t="s">
        <v>3</v>
      </c>
      <c r="C4" s="161" t="s">
        <v>4</v>
      </c>
      <c r="D4" s="161" t="s">
        <v>5</v>
      </c>
      <c r="E4" s="161" t="s">
        <v>6</v>
      </c>
      <c r="F4" s="161" t="s">
        <v>7</v>
      </c>
      <c r="G4" s="161" t="s">
        <v>8</v>
      </c>
      <c r="H4" s="136" t="s">
        <v>810</v>
      </c>
    </row>
    <row r="5" spans="1:14" x14ac:dyDescent="0.2">
      <c r="A5" s="94"/>
      <c r="B5" s="94"/>
      <c r="C5" s="95" t="s">
        <v>9</v>
      </c>
      <c r="D5" s="94"/>
      <c r="E5" s="94"/>
      <c r="F5" s="94"/>
      <c r="G5" s="144"/>
      <c r="H5" s="151"/>
    </row>
    <row r="6" spans="1:14" ht="25.5" x14ac:dyDescent="0.2">
      <c r="A6" s="94"/>
      <c r="B6" s="94"/>
      <c r="C6" s="95" t="s">
        <v>10</v>
      </c>
      <c r="D6" s="94"/>
      <c r="E6" s="94"/>
      <c r="F6" s="94"/>
      <c r="G6" s="144"/>
      <c r="H6" s="151"/>
    </row>
    <row r="7" spans="1:14" x14ac:dyDescent="0.2">
      <c r="A7" s="96">
        <v>1</v>
      </c>
      <c r="B7" s="97" t="s">
        <v>22</v>
      </c>
      <c r="C7" s="97" t="s">
        <v>23</v>
      </c>
      <c r="D7" s="97" t="s">
        <v>24</v>
      </c>
      <c r="E7" s="98">
        <v>936875</v>
      </c>
      <c r="F7" s="99">
        <v>6566.0884374999996</v>
      </c>
      <c r="G7" s="145">
        <v>5.6451025000000002E-2</v>
      </c>
      <c r="H7" s="151"/>
    </row>
    <row r="8" spans="1:14" x14ac:dyDescent="0.2">
      <c r="A8" s="96">
        <v>2</v>
      </c>
      <c r="B8" s="97" t="s">
        <v>14</v>
      </c>
      <c r="C8" s="97" t="s">
        <v>15</v>
      </c>
      <c r="D8" s="97" t="s">
        <v>16</v>
      </c>
      <c r="E8" s="98">
        <v>240000</v>
      </c>
      <c r="F8" s="99">
        <v>6046.2</v>
      </c>
      <c r="G8" s="145">
        <v>5.1981356999999999E-2</v>
      </c>
      <c r="H8" s="151"/>
    </row>
    <row r="9" spans="1:14" x14ac:dyDescent="0.2">
      <c r="A9" s="96">
        <v>3</v>
      </c>
      <c r="B9" s="97" t="s">
        <v>414</v>
      </c>
      <c r="C9" s="97" t="s">
        <v>415</v>
      </c>
      <c r="D9" s="97" t="s">
        <v>24</v>
      </c>
      <c r="E9" s="98">
        <v>888000</v>
      </c>
      <c r="F9" s="99">
        <v>4022.64</v>
      </c>
      <c r="G9" s="145">
        <v>3.4584084000000001E-2</v>
      </c>
      <c r="H9" s="151"/>
    </row>
    <row r="10" spans="1:14" ht="25.5" x14ac:dyDescent="0.2">
      <c r="A10" s="96">
        <v>4</v>
      </c>
      <c r="B10" s="97" t="s">
        <v>412</v>
      </c>
      <c r="C10" s="97" t="s">
        <v>413</v>
      </c>
      <c r="D10" s="97" t="s">
        <v>80</v>
      </c>
      <c r="E10" s="98">
        <v>135000</v>
      </c>
      <c r="F10" s="99">
        <v>3718.3049999999998</v>
      </c>
      <c r="G10" s="145">
        <v>3.1967606000000003E-2</v>
      </c>
      <c r="H10" s="151"/>
    </row>
    <row r="11" spans="1:14" s="126" customFormat="1" x14ac:dyDescent="0.2">
      <c r="A11" s="96">
        <v>5</v>
      </c>
      <c r="B11" s="4" t="s">
        <v>984</v>
      </c>
      <c r="C11" s="4" t="s">
        <v>985</v>
      </c>
      <c r="D11" s="4" t="s">
        <v>66</v>
      </c>
      <c r="E11" s="5">
        <v>1050000</v>
      </c>
      <c r="F11" s="6">
        <v>3560.2350000000001</v>
      </c>
      <c r="G11" s="138">
        <v>3.060862E-2</v>
      </c>
      <c r="H11" s="151"/>
    </row>
    <row r="12" spans="1:14" x14ac:dyDescent="0.2">
      <c r="A12" s="96">
        <v>6</v>
      </c>
      <c r="B12" s="97" t="s">
        <v>410</v>
      </c>
      <c r="C12" s="97" t="s">
        <v>411</v>
      </c>
      <c r="D12" s="97" t="s">
        <v>164</v>
      </c>
      <c r="E12" s="98">
        <v>200000</v>
      </c>
      <c r="F12" s="99">
        <v>3350.4</v>
      </c>
      <c r="G12" s="145">
        <v>2.8804593999999999E-2</v>
      </c>
      <c r="H12" s="151"/>
    </row>
    <row r="13" spans="1:14" x14ac:dyDescent="0.2">
      <c r="A13" s="96">
        <v>7</v>
      </c>
      <c r="B13" s="97" t="s">
        <v>420</v>
      </c>
      <c r="C13" s="97" t="s">
        <v>421</v>
      </c>
      <c r="D13" s="97" t="s">
        <v>164</v>
      </c>
      <c r="E13" s="98">
        <v>77950</v>
      </c>
      <c r="F13" s="99">
        <v>2943.0412249999999</v>
      </c>
      <c r="G13" s="145">
        <v>2.5302384000000001E-2</v>
      </c>
      <c r="H13" s="151"/>
    </row>
    <row r="14" spans="1:14" x14ac:dyDescent="0.2">
      <c r="A14" s="96">
        <v>8</v>
      </c>
      <c r="B14" s="97" t="s">
        <v>408</v>
      </c>
      <c r="C14" s="97" t="s">
        <v>409</v>
      </c>
      <c r="D14" s="97" t="s">
        <v>24</v>
      </c>
      <c r="E14" s="98">
        <v>184000</v>
      </c>
      <c r="F14" s="99">
        <v>2934.7080000000001</v>
      </c>
      <c r="G14" s="145">
        <v>2.5230741000000001E-2</v>
      </c>
      <c r="H14" s="151"/>
    </row>
    <row r="15" spans="1:14" ht="15" x14ac:dyDescent="0.2">
      <c r="A15" s="96">
        <v>9</v>
      </c>
      <c r="B15" s="97" t="s">
        <v>437</v>
      </c>
      <c r="C15" s="97" t="s">
        <v>438</v>
      </c>
      <c r="D15" s="97" t="s">
        <v>164</v>
      </c>
      <c r="E15" s="98">
        <v>207400</v>
      </c>
      <c r="F15" s="99">
        <v>2863.3643999999999</v>
      </c>
      <c r="G15" s="145">
        <v>2.4617374000000001E-2</v>
      </c>
      <c r="H15" s="151"/>
      <c r="J15" s="163" t="s">
        <v>1044</v>
      </c>
    </row>
    <row r="16" spans="1:14" x14ac:dyDescent="0.2">
      <c r="A16" s="96">
        <v>10</v>
      </c>
      <c r="B16" s="97" t="s">
        <v>17</v>
      </c>
      <c r="C16" s="97" t="s">
        <v>18</v>
      </c>
      <c r="D16" s="97" t="s">
        <v>19</v>
      </c>
      <c r="E16" s="98">
        <v>396183</v>
      </c>
      <c r="F16" s="99">
        <v>2726.9275889999999</v>
      </c>
      <c r="G16" s="145">
        <v>2.3444377999999998E-2</v>
      </c>
      <c r="H16" s="151"/>
    </row>
    <row r="17" spans="1:8" x14ac:dyDescent="0.2">
      <c r="A17" s="96">
        <v>11</v>
      </c>
      <c r="B17" s="97" t="s">
        <v>336</v>
      </c>
      <c r="C17" s="97" t="s">
        <v>337</v>
      </c>
      <c r="D17" s="97" t="s">
        <v>24</v>
      </c>
      <c r="E17" s="98">
        <v>350000</v>
      </c>
      <c r="F17" s="99">
        <v>2682.9250000000002</v>
      </c>
      <c r="G17" s="145">
        <v>2.3066072E-2</v>
      </c>
      <c r="H17" s="151"/>
    </row>
    <row r="18" spans="1:8" ht="25.5" x14ac:dyDescent="0.2">
      <c r="A18" s="96">
        <v>12</v>
      </c>
      <c r="B18" s="97" t="s">
        <v>484</v>
      </c>
      <c r="C18" s="97" t="s">
        <v>485</v>
      </c>
      <c r="D18" s="97" t="s">
        <v>90</v>
      </c>
      <c r="E18" s="98">
        <v>300000</v>
      </c>
      <c r="F18" s="99">
        <v>2559.3000000000002</v>
      </c>
      <c r="G18" s="145">
        <v>2.2003222999999999E-2</v>
      </c>
      <c r="H18" s="151"/>
    </row>
    <row r="19" spans="1:8" x14ac:dyDescent="0.2">
      <c r="A19" s="96">
        <v>13</v>
      </c>
      <c r="B19" s="97" t="s">
        <v>439</v>
      </c>
      <c r="C19" s="97" t="s">
        <v>440</v>
      </c>
      <c r="D19" s="97" t="s">
        <v>173</v>
      </c>
      <c r="E19" s="98">
        <v>350000</v>
      </c>
      <c r="F19" s="99">
        <v>1945.4749999999999</v>
      </c>
      <c r="G19" s="145">
        <v>1.6725949E-2</v>
      </c>
      <c r="H19" s="151"/>
    </row>
    <row r="20" spans="1:8" s="126" customFormat="1" ht="25.5" x14ac:dyDescent="0.2">
      <c r="A20" s="96">
        <v>14</v>
      </c>
      <c r="B20" s="4" t="s">
        <v>986</v>
      </c>
      <c r="C20" s="4" t="s">
        <v>987</v>
      </c>
      <c r="D20" s="4" t="s">
        <v>34</v>
      </c>
      <c r="E20" s="5">
        <v>1462700</v>
      </c>
      <c r="F20" s="6">
        <v>1761.9684199999999</v>
      </c>
      <c r="G20" s="138">
        <v>1.514828E-2</v>
      </c>
      <c r="H20" s="151"/>
    </row>
    <row r="21" spans="1:8" x14ac:dyDescent="0.2">
      <c r="A21" s="96">
        <v>15</v>
      </c>
      <c r="B21" s="97" t="s">
        <v>25</v>
      </c>
      <c r="C21" s="97" t="s">
        <v>26</v>
      </c>
      <c r="D21" s="97" t="s">
        <v>27</v>
      </c>
      <c r="E21" s="98">
        <v>125000</v>
      </c>
      <c r="F21" s="99">
        <v>1715.8125</v>
      </c>
      <c r="G21" s="145">
        <v>1.4751457000000001E-2</v>
      </c>
      <c r="H21" s="151"/>
    </row>
    <row r="22" spans="1:8" ht="25.5" x14ac:dyDescent="0.2">
      <c r="A22" s="96">
        <v>16</v>
      </c>
      <c r="B22" s="97" t="s">
        <v>571</v>
      </c>
      <c r="C22" s="97" t="s">
        <v>572</v>
      </c>
      <c r="D22" s="97" t="s">
        <v>90</v>
      </c>
      <c r="E22" s="98">
        <v>280000</v>
      </c>
      <c r="F22" s="99">
        <v>1533</v>
      </c>
      <c r="G22" s="145">
        <v>1.3179753000000001E-2</v>
      </c>
      <c r="H22" s="151"/>
    </row>
    <row r="23" spans="1:8" x14ac:dyDescent="0.2">
      <c r="A23" s="96">
        <v>17</v>
      </c>
      <c r="B23" s="97" t="s">
        <v>11</v>
      </c>
      <c r="C23" s="97" t="s">
        <v>12</v>
      </c>
      <c r="D23" s="97" t="s">
        <v>13</v>
      </c>
      <c r="E23" s="98">
        <v>80000</v>
      </c>
      <c r="F23" s="99">
        <v>1362.36</v>
      </c>
      <c r="G23" s="145">
        <v>1.1712699E-2</v>
      </c>
      <c r="H23" s="151"/>
    </row>
    <row r="24" spans="1:8" ht="25.5" x14ac:dyDescent="0.2">
      <c r="A24" s="96">
        <v>18</v>
      </c>
      <c r="B24" s="97" t="s">
        <v>418</v>
      </c>
      <c r="C24" s="97" t="s">
        <v>419</v>
      </c>
      <c r="D24" s="97" t="s">
        <v>90</v>
      </c>
      <c r="E24" s="98">
        <v>50000</v>
      </c>
      <c r="F24" s="99">
        <v>1350.9</v>
      </c>
      <c r="G24" s="145">
        <v>1.1614173E-2</v>
      </c>
      <c r="H24" s="151"/>
    </row>
    <row r="25" spans="1:8" x14ac:dyDescent="0.2">
      <c r="A25" s="96">
        <v>19</v>
      </c>
      <c r="B25" s="97" t="s">
        <v>91</v>
      </c>
      <c r="C25" s="97" t="s">
        <v>92</v>
      </c>
      <c r="D25" s="97" t="s">
        <v>27</v>
      </c>
      <c r="E25" s="98">
        <v>17000</v>
      </c>
      <c r="F25" s="99">
        <v>1284.9535000000001</v>
      </c>
      <c r="G25" s="145">
        <v>1.1047207999999999E-2</v>
      </c>
      <c r="H25" s="151"/>
    </row>
    <row r="26" spans="1:8" x14ac:dyDescent="0.2">
      <c r="A26" s="96">
        <v>20</v>
      </c>
      <c r="B26" s="97" t="s">
        <v>630</v>
      </c>
      <c r="C26" s="97" t="s">
        <v>631</v>
      </c>
      <c r="D26" s="97" t="s">
        <v>153</v>
      </c>
      <c r="E26" s="98">
        <v>53500</v>
      </c>
      <c r="F26" s="99">
        <v>1274.3432499999999</v>
      </c>
      <c r="G26" s="145">
        <v>1.0955987E-2</v>
      </c>
      <c r="H26" s="151"/>
    </row>
    <row r="27" spans="1:8" x14ac:dyDescent="0.2">
      <c r="A27" s="96">
        <v>21</v>
      </c>
      <c r="B27" s="97" t="s">
        <v>290</v>
      </c>
      <c r="C27" s="97" t="s">
        <v>291</v>
      </c>
      <c r="D27" s="97" t="s">
        <v>153</v>
      </c>
      <c r="E27" s="98">
        <v>202336</v>
      </c>
      <c r="F27" s="99">
        <v>1239.2068320000001</v>
      </c>
      <c r="G27" s="145">
        <v>1.0653907000000001E-2</v>
      </c>
      <c r="H27" s="151"/>
    </row>
    <row r="28" spans="1:8" x14ac:dyDescent="0.2">
      <c r="A28" s="96">
        <v>22</v>
      </c>
      <c r="B28" s="97" t="s">
        <v>151</v>
      </c>
      <c r="C28" s="97" t="s">
        <v>152</v>
      </c>
      <c r="D28" s="97" t="s">
        <v>153</v>
      </c>
      <c r="E28" s="98">
        <v>31600</v>
      </c>
      <c r="F28" s="99">
        <v>1164.3810000000001</v>
      </c>
      <c r="G28" s="145">
        <v>1.0010602E-2</v>
      </c>
      <c r="H28" s="151"/>
    </row>
    <row r="29" spans="1:8" ht="25.5" x14ac:dyDescent="0.2">
      <c r="A29" s="96">
        <v>23</v>
      </c>
      <c r="B29" s="97" t="s">
        <v>38</v>
      </c>
      <c r="C29" s="97" t="s">
        <v>39</v>
      </c>
      <c r="D29" s="97" t="s">
        <v>1023</v>
      </c>
      <c r="E29" s="98">
        <v>15000</v>
      </c>
      <c r="F29" s="99">
        <v>1109.415</v>
      </c>
      <c r="G29" s="145">
        <v>9.5380399999999994E-3</v>
      </c>
      <c r="H29" s="151"/>
    </row>
    <row r="30" spans="1:8" x14ac:dyDescent="0.2">
      <c r="A30" s="96">
        <v>24</v>
      </c>
      <c r="B30" s="97" t="s">
        <v>416</v>
      </c>
      <c r="C30" s="97" t="s">
        <v>417</v>
      </c>
      <c r="D30" s="97" t="s">
        <v>1030</v>
      </c>
      <c r="E30" s="98">
        <v>90000</v>
      </c>
      <c r="F30" s="99">
        <v>1093.5899999999999</v>
      </c>
      <c r="G30" s="145">
        <v>9.4019870000000005E-3</v>
      </c>
      <c r="H30" s="151"/>
    </row>
    <row r="31" spans="1:8" x14ac:dyDescent="0.2">
      <c r="A31" s="96">
        <v>25</v>
      </c>
      <c r="B31" s="97" t="s">
        <v>590</v>
      </c>
      <c r="C31" s="97" t="s">
        <v>591</v>
      </c>
      <c r="D31" s="97" t="s">
        <v>1030</v>
      </c>
      <c r="E31" s="98">
        <v>143000</v>
      </c>
      <c r="F31" s="99">
        <v>1033.0319999999999</v>
      </c>
      <c r="G31" s="145">
        <v>8.8813480000000007E-3</v>
      </c>
      <c r="H31" s="151"/>
    </row>
    <row r="32" spans="1:8" x14ac:dyDescent="0.2">
      <c r="A32" s="96">
        <v>26</v>
      </c>
      <c r="B32" s="97" t="s">
        <v>394</v>
      </c>
      <c r="C32" s="97" t="s">
        <v>395</v>
      </c>
      <c r="D32" s="97" t="s">
        <v>1030</v>
      </c>
      <c r="E32" s="98">
        <v>5750</v>
      </c>
      <c r="F32" s="99">
        <v>1022.738125</v>
      </c>
      <c r="G32" s="145">
        <v>8.7928480000000007E-3</v>
      </c>
      <c r="H32" s="151"/>
    </row>
    <row r="33" spans="1:8" x14ac:dyDescent="0.2">
      <c r="A33" s="96">
        <v>27</v>
      </c>
      <c r="B33" s="97" t="s">
        <v>368</v>
      </c>
      <c r="C33" s="97" t="s">
        <v>369</v>
      </c>
      <c r="D33" s="97" t="s">
        <v>164</v>
      </c>
      <c r="E33" s="98">
        <v>77000</v>
      </c>
      <c r="F33" s="99">
        <v>985.25350000000003</v>
      </c>
      <c r="G33" s="145">
        <v>8.4705790000000006E-3</v>
      </c>
      <c r="H33" s="151"/>
    </row>
    <row r="34" spans="1:8" x14ac:dyDescent="0.2">
      <c r="A34" s="96">
        <v>28</v>
      </c>
      <c r="B34" s="97" t="s">
        <v>684</v>
      </c>
      <c r="C34" s="97" t="s">
        <v>685</v>
      </c>
      <c r="D34" s="97" t="s">
        <v>207</v>
      </c>
      <c r="E34" s="98">
        <v>20000</v>
      </c>
      <c r="F34" s="99">
        <v>976.14</v>
      </c>
      <c r="G34" s="145">
        <v>8.3922270000000004E-3</v>
      </c>
      <c r="H34" s="151"/>
    </row>
    <row r="35" spans="1:8" x14ac:dyDescent="0.2">
      <c r="A35" s="96">
        <v>29</v>
      </c>
      <c r="B35" s="97" t="s">
        <v>340</v>
      </c>
      <c r="C35" s="97" t="s">
        <v>341</v>
      </c>
      <c r="D35" s="97" t="s">
        <v>216</v>
      </c>
      <c r="E35" s="98">
        <v>3000</v>
      </c>
      <c r="F35" s="99">
        <v>951.14700000000005</v>
      </c>
      <c r="G35" s="145">
        <v>8.1773530000000001E-3</v>
      </c>
      <c r="H35" s="151"/>
    </row>
    <row r="36" spans="1:8" x14ac:dyDescent="0.2">
      <c r="A36" s="96">
        <v>30</v>
      </c>
      <c r="B36" s="97" t="s">
        <v>441</v>
      </c>
      <c r="C36" s="97" t="s">
        <v>442</v>
      </c>
      <c r="D36" s="97" t="s">
        <v>24</v>
      </c>
      <c r="E36" s="98">
        <v>45000</v>
      </c>
      <c r="F36" s="99">
        <v>902.47500000000002</v>
      </c>
      <c r="G36" s="145">
        <v>7.7589019999999998E-3</v>
      </c>
      <c r="H36" s="151"/>
    </row>
    <row r="37" spans="1:8" ht="25.5" x14ac:dyDescent="0.2">
      <c r="A37" s="96">
        <v>31</v>
      </c>
      <c r="B37" s="97" t="s">
        <v>323</v>
      </c>
      <c r="C37" s="97" t="s">
        <v>324</v>
      </c>
      <c r="D37" s="97" t="s">
        <v>90</v>
      </c>
      <c r="E37" s="98">
        <v>100000</v>
      </c>
      <c r="F37" s="99">
        <v>897.6</v>
      </c>
      <c r="G37" s="145">
        <v>7.71699E-3</v>
      </c>
      <c r="H37" s="151"/>
    </row>
    <row r="38" spans="1:8" x14ac:dyDescent="0.2">
      <c r="A38" s="96">
        <v>32</v>
      </c>
      <c r="B38" s="97" t="s">
        <v>428</v>
      </c>
      <c r="C38" s="97" t="s">
        <v>429</v>
      </c>
      <c r="D38" s="97" t="s">
        <v>430</v>
      </c>
      <c r="E38" s="98">
        <v>175000</v>
      </c>
      <c r="F38" s="99">
        <v>853.91250000000002</v>
      </c>
      <c r="G38" s="145">
        <v>7.3413929999999999E-3</v>
      </c>
      <c r="H38" s="151"/>
    </row>
    <row r="39" spans="1:8" x14ac:dyDescent="0.2">
      <c r="A39" s="96">
        <v>33</v>
      </c>
      <c r="B39" s="97" t="s">
        <v>40</v>
      </c>
      <c r="C39" s="97" t="s">
        <v>41</v>
      </c>
      <c r="D39" s="97" t="s">
        <v>16</v>
      </c>
      <c r="E39" s="98">
        <v>195000</v>
      </c>
      <c r="F39" s="99">
        <v>842.79</v>
      </c>
      <c r="G39" s="145">
        <v>7.245769E-3</v>
      </c>
      <c r="H39" s="151"/>
    </row>
    <row r="40" spans="1:8" x14ac:dyDescent="0.2">
      <c r="A40" s="96">
        <v>34</v>
      </c>
      <c r="B40" s="97" t="s">
        <v>424</v>
      </c>
      <c r="C40" s="97" t="s">
        <v>425</v>
      </c>
      <c r="D40" s="97" t="s">
        <v>207</v>
      </c>
      <c r="E40" s="98">
        <v>100000</v>
      </c>
      <c r="F40" s="99">
        <v>818.25</v>
      </c>
      <c r="G40" s="145">
        <v>7.03479E-3</v>
      </c>
      <c r="H40" s="151"/>
    </row>
    <row r="41" spans="1:8" x14ac:dyDescent="0.2">
      <c r="A41" s="96">
        <v>35</v>
      </c>
      <c r="B41" s="97" t="s">
        <v>308</v>
      </c>
      <c r="C41" s="97" t="s">
        <v>309</v>
      </c>
      <c r="D41" s="97" t="s">
        <v>1030</v>
      </c>
      <c r="E41" s="98">
        <v>80000</v>
      </c>
      <c r="F41" s="99">
        <v>811.44</v>
      </c>
      <c r="G41" s="145">
        <v>6.9762419999999997E-3</v>
      </c>
      <c r="H41" s="151"/>
    </row>
    <row r="42" spans="1:8" x14ac:dyDescent="0.2">
      <c r="A42" s="96">
        <v>36</v>
      </c>
      <c r="B42" s="97" t="s">
        <v>212</v>
      </c>
      <c r="C42" s="97" t="s">
        <v>213</v>
      </c>
      <c r="D42" s="97" t="s">
        <v>1027</v>
      </c>
      <c r="E42" s="98">
        <v>86000</v>
      </c>
      <c r="F42" s="99">
        <v>787.93200000000002</v>
      </c>
      <c r="G42" s="145">
        <v>6.7741349999999997E-3</v>
      </c>
      <c r="H42" s="151"/>
    </row>
    <row r="43" spans="1:8" x14ac:dyDescent="0.2">
      <c r="A43" s="96">
        <v>37</v>
      </c>
      <c r="B43" s="97" t="s">
        <v>184</v>
      </c>
      <c r="C43" s="97" t="s">
        <v>185</v>
      </c>
      <c r="D43" s="97" t="s">
        <v>173</v>
      </c>
      <c r="E43" s="98">
        <v>55500</v>
      </c>
      <c r="F43" s="99">
        <v>775.25175000000002</v>
      </c>
      <c r="G43" s="145">
        <v>6.6651180000000003E-3</v>
      </c>
      <c r="H43" s="151"/>
    </row>
    <row r="44" spans="1:8" x14ac:dyDescent="0.2">
      <c r="A44" s="96">
        <v>38</v>
      </c>
      <c r="B44" s="97" t="s">
        <v>378</v>
      </c>
      <c r="C44" s="97" t="s">
        <v>379</v>
      </c>
      <c r="D44" s="97" t="s">
        <v>51</v>
      </c>
      <c r="E44" s="98">
        <v>1063000</v>
      </c>
      <c r="F44" s="99">
        <v>774.92700000000002</v>
      </c>
      <c r="G44" s="145">
        <v>6.6623259999999997E-3</v>
      </c>
      <c r="H44" s="151"/>
    </row>
    <row r="45" spans="1:8" ht="25.5" x14ac:dyDescent="0.2">
      <c r="A45" s="96">
        <v>39</v>
      </c>
      <c r="B45" s="97" t="s">
        <v>435</v>
      </c>
      <c r="C45" s="97" t="s">
        <v>436</v>
      </c>
      <c r="D45" s="97" t="s">
        <v>90</v>
      </c>
      <c r="E45" s="98">
        <v>325000</v>
      </c>
      <c r="F45" s="99">
        <v>767.48749999999995</v>
      </c>
      <c r="G45" s="145">
        <v>6.5983659999999996E-3</v>
      </c>
      <c r="H45" s="151"/>
    </row>
    <row r="46" spans="1:8" x14ac:dyDescent="0.2">
      <c r="A46" s="96">
        <v>40</v>
      </c>
      <c r="B46" s="97" t="s">
        <v>320</v>
      </c>
      <c r="C46" s="97" t="s">
        <v>321</v>
      </c>
      <c r="D46" s="97" t="s">
        <v>322</v>
      </c>
      <c r="E46" s="98">
        <v>24000</v>
      </c>
      <c r="F46" s="99">
        <v>762.80399999999997</v>
      </c>
      <c r="G46" s="145">
        <v>6.5580999999999999E-3</v>
      </c>
      <c r="H46" s="151"/>
    </row>
    <row r="47" spans="1:8" ht="25.5" x14ac:dyDescent="0.2">
      <c r="A47" s="96">
        <v>41</v>
      </c>
      <c r="B47" s="97" t="s">
        <v>338</v>
      </c>
      <c r="C47" s="97" t="s">
        <v>339</v>
      </c>
      <c r="D47" s="97" t="s">
        <v>51</v>
      </c>
      <c r="E47" s="98">
        <v>134000</v>
      </c>
      <c r="F47" s="99">
        <v>641.726</v>
      </c>
      <c r="G47" s="145">
        <v>5.5171489999999998E-3</v>
      </c>
      <c r="H47" s="151"/>
    </row>
    <row r="48" spans="1:8" x14ac:dyDescent="0.2">
      <c r="A48" s="96">
        <v>42</v>
      </c>
      <c r="B48" s="97" t="s">
        <v>388</v>
      </c>
      <c r="C48" s="97" t="s">
        <v>389</v>
      </c>
      <c r="D48" s="97" t="s">
        <v>335</v>
      </c>
      <c r="E48" s="98">
        <v>450000</v>
      </c>
      <c r="F48" s="99">
        <v>614.70000000000005</v>
      </c>
      <c r="G48" s="145">
        <v>5.2847969999999999E-3</v>
      </c>
      <c r="H48" s="151"/>
    </row>
    <row r="49" spans="1:8" x14ac:dyDescent="0.2">
      <c r="A49" s="96">
        <v>43</v>
      </c>
      <c r="B49" s="97" t="s">
        <v>318</v>
      </c>
      <c r="C49" s="97" t="s">
        <v>319</v>
      </c>
      <c r="D49" s="97" t="s">
        <v>51</v>
      </c>
      <c r="E49" s="98">
        <v>50000</v>
      </c>
      <c r="F49" s="99">
        <v>609.02499999999998</v>
      </c>
      <c r="G49" s="145">
        <v>5.236007E-3</v>
      </c>
      <c r="H49" s="151"/>
    </row>
    <row r="50" spans="1:8" x14ac:dyDescent="0.2">
      <c r="A50" s="96">
        <v>44</v>
      </c>
      <c r="B50" s="97" t="s">
        <v>352</v>
      </c>
      <c r="C50" s="97" t="s">
        <v>353</v>
      </c>
      <c r="D50" s="97" t="s">
        <v>48</v>
      </c>
      <c r="E50" s="98">
        <v>80000</v>
      </c>
      <c r="F50" s="99">
        <v>563.44000000000005</v>
      </c>
      <c r="G50" s="145">
        <v>4.844096E-3</v>
      </c>
      <c r="H50" s="151"/>
    </row>
    <row r="51" spans="1:8" x14ac:dyDescent="0.2">
      <c r="A51" s="96">
        <v>45</v>
      </c>
      <c r="B51" s="97" t="s">
        <v>179</v>
      </c>
      <c r="C51" s="97" t="s">
        <v>180</v>
      </c>
      <c r="D51" s="97" t="s">
        <v>181</v>
      </c>
      <c r="E51" s="98">
        <v>225000</v>
      </c>
      <c r="F51" s="99">
        <v>556.65</v>
      </c>
      <c r="G51" s="145">
        <v>4.7857200000000003E-3</v>
      </c>
      <c r="H51" s="151"/>
    </row>
    <row r="52" spans="1:8" x14ac:dyDescent="0.2">
      <c r="A52" s="96">
        <v>46</v>
      </c>
      <c r="B52" s="97" t="s">
        <v>431</v>
      </c>
      <c r="C52" s="97" t="s">
        <v>432</v>
      </c>
      <c r="D52" s="97" t="s">
        <v>59</v>
      </c>
      <c r="E52" s="98">
        <v>42500</v>
      </c>
      <c r="F52" s="99">
        <v>547.78250000000003</v>
      </c>
      <c r="G52" s="145">
        <v>4.7094830000000004E-3</v>
      </c>
      <c r="H52" s="151"/>
    </row>
    <row r="53" spans="1:8" x14ac:dyDescent="0.2">
      <c r="A53" s="96">
        <v>47</v>
      </c>
      <c r="B53" s="97" t="s">
        <v>426</v>
      </c>
      <c r="C53" s="97" t="s">
        <v>427</v>
      </c>
      <c r="D53" s="97" t="s">
        <v>83</v>
      </c>
      <c r="E53" s="98">
        <v>67500</v>
      </c>
      <c r="F53" s="99">
        <v>542.05875000000003</v>
      </c>
      <c r="G53" s="145">
        <v>4.6602739999999998E-3</v>
      </c>
      <c r="H53" s="151"/>
    </row>
    <row r="54" spans="1:8" ht="25.5" x14ac:dyDescent="0.2">
      <c r="A54" s="96">
        <v>48</v>
      </c>
      <c r="B54" s="97" t="s">
        <v>398</v>
      </c>
      <c r="C54" s="97" t="s">
        <v>399</v>
      </c>
      <c r="D54" s="97" t="s">
        <v>90</v>
      </c>
      <c r="E54" s="98">
        <v>65000</v>
      </c>
      <c r="F54" s="99">
        <v>528.84</v>
      </c>
      <c r="G54" s="145">
        <v>4.5466279999999996E-3</v>
      </c>
      <c r="H54" s="151"/>
    </row>
    <row r="55" spans="1:8" x14ac:dyDescent="0.2">
      <c r="A55" s="96">
        <v>49</v>
      </c>
      <c r="B55" s="97" t="s">
        <v>360</v>
      </c>
      <c r="C55" s="97" t="s">
        <v>361</v>
      </c>
      <c r="D55" s="97" t="s">
        <v>24</v>
      </c>
      <c r="E55" s="98">
        <v>640000</v>
      </c>
      <c r="F55" s="99">
        <v>523.20000000000005</v>
      </c>
      <c r="G55" s="145">
        <v>4.498139E-3</v>
      </c>
      <c r="H55" s="151"/>
    </row>
    <row r="56" spans="1:8" x14ac:dyDescent="0.2">
      <c r="A56" s="96">
        <v>50</v>
      </c>
      <c r="B56" s="97" t="s">
        <v>346</v>
      </c>
      <c r="C56" s="97" t="s">
        <v>347</v>
      </c>
      <c r="D56" s="97" t="s">
        <v>207</v>
      </c>
      <c r="E56" s="98">
        <v>14000</v>
      </c>
      <c r="F56" s="99">
        <v>520.78599999999994</v>
      </c>
      <c r="G56" s="145">
        <v>4.4773850000000004E-3</v>
      </c>
      <c r="H56" s="151"/>
    </row>
    <row r="57" spans="1:8" x14ac:dyDescent="0.2">
      <c r="A57" s="96">
        <v>51</v>
      </c>
      <c r="B57" s="97" t="s">
        <v>504</v>
      </c>
      <c r="C57" s="97" t="s">
        <v>505</v>
      </c>
      <c r="D57" s="97" t="s">
        <v>51</v>
      </c>
      <c r="E57" s="98">
        <v>23250</v>
      </c>
      <c r="F57" s="99">
        <v>502.63012500000002</v>
      </c>
      <c r="G57" s="145">
        <v>4.321292E-3</v>
      </c>
      <c r="H57" s="151"/>
    </row>
    <row r="58" spans="1:8" x14ac:dyDescent="0.2">
      <c r="A58" s="96">
        <v>52</v>
      </c>
      <c r="B58" s="97" t="s">
        <v>433</v>
      </c>
      <c r="C58" s="97" t="s">
        <v>434</v>
      </c>
      <c r="D58" s="97" t="s">
        <v>207</v>
      </c>
      <c r="E58" s="98">
        <v>10200</v>
      </c>
      <c r="F58" s="99">
        <v>489.4674</v>
      </c>
      <c r="G58" s="145">
        <v>4.2081269999999999E-3</v>
      </c>
      <c r="H58" s="151"/>
    </row>
    <row r="59" spans="1:8" x14ac:dyDescent="0.2">
      <c r="A59" s="96">
        <v>53</v>
      </c>
      <c r="B59" s="97" t="s">
        <v>575</v>
      </c>
      <c r="C59" s="97" t="s">
        <v>576</v>
      </c>
      <c r="D59" s="97" t="s">
        <v>83</v>
      </c>
      <c r="E59" s="98">
        <v>12500</v>
      </c>
      <c r="F59" s="99">
        <v>479.08125000000001</v>
      </c>
      <c r="G59" s="145">
        <v>4.118834E-3</v>
      </c>
      <c r="H59" s="151"/>
    </row>
    <row r="60" spans="1:8" x14ac:dyDescent="0.2">
      <c r="A60" s="96">
        <v>54</v>
      </c>
      <c r="B60" s="97" t="s">
        <v>356</v>
      </c>
      <c r="C60" s="97" t="s">
        <v>357</v>
      </c>
      <c r="D60" s="97" t="s">
        <v>164</v>
      </c>
      <c r="E60" s="98">
        <v>10000</v>
      </c>
      <c r="F60" s="99">
        <v>469.755</v>
      </c>
      <c r="G60" s="145">
        <v>4.0386529999999997E-3</v>
      </c>
      <c r="H60" s="151"/>
    </row>
    <row r="61" spans="1:8" ht="25.5" x14ac:dyDescent="0.2">
      <c r="A61" s="96">
        <v>55</v>
      </c>
      <c r="B61" s="97" t="s">
        <v>20</v>
      </c>
      <c r="C61" s="97" t="s">
        <v>21</v>
      </c>
      <c r="D61" s="97" t="s">
        <v>1023</v>
      </c>
      <c r="E61" s="98">
        <v>47500</v>
      </c>
      <c r="F61" s="99">
        <v>467.70875000000001</v>
      </c>
      <c r="G61" s="145">
        <v>4.0210599999999999E-3</v>
      </c>
      <c r="H61" s="151"/>
    </row>
    <row r="62" spans="1:8" x14ac:dyDescent="0.2">
      <c r="A62" s="96">
        <v>56</v>
      </c>
      <c r="B62" s="97" t="s">
        <v>350</v>
      </c>
      <c r="C62" s="97" t="s">
        <v>351</v>
      </c>
      <c r="D62" s="97" t="s">
        <v>80</v>
      </c>
      <c r="E62" s="98">
        <v>36000</v>
      </c>
      <c r="F62" s="99">
        <v>467.58600000000001</v>
      </c>
      <c r="G62" s="145">
        <v>4.0200050000000001E-3</v>
      </c>
      <c r="H62" s="151"/>
    </row>
    <row r="63" spans="1:8" ht="25.5" x14ac:dyDescent="0.2">
      <c r="A63" s="96">
        <v>57</v>
      </c>
      <c r="B63" s="97" t="s">
        <v>93</v>
      </c>
      <c r="C63" s="97" t="s">
        <v>94</v>
      </c>
      <c r="D63" s="97" t="s">
        <v>48</v>
      </c>
      <c r="E63" s="98">
        <v>57500</v>
      </c>
      <c r="F63" s="99">
        <v>424.29250000000002</v>
      </c>
      <c r="G63" s="145">
        <v>3.6477950000000001E-3</v>
      </c>
      <c r="H63" s="151"/>
    </row>
    <row r="64" spans="1:8" x14ac:dyDescent="0.2">
      <c r="A64" s="96">
        <v>58</v>
      </c>
      <c r="B64" s="97" t="s">
        <v>678</v>
      </c>
      <c r="C64" s="97" t="s">
        <v>679</v>
      </c>
      <c r="D64" s="97" t="s">
        <v>24</v>
      </c>
      <c r="E64" s="98">
        <v>992000</v>
      </c>
      <c r="F64" s="99">
        <v>397.79199999999997</v>
      </c>
      <c r="G64" s="145">
        <v>3.419961E-3</v>
      </c>
      <c r="H64" s="151"/>
    </row>
    <row r="65" spans="1:8" ht="25.5" x14ac:dyDescent="0.2">
      <c r="A65" s="96">
        <v>59</v>
      </c>
      <c r="B65" s="97" t="s">
        <v>178</v>
      </c>
      <c r="C65" s="97" t="s">
        <v>933</v>
      </c>
      <c r="D65" s="97" t="s">
        <v>37</v>
      </c>
      <c r="E65" s="98">
        <v>151829</v>
      </c>
      <c r="F65" s="99">
        <v>391.94656350000002</v>
      </c>
      <c r="G65" s="145">
        <v>3.3697060000000001E-3</v>
      </c>
      <c r="H65" s="151"/>
    </row>
    <row r="66" spans="1:8" x14ac:dyDescent="0.2">
      <c r="A66" s="96">
        <v>60</v>
      </c>
      <c r="B66" s="97" t="s">
        <v>348</v>
      </c>
      <c r="C66" s="97" t="s">
        <v>349</v>
      </c>
      <c r="D66" s="97" t="s">
        <v>59</v>
      </c>
      <c r="E66" s="98">
        <v>100000</v>
      </c>
      <c r="F66" s="99">
        <v>389.25</v>
      </c>
      <c r="G66" s="145">
        <v>3.3465220000000002E-3</v>
      </c>
      <c r="H66" s="151"/>
    </row>
    <row r="67" spans="1:8" ht="25.5" x14ac:dyDescent="0.2">
      <c r="A67" s="96">
        <v>61</v>
      </c>
      <c r="B67" s="97" t="s">
        <v>634</v>
      </c>
      <c r="C67" s="97" t="s">
        <v>635</v>
      </c>
      <c r="D67" s="97" t="s">
        <v>1023</v>
      </c>
      <c r="E67" s="98">
        <v>20425</v>
      </c>
      <c r="F67" s="99">
        <v>340.9851625</v>
      </c>
      <c r="G67" s="145">
        <v>2.9315719999999999E-3</v>
      </c>
      <c r="H67" s="151"/>
    </row>
    <row r="68" spans="1:8" x14ac:dyDescent="0.2">
      <c r="A68" s="96">
        <v>62</v>
      </c>
      <c r="B68" s="97" t="s">
        <v>376</v>
      </c>
      <c r="C68" s="97" t="s">
        <v>377</v>
      </c>
      <c r="D68" s="97" t="s">
        <v>254</v>
      </c>
      <c r="E68" s="98">
        <v>40000</v>
      </c>
      <c r="F68" s="99">
        <v>317.77999999999997</v>
      </c>
      <c r="G68" s="145">
        <v>2.7320690000000002E-3</v>
      </c>
      <c r="H68" s="151"/>
    </row>
    <row r="69" spans="1:8" x14ac:dyDescent="0.2">
      <c r="A69" s="96">
        <v>63</v>
      </c>
      <c r="B69" s="97" t="s">
        <v>506</v>
      </c>
      <c r="C69" s="97" t="s">
        <v>507</v>
      </c>
      <c r="D69" s="97" t="s">
        <v>83</v>
      </c>
      <c r="E69" s="98">
        <v>88350</v>
      </c>
      <c r="F69" s="99">
        <v>294.514725</v>
      </c>
      <c r="G69" s="145">
        <v>2.5320490000000002E-3</v>
      </c>
      <c r="H69" s="151"/>
    </row>
    <row r="70" spans="1:8" x14ac:dyDescent="0.2">
      <c r="A70" s="96">
        <v>64</v>
      </c>
      <c r="B70" s="97" t="s">
        <v>451</v>
      </c>
      <c r="C70" s="97" t="s">
        <v>452</v>
      </c>
      <c r="D70" s="97" t="s">
        <v>207</v>
      </c>
      <c r="E70" s="98">
        <v>27500</v>
      </c>
      <c r="F70" s="99">
        <v>270.47624999999999</v>
      </c>
      <c r="G70" s="145">
        <v>2.325382E-3</v>
      </c>
      <c r="H70" s="151"/>
    </row>
    <row r="71" spans="1:8" ht="25.5" x14ac:dyDescent="0.2">
      <c r="A71" s="96">
        <v>65</v>
      </c>
      <c r="B71" s="97" t="s">
        <v>443</v>
      </c>
      <c r="C71" s="97" t="s">
        <v>444</v>
      </c>
      <c r="D71" s="97" t="s">
        <v>1030</v>
      </c>
      <c r="E71" s="98">
        <v>17000</v>
      </c>
      <c r="F71" s="99">
        <v>270.21499999999997</v>
      </c>
      <c r="G71" s="145">
        <v>2.323136E-3</v>
      </c>
      <c r="H71" s="151"/>
    </row>
    <row r="72" spans="1:8" x14ac:dyDescent="0.2">
      <c r="A72" s="96">
        <v>66</v>
      </c>
      <c r="B72" s="97" t="s">
        <v>843</v>
      </c>
      <c r="C72" s="97" t="s">
        <v>844</v>
      </c>
      <c r="D72" s="97" t="s">
        <v>153</v>
      </c>
      <c r="E72" s="98">
        <v>28000</v>
      </c>
      <c r="F72" s="99">
        <v>257.404</v>
      </c>
      <c r="G72" s="145">
        <v>2.2129950000000002E-3</v>
      </c>
      <c r="H72" s="151"/>
    </row>
    <row r="73" spans="1:8" x14ac:dyDescent="0.2">
      <c r="A73" s="96">
        <v>67</v>
      </c>
      <c r="B73" s="97" t="s">
        <v>273</v>
      </c>
      <c r="C73" s="97" t="s">
        <v>274</v>
      </c>
      <c r="D73" s="97" t="s">
        <v>173</v>
      </c>
      <c r="E73" s="98">
        <v>41000</v>
      </c>
      <c r="F73" s="99">
        <v>245.672</v>
      </c>
      <c r="G73" s="145">
        <v>2.1121310000000002E-3</v>
      </c>
      <c r="H73" s="151"/>
    </row>
    <row r="74" spans="1:8" x14ac:dyDescent="0.2">
      <c r="A74" s="96">
        <v>68</v>
      </c>
      <c r="B74" s="97" t="s">
        <v>638</v>
      </c>
      <c r="C74" s="97" t="s">
        <v>639</v>
      </c>
      <c r="D74" s="97" t="s">
        <v>430</v>
      </c>
      <c r="E74" s="98">
        <v>52700</v>
      </c>
      <c r="F74" s="99">
        <v>151.59155000000001</v>
      </c>
      <c r="G74" s="145">
        <v>1.303287E-3</v>
      </c>
      <c r="H74" s="151"/>
    </row>
    <row r="75" spans="1:8" ht="25.5" x14ac:dyDescent="0.2">
      <c r="A75" s="96">
        <v>69</v>
      </c>
      <c r="B75" s="97" t="s">
        <v>845</v>
      </c>
      <c r="C75" s="97" t="s">
        <v>846</v>
      </c>
      <c r="D75" s="97" t="s">
        <v>37</v>
      </c>
      <c r="E75" s="98">
        <v>73500</v>
      </c>
      <c r="F75" s="99">
        <v>47.517749999999999</v>
      </c>
      <c r="G75" s="145">
        <v>4.08527E-4</v>
      </c>
      <c r="H75" s="151"/>
    </row>
    <row r="76" spans="1:8" x14ac:dyDescent="0.2">
      <c r="A76" s="96">
        <v>70</v>
      </c>
      <c r="B76" s="97" t="s">
        <v>847</v>
      </c>
      <c r="C76" s="97" t="s">
        <v>848</v>
      </c>
      <c r="D76" s="97" t="s">
        <v>83</v>
      </c>
      <c r="E76" s="98">
        <v>1100</v>
      </c>
      <c r="F76" s="99">
        <v>16.281099999999999</v>
      </c>
      <c r="G76" s="145">
        <v>1.3997400000000001E-4</v>
      </c>
      <c r="H76" s="151"/>
    </row>
    <row r="77" spans="1:8" x14ac:dyDescent="0.2">
      <c r="A77" s="94"/>
      <c r="B77" s="94"/>
      <c r="C77" s="95" t="s">
        <v>105</v>
      </c>
      <c r="D77" s="94"/>
      <c r="E77" s="94" t="s">
        <v>106</v>
      </c>
      <c r="F77" s="100">
        <v>87112.875904499975</v>
      </c>
      <c r="G77" s="146">
        <v>0.74894074100000019</v>
      </c>
      <c r="H77" s="151"/>
    </row>
    <row r="78" spans="1:8" x14ac:dyDescent="0.2">
      <c r="A78" s="94"/>
      <c r="B78" s="94"/>
      <c r="C78" s="101"/>
      <c r="D78" s="94"/>
      <c r="E78" s="94"/>
      <c r="F78" s="102"/>
      <c r="G78" s="147"/>
      <c r="H78" s="151"/>
    </row>
    <row r="79" spans="1:8" x14ac:dyDescent="0.2">
      <c r="A79" s="94"/>
      <c r="B79" s="94"/>
      <c r="C79" s="95" t="s">
        <v>107</v>
      </c>
      <c r="D79" s="94"/>
      <c r="E79" s="94"/>
      <c r="F79" s="94"/>
      <c r="G79" s="144"/>
      <c r="H79" s="151"/>
    </row>
    <row r="80" spans="1:8" x14ac:dyDescent="0.2">
      <c r="A80" s="94"/>
      <c r="B80" s="94"/>
      <c r="C80" s="95" t="s">
        <v>105</v>
      </c>
      <c r="D80" s="94"/>
      <c r="E80" s="94" t="s">
        <v>106</v>
      </c>
      <c r="F80" s="103">
        <v>0</v>
      </c>
      <c r="G80" s="148">
        <v>0</v>
      </c>
      <c r="H80" s="151"/>
    </row>
    <row r="81" spans="1:8" x14ac:dyDescent="0.2">
      <c r="A81" s="94"/>
      <c r="B81" s="94"/>
      <c r="C81" s="101"/>
      <c r="D81" s="94"/>
      <c r="E81" s="94"/>
      <c r="F81" s="102"/>
      <c r="G81" s="147"/>
      <c r="H81" s="151"/>
    </row>
    <row r="82" spans="1:8" x14ac:dyDescent="0.2">
      <c r="A82" s="94"/>
      <c r="B82" s="94"/>
      <c r="C82" s="95" t="s">
        <v>108</v>
      </c>
      <c r="D82" s="94"/>
      <c r="E82" s="94"/>
      <c r="F82" s="94"/>
      <c r="G82" s="144"/>
      <c r="H82" s="151"/>
    </row>
    <row r="83" spans="1:8" x14ac:dyDescent="0.2">
      <c r="A83" s="94"/>
      <c r="B83" s="94"/>
      <c r="C83" s="95" t="s">
        <v>105</v>
      </c>
      <c r="D83" s="94"/>
      <c r="E83" s="94" t="s">
        <v>106</v>
      </c>
      <c r="F83" s="103">
        <v>0</v>
      </c>
      <c r="G83" s="148">
        <v>0</v>
      </c>
      <c r="H83" s="151"/>
    </row>
    <row r="84" spans="1:8" x14ac:dyDescent="0.2">
      <c r="A84" s="94"/>
      <c r="B84" s="94"/>
      <c r="C84" s="101"/>
      <c r="D84" s="94"/>
      <c r="E84" s="94"/>
      <c r="F84" s="102"/>
      <c r="G84" s="147"/>
      <c r="H84" s="151"/>
    </row>
    <row r="85" spans="1:8" x14ac:dyDescent="0.2">
      <c r="A85" s="94"/>
      <c r="B85" s="94"/>
      <c r="C85" s="95" t="s">
        <v>109</v>
      </c>
      <c r="D85" s="94"/>
      <c r="E85" s="94"/>
      <c r="F85" s="94"/>
      <c r="G85" s="144"/>
      <c r="H85" s="151"/>
    </row>
    <row r="86" spans="1:8" x14ac:dyDescent="0.2">
      <c r="A86" s="96">
        <v>1</v>
      </c>
      <c r="B86" s="97" t="s">
        <v>110</v>
      </c>
      <c r="C86" s="4" t="s">
        <v>996</v>
      </c>
      <c r="D86" s="97" t="s">
        <v>19</v>
      </c>
      <c r="E86" s="98">
        <v>28298</v>
      </c>
      <c r="F86" s="99">
        <v>43.380834</v>
      </c>
      <c r="G86" s="145">
        <v>3.72961E-4</v>
      </c>
      <c r="H86" s="151"/>
    </row>
    <row r="87" spans="1:8" x14ac:dyDescent="0.2">
      <c r="A87" s="94"/>
      <c r="B87" s="94"/>
      <c r="C87" s="95" t="s">
        <v>105</v>
      </c>
      <c r="D87" s="94"/>
      <c r="E87" s="94" t="s">
        <v>106</v>
      </c>
      <c r="F87" s="100">
        <v>43.380834</v>
      </c>
      <c r="G87" s="146">
        <v>3.72961E-4</v>
      </c>
      <c r="H87" s="151"/>
    </row>
    <row r="88" spans="1:8" x14ac:dyDescent="0.2">
      <c r="A88" s="94"/>
      <c r="B88" s="94"/>
      <c r="C88" s="101"/>
      <c r="D88" s="94"/>
      <c r="E88" s="94"/>
      <c r="F88" s="102"/>
      <c r="G88" s="147"/>
      <c r="H88" s="151"/>
    </row>
    <row r="89" spans="1:8" x14ac:dyDescent="0.2">
      <c r="A89" s="94"/>
      <c r="B89" s="94"/>
      <c r="C89" s="95" t="s">
        <v>111</v>
      </c>
      <c r="D89" s="94"/>
      <c r="E89" s="94"/>
      <c r="F89" s="102"/>
      <c r="G89" s="147"/>
      <c r="H89" s="151"/>
    </row>
    <row r="90" spans="1:8" ht="25.5" x14ac:dyDescent="0.2">
      <c r="A90" s="127">
        <v>1</v>
      </c>
      <c r="B90" s="87" t="s">
        <v>988</v>
      </c>
      <c r="C90" s="87" t="s">
        <v>989</v>
      </c>
      <c r="D90" s="87" t="s">
        <v>80</v>
      </c>
      <c r="E90" s="128">
        <v>14400</v>
      </c>
      <c r="F90" s="129">
        <v>119.8152</v>
      </c>
      <c r="G90" s="150">
        <v>1.03009E-3</v>
      </c>
      <c r="H90" s="151"/>
    </row>
    <row r="91" spans="1:8" x14ac:dyDescent="0.2">
      <c r="A91" s="94"/>
      <c r="B91" s="94"/>
      <c r="C91" s="95" t="s">
        <v>105</v>
      </c>
      <c r="D91" s="94"/>
      <c r="E91" s="94" t="s">
        <v>106</v>
      </c>
      <c r="F91" s="103">
        <v>119.8152</v>
      </c>
      <c r="G91" s="148">
        <v>1.03009E-3</v>
      </c>
      <c r="H91" s="151"/>
    </row>
    <row r="92" spans="1:8" x14ac:dyDescent="0.2">
      <c r="A92" s="94"/>
      <c r="B92" s="94"/>
      <c r="C92" s="101"/>
      <c r="D92" s="94"/>
      <c r="E92" s="94"/>
      <c r="F92" s="102"/>
      <c r="G92" s="147"/>
      <c r="H92" s="151"/>
    </row>
    <row r="93" spans="1:8" x14ac:dyDescent="0.2">
      <c r="A93" s="94"/>
      <c r="B93" s="94"/>
      <c r="C93" s="95" t="s">
        <v>112</v>
      </c>
      <c r="D93" s="94"/>
      <c r="E93" s="94"/>
      <c r="F93" s="102"/>
      <c r="G93" s="147"/>
      <c r="H93" s="151"/>
    </row>
    <row r="94" spans="1:8" x14ac:dyDescent="0.2">
      <c r="A94" s="96">
        <v>1</v>
      </c>
      <c r="B94" s="97"/>
      <c r="C94" s="97" t="s">
        <v>953</v>
      </c>
      <c r="D94" s="97" t="s">
        <v>706</v>
      </c>
      <c r="E94" s="98">
        <v>-1100</v>
      </c>
      <c r="F94" s="99">
        <v>-16.370750000000001</v>
      </c>
      <c r="G94" s="145">
        <v>-1.4074500000000001E-4</v>
      </c>
      <c r="H94" s="151"/>
    </row>
    <row r="95" spans="1:8" ht="25.5" x14ac:dyDescent="0.2">
      <c r="A95" s="96">
        <v>2</v>
      </c>
      <c r="B95" s="97"/>
      <c r="C95" s="97" t="s">
        <v>954</v>
      </c>
      <c r="D95" s="97" t="s">
        <v>706</v>
      </c>
      <c r="E95" s="98">
        <v>-73500</v>
      </c>
      <c r="F95" s="99">
        <v>-47.701500000000003</v>
      </c>
      <c r="G95" s="145">
        <v>-4.10107E-4</v>
      </c>
      <c r="H95" s="151"/>
    </row>
    <row r="96" spans="1:8" x14ac:dyDescent="0.2">
      <c r="A96" s="96">
        <v>3</v>
      </c>
      <c r="B96" s="97"/>
      <c r="C96" s="97" t="s">
        <v>955</v>
      </c>
      <c r="D96" s="97" t="s">
        <v>706</v>
      </c>
      <c r="E96" s="98">
        <v>-52700</v>
      </c>
      <c r="F96" s="99">
        <v>-151.98679999999999</v>
      </c>
      <c r="G96" s="145">
        <v>-1.3066849999999999E-3</v>
      </c>
      <c r="H96" s="151"/>
    </row>
    <row r="97" spans="1:8" x14ac:dyDescent="0.2">
      <c r="A97" s="96">
        <v>4</v>
      </c>
      <c r="B97" s="97"/>
      <c r="C97" s="97" t="s">
        <v>956</v>
      </c>
      <c r="D97" s="97" t="s">
        <v>706</v>
      </c>
      <c r="E97" s="98">
        <v>-5000</v>
      </c>
      <c r="F97" s="99">
        <v>-240.63749999999999</v>
      </c>
      <c r="G97" s="145">
        <v>-2.068847E-3</v>
      </c>
      <c r="H97" s="151"/>
    </row>
    <row r="98" spans="1:8" x14ac:dyDescent="0.2">
      <c r="A98" s="96">
        <v>5</v>
      </c>
      <c r="B98" s="97"/>
      <c r="C98" s="97" t="s">
        <v>957</v>
      </c>
      <c r="D98" s="97" t="s">
        <v>706</v>
      </c>
      <c r="E98" s="98">
        <v>-28000</v>
      </c>
      <c r="F98" s="99">
        <v>-258.762</v>
      </c>
      <c r="G98" s="145">
        <v>-2.2246700000000002E-3</v>
      </c>
      <c r="H98" s="151"/>
    </row>
    <row r="99" spans="1:8" x14ac:dyDescent="0.2">
      <c r="A99" s="96">
        <v>6</v>
      </c>
      <c r="B99" s="97"/>
      <c r="C99" s="97" t="s">
        <v>958</v>
      </c>
      <c r="D99" s="97" t="s">
        <v>706</v>
      </c>
      <c r="E99" s="98">
        <v>-88350</v>
      </c>
      <c r="F99" s="99">
        <v>-295.22152499999999</v>
      </c>
      <c r="G99" s="145">
        <v>-2.5381259999999999E-3</v>
      </c>
      <c r="H99" s="151"/>
    </row>
    <row r="100" spans="1:8" x14ac:dyDescent="0.2">
      <c r="A100" s="96">
        <v>7</v>
      </c>
      <c r="B100" s="97"/>
      <c r="C100" s="97" t="s">
        <v>959</v>
      </c>
      <c r="D100" s="97" t="s">
        <v>706</v>
      </c>
      <c r="E100" s="98">
        <v>-20425</v>
      </c>
      <c r="F100" s="99">
        <v>-342.44555000000003</v>
      </c>
      <c r="G100" s="145">
        <v>-2.9441279999999998E-3</v>
      </c>
      <c r="H100" s="151"/>
    </row>
    <row r="101" spans="1:8" x14ac:dyDescent="0.2">
      <c r="A101" s="96">
        <v>8</v>
      </c>
      <c r="B101" s="97"/>
      <c r="C101" s="97" t="s">
        <v>960</v>
      </c>
      <c r="D101" s="97" t="s">
        <v>706</v>
      </c>
      <c r="E101" s="98">
        <v>-992000</v>
      </c>
      <c r="F101" s="99">
        <v>-399.28</v>
      </c>
      <c r="G101" s="145">
        <v>-3.4327540000000001E-3</v>
      </c>
      <c r="H101" s="151"/>
    </row>
    <row r="102" spans="1:8" x14ac:dyDescent="0.2">
      <c r="A102" s="96">
        <v>9</v>
      </c>
      <c r="B102" s="97"/>
      <c r="C102" s="97" t="s">
        <v>961</v>
      </c>
      <c r="D102" s="97" t="s">
        <v>706</v>
      </c>
      <c r="E102" s="98">
        <v>-57500</v>
      </c>
      <c r="F102" s="99">
        <v>-425.47125</v>
      </c>
      <c r="G102" s="145">
        <v>-3.6579289999999999E-3</v>
      </c>
      <c r="H102" s="151"/>
    </row>
    <row r="103" spans="1:8" x14ac:dyDescent="0.2">
      <c r="A103" s="96">
        <v>10</v>
      </c>
      <c r="B103" s="97"/>
      <c r="C103" s="97" t="s">
        <v>941</v>
      </c>
      <c r="D103" s="97" t="s">
        <v>724</v>
      </c>
      <c r="E103" s="98">
        <v>-12500</v>
      </c>
      <c r="F103" s="99">
        <v>-480.23124999999999</v>
      </c>
      <c r="G103" s="145">
        <v>-4.1287210000000001E-3</v>
      </c>
      <c r="H103" s="151"/>
    </row>
    <row r="104" spans="1:8" x14ac:dyDescent="0.2">
      <c r="A104" s="96">
        <v>11</v>
      </c>
      <c r="B104" s="97"/>
      <c r="C104" s="97" t="s">
        <v>962</v>
      </c>
      <c r="D104" s="97" t="s">
        <v>706</v>
      </c>
      <c r="E104" s="98">
        <v>-23250</v>
      </c>
      <c r="F104" s="99">
        <v>-503.81587500000001</v>
      </c>
      <c r="G104" s="145">
        <v>-4.3314859999999998E-3</v>
      </c>
      <c r="H104" s="151"/>
    </row>
    <row r="105" spans="1:8" x14ac:dyDescent="0.2">
      <c r="A105" s="96">
        <v>12</v>
      </c>
      <c r="B105" s="97"/>
      <c r="C105" s="97" t="s">
        <v>963</v>
      </c>
      <c r="D105" s="97" t="s">
        <v>706</v>
      </c>
      <c r="E105" s="98">
        <v>-68400</v>
      </c>
      <c r="F105" s="99">
        <v>-526.9194</v>
      </c>
      <c r="G105" s="145">
        <v>-4.5301159999999998E-3</v>
      </c>
      <c r="H105" s="151"/>
    </row>
    <row r="106" spans="1:8" x14ac:dyDescent="0.2">
      <c r="A106" s="96">
        <v>13</v>
      </c>
      <c r="B106" s="97"/>
      <c r="C106" s="97" t="s">
        <v>964</v>
      </c>
      <c r="D106" s="97" t="s">
        <v>706</v>
      </c>
      <c r="E106" s="98">
        <v>-42500</v>
      </c>
      <c r="F106" s="99">
        <v>-549.52499999999998</v>
      </c>
      <c r="G106" s="145">
        <v>-4.7244640000000003E-3</v>
      </c>
      <c r="H106" s="151"/>
    </row>
    <row r="107" spans="1:8" x14ac:dyDescent="0.2">
      <c r="A107" s="96">
        <v>14</v>
      </c>
      <c r="B107" s="97"/>
      <c r="C107" s="97" t="s">
        <v>965</v>
      </c>
      <c r="D107" s="97" t="s">
        <v>706</v>
      </c>
      <c r="E107" s="98">
        <v>-20000</v>
      </c>
      <c r="F107" s="99">
        <v>-980.33</v>
      </c>
      <c r="G107" s="145">
        <v>-8.42825E-3</v>
      </c>
      <c r="H107" s="151"/>
    </row>
    <row r="108" spans="1:8" ht="25.5" x14ac:dyDescent="0.2">
      <c r="A108" s="96">
        <v>15</v>
      </c>
      <c r="B108" s="97"/>
      <c r="C108" s="97" t="s">
        <v>966</v>
      </c>
      <c r="D108" s="97" t="s">
        <v>706</v>
      </c>
      <c r="E108" s="98">
        <v>-143000</v>
      </c>
      <c r="F108" s="99">
        <v>-1038.3945000000001</v>
      </c>
      <c r="G108" s="145">
        <v>-8.9274509999999994E-3</v>
      </c>
      <c r="H108" s="151"/>
    </row>
    <row r="109" spans="1:8" x14ac:dyDescent="0.2">
      <c r="A109" s="96">
        <v>16</v>
      </c>
      <c r="B109" s="97"/>
      <c r="C109" s="97" t="s">
        <v>967</v>
      </c>
      <c r="D109" s="97" t="s">
        <v>706</v>
      </c>
      <c r="E109" s="98">
        <v>-31200</v>
      </c>
      <c r="F109" s="99">
        <v>-1177.3163999999999</v>
      </c>
      <c r="G109" s="145">
        <v>-1.0121813E-2</v>
      </c>
      <c r="H109" s="151"/>
    </row>
    <row r="110" spans="1:8" x14ac:dyDescent="0.2">
      <c r="A110" s="96">
        <v>17</v>
      </c>
      <c r="B110" s="97"/>
      <c r="C110" s="97" t="s">
        <v>968</v>
      </c>
      <c r="D110" s="97" t="s">
        <v>706</v>
      </c>
      <c r="E110" s="98">
        <v>-53500</v>
      </c>
      <c r="F110" s="99">
        <v>-1277.0717500000001</v>
      </c>
      <c r="G110" s="145">
        <v>-1.0979444999999999E-2</v>
      </c>
      <c r="H110" s="151"/>
    </row>
    <row r="111" spans="1:8" ht="25.5" x14ac:dyDescent="0.2">
      <c r="A111" s="96">
        <v>18</v>
      </c>
      <c r="B111" s="97"/>
      <c r="C111" s="97" t="s">
        <v>951</v>
      </c>
      <c r="D111" s="97" t="s">
        <v>706</v>
      </c>
      <c r="E111" s="98">
        <v>-51000</v>
      </c>
      <c r="F111" s="99">
        <v>-1408.4925000000001</v>
      </c>
      <c r="G111" s="145">
        <v>-1.2109317E-2</v>
      </c>
      <c r="H111" s="151"/>
    </row>
    <row r="112" spans="1:8" x14ac:dyDescent="0.2">
      <c r="A112" s="96">
        <v>19</v>
      </c>
      <c r="B112" s="97"/>
      <c r="C112" s="97" t="s">
        <v>969</v>
      </c>
      <c r="D112" s="97" t="s">
        <v>706</v>
      </c>
      <c r="E112" s="98">
        <v>-280000</v>
      </c>
      <c r="F112" s="99">
        <v>-1540.14</v>
      </c>
      <c r="G112" s="145">
        <v>-1.3241138E-2</v>
      </c>
      <c r="H112" s="151"/>
    </row>
    <row r="113" spans="1:8" x14ac:dyDescent="0.2">
      <c r="A113" s="96">
        <v>20</v>
      </c>
      <c r="B113" s="97"/>
      <c r="C113" s="97" t="s">
        <v>950</v>
      </c>
      <c r="D113" s="97" t="s">
        <v>706</v>
      </c>
      <c r="E113" s="98">
        <v>-121800</v>
      </c>
      <c r="F113" s="99">
        <v>-1690.3404</v>
      </c>
      <c r="G113" s="145">
        <v>-1.4532465E-2</v>
      </c>
      <c r="H113" s="151"/>
    </row>
    <row r="114" spans="1:8" x14ac:dyDescent="0.2">
      <c r="A114" s="96">
        <v>21</v>
      </c>
      <c r="B114" s="97"/>
      <c r="C114" s="97" t="s">
        <v>947</v>
      </c>
      <c r="D114" s="97" t="s">
        <v>706</v>
      </c>
      <c r="E114" s="98">
        <v>-250838</v>
      </c>
      <c r="F114" s="99">
        <v>-1734.54477</v>
      </c>
      <c r="G114" s="145">
        <v>-1.4912506000000001E-2</v>
      </c>
      <c r="H114" s="151"/>
    </row>
    <row r="115" spans="1:8" x14ac:dyDescent="0.2">
      <c r="A115" s="96">
        <v>22</v>
      </c>
      <c r="B115" s="97"/>
      <c r="C115" s="97" t="s">
        <v>970</v>
      </c>
      <c r="D115" s="97" t="s">
        <v>706</v>
      </c>
      <c r="E115" s="98">
        <v>-450000</v>
      </c>
      <c r="F115" s="99">
        <v>-2043.45</v>
      </c>
      <c r="G115" s="145">
        <v>-1.7568275000000001E-2</v>
      </c>
      <c r="H115" s="151"/>
    </row>
    <row r="116" spans="1:8" x14ac:dyDescent="0.2">
      <c r="A116" s="96">
        <v>23</v>
      </c>
      <c r="B116" s="97"/>
      <c r="C116" s="97" t="s">
        <v>946</v>
      </c>
      <c r="D116" s="97" t="s">
        <v>706</v>
      </c>
      <c r="E116" s="98">
        <v>-90000</v>
      </c>
      <c r="F116" s="99">
        <v>-2268.4949999999999</v>
      </c>
      <c r="G116" s="145">
        <v>-1.9503067999999998E-2</v>
      </c>
      <c r="H116" s="151"/>
    </row>
    <row r="117" spans="1:8" x14ac:dyDescent="0.2">
      <c r="A117" s="96">
        <v>24</v>
      </c>
      <c r="B117" s="97"/>
      <c r="C117" s="97" t="s">
        <v>948</v>
      </c>
      <c r="D117" s="97" t="s">
        <v>706</v>
      </c>
      <c r="E117" s="98">
        <v>-300000</v>
      </c>
      <c r="F117" s="99">
        <v>-2569.9499999999998</v>
      </c>
      <c r="G117" s="145">
        <v>-2.2094784999999999E-2</v>
      </c>
      <c r="H117" s="151"/>
    </row>
    <row r="118" spans="1:8" x14ac:dyDescent="0.2">
      <c r="A118" s="96">
        <v>25</v>
      </c>
      <c r="B118" s="97"/>
      <c r="C118" s="97" t="s">
        <v>949</v>
      </c>
      <c r="D118" s="97" t="s">
        <v>706</v>
      </c>
      <c r="E118" s="98">
        <v>-484000</v>
      </c>
      <c r="F118" s="99">
        <v>-3408.328</v>
      </c>
      <c r="G118" s="145">
        <v>-2.9302622E-2</v>
      </c>
      <c r="H118" s="151"/>
    </row>
    <row r="119" spans="1:8" x14ac:dyDescent="0.2">
      <c r="A119" s="96">
        <v>26</v>
      </c>
      <c r="B119" s="97"/>
      <c r="C119" s="97" t="s">
        <v>971</v>
      </c>
      <c r="D119" s="97" t="s">
        <v>724</v>
      </c>
      <c r="E119" s="98">
        <v>-28500</v>
      </c>
      <c r="F119" s="99">
        <v>-5022.5977499999999</v>
      </c>
      <c r="G119" s="145">
        <v>-4.3181079999999997E-2</v>
      </c>
      <c r="H119" s="151"/>
    </row>
    <row r="120" spans="1:8" x14ac:dyDescent="0.2">
      <c r="A120" s="94"/>
      <c r="B120" s="94"/>
      <c r="C120" s="95" t="s">
        <v>105</v>
      </c>
      <c r="D120" s="94"/>
      <c r="E120" s="94" t="s">
        <v>106</v>
      </c>
      <c r="F120" s="100">
        <v>-30397.819469999999</v>
      </c>
      <c r="G120" s="146">
        <v>-0.26134099300000002</v>
      </c>
      <c r="H120" s="151"/>
    </row>
    <row r="121" spans="1:8" x14ac:dyDescent="0.2">
      <c r="A121" s="94"/>
      <c r="B121" s="94"/>
      <c r="C121" s="101"/>
      <c r="D121" s="94"/>
      <c r="E121" s="94"/>
      <c r="F121" s="102"/>
      <c r="G121" s="147"/>
      <c r="H121" s="151"/>
    </row>
    <row r="122" spans="1:8" x14ac:dyDescent="0.2">
      <c r="A122" s="94"/>
      <c r="B122" s="94"/>
      <c r="C122" s="95" t="s">
        <v>113</v>
      </c>
      <c r="D122" s="94"/>
      <c r="E122" s="94"/>
      <c r="F122" s="100">
        <v>87276.071938499968</v>
      </c>
      <c r="G122" s="146">
        <v>0.75034379200000012</v>
      </c>
      <c r="H122" s="151"/>
    </row>
    <row r="123" spans="1:8" x14ac:dyDescent="0.2">
      <c r="A123" s="94"/>
      <c r="B123" s="94"/>
      <c r="C123" s="101"/>
      <c r="D123" s="94"/>
      <c r="E123" s="94"/>
      <c r="F123" s="102"/>
      <c r="G123" s="147"/>
      <c r="H123" s="151"/>
    </row>
    <row r="124" spans="1:8" x14ac:dyDescent="0.2">
      <c r="A124" s="94"/>
      <c r="B124" s="94"/>
      <c r="C124" s="95" t="s">
        <v>114</v>
      </c>
      <c r="D124" s="94"/>
      <c r="E124" s="94"/>
      <c r="F124" s="102"/>
      <c r="G124" s="147"/>
      <c r="H124" s="151"/>
    </row>
    <row r="125" spans="1:8" ht="25.5" x14ac:dyDescent="0.2">
      <c r="A125" s="94"/>
      <c r="B125" s="94"/>
      <c r="C125" s="95" t="s">
        <v>10</v>
      </c>
      <c r="D125" s="94"/>
      <c r="E125" s="94"/>
      <c r="F125" s="102"/>
      <c r="G125" s="147"/>
      <c r="H125" s="151"/>
    </row>
    <row r="126" spans="1:8" ht="25.5" x14ac:dyDescent="0.2">
      <c r="A126" s="96">
        <v>1</v>
      </c>
      <c r="B126" s="97" t="s">
        <v>849</v>
      </c>
      <c r="C126" s="97" t="s">
        <v>850</v>
      </c>
      <c r="D126" s="97" t="s">
        <v>700</v>
      </c>
      <c r="E126" s="98">
        <v>250</v>
      </c>
      <c r="F126" s="99">
        <v>2566.1374999999998</v>
      </c>
      <c r="G126" s="145">
        <v>2.2062007000000002E-2</v>
      </c>
      <c r="H126" s="151">
        <v>4.16</v>
      </c>
    </row>
    <row r="127" spans="1:8" ht="25.5" x14ac:dyDescent="0.2">
      <c r="A127" s="96">
        <v>2</v>
      </c>
      <c r="B127" s="97" t="s">
        <v>851</v>
      </c>
      <c r="C127" s="97" t="s">
        <v>852</v>
      </c>
      <c r="D127" s="97" t="s">
        <v>700</v>
      </c>
      <c r="E127" s="98">
        <v>250</v>
      </c>
      <c r="F127" s="99">
        <v>2505.37</v>
      </c>
      <c r="G127" s="145">
        <v>2.1539566999999999E-2</v>
      </c>
      <c r="H127" s="151">
        <v>4.6749999999999998</v>
      </c>
    </row>
    <row r="128" spans="1:8" ht="25.5" x14ac:dyDescent="0.2">
      <c r="A128" s="96">
        <v>3</v>
      </c>
      <c r="B128" s="97" t="s">
        <v>853</v>
      </c>
      <c r="C128" s="97" t="s">
        <v>854</v>
      </c>
      <c r="D128" s="97" t="s">
        <v>1006</v>
      </c>
      <c r="E128" s="98">
        <v>150</v>
      </c>
      <c r="F128" s="99">
        <v>1543.3005000000001</v>
      </c>
      <c r="G128" s="145">
        <v>1.326831E-2</v>
      </c>
      <c r="H128" s="151">
        <v>4.7050000000000001</v>
      </c>
    </row>
    <row r="129" spans="1:8" x14ac:dyDescent="0.2">
      <c r="A129" s="96">
        <v>4</v>
      </c>
      <c r="B129" s="97" t="s">
        <v>855</v>
      </c>
      <c r="C129" s="97" t="s">
        <v>856</v>
      </c>
      <c r="D129" s="97" t="s">
        <v>700</v>
      </c>
      <c r="E129" s="98">
        <v>100</v>
      </c>
      <c r="F129" s="99">
        <v>1033.432</v>
      </c>
      <c r="G129" s="145">
        <v>8.8847869999999999E-3</v>
      </c>
      <c r="H129" s="151">
        <v>4.7549999999999999</v>
      </c>
    </row>
    <row r="130" spans="1:8" ht="25.5" x14ac:dyDescent="0.2">
      <c r="A130" s="96">
        <v>5</v>
      </c>
      <c r="B130" s="97" t="s">
        <v>857</v>
      </c>
      <c r="C130" s="97" t="s">
        <v>858</v>
      </c>
      <c r="D130" s="97" t="s">
        <v>700</v>
      </c>
      <c r="E130" s="98">
        <v>100</v>
      </c>
      <c r="F130" s="99">
        <v>1032.6790000000001</v>
      </c>
      <c r="G130" s="145">
        <v>8.8783130000000005E-3</v>
      </c>
      <c r="H130" s="151">
        <v>4.58</v>
      </c>
    </row>
    <row r="131" spans="1:8" ht="25.5" x14ac:dyDescent="0.2">
      <c r="A131" s="96">
        <v>6</v>
      </c>
      <c r="B131" s="97" t="s">
        <v>859</v>
      </c>
      <c r="C131" s="97" t="s">
        <v>860</v>
      </c>
      <c r="D131" s="97" t="s">
        <v>1006</v>
      </c>
      <c r="E131" s="98">
        <v>100</v>
      </c>
      <c r="F131" s="99">
        <v>1029.904</v>
      </c>
      <c r="G131" s="145">
        <v>8.8544550000000007E-3</v>
      </c>
      <c r="H131" s="151">
        <v>4.63</v>
      </c>
    </row>
    <row r="132" spans="1:8" ht="25.5" x14ac:dyDescent="0.2">
      <c r="A132" s="96">
        <v>7</v>
      </c>
      <c r="B132" s="97" t="s">
        <v>861</v>
      </c>
      <c r="C132" s="97" t="s">
        <v>862</v>
      </c>
      <c r="D132" s="97" t="s">
        <v>700</v>
      </c>
      <c r="E132" s="98">
        <v>100</v>
      </c>
      <c r="F132" s="99">
        <v>1029.336</v>
      </c>
      <c r="G132" s="145">
        <v>8.849572E-3</v>
      </c>
      <c r="H132" s="151">
        <v>4.7</v>
      </c>
    </row>
    <row r="133" spans="1:8" x14ac:dyDescent="0.2">
      <c r="A133" s="96">
        <v>8</v>
      </c>
      <c r="B133" s="97" t="s">
        <v>863</v>
      </c>
      <c r="C133" s="97" t="s">
        <v>864</v>
      </c>
      <c r="D133" s="97" t="s">
        <v>700</v>
      </c>
      <c r="E133" s="98">
        <v>100</v>
      </c>
      <c r="F133" s="99">
        <v>1016.006</v>
      </c>
      <c r="G133" s="145">
        <v>8.7349690000000004E-3</v>
      </c>
      <c r="H133" s="151">
        <v>4.83</v>
      </c>
    </row>
    <row r="134" spans="1:8" ht="25.5" x14ac:dyDescent="0.2">
      <c r="A134" s="96">
        <v>9</v>
      </c>
      <c r="B134" s="97" t="s">
        <v>865</v>
      </c>
      <c r="C134" s="97" t="s">
        <v>866</v>
      </c>
      <c r="D134" s="97" t="s">
        <v>700</v>
      </c>
      <c r="E134" s="98">
        <v>100</v>
      </c>
      <c r="F134" s="99">
        <v>1006.53</v>
      </c>
      <c r="G134" s="145">
        <v>8.6535009999999992E-3</v>
      </c>
      <c r="H134" s="151">
        <v>4.2149999999999999</v>
      </c>
    </row>
    <row r="135" spans="1:8" ht="25.5" x14ac:dyDescent="0.2">
      <c r="A135" s="96">
        <v>10</v>
      </c>
      <c r="B135" s="97" t="s">
        <v>867</v>
      </c>
      <c r="C135" s="97" t="s">
        <v>868</v>
      </c>
      <c r="D135" s="97" t="s">
        <v>700</v>
      </c>
      <c r="E135" s="98">
        <v>50</v>
      </c>
      <c r="F135" s="99">
        <v>522.04349999999999</v>
      </c>
      <c r="G135" s="145">
        <v>4.4881959999999999E-3</v>
      </c>
      <c r="H135" s="151">
        <v>4.46</v>
      </c>
    </row>
    <row r="136" spans="1:8" ht="25.5" x14ac:dyDescent="0.2">
      <c r="A136" s="96">
        <v>11</v>
      </c>
      <c r="B136" s="97" t="s">
        <v>869</v>
      </c>
      <c r="C136" s="97" t="s">
        <v>870</v>
      </c>
      <c r="D136" s="97" t="s">
        <v>700</v>
      </c>
      <c r="E136" s="98">
        <v>50</v>
      </c>
      <c r="F136" s="99">
        <v>516.77599999999995</v>
      </c>
      <c r="G136" s="145">
        <v>4.4429090000000001E-3</v>
      </c>
      <c r="H136" s="151">
        <v>4.72</v>
      </c>
    </row>
    <row r="137" spans="1:8" x14ac:dyDescent="0.2">
      <c r="A137" s="96">
        <v>12</v>
      </c>
      <c r="B137" s="97" t="s">
        <v>871</v>
      </c>
      <c r="C137" s="97" t="s">
        <v>872</v>
      </c>
      <c r="D137" s="97" t="s">
        <v>700</v>
      </c>
      <c r="E137" s="98">
        <v>50</v>
      </c>
      <c r="F137" s="99">
        <v>514.976</v>
      </c>
      <c r="G137" s="145">
        <v>4.4274340000000001E-3</v>
      </c>
      <c r="H137" s="151">
        <v>4.45</v>
      </c>
    </row>
    <row r="138" spans="1:8" ht="25.5" x14ac:dyDescent="0.2">
      <c r="A138" s="96">
        <v>13</v>
      </c>
      <c r="B138" s="97" t="s">
        <v>873</v>
      </c>
      <c r="C138" s="97" t="s">
        <v>874</v>
      </c>
      <c r="D138" s="97" t="s">
        <v>700</v>
      </c>
      <c r="E138" s="98">
        <v>50</v>
      </c>
      <c r="F138" s="99">
        <v>514.11149999999998</v>
      </c>
      <c r="G138" s="145">
        <v>4.4200020000000001E-3</v>
      </c>
      <c r="H138" s="151">
        <v>4.6619999999999999</v>
      </c>
    </row>
    <row r="139" spans="1:8" x14ac:dyDescent="0.2">
      <c r="A139" s="94"/>
      <c r="B139" s="94"/>
      <c r="C139" s="95" t="s">
        <v>105</v>
      </c>
      <c r="D139" s="94"/>
      <c r="E139" s="94" t="s">
        <v>106</v>
      </c>
      <c r="F139" s="100">
        <v>14830.602000000001</v>
      </c>
      <c r="G139" s="146">
        <v>0.12750402199999999</v>
      </c>
      <c r="H139" s="151"/>
    </row>
    <row r="140" spans="1:8" x14ac:dyDescent="0.2">
      <c r="A140" s="94"/>
      <c r="B140" s="94"/>
      <c r="C140" s="101"/>
      <c r="D140" s="94"/>
      <c r="E140" s="94"/>
      <c r="F140" s="102"/>
      <c r="G140" s="147"/>
      <c r="H140" s="151"/>
    </row>
    <row r="141" spans="1:8" x14ac:dyDescent="0.2">
      <c r="A141" s="94"/>
      <c r="B141" s="94"/>
      <c r="C141" s="95" t="s">
        <v>115</v>
      </c>
      <c r="D141" s="94"/>
      <c r="E141" s="94"/>
      <c r="F141" s="94"/>
      <c r="G141" s="144"/>
      <c r="H141" s="151"/>
    </row>
    <row r="142" spans="1:8" x14ac:dyDescent="0.2">
      <c r="A142" s="94"/>
      <c r="B142" s="94"/>
      <c r="C142" s="95" t="s">
        <v>105</v>
      </c>
      <c r="D142" s="94"/>
      <c r="E142" s="94" t="s">
        <v>106</v>
      </c>
      <c r="F142" s="103">
        <v>0</v>
      </c>
      <c r="G142" s="148">
        <v>0</v>
      </c>
      <c r="H142" s="151"/>
    </row>
    <row r="143" spans="1:8" x14ac:dyDescent="0.2">
      <c r="A143" s="94"/>
      <c r="B143" s="94"/>
      <c r="C143" s="101"/>
      <c r="D143" s="94"/>
      <c r="E143" s="94"/>
      <c r="F143" s="102"/>
      <c r="G143" s="147"/>
      <c r="H143" s="151"/>
    </row>
    <row r="144" spans="1:8" x14ac:dyDescent="0.2">
      <c r="A144" s="94"/>
      <c r="B144" s="94"/>
      <c r="C144" s="95" t="s">
        <v>116</v>
      </c>
      <c r="D144" s="94"/>
      <c r="E144" s="94"/>
      <c r="F144" s="94"/>
      <c r="G144" s="144"/>
      <c r="H144" s="151"/>
    </row>
    <row r="145" spans="1:8" ht="25.5" x14ac:dyDescent="0.2">
      <c r="A145" s="96">
        <v>1</v>
      </c>
      <c r="B145" s="97" t="s">
        <v>733</v>
      </c>
      <c r="C145" s="97" t="s">
        <v>938</v>
      </c>
      <c r="D145" s="97" t="s">
        <v>732</v>
      </c>
      <c r="E145" s="98">
        <v>1000000</v>
      </c>
      <c r="F145" s="99">
        <v>1057.096</v>
      </c>
      <c r="G145" s="145">
        <v>9.0882350000000001E-3</v>
      </c>
      <c r="H145" s="151">
        <v>4.6950000000000003</v>
      </c>
    </row>
    <row r="146" spans="1:8" ht="25.5" x14ac:dyDescent="0.2">
      <c r="A146" s="96">
        <v>2</v>
      </c>
      <c r="B146" s="97" t="s">
        <v>731</v>
      </c>
      <c r="C146" s="97" t="s">
        <v>935</v>
      </c>
      <c r="D146" s="97" t="s">
        <v>732</v>
      </c>
      <c r="E146" s="98">
        <v>1000000</v>
      </c>
      <c r="F146" s="99">
        <v>996.77300000000002</v>
      </c>
      <c r="G146" s="145">
        <v>8.5696160000000004E-3</v>
      </c>
      <c r="H146" s="151">
        <v>5.3150000000000004</v>
      </c>
    </row>
    <row r="147" spans="1:8" x14ac:dyDescent="0.2">
      <c r="A147" s="94"/>
      <c r="B147" s="94"/>
      <c r="C147" s="95" t="s">
        <v>105</v>
      </c>
      <c r="D147" s="94"/>
      <c r="E147" s="94" t="s">
        <v>106</v>
      </c>
      <c r="F147" s="100">
        <v>2053.8690000000001</v>
      </c>
      <c r="G147" s="146">
        <v>1.7657850999999999E-2</v>
      </c>
      <c r="H147" s="151"/>
    </row>
    <row r="148" spans="1:8" x14ac:dyDescent="0.2">
      <c r="A148" s="94"/>
      <c r="B148" s="94"/>
      <c r="C148" s="101"/>
      <c r="D148" s="94"/>
      <c r="E148" s="94"/>
      <c r="F148" s="102"/>
      <c r="G148" s="147"/>
      <c r="H148" s="151"/>
    </row>
    <row r="149" spans="1:8" x14ac:dyDescent="0.2">
      <c r="A149" s="94"/>
      <c r="B149" s="94"/>
      <c r="C149" s="95" t="s">
        <v>117</v>
      </c>
      <c r="D149" s="94"/>
      <c r="E149" s="94"/>
      <c r="F149" s="102"/>
      <c r="G149" s="147"/>
      <c r="H149" s="151"/>
    </row>
    <row r="150" spans="1:8" x14ac:dyDescent="0.2">
      <c r="A150" s="94"/>
      <c r="B150" s="94"/>
      <c r="C150" s="95" t="s">
        <v>105</v>
      </c>
      <c r="D150" s="94"/>
      <c r="E150" s="94" t="s">
        <v>106</v>
      </c>
      <c r="F150" s="103">
        <v>0</v>
      </c>
      <c r="G150" s="148">
        <v>0</v>
      </c>
      <c r="H150" s="151"/>
    </row>
    <row r="151" spans="1:8" x14ac:dyDescent="0.2">
      <c r="A151" s="94"/>
      <c r="B151" s="94"/>
      <c r="C151" s="101"/>
      <c r="D151" s="94"/>
      <c r="E151" s="94"/>
      <c r="F151" s="102"/>
      <c r="G151" s="147"/>
      <c r="H151" s="151"/>
    </row>
    <row r="152" spans="1:8" x14ac:dyDescent="0.2">
      <c r="A152" s="94"/>
      <c r="B152" s="94"/>
      <c r="C152" s="95" t="s">
        <v>118</v>
      </c>
      <c r="D152" s="94"/>
      <c r="E152" s="94"/>
      <c r="F152" s="100">
        <v>16884.471000000001</v>
      </c>
      <c r="G152" s="146">
        <v>0.145161873</v>
      </c>
      <c r="H152" s="151"/>
    </row>
    <row r="153" spans="1:8" x14ac:dyDescent="0.2">
      <c r="A153" s="94"/>
      <c r="B153" s="94"/>
      <c r="C153" s="101"/>
      <c r="D153" s="94"/>
      <c r="E153" s="94"/>
      <c r="F153" s="102"/>
      <c r="G153" s="147"/>
      <c r="H153" s="151"/>
    </row>
    <row r="154" spans="1:8" x14ac:dyDescent="0.2">
      <c r="A154" s="94"/>
      <c r="B154" s="94"/>
      <c r="C154" s="95" t="s">
        <v>119</v>
      </c>
      <c r="D154" s="94"/>
      <c r="E154" s="94"/>
      <c r="F154" s="102"/>
      <c r="G154" s="147"/>
      <c r="H154" s="151"/>
    </row>
    <row r="155" spans="1:8" x14ac:dyDescent="0.2">
      <c r="A155" s="94"/>
      <c r="B155" s="94"/>
      <c r="C155" s="95" t="s">
        <v>120</v>
      </c>
      <c r="D155" s="94"/>
      <c r="E155" s="94"/>
      <c r="F155" s="102"/>
      <c r="G155" s="147"/>
      <c r="H155" s="151"/>
    </row>
    <row r="156" spans="1:8" x14ac:dyDescent="0.2">
      <c r="A156" s="94"/>
      <c r="B156" s="94"/>
      <c r="C156" s="95" t="s">
        <v>105</v>
      </c>
      <c r="D156" s="94"/>
      <c r="E156" s="94" t="s">
        <v>106</v>
      </c>
      <c r="F156" s="103">
        <v>0</v>
      </c>
      <c r="G156" s="148">
        <v>0</v>
      </c>
      <c r="H156" s="151"/>
    </row>
    <row r="157" spans="1:8" x14ac:dyDescent="0.2">
      <c r="A157" s="94"/>
      <c r="B157" s="94"/>
      <c r="C157" s="101"/>
      <c r="D157" s="94"/>
      <c r="E157" s="94"/>
      <c r="F157" s="102"/>
      <c r="G157" s="147"/>
      <c r="H157" s="151"/>
    </row>
    <row r="158" spans="1:8" x14ac:dyDescent="0.2">
      <c r="A158" s="94"/>
      <c r="B158" s="94"/>
      <c r="C158" s="95" t="s">
        <v>121</v>
      </c>
      <c r="D158" s="94"/>
      <c r="E158" s="94"/>
      <c r="F158" s="102"/>
      <c r="G158" s="147"/>
      <c r="H158" s="151"/>
    </row>
    <row r="159" spans="1:8" x14ac:dyDescent="0.2">
      <c r="A159" s="96">
        <v>1</v>
      </c>
      <c r="B159" s="97" t="s">
        <v>875</v>
      </c>
      <c r="C159" s="97" t="s">
        <v>876</v>
      </c>
      <c r="D159" s="97" t="s">
        <v>877</v>
      </c>
      <c r="E159" s="98">
        <v>300</v>
      </c>
      <c r="F159" s="99">
        <v>1479.0585000000001</v>
      </c>
      <c r="G159" s="145">
        <v>1.2715997999999999E-2</v>
      </c>
      <c r="H159" s="151">
        <v>3.8</v>
      </c>
    </row>
    <row r="160" spans="1:8" x14ac:dyDescent="0.2">
      <c r="A160" s="94"/>
      <c r="B160" s="94"/>
      <c r="C160" s="95" t="s">
        <v>105</v>
      </c>
      <c r="D160" s="94"/>
      <c r="E160" s="94" t="s">
        <v>106</v>
      </c>
      <c r="F160" s="100">
        <v>1479.0585000000001</v>
      </c>
      <c r="G160" s="146">
        <v>1.2715997999999999E-2</v>
      </c>
      <c r="H160" s="151"/>
    </row>
    <row r="161" spans="1:8" x14ac:dyDescent="0.2">
      <c r="A161" s="94"/>
      <c r="B161" s="94"/>
      <c r="C161" s="101"/>
      <c r="D161" s="94"/>
      <c r="E161" s="94"/>
      <c r="F161" s="102"/>
      <c r="G161" s="147"/>
      <c r="H161" s="151"/>
    </row>
    <row r="162" spans="1:8" x14ac:dyDescent="0.2">
      <c r="A162" s="94"/>
      <c r="B162" s="94"/>
      <c r="C162" s="95" t="s">
        <v>122</v>
      </c>
      <c r="D162" s="94"/>
      <c r="E162" s="94"/>
      <c r="F162" s="102"/>
      <c r="G162" s="147"/>
      <c r="H162" s="151"/>
    </row>
    <row r="163" spans="1:8" x14ac:dyDescent="0.2">
      <c r="A163" s="94"/>
      <c r="B163" s="94"/>
      <c r="C163" s="95" t="s">
        <v>105</v>
      </c>
      <c r="D163" s="94"/>
      <c r="E163" s="94" t="s">
        <v>106</v>
      </c>
      <c r="F163" s="103">
        <v>0</v>
      </c>
      <c r="G163" s="148">
        <v>0</v>
      </c>
      <c r="H163" s="151"/>
    </row>
    <row r="164" spans="1:8" x14ac:dyDescent="0.2">
      <c r="A164" s="94"/>
      <c r="B164" s="94"/>
      <c r="C164" s="101"/>
      <c r="D164" s="94"/>
      <c r="E164" s="94"/>
      <c r="F164" s="102"/>
      <c r="G164" s="147"/>
      <c r="H164" s="151"/>
    </row>
    <row r="165" spans="1:8" x14ac:dyDescent="0.2">
      <c r="A165" s="94"/>
      <c r="B165" s="94"/>
      <c r="C165" s="95" t="s">
        <v>123</v>
      </c>
      <c r="D165" s="94"/>
      <c r="E165" s="94"/>
      <c r="F165" s="102"/>
      <c r="G165" s="147"/>
      <c r="H165" s="151"/>
    </row>
    <row r="166" spans="1:8" x14ac:dyDescent="0.2">
      <c r="A166" s="96">
        <v>1</v>
      </c>
      <c r="B166" s="97"/>
      <c r="C166" s="97" t="s">
        <v>124</v>
      </c>
      <c r="D166" s="97"/>
      <c r="E166" s="104"/>
      <c r="F166" s="99">
        <v>2504.7502872999999</v>
      </c>
      <c r="G166" s="145">
        <v>2.1534239E-2</v>
      </c>
      <c r="H166" s="152">
        <v>3.3197683930276081</v>
      </c>
    </row>
    <row r="167" spans="1:8" x14ac:dyDescent="0.2">
      <c r="A167" s="94"/>
      <c r="B167" s="94"/>
      <c r="C167" s="95" t="s">
        <v>105</v>
      </c>
      <c r="D167" s="94"/>
      <c r="E167" s="94" t="s">
        <v>106</v>
      </c>
      <c r="F167" s="100">
        <v>2504.7502872999999</v>
      </c>
      <c r="G167" s="146">
        <v>2.1534239E-2</v>
      </c>
      <c r="H167" s="151"/>
    </row>
    <row r="168" spans="1:8" x14ac:dyDescent="0.2">
      <c r="A168" s="94"/>
      <c r="B168" s="94"/>
      <c r="C168" s="101"/>
      <c r="D168" s="94"/>
      <c r="E168" s="94"/>
      <c r="F168" s="102"/>
      <c r="G168" s="147"/>
      <c r="H168" s="151"/>
    </row>
    <row r="169" spans="1:8" x14ac:dyDescent="0.2">
      <c r="A169" s="94"/>
      <c r="B169" s="94"/>
      <c r="C169" s="95" t="s">
        <v>125</v>
      </c>
      <c r="D169" s="94"/>
      <c r="E169" s="94"/>
      <c r="F169" s="100">
        <v>3983.8087872999999</v>
      </c>
      <c r="G169" s="146">
        <v>3.4250237000000003E-2</v>
      </c>
      <c r="H169" s="151"/>
    </row>
    <row r="170" spans="1:8" x14ac:dyDescent="0.2">
      <c r="A170" s="94"/>
      <c r="B170" s="94"/>
      <c r="C170" s="102"/>
      <c r="D170" s="94"/>
      <c r="E170" s="94"/>
      <c r="F170" s="94"/>
      <c r="G170" s="144"/>
      <c r="H170" s="151"/>
    </row>
    <row r="171" spans="1:8" x14ac:dyDescent="0.2">
      <c r="A171" s="94"/>
      <c r="B171" s="94"/>
      <c r="C171" s="95" t="s">
        <v>126</v>
      </c>
      <c r="D171" s="94"/>
      <c r="E171" s="94"/>
      <c r="F171" s="94"/>
      <c r="G171" s="144"/>
      <c r="H171" s="151"/>
    </row>
    <row r="172" spans="1:8" x14ac:dyDescent="0.2">
      <c r="A172" s="94"/>
      <c r="B172" s="94"/>
      <c r="C172" s="95" t="s">
        <v>127</v>
      </c>
      <c r="D172" s="94"/>
      <c r="E172" s="94"/>
      <c r="F172" s="94"/>
      <c r="G172" s="144"/>
      <c r="H172" s="151"/>
    </row>
    <row r="173" spans="1:8" x14ac:dyDescent="0.2">
      <c r="A173" s="94"/>
      <c r="B173" s="94"/>
      <c r="C173" s="95" t="s">
        <v>105</v>
      </c>
      <c r="D173" s="94"/>
      <c r="E173" s="94" t="s">
        <v>106</v>
      </c>
      <c r="F173" s="103">
        <v>0</v>
      </c>
      <c r="G173" s="148">
        <v>0</v>
      </c>
      <c r="H173" s="151"/>
    </row>
    <row r="174" spans="1:8" x14ac:dyDescent="0.2">
      <c r="A174" s="94"/>
      <c r="B174" s="94"/>
      <c r="C174" s="101"/>
      <c r="D174" s="94"/>
      <c r="E174" s="94"/>
      <c r="F174" s="102"/>
      <c r="G174" s="147"/>
      <c r="H174" s="151"/>
    </row>
    <row r="175" spans="1:8" x14ac:dyDescent="0.2">
      <c r="A175" s="94"/>
      <c r="B175" s="94"/>
      <c r="C175" s="95" t="s">
        <v>128</v>
      </c>
      <c r="D175" s="94"/>
      <c r="E175" s="94"/>
      <c r="F175" s="94"/>
      <c r="G175" s="144"/>
      <c r="H175" s="151"/>
    </row>
    <row r="176" spans="1:8" x14ac:dyDescent="0.2">
      <c r="A176" s="94"/>
      <c r="B176" s="94"/>
      <c r="C176" s="95" t="s">
        <v>129</v>
      </c>
      <c r="D176" s="94"/>
      <c r="E176" s="94"/>
      <c r="F176" s="94"/>
      <c r="G176" s="144"/>
      <c r="H176" s="151"/>
    </row>
    <row r="177" spans="1:8" x14ac:dyDescent="0.2">
      <c r="A177" s="94"/>
      <c r="B177" s="94"/>
      <c r="C177" s="95" t="s">
        <v>105</v>
      </c>
      <c r="D177" s="94"/>
      <c r="E177" s="94" t="s">
        <v>106</v>
      </c>
      <c r="F177" s="103">
        <v>0</v>
      </c>
      <c r="G177" s="148">
        <v>0</v>
      </c>
      <c r="H177" s="151"/>
    </row>
    <row r="178" spans="1:8" x14ac:dyDescent="0.2">
      <c r="A178" s="94"/>
      <c r="B178" s="94"/>
      <c r="C178" s="101"/>
      <c r="D178" s="94"/>
      <c r="E178" s="94"/>
      <c r="F178" s="102"/>
      <c r="G178" s="147"/>
      <c r="H178" s="151"/>
    </row>
    <row r="179" spans="1:8" ht="25.5" x14ac:dyDescent="0.2">
      <c r="A179" s="94"/>
      <c r="B179" s="94"/>
      <c r="C179" s="95" t="s">
        <v>130</v>
      </c>
      <c r="D179" s="94"/>
      <c r="E179" s="94"/>
      <c r="F179" s="102"/>
      <c r="G179" s="147"/>
      <c r="H179" s="151"/>
    </row>
    <row r="180" spans="1:8" x14ac:dyDescent="0.2">
      <c r="A180" s="94"/>
      <c r="B180" s="94"/>
      <c r="C180" s="95" t="s">
        <v>105</v>
      </c>
      <c r="D180" s="94"/>
      <c r="E180" s="94" t="s">
        <v>106</v>
      </c>
      <c r="F180" s="103">
        <v>0</v>
      </c>
      <c r="G180" s="148">
        <v>0</v>
      </c>
      <c r="H180" s="151"/>
    </row>
    <row r="181" spans="1:8" x14ac:dyDescent="0.2">
      <c r="A181" s="94"/>
      <c r="B181" s="94"/>
      <c r="C181" s="101"/>
      <c r="D181" s="94"/>
      <c r="E181" s="94"/>
      <c r="F181" s="102"/>
      <c r="G181" s="147"/>
      <c r="H181" s="151"/>
    </row>
    <row r="182" spans="1:8" x14ac:dyDescent="0.2">
      <c r="A182" s="104"/>
      <c r="B182" s="97"/>
      <c r="C182" s="97" t="s">
        <v>708</v>
      </c>
      <c r="D182" s="97"/>
      <c r="E182" s="104"/>
      <c r="F182" s="99">
        <v>8541.9072973999992</v>
      </c>
      <c r="G182" s="145">
        <v>7.3437850999999998E-2</v>
      </c>
      <c r="H182" s="151"/>
    </row>
    <row r="183" spans="1:8" x14ac:dyDescent="0.2">
      <c r="A183" s="104"/>
      <c r="B183" s="97"/>
      <c r="C183" s="97" t="s">
        <v>878</v>
      </c>
      <c r="D183" s="97"/>
      <c r="E183" s="104"/>
      <c r="F183" s="99">
        <v>-371.48087440000381</v>
      </c>
      <c r="G183" s="145">
        <v>-3.1937547430540012E-3</v>
      </c>
      <c r="H183" s="151"/>
    </row>
    <row r="184" spans="1:8" x14ac:dyDescent="0.2">
      <c r="A184" s="101"/>
      <c r="B184" s="101"/>
      <c r="C184" s="95" t="s">
        <v>132</v>
      </c>
      <c r="D184" s="102"/>
      <c r="E184" s="102"/>
      <c r="F184" s="100">
        <v>116314.77814879997</v>
      </c>
      <c r="G184" s="146">
        <v>0.99999999825694608</v>
      </c>
      <c r="H184" s="151"/>
    </row>
    <row r="185" spans="1:8" ht="14.1" customHeight="1" x14ac:dyDescent="0.2">
      <c r="A185" s="105"/>
      <c r="B185" s="105"/>
      <c r="C185" s="105"/>
      <c r="D185" s="106"/>
      <c r="E185" s="106"/>
      <c r="F185" s="106"/>
      <c r="G185" s="106"/>
    </row>
    <row r="186" spans="1:8" ht="17.100000000000001" customHeight="1" x14ac:dyDescent="0.2">
      <c r="A186" s="107"/>
      <c r="B186" s="212" t="s">
        <v>879</v>
      </c>
      <c r="C186" s="212"/>
      <c r="D186" s="212"/>
      <c r="E186" s="212"/>
      <c r="F186" s="212"/>
      <c r="G186" s="108"/>
    </row>
    <row r="187" spans="1:8" ht="17.100000000000001" customHeight="1" x14ac:dyDescent="0.2">
      <c r="A187" s="107"/>
      <c r="B187" s="212" t="s">
        <v>880</v>
      </c>
      <c r="C187" s="212"/>
      <c r="D187" s="212"/>
      <c r="E187" s="212"/>
      <c r="F187" s="212"/>
      <c r="G187" s="108"/>
    </row>
    <row r="188" spans="1:8" ht="14.1" customHeight="1" x14ac:dyDescent="0.2">
      <c r="A188" s="107"/>
      <c r="B188" s="212" t="s">
        <v>106</v>
      </c>
      <c r="C188" s="212"/>
      <c r="D188" s="212"/>
      <c r="E188" s="212"/>
      <c r="F188" s="212"/>
      <c r="G188" s="108"/>
    </row>
    <row r="189" spans="1:8" ht="14.1" customHeight="1" x14ac:dyDescent="0.2">
      <c r="A189" s="107"/>
      <c r="B189" s="107"/>
      <c r="C189" s="107"/>
      <c r="D189" s="108"/>
      <c r="E189" s="108"/>
      <c r="F189" s="108"/>
      <c r="G189" s="108"/>
    </row>
    <row r="190" spans="1:8" ht="14.1" customHeight="1" x14ac:dyDescent="0.2">
      <c r="A190" s="107"/>
      <c r="B190" s="216" t="s">
        <v>134</v>
      </c>
      <c r="C190" s="217"/>
      <c r="D190" s="218"/>
      <c r="E190" s="109"/>
      <c r="F190" s="108"/>
      <c r="G190" s="108"/>
    </row>
    <row r="191" spans="1:8" ht="29.1" customHeight="1" x14ac:dyDescent="0.2">
      <c r="A191" s="107"/>
      <c r="B191" s="213" t="s">
        <v>135</v>
      </c>
      <c r="C191" s="214"/>
      <c r="D191" s="95" t="s">
        <v>136</v>
      </c>
      <c r="E191" s="109"/>
      <c r="F191" s="108"/>
      <c r="G191" s="108"/>
    </row>
    <row r="192" spans="1:8" ht="17.100000000000001" customHeight="1" x14ac:dyDescent="0.2">
      <c r="A192" s="107"/>
      <c r="B192" s="213" t="s">
        <v>137</v>
      </c>
      <c r="C192" s="214"/>
      <c r="D192" s="95" t="s">
        <v>136</v>
      </c>
      <c r="E192" s="109"/>
      <c r="F192" s="108"/>
      <c r="G192" s="108"/>
    </row>
    <row r="193" spans="1:7" ht="17.100000000000001" customHeight="1" x14ac:dyDescent="0.2">
      <c r="A193" s="107"/>
      <c r="B193" s="213" t="s">
        <v>138</v>
      </c>
      <c r="C193" s="214"/>
      <c r="D193" s="102" t="s">
        <v>106</v>
      </c>
      <c r="E193" s="109"/>
      <c r="F193" s="108"/>
      <c r="G193" s="108"/>
    </row>
    <row r="194" spans="1:7" ht="24" customHeight="1" x14ac:dyDescent="0.2">
      <c r="A194" s="110"/>
      <c r="B194" s="111" t="s">
        <v>106</v>
      </c>
      <c r="C194" s="111" t="s">
        <v>139</v>
      </c>
      <c r="D194" s="111" t="s">
        <v>140</v>
      </c>
      <c r="E194" s="110"/>
      <c r="F194" s="110"/>
      <c r="G194" s="110"/>
    </row>
    <row r="195" spans="1:7" ht="18" customHeight="1" x14ac:dyDescent="0.2">
      <c r="A195" s="110"/>
      <c r="B195" s="112" t="s">
        <v>141</v>
      </c>
      <c r="C195" s="111" t="s">
        <v>142</v>
      </c>
      <c r="D195" s="111" t="s">
        <v>143</v>
      </c>
      <c r="E195" s="110"/>
      <c r="F195" s="110"/>
      <c r="G195" s="110"/>
    </row>
    <row r="196" spans="1:7" x14ac:dyDescent="0.2">
      <c r="A196" s="110"/>
      <c r="B196" s="97" t="s">
        <v>144</v>
      </c>
      <c r="C196" s="113">
        <v>14.8264</v>
      </c>
      <c r="D196" s="113">
        <v>14.914099999999999</v>
      </c>
      <c r="E196" s="110"/>
      <c r="F196" s="114"/>
      <c r="G196" s="115"/>
    </row>
    <row r="197" spans="1:7" x14ac:dyDescent="0.2">
      <c r="A197" s="110"/>
      <c r="B197" s="97" t="s">
        <v>1019</v>
      </c>
      <c r="C197" s="113">
        <v>13.7987</v>
      </c>
      <c r="D197" s="113">
        <v>13.8804</v>
      </c>
      <c r="E197" s="110"/>
      <c r="F197" s="114"/>
      <c r="G197" s="115"/>
    </row>
    <row r="198" spans="1:7" x14ac:dyDescent="0.2">
      <c r="A198" s="110"/>
      <c r="B198" s="97" t="s">
        <v>145</v>
      </c>
      <c r="C198" s="113">
        <v>14.411799999999999</v>
      </c>
      <c r="D198" s="113">
        <v>14.474</v>
      </c>
      <c r="E198" s="110"/>
      <c r="F198" s="114"/>
      <c r="G198" s="115"/>
    </row>
    <row r="199" spans="1:7" x14ac:dyDescent="0.2">
      <c r="A199" s="110"/>
      <c r="B199" s="97" t="s">
        <v>1020</v>
      </c>
      <c r="C199" s="113">
        <v>13.4117</v>
      </c>
      <c r="D199" s="113">
        <v>13.4695</v>
      </c>
      <c r="E199" s="110"/>
      <c r="F199" s="114"/>
      <c r="G199" s="115"/>
    </row>
    <row r="200" spans="1:7" ht="14.1" customHeight="1" x14ac:dyDescent="0.2">
      <c r="A200" s="110"/>
      <c r="B200" s="110"/>
      <c r="C200" s="110"/>
      <c r="D200" s="110"/>
      <c r="E200" s="110"/>
      <c r="F200" s="110"/>
      <c r="G200" s="110"/>
    </row>
    <row r="201" spans="1:7" ht="17.100000000000001" customHeight="1" x14ac:dyDescent="0.2">
      <c r="A201" s="110"/>
      <c r="B201" s="213" t="s">
        <v>1021</v>
      </c>
      <c r="C201" s="214"/>
      <c r="D201" s="95" t="s">
        <v>136</v>
      </c>
      <c r="E201" s="110"/>
      <c r="F201" s="110"/>
      <c r="G201" s="110"/>
    </row>
    <row r="202" spans="1:7" ht="18" customHeight="1" x14ac:dyDescent="0.2">
      <c r="A202" s="110"/>
      <c r="B202" s="116"/>
      <c r="C202" s="116"/>
      <c r="D202" s="116"/>
      <c r="E202" s="110"/>
      <c r="F202" s="110"/>
      <c r="G202" s="110"/>
    </row>
    <row r="203" spans="1:7" s="125" customFormat="1" x14ac:dyDescent="0.2">
      <c r="B203" s="201" t="s">
        <v>825</v>
      </c>
      <c r="C203" s="201"/>
      <c r="D203" s="201"/>
      <c r="E203" s="201"/>
      <c r="F203" s="201"/>
    </row>
    <row r="204" spans="1:7" ht="14.1" customHeight="1" x14ac:dyDescent="0.2">
      <c r="A204" s="110"/>
      <c r="B204" s="114"/>
      <c r="C204" s="114"/>
      <c r="D204" s="110"/>
      <c r="E204" s="110"/>
      <c r="F204" s="110"/>
      <c r="G204" s="110"/>
    </row>
    <row r="205" spans="1:7" ht="29.1" customHeight="1" x14ac:dyDescent="0.2">
      <c r="A205" s="110"/>
      <c r="B205" s="213" t="s">
        <v>146</v>
      </c>
      <c r="C205" s="214"/>
      <c r="D205" s="2" t="s">
        <v>1083</v>
      </c>
      <c r="E205" s="117"/>
      <c r="F205" s="110"/>
      <c r="G205" s="110"/>
    </row>
    <row r="206" spans="1:7" ht="29.1" customHeight="1" x14ac:dyDescent="0.2">
      <c r="A206" s="110"/>
      <c r="B206" s="213" t="s">
        <v>147</v>
      </c>
      <c r="C206" s="214"/>
      <c r="D206" s="95" t="s">
        <v>136</v>
      </c>
      <c r="E206" s="117"/>
      <c r="F206" s="110"/>
      <c r="G206" s="110"/>
    </row>
    <row r="207" spans="1:7" ht="17.100000000000001" customHeight="1" x14ac:dyDescent="0.2">
      <c r="A207" s="110"/>
      <c r="B207" s="210" t="s">
        <v>1001</v>
      </c>
      <c r="C207" s="211"/>
      <c r="D207" s="118">
        <v>0.99880094773369577</v>
      </c>
      <c r="E207" s="117"/>
      <c r="F207" s="110"/>
      <c r="G207" s="110"/>
    </row>
    <row r="208" spans="1:7" ht="17.100000000000001" customHeight="1" x14ac:dyDescent="0.2">
      <c r="A208" s="110"/>
      <c r="B208" s="210" t="s">
        <v>1002</v>
      </c>
      <c r="C208" s="211"/>
      <c r="D208" s="118">
        <v>0.94635111202497657</v>
      </c>
      <c r="E208" s="117"/>
      <c r="F208" s="110"/>
      <c r="G208" s="110"/>
    </row>
    <row r="209" spans="1:7" ht="17.100000000000001" customHeight="1" x14ac:dyDescent="0.2">
      <c r="A209" s="110"/>
      <c r="B209" s="213" t="s">
        <v>881</v>
      </c>
      <c r="C209" s="214"/>
      <c r="D209" s="95" t="s">
        <v>136</v>
      </c>
      <c r="E209" s="117"/>
      <c r="F209" s="110"/>
      <c r="G209" s="110"/>
    </row>
    <row r="210" spans="1:7" ht="17.100000000000001" customHeight="1" x14ac:dyDescent="0.2">
      <c r="A210" s="110"/>
      <c r="B210" s="213" t="s">
        <v>1000</v>
      </c>
      <c r="C210" s="214"/>
      <c r="D210" s="119">
        <v>3.8145693734596375</v>
      </c>
      <c r="E210" s="110"/>
      <c r="F210" s="114"/>
      <c r="G210" s="115"/>
    </row>
    <row r="211" spans="1:7" ht="11.1" customHeight="1" x14ac:dyDescent="0.2">
      <c r="A211" s="116"/>
      <c r="B211" s="116"/>
      <c r="C211" s="116"/>
      <c r="D211" s="116"/>
      <c r="E211" s="116"/>
      <c r="F211" s="116"/>
      <c r="G211" s="116"/>
    </row>
    <row r="212" spans="1:7" x14ac:dyDescent="0.2">
      <c r="B212" s="164" t="s">
        <v>1084</v>
      </c>
    </row>
    <row r="213" spans="1:7" x14ac:dyDescent="0.2">
      <c r="B213"/>
    </row>
    <row r="214" spans="1:7" x14ac:dyDescent="0.2">
      <c r="B214" s="164" t="s">
        <v>1085</v>
      </c>
    </row>
    <row r="215" spans="1:7" ht="25.5" x14ac:dyDescent="0.2">
      <c r="B215" s="179" t="s">
        <v>1075</v>
      </c>
      <c r="C215" s="179" t="s">
        <v>1076</v>
      </c>
      <c r="D215" s="165" t="s">
        <v>1077</v>
      </c>
      <c r="E215" s="165" t="s">
        <v>1078</v>
      </c>
      <c r="F215" s="165" t="s">
        <v>1079</v>
      </c>
    </row>
    <row r="216" spans="1:7" ht="25.5" x14ac:dyDescent="0.2">
      <c r="B216" s="185" t="s">
        <v>961</v>
      </c>
      <c r="C216" s="180" t="s">
        <v>1080</v>
      </c>
      <c r="D216" s="181">
        <v>747.32</v>
      </c>
      <c r="E216" s="181">
        <v>739.95</v>
      </c>
      <c r="F216" s="182">
        <v>121.36898980000001</v>
      </c>
    </row>
    <row r="217" spans="1:7" x14ac:dyDescent="0.2">
      <c r="B217" s="188" t="s">
        <v>963</v>
      </c>
      <c r="C217" s="180" t="s">
        <v>1080</v>
      </c>
      <c r="D217" s="181">
        <v>793.54</v>
      </c>
      <c r="E217" s="181">
        <v>770.35</v>
      </c>
      <c r="F217" s="182">
        <v>156.760659</v>
      </c>
    </row>
    <row r="218" spans="1:7" x14ac:dyDescent="0.2">
      <c r="B218" s="188" t="s">
        <v>941</v>
      </c>
      <c r="C218" s="180" t="s">
        <v>1080</v>
      </c>
      <c r="D218" s="181">
        <v>3898.66</v>
      </c>
      <c r="E218" s="181">
        <v>3841.85</v>
      </c>
      <c r="F218" s="182">
        <v>100.58459499999999</v>
      </c>
    </row>
    <row r="219" spans="1:7" ht="25.5" x14ac:dyDescent="0.2">
      <c r="B219" s="188" t="s">
        <v>947</v>
      </c>
      <c r="C219" s="180" t="s">
        <v>1080</v>
      </c>
      <c r="D219" s="181">
        <v>696.63</v>
      </c>
      <c r="E219" s="181">
        <v>691.5</v>
      </c>
      <c r="F219" s="182">
        <v>429.96761359999999</v>
      </c>
    </row>
    <row r="220" spans="1:7" ht="38.25" x14ac:dyDescent="0.2">
      <c r="B220" s="188" t="s">
        <v>954</v>
      </c>
      <c r="C220" s="180" t="s">
        <v>1080</v>
      </c>
      <c r="D220" s="181">
        <v>57.62</v>
      </c>
      <c r="E220" s="181">
        <v>64.900000000000006</v>
      </c>
      <c r="F220" s="182">
        <v>20.715607500000001</v>
      </c>
    </row>
    <row r="221" spans="1:7" ht="25.5" x14ac:dyDescent="0.2">
      <c r="B221" s="188" t="s">
        <v>956</v>
      </c>
      <c r="C221" s="180" t="s">
        <v>1080</v>
      </c>
      <c r="D221" s="181">
        <v>4742.2</v>
      </c>
      <c r="E221" s="181">
        <v>4812.75</v>
      </c>
      <c r="F221" s="182">
        <v>46.5778125</v>
      </c>
    </row>
    <row r="222" spans="1:7" ht="25.5" x14ac:dyDescent="0.2">
      <c r="B222" s="188" t="s">
        <v>965</v>
      </c>
      <c r="C222" s="180" t="s">
        <v>1080</v>
      </c>
      <c r="D222" s="181">
        <v>4896.97</v>
      </c>
      <c r="E222" s="181">
        <v>4901.6499999999996</v>
      </c>
      <c r="F222" s="182">
        <v>180.62515199999999</v>
      </c>
    </row>
    <row r="223" spans="1:7" ht="25.5" x14ac:dyDescent="0.2">
      <c r="B223" s="188" t="s">
        <v>953</v>
      </c>
      <c r="C223" s="180" t="s">
        <v>1080</v>
      </c>
      <c r="D223" s="181">
        <v>1494.1</v>
      </c>
      <c r="E223" s="181">
        <v>1488.25</v>
      </c>
      <c r="F223" s="182">
        <v>4.4780726</v>
      </c>
    </row>
    <row r="224" spans="1:7" ht="25.5" x14ac:dyDescent="0.2">
      <c r="B224" s="188" t="s">
        <v>959</v>
      </c>
      <c r="C224" s="180" t="s">
        <v>1080</v>
      </c>
      <c r="D224" s="181">
        <v>1650.27</v>
      </c>
      <c r="E224" s="181">
        <v>1676.6</v>
      </c>
      <c r="F224" s="182">
        <v>85.869056400000005</v>
      </c>
    </row>
    <row r="225" spans="2:6" ht="25.5" x14ac:dyDescent="0.2">
      <c r="B225" s="188" t="s">
        <v>951</v>
      </c>
      <c r="C225" s="180" t="s">
        <v>1080</v>
      </c>
      <c r="D225" s="181">
        <v>2781.9</v>
      </c>
      <c r="E225" s="181">
        <v>2761.75</v>
      </c>
      <c r="F225" s="182">
        <v>364.09474600000004</v>
      </c>
    </row>
    <row r="226" spans="2:6" ht="25.5" x14ac:dyDescent="0.2">
      <c r="B226" s="188" t="s">
        <v>966</v>
      </c>
      <c r="C226" s="180" t="s">
        <v>1080</v>
      </c>
      <c r="D226" s="181">
        <v>727.53</v>
      </c>
      <c r="E226" s="181">
        <v>726.15</v>
      </c>
      <c r="F226" s="182">
        <v>231.38151399999998</v>
      </c>
    </row>
    <row r="227" spans="2:6" x14ac:dyDescent="0.2">
      <c r="B227" s="188" t="s">
        <v>949</v>
      </c>
      <c r="C227" s="180" t="s">
        <v>1080</v>
      </c>
      <c r="D227" s="181">
        <v>712.08</v>
      </c>
      <c r="E227" s="181">
        <v>704.2</v>
      </c>
      <c r="F227" s="182">
        <v>789.29181760000006</v>
      </c>
    </row>
    <row r="228" spans="2:6" x14ac:dyDescent="0.2">
      <c r="B228" s="188" t="s">
        <v>969</v>
      </c>
      <c r="C228" s="180" t="s">
        <v>1080</v>
      </c>
      <c r="D228" s="181">
        <v>554.80999999999995</v>
      </c>
      <c r="E228" s="181">
        <v>550.04999999999995</v>
      </c>
      <c r="F228" s="182">
        <v>271.8569</v>
      </c>
    </row>
    <row r="229" spans="2:6" ht="25.5" x14ac:dyDescent="0.2">
      <c r="B229" s="188" t="s">
        <v>948</v>
      </c>
      <c r="C229" s="180" t="s">
        <v>1080</v>
      </c>
      <c r="D229" s="181">
        <v>836.39</v>
      </c>
      <c r="E229" s="181">
        <v>856.65</v>
      </c>
      <c r="F229" s="169">
        <v>516.57945600000005</v>
      </c>
    </row>
    <row r="230" spans="2:6" x14ac:dyDescent="0.2">
      <c r="B230" s="188" t="s">
        <v>971</v>
      </c>
      <c r="C230" s="180" t="s">
        <v>1080</v>
      </c>
      <c r="D230" s="181">
        <v>17640.650000000001</v>
      </c>
      <c r="E230" s="181">
        <v>17623.150000000001</v>
      </c>
      <c r="F230" s="169">
        <v>615.08785499999999</v>
      </c>
    </row>
    <row r="231" spans="2:6" ht="25.5" x14ac:dyDescent="0.2">
      <c r="B231" s="188" t="s">
        <v>968</v>
      </c>
      <c r="C231" s="180" t="s">
        <v>1080</v>
      </c>
      <c r="D231" s="181">
        <v>2401.56</v>
      </c>
      <c r="E231" s="181">
        <v>2387.0500000000002</v>
      </c>
      <c r="F231" s="169">
        <v>244.4076666</v>
      </c>
    </row>
    <row r="232" spans="2:6" ht="25.5" x14ac:dyDescent="0.2">
      <c r="B232" s="188" t="s">
        <v>960</v>
      </c>
      <c r="C232" s="180" t="s">
        <v>1080</v>
      </c>
      <c r="D232" s="181">
        <v>38.880000000000003</v>
      </c>
      <c r="E232" s="181">
        <v>40.25</v>
      </c>
      <c r="F232" s="169">
        <v>185.45439999999999</v>
      </c>
    </row>
    <row r="233" spans="2:6" ht="25.5" x14ac:dyDescent="0.2">
      <c r="B233" s="188" t="s">
        <v>946</v>
      </c>
      <c r="C233" s="180" t="s">
        <v>1080</v>
      </c>
      <c r="D233" s="181">
        <v>2538.3000000000002</v>
      </c>
      <c r="E233" s="181">
        <v>2520.5500000000002</v>
      </c>
      <c r="F233" s="169">
        <v>502.03011600000002</v>
      </c>
    </row>
    <row r="234" spans="2:6" ht="25.5" x14ac:dyDescent="0.2">
      <c r="B234" s="188" t="s">
        <v>970</v>
      </c>
      <c r="C234" s="180" t="s">
        <v>1080</v>
      </c>
      <c r="D234" s="181">
        <v>457.17</v>
      </c>
      <c r="E234" s="181">
        <v>454.1</v>
      </c>
      <c r="F234" s="169">
        <v>717.45074999999997</v>
      </c>
    </row>
    <row r="235" spans="2:6" ht="25.5" x14ac:dyDescent="0.2">
      <c r="B235" s="188" t="s">
        <v>957</v>
      </c>
      <c r="C235" s="180" t="s">
        <v>1080</v>
      </c>
      <c r="D235" s="181">
        <v>914.3</v>
      </c>
      <c r="E235" s="181">
        <v>924.15</v>
      </c>
      <c r="F235" s="169">
        <v>68.737340000000003</v>
      </c>
    </row>
    <row r="236" spans="2:6" ht="25.5" x14ac:dyDescent="0.2">
      <c r="B236" s="188" t="s">
        <v>958</v>
      </c>
      <c r="C236" s="180" t="s">
        <v>1080</v>
      </c>
      <c r="D236" s="181">
        <v>333.69</v>
      </c>
      <c r="E236" s="181">
        <v>334.15</v>
      </c>
      <c r="F236" s="169">
        <v>86.013362599999994</v>
      </c>
    </row>
    <row r="237" spans="2:6" ht="25.5" x14ac:dyDescent="0.2">
      <c r="B237" s="188" t="s">
        <v>964</v>
      </c>
      <c r="C237" s="180" t="s">
        <v>1080</v>
      </c>
      <c r="D237" s="181">
        <v>1380.4</v>
      </c>
      <c r="E237" s="181">
        <v>1293</v>
      </c>
      <c r="F237" s="169">
        <v>173.90787499999999</v>
      </c>
    </row>
    <row r="238" spans="2:6" ht="25.5" x14ac:dyDescent="0.2">
      <c r="B238" s="188" t="s">
        <v>967</v>
      </c>
      <c r="C238" s="180" t="s">
        <v>1080</v>
      </c>
      <c r="D238" s="181">
        <v>3786.06</v>
      </c>
      <c r="E238" s="181">
        <v>3773.45</v>
      </c>
      <c r="F238" s="169">
        <v>247.43183920000001</v>
      </c>
    </row>
    <row r="239" spans="2:6" ht="25.5" x14ac:dyDescent="0.2">
      <c r="B239" s="188" t="s">
        <v>950</v>
      </c>
      <c r="C239" s="180" t="s">
        <v>1080</v>
      </c>
      <c r="D239" s="181">
        <v>1404.21</v>
      </c>
      <c r="E239" s="181">
        <v>1387.8</v>
      </c>
      <c r="F239" s="169">
        <v>369.06983399999996</v>
      </c>
    </row>
    <row r="240" spans="2:6" ht="25.5" x14ac:dyDescent="0.2">
      <c r="B240" s="188" t="s">
        <v>962</v>
      </c>
      <c r="C240" s="180" t="s">
        <v>1080</v>
      </c>
      <c r="D240" s="181">
        <v>2122.5500000000002</v>
      </c>
      <c r="E240" s="181">
        <v>2166.9499999999998</v>
      </c>
      <c r="F240" s="169">
        <v>103.45891640000001</v>
      </c>
    </row>
    <row r="241" spans="2:7" ht="25.5" x14ac:dyDescent="0.2">
      <c r="B241" s="188" t="s">
        <v>955</v>
      </c>
      <c r="C241" s="180" t="s">
        <v>1080</v>
      </c>
      <c r="D241" s="181">
        <v>290.10000000000002</v>
      </c>
      <c r="E241" s="181">
        <v>288.39999999999998</v>
      </c>
      <c r="F241" s="169">
        <v>53.171138000000006</v>
      </c>
    </row>
    <row r="242" spans="2:7" x14ac:dyDescent="0.2">
      <c r="B242" s="189"/>
      <c r="C242" s="189"/>
      <c r="D242" s="189"/>
      <c r="E242" s="173"/>
      <c r="F242" s="173"/>
      <c r="G242" s="173"/>
    </row>
    <row r="243" spans="2:7" x14ac:dyDescent="0.2">
      <c r="B243" s="164" t="s">
        <v>1065</v>
      </c>
    </row>
    <row r="244" spans="2:7" ht="63.75" x14ac:dyDescent="0.2">
      <c r="B244" s="165" t="s">
        <v>1056</v>
      </c>
      <c r="C244" s="165" t="s">
        <v>1066</v>
      </c>
      <c r="D244" s="165" t="s">
        <v>1067</v>
      </c>
      <c r="E244" s="165" t="s">
        <v>1068</v>
      </c>
      <c r="F244" s="165" t="s">
        <v>1069</v>
      </c>
    </row>
    <row r="245" spans="2:7" x14ac:dyDescent="0.2">
      <c r="B245" s="166">
        <v>18602</v>
      </c>
      <c r="C245" s="166">
        <v>18602</v>
      </c>
      <c r="D245" s="174">
        <v>158760.33598999999</v>
      </c>
      <c r="E245" s="174">
        <v>152725.03329999998</v>
      </c>
      <c r="F245" s="170">
        <v>-6025.5526900000114</v>
      </c>
    </row>
    <row r="246" spans="2:7" x14ac:dyDescent="0.2">
      <c r="B246" s="173"/>
      <c r="C246" s="173"/>
      <c r="D246" s="173"/>
      <c r="E246" s="173"/>
      <c r="F246" s="173"/>
    </row>
    <row r="247" spans="2:7" x14ac:dyDescent="0.2">
      <c r="B247" s="164" t="s">
        <v>1054</v>
      </c>
    </row>
    <row r="248" spans="2:7" x14ac:dyDescent="0.2">
      <c r="B248" s="164"/>
    </row>
    <row r="249" spans="2:7" x14ac:dyDescent="0.2">
      <c r="B249" s="164" t="s">
        <v>1055</v>
      </c>
    </row>
    <row r="250" spans="2:7" ht="63.75" x14ac:dyDescent="0.2">
      <c r="B250" s="165" t="s">
        <v>1056</v>
      </c>
      <c r="C250" s="165" t="s">
        <v>1066</v>
      </c>
      <c r="D250" s="165" t="s">
        <v>1067</v>
      </c>
      <c r="E250" s="165" t="s">
        <v>1072</v>
      </c>
      <c r="F250" s="165" t="s">
        <v>1071</v>
      </c>
    </row>
    <row r="251" spans="2:7" x14ac:dyDescent="0.2">
      <c r="B251" s="168">
        <v>952</v>
      </c>
      <c r="C251" s="168">
        <v>952</v>
      </c>
      <c r="D251" s="171">
        <v>8135.0730999999996</v>
      </c>
      <c r="E251" s="171">
        <v>8105.12</v>
      </c>
      <c r="F251" s="172">
        <v>-29.953099999999722</v>
      </c>
    </row>
    <row r="252" spans="2:7" x14ac:dyDescent="0.2">
      <c r="B252" s="164"/>
    </row>
    <row r="253" spans="2:7" x14ac:dyDescent="0.2">
      <c r="B253" s="164" t="s">
        <v>1057</v>
      </c>
    </row>
    <row r="254" spans="2:7" x14ac:dyDescent="0.2">
      <c r="B254" s="164"/>
    </row>
    <row r="255" spans="2:7" x14ac:dyDescent="0.2">
      <c r="B255" s="164" t="s">
        <v>1058</v>
      </c>
    </row>
    <row r="256" spans="2:7" x14ac:dyDescent="0.2">
      <c r="B256" s="164"/>
    </row>
    <row r="257" spans="2:2" x14ac:dyDescent="0.2">
      <c r="B257" s="164" t="s">
        <v>1059</v>
      </c>
    </row>
    <row r="258" spans="2:2" x14ac:dyDescent="0.2">
      <c r="B258" s="164"/>
    </row>
    <row r="259" spans="2:2" x14ac:dyDescent="0.2">
      <c r="B259" s="164" t="s">
        <v>1060</v>
      </c>
    </row>
    <row r="260" spans="2:2" x14ac:dyDescent="0.2">
      <c r="B260" s="164"/>
    </row>
    <row r="261" spans="2:2" x14ac:dyDescent="0.2">
      <c r="B261" s="164" t="s">
        <v>1061</v>
      </c>
    </row>
    <row r="262" spans="2:2" x14ac:dyDescent="0.2">
      <c r="B262" s="164"/>
    </row>
    <row r="263" spans="2:2" x14ac:dyDescent="0.2">
      <c r="B263" s="164" t="s">
        <v>1062</v>
      </c>
    </row>
    <row r="264" spans="2:2" x14ac:dyDescent="0.2">
      <c r="B264"/>
    </row>
    <row r="265" spans="2:2" x14ac:dyDescent="0.2">
      <c r="B265" s="164" t="s">
        <v>1063</v>
      </c>
    </row>
    <row r="266" spans="2:2" x14ac:dyDescent="0.2">
      <c r="B266"/>
    </row>
    <row r="267" spans="2:2" x14ac:dyDescent="0.2">
      <c r="B267" s="164" t="s">
        <v>1064</v>
      </c>
    </row>
    <row r="269" spans="2:2" x14ac:dyDescent="0.2">
      <c r="B269" s="164" t="s">
        <v>1082</v>
      </c>
    </row>
  </sheetData>
  <mergeCells count="19">
    <mergeCell ref="J2:N2"/>
    <mergeCell ref="B206:C206"/>
    <mergeCell ref="B207:C207"/>
    <mergeCell ref="B208:C208"/>
    <mergeCell ref="B209:C209"/>
    <mergeCell ref="B210:C210"/>
    <mergeCell ref="A1:H1"/>
    <mergeCell ref="A2:H2"/>
    <mergeCell ref="A3:H3"/>
    <mergeCell ref="B203:F203"/>
    <mergeCell ref="B205:C205"/>
    <mergeCell ref="B186:F186"/>
    <mergeCell ref="B187:F187"/>
    <mergeCell ref="B188:F188"/>
    <mergeCell ref="B190:D190"/>
    <mergeCell ref="B191:C191"/>
    <mergeCell ref="B192:C192"/>
    <mergeCell ref="B193:C193"/>
    <mergeCell ref="B201:C20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018E-5E20-40B8-A324-BBD2787CA64B}">
  <sheetPr>
    <outlinePr summaryBelow="0" summaryRight="0"/>
  </sheetPr>
  <dimension ref="A1:O214"/>
  <sheetViews>
    <sheetView showGridLines="0" workbookViewId="0">
      <selection activeCell="A4" sqref="A4"/>
    </sheetView>
  </sheetViews>
  <sheetFormatPr defaultRowHeight="12.75" x14ac:dyDescent="0.2"/>
  <cols>
    <col min="1" max="1" width="6.85546875" style="93" customWidth="1"/>
    <col min="2" max="2" width="20.5703125" style="93" customWidth="1"/>
    <col min="3" max="3" width="34.28515625" style="93" customWidth="1"/>
    <col min="4" max="4" width="17.85546875" style="93" customWidth="1"/>
    <col min="5" max="6" width="19.140625" style="93" customWidth="1"/>
    <col min="7" max="7" width="16.42578125" style="93" customWidth="1"/>
    <col min="8" max="8" width="10" style="93" customWidth="1"/>
    <col min="9" max="9" width="11.42578125" style="93" bestFit="1" customWidth="1"/>
    <col min="10" max="253" width="9.140625" style="93"/>
    <col min="254" max="254" width="6.85546875" style="93" customWidth="1"/>
    <col min="255" max="255" width="20.5703125" style="93" customWidth="1"/>
    <col min="256" max="256" width="34.28515625" style="93" customWidth="1"/>
    <col min="257" max="257" width="17.85546875" style="93" customWidth="1"/>
    <col min="258" max="259" width="19.140625" style="93" customWidth="1"/>
    <col min="260" max="260" width="16.42578125" style="93" customWidth="1"/>
    <col min="261" max="509" width="9.140625" style="93"/>
    <col min="510" max="510" width="6.85546875" style="93" customWidth="1"/>
    <col min="511" max="511" width="20.5703125" style="93" customWidth="1"/>
    <col min="512" max="512" width="34.28515625" style="93" customWidth="1"/>
    <col min="513" max="513" width="17.85546875" style="93" customWidth="1"/>
    <col min="514" max="515" width="19.140625" style="93" customWidth="1"/>
    <col min="516" max="516" width="16.42578125" style="93" customWidth="1"/>
    <col min="517" max="765" width="9.140625" style="93"/>
    <col min="766" max="766" width="6.85546875" style="93" customWidth="1"/>
    <col min="767" max="767" width="20.5703125" style="93" customWidth="1"/>
    <col min="768" max="768" width="34.28515625" style="93" customWidth="1"/>
    <col min="769" max="769" width="17.85546875" style="93" customWidth="1"/>
    <col min="770" max="771" width="19.140625" style="93" customWidth="1"/>
    <col min="772" max="772" width="16.42578125" style="93" customWidth="1"/>
    <col min="773" max="1021" width="9.140625" style="93"/>
    <col min="1022" max="1022" width="6.85546875" style="93" customWidth="1"/>
    <col min="1023" max="1023" width="20.5703125" style="93" customWidth="1"/>
    <col min="1024" max="1024" width="34.28515625" style="93" customWidth="1"/>
    <col min="1025" max="1025" width="17.85546875" style="93" customWidth="1"/>
    <col min="1026" max="1027" width="19.140625" style="93" customWidth="1"/>
    <col min="1028" max="1028" width="16.42578125" style="93" customWidth="1"/>
    <col min="1029" max="1277" width="9.140625" style="93"/>
    <col min="1278" max="1278" width="6.85546875" style="93" customWidth="1"/>
    <col min="1279" max="1279" width="20.5703125" style="93" customWidth="1"/>
    <col min="1280" max="1280" width="34.28515625" style="93" customWidth="1"/>
    <col min="1281" max="1281" width="17.85546875" style="93" customWidth="1"/>
    <col min="1282" max="1283" width="19.140625" style="93" customWidth="1"/>
    <col min="1284" max="1284" width="16.42578125" style="93" customWidth="1"/>
    <col min="1285" max="1533" width="9.140625" style="93"/>
    <col min="1534" max="1534" width="6.85546875" style="93" customWidth="1"/>
    <col min="1535" max="1535" width="20.5703125" style="93" customWidth="1"/>
    <col min="1536" max="1536" width="34.28515625" style="93" customWidth="1"/>
    <col min="1537" max="1537" width="17.85546875" style="93" customWidth="1"/>
    <col min="1538" max="1539" width="19.140625" style="93" customWidth="1"/>
    <col min="1540" max="1540" width="16.42578125" style="93" customWidth="1"/>
    <col min="1541" max="1789" width="9.140625" style="93"/>
    <col min="1790" max="1790" width="6.85546875" style="93" customWidth="1"/>
    <col min="1791" max="1791" width="20.5703125" style="93" customWidth="1"/>
    <col min="1792" max="1792" width="34.28515625" style="93" customWidth="1"/>
    <col min="1793" max="1793" width="17.85546875" style="93" customWidth="1"/>
    <col min="1794" max="1795" width="19.140625" style="93" customWidth="1"/>
    <col min="1796" max="1796" width="16.42578125" style="93" customWidth="1"/>
    <col min="1797" max="2045" width="9.140625" style="93"/>
    <col min="2046" max="2046" width="6.85546875" style="93" customWidth="1"/>
    <col min="2047" max="2047" width="20.5703125" style="93" customWidth="1"/>
    <col min="2048" max="2048" width="34.28515625" style="93" customWidth="1"/>
    <col min="2049" max="2049" width="17.85546875" style="93" customWidth="1"/>
    <col min="2050" max="2051" width="19.140625" style="93" customWidth="1"/>
    <col min="2052" max="2052" width="16.42578125" style="93" customWidth="1"/>
    <col min="2053" max="2301" width="9.140625" style="93"/>
    <col min="2302" max="2302" width="6.85546875" style="93" customWidth="1"/>
    <col min="2303" max="2303" width="20.5703125" style="93" customWidth="1"/>
    <col min="2304" max="2304" width="34.28515625" style="93" customWidth="1"/>
    <col min="2305" max="2305" width="17.85546875" style="93" customWidth="1"/>
    <col min="2306" max="2307" width="19.140625" style="93" customWidth="1"/>
    <col min="2308" max="2308" width="16.42578125" style="93" customWidth="1"/>
    <col min="2309" max="2557" width="9.140625" style="93"/>
    <col min="2558" max="2558" width="6.85546875" style="93" customWidth="1"/>
    <col min="2559" max="2559" width="20.5703125" style="93" customWidth="1"/>
    <col min="2560" max="2560" width="34.28515625" style="93" customWidth="1"/>
    <col min="2561" max="2561" width="17.85546875" style="93" customWidth="1"/>
    <col min="2562" max="2563" width="19.140625" style="93" customWidth="1"/>
    <col min="2564" max="2564" width="16.42578125" style="93" customWidth="1"/>
    <col min="2565" max="2813" width="9.140625" style="93"/>
    <col min="2814" max="2814" width="6.85546875" style="93" customWidth="1"/>
    <col min="2815" max="2815" width="20.5703125" style="93" customWidth="1"/>
    <col min="2816" max="2816" width="34.28515625" style="93" customWidth="1"/>
    <col min="2817" max="2817" width="17.85546875" style="93" customWidth="1"/>
    <col min="2818" max="2819" width="19.140625" style="93" customWidth="1"/>
    <col min="2820" max="2820" width="16.42578125" style="93" customWidth="1"/>
    <col min="2821" max="3069" width="9.140625" style="93"/>
    <col min="3070" max="3070" width="6.85546875" style="93" customWidth="1"/>
    <col min="3071" max="3071" width="20.5703125" style="93" customWidth="1"/>
    <col min="3072" max="3072" width="34.28515625" style="93" customWidth="1"/>
    <col min="3073" max="3073" width="17.85546875" style="93" customWidth="1"/>
    <col min="3074" max="3075" width="19.140625" style="93" customWidth="1"/>
    <col min="3076" max="3076" width="16.42578125" style="93" customWidth="1"/>
    <col min="3077" max="3325" width="9.140625" style="93"/>
    <col min="3326" max="3326" width="6.85546875" style="93" customWidth="1"/>
    <col min="3327" max="3327" width="20.5703125" style="93" customWidth="1"/>
    <col min="3328" max="3328" width="34.28515625" style="93" customWidth="1"/>
    <col min="3329" max="3329" width="17.85546875" style="93" customWidth="1"/>
    <col min="3330" max="3331" width="19.140625" style="93" customWidth="1"/>
    <col min="3332" max="3332" width="16.42578125" style="93" customWidth="1"/>
    <col min="3333" max="3581" width="9.140625" style="93"/>
    <col min="3582" max="3582" width="6.85546875" style="93" customWidth="1"/>
    <col min="3583" max="3583" width="20.5703125" style="93" customWidth="1"/>
    <col min="3584" max="3584" width="34.28515625" style="93" customWidth="1"/>
    <col min="3585" max="3585" width="17.85546875" style="93" customWidth="1"/>
    <col min="3586" max="3587" width="19.140625" style="93" customWidth="1"/>
    <col min="3588" max="3588" width="16.42578125" style="93" customWidth="1"/>
    <col min="3589" max="3837" width="9.140625" style="93"/>
    <col min="3838" max="3838" width="6.85546875" style="93" customWidth="1"/>
    <col min="3839" max="3839" width="20.5703125" style="93" customWidth="1"/>
    <col min="3840" max="3840" width="34.28515625" style="93" customWidth="1"/>
    <col min="3841" max="3841" width="17.85546875" style="93" customWidth="1"/>
    <col min="3842" max="3843" width="19.140625" style="93" customWidth="1"/>
    <col min="3844" max="3844" width="16.42578125" style="93" customWidth="1"/>
    <col min="3845" max="4093" width="9.140625" style="93"/>
    <col min="4094" max="4094" width="6.85546875" style="93" customWidth="1"/>
    <col min="4095" max="4095" width="20.5703125" style="93" customWidth="1"/>
    <col min="4096" max="4096" width="34.28515625" style="93" customWidth="1"/>
    <col min="4097" max="4097" width="17.85546875" style="93" customWidth="1"/>
    <col min="4098" max="4099" width="19.140625" style="93" customWidth="1"/>
    <col min="4100" max="4100" width="16.42578125" style="93" customWidth="1"/>
    <col min="4101" max="4349" width="9.140625" style="93"/>
    <col min="4350" max="4350" width="6.85546875" style="93" customWidth="1"/>
    <col min="4351" max="4351" width="20.5703125" style="93" customWidth="1"/>
    <col min="4352" max="4352" width="34.28515625" style="93" customWidth="1"/>
    <col min="4353" max="4353" width="17.85546875" style="93" customWidth="1"/>
    <col min="4354" max="4355" width="19.140625" style="93" customWidth="1"/>
    <col min="4356" max="4356" width="16.42578125" style="93" customWidth="1"/>
    <col min="4357" max="4605" width="9.140625" style="93"/>
    <col min="4606" max="4606" width="6.85546875" style="93" customWidth="1"/>
    <col min="4607" max="4607" width="20.5703125" style="93" customWidth="1"/>
    <col min="4608" max="4608" width="34.28515625" style="93" customWidth="1"/>
    <col min="4609" max="4609" width="17.85546875" style="93" customWidth="1"/>
    <col min="4610" max="4611" width="19.140625" style="93" customWidth="1"/>
    <col min="4612" max="4612" width="16.42578125" style="93" customWidth="1"/>
    <col min="4613" max="4861" width="9.140625" style="93"/>
    <col min="4862" max="4862" width="6.85546875" style="93" customWidth="1"/>
    <col min="4863" max="4863" width="20.5703125" style="93" customWidth="1"/>
    <col min="4864" max="4864" width="34.28515625" style="93" customWidth="1"/>
    <col min="4865" max="4865" width="17.85546875" style="93" customWidth="1"/>
    <col min="4866" max="4867" width="19.140625" style="93" customWidth="1"/>
    <col min="4868" max="4868" width="16.42578125" style="93" customWidth="1"/>
    <col min="4869" max="5117" width="9.140625" style="93"/>
    <col min="5118" max="5118" width="6.85546875" style="93" customWidth="1"/>
    <col min="5119" max="5119" width="20.5703125" style="93" customWidth="1"/>
    <col min="5120" max="5120" width="34.28515625" style="93" customWidth="1"/>
    <col min="5121" max="5121" width="17.85546875" style="93" customWidth="1"/>
    <col min="5122" max="5123" width="19.140625" style="93" customWidth="1"/>
    <col min="5124" max="5124" width="16.42578125" style="93" customWidth="1"/>
    <col min="5125" max="5373" width="9.140625" style="93"/>
    <col min="5374" max="5374" width="6.85546875" style="93" customWidth="1"/>
    <col min="5375" max="5375" width="20.5703125" style="93" customWidth="1"/>
    <col min="5376" max="5376" width="34.28515625" style="93" customWidth="1"/>
    <col min="5377" max="5377" width="17.85546875" style="93" customWidth="1"/>
    <col min="5378" max="5379" width="19.140625" style="93" customWidth="1"/>
    <col min="5380" max="5380" width="16.42578125" style="93" customWidth="1"/>
    <col min="5381" max="5629" width="9.140625" style="93"/>
    <col min="5630" max="5630" width="6.85546875" style="93" customWidth="1"/>
    <col min="5631" max="5631" width="20.5703125" style="93" customWidth="1"/>
    <col min="5632" max="5632" width="34.28515625" style="93" customWidth="1"/>
    <col min="5633" max="5633" width="17.85546875" style="93" customWidth="1"/>
    <col min="5634" max="5635" width="19.140625" style="93" customWidth="1"/>
    <col min="5636" max="5636" width="16.42578125" style="93" customWidth="1"/>
    <col min="5637" max="5885" width="9.140625" style="93"/>
    <col min="5886" max="5886" width="6.85546875" style="93" customWidth="1"/>
    <col min="5887" max="5887" width="20.5703125" style="93" customWidth="1"/>
    <col min="5888" max="5888" width="34.28515625" style="93" customWidth="1"/>
    <col min="5889" max="5889" width="17.85546875" style="93" customWidth="1"/>
    <col min="5890" max="5891" width="19.140625" style="93" customWidth="1"/>
    <col min="5892" max="5892" width="16.42578125" style="93" customWidth="1"/>
    <col min="5893" max="6141" width="9.140625" style="93"/>
    <col min="6142" max="6142" width="6.85546875" style="93" customWidth="1"/>
    <col min="6143" max="6143" width="20.5703125" style="93" customWidth="1"/>
    <col min="6144" max="6144" width="34.28515625" style="93" customWidth="1"/>
    <col min="6145" max="6145" width="17.85546875" style="93" customWidth="1"/>
    <col min="6146" max="6147" width="19.140625" style="93" customWidth="1"/>
    <col min="6148" max="6148" width="16.42578125" style="93" customWidth="1"/>
    <col min="6149" max="6397" width="9.140625" style="93"/>
    <col min="6398" max="6398" width="6.85546875" style="93" customWidth="1"/>
    <col min="6399" max="6399" width="20.5703125" style="93" customWidth="1"/>
    <col min="6400" max="6400" width="34.28515625" style="93" customWidth="1"/>
    <col min="6401" max="6401" width="17.85546875" style="93" customWidth="1"/>
    <col min="6402" max="6403" width="19.140625" style="93" customWidth="1"/>
    <col min="6404" max="6404" width="16.42578125" style="93" customWidth="1"/>
    <col min="6405" max="6653" width="9.140625" style="93"/>
    <col min="6654" max="6654" width="6.85546875" style="93" customWidth="1"/>
    <col min="6655" max="6655" width="20.5703125" style="93" customWidth="1"/>
    <col min="6656" max="6656" width="34.28515625" style="93" customWidth="1"/>
    <col min="6657" max="6657" width="17.85546875" style="93" customWidth="1"/>
    <col min="6658" max="6659" width="19.140625" style="93" customWidth="1"/>
    <col min="6660" max="6660" width="16.42578125" style="93" customWidth="1"/>
    <col min="6661" max="6909" width="9.140625" style="93"/>
    <col min="6910" max="6910" width="6.85546875" style="93" customWidth="1"/>
    <col min="6911" max="6911" width="20.5703125" style="93" customWidth="1"/>
    <col min="6912" max="6912" width="34.28515625" style="93" customWidth="1"/>
    <col min="6913" max="6913" width="17.85546875" style="93" customWidth="1"/>
    <col min="6914" max="6915" width="19.140625" style="93" customWidth="1"/>
    <col min="6916" max="6916" width="16.42578125" style="93" customWidth="1"/>
    <col min="6917" max="7165" width="9.140625" style="93"/>
    <col min="7166" max="7166" width="6.85546875" style="93" customWidth="1"/>
    <col min="7167" max="7167" width="20.5703125" style="93" customWidth="1"/>
    <col min="7168" max="7168" width="34.28515625" style="93" customWidth="1"/>
    <col min="7169" max="7169" width="17.85546875" style="93" customWidth="1"/>
    <col min="7170" max="7171" width="19.140625" style="93" customWidth="1"/>
    <col min="7172" max="7172" width="16.42578125" style="93" customWidth="1"/>
    <col min="7173" max="7421" width="9.140625" style="93"/>
    <col min="7422" max="7422" width="6.85546875" style="93" customWidth="1"/>
    <col min="7423" max="7423" width="20.5703125" style="93" customWidth="1"/>
    <col min="7424" max="7424" width="34.28515625" style="93" customWidth="1"/>
    <col min="7425" max="7425" width="17.85546875" style="93" customWidth="1"/>
    <col min="7426" max="7427" width="19.140625" style="93" customWidth="1"/>
    <col min="7428" max="7428" width="16.42578125" style="93" customWidth="1"/>
    <col min="7429" max="7677" width="9.140625" style="93"/>
    <col min="7678" max="7678" width="6.85546875" style="93" customWidth="1"/>
    <col min="7679" max="7679" width="20.5703125" style="93" customWidth="1"/>
    <col min="7680" max="7680" width="34.28515625" style="93" customWidth="1"/>
    <col min="7681" max="7681" width="17.85546875" style="93" customWidth="1"/>
    <col min="7682" max="7683" width="19.140625" style="93" customWidth="1"/>
    <col min="7684" max="7684" width="16.42578125" style="93" customWidth="1"/>
    <col min="7685" max="7933" width="9.140625" style="93"/>
    <col min="7934" max="7934" width="6.85546875" style="93" customWidth="1"/>
    <col min="7935" max="7935" width="20.5703125" style="93" customWidth="1"/>
    <col min="7936" max="7936" width="34.28515625" style="93" customWidth="1"/>
    <col min="7937" max="7937" width="17.85546875" style="93" customWidth="1"/>
    <col min="7938" max="7939" width="19.140625" style="93" customWidth="1"/>
    <col min="7940" max="7940" width="16.42578125" style="93" customWidth="1"/>
    <col min="7941" max="8189" width="9.140625" style="93"/>
    <col min="8190" max="8190" width="6.85546875" style="93" customWidth="1"/>
    <col min="8191" max="8191" width="20.5703125" style="93" customWidth="1"/>
    <col min="8192" max="8192" width="34.28515625" style="93" customWidth="1"/>
    <col min="8193" max="8193" width="17.85546875" style="93" customWidth="1"/>
    <col min="8194" max="8195" width="19.140625" style="93" customWidth="1"/>
    <col min="8196" max="8196" width="16.42578125" style="93" customWidth="1"/>
    <col min="8197" max="8445" width="9.140625" style="93"/>
    <col min="8446" max="8446" width="6.85546875" style="93" customWidth="1"/>
    <col min="8447" max="8447" width="20.5703125" style="93" customWidth="1"/>
    <col min="8448" max="8448" width="34.28515625" style="93" customWidth="1"/>
    <col min="8449" max="8449" width="17.85546875" style="93" customWidth="1"/>
    <col min="8450" max="8451" width="19.140625" style="93" customWidth="1"/>
    <col min="8452" max="8452" width="16.42578125" style="93" customWidth="1"/>
    <col min="8453" max="8701" width="9.140625" style="93"/>
    <col min="8702" max="8702" width="6.85546875" style="93" customWidth="1"/>
    <col min="8703" max="8703" width="20.5703125" style="93" customWidth="1"/>
    <col min="8704" max="8704" width="34.28515625" style="93" customWidth="1"/>
    <col min="8705" max="8705" width="17.85546875" style="93" customWidth="1"/>
    <col min="8706" max="8707" width="19.140625" style="93" customWidth="1"/>
    <col min="8708" max="8708" width="16.42578125" style="93" customWidth="1"/>
    <col min="8709" max="8957" width="9.140625" style="93"/>
    <col min="8958" max="8958" width="6.85546875" style="93" customWidth="1"/>
    <col min="8959" max="8959" width="20.5703125" style="93" customWidth="1"/>
    <col min="8960" max="8960" width="34.28515625" style="93" customWidth="1"/>
    <col min="8961" max="8961" width="17.85546875" style="93" customWidth="1"/>
    <col min="8962" max="8963" width="19.140625" style="93" customWidth="1"/>
    <col min="8964" max="8964" width="16.42578125" style="93" customWidth="1"/>
    <col min="8965" max="9213" width="9.140625" style="93"/>
    <col min="9214" max="9214" width="6.85546875" style="93" customWidth="1"/>
    <col min="9215" max="9215" width="20.5703125" style="93" customWidth="1"/>
    <col min="9216" max="9216" width="34.28515625" style="93" customWidth="1"/>
    <col min="9217" max="9217" width="17.85546875" style="93" customWidth="1"/>
    <col min="9218" max="9219" width="19.140625" style="93" customWidth="1"/>
    <col min="9220" max="9220" width="16.42578125" style="93" customWidth="1"/>
    <col min="9221" max="9469" width="9.140625" style="93"/>
    <col min="9470" max="9470" width="6.85546875" style="93" customWidth="1"/>
    <col min="9471" max="9471" width="20.5703125" style="93" customWidth="1"/>
    <col min="9472" max="9472" width="34.28515625" style="93" customWidth="1"/>
    <col min="9473" max="9473" width="17.85546875" style="93" customWidth="1"/>
    <col min="9474" max="9475" width="19.140625" style="93" customWidth="1"/>
    <col min="9476" max="9476" width="16.42578125" style="93" customWidth="1"/>
    <col min="9477" max="9725" width="9.140625" style="93"/>
    <col min="9726" max="9726" width="6.85546875" style="93" customWidth="1"/>
    <col min="9727" max="9727" width="20.5703125" style="93" customWidth="1"/>
    <col min="9728" max="9728" width="34.28515625" style="93" customWidth="1"/>
    <col min="9729" max="9729" width="17.85546875" style="93" customWidth="1"/>
    <col min="9730" max="9731" width="19.140625" style="93" customWidth="1"/>
    <col min="9732" max="9732" width="16.42578125" style="93" customWidth="1"/>
    <col min="9733" max="9981" width="9.140625" style="93"/>
    <col min="9982" max="9982" width="6.85546875" style="93" customWidth="1"/>
    <col min="9983" max="9983" width="20.5703125" style="93" customWidth="1"/>
    <col min="9984" max="9984" width="34.28515625" style="93" customWidth="1"/>
    <col min="9985" max="9985" width="17.85546875" style="93" customWidth="1"/>
    <col min="9986" max="9987" width="19.140625" style="93" customWidth="1"/>
    <col min="9988" max="9988" width="16.42578125" style="93" customWidth="1"/>
    <col min="9989" max="10237" width="9.140625" style="93"/>
    <col min="10238" max="10238" width="6.85546875" style="93" customWidth="1"/>
    <col min="10239" max="10239" width="20.5703125" style="93" customWidth="1"/>
    <col min="10240" max="10240" width="34.28515625" style="93" customWidth="1"/>
    <col min="10241" max="10241" width="17.85546875" style="93" customWidth="1"/>
    <col min="10242" max="10243" width="19.140625" style="93" customWidth="1"/>
    <col min="10244" max="10244" width="16.42578125" style="93" customWidth="1"/>
    <col min="10245" max="10493" width="9.140625" style="93"/>
    <col min="10494" max="10494" width="6.85546875" style="93" customWidth="1"/>
    <col min="10495" max="10495" width="20.5703125" style="93" customWidth="1"/>
    <col min="10496" max="10496" width="34.28515625" style="93" customWidth="1"/>
    <col min="10497" max="10497" width="17.85546875" style="93" customWidth="1"/>
    <col min="10498" max="10499" width="19.140625" style="93" customWidth="1"/>
    <col min="10500" max="10500" width="16.42578125" style="93" customWidth="1"/>
    <col min="10501" max="10749" width="9.140625" style="93"/>
    <col min="10750" max="10750" width="6.85546875" style="93" customWidth="1"/>
    <col min="10751" max="10751" width="20.5703125" style="93" customWidth="1"/>
    <col min="10752" max="10752" width="34.28515625" style="93" customWidth="1"/>
    <col min="10753" max="10753" width="17.85546875" style="93" customWidth="1"/>
    <col min="10754" max="10755" width="19.140625" style="93" customWidth="1"/>
    <col min="10756" max="10756" width="16.42578125" style="93" customWidth="1"/>
    <col min="10757" max="11005" width="9.140625" style="93"/>
    <col min="11006" max="11006" width="6.85546875" style="93" customWidth="1"/>
    <col min="11007" max="11007" width="20.5703125" style="93" customWidth="1"/>
    <col min="11008" max="11008" width="34.28515625" style="93" customWidth="1"/>
    <col min="11009" max="11009" width="17.85546875" style="93" customWidth="1"/>
    <col min="11010" max="11011" width="19.140625" style="93" customWidth="1"/>
    <col min="11012" max="11012" width="16.42578125" style="93" customWidth="1"/>
    <col min="11013" max="11261" width="9.140625" style="93"/>
    <col min="11262" max="11262" width="6.85546875" style="93" customWidth="1"/>
    <col min="11263" max="11263" width="20.5703125" style="93" customWidth="1"/>
    <col min="11264" max="11264" width="34.28515625" style="93" customWidth="1"/>
    <col min="11265" max="11265" width="17.85546875" style="93" customWidth="1"/>
    <col min="11266" max="11267" width="19.140625" style="93" customWidth="1"/>
    <col min="11268" max="11268" width="16.42578125" style="93" customWidth="1"/>
    <col min="11269" max="11517" width="9.140625" style="93"/>
    <col min="11518" max="11518" width="6.85546875" style="93" customWidth="1"/>
    <col min="11519" max="11519" width="20.5703125" style="93" customWidth="1"/>
    <col min="11520" max="11520" width="34.28515625" style="93" customWidth="1"/>
    <col min="11521" max="11521" width="17.85546875" style="93" customWidth="1"/>
    <col min="11522" max="11523" width="19.140625" style="93" customWidth="1"/>
    <col min="11524" max="11524" width="16.42578125" style="93" customWidth="1"/>
    <col min="11525" max="11773" width="9.140625" style="93"/>
    <col min="11774" max="11774" width="6.85546875" style="93" customWidth="1"/>
    <col min="11775" max="11775" width="20.5703125" style="93" customWidth="1"/>
    <col min="11776" max="11776" width="34.28515625" style="93" customWidth="1"/>
    <col min="11777" max="11777" width="17.85546875" style="93" customWidth="1"/>
    <col min="11778" max="11779" width="19.140625" style="93" customWidth="1"/>
    <col min="11780" max="11780" width="16.42578125" style="93" customWidth="1"/>
    <col min="11781" max="12029" width="9.140625" style="93"/>
    <col min="12030" max="12030" width="6.85546875" style="93" customWidth="1"/>
    <col min="12031" max="12031" width="20.5703125" style="93" customWidth="1"/>
    <col min="12032" max="12032" width="34.28515625" style="93" customWidth="1"/>
    <col min="12033" max="12033" width="17.85546875" style="93" customWidth="1"/>
    <col min="12034" max="12035" width="19.140625" style="93" customWidth="1"/>
    <col min="12036" max="12036" width="16.42578125" style="93" customWidth="1"/>
    <col min="12037" max="12285" width="9.140625" style="93"/>
    <col min="12286" max="12286" width="6.85546875" style="93" customWidth="1"/>
    <col min="12287" max="12287" width="20.5703125" style="93" customWidth="1"/>
    <col min="12288" max="12288" width="34.28515625" style="93" customWidth="1"/>
    <col min="12289" max="12289" width="17.85546875" style="93" customWidth="1"/>
    <col min="12290" max="12291" width="19.140625" style="93" customWidth="1"/>
    <col min="12292" max="12292" width="16.42578125" style="93" customWidth="1"/>
    <col min="12293" max="12541" width="9.140625" style="93"/>
    <col min="12542" max="12542" width="6.85546875" style="93" customWidth="1"/>
    <col min="12543" max="12543" width="20.5703125" style="93" customWidth="1"/>
    <col min="12544" max="12544" width="34.28515625" style="93" customWidth="1"/>
    <col min="12545" max="12545" width="17.85546875" style="93" customWidth="1"/>
    <col min="12546" max="12547" width="19.140625" style="93" customWidth="1"/>
    <col min="12548" max="12548" width="16.42578125" style="93" customWidth="1"/>
    <col min="12549" max="12797" width="9.140625" style="93"/>
    <col min="12798" max="12798" width="6.85546875" style="93" customWidth="1"/>
    <col min="12799" max="12799" width="20.5703125" style="93" customWidth="1"/>
    <col min="12800" max="12800" width="34.28515625" style="93" customWidth="1"/>
    <col min="12801" max="12801" width="17.85546875" style="93" customWidth="1"/>
    <col min="12802" max="12803" width="19.140625" style="93" customWidth="1"/>
    <col min="12804" max="12804" width="16.42578125" style="93" customWidth="1"/>
    <col min="12805" max="13053" width="9.140625" style="93"/>
    <col min="13054" max="13054" width="6.85546875" style="93" customWidth="1"/>
    <col min="13055" max="13055" width="20.5703125" style="93" customWidth="1"/>
    <col min="13056" max="13056" width="34.28515625" style="93" customWidth="1"/>
    <col min="13057" max="13057" width="17.85546875" style="93" customWidth="1"/>
    <col min="13058" max="13059" width="19.140625" style="93" customWidth="1"/>
    <col min="13060" max="13060" width="16.42578125" style="93" customWidth="1"/>
    <col min="13061" max="13309" width="9.140625" style="93"/>
    <col min="13310" max="13310" width="6.85546875" style="93" customWidth="1"/>
    <col min="13311" max="13311" width="20.5703125" style="93" customWidth="1"/>
    <col min="13312" max="13312" width="34.28515625" style="93" customWidth="1"/>
    <col min="13313" max="13313" width="17.85546875" style="93" customWidth="1"/>
    <col min="13314" max="13315" width="19.140625" style="93" customWidth="1"/>
    <col min="13316" max="13316" width="16.42578125" style="93" customWidth="1"/>
    <col min="13317" max="13565" width="9.140625" style="93"/>
    <col min="13566" max="13566" width="6.85546875" style="93" customWidth="1"/>
    <col min="13567" max="13567" width="20.5703125" style="93" customWidth="1"/>
    <col min="13568" max="13568" width="34.28515625" style="93" customWidth="1"/>
    <col min="13569" max="13569" width="17.85546875" style="93" customWidth="1"/>
    <col min="13570" max="13571" width="19.140625" style="93" customWidth="1"/>
    <col min="13572" max="13572" width="16.42578125" style="93" customWidth="1"/>
    <col min="13573" max="13821" width="9.140625" style="93"/>
    <col min="13822" max="13822" width="6.85546875" style="93" customWidth="1"/>
    <col min="13823" max="13823" width="20.5703125" style="93" customWidth="1"/>
    <col min="13824" max="13824" width="34.28515625" style="93" customWidth="1"/>
    <col min="13825" max="13825" width="17.85546875" style="93" customWidth="1"/>
    <col min="13826" max="13827" width="19.140625" style="93" customWidth="1"/>
    <col min="13828" max="13828" width="16.42578125" style="93" customWidth="1"/>
    <col min="13829" max="14077" width="9.140625" style="93"/>
    <col min="14078" max="14078" width="6.85546875" style="93" customWidth="1"/>
    <col min="14079" max="14079" width="20.5703125" style="93" customWidth="1"/>
    <col min="14080" max="14080" width="34.28515625" style="93" customWidth="1"/>
    <col min="14081" max="14081" width="17.85546875" style="93" customWidth="1"/>
    <col min="14082" max="14083" width="19.140625" style="93" customWidth="1"/>
    <col min="14084" max="14084" width="16.42578125" style="93" customWidth="1"/>
    <col min="14085" max="14333" width="9.140625" style="93"/>
    <col min="14334" max="14334" width="6.85546875" style="93" customWidth="1"/>
    <col min="14335" max="14335" width="20.5703125" style="93" customWidth="1"/>
    <col min="14336" max="14336" width="34.28515625" style="93" customWidth="1"/>
    <col min="14337" max="14337" width="17.85546875" style="93" customWidth="1"/>
    <col min="14338" max="14339" width="19.140625" style="93" customWidth="1"/>
    <col min="14340" max="14340" width="16.42578125" style="93" customWidth="1"/>
    <col min="14341" max="14589" width="9.140625" style="93"/>
    <col min="14590" max="14590" width="6.85546875" style="93" customWidth="1"/>
    <col min="14591" max="14591" width="20.5703125" style="93" customWidth="1"/>
    <col min="14592" max="14592" width="34.28515625" style="93" customWidth="1"/>
    <col min="14593" max="14593" width="17.85546875" style="93" customWidth="1"/>
    <col min="14594" max="14595" width="19.140625" style="93" customWidth="1"/>
    <col min="14596" max="14596" width="16.42578125" style="93" customWidth="1"/>
    <col min="14597" max="14845" width="9.140625" style="93"/>
    <col min="14846" max="14846" width="6.85546875" style="93" customWidth="1"/>
    <col min="14847" max="14847" width="20.5703125" style="93" customWidth="1"/>
    <col min="14848" max="14848" width="34.28515625" style="93" customWidth="1"/>
    <col min="14849" max="14849" width="17.85546875" style="93" customWidth="1"/>
    <col min="14850" max="14851" width="19.140625" style="93" customWidth="1"/>
    <col min="14852" max="14852" width="16.42578125" style="93" customWidth="1"/>
    <col min="14853" max="15101" width="9.140625" style="93"/>
    <col min="15102" max="15102" width="6.85546875" style="93" customWidth="1"/>
    <col min="15103" max="15103" width="20.5703125" style="93" customWidth="1"/>
    <col min="15104" max="15104" width="34.28515625" style="93" customWidth="1"/>
    <col min="15105" max="15105" width="17.85546875" style="93" customWidth="1"/>
    <col min="15106" max="15107" width="19.140625" style="93" customWidth="1"/>
    <col min="15108" max="15108" width="16.42578125" style="93" customWidth="1"/>
    <col min="15109" max="15357" width="9.140625" style="93"/>
    <col min="15358" max="15358" width="6.85546875" style="93" customWidth="1"/>
    <col min="15359" max="15359" width="20.5703125" style="93" customWidth="1"/>
    <col min="15360" max="15360" width="34.28515625" style="93" customWidth="1"/>
    <col min="15361" max="15361" width="17.85546875" style="93" customWidth="1"/>
    <col min="15362" max="15363" width="19.140625" style="93" customWidth="1"/>
    <col min="15364" max="15364" width="16.42578125" style="93" customWidth="1"/>
    <col min="15365" max="15613" width="9.140625" style="93"/>
    <col min="15614" max="15614" width="6.85546875" style="93" customWidth="1"/>
    <col min="15615" max="15615" width="20.5703125" style="93" customWidth="1"/>
    <col min="15616" max="15616" width="34.28515625" style="93" customWidth="1"/>
    <col min="15617" max="15617" width="17.85546875" style="93" customWidth="1"/>
    <col min="15618" max="15619" width="19.140625" style="93" customWidth="1"/>
    <col min="15620" max="15620" width="16.42578125" style="93" customWidth="1"/>
    <col min="15621" max="15869" width="9.140625" style="93"/>
    <col min="15870" max="15870" width="6.85546875" style="93" customWidth="1"/>
    <col min="15871" max="15871" width="20.5703125" style="93" customWidth="1"/>
    <col min="15872" max="15872" width="34.28515625" style="93" customWidth="1"/>
    <col min="15873" max="15873" width="17.85546875" style="93" customWidth="1"/>
    <col min="15874" max="15875" width="19.140625" style="93" customWidth="1"/>
    <col min="15876" max="15876" width="16.42578125" style="93" customWidth="1"/>
    <col min="15877" max="16125" width="9.140625" style="93"/>
    <col min="16126" max="16126" width="6.85546875" style="93" customWidth="1"/>
    <col min="16127" max="16127" width="20.5703125" style="93" customWidth="1"/>
    <col min="16128" max="16128" width="34.28515625" style="93" customWidth="1"/>
    <col min="16129" max="16129" width="17.85546875" style="93" customWidth="1"/>
    <col min="16130" max="16131" width="19.140625" style="93" customWidth="1"/>
    <col min="16132" max="16132" width="16.42578125" style="93" customWidth="1"/>
    <col min="16133" max="16384" width="9.140625" style="93"/>
  </cols>
  <sheetData>
    <row r="1" spans="1:15" ht="15" x14ac:dyDescent="0.2">
      <c r="A1" s="225" t="s">
        <v>0</v>
      </c>
      <c r="B1" s="225"/>
      <c r="C1" s="225"/>
      <c r="D1" s="225"/>
      <c r="E1" s="225"/>
      <c r="F1" s="225"/>
      <c r="G1" s="225"/>
      <c r="H1" s="225"/>
      <c r="I1" s="225"/>
    </row>
    <row r="2" spans="1:15" ht="15" customHeight="1" x14ac:dyDescent="0.2">
      <c r="A2" s="225" t="s">
        <v>794</v>
      </c>
      <c r="B2" s="225"/>
      <c r="C2" s="225"/>
      <c r="D2" s="225"/>
      <c r="E2" s="225"/>
      <c r="F2" s="225"/>
      <c r="G2" s="225"/>
      <c r="H2" s="225"/>
      <c r="I2" s="225"/>
      <c r="K2" s="202" t="s">
        <v>1031</v>
      </c>
      <c r="L2" s="202"/>
      <c r="M2" s="202"/>
      <c r="N2" s="202"/>
      <c r="O2" s="202"/>
    </row>
    <row r="3" spans="1:15" ht="15" x14ac:dyDescent="0.2">
      <c r="A3" s="225" t="s">
        <v>932</v>
      </c>
      <c r="B3" s="225"/>
      <c r="C3" s="225"/>
      <c r="D3" s="225"/>
      <c r="E3" s="225"/>
      <c r="F3" s="225"/>
      <c r="G3" s="225"/>
      <c r="H3" s="225"/>
      <c r="I3" s="225"/>
    </row>
    <row r="4" spans="1:15" s="162" customFormat="1" ht="30" x14ac:dyDescent="0.2">
      <c r="A4" s="161" t="s">
        <v>2</v>
      </c>
      <c r="B4" s="161" t="s">
        <v>3</v>
      </c>
      <c r="C4" s="161" t="s">
        <v>4</v>
      </c>
      <c r="D4" s="161" t="s">
        <v>5</v>
      </c>
      <c r="E4" s="161" t="s">
        <v>6</v>
      </c>
      <c r="F4" s="161" t="s">
        <v>7</v>
      </c>
      <c r="G4" s="161" t="s">
        <v>8</v>
      </c>
      <c r="H4" s="136" t="s">
        <v>810</v>
      </c>
      <c r="I4" s="155" t="s">
        <v>1018</v>
      </c>
    </row>
    <row r="5" spans="1:15" x14ac:dyDescent="0.2">
      <c r="A5" s="94"/>
      <c r="B5" s="94"/>
      <c r="C5" s="95" t="s">
        <v>9</v>
      </c>
      <c r="D5" s="94"/>
      <c r="E5" s="94"/>
      <c r="F5" s="94"/>
      <c r="G5" s="144"/>
      <c r="H5" s="151"/>
      <c r="I5" s="129"/>
    </row>
    <row r="6" spans="1:15" ht="25.5" x14ac:dyDescent="0.2">
      <c r="A6" s="94"/>
      <c r="B6" s="94"/>
      <c r="C6" s="95" t="s">
        <v>10</v>
      </c>
      <c r="D6" s="94"/>
      <c r="E6" s="94"/>
      <c r="F6" s="94"/>
      <c r="G6" s="144"/>
      <c r="H6" s="151"/>
      <c r="I6" s="129"/>
    </row>
    <row r="7" spans="1:15" x14ac:dyDescent="0.2">
      <c r="A7" s="96">
        <v>1</v>
      </c>
      <c r="B7" s="97" t="s">
        <v>410</v>
      </c>
      <c r="C7" s="97" t="s">
        <v>411</v>
      </c>
      <c r="D7" s="97" t="s">
        <v>164</v>
      </c>
      <c r="E7" s="98">
        <v>614877</v>
      </c>
      <c r="F7" s="99">
        <v>10300.419504</v>
      </c>
      <c r="G7" s="145">
        <v>5.2625818999999997E-2</v>
      </c>
      <c r="H7" s="151"/>
      <c r="I7" s="129"/>
    </row>
    <row r="8" spans="1:15" x14ac:dyDescent="0.2">
      <c r="A8" s="96">
        <v>2</v>
      </c>
      <c r="B8" s="97" t="s">
        <v>408</v>
      </c>
      <c r="C8" s="97" t="s">
        <v>409</v>
      </c>
      <c r="D8" s="97" t="s">
        <v>24</v>
      </c>
      <c r="E8" s="98">
        <v>613861</v>
      </c>
      <c r="F8" s="99">
        <v>9790.7760194999992</v>
      </c>
      <c r="G8" s="145">
        <v>5.0022002000000003E-2</v>
      </c>
      <c r="H8" s="151"/>
      <c r="I8" s="129"/>
    </row>
    <row r="9" spans="1:15" x14ac:dyDescent="0.2">
      <c r="A9" s="96">
        <v>3</v>
      </c>
      <c r="B9" s="97" t="s">
        <v>22</v>
      </c>
      <c r="C9" s="97" t="s">
        <v>23</v>
      </c>
      <c r="D9" s="97" t="s">
        <v>24</v>
      </c>
      <c r="E9" s="98">
        <v>1367321</v>
      </c>
      <c r="F9" s="99">
        <v>9582.8692284999997</v>
      </c>
      <c r="G9" s="145">
        <v>4.8959786999999998E-2</v>
      </c>
      <c r="H9" s="151"/>
      <c r="I9" s="129"/>
    </row>
    <row r="10" spans="1:15" x14ac:dyDescent="0.2">
      <c r="A10" s="96">
        <v>4</v>
      </c>
      <c r="B10" s="97" t="s">
        <v>11</v>
      </c>
      <c r="C10" s="97" t="s">
        <v>12</v>
      </c>
      <c r="D10" s="97" t="s">
        <v>13</v>
      </c>
      <c r="E10" s="98">
        <v>369779</v>
      </c>
      <c r="F10" s="99">
        <v>6297.1514804999997</v>
      </c>
      <c r="G10" s="145">
        <v>3.2172742999999997E-2</v>
      </c>
      <c r="H10" s="151"/>
      <c r="I10" s="129"/>
    </row>
    <row r="11" spans="1:15" x14ac:dyDescent="0.2">
      <c r="A11" s="96">
        <v>5</v>
      </c>
      <c r="B11" s="97" t="s">
        <v>414</v>
      </c>
      <c r="C11" s="97" t="s">
        <v>415</v>
      </c>
      <c r="D11" s="97" t="s">
        <v>24</v>
      </c>
      <c r="E11" s="98">
        <v>1190548</v>
      </c>
      <c r="F11" s="99">
        <v>5393.1824399999996</v>
      </c>
      <c r="G11" s="145">
        <v>2.755428E-2</v>
      </c>
      <c r="H11" s="151"/>
      <c r="I11" s="129"/>
    </row>
    <row r="12" spans="1:15" ht="25.5" x14ac:dyDescent="0.2">
      <c r="A12" s="96">
        <v>6</v>
      </c>
      <c r="B12" s="97" t="s">
        <v>484</v>
      </c>
      <c r="C12" s="97" t="s">
        <v>485</v>
      </c>
      <c r="D12" s="97" t="s">
        <v>90</v>
      </c>
      <c r="E12" s="98">
        <v>567883</v>
      </c>
      <c r="F12" s="99">
        <v>4844.6098730000003</v>
      </c>
      <c r="G12" s="145">
        <v>2.4751571E-2</v>
      </c>
      <c r="H12" s="151"/>
      <c r="I12" s="129"/>
    </row>
    <row r="13" spans="1:15" ht="25.5" x14ac:dyDescent="0.2">
      <c r="A13" s="96">
        <v>7</v>
      </c>
      <c r="B13" s="97" t="s">
        <v>323</v>
      </c>
      <c r="C13" s="97" t="s">
        <v>324</v>
      </c>
      <c r="D13" s="97" t="s">
        <v>90</v>
      </c>
      <c r="E13" s="98">
        <v>532160</v>
      </c>
      <c r="F13" s="99">
        <v>4776.6681600000002</v>
      </c>
      <c r="G13" s="145">
        <v>2.4404450000000001E-2</v>
      </c>
      <c r="H13" s="151"/>
      <c r="I13" s="129"/>
    </row>
    <row r="14" spans="1:15" ht="25.5" x14ac:dyDescent="0.2">
      <c r="A14" s="96">
        <v>8</v>
      </c>
      <c r="B14" s="97" t="s">
        <v>412</v>
      </c>
      <c r="C14" s="97" t="s">
        <v>413</v>
      </c>
      <c r="D14" s="97" t="s">
        <v>80</v>
      </c>
      <c r="E14" s="98">
        <v>171620</v>
      </c>
      <c r="F14" s="99">
        <v>4726.9296599999998</v>
      </c>
      <c r="G14" s="145">
        <v>2.4150331000000001E-2</v>
      </c>
      <c r="H14" s="151"/>
      <c r="I14" s="129"/>
      <c r="K14" s="163" t="s">
        <v>1045</v>
      </c>
    </row>
    <row r="15" spans="1:15" x14ac:dyDescent="0.2">
      <c r="A15" s="96">
        <v>9</v>
      </c>
      <c r="B15" s="97" t="s">
        <v>14</v>
      </c>
      <c r="C15" s="97" t="s">
        <v>15</v>
      </c>
      <c r="D15" s="97" t="s">
        <v>16</v>
      </c>
      <c r="E15" s="98">
        <v>181252</v>
      </c>
      <c r="F15" s="99">
        <v>4566.1910099999996</v>
      </c>
      <c r="G15" s="145">
        <v>2.3329102000000001E-2</v>
      </c>
      <c r="H15" s="151"/>
      <c r="I15" s="129"/>
    </row>
    <row r="16" spans="1:15" x14ac:dyDescent="0.2">
      <c r="A16" s="96">
        <v>10</v>
      </c>
      <c r="B16" s="97" t="s">
        <v>307</v>
      </c>
      <c r="C16" s="97" t="s">
        <v>934</v>
      </c>
      <c r="D16" s="97" t="s">
        <v>164</v>
      </c>
      <c r="E16" s="98">
        <v>106245</v>
      </c>
      <c r="F16" s="99">
        <v>4462.3962449999999</v>
      </c>
      <c r="G16" s="145">
        <v>2.2798804999999998E-2</v>
      </c>
      <c r="H16" s="151"/>
      <c r="I16" s="129"/>
    </row>
    <row r="17" spans="1:9" x14ac:dyDescent="0.2">
      <c r="A17" s="96">
        <v>11</v>
      </c>
      <c r="B17" s="97" t="s">
        <v>420</v>
      </c>
      <c r="C17" s="97" t="s">
        <v>421</v>
      </c>
      <c r="D17" s="97" t="s">
        <v>164</v>
      </c>
      <c r="E17" s="98">
        <v>116980</v>
      </c>
      <c r="F17" s="99">
        <v>4416.6383900000001</v>
      </c>
      <c r="G17" s="145">
        <v>2.2565023999999999E-2</v>
      </c>
      <c r="H17" s="151"/>
      <c r="I17" s="129"/>
    </row>
    <row r="18" spans="1:9" x14ac:dyDescent="0.2">
      <c r="A18" s="96">
        <v>12</v>
      </c>
      <c r="B18" s="97" t="s">
        <v>447</v>
      </c>
      <c r="C18" s="97" t="s">
        <v>448</v>
      </c>
      <c r="D18" s="97" t="s">
        <v>27</v>
      </c>
      <c r="E18" s="98">
        <v>203881</v>
      </c>
      <c r="F18" s="99">
        <v>4404.6451239999997</v>
      </c>
      <c r="G18" s="145">
        <v>2.2503749E-2</v>
      </c>
      <c r="H18" s="151"/>
      <c r="I18" s="129"/>
    </row>
    <row r="19" spans="1:9" x14ac:dyDescent="0.2">
      <c r="A19" s="96">
        <v>13</v>
      </c>
      <c r="B19" s="97" t="s">
        <v>516</v>
      </c>
      <c r="C19" s="97" t="s">
        <v>517</v>
      </c>
      <c r="D19" s="97" t="s">
        <v>24</v>
      </c>
      <c r="E19" s="98">
        <v>1376074</v>
      </c>
      <c r="F19" s="99">
        <v>4359.4024319999999</v>
      </c>
      <c r="G19" s="145">
        <v>2.22726E-2</v>
      </c>
      <c r="H19" s="151"/>
      <c r="I19" s="129"/>
    </row>
    <row r="20" spans="1:9" x14ac:dyDescent="0.2">
      <c r="A20" s="96">
        <v>14</v>
      </c>
      <c r="B20" s="97" t="s">
        <v>320</v>
      </c>
      <c r="C20" s="97" t="s">
        <v>321</v>
      </c>
      <c r="D20" s="97" t="s">
        <v>322</v>
      </c>
      <c r="E20" s="98">
        <v>124090</v>
      </c>
      <c r="F20" s="99">
        <v>3944.0145149999998</v>
      </c>
      <c r="G20" s="145">
        <v>2.0150344000000001E-2</v>
      </c>
      <c r="H20" s="151"/>
      <c r="I20" s="129"/>
    </row>
    <row r="21" spans="1:9" x14ac:dyDescent="0.2">
      <c r="A21" s="96">
        <v>15</v>
      </c>
      <c r="B21" s="97" t="s">
        <v>368</v>
      </c>
      <c r="C21" s="97" t="s">
        <v>369</v>
      </c>
      <c r="D21" s="97" t="s">
        <v>164</v>
      </c>
      <c r="E21" s="98">
        <v>307173</v>
      </c>
      <c r="F21" s="99">
        <v>3930.4321215</v>
      </c>
      <c r="G21" s="145">
        <v>2.008095E-2</v>
      </c>
      <c r="H21" s="151"/>
      <c r="I21" s="129"/>
    </row>
    <row r="22" spans="1:9" x14ac:dyDescent="0.2">
      <c r="A22" s="96">
        <v>16</v>
      </c>
      <c r="B22" s="97" t="s">
        <v>40</v>
      </c>
      <c r="C22" s="97" t="s">
        <v>41</v>
      </c>
      <c r="D22" s="97" t="s">
        <v>16</v>
      </c>
      <c r="E22" s="98">
        <v>867538</v>
      </c>
      <c r="F22" s="99">
        <v>3749.4992360000001</v>
      </c>
      <c r="G22" s="145">
        <v>1.9156546999999999E-2</v>
      </c>
      <c r="H22" s="151"/>
      <c r="I22" s="129"/>
    </row>
    <row r="23" spans="1:9" x14ac:dyDescent="0.2">
      <c r="A23" s="96">
        <v>17</v>
      </c>
      <c r="B23" s="97" t="s">
        <v>394</v>
      </c>
      <c r="C23" s="97" t="s">
        <v>395</v>
      </c>
      <c r="D23" s="97" t="s">
        <v>1030</v>
      </c>
      <c r="E23" s="98">
        <v>20426</v>
      </c>
      <c r="F23" s="99">
        <v>3633.1215550000002</v>
      </c>
      <c r="G23" s="145">
        <v>1.8561962000000001E-2</v>
      </c>
      <c r="H23" s="151"/>
      <c r="I23" s="129"/>
    </row>
    <row r="24" spans="1:9" x14ac:dyDescent="0.2">
      <c r="A24" s="96">
        <v>18</v>
      </c>
      <c r="B24" s="97" t="s">
        <v>346</v>
      </c>
      <c r="C24" s="97" t="s">
        <v>347</v>
      </c>
      <c r="D24" s="97" t="s">
        <v>207</v>
      </c>
      <c r="E24" s="98">
        <v>95720</v>
      </c>
      <c r="F24" s="99">
        <v>3560.6882799999998</v>
      </c>
      <c r="G24" s="145">
        <v>1.8191894E-2</v>
      </c>
      <c r="H24" s="151"/>
      <c r="I24" s="129"/>
    </row>
    <row r="25" spans="1:9" x14ac:dyDescent="0.2">
      <c r="A25" s="96">
        <v>19</v>
      </c>
      <c r="B25" s="97" t="s">
        <v>336</v>
      </c>
      <c r="C25" s="97" t="s">
        <v>337</v>
      </c>
      <c r="D25" s="97" t="s">
        <v>24</v>
      </c>
      <c r="E25" s="98">
        <v>463925</v>
      </c>
      <c r="F25" s="99">
        <v>3556.2170875000002</v>
      </c>
      <c r="G25" s="145">
        <v>1.8169049999999999E-2</v>
      </c>
      <c r="H25" s="151"/>
      <c r="I25" s="129"/>
    </row>
    <row r="26" spans="1:9" x14ac:dyDescent="0.2">
      <c r="A26" s="96">
        <v>20</v>
      </c>
      <c r="B26" s="97" t="s">
        <v>17</v>
      </c>
      <c r="C26" s="97" t="s">
        <v>18</v>
      </c>
      <c r="D26" s="97" t="s">
        <v>19</v>
      </c>
      <c r="E26" s="98">
        <v>492230</v>
      </c>
      <c r="F26" s="99">
        <v>3388.0190899999998</v>
      </c>
      <c r="G26" s="145">
        <v>1.7309709999999999E-2</v>
      </c>
      <c r="H26" s="151"/>
      <c r="I26" s="129"/>
    </row>
    <row r="27" spans="1:9" ht="25.5" x14ac:dyDescent="0.2">
      <c r="A27" s="96">
        <v>21</v>
      </c>
      <c r="B27" s="97" t="s">
        <v>492</v>
      </c>
      <c r="C27" s="97" t="s">
        <v>493</v>
      </c>
      <c r="D27" s="97" t="s">
        <v>90</v>
      </c>
      <c r="E27" s="98">
        <v>22304</v>
      </c>
      <c r="F27" s="99">
        <v>3139.020352</v>
      </c>
      <c r="G27" s="145">
        <v>1.6037552E-2</v>
      </c>
      <c r="H27" s="151"/>
      <c r="I27" s="129"/>
    </row>
    <row r="28" spans="1:9" x14ac:dyDescent="0.2">
      <c r="A28" s="96">
        <v>22</v>
      </c>
      <c r="B28" s="97" t="s">
        <v>225</v>
      </c>
      <c r="C28" s="97" t="s">
        <v>226</v>
      </c>
      <c r="D28" s="97" t="s">
        <v>1028</v>
      </c>
      <c r="E28" s="98">
        <v>552800</v>
      </c>
      <c r="F28" s="99">
        <v>3130.5064000000002</v>
      </c>
      <c r="G28" s="145">
        <v>1.5994054000000001E-2</v>
      </c>
      <c r="H28" s="151"/>
      <c r="I28" s="129"/>
    </row>
    <row r="29" spans="1:9" x14ac:dyDescent="0.2">
      <c r="A29" s="96">
        <v>23</v>
      </c>
      <c r="B29" s="97" t="s">
        <v>203</v>
      </c>
      <c r="C29" s="97" t="s">
        <v>204</v>
      </c>
      <c r="D29" s="97" t="s">
        <v>80</v>
      </c>
      <c r="E29" s="98">
        <v>515226</v>
      </c>
      <c r="F29" s="99">
        <v>3040.348626</v>
      </c>
      <c r="G29" s="145">
        <v>1.5533429E-2</v>
      </c>
      <c r="H29" s="151"/>
      <c r="I29" s="129"/>
    </row>
    <row r="30" spans="1:9" x14ac:dyDescent="0.2">
      <c r="A30" s="96">
        <v>24</v>
      </c>
      <c r="B30" s="97" t="s">
        <v>97</v>
      </c>
      <c r="C30" s="97" t="s">
        <v>98</v>
      </c>
      <c r="D30" s="97" t="s">
        <v>56</v>
      </c>
      <c r="E30" s="98">
        <v>543670</v>
      </c>
      <c r="F30" s="99">
        <v>2898.3047700000002</v>
      </c>
      <c r="G30" s="145">
        <v>1.4807714E-2</v>
      </c>
      <c r="H30" s="151"/>
      <c r="I30" s="129"/>
    </row>
    <row r="31" spans="1:9" x14ac:dyDescent="0.2">
      <c r="A31" s="96">
        <v>25</v>
      </c>
      <c r="B31" s="97" t="s">
        <v>424</v>
      </c>
      <c r="C31" s="97" t="s">
        <v>425</v>
      </c>
      <c r="D31" s="97" t="s">
        <v>207</v>
      </c>
      <c r="E31" s="98">
        <v>317342</v>
      </c>
      <c r="F31" s="99">
        <v>2596.6509150000002</v>
      </c>
      <c r="G31" s="145">
        <v>1.3266536000000001E-2</v>
      </c>
      <c r="H31" s="151"/>
      <c r="I31" s="129"/>
    </row>
    <row r="32" spans="1:9" x14ac:dyDescent="0.2">
      <c r="A32" s="96">
        <v>26</v>
      </c>
      <c r="B32" s="97" t="s">
        <v>350</v>
      </c>
      <c r="C32" s="97" t="s">
        <v>351</v>
      </c>
      <c r="D32" s="97" t="s">
        <v>80</v>
      </c>
      <c r="E32" s="98">
        <v>197458</v>
      </c>
      <c r="F32" s="99">
        <v>2564.6832330000002</v>
      </c>
      <c r="G32" s="145">
        <v>1.3103210000000001E-2</v>
      </c>
      <c r="H32" s="151"/>
      <c r="I32" s="129"/>
    </row>
    <row r="33" spans="1:9" ht="25.5" x14ac:dyDescent="0.2">
      <c r="A33" s="96">
        <v>27</v>
      </c>
      <c r="B33" s="97" t="s">
        <v>38</v>
      </c>
      <c r="C33" s="97" t="s">
        <v>39</v>
      </c>
      <c r="D33" s="97" t="s">
        <v>1023</v>
      </c>
      <c r="E33" s="98">
        <v>31126</v>
      </c>
      <c r="F33" s="99">
        <v>2302.1100860000001</v>
      </c>
      <c r="G33" s="145">
        <v>1.1761699E-2</v>
      </c>
      <c r="H33" s="151"/>
      <c r="I33" s="129"/>
    </row>
    <row r="34" spans="1:9" x14ac:dyDescent="0.2">
      <c r="A34" s="96">
        <v>28</v>
      </c>
      <c r="B34" s="97" t="s">
        <v>81</v>
      </c>
      <c r="C34" s="97" t="s">
        <v>82</v>
      </c>
      <c r="D34" s="97" t="s">
        <v>83</v>
      </c>
      <c r="E34" s="98">
        <v>1696366</v>
      </c>
      <c r="F34" s="99">
        <v>2269.7377080000001</v>
      </c>
      <c r="G34" s="145">
        <v>1.1596304999999999E-2</v>
      </c>
      <c r="H34" s="151"/>
      <c r="I34" s="129"/>
    </row>
    <row r="35" spans="1:9" x14ac:dyDescent="0.2">
      <c r="A35" s="96">
        <v>29</v>
      </c>
      <c r="B35" s="97" t="s">
        <v>372</v>
      </c>
      <c r="C35" s="97" t="s">
        <v>373</v>
      </c>
      <c r="D35" s="97" t="s">
        <v>51</v>
      </c>
      <c r="E35" s="98">
        <v>46462</v>
      </c>
      <c r="F35" s="99">
        <v>2142.7809779999998</v>
      </c>
      <c r="G35" s="145">
        <v>1.0947671000000001E-2</v>
      </c>
      <c r="H35" s="151"/>
      <c r="I35" s="129"/>
    </row>
    <row r="36" spans="1:9" ht="25.5" x14ac:dyDescent="0.2">
      <c r="A36" s="96">
        <v>30</v>
      </c>
      <c r="B36" s="97" t="s">
        <v>398</v>
      </c>
      <c r="C36" s="97" t="s">
        <v>399</v>
      </c>
      <c r="D36" s="97" t="s">
        <v>90</v>
      </c>
      <c r="E36" s="98">
        <v>250803</v>
      </c>
      <c r="F36" s="99">
        <v>2040.5332080000001</v>
      </c>
      <c r="G36" s="145">
        <v>1.0425277E-2</v>
      </c>
      <c r="H36" s="151"/>
      <c r="I36" s="129"/>
    </row>
    <row r="37" spans="1:9" ht="25.5" x14ac:dyDescent="0.2">
      <c r="A37" s="96">
        <v>31</v>
      </c>
      <c r="B37" s="97" t="s">
        <v>396</v>
      </c>
      <c r="C37" s="97" t="s">
        <v>397</v>
      </c>
      <c r="D37" s="97" t="s">
        <v>1023</v>
      </c>
      <c r="E37" s="98">
        <v>85529</v>
      </c>
      <c r="F37" s="99">
        <v>1801.0269175000001</v>
      </c>
      <c r="G37" s="145">
        <v>9.2016170000000005E-3</v>
      </c>
      <c r="H37" s="151"/>
      <c r="I37" s="129"/>
    </row>
    <row r="38" spans="1:9" x14ac:dyDescent="0.2">
      <c r="A38" s="96">
        <v>32</v>
      </c>
      <c r="B38" s="97" t="s">
        <v>95</v>
      </c>
      <c r="C38" s="97" t="s">
        <v>96</v>
      </c>
      <c r="D38" s="97" t="s">
        <v>66</v>
      </c>
      <c r="E38" s="98">
        <v>331864</v>
      </c>
      <c r="F38" s="99">
        <v>1628.954444</v>
      </c>
      <c r="G38" s="145">
        <v>8.3224830000000003E-3</v>
      </c>
      <c r="H38" s="151"/>
      <c r="I38" s="129"/>
    </row>
    <row r="39" spans="1:9" x14ac:dyDescent="0.2">
      <c r="A39" s="96">
        <v>33</v>
      </c>
      <c r="B39" s="97" t="s">
        <v>91</v>
      </c>
      <c r="C39" s="97" t="s">
        <v>92</v>
      </c>
      <c r="D39" s="97" t="s">
        <v>27</v>
      </c>
      <c r="E39" s="98">
        <v>21525</v>
      </c>
      <c r="F39" s="99">
        <v>1626.9778875</v>
      </c>
      <c r="G39" s="145">
        <v>8.3123840000000008E-3</v>
      </c>
      <c r="H39" s="151"/>
      <c r="I39" s="129"/>
    </row>
    <row r="40" spans="1:9" x14ac:dyDescent="0.2">
      <c r="A40" s="96">
        <v>34</v>
      </c>
      <c r="B40" s="97" t="s">
        <v>212</v>
      </c>
      <c r="C40" s="97" t="s">
        <v>213</v>
      </c>
      <c r="D40" s="97" t="s">
        <v>1027</v>
      </c>
      <c r="E40" s="98">
        <v>171598</v>
      </c>
      <c r="F40" s="99">
        <v>1572.1808759999999</v>
      </c>
      <c r="G40" s="145">
        <v>8.0324209999999997E-3</v>
      </c>
      <c r="H40" s="151"/>
      <c r="I40" s="129"/>
    </row>
    <row r="41" spans="1:9" x14ac:dyDescent="0.2">
      <c r="A41" s="96">
        <v>35</v>
      </c>
      <c r="B41" s="97" t="s">
        <v>154</v>
      </c>
      <c r="C41" s="97" t="s">
        <v>155</v>
      </c>
      <c r="D41" s="97" t="s">
        <v>27</v>
      </c>
      <c r="E41" s="98">
        <v>160233</v>
      </c>
      <c r="F41" s="99">
        <v>1485.520143</v>
      </c>
      <c r="G41" s="145">
        <v>7.589663E-3</v>
      </c>
      <c r="H41" s="151"/>
      <c r="I41" s="129"/>
    </row>
    <row r="42" spans="1:9" x14ac:dyDescent="0.2">
      <c r="A42" s="96">
        <v>36</v>
      </c>
      <c r="B42" s="97" t="s">
        <v>400</v>
      </c>
      <c r="C42" s="97" t="s">
        <v>401</v>
      </c>
      <c r="D42" s="97" t="s">
        <v>173</v>
      </c>
      <c r="E42" s="98">
        <v>195065</v>
      </c>
      <c r="F42" s="99">
        <v>1440.9451550000001</v>
      </c>
      <c r="G42" s="145">
        <v>7.3619250000000001E-3</v>
      </c>
      <c r="H42" s="151"/>
      <c r="I42" s="129"/>
    </row>
    <row r="43" spans="1:9" ht="25.5" x14ac:dyDescent="0.2">
      <c r="A43" s="96">
        <v>37</v>
      </c>
      <c r="B43" s="97" t="s">
        <v>418</v>
      </c>
      <c r="C43" s="97" t="s">
        <v>419</v>
      </c>
      <c r="D43" s="97" t="s">
        <v>90</v>
      </c>
      <c r="E43" s="98">
        <v>41670</v>
      </c>
      <c r="F43" s="99">
        <v>1125.84006</v>
      </c>
      <c r="G43" s="145">
        <v>5.7520239999999997E-3</v>
      </c>
      <c r="H43" s="151"/>
      <c r="I43" s="129"/>
    </row>
    <row r="44" spans="1:9" x14ac:dyDescent="0.2">
      <c r="A44" s="96">
        <v>38</v>
      </c>
      <c r="B44" s="97" t="s">
        <v>310</v>
      </c>
      <c r="C44" s="97" t="s">
        <v>311</v>
      </c>
      <c r="D44" s="97" t="s">
        <v>181</v>
      </c>
      <c r="E44" s="98">
        <v>24177</v>
      </c>
      <c r="F44" s="99">
        <v>1083.5164319999999</v>
      </c>
      <c r="G44" s="145">
        <v>5.5357879999999998E-3</v>
      </c>
      <c r="H44" s="151"/>
      <c r="I44" s="129"/>
    </row>
    <row r="45" spans="1:9" x14ac:dyDescent="0.2">
      <c r="A45" s="96">
        <v>39</v>
      </c>
      <c r="B45" s="97" t="s">
        <v>428</v>
      </c>
      <c r="C45" s="97" t="s">
        <v>429</v>
      </c>
      <c r="D45" s="97" t="s">
        <v>430</v>
      </c>
      <c r="E45" s="98">
        <v>216487</v>
      </c>
      <c r="F45" s="99">
        <v>1056.3483165</v>
      </c>
      <c r="G45" s="145">
        <v>5.3969839999999996E-3</v>
      </c>
      <c r="H45" s="151"/>
      <c r="I45" s="129"/>
    </row>
    <row r="46" spans="1:9" x14ac:dyDescent="0.2">
      <c r="A46" s="96">
        <v>40</v>
      </c>
      <c r="B46" s="97" t="s">
        <v>433</v>
      </c>
      <c r="C46" s="97" t="s">
        <v>434</v>
      </c>
      <c r="D46" s="97" t="s">
        <v>207</v>
      </c>
      <c r="E46" s="98">
        <v>20653</v>
      </c>
      <c r="F46" s="99">
        <v>991.07551100000001</v>
      </c>
      <c r="G46" s="145">
        <v>5.063499E-3</v>
      </c>
      <c r="H46" s="151"/>
      <c r="I46" s="129"/>
    </row>
    <row r="47" spans="1:9" ht="25.5" x14ac:dyDescent="0.2">
      <c r="A47" s="96">
        <v>41</v>
      </c>
      <c r="B47" s="97" t="s">
        <v>93</v>
      </c>
      <c r="C47" s="97" t="s">
        <v>94</v>
      </c>
      <c r="D47" s="97" t="s">
        <v>48</v>
      </c>
      <c r="E47" s="98">
        <v>109708</v>
      </c>
      <c r="F47" s="99">
        <v>809.53533200000004</v>
      </c>
      <c r="G47" s="145">
        <v>4.1359930000000001E-3</v>
      </c>
      <c r="H47" s="151"/>
      <c r="I47" s="129"/>
    </row>
    <row r="48" spans="1:9" x14ac:dyDescent="0.2">
      <c r="A48" s="96">
        <v>42</v>
      </c>
      <c r="B48" s="97" t="s">
        <v>223</v>
      </c>
      <c r="C48" s="97" t="s">
        <v>224</v>
      </c>
      <c r="D48" s="97" t="s">
        <v>66</v>
      </c>
      <c r="E48" s="98">
        <v>79865</v>
      </c>
      <c r="F48" s="99">
        <v>765.46609249999995</v>
      </c>
      <c r="G48" s="145">
        <v>3.9108390000000002E-3</v>
      </c>
      <c r="H48" s="151"/>
      <c r="I48" s="129"/>
    </row>
    <row r="49" spans="1:9" x14ac:dyDescent="0.2">
      <c r="A49" s="96">
        <v>43</v>
      </c>
      <c r="B49" s="97" t="s">
        <v>416</v>
      </c>
      <c r="C49" s="97" t="s">
        <v>417</v>
      </c>
      <c r="D49" s="97" t="s">
        <v>1030</v>
      </c>
      <c r="E49" s="98">
        <v>62606</v>
      </c>
      <c r="F49" s="99">
        <v>760.725506</v>
      </c>
      <c r="G49" s="145">
        <v>3.886619E-3</v>
      </c>
      <c r="H49" s="151"/>
      <c r="I49" s="129"/>
    </row>
    <row r="50" spans="1:9" x14ac:dyDescent="0.2">
      <c r="A50" s="96">
        <v>44</v>
      </c>
      <c r="B50" s="97" t="s">
        <v>28</v>
      </c>
      <c r="C50" s="97" t="s">
        <v>29</v>
      </c>
      <c r="D50" s="97" t="s">
        <v>27</v>
      </c>
      <c r="E50" s="98">
        <v>31539</v>
      </c>
      <c r="F50" s="99">
        <v>753.46671000000003</v>
      </c>
      <c r="G50" s="145">
        <v>3.849533E-3</v>
      </c>
      <c r="H50" s="151"/>
      <c r="I50" s="129"/>
    </row>
    <row r="51" spans="1:9" x14ac:dyDescent="0.2">
      <c r="A51" s="96">
        <v>45</v>
      </c>
      <c r="B51" s="97" t="s">
        <v>451</v>
      </c>
      <c r="C51" s="97" t="s">
        <v>452</v>
      </c>
      <c r="D51" s="97" t="s">
        <v>207</v>
      </c>
      <c r="E51" s="98">
        <v>75252</v>
      </c>
      <c r="F51" s="99">
        <v>740.14104599999996</v>
      </c>
      <c r="G51" s="145">
        <v>3.7814509999999999E-3</v>
      </c>
      <c r="H51" s="151"/>
      <c r="I51" s="129"/>
    </row>
    <row r="52" spans="1:9" ht="25.5" x14ac:dyDescent="0.2">
      <c r="A52" s="96">
        <v>46</v>
      </c>
      <c r="B52" s="97" t="s">
        <v>338</v>
      </c>
      <c r="C52" s="97" t="s">
        <v>339</v>
      </c>
      <c r="D52" s="97" t="s">
        <v>51</v>
      </c>
      <c r="E52" s="98">
        <v>134358</v>
      </c>
      <c r="F52" s="99">
        <v>643.44046200000003</v>
      </c>
      <c r="G52" s="145">
        <v>3.287398E-3</v>
      </c>
      <c r="H52" s="151"/>
      <c r="I52" s="129"/>
    </row>
    <row r="53" spans="1:9" x14ac:dyDescent="0.2">
      <c r="A53" s="96">
        <v>47</v>
      </c>
      <c r="B53" s="97" t="s">
        <v>563</v>
      </c>
      <c r="C53" s="97" t="s">
        <v>564</v>
      </c>
      <c r="D53" s="97" t="s">
        <v>83</v>
      </c>
      <c r="E53" s="98">
        <v>5824</v>
      </c>
      <c r="F53" s="99">
        <v>427.36803200000003</v>
      </c>
      <c r="G53" s="145">
        <v>2.183464E-3</v>
      </c>
      <c r="H53" s="151"/>
      <c r="I53" s="129"/>
    </row>
    <row r="54" spans="1:9" x14ac:dyDescent="0.2">
      <c r="A54" s="94"/>
      <c r="B54" s="94"/>
      <c r="C54" s="95" t="s">
        <v>105</v>
      </c>
      <c r="D54" s="94"/>
      <c r="E54" s="94" t="s">
        <v>106</v>
      </c>
      <c r="F54" s="100">
        <v>148521.07665050001</v>
      </c>
      <c r="G54" s="146">
        <v>0.75880825200000002</v>
      </c>
      <c r="H54" s="151"/>
      <c r="I54" s="129"/>
    </row>
    <row r="55" spans="1:9" x14ac:dyDescent="0.2">
      <c r="A55" s="94"/>
      <c r="B55" s="94"/>
      <c r="C55" s="101"/>
      <c r="D55" s="94"/>
      <c r="E55" s="94"/>
      <c r="F55" s="102"/>
      <c r="G55" s="147"/>
      <c r="H55" s="151"/>
      <c r="I55" s="129"/>
    </row>
    <row r="56" spans="1:9" x14ac:dyDescent="0.2">
      <c r="A56" s="94"/>
      <c r="B56" s="94"/>
      <c r="C56" s="95" t="s">
        <v>107</v>
      </c>
      <c r="D56" s="94"/>
      <c r="E56" s="94"/>
      <c r="F56" s="94"/>
      <c r="G56" s="144"/>
      <c r="H56" s="151"/>
      <c r="I56" s="129"/>
    </row>
    <row r="57" spans="1:9" x14ac:dyDescent="0.2">
      <c r="A57" s="94"/>
      <c r="B57" s="94"/>
      <c r="C57" s="95" t="s">
        <v>105</v>
      </c>
      <c r="D57" s="94"/>
      <c r="E57" s="94" t="s">
        <v>106</v>
      </c>
      <c r="F57" s="103">
        <v>0</v>
      </c>
      <c r="G57" s="148">
        <v>0</v>
      </c>
      <c r="H57" s="151"/>
      <c r="I57" s="129"/>
    </row>
    <row r="58" spans="1:9" x14ac:dyDescent="0.2">
      <c r="A58" s="94"/>
      <c r="B58" s="94"/>
      <c r="C58" s="101"/>
      <c r="D58" s="94"/>
      <c r="E58" s="94"/>
      <c r="F58" s="102"/>
      <c r="G58" s="147"/>
      <c r="H58" s="151"/>
      <c r="I58" s="129"/>
    </row>
    <row r="59" spans="1:9" x14ac:dyDescent="0.2">
      <c r="A59" s="94"/>
      <c r="B59" s="94"/>
      <c r="C59" s="95" t="s">
        <v>108</v>
      </c>
      <c r="D59" s="94"/>
      <c r="E59" s="94"/>
      <c r="F59" s="94"/>
      <c r="G59" s="144"/>
      <c r="H59" s="151"/>
      <c r="I59" s="129"/>
    </row>
    <row r="60" spans="1:9" x14ac:dyDescent="0.2">
      <c r="A60" s="94"/>
      <c r="B60" s="94"/>
      <c r="C60" s="95" t="s">
        <v>105</v>
      </c>
      <c r="D60" s="94"/>
      <c r="E60" s="94" t="s">
        <v>106</v>
      </c>
      <c r="F60" s="103">
        <v>0</v>
      </c>
      <c r="G60" s="148">
        <v>0</v>
      </c>
      <c r="H60" s="151"/>
      <c r="I60" s="129"/>
    </row>
    <row r="61" spans="1:9" x14ac:dyDescent="0.2">
      <c r="A61" s="94"/>
      <c r="B61" s="94"/>
      <c r="C61" s="101"/>
      <c r="D61" s="94"/>
      <c r="E61" s="94"/>
      <c r="F61" s="102"/>
      <c r="G61" s="147"/>
      <c r="H61" s="151"/>
      <c r="I61" s="129"/>
    </row>
    <row r="62" spans="1:9" x14ac:dyDescent="0.2">
      <c r="A62" s="94"/>
      <c r="B62" s="94"/>
      <c r="C62" s="95" t="s">
        <v>109</v>
      </c>
      <c r="D62" s="94"/>
      <c r="E62" s="94"/>
      <c r="F62" s="94"/>
      <c r="G62" s="144"/>
      <c r="H62" s="151"/>
      <c r="I62" s="129"/>
    </row>
    <row r="63" spans="1:9" x14ac:dyDescent="0.2">
      <c r="A63" s="96">
        <v>1</v>
      </c>
      <c r="B63" s="97" t="s">
        <v>110</v>
      </c>
      <c r="C63" s="4" t="s">
        <v>996</v>
      </c>
      <c r="D63" s="97" t="s">
        <v>19</v>
      </c>
      <c r="E63" s="98">
        <v>35159</v>
      </c>
      <c r="F63" s="99">
        <v>53.898747</v>
      </c>
      <c r="G63" s="145">
        <v>2.75374E-4</v>
      </c>
      <c r="H63" s="151"/>
      <c r="I63" s="129"/>
    </row>
    <row r="64" spans="1:9" x14ac:dyDescent="0.2">
      <c r="A64" s="94"/>
      <c r="B64" s="94"/>
      <c r="C64" s="95" t="s">
        <v>105</v>
      </c>
      <c r="D64" s="94"/>
      <c r="E64" s="94" t="s">
        <v>106</v>
      </c>
      <c r="F64" s="100">
        <v>53.898747</v>
      </c>
      <c r="G64" s="146">
        <v>2.75374E-4</v>
      </c>
      <c r="H64" s="151"/>
      <c r="I64" s="129"/>
    </row>
    <row r="65" spans="1:9" x14ac:dyDescent="0.2">
      <c r="A65" s="94"/>
      <c r="B65" s="94"/>
      <c r="C65" s="101"/>
      <c r="D65" s="94"/>
      <c r="E65" s="94"/>
      <c r="F65" s="102"/>
      <c r="G65" s="147"/>
      <c r="H65" s="151"/>
      <c r="I65" s="129"/>
    </row>
    <row r="66" spans="1:9" x14ac:dyDescent="0.2">
      <c r="A66" s="94"/>
      <c r="B66" s="94"/>
      <c r="C66" s="95" t="s">
        <v>111</v>
      </c>
      <c r="D66" s="94"/>
      <c r="E66" s="94"/>
      <c r="F66" s="102"/>
      <c r="G66" s="147"/>
      <c r="H66" s="151"/>
      <c r="I66" s="129"/>
    </row>
    <row r="67" spans="1:9" x14ac:dyDescent="0.2">
      <c r="A67" s="94"/>
      <c r="B67" s="94"/>
      <c r="C67" s="95" t="s">
        <v>105</v>
      </c>
      <c r="D67" s="94"/>
      <c r="E67" s="94" t="s">
        <v>106</v>
      </c>
      <c r="F67" s="103">
        <v>0</v>
      </c>
      <c r="G67" s="148">
        <v>0</v>
      </c>
      <c r="H67" s="151"/>
      <c r="I67" s="129"/>
    </row>
    <row r="68" spans="1:9" x14ac:dyDescent="0.2">
      <c r="A68" s="94"/>
      <c r="B68" s="94"/>
      <c r="C68" s="101"/>
      <c r="D68" s="94"/>
      <c r="E68" s="94"/>
      <c r="F68" s="102"/>
      <c r="G68" s="147"/>
      <c r="H68" s="151"/>
      <c r="I68" s="129"/>
    </row>
    <row r="69" spans="1:9" x14ac:dyDescent="0.2">
      <c r="A69" s="94"/>
      <c r="B69" s="94"/>
      <c r="C69" s="95" t="s">
        <v>112</v>
      </c>
      <c r="D69" s="94"/>
      <c r="E69" s="94"/>
      <c r="F69" s="102"/>
      <c r="G69" s="147"/>
      <c r="H69" s="151"/>
      <c r="I69" s="129"/>
    </row>
    <row r="70" spans="1:9" x14ac:dyDescent="0.2">
      <c r="A70" s="94"/>
      <c r="B70" s="94"/>
      <c r="C70" s="95" t="s">
        <v>105</v>
      </c>
      <c r="D70" s="94"/>
      <c r="E70" s="94" t="s">
        <v>106</v>
      </c>
      <c r="F70" s="103">
        <v>0</v>
      </c>
      <c r="G70" s="148">
        <v>0</v>
      </c>
      <c r="H70" s="151"/>
      <c r="I70" s="129"/>
    </row>
    <row r="71" spans="1:9" x14ac:dyDescent="0.2">
      <c r="A71" s="94"/>
      <c r="B71" s="94"/>
      <c r="C71" s="101"/>
      <c r="D71" s="94"/>
      <c r="E71" s="94"/>
      <c r="F71" s="102"/>
      <c r="G71" s="147"/>
      <c r="H71" s="151"/>
      <c r="I71" s="129"/>
    </row>
    <row r="72" spans="1:9" x14ac:dyDescent="0.2">
      <c r="A72" s="94"/>
      <c r="B72" s="94"/>
      <c r="C72" s="95" t="s">
        <v>113</v>
      </c>
      <c r="D72" s="94"/>
      <c r="E72" s="94"/>
      <c r="F72" s="100">
        <v>148574.97539750001</v>
      </c>
      <c r="G72" s="146">
        <v>0.75908362600000001</v>
      </c>
      <c r="H72" s="151"/>
      <c r="I72" s="129"/>
    </row>
    <row r="73" spans="1:9" x14ac:dyDescent="0.2">
      <c r="A73" s="94"/>
      <c r="B73" s="94"/>
      <c r="C73" s="101"/>
      <c r="D73" s="94"/>
      <c r="E73" s="94"/>
      <c r="F73" s="102"/>
      <c r="G73" s="147"/>
      <c r="H73" s="151"/>
      <c r="I73" s="129"/>
    </row>
    <row r="74" spans="1:9" x14ac:dyDescent="0.2">
      <c r="A74" s="94"/>
      <c r="B74" s="94"/>
      <c r="C74" s="95" t="s">
        <v>114</v>
      </c>
      <c r="D74" s="94"/>
      <c r="E74" s="94"/>
      <c r="F74" s="102"/>
      <c r="G74" s="147"/>
      <c r="H74" s="151"/>
      <c r="I74" s="129"/>
    </row>
    <row r="75" spans="1:9" ht="25.5" x14ac:dyDescent="0.2">
      <c r="A75" s="94"/>
      <c r="B75" s="94"/>
      <c r="C75" s="95" t="s">
        <v>10</v>
      </c>
      <c r="D75" s="94"/>
      <c r="E75" s="94"/>
      <c r="F75" s="102"/>
      <c r="G75" s="147"/>
      <c r="H75" s="151"/>
      <c r="I75" s="129"/>
    </row>
    <row r="76" spans="1:9" ht="25.5" x14ac:dyDescent="0.2">
      <c r="A76" s="96">
        <v>1</v>
      </c>
      <c r="B76" s="97" t="s">
        <v>882</v>
      </c>
      <c r="C76" s="97" t="s">
        <v>883</v>
      </c>
      <c r="D76" s="97" t="s">
        <v>700</v>
      </c>
      <c r="E76" s="98">
        <v>250</v>
      </c>
      <c r="F76" s="99">
        <v>2579.645</v>
      </c>
      <c r="G76" s="145">
        <v>1.3179651000000001E-2</v>
      </c>
      <c r="H76" s="151">
        <v>4.5</v>
      </c>
      <c r="I76" s="129"/>
    </row>
    <row r="77" spans="1:9" ht="25.5" x14ac:dyDescent="0.2">
      <c r="A77" s="96">
        <v>2</v>
      </c>
      <c r="B77" s="97" t="s">
        <v>884</v>
      </c>
      <c r="C77" s="97" t="s">
        <v>885</v>
      </c>
      <c r="D77" s="97" t="s">
        <v>700</v>
      </c>
      <c r="E77" s="98">
        <v>250</v>
      </c>
      <c r="F77" s="99">
        <v>2576.6925000000001</v>
      </c>
      <c r="G77" s="145">
        <v>1.3164566000000001E-2</v>
      </c>
      <c r="H77" s="151">
        <v>4.72</v>
      </c>
      <c r="I77" s="129"/>
    </row>
    <row r="78" spans="1:9" ht="38.25" x14ac:dyDescent="0.2">
      <c r="A78" s="96">
        <v>3</v>
      </c>
      <c r="B78" s="97" t="s">
        <v>886</v>
      </c>
      <c r="C78" s="97" t="s">
        <v>1011</v>
      </c>
      <c r="D78" s="97" t="s">
        <v>887</v>
      </c>
      <c r="E78" s="98">
        <v>250</v>
      </c>
      <c r="F78" s="99">
        <v>2560.1875</v>
      </c>
      <c r="G78" s="145">
        <v>1.308024E-2</v>
      </c>
      <c r="H78" s="151">
        <v>7.7910000000000004</v>
      </c>
      <c r="I78" s="129">
        <v>5.0809210082499998</v>
      </c>
    </row>
    <row r="79" spans="1:9" x14ac:dyDescent="0.2">
      <c r="A79" s="96">
        <v>4</v>
      </c>
      <c r="B79" s="97" t="s">
        <v>888</v>
      </c>
      <c r="C79" s="97" t="s">
        <v>889</v>
      </c>
      <c r="D79" s="97" t="s">
        <v>700</v>
      </c>
      <c r="E79" s="98">
        <v>250</v>
      </c>
      <c r="F79" s="99">
        <v>2520.9475000000002</v>
      </c>
      <c r="G79" s="145">
        <v>1.2879760000000001E-2</v>
      </c>
      <c r="H79" s="151">
        <v>5.3739999999999997</v>
      </c>
      <c r="I79" s="129"/>
    </row>
    <row r="80" spans="1:9" ht="25.5" x14ac:dyDescent="0.2">
      <c r="A80" s="96">
        <v>5</v>
      </c>
      <c r="B80" s="97" t="s">
        <v>890</v>
      </c>
      <c r="C80" s="97" t="s">
        <v>891</v>
      </c>
      <c r="D80" s="97" t="s">
        <v>1006</v>
      </c>
      <c r="E80" s="98">
        <v>250</v>
      </c>
      <c r="F80" s="99">
        <v>2506.19</v>
      </c>
      <c r="G80" s="145">
        <v>1.2804362E-2</v>
      </c>
      <c r="H80" s="151">
        <v>4.2549999999999999</v>
      </c>
      <c r="I80" s="129"/>
    </row>
    <row r="81" spans="1:9" ht="38.25" x14ac:dyDescent="0.2">
      <c r="A81" s="96">
        <v>6</v>
      </c>
      <c r="B81" s="97" t="s">
        <v>892</v>
      </c>
      <c r="C81" s="97" t="s">
        <v>1012</v>
      </c>
      <c r="D81" s="97" t="s">
        <v>887</v>
      </c>
      <c r="E81" s="98">
        <v>230</v>
      </c>
      <c r="F81" s="99">
        <v>2362.5484999999999</v>
      </c>
      <c r="G81" s="145">
        <v>1.2070483999999999E-2</v>
      </c>
      <c r="H81" s="151">
        <v>8.43</v>
      </c>
      <c r="I81" s="129">
        <v>4.1445417799999991</v>
      </c>
    </row>
    <row r="82" spans="1:9" ht="38.25" x14ac:dyDescent="0.2">
      <c r="A82" s="96">
        <v>7</v>
      </c>
      <c r="B82" s="97" t="s">
        <v>893</v>
      </c>
      <c r="C82" s="97" t="s">
        <v>1013</v>
      </c>
      <c r="D82" s="97" t="s">
        <v>887</v>
      </c>
      <c r="E82" s="98">
        <v>200</v>
      </c>
      <c r="F82" s="99">
        <v>2050.25</v>
      </c>
      <c r="G82" s="145">
        <v>1.0474921E-2</v>
      </c>
      <c r="H82" s="151">
        <v>8.2149999999999999</v>
      </c>
      <c r="I82" s="129">
        <v>3.3075444730500001</v>
      </c>
    </row>
    <row r="83" spans="1:9" ht="38.25" x14ac:dyDescent="0.2">
      <c r="A83" s="96">
        <v>8</v>
      </c>
      <c r="B83" s="97" t="s">
        <v>894</v>
      </c>
      <c r="C83" s="97" t="s">
        <v>1014</v>
      </c>
      <c r="D83" s="97" t="s">
        <v>887</v>
      </c>
      <c r="E83" s="98">
        <v>200</v>
      </c>
      <c r="F83" s="99">
        <v>2004.9159999999999</v>
      </c>
      <c r="G83" s="145">
        <v>1.0243306000000001E-2</v>
      </c>
      <c r="H83" s="151">
        <v>8.3510000000000009</v>
      </c>
      <c r="I83" s="129">
        <v>4.3054982086999996</v>
      </c>
    </row>
    <row r="84" spans="1:9" ht="25.5" x14ac:dyDescent="0.2">
      <c r="A84" s="96">
        <v>9</v>
      </c>
      <c r="B84" s="97" t="s">
        <v>895</v>
      </c>
      <c r="C84" s="97" t="s">
        <v>1015</v>
      </c>
      <c r="D84" s="97" t="s">
        <v>896</v>
      </c>
      <c r="E84" s="98">
        <v>150</v>
      </c>
      <c r="F84" s="99">
        <v>1617.5909999999999</v>
      </c>
      <c r="G84" s="145">
        <v>8.2644260000000001E-3</v>
      </c>
      <c r="H84" s="151">
        <v>7.1340000000000003</v>
      </c>
      <c r="I84" s="129">
        <v>4.9451940782000001</v>
      </c>
    </row>
    <row r="85" spans="1:9" ht="25.5" x14ac:dyDescent="0.2">
      <c r="A85" s="96">
        <v>10</v>
      </c>
      <c r="B85" s="97" t="s">
        <v>897</v>
      </c>
      <c r="C85" s="97" t="s">
        <v>898</v>
      </c>
      <c r="D85" s="97" t="s">
        <v>700</v>
      </c>
      <c r="E85" s="98">
        <v>150</v>
      </c>
      <c r="F85" s="99">
        <v>1580.001</v>
      </c>
      <c r="G85" s="145">
        <v>8.0723749999999997E-3</v>
      </c>
      <c r="H85" s="151">
        <v>5.1950000000000003</v>
      </c>
      <c r="I85" s="129"/>
    </row>
    <row r="86" spans="1:9" ht="38.25" x14ac:dyDescent="0.2">
      <c r="A86" s="96">
        <v>11</v>
      </c>
      <c r="B86" s="97" t="s">
        <v>899</v>
      </c>
      <c r="C86" s="97" t="s">
        <v>1010</v>
      </c>
      <c r="D86" s="97" t="s">
        <v>887</v>
      </c>
      <c r="E86" s="98">
        <v>150</v>
      </c>
      <c r="F86" s="99">
        <v>1548.8295000000001</v>
      </c>
      <c r="G86" s="145">
        <v>7.9131170000000008E-3</v>
      </c>
      <c r="H86" s="151">
        <v>8.1579999999999995</v>
      </c>
      <c r="I86" s="129">
        <v>4.6582235811499997</v>
      </c>
    </row>
    <row r="87" spans="1:9" ht="25.5" x14ac:dyDescent="0.2">
      <c r="A87" s="96">
        <v>12</v>
      </c>
      <c r="B87" s="97" t="s">
        <v>900</v>
      </c>
      <c r="C87" s="97" t="s">
        <v>901</v>
      </c>
      <c r="D87" s="97" t="s">
        <v>902</v>
      </c>
      <c r="E87" s="98">
        <v>150</v>
      </c>
      <c r="F87" s="99">
        <v>1503.39</v>
      </c>
      <c r="G87" s="145">
        <v>7.6809620000000004E-3</v>
      </c>
      <c r="H87" s="151">
        <v>3.98</v>
      </c>
      <c r="I87" s="129"/>
    </row>
    <row r="88" spans="1:9" ht="25.5" x14ac:dyDescent="0.2">
      <c r="A88" s="96">
        <v>13</v>
      </c>
      <c r="B88" s="97" t="s">
        <v>903</v>
      </c>
      <c r="C88" s="97" t="s">
        <v>904</v>
      </c>
      <c r="D88" s="97" t="s">
        <v>700</v>
      </c>
      <c r="E88" s="98">
        <v>100</v>
      </c>
      <c r="F88" s="99">
        <v>1067.498</v>
      </c>
      <c r="G88" s="145">
        <v>5.4539480000000001E-3</v>
      </c>
      <c r="H88" s="151">
        <v>5.3070000000000004</v>
      </c>
      <c r="I88" s="129"/>
    </row>
    <row r="89" spans="1:9" ht="25.5" x14ac:dyDescent="0.2">
      <c r="A89" s="96">
        <v>14</v>
      </c>
      <c r="B89" s="97" t="s">
        <v>905</v>
      </c>
      <c r="C89" s="97" t="s">
        <v>906</v>
      </c>
      <c r="D89" s="97" t="s">
        <v>700</v>
      </c>
      <c r="E89" s="98">
        <v>100</v>
      </c>
      <c r="F89" s="99">
        <v>1059.915</v>
      </c>
      <c r="G89" s="145">
        <v>5.4152059999999997E-3</v>
      </c>
      <c r="H89" s="151">
        <v>5.2</v>
      </c>
      <c r="I89" s="129"/>
    </row>
    <row r="90" spans="1:9" x14ac:dyDescent="0.2">
      <c r="A90" s="96">
        <v>15</v>
      </c>
      <c r="B90" s="97" t="s">
        <v>907</v>
      </c>
      <c r="C90" s="97" t="s">
        <v>908</v>
      </c>
      <c r="D90" s="97" t="s">
        <v>700</v>
      </c>
      <c r="E90" s="98">
        <v>100</v>
      </c>
      <c r="F90" s="99">
        <v>1059.153</v>
      </c>
      <c r="G90" s="145">
        <v>5.4113130000000001E-3</v>
      </c>
      <c r="H90" s="151">
        <v>6.13</v>
      </c>
      <c r="I90" s="129"/>
    </row>
    <row r="91" spans="1:9" ht="25.5" x14ac:dyDescent="0.2">
      <c r="A91" s="96">
        <v>16</v>
      </c>
      <c r="B91" s="97" t="s">
        <v>909</v>
      </c>
      <c r="C91" s="97" t="s">
        <v>910</v>
      </c>
      <c r="D91" s="97" t="s">
        <v>700</v>
      </c>
      <c r="E91" s="98">
        <v>100</v>
      </c>
      <c r="F91" s="99">
        <v>1031.8589999999999</v>
      </c>
      <c r="G91" s="145">
        <v>5.2718649999999997E-3</v>
      </c>
      <c r="H91" s="151">
        <v>4.8</v>
      </c>
      <c r="I91" s="129"/>
    </row>
    <row r="92" spans="1:9" ht="38.25" x14ac:dyDescent="0.2">
      <c r="A92" s="96">
        <v>17</v>
      </c>
      <c r="B92" s="97" t="s">
        <v>911</v>
      </c>
      <c r="C92" s="97" t="s">
        <v>1016</v>
      </c>
      <c r="D92" s="97" t="s">
        <v>887</v>
      </c>
      <c r="E92" s="98">
        <v>100</v>
      </c>
      <c r="F92" s="99">
        <v>1031.636</v>
      </c>
      <c r="G92" s="145">
        <v>5.2707259999999999E-3</v>
      </c>
      <c r="H92" s="151">
        <v>8.2669999999999995</v>
      </c>
      <c r="I92" s="129">
        <v>4.24254216875</v>
      </c>
    </row>
    <row r="93" spans="1:9" ht="38.25" x14ac:dyDescent="0.2">
      <c r="A93" s="96">
        <v>18</v>
      </c>
      <c r="B93" s="97" t="s">
        <v>912</v>
      </c>
      <c r="C93" s="97" t="s">
        <v>1017</v>
      </c>
      <c r="D93" s="97" t="s">
        <v>1007</v>
      </c>
      <c r="E93" s="98">
        <v>100</v>
      </c>
      <c r="F93" s="99">
        <v>1011.6559999999999</v>
      </c>
      <c r="G93" s="145">
        <v>5.1686459999999998E-3</v>
      </c>
      <c r="H93" s="151">
        <v>9.0090000000000003</v>
      </c>
      <c r="I93" s="129">
        <v>6.2677294919000008</v>
      </c>
    </row>
    <row r="94" spans="1:9" ht="25.5" x14ac:dyDescent="0.2">
      <c r="A94" s="96">
        <v>19</v>
      </c>
      <c r="B94" s="97" t="s">
        <v>913</v>
      </c>
      <c r="C94" s="97" t="s">
        <v>914</v>
      </c>
      <c r="D94" s="97" t="s">
        <v>700</v>
      </c>
      <c r="E94" s="98">
        <v>100</v>
      </c>
      <c r="F94" s="99">
        <v>1002.822</v>
      </c>
      <c r="G94" s="145">
        <v>5.1235129999999997E-3</v>
      </c>
      <c r="H94" s="151">
        <v>6.0179999999999998</v>
      </c>
      <c r="I94" s="129"/>
    </row>
    <row r="95" spans="1:9" ht="25.5" x14ac:dyDescent="0.2">
      <c r="A95" s="96">
        <v>20</v>
      </c>
      <c r="B95" s="97" t="s">
        <v>915</v>
      </c>
      <c r="C95" s="97" t="s">
        <v>916</v>
      </c>
      <c r="D95" s="97" t="s">
        <v>700</v>
      </c>
      <c r="E95" s="98">
        <v>100</v>
      </c>
      <c r="F95" s="99">
        <v>996.8</v>
      </c>
      <c r="G95" s="145">
        <v>5.0927460000000004E-3</v>
      </c>
      <c r="H95" s="151">
        <v>5.3449999999999998</v>
      </c>
      <c r="I95" s="129"/>
    </row>
    <row r="96" spans="1:9" ht="25.5" x14ac:dyDescent="0.2">
      <c r="A96" s="96">
        <v>21</v>
      </c>
      <c r="B96" s="97" t="s">
        <v>917</v>
      </c>
      <c r="C96" s="97" t="s">
        <v>918</v>
      </c>
      <c r="D96" s="97" t="s">
        <v>700</v>
      </c>
      <c r="E96" s="98">
        <v>50</v>
      </c>
      <c r="F96" s="99">
        <v>503.80399999999997</v>
      </c>
      <c r="G96" s="145">
        <v>2.5739819999999998E-3</v>
      </c>
      <c r="H96" s="151">
        <v>6.8209999999999997</v>
      </c>
      <c r="I96" s="129"/>
    </row>
    <row r="97" spans="1:9" x14ac:dyDescent="0.2">
      <c r="A97" s="96">
        <v>22</v>
      </c>
      <c r="B97" s="97" t="s">
        <v>919</v>
      </c>
      <c r="C97" s="97" t="s">
        <v>920</v>
      </c>
      <c r="D97" s="97" t="s">
        <v>700</v>
      </c>
      <c r="E97" s="98">
        <v>50</v>
      </c>
      <c r="F97" s="99">
        <v>503.29050000000001</v>
      </c>
      <c r="G97" s="145">
        <v>2.5713590000000001E-3</v>
      </c>
      <c r="H97" s="151">
        <v>3.56</v>
      </c>
      <c r="I97" s="129"/>
    </row>
    <row r="98" spans="1:9" ht="25.5" x14ac:dyDescent="0.2">
      <c r="A98" s="96">
        <v>23</v>
      </c>
      <c r="B98" s="97" t="s">
        <v>921</v>
      </c>
      <c r="C98" s="97" t="s">
        <v>922</v>
      </c>
      <c r="D98" s="97" t="s">
        <v>700</v>
      </c>
      <c r="E98" s="98">
        <v>50</v>
      </c>
      <c r="F98" s="99">
        <v>502.43200000000002</v>
      </c>
      <c r="G98" s="145">
        <v>2.5669730000000002E-3</v>
      </c>
      <c r="H98" s="151">
        <v>3.5350000000000001</v>
      </c>
      <c r="I98" s="129"/>
    </row>
    <row r="99" spans="1:9" ht="25.5" x14ac:dyDescent="0.2">
      <c r="A99" s="96">
        <v>24</v>
      </c>
      <c r="B99" s="97" t="s">
        <v>923</v>
      </c>
      <c r="C99" s="97" t="s">
        <v>924</v>
      </c>
      <c r="D99" s="97" t="s">
        <v>700</v>
      </c>
      <c r="E99" s="98">
        <v>50</v>
      </c>
      <c r="F99" s="99">
        <v>498.70299999999997</v>
      </c>
      <c r="G99" s="145">
        <v>2.5479209999999999E-3</v>
      </c>
      <c r="H99" s="151">
        <v>4.8499999999999996</v>
      </c>
      <c r="I99" s="129"/>
    </row>
    <row r="100" spans="1:9" ht="25.5" x14ac:dyDescent="0.2">
      <c r="A100" s="96">
        <v>25</v>
      </c>
      <c r="B100" s="97" t="s">
        <v>925</v>
      </c>
      <c r="C100" s="97" t="s">
        <v>1009</v>
      </c>
      <c r="D100" s="97" t="s">
        <v>1008</v>
      </c>
      <c r="E100" s="98">
        <v>20</v>
      </c>
      <c r="F100" s="99">
        <v>198.79839999999999</v>
      </c>
      <c r="G100" s="145">
        <v>1.0156799999999999E-3</v>
      </c>
      <c r="H100" s="151">
        <v>10.477</v>
      </c>
      <c r="I100" s="129"/>
    </row>
    <row r="101" spans="1:9" x14ac:dyDescent="0.2">
      <c r="A101" s="94"/>
      <c r="B101" s="94"/>
      <c r="C101" s="95" t="s">
        <v>105</v>
      </c>
      <c r="D101" s="94"/>
      <c r="E101" s="94" t="s">
        <v>106</v>
      </c>
      <c r="F101" s="100">
        <v>35879.555399999997</v>
      </c>
      <c r="G101" s="146">
        <v>0.18331204800000001</v>
      </c>
      <c r="H101" s="151"/>
      <c r="I101" s="129"/>
    </row>
    <row r="102" spans="1:9" x14ac:dyDescent="0.2">
      <c r="A102" s="94"/>
      <c r="B102" s="94"/>
      <c r="C102" s="101"/>
      <c r="D102" s="94"/>
      <c r="E102" s="94"/>
      <c r="F102" s="102"/>
      <c r="G102" s="147"/>
      <c r="H102" s="151"/>
      <c r="I102" s="129"/>
    </row>
    <row r="103" spans="1:9" x14ac:dyDescent="0.2">
      <c r="A103" s="94"/>
      <c r="B103" s="94"/>
      <c r="C103" s="95" t="s">
        <v>115</v>
      </c>
      <c r="D103" s="94"/>
      <c r="E103" s="94"/>
      <c r="F103" s="94"/>
      <c r="G103" s="144"/>
      <c r="H103" s="151"/>
      <c r="I103" s="129"/>
    </row>
    <row r="104" spans="1:9" x14ac:dyDescent="0.2">
      <c r="A104" s="96">
        <v>1</v>
      </c>
      <c r="B104" s="97" t="s">
        <v>926</v>
      </c>
      <c r="C104" s="97" t="s">
        <v>927</v>
      </c>
      <c r="D104" s="97" t="s">
        <v>700</v>
      </c>
      <c r="E104" s="98">
        <v>50</v>
      </c>
      <c r="F104" s="99">
        <v>540.19550000000004</v>
      </c>
      <c r="G104" s="145">
        <v>2.75991E-3</v>
      </c>
      <c r="H104" s="151">
        <v>5.9950000000000001</v>
      </c>
      <c r="I104" s="129"/>
    </row>
    <row r="105" spans="1:9" x14ac:dyDescent="0.2">
      <c r="A105" s="94"/>
      <c r="B105" s="94"/>
      <c r="C105" s="95" t="s">
        <v>105</v>
      </c>
      <c r="D105" s="94"/>
      <c r="E105" s="94" t="s">
        <v>106</v>
      </c>
      <c r="F105" s="100">
        <v>540.19550000000004</v>
      </c>
      <c r="G105" s="146">
        <v>2.75991E-3</v>
      </c>
      <c r="H105" s="151"/>
      <c r="I105" s="129"/>
    </row>
    <row r="106" spans="1:9" x14ac:dyDescent="0.2">
      <c r="A106" s="94"/>
      <c r="B106" s="94"/>
      <c r="C106" s="101"/>
      <c r="D106" s="94"/>
      <c r="E106" s="94"/>
      <c r="F106" s="102"/>
      <c r="G106" s="147"/>
      <c r="H106" s="151"/>
      <c r="I106" s="129"/>
    </row>
    <row r="107" spans="1:9" x14ac:dyDescent="0.2">
      <c r="A107" s="94"/>
      <c r="B107" s="94"/>
      <c r="C107" s="95" t="s">
        <v>116</v>
      </c>
      <c r="D107" s="94"/>
      <c r="E107" s="94"/>
      <c r="F107" s="94"/>
      <c r="G107" s="144"/>
      <c r="H107" s="151"/>
      <c r="I107" s="129"/>
    </row>
    <row r="108" spans="1:9" ht="25.5" x14ac:dyDescent="0.2">
      <c r="A108" s="96">
        <v>1</v>
      </c>
      <c r="B108" s="97" t="s">
        <v>733</v>
      </c>
      <c r="C108" s="97" t="s">
        <v>938</v>
      </c>
      <c r="D108" s="97" t="s">
        <v>732</v>
      </c>
      <c r="E108" s="98">
        <v>1800000</v>
      </c>
      <c r="F108" s="99">
        <v>1902.7728</v>
      </c>
      <c r="G108" s="145">
        <v>9.7214459999999999E-3</v>
      </c>
      <c r="H108" s="151">
        <v>4.6950000000000003</v>
      </c>
      <c r="I108" s="129"/>
    </row>
    <row r="109" spans="1:9" ht="25.5" x14ac:dyDescent="0.2">
      <c r="A109" s="96">
        <v>2</v>
      </c>
      <c r="B109" s="97" t="s">
        <v>928</v>
      </c>
      <c r="C109" s="97" t="s">
        <v>937</v>
      </c>
      <c r="D109" s="97" t="s">
        <v>732</v>
      </c>
      <c r="E109" s="98">
        <v>1500000</v>
      </c>
      <c r="F109" s="99">
        <v>1563.5685000000001</v>
      </c>
      <c r="G109" s="145">
        <v>7.9884199999999995E-3</v>
      </c>
      <c r="H109" s="151">
        <v>4.4409999999999998</v>
      </c>
      <c r="I109" s="129"/>
    </row>
    <row r="110" spans="1:9" ht="25.5" x14ac:dyDescent="0.2">
      <c r="A110" s="96">
        <v>3</v>
      </c>
      <c r="B110" s="97" t="s">
        <v>929</v>
      </c>
      <c r="C110" s="97" t="s">
        <v>936</v>
      </c>
      <c r="D110" s="97" t="s">
        <v>732</v>
      </c>
      <c r="E110" s="98">
        <v>500000</v>
      </c>
      <c r="F110" s="99">
        <v>499.32499999999999</v>
      </c>
      <c r="G110" s="145">
        <v>2.5510989999999998E-3</v>
      </c>
      <c r="H110" s="151">
        <v>5.6639999999999997</v>
      </c>
      <c r="I110" s="129"/>
    </row>
    <row r="111" spans="1:9" x14ac:dyDescent="0.2">
      <c r="A111" s="94"/>
      <c r="B111" s="94"/>
      <c r="C111" s="95" t="s">
        <v>105</v>
      </c>
      <c r="D111" s="94"/>
      <c r="E111" s="94" t="s">
        <v>106</v>
      </c>
      <c r="F111" s="100">
        <v>3965.6662999999999</v>
      </c>
      <c r="G111" s="146">
        <v>2.0260964999999999E-2</v>
      </c>
      <c r="H111" s="151"/>
      <c r="I111" s="129"/>
    </row>
    <row r="112" spans="1:9" x14ac:dyDescent="0.2">
      <c r="A112" s="94"/>
      <c r="B112" s="94"/>
      <c r="C112" s="101"/>
      <c r="D112" s="94"/>
      <c r="E112" s="94"/>
      <c r="F112" s="102"/>
      <c r="G112" s="147"/>
      <c r="H112" s="151"/>
      <c r="I112" s="129"/>
    </row>
    <row r="113" spans="1:9" x14ac:dyDescent="0.2">
      <c r="A113" s="94"/>
      <c r="B113" s="94"/>
      <c r="C113" s="95" t="s">
        <v>117</v>
      </c>
      <c r="D113" s="94"/>
      <c r="E113" s="94"/>
      <c r="F113" s="102"/>
      <c r="G113" s="147"/>
      <c r="H113" s="151"/>
      <c r="I113" s="129"/>
    </row>
    <row r="114" spans="1:9" x14ac:dyDescent="0.2">
      <c r="A114" s="94"/>
      <c r="B114" s="94"/>
      <c r="C114" s="95" t="s">
        <v>105</v>
      </c>
      <c r="D114" s="94"/>
      <c r="E114" s="94" t="s">
        <v>106</v>
      </c>
      <c r="F114" s="103">
        <v>0</v>
      </c>
      <c r="G114" s="148">
        <v>0</v>
      </c>
      <c r="H114" s="151"/>
      <c r="I114" s="129"/>
    </row>
    <row r="115" spans="1:9" x14ac:dyDescent="0.2">
      <c r="A115" s="94"/>
      <c r="B115" s="94"/>
      <c r="C115" s="101"/>
      <c r="D115" s="94"/>
      <c r="E115" s="94"/>
      <c r="F115" s="102"/>
      <c r="G115" s="147"/>
      <c r="H115" s="151"/>
      <c r="I115" s="129"/>
    </row>
    <row r="116" spans="1:9" x14ac:dyDescent="0.2">
      <c r="A116" s="94"/>
      <c r="B116" s="94"/>
      <c r="C116" s="95" t="s">
        <v>118</v>
      </c>
      <c r="D116" s="94"/>
      <c r="E116" s="94"/>
      <c r="F116" s="100">
        <v>40385.417200000004</v>
      </c>
      <c r="G116" s="146">
        <v>0.206332923</v>
      </c>
      <c r="H116" s="151"/>
      <c r="I116" s="129"/>
    </row>
    <row r="117" spans="1:9" x14ac:dyDescent="0.2">
      <c r="A117" s="94"/>
      <c r="B117" s="94"/>
      <c r="C117" s="101"/>
      <c r="D117" s="94"/>
      <c r="E117" s="94"/>
      <c r="F117" s="102"/>
      <c r="G117" s="147"/>
      <c r="H117" s="151"/>
      <c r="I117" s="129"/>
    </row>
    <row r="118" spans="1:9" x14ac:dyDescent="0.2">
      <c r="A118" s="94"/>
      <c r="B118" s="94"/>
      <c r="C118" s="95" t="s">
        <v>119</v>
      </c>
      <c r="D118" s="94"/>
      <c r="E118" s="94"/>
      <c r="F118" s="102"/>
      <c r="G118" s="147"/>
      <c r="H118" s="151"/>
      <c r="I118" s="129"/>
    </row>
    <row r="119" spans="1:9" x14ac:dyDescent="0.2">
      <c r="A119" s="94"/>
      <c r="B119" s="94"/>
      <c r="C119" s="95" t="s">
        <v>120</v>
      </c>
      <c r="D119" s="94"/>
      <c r="E119" s="94"/>
      <c r="F119" s="102"/>
      <c r="G119" s="147"/>
      <c r="H119" s="151"/>
      <c r="I119" s="129"/>
    </row>
    <row r="120" spans="1:9" x14ac:dyDescent="0.2">
      <c r="A120" s="94"/>
      <c r="B120" s="94"/>
      <c r="C120" s="95" t="s">
        <v>105</v>
      </c>
      <c r="D120" s="94"/>
      <c r="E120" s="94" t="s">
        <v>106</v>
      </c>
      <c r="F120" s="103">
        <v>0</v>
      </c>
      <c r="G120" s="148">
        <v>0</v>
      </c>
      <c r="H120" s="151"/>
      <c r="I120" s="129"/>
    </row>
    <row r="121" spans="1:9" x14ac:dyDescent="0.2">
      <c r="A121" s="94"/>
      <c r="B121" s="94"/>
      <c r="C121" s="101"/>
      <c r="D121" s="94"/>
      <c r="E121" s="94"/>
      <c r="F121" s="102"/>
      <c r="G121" s="147"/>
      <c r="H121" s="151"/>
      <c r="I121" s="129"/>
    </row>
    <row r="122" spans="1:9" x14ac:dyDescent="0.2">
      <c r="A122" s="94"/>
      <c r="B122" s="94"/>
      <c r="C122" s="95" t="s">
        <v>121</v>
      </c>
      <c r="D122" s="94"/>
      <c r="E122" s="94"/>
      <c r="F122" s="102"/>
      <c r="G122" s="147"/>
      <c r="H122" s="151"/>
      <c r="I122" s="129"/>
    </row>
    <row r="123" spans="1:9" x14ac:dyDescent="0.2">
      <c r="A123" s="94"/>
      <c r="B123" s="94"/>
      <c r="C123" s="95" t="s">
        <v>105</v>
      </c>
      <c r="D123" s="94"/>
      <c r="E123" s="94" t="s">
        <v>106</v>
      </c>
      <c r="F123" s="103">
        <v>0</v>
      </c>
      <c r="G123" s="148">
        <v>0</v>
      </c>
      <c r="H123" s="151"/>
      <c r="I123" s="129"/>
    </row>
    <row r="124" spans="1:9" x14ac:dyDescent="0.2">
      <c r="A124" s="94"/>
      <c r="B124" s="94"/>
      <c r="C124" s="101"/>
      <c r="D124" s="94"/>
      <c r="E124" s="94"/>
      <c r="F124" s="102"/>
      <c r="G124" s="147"/>
      <c r="H124" s="151"/>
      <c r="I124" s="129"/>
    </row>
    <row r="125" spans="1:9" x14ac:dyDescent="0.2">
      <c r="A125" s="94"/>
      <c r="B125" s="94"/>
      <c r="C125" s="95" t="s">
        <v>122</v>
      </c>
      <c r="D125" s="94"/>
      <c r="E125" s="94"/>
      <c r="F125" s="102"/>
      <c r="G125" s="147"/>
      <c r="H125" s="151"/>
      <c r="I125" s="129"/>
    </row>
    <row r="126" spans="1:9" x14ac:dyDescent="0.2">
      <c r="A126" s="94"/>
      <c r="B126" s="94"/>
      <c r="C126" s="95" t="s">
        <v>105</v>
      </c>
      <c r="D126" s="94"/>
      <c r="E126" s="94" t="s">
        <v>106</v>
      </c>
      <c r="F126" s="103">
        <v>0</v>
      </c>
      <c r="G126" s="148">
        <v>0</v>
      </c>
      <c r="H126" s="151"/>
      <c r="I126" s="129"/>
    </row>
    <row r="127" spans="1:9" x14ac:dyDescent="0.2">
      <c r="A127" s="94"/>
      <c r="B127" s="94"/>
      <c r="C127" s="101"/>
      <c r="D127" s="94"/>
      <c r="E127" s="94"/>
      <c r="F127" s="102"/>
      <c r="G127" s="147"/>
      <c r="H127" s="151"/>
      <c r="I127" s="129"/>
    </row>
    <row r="128" spans="1:9" x14ac:dyDescent="0.2">
      <c r="A128" s="94"/>
      <c r="B128" s="94"/>
      <c r="C128" s="95" t="s">
        <v>123</v>
      </c>
      <c r="D128" s="94"/>
      <c r="E128" s="94"/>
      <c r="F128" s="102"/>
      <c r="G128" s="147"/>
      <c r="H128" s="151"/>
      <c r="I128" s="129"/>
    </row>
    <row r="129" spans="1:9" x14ac:dyDescent="0.2">
      <c r="A129" s="96">
        <v>1</v>
      </c>
      <c r="B129" s="97"/>
      <c r="C129" s="97" t="s">
        <v>124</v>
      </c>
      <c r="D129" s="97"/>
      <c r="E129" s="104"/>
      <c r="F129" s="99">
        <v>4009.1819559999999</v>
      </c>
      <c r="G129" s="145">
        <v>2.0483290000000001E-2</v>
      </c>
      <c r="H129" s="152">
        <v>3.3197683930276081</v>
      </c>
      <c r="I129" s="129"/>
    </row>
    <row r="130" spans="1:9" x14ac:dyDescent="0.2">
      <c r="A130" s="94"/>
      <c r="B130" s="94"/>
      <c r="C130" s="95" t="s">
        <v>105</v>
      </c>
      <c r="D130" s="94"/>
      <c r="E130" s="94" t="s">
        <v>106</v>
      </c>
      <c r="F130" s="100">
        <v>4009.1819559999999</v>
      </c>
      <c r="G130" s="146">
        <v>2.0483290000000001E-2</v>
      </c>
      <c r="H130" s="151"/>
      <c r="I130" s="129"/>
    </row>
    <row r="131" spans="1:9" x14ac:dyDescent="0.2">
      <c r="A131" s="94"/>
      <c r="B131" s="94"/>
      <c r="C131" s="101"/>
      <c r="D131" s="94"/>
      <c r="E131" s="94"/>
      <c r="F131" s="102"/>
      <c r="G131" s="147"/>
      <c r="H131" s="151"/>
      <c r="I131" s="129"/>
    </row>
    <row r="132" spans="1:9" x14ac:dyDescent="0.2">
      <c r="A132" s="94"/>
      <c r="B132" s="94"/>
      <c r="C132" s="95" t="s">
        <v>125</v>
      </c>
      <c r="D132" s="94"/>
      <c r="E132" s="94"/>
      <c r="F132" s="100">
        <v>4009.1819559999999</v>
      </c>
      <c r="G132" s="146">
        <v>2.0483290000000001E-2</v>
      </c>
      <c r="H132" s="151"/>
      <c r="I132" s="129"/>
    </row>
    <row r="133" spans="1:9" x14ac:dyDescent="0.2">
      <c r="A133" s="94"/>
      <c r="B133" s="94"/>
      <c r="C133" s="102"/>
      <c r="D133" s="94"/>
      <c r="E133" s="94"/>
      <c r="F133" s="94"/>
      <c r="G133" s="144"/>
      <c r="H133" s="151"/>
      <c r="I133" s="129"/>
    </row>
    <row r="134" spans="1:9" x14ac:dyDescent="0.2">
      <c r="A134" s="94"/>
      <c r="B134" s="94"/>
      <c r="C134" s="95" t="s">
        <v>126</v>
      </c>
      <c r="D134" s="94"/>
      <c r="E134" s="94"/>
      <c r="F134" s="94"/>
      <c r="G134" s="144"/>
      <c r="H134" s="151"/>
      <c r="I134" s="129"/>
    </row>
    <row r="135" spans="1:9" x14ac:dyDescent="0.2">
      <c r="A135" s="94"/>
      <c r="B135" s="94"/>
      <c r="C135" s="95" t="s">
        <v>127</v>
      </c>
      <c r="D135" s="94"/>
      <c r="E135" s="94"/>
      <c r="F135" s="94"/>
      <c r="G135" s="144"/>
      <c r="H135" s="151"/>
      <c r="I135" s="129"/>
    </row>
    <row r="136" spans="1:9" x14ac:dyDescent="0.2">
      <c r="A136" s="94"/>
      <c r="B136" s="94"/>
      <c r="C136" s="95" t="s">
        <v>105</v>
      </c>
      <c r="D136" s="94"/>
      <c r="E136" s="94" t="s">
        <v>106</v>
      </c>
      <c r="F136" s="103">
        <v>0</v>
      </c>
      <c r="G136" s="148">
        <v>0</v>
      </c>
      <c r="H136" s="151"/>
      <c r="I136" s="129"/>
    </row>
    <row r="137" spans="1:9" x14ac:dyDescent="0.2">
      <c r="A137" s="94"/>
      <c r="B137" s="94"/>
      <c r="C137" s="101"/>
      <c r="D137" s="94"/>
      <c r="E137" s="94"/>
      <c r="F137" s="102"/>
      <c r="G137" s="147"/>
      <c r="H137" s="151"/>
      <c r="I137" s="129"/>
    </row>
    <row r="138" spans="1:9" x14ac:dyDescent="0.2">
      <c r="A138" s="94"/>
      <c r="B138" s="94"/>
      <c r="C138" s="95" t="s">
        <v>128</v>
      </c>
      <c r="D138" s="94"/>
      <c r="E138" s="94"/>
      <c r="F138" s="94"/>
      <c r="G138" s="144"/>
      <c r="H138" s="151"/>
      <c r="I138" s="129"/>
    </row>
    <row r="139" spans="1:9" x14ac:dyDescent="0.2">
      <c r="A139" s="94"/>
      <c r="B139" s="94"/>
      <c r="C139" s="95" t="s">
        <v>129</v>
      </c>
      <c r="D139" s="94"/>
      <c r="E139" s="94"/>
      <c r="F139" s="94"/>
      <c r="G139" s="144"/>
      <c r="H139" s="151"/>
      <c r="I139" s="129"/>
    </row>
    <row r="140" spans="1:9" x14ac:dyDescent="0.2">
      <c r="A140" s="94"/>
      <c r="B140" s="94"/>
      <c r="C140" s="95" t="s">
        <v>105</v>
      </c>
      <c r="D140" s="94"/>
      <c r="E140" s="94" t="s">
        <v>106</v>
      </c>
      <c r="F140" s="103">
        <v>0</v>
      </c>
      <c r="G140" s="148">
        <v>0</v>
      </c>
      <c r="H140" s="151"/>
      <c r="I140" s="129"/>
    </row>
    <row r="141" spans="1:9" x14ac:dyDescent="0.2">
      <c r="A141" s="94"/>
      <c r="B141" s="94"/>
      <c r="C141" s="101"/>
      <c r="D141" s="94"/>
      <c r="E141" s="94"/>
      <c r="F141" s="102"/>
      <c r="G141" s="147"/>
      <c r="H141" s="151"/>
      <c r="I141" s="129"/>
    </row>
    <row r="142" spans="1:9" ht="25.5" x14ac:dyDescent="0.2">
      <c r="A142" s="94"/>
      <c r="B142" s="94"/>
      <c r="C142" s="95" t="s">
        <v>130</v>
      </c>
      <c r="D142" s="94"/>
      <c r="E142" s="94"/>
      <c r="F142" s="102"/>
      <c r="G142" s="147"/>
      <c r="H142" s="151"/>
      <c r="I142" s="129"/>
    </row>
    <row r="143" spans="1:9" x14ac:dyDescent="0.2">
      <c r="A143" s="94"/>
      <c r="B143" s="94"/>
      <c r="C143" s="95" t="s">
        <v>105</v>
      </c>
      <c r="D143" s="94"/>
      <c r="E143" s="94" t="s">
        <v>106</v>
      </c>
      <c r="F143" s="103">
        <v>0</v>
      </c>
      <c r="G143" s="148">
        <v>0</v>
      </c>
      <c r="H143" s="151"/>
      <c r="I143" s="129"/>
    </row>
    <row r="144" spans="1:9" x14ac:dyDescent="0.2">
      <c r="A144" s="94"/>
      <c r="B144" s="94"/>
      <c r="C144" s="101"/>
      <c r="D144" s="94"/>
      <c r="E144" s="94"/>
      <c r="F144" s="102"/>
      <c r="G144" s="147"/>
      <c r="H144" s="151"/>
      <c r="I144" s="129"/>
    </row>
    <row r="145" spans="1:9" x14ac:dyDescent="0.2">
      <c r="A145" s="94"/>
      <c r="B145" s="97"/>
      <c r="C145" s="97"/>
      <c r="D145" s="95"/>
      <c r="E145" s="94"/>
      <c r="F145" s="97"/>
      <c r="G145" s="149"/>
      <c r="H145" s="151"/>
      <c r="I145" s="129"/>
    </row>
    <row r="146" spans="1:9" x14ac:dyDescent="0.2">
      <c r="A146" s="104"/>
      <c r="B146" s="97"/>
      <c r="C146" s="97" t="s">
        <v>878</v>
      </c>
      <c r="D146" s="97"/>
      <c r="E146" s="104"/>
      <c r="F146" s="99">
        <v>2759.8164758399998</v>
      </c>
      <c r="G146" s="145">
        <v>1.4100164E-2</v>
      </c>
      <c r="H146" s="151"/>
      <c r="I146" s="129"/>
    </row>
    <row r="147" spans="1:9" x14ac:dyDescent="0.2">
      <c r="A147" s="101"/>
      <c r="B147" s="101"/>
      <c r="C147" s="95" t="s">
        <v>132</v>
      </c>
      <c r="D147" s="102"/>
      <c r="E147" s="102"/>
      <c r="F147" s="100">
        <v>195729.39102934001</v>
      </c>
      <c r="G147" s="146">
        <v>1.000000003</v>
      </c>
      <c r="H147" s="151"/>
      <c r="I147" s="129"/>
    </row>
    <row r="148" spans="1:9" ht="14.1" customHeight="1" x14ac:dyDescent="0.2">
      <c r="A148" s="105"/>
      <c r="B148" s="105"/>
      <c r="C148" s="105"/>
      <c r="D148" s="106"/>
      <c r="E148" s="106"/>
      <c r="F148" s="106"/>
      <c r="G148" s="106"/>
    </row>
    <row r="149" spans="1:9" ht="17.100000000000001" customHeight="1" x14ac:dyDescent="0.2">
      <c r="A149" s="107"/>
      <c r="B149" s="212" t="s">
        <v>879</v>
      </c>
      <c r="C149" s="212"/>
      <c r="D149" s="212"/>
      <c r="E149" s="212"/>
      <c r="F149" s="212"/>
      <c r="G149" s="108"/>
    </row>
    <row r="150" spans="1:9" ht="17.100000000000001" customHeight="1" x14ac:dyDescent="0.2">
      <c r="A150" s="107"/>
      <c r="B150" s="212" t="s">
        <v>880</v>
      </c>
      <c r="C150" s="212"/>
      <c r="D150" s="212"/>
      <c r="E150" s="212"/>
      <c r="F150" s="212"/>
      <c r="G150" s="108"/>
    </row>
    <row r="151" spans="1:9" ht="14.1" customHeight="1" x14ac:dyDescent="0.2">
      <c r="A151" s="107"/>
      <c r="B151" s="212" t="s">
        <v>106</v>
      </c>
      <c r="C151" s="212"/>
      <c r="D151" s="212"/>
      <c r="E151" s="212"/>
      <c r="F151" s="212"/>
      <c r="G151" s="108"/>
    </row>
    <row r="152" spans="1:9" ht="14.1" customHeight="1" x14ac:dyDescent="0.2">
      <c r="A152" s="107"/>
      <c r="B152" s="107"/>
      <c r="C152" s="107"/>
      <c r="D152" s="108"/>
      <c r="E152" s="108"/>
      <c r="F152" s="108"/>
      <c r="G152" s="108"/>
    </row>
    <row r="153" spans="1:9" ht="14.1" customHeight="1" x14ac:dyDescent="0.2">
      <c r="A153" s="107"/>
      <c r="B153" s="216" t="s">
        <v>134</v>
      </c>
      <c r="C153" s="217"/>
      <c r="D153" s="218"/>
      <c r="E153" s="109"/>
      <c r="F153" s="108"/>
      <c r="G153" s="108"/>
    </row>
    <row r="154" spans="1:9" ht="29.1" customHeight="1" x14ac:dyDescent="0.2">
      <c r="A154" s="107"/>
      <c r="B154" s="213" t="s">
        <v>135</v>
      </c>
      <c r="C154" s="214"/>
      <c r="D154" s="2" t="s">
        <v>1088</v>
      </c>
      <c r="E154" s="109"/>
      <c r="F154" s="108"/>
      <c r="G154" s="108"/>
    </row>
    <row r="155" spans="1:9" ht="17.100000000000001" customHeight="1" x14ac:dyDescent="0.2">
      <c r="A155" s="107"/>
      <c r="B155" s="213" t="s">
        <v>137</v>
      </c>
      <c r="C155" s="214"/>
      <c r="D155" s="95" t="s">
        <v>136</v>
      </c>
      <c r="E155" s="109"/>
      <c r="F155" s="108"/>
      <c r="G155" s="108"/>
    </row>
    <row r="156" spans="1:9" ht="17.100000000000001" customHeight="1" x14ac:dyDescent="0.2">
      <c r="A156" s="107"/>
      <c r="B156" s="213" t="s">
        <v>138</v>
      </c>
      <c r="C156" s="214"/>
      <c r="D156" s="102" t="s">
        <v>106</v>
      </c>
      <c r="E156" s="109"/>
      <c r="F156" s="108"/>
      <c r="G156" s="108"/>
    </row>
    <row r="157" spans="1:9" ht="24" customHeight="1" x14ac:dyDescent="0.2">
      <c r="A157" s="110"/>
      <c r="B157" s="111" t="s">
        <v>106</v>
      </c>
      <c r="C157" s="111" t="s">
        <v>139</v>
      </c>
      <c r="D157" s="111" t="s">
        <v>140</v>
      </c>
      <c r="E157" s="110"/>
      <c r="F157" s="110"/>
      <c r="G157" s="110"/>
    </row>
    <row r="158" spans="1:9" ht="18" customHeight="1" x14ac:dyDescent="0.2">
      <c r="A158" s="110"/>
      <c r="B158" s="112" t="s">
        <v>141</v>
      </c>
      <c r="C158" s="111" t="s">
        <v>142</v>
      </c>
      <c r="D158" s="111" t="s">
        <v>143</v>
      </c>
      <c r="E158" s="110"/>
      <c r="F158" s="110"/>
      <c r="G158" s="110"/>
    </row>
    <row r="159" spans="1:9" x14ac:dyDescent="0.2">
      <c r="A159" s="110"/>
      <c r="B159" s="97" t="s">
        <v>144</v>
      </c>
      <c r="C159" s="113">
        <v>141.9229</v>
      </c>
      <c r="D159" s="113">
        <v>145.15100000000001</v>
      </c>
      <c r="E159" s="110"/>
      <c r="F159" s="114"/>
      <c r="G159" s="115"/>
    </row>
    <row r="160" spans="1:9" x14ac:dyDescent="0.2">
      <c r="A160" s="110"/>
      <c r="B160" s="97" t="s">
        <v>1019</v>
      </c>
      <c r="C160" s="113">
        <v>18.728999999999999</v>
      </c>
      <c r="D160" s="113">
        <v>18.980799999999999</v>
      </c>
      <c r="E160" s="110"/>
      <c r="F160" s="114"/>
      <c r="G160" s="115"/>
    </row>
    <row r="161" spans="1:7" x14ac:dyDescent="0.2">
      <c r="A161" s="110"/>
      <c r="B161" s="97" t="s">
        <v>145</v>
      </c>
      <c r="C161" s="113">
        <v>131.6337</v>
      </c>
      <c r="D161" s="113">
        <v>134.4838</v>
      </c>
      <c r="E161" s="110"/>
      <c r="F161" s="114"/>
      <c r="G161" s="115"/>
    </row>
    <row r="162" spans="1:7" x14ac:dyDescent="0.2">
      <c r="A162" s="110"/>
      <c r="B162" s="97" t="s">
        <v>1020</v>
      </c>
      <c r="C162" s="113">
        <v>16.530799999999999</v>
      </c>
      <c r="D162" s="113">
        <v>16.735700000000001</v>
      </c>
      <c r="E162" s="110"/>
      <c r="F162" s="114"/>
      <c r="G162" s="115"/>
    </row>
    <row r="163" spans="1:7" ht="14.1" customHeight="1" x14ac:dyDescent="0.2">
      <c r="A163" s="110"/>
      <c r="B163" s="110"/>
      <c r="C163" s="110"/>
      <c r="D163" s="110"/>
      <c r="E163" s="110"/>
      <c r="F163" s="110"/>
      <c r="G163" s="110"/>
    </row>
    <row r="164" spans="1:7" ht="17.100000000000001" customHeight="1" x14ac:dyDescent="0.2">
      <c r="A164" s="110"/>
      <c r="B164" s="213" t="s">
        <v>1021</v>
      </c>
      <c r="C164" s="214"/>
      <c r="D164" s="95" t="s">
        <v>106</v>
      </c>
      <c r="E164" s="110"/>
      <c r="F164" s="110"/>
      <c r="G164" s="110"/>
    </row>
    <row r="165" spans="1:7" ht="18" customHeight="1" x14ac:dyDescent="0.2">
      <c r="A165" s="110"/>
      <c r="B165" s="120" t="s">
        <v>141</v>
      </c>
      <c r="C165" s="121" t="s">
        <v>930</v>
      </c>
      <c r="D165" s="121" t="s">
        <v>931</v>
      </c>
      <c r="E165" s="110"/>
      <c r="F165" s="110"/>
      <c r="G165" s="110"/>
    </row>
    <row r="166" spans="1:7" x14ac:dyDescent="0.2">
      <c r="A166" s="110"/>
      <c r="B166" s="97" t="s">
        <v>1019</v>
      </c>
      <c r="C166" s="122">
        <v>0.17399999999999999</v>
      </c>
      <c r="D166" s="122">
        <v>0.17399999999999999</v>
      </c>
      <c r="E166" s="110"/>
      <c r="F166" s="114"/>
      <c r="G166" s="115"/>
    </row>
    <row r="167" spans="1:7" x14ac:dyDescent="0.2">
      <c r="A167" s="110"/>
      <c r="B167" s="97" t="s">
        <v>1020</v>
      </c>
      <c r="C167" s="122">
        <v>0.153</v>
      </c>
      <c r="D167" s="122">
        <v>0.153</v>
      </c>
      <c r="E167" s="110"/>
      <c r="F167" s="114"/>
      <c r="G167" s="115"/>
    </row>
    <row r="168" spans="1:7" ht="14.1" customHeight="1" x14ac:dyDescent="0.2">
      <c r="A168" s="110"/>
      <c r="B168" s="123"/>
      <c r="C168" s="123"/>
      <c r="D168" s="124"/>
      <c r="E168" s="110"/>
      <c r="F168" s="114"/>
      <c r="G168" s="115"/>
    </row>
    <row r="169" spans="1:7" s="125" customFormat="1" x14ac:dyDescent="0.2">
      <c r="B169" s="201" t="s">
        <v>825</v>
      </c>
      <c r="C169" s="201"/>
      <c r="D169" s="201"/>
      <c r="E169" s="201"/>
      <c r="F169" s="201"/>
    </row>
    <row r="170" spans="1:7" ht="14.1" customHeight="1" x14ac:dyDescent="0.2">
      <c r="A170" s="110"/>
      <c r="B170" s="114"/>
      <c r="C170" s="114"/>
      <c r="D170" s="110"/>
      <c r="E170" s="110"/>
      <c r="F170" s="110"/>
      <c r="G170" s="110"/>
    </row>
    <row r="171" spans="1:7" ht="29.1" customHeight="1" x14ac:dyDescent="0.2">
      <c r="A171" s="110"/>
      <c r="B171" s="213" t="s">
        <v>146</v>
      </c>
      <c r="C171" s="214"/>
      <c r="D171" s="95" t="s">
        <v>136</v>
      </c>
      <c r="E171" s="117"/>
      <c r="F171" s="110"/>
      <c r="G171" s="110"/>
    </row>
    <row r="172" spans="1:7" ht="29.1" customHeight="1" x14ac:dyDescent="0.2">
      <c r="A172" s="110"/>
      <c r="B172" s="213" t="s">
        <v>147</v>
      </c>
      <c r="C172" s="214"/>
      <c r="D172" s="95" t="s">
        <v>136</v>
      </c>
      <c r="E172" s="117"/>
      <c r="F172" s="110"/>
      <c r="G172" s="110"/>
    </row>
    <row r="173" spans="1:7" ht="17.100000000000001" customHeight="1" x14ac:dyDescent="0.2">
      <c r="A173" s="110"/>
      <c r="B173" s="220" t="s">
        <v>1001</v>
      </c>
      <c r="C173" s="221"/>
      <c r="D173" s="118">
        <v>4.3303591859128998</v>
      </c>
      <c r="E173" s="117"/>
      <c r="F173" s="110"/>
      <c r="G173" s="110"/>
    </row>
    <row r="174" spans="1:7" ht="17.100000000000001" customHeight="1" x14ac:dyDescent="0.2">
      <c r="A174" s="110"/>
      <c r="B174" s="220" t="s">
        <v>1002</v>
      </c>
      <c r="C174" s="221"/>
      <c r="D174" s="118">
        <v>3.2767242785109847</v>
      </c>
      <c r="E174" s="117"/>
      <c r="F174" s="110"/>
      <c r="G174" s="110"/>
    </row>
    <row r="175" spans="1:7" ht="17.100000000000001" customHeight="1" x14ac:dyDescent="0.2">
      <c r="A175" s="110"/>
      <c r="B175" s="213" t="s">
        <v>881</v>
      </c>
      <c r="C175" s="214"/>
      <c r="D175" s="95" t="s">
        <v>136</v>
      </c>
      <c r="E175" s="117"/>
      <c r="F175" s="110"/>
      <c r="G175" s="110"/>
    </row>
    <row r="176" spans="1:7" ht="17.100000000000001" customHeight="1" x14ac:dyDescent="0.2">
      <c r="A176" s="110"/>
      <c r="B176" s="213" t="s">
        <v>1000</v>
      </c>
      <c r="C176" s="214"/>
      <c r="D176" s="119">
        <v>0.75190534145373122</v>
      </c>
      <c r="E176" s="110"/>
      <c r="F176" s="114"/>
      <c r="G176" s="115"/>
    </row>
    <row r="177" spans="1:8" ht="11.1" customHeight="1" x14ac:dyDescent="0.2">
      <c r="A177" s="116"/>
      <c r="B177" s="116"/>
      <c r="C177" s="116"/>
      <c r="D177" s="116"/>
      <c r="E177" s="116"/>
      <c r="F177" s="116"/>
      <c r="G177" s="116"/>
    </row>
    <row r="178" spans="1:8" x14ac:dyDescent="0.2">
      <c r="B178" s="222" t="s">
        <v>1086</v>
      </c>
      <c r="C178" s="222"/>
      <c r="D178" s="222"/>
      <c r="E178" s="222"/>
      <c r="F178" s="222"/>
      <c r="G178" s="222"/>
      <c r="H178" s="222"/>
    </row>
    <row r="179" spans="1:8" x14ac:dyDescent="0.2">
      <c r="B179" s="192" t="s">
        <v>830</v>
      </c>
      <c r="C179" s="192" t="s">
        <v>831</v>
      </c>
      <c r="D179" s="228" t="s">
        <v>832</v>
      </c>
      <c r="E179" s="228"/>
      <c r="F179" s="228"/>
      <c r="G179" s="226" t="s">
        <v>833</v>
      </c>
      <c r="H179" s="226"/>
    </row>
    <row r="180" spans="1:8" ht="25.5" x14ac:dyDescent="0.2">
      <c r="B180" s="190" t="s">
        <v>834</v>
      </c>
      <c r="C180" s="153" t="s">
        <v>835</v>
      </c>
      <c r="D180" s="219">
        <v>0</v>
      </c>
      <c r="E180" s="219"/>
      <c r="F180" s="219"/>
      <c r="G180" s="219">
        <v>0</v>
      </c>
      <c r="H180" s="219"/>
    </row>
    <row r="181" spans="1:8" x14ac:dyDescent="0.2">
      <c r="B181" s="190"/>
      <c r="C181" s="190"/>
      <c r="D181" s="219"/>
      <c r="E181" s="219"/>
      <c r="F181" s="219"/>
      <c r="G181" s="219"/>
      <c r="H181" s="219"/>
    </row>
    <row r="182" spans="1:8" x14ac:dyDescent="0.2">
      <c r="B182" s="226" t="s">
        <v>836</v>
      </c>
      <c r="C182" s="226"/>
      <c r="D182" s="226"/>
      <c r="E182" s="226"/>
      <c r="F182" s="226"/>
      <c r="G182" s="226"/>
      <c r="H182" s="226"/>
    </row>
    <row r="183" spans="1:8" x14ac:dyDescent="0.2">
      <c r="B183" s="227" t="s">
        <v>830</v>
      </c>
      <c r="C183" s="227" t="s">
        <v>831</v>
      </c>
      <c r="D183" s="227" t="s">
        <v>837</v>
      </c>
      <c r="E183" s="227"/>
      <c r="F183" s="227"/>
      <c r="G183" s="227"/>
      <c r="H183" s="190"/>
    </row>
    <row r="184" spans="1:8" ht="51" x14ac:dyDescent="0.2">
      <c r="B184" s="227"/>
      <c r="C184" s="227"/>
      <c r="D184" s="191" t="s">
        <v>838</v>
      </c>
      <c r="E184" s="191" t="s">
        <v>839</v>
      </c>
      <c r="F184" s="191" t="s">
        <v>840</v>
      </c>
      <c r="G184" s="191" t="s">
        <v>841</v>
      </c>
      <c r="H184" s="191" t="s">
        <v>1005</v>
      </c>
    </row>
    <row r="185" spans="1:8" s="154" customFormat="1" ht="25.5" x14ac:dyDescent="0.2">
      <c r="B185" s="193" t="s">
        <v>834</v>
      </c>
      <c r="C185" s="194" t="s">
        <v>835</v>
      </c>
      <c r="D185" s="195">
        <v>700</v>
      </c>
      <c r="E185" s="195">
        <v>24.098357999999998</v>
      </c>
      <c r="F185" s="196">
        <v>0</v>
      </c>
      <c r="G185" s="197">
        <v>724.09835799999996</v>
      </c>
      <c r="H185" s="198">
        <v>3.7000000000000002E-3</v>
      </c>
    </row>
    <row r="186" spans="1:8" ht="25.5" customHeight="1" x14ac:dyDescent="0.2">
      <c r="B186" s="223" t="s">
        <v>842</v>
      </c>
      <c r="C186" s="224"/>
      <c r="D186" s="224"/>
      <c r="E186" s="224"/>
      <c r="F186" s="224"/>
      <c r="G186" s="224"/>
      <c r="H186" s="224"/>
    </row>
    <row r="188" spans="1:8" x14ac:dyDescent="0.2">
      <c r="B188" s="164" t="s">
        <v>1087</v>
      </c>
    </row>
    <row r="189" spans="1:8" x14ac:dyDescent="0.2">
      <c r="B189"/>
    </row>
    <row r="190" spans="1:8" x14ac:dyDescent="0.2">
      <c r="B190" s="164" t="s">
        <v>1052</v>
      </c>
    </row>
    <row r="191" spans="1:8" x14ac:dyDescent="0.2">
      <c r="B191" s="164"/>
    </row>
    <row r="192" spans="1:8" x14ac:dyDescent="0.2">
      <c r="B192" s="164" t="s">
        <v>1053</v>
      </c>
    </row>
    <row r="193" spans="2:6" x14ac:dyDescent="0.2">
      <c r="B193" s="164"/>
    </row>
    <row r="194" spans="2:6" x14ac:dyDescent="0.2">
      <c r="B194" s="164" t="s">
        <v>1054</v>
      </c>
    </row>
    <row r="195" spans="2:6" x14ac:dyDescent="0.2">
      <c r="B195" s="164"/>
    </row>
    <row r="196" spans="2:6" x14ac:dyDescent="0.2">
      <c r="B196" s="164" t="s">
        <v>1055</v>
      </c>
    </row>
    <row r="197" spans="2:6" ht="63.75" x14ac:dyDescent="0.2">
      <c r="B197" s="165" t="s">
        <v>1056</v>
      </c>
      <c r="C197" s="165" t="s">
        <v>1066</v>
      </c>
      <c r="D197" s="165" t="s">
        <v>1067</v>
      </c>
      <c r="E197" s="165" t="s">
        <v>1072</v>
      </c>
      <c r="F197" s="165" t="s">
        <v>1071</v>
      </c>
    </row>
    <row r="198" spans="2:6" x14ac:dyDescent="0.2">
      <c r="B198" s="178">
        <v>1650</v>
      </c>
      <c r="C198" s="178">
        <v>1650</v>
      </c>
      <c r="D198" s="171">
        <v>11599.911244200001</v>
      </c>
      <c r="E198" s="171">
        <v>12029.942695899999</v>
      </c>
      <c r="F198" s="172">
        <v>430.0314516999988</v>
      </c>
    </row>
    <row r="199" spans="2:6" x14ac:dyDescent="0.2">
      <c r="B199" s="164"/>
    </row>
    <row r="200" spans="2:6" x14ac:dyDescent="0.2">
      <c r="B200" s="164" t="s">
        <v>1057</v>
      </c>
    </row>
    <row r="201" spans="2:6" x14ac:dyDescent="0.2">
      <c r="B201" s="164"/>
    </row>
    <row r="202" spans="2:6" x14ac:dyDescent="0.2">
      <c r="B202" s="164" t="s">
        <v>1058</v>
      </c>
    </row>
    <row r="203" spans="2:6" x14ac:dyDescent="0.2">
      <c r="B203" s="164"/>
    </row>
    <row r="204" spans="2:6" x14ac:dyDescent="0.2">
      <c r="B204" s="164" t="s">
        <v>1059</v>
      </c>
    </row>
    <row r="205" spans="2:6" x14ac:dyDescent="0.2">
      <c r="B205" s="164"/>
    </row>
    <row r="206" spans="2:6" x14ac:dyDescent="0.2">
      <c r="B206" s="164" t="s">
        <v>1060</v>
      </c>
    </row>
    <row r="207" spans="2:6" x14ac:dyDescent="0.2">
      <c r="B207" s="164"/>
    </row>
    <row r="208" spans="2:6" x14ac:dyDescent="0.2">
      <c r="B208" s="164" t="s">
        <v>1061</v>
      </c>
    </row>
    <row r="209" spans="2:2" x14ac:dyDescent="0.2">
      <c r="B209" s="164"/>
    </row>
    <row r="210" spans="2:2" x14ac:dyDescent="0.2">
      <c r="B210" s="164" t="s">
        <v>1062</v>
      </c>
    </row>
    <row r="211" spans="2:2" x14ac:dyDescent="0.2">
      <c r="B211"/>
    </row>
    <row r="212" spans="2:2" x14ac:dyDescent="0.2">
      <c r="B212" s="164" t="s">
        <v>1063</v>
      </c>
    </row>
    <row r="213" spans="2:2" x14ac:dyDescent="0.2">
      <c r="B213"/>
    </row>
    <row r="214" spans="2:2" x14ac:dyDescent="0.2">
      <c r="B214" s="164" t="s">
        <v>1064</v>
      </c>
    </row>
  </sheetData>
  <mergeCells count="31">
    <mergeCell ref="K2:O2"/>
    <mergeCell ref="B186:H186"/>
    <mergeCell ref="A1:I1"/>
    <mergeCell ref="A2:I2"/>
    <mergeCell ref="A3:I3"/>
    <mergeCell ref="B169:F169"/>
    <mergeCell ref="D181:F181"/>
    <mergeCell ref="G181:H181"/>
    <mergeCell ref="B182:H182"/>
    <mergeCell ref="B183:B184"/>
    <mergeCell ref="C183:C184"/>
    <mergeCell ref="D183:G183"/>
    <mergeCell ref="D179:F179"/>
    <mergeCell ref="G179:H179"/>
    <mergeCell ref="D180:F180"/>
    <mergeCell ref="G180:H180"/>
    <mergeCell ref="B172:C172"/>
    <mergeCell ref="B173:C173"/>
    <mergeCell ref="B174:C174"/>
    <mergeCell ref="B175:C175"/>
    <mergeCell ref="B176:C176"/>
    <mergeCell ref="B178:H178"/>
    <mergeCell ref="B171:C171"/>
    <mergeCell ref="B155:C155"/>
    <mergeCell ref="B156:C156"/>
    <mergeCell ref="B164:C164"/>
    <mergeCell ref="B149:F149"/>
    <mergeCell ref="B150:F150"/>
    <mergeCell ref="B151:F151"/>
    <mergeCell ref="B153:D153"/>
    <mergeCell ref="B154:C15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N17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709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408</v>
      </c>
      <c r="C7" s="4" t="s">
        <v>409</v>
      </c>
      <c r="D7" s="4" t="s">
        <v>24</v>
      </c>
      <c r="E7" s="5">
        <v>608253</v>
      </c>
      <c r="F7" s="6">
        <v>9701.3312234999994</v>
      </c>
      <c r="G7" s="138">
        <v>7.5540670000000004E-2</v>
      </c>
      <c r="H7" s="142"/>
    </row>
    <row r="8" spans="1:14" x14ac:dyDescent="0.2">
      <c r="A8" s="3">
        <v>2</v>
      </c>
      <c r="B8" s="4" t="s">
        <v>410</v>
      </c>
      <c r="C8" s="4" t="s">
        <v>411</v>
      </c>
      <c r="D8" s="4" t="s">
        <v>164</v>
      </c>
      <c r="E8" s="5">
        <v>577633</v>
      </c>
      <c r="F8" s="6">
        <v>9676.5080159999998</v>
      </c>
      <c r="G8" s="138">
        <v>7.5347381000000005E-2</v>
      </c>
      <c r="H8" s="142"/>
    </row>
    <row r="9" spans="1:14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1267715</v>
      </c>
      <c r="F9" s="6">
        <v>8884.7805774999997</v>
      </c>
      <c r="G9" s="138">
        <v>6.9182492999999998E-2</v>
      </c>
      <c r="H9" s="142"/>
    </row>
    <row r="10" spans="1:14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307114</v>
      </c>
      <c r="F10" s="6">
        <v>7736.9694449999997</v>
      </c>
      <c r="G10" s="138">
        <v>6.0244912999999997E-2</v>
      </c>
      <c r="H10" s="142"/>
    </row>
    <row r="11" spans="1:14" x14ac:dyDescent="0.2">
      <c r="A11" s="3">
        <v>5</v>
      </c>
      <c r="B11" s="4" t="s">
        <v>414</v>
      </c>
      <c r="C11" s="4" t="s">
        <v>415</v>
      </c>
      <c r="D11" s="4" t="s">
        <v>24</v>
      </c>
      <c r="E11" s="5">
        <v>1276889</v>
      </c>
      <c r="F11" s="6">
        <v>5784.30717</v>
      </c>
      <c r="G11" s="138">
        <v>4.5040256000000001E-2</v>
      </c>
      <c r="H11" s="142"/>
    </row>
    <row r="12" spans="1:14" x14ac:dyDescent="0.2">
      <c r="A12" s="3">
        <v>6</v>
      </c>
      <c r="B12" s="4" t="s">
        <v>420</v>
      </c>
      <c r="C12" s="4" t="s">
        <v>421</v>
      </c>
      <c r="D12" s="4" t="s">
        <v>164</v>
      </c>
      <c r="E12" s="5">
        <v>142864</v>
      </c>
      <c r="F12" s="6">
        <v>5393.9017519999998</v>
      </c>
      <c r="G12" s="138">
        <v>4.2000312999999997E-2</v>
      </c>
      <c r="H12" s="142"/>
    </row>
    <row r="13" spans="1:14" ht="25.5" x14ac:dyDescent="0.2">
      <c r="A13" s="3">
        <v>7</v>
      </c>
      <c r="B13" s="4" t="s">
        <v>412</v>
      </c>
      <c r="C13" s="4" t="s">
        <v>413</v>
      </c>
      <c r="D13" s="4" t="s">
        <v>80</v>
      </c>
      <c r="E13" s="5">
        <v>188177</v>
      </c>
      <c r="F13" s="6">
        <v>5182.9591110000001</v>
      </c>
      <c r="G13" s="138">
        <v>4.0357781000000002E-2</v>
      </c>
      <c r="H13" s="142"/>
    </row>
    <row r="14" spans="1:14" x14ac:dyDescent="0.2">
      <c r="A14" s="3">
        <v>8</v>
      </c>
      <c r="B14" s="4" t="s">
        <v>11</v>
      </c>
      <c r="C14" s="4" t="s">
        <v>12</v>
      </c>
      <c r="D14" s="4" t="s">
        <v>13</v>
      </c>
      <c r="E14" s="5">
        <v>277602</v>
      </c>
      <c r="F14" s="6">
        <v>4727.4232590000001</v>
      </c>
      <c r="G14" s="138">
        <v>3.6810691999999999E-2</v>
      </c>
      <c r="H14" s="142"/>
    </row>
    <row r="15" spans="1:14" ht="15" x14ac:dyDescent="0.2">
      <c r="A15" s="3">
        <v>9</v>
      </c>
      <c r="B15" s="4" t="s">
        <v>336</v>
      </c>
      <c r="C15" s="4" t="s">
        <v>337</v>
      </c>
      <c r="D15" s="4" t="s">
        <v>24</v>
      </c>
      <c r="E15" s="5">
        <v>605523</v>
      </c>
      <c r="F15" s="6">
        <v>4641.6365564999996</v>
      </c>
      <c r="G15" s="138">
        <v>3.6142702999999998E-2</v>
      </c>
      <c r="H15" s="142"/>
      <c r="J15" s="163" t="s">
        <v>1046</v>
      </c>
    </row>
    <row r="16" spans="1:14" x14ac:dyDescent="0.2">
      <c r="A16" s="3">
        <v>10</v>
      </c>
      <c r="B16" s="4" t="s">
        <v>368</v>
      </c>
      <c r="C16" s="4" t="s">
        <v>369</v>
      </c>
      <c r="D16" s="4" t="s">
        <v>164</v>
      </c>
      <c r="E16" s="5">
        <v>316010</v>
      </c>
      <c r="F16" s="6">
        <v>4043.5059550000001</v>
      </c>
      <c r="G16" s="138">
        <v>3.1485282000000003E-2</v>
      </c>
      <c r="H16" s="142"/>
    </row>
    <row r="17" spans="1:8" x14ac:dyDescent="0.2">
      <c r="A17" s="3">
        <v>11</v>
      </c>
      <c r="B17" s="4" t="s">
        <v>307</v>
      </c>
      <c r="C17" s="4" t="s">
        <v>934</v>
      </c>
      <c r="D17" s="4" t="s">
        <v>164</v>
      </c>
      <c r="E17" s="5">
        <v>90444</v>
      </c>
      <c r="F17" s="6">
        <v>3798.7384440000001</v>
      </c>
      <c r="G17" s="138">
        <v>2.9579368000000002E-2</v>
      </c>
      <c r="H17" s="142"/>
    </row>
    <row r="18" spans="1:8" x14ac:dyDescent="0.2">
      <c r="A18" s="3">
        <v>12</v>
      </c>
      <c r="B18" s="4" t="s">
        <v>394</v>
      </c>
      <c r="C18" s="4" t="s">
        <v>395</v>
      </c>
      <c r="D18" s="4" t="s">
        <v>1030</v>
      </c>
      <c r="E18" s="5">
        <v>17742</v>
      </c>
      <c r="F18" s="6">
        <v>3155.7251849999998</v>
      </c>
      <c r="G18" s="138">
        <v>2.4572462E-2</v>
      </c>
      <c r="H18" s="142"/>
    </row>
    <row r="19" spans="1:8" x14ac:dyDescent="0.2">
      <c r="A19" s="3">
        <v>13</v>
      </c>
      <c r="B19" s="4" t="s">
        <v>97</v>
      </c>
      <c r="C19" s="4" t="s">
        <v>98</v>
      </c>
      <c r="D19" s="4" t="s">
        <v>56</v>
      </c>
      <c r="E19" s="5">
        <v>556828</v>
      </c>
      <c r="F19" s="6">
        <v>2968.4500680000001</v>
      </c>
      <c r="G19" s="138">
        <v>2.3114220000000001E-2</v>
      </c>
      <c r="H19" s="142"/>
    </row>
    <row r="20" spans="1:8" x14ac:dyDescent="0.2">
      <c r="A20" s="3">
        <v>14</v>
      </c>
      <c r="B20" s="4" t="s">
        <v>350</v>
      </c>
      <c r="C20" s="4" t="s">
        <v>351</v>
      </c>
      <c r="D20" s="4" t="s">
        <v>80</v>
      </c>
      <c r="E20" s="5">
        <v>225395</v>
      </c>
      <c r="F20" s="6">
        <v>2927.5429574999998</v>
      </c>
      <c r="G20" s="138">
        <v>2.2795691999999999E-2</v>
      </c>
      <c r="H20" s="142"/>
    </row>
    <row r="21" spans="1:8" x14ac:dyDescent="0.2">
      <c r="A21" s="3">
        <v>15</v>
      </c>
      <c r="B21" s="4" t="s">
        <v>346</v>
      </c>
      <c r="C21" s="4" t="s">
        <v>347</v>
      </c>
      <c r="D21" s="4" t="s">
        <v>207</v>
      </c>
      <c r="E21" s="5">
        <v>76895</v>
      </c>
      <c r="F21" s="6">
        <v>2860.417105</v>
      </c>
      <c r="G21" s="138">
        <v>2.2273008E-2</v>
      </c>
      <c r="H21" s="142"/>
    </row>
    <row r="22" spans="1:8" x14ac:dyDescent="0.2">
      <c r="A22" s="3">
        <v>16</v>
      </c>
      <c r="B22" s="4" t="s">
        <v>17</v>
      </c>
      <c r="C22" s="4" t="s">
        <v>18</v>
      </c>
      <c r="D22" s="4" t="s">
        <v>19</v>
      </c>
      <c r="E22" s="5">
        <v>409068</v>
      </c>
      <c r="F22" s="6">
        <v>2815.6150440000001</v>
      </c>
      <c r="G22" s="138">
        <v>2.1924150999999999E-2</v>
      </c>
      <c r="H22" s="142"/>
    </row>
    <row r="23" spans="1:8" x14ac:dyDescent="0.2">
      <c r="A23" s="3">
        <v>17</v>
      </c>
      <c r="B23" s="4" t="s">
        <v>320</v>
      </c>
      <c r="C23" s="4" t="s">
        <v>321</v>
      </c>
      <c r="D23" s="4" t="s">
        <v>322</v>
      </c>
      <c r="E23" s="5">
        <v>78284</v>
      </c>
      <c r="F23" s="6">
        <v>2488.139514</v>
      </c>
      <c r="G23" s="138">
        <v>1.9374220000000001E-2</v>
      </c>
      <c r="H23" s="142"/>
    </row>
    <row r="24" spans="1:8" ht="25.5" x14ac:dyDescent="0.2">
      <c r="A24" s="3">
        <v>18</v>
      </c>
      <c r="B24" s="4" t="s">
        <v>418</v>
      </c>
      <c r="C24" s="4" t="s">
        <v>419</v>
      </c>
      <c r="D24" s="4" t="s">
        <v>90</v>
      </c>
      <c r="E24" s="5">
        <v>90435</v>
      </c>
      <c r="F24" s="6">
        <v>2443.3728299999998</v>
      </c>
      <c r="G24" s="138">
        <v>1.9025638000000001E-2</v>
      </c>
      <c r="H24" s="142"/>
    </row>
    <row r="25" spans="1:8" x14ac:dyDescent="0.2">
      <c r="A25" s="3">
        <v>19</v>
      </c>
      <c r="B25" s="4" t="s">
        <v>40</v>
      </c>
      <c r="C25" s="4" t="s">
        <v>41</v>
      </c>
      <c r="D25" s="4" t="s">
        <v>16</v>
      </c>
      <c r="E25" s="5">
        <v>549411</v>
      </c>
      <c r="F25" s="6">
        <v>2374.5543419999999</v>
      </c>
      <c r="G25" s="138">
        <v>1.8489774E-2</v>
      </c>
      <c r="H25" s="142"/>
    </row>
    <row r="26" spans="1:8" x14ac:dyDescent="0.2">
      <c r="A26" s="3">
        <v>20</v>
      </c>
      <c r="B26" s="4" t="s">
        <v>81</v>
      </c>
      <c r="C26" s="4" t="s">
        <v>82</v>
      </c>
      <c r="D26" s="4" t="s">
        <v>83</v>
      </c>
      <c r="E26" s="5">
        <v>1772874</v>
      </c>
      <c r="F26" s="6">
        <v>2372.1054119999999</v>
      </c>
      <c r="G26" s="138">
        <v>1.8470705E-2</v>
      </c>
      <c r="H26" s="142"/>
    </row>
    <row r="27" spans="1:8" ht="25.5" x14ac:dyDescent="0.2">
      <c r="A27" s="3">
        <v>21</v>
      </c>
      <c r="B27" s="4" t="s">
        <v>492</v>
      </c>
      <c r="C27" s="4" t="s">
        <v>493</v>
      </c>
      <c r="D27" s="4" t="s">
        <v>90</v>
      </c>
      <c r="E27" s="5">
        <v>16757</v>
      </c>
      <c r="F27" s="6">
        <v>2358.3466659999999</v>
      </c>
      <c r="G27" s="138">
        <v>1.8363570999999999E-2</v>
      </c>
      <c r="H27" s="142"/>
    </row>
    <row r="28" spans="1:8" ht="25.5" x14ac:dyDescent="0.2">
      <c r="A28" s="3">
        <v>22</v>
      </c>
      <c r="B28" s="4" t="s">
        <v>624</v>
      </c>
      <c r="C28" s="4" t="s">
        <v>625</v>
      </c>
      <c r="D28" s="4" t="s">
        <v>1023</v>
      </c>
      <c r="E28" s="5">
        <v>511927</v>
      </c>
      <c r="F28" s="6">
        <v>2048.7318540000001</v>
      </c>
      <c r="G28" s="138">
        <v>1.5952714999999999E-2</v>
      </c>
      <c r="H28" s="142"/>
    </row>
    <row r="29" spans="1:8" x14ac:dyDescent="0.2">
      <c r="A29" s="3">
        <v>23</v>
      </c>
      <c r="B29" s="4" t="s">
        <v>447</v>
      </c>
      <c r="C29" s="4" t="s">
        <v>448</v>
      </c>
      <c r="D29" s="4" t="s">
        <v>27</v>
      </c>
      <c r="E29" s="5">
        <v>93108</v>
      </c>
      <c r="F29" s="6">
        <v>2011.505232</v>
      </c>
      <c r="G29" s="138">
        <v>1.5662846000000001E-2</v>
      </c>
      <c r="H29" s="142"/>
    </row>
    <row r="30" spans="1:8" x14ac:dyDescent="0.2">
      <c r="A30" s="3">
        <v>24</v>
      </c>
      <c r="B30" s="4" t="s">
        <v>310</v>
      </c>
      <c r="C30" s="4" t="s">
        <v>311</v>
      </c>
      <c r="D30" s="4" t="s">
        <v>181</v>
      </c>
      <c r="E30" s="5">
        <v>40746</v>
      </c>
      <c r="F30" s="6">
        <v>1826.0727360000001</v>
      </c>
      <c r="G30" s="138">
        <v>1.4218951000000001E-2</v>
      </c>
      <c r="H30" s="142"/>
    </row>
    <row r="31" spans="1:8" ht="25.5" x14ac:dyDescent="0.2">
      <c r="A31" s="3">
        <v>25</v>
      </c>
      <c r="B31" s="4" t="s">
        <v>323</v>
      </c>
      <c r="C31" s="4" t="s">
        <v>324</v>
      </c>
      <c r="D31" s="4" t="s">
        <v>90</v>
      </c>
      <c r="E31" s="5">
        <v>200026</v>
      </c>
      <c r="F31" s="6">
        <v>1795.433376</v>
      </c>
      <c r="G31" s="138">
        <v>1.3980374E-2</v>
      </c>
      <c r="H31" s="142"/>
    </row>
    <row r="32" spans="1:8" ht="25.5" x14ac:dyDescent="0.2">
      <c r="A32" s="3">
        <v>26</v>
      </c>
      <c r="B32" s="4" t="s">
        <v>497</v>
      </c>
      <c r="C32" s="4" t="s">
        <v>498</v>
      </c>
      <c r="D32" s="4" t="s">
        <v>90</v>
      </c>
      <c r="E32" s="5">
        <v>284350</v>
      </c>
      <c r="F32" s="6">
        <v>1754.5816749999999</v>
      </c>
      <c r="G32" s="138">
        <v>1.3662277E-2</v>
      </c>
      <c r="H32" s="142"/>
    </row>
    <row r="33" spans="1:8" ht="25.5" x14ac:dyDescent="0.2">
      <c r="A33" s="3">
        <v>27</v>
      </c>
      <c r="B33" s="4" t="s">
        <v>484</v>
      </c>
      <c r="C33" s="4" t="s">
        <v>485</v>
      </c>
      <c r="D33" s="4" t="s">
        <v>90</v>
      </c>
      <c r="E33" s="5">
        <v>197658</v>
      </c>
      <c r="F33" s="6">
        <v>1686.2203979999999</v>
      </c>
      <c r="G33" s="138">
        <v>1.3129973E-2</v>
      </c>
      <c r="H33" s="142"/>
    </row>
    <row r="34" spans="1:8" x14ac:dyDescent="0.2">
      <c r="A34" s="3">
        <v>28</v>
      </c>
      <c r="B34" s="4" t="s">
        <v>424</v>
      </c>
      <c r="C34" s="4" t="s">
        <v>425</v>
      </c>
      <c r="D34" s="4" t="s">
        <v>207</v>
      </c>
      <c r="E34" s="5">
        <v>190664</v>
      </c>
      <c r="F34" s="6">
        <v>1560.1081799999999</v>
      </c>
      <c r="G34" s="138">
        <v>1.2147984000000001E-2</v>
      </c>
      <c r="H34" s="142"/>
    </row>
    <row r="35" spans="1:8" ht="25.5" x14ac:dyDescent="0.2">
      <c r="A35" s="3">
        <v>29</v>
      </c>
      <c r="B35" s="4" t="s">
        <v>38</v>
      </c>
      <c r="C35" s="4" t="s">
        <v>39</v>
      </c>
      <c r="D35" s="4" t="s">
        <v>1023</v>
      </c>
      <c r="E35" s="5">
        <v>19363</v>
      </c>
      <c r="F35" s="6">
        <v>1432.106843</v>
      </c>
      <c r="G35" s="138">
        <v>1.1151285E-2</v>
      </c>
      <c r="H35" s="142"/>
    </row>
    <row r="36" spans="1:8" ht="25.5" x14ac:dyDescent="0.2">
      <c r="A36" s="3">
        <v>30</v>
      </c>
      <c r="B36" s="4" t="s">
        <v>398</v>
      </c>
      <c r="C36" s="4" t="s">
        <v>399</v>
      </c>
      <c r="D36" s="4" t="s">
        <v>90</v>
      </c>
      <c r="E36" s="5">
        <v>167408</v>
      </c>
      <c r="F36" s="6">
        <v>1362.0314880000001</v>
      </c>
      <c r="G36" s="138">
        <v>1.0605633999999999E-2</v>
      </c>
      <c r="H36" s="142"/>
    </row>
    <row r="37" spans="1:8" x14ac:dyDescent="0.2">
      <c r="A37" s="3">
        <v>31</v>
      </c>
      <c r="B37" s="4" t="s">
        <v>433</v>
      </c>
      <c r="C37" s="4" t="s">
        <v>434</v>
      </c>
      <c r="D37" s="4" t="s">
        <v>207</v>
      </c>
      <c r="E37" s="5">
        <v>27625</v>
      </c>
      <c r="F37" s="6">
        <v>1325.6408750000001</v>
      </c>
      <c r="G37" s="138">
        <v>1.0322273999999999E-2</v>
      </c>
      <c r="H37" s="142"/>
    </row>
    <row r="38" spans="1:8" x14ac:dyDescent="0.2">
      <c r="A38" s="3">
        <v>32</v>
      </c>
      <c r="B38" s="4" t="s">
        <v>441</v>
      </c>
      <c r="C38" s="4" t="s">
        <v>442</v>
      </c>
      <c r="D38" s="4" t="s">
        <v>24</v>
      </c>
      <c r="E38" s="5">
        <v>63502</v>
      </c>
      <c r="F38" s="6">
        <v>1273.53261</v>
      </c>
      <c r="G38" s="138">
        <v>9.9165260000000002E-3</v>
      </c>
      <c r="H38" s="142"/>
    </row>
    <row r="39" spans="1:8" x14ac:dyDescent="0.2">
      <c r="A39" s="3">
        <v>33</v>
      </c>
      <c r="B39" s="4" t="s">
        <v>453</v>
      </c>
      <c r="C39" s="4" t="s">
        <v>454</v>
      </c>
      <c r="D39" s="4" t="s">
        <v>173</v>
      </c>
      <c r="E39" s="5">
        <v>561545</v>
      </c>
      <c r="F39" s="6">
        <v>1268.8109274999999</v>
      </c>
      <c r="G39" s="138">
        <v>9.8797599999999996E-3</v>
      </c>
      <c r="H39" s="142"/>
    </row>
    <row r="40" spans="1:8" x14ac:dyDescent="0.2">
      <c r="A40" s="3">
        <v>34</v>
      </c>
      <c r="B40" s="4" t="s">
        <v>416</v>
      </c>
      <c r="C40" s="4" t="s">
        <v>417</v>
      </c>
      <c r="D40" s="4" t="s">
        <v>1030</v>
      </c>
      <c r="E40" s="5">
        <v>104007</v>
      </c>
      <c r="F40" s="6">
        <v>1263.789057</v>
      </c>
      <c r="G40" s="138">
        <v>9.8406569999999992E-3</v>
      </c>
      <c r="H40" s="142"/>
    </row>
    <row r="41" spans="1:8" x14ac:dyDescent="0.2">
      <c r="A41" s="3">
        <v>35</v>
      </c>
      <c r="B41" s="4" t="s">
        <v>428</v>
      </c>
      <c r="C41" s="4" t="s">
        <v>429</v>
      </c>
      <c r="D41" s="4" t="s">
        <v>430</v>
      </c>
      <c r="E41" s="5">
        <v>215871</v>
      </c>
      <c r="F41" s="6">
        <v>1053.3425445</v>
      </c>
      <c r="G41" s="138">
        <v>8.2019880000000003E-3</v>
      </c>
      <c r="H41" s="142"/>
    </row>
    <row r="42" spans="1:8" ht="25.5" x14ac:dyDescent="0.2">
      <c r="A42" s="3">
        <v>36</v>
      </c>
      <c r="B42" s="4" t="s">
        <v>93</v>
      </c>
      <c r="C42" s="4" t="s">
        <v>94</v>
      </c>
      <c r="D42" s="4" t="s">
        <v>48</v>
      </c>
      <c r="E42" s="5">
        <v>139388</v>
      </c>
      <c r="F42" s="6">
        <v>1028.544052</v>
      </c>
      <c r="G42" s="138">
        <v>8.0088910000000006E-3</v>
      </c>
      <c r="H42" s="142"/>
    </row>
    <row r="43" spans="1:8" x14ac:dyDescent="0.2">
      <c r="A43" s="3">
        <v>37</v>
      </c>
      <c r="B43" s="4" t="s">
        <v>451</v>
      </c>
      <c r="C43" s="4" t="s">
        <v>452</v>
      </c>
      <c r="D43" s="4" t="s">
        <v>207</v>
      </c>
      <c r="E43" s="5">
        <v>91288</v>
      </c>
      <c r="F43" s="6">
        <v>897.86312399999997</v>
      </c>
      <c r="G43" s="138">
        <v>6.9913270000000003E-3</v>
      </c>
      <c r="H43" s="142"/>
    </row>
    <row r="44" spans="1:8" x14ac:dyDescent="0.2">
      <c r="A44" s="3">
        <v>38</v>
      </c>
      <c r="B44" s="4" t="s">
        <v>561</v>
      </c>
      <c r="C44" s="4" t="s">
        <v>562</v>
      </c>
      <c r="D44" s="4" t="s">
        <v>80</v>
      </c>
      <c r="E44" s="5">
        <v>11390</v>
      </c>
      <c r="F44" s="6">
        <v>873.39658999999995</v>
      </c>
      <c r="G44" s="138">
        <v>6.800815E-3</v>
      </c>
      <c r="H44" s="142"/>
    </row>
    <row r="45" spans="1:8" x14ac:dyDescent="0.2">
      <c r="A45" s="3">
        <v>39</v>
      </c>
      <c r="B45" s="4" t="s">
        <v>504</v>
      </c>
      <c r="C45" s="4" t="s">
        <v>505</v>
      </c>
      <c r="D45" s="4" t="s">
        <v>51</v>
      </c>
      <c r="E45" s="5">
        <v>37350</v>
      </c>
      <c r="F45" s="6">
        <v>807.45097499999997</v>
      </c>
      <c r="G45" s="138">
        <v>6.2873210000000002E-3</v>
      </c>
      <c r="H45" s="142"/>
    </row>
    <row r="46" spans="1:8" x14ac:dyDescent="0.2">
      <c r="A46" s="3">
        <v>40</v>
      </c>
      <c r="B46" s="4" t="s">
        <v>563</v>
      </c>
      <c r="C46" s="4" t="s">
        <v>564</v>
      </c>
      <c r="D46" s="4" t="s">
        <v>83</v>
      </c>
      <c r="E46" s="5">
        <v>8825</v>
      </c>
      <c r="F46" s="6">
        <v>647.58291250000002</v>
      </c>
      <c r="G46" s="138">
        <v>5.0424880000000004E-3</v>
      </c>
      <c r="H46" s="142"/>
    </row>
    <row r="47" spans="1:8" x14ac:dyDescent="0.2">
      <c r="A47" s="3">
        <v>41</v>
      </c>
      <c r="B47" s="4" t="s">
        <v>402</v>
      </c>
      <c r="C47" s="4" t="s">
        <v>403</v>
      </c>
      <c r="D47" s="4" t="s">
        <v>1026</v>
      </c>
      <c r="E47" s="5">
        <v>191820</v>
      </c>
      <c r="F47" s="6">
        <v>581.59824000000003</v>
      </c>
      <c r="G47" s="138">
        <v>4.5286900000000001E-3</v>
      </c>
      <c r="H47" s="142"/>
    </row>
    <row r="48" spans="1:8" x14ac:dyDescent="0.2">
      <c r="A48" s="3">
        <v>42</v>
      </c>
      <c r="B48" s="4" t="s">
        <v>431</v>
      </c>
      <c r="C48" s="4" t="s">
        <v>432</v>
      </c>
      <c r="D48" s="4" t="s">
        <v>59</v>
      </c>
      <c r="E48" s="5">
        <v>37475</v>
      </c>
      <c r="F48" s="6">
        <v>483.01527499999997</v>
      </c>
      <c r="G48" s="138">
        <v>3.761061E-3</v>
      </c>
      <c r="H48" s="142"/>
    </row>
    <row r="49" spans="1:8" x14ac:dyDescent="0.2">
      <c r="A49" s="3">
        <v>43</v>
      </c>
      <c r="B49" s="4" t="s">
        <v>426</v>
      </c>
      <c r="C49" s="4" t="s">
        <v>427</v>
      </c>
      <c r="D49" s="4" t="s">
        <v>83</v>
      </c>
      <c r="E49" s="5">
        <v>53505</v>
      </c>
      <c r="F49" s="6">
        <v>429.67190249999999</v>
      </c>
      <c r="G49" s="138">
        <v>3.345696E-3</v>
      </c>
      <c r="H49" s="142"/>
    </row>
    <row r="50" spans="1:8" x14ac:dyDescent="0.2">
      <c r="A50" s="3">
        <v>44</v>
      </c>
      <c r="B50" s="4" t="s">
        <v>382</v>
      </c>
      <c r="C50" s="4" t="s">
        <v>383</v>
      </c>
      <c r="D50" s="4" t="s">
        <v>51</v>
      </c>
      <c r="E50" s="5">
        <v>18158</v>
      </c>
      <c r="F50" s="6">
        <v>414.90122100000002</v>
      </c>
      <c r="G50" s="138">
        <v>3.2306819999999999E-3</v>
      </c>
      <c r="H50" s="142"/>
    </row>
    <row r="51" spans="1:8" x14ac:dyDescent="0.2">
      <c r="A51" s="3">
        <v>45</v>
      </c>
      <c r="B51" s="4" t="s">
        <v>640</v>
      </c>
      <c r="C51" s="4" t="s">
        <v>641</v>
      </c>
      <c r="D51" s="4" t="s">
        <v>24</v>
      </c>
      <c r="E51" s="5">
        <v>34999</v>
      </c>
      <c r="F51" s="6">
        <v>389.15388100000001</v>
      </c>
      <c r="G51" s="138">
        <v>3.0301970000000001E-3</v>
      </c>
      <c r="H51" s="142"/>
    </row>
    <row r="52" spans="1:8" ht="25.5" x14ac:dyDescent="0.2">
      <c r="A52" s="3">
        <v>46</v>
      </c>
      <c r="B52" s="4" t="s">
        <v>443</v>
      </c>
      <c r="C52" s="4" t="s">
        <v>444</v>
      </c>
      <c r="D52" s="4" t="s">
        <v>1030</v>
      </c>
      <c r="E52" s="5">
        <v>24000</v>
      </c>
      <c r="F52" s="6">
        <v>381.48</v>
      </c>
      <c r="G52" s="138">
        <v>2.9704430000000001E-3</v>
      </c>
      <c r="H52" s="142"/>
    </row>
    <row r="53" spans="1:8" x14ac:dyDescent="0.2">
      <c r="A53" s="3">
        <v>47</v>
      </c>
      <c r="B53" s="4" t="s">
        <v>590</v>
      </c>
      <c r="C53" s="4" t="s">
        <v>591</v>
      </c>
      <c r="D53" s="4" t="s">
        <v>1030</v>
      </c>
      <c r="E53" s="5">
        <v>44670</v>
      </c>
      <c r="F53" s="6">
        <v>322.69607999999999</v>
      </c>
      <c r="G53" s="138">
        <v>2.512715E-3</v>
      </c>
      <c r="H53" s="142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9">
        <v>125255.592682</v>
      </c>
      <c r="G54" s="139">
        <v>0.97531886300000004</v>
      </c>
      <c r="H54" s="142"/>
    </row>
    <row r="55" spans="1:8" x14ac:dyDescent="0.2">
      <c r="A55" s="1"/>
      <c r="B55" s="1"/>
      <c r="C55" s="11"/>
      <c r="D55" s="1"/>
      <c r="E55" s="1"/>
      <c r="F55" s="12"/>
      <c r="G55" s="140"/>
      <c r="H55" s="142"/>
    </row>
    <row r="56" spans="1:8" x14ac:dyDescent="0.2">
      <c r="A56" s="1"/>
      <c r="B56" s="1"/>
      <c r="C56" s="2" t="s">
        <v>107</v>
      </c>
      <c r="D56" s="1"/>
      <c r="E56" s="1"/>
      <c r="F56" s="1"/>
      <c r="G56" s="137"/>
      <c r="H56" s="14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1">
        <v>0</v>
      </c>
      <c r="H57" s="142"/>
    </row>
    <row r="58" spans="1:8" x14ac:dyDescent="0.2">
      <c r="A58" s="1"/>
      <c r="B58" s="1"/>
      <c r="C58" s="11"/>
      <c r="D58" s="1"/>
      <c r="E58" s="1"/>
      <c r="F58" s="12"/>
      <c r="G58" s="140"/>
      <c r="H58" s="142"/>
    </row>
    <row r="59" spans="1:8" x14ac:dyDescent="0.2">
      <c r="A59" s="1"/>
      <c r="B59" s="1"/>
      <c r="C59" s="2" t="s">
        <v>108</v>
      </c>
      <c r="D59" s="1"/>
      <c r="E59" s="1"/>
      <c r="F59" s="1"/>
      <c r="G59" s="137"/>
      <c r="H59" s="14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1">
        <v>0</v>
      </c>
      <c r="H60" s="142"/>
    </row>
    <row r="61" spans="1:8" x14ac:dyDescent="0.2">
      <c r="A61" s="1"/>
      <c r="B61" s="1"/>
      <c r="C61" s="11"/>
      <c r="D61" s="1"/>
      <c r="E61" s="1"/>
      <c r="F61" s="12"/>
      <c r="G61" s="140"/>
      <c r="H61" s="142"/>
    </row>
    <row r="62" spans="1:8" x14ac:dyDescent="0.2">
      <c r="A62" s="1"/>
      <c r="B62" s="1"/>
      <c r="C62" s="2" t="s">
        <v>109</v>
      </c>
      <c r="D62" s="1"/>
      <c r="E62" s="1"/>
      <c r="F62" s="1"/>
      <c r="G62" s="137"/>
      <c r="H62" s="142"/>
    </row>
    <row r="63" spans="1:8" x14ac:dyDescent="0.2">
      <c r="A63" s="3">
        <v>1</v>
      </c>
      <c r="B63" s="4" t="s">
        <v>110</v>
      </c>
      <c r="C63" s="4" t="s">
        <v>996</v>
      </c>
      <c r="D63" s="4" t="s">
        <v>19</v>
      </c>
      <c r="E63" s="5">
        <v>29219</v>
      </c>
      <c r="F63" s="6">
        <v>44.792726999999999</v>
      </c>
      <c r="G63" s="138">
        <v>3.4878399999999999E-4</v>
      </c>
      <c r="H63" s="142"/>
    </row>
    <row r="64" spans="1:8" x14ac:dyDescent="0.2">
      <c r="A64" s="1"/>
      <c r="B64" s="1"/>
      <c r="C64" s="2" t="s">
        <v>105</v>
      </c>
      <c r="D64" s="1"/>
      <c r="E64" s="1" t="s">
        <v>106</v>
      </c>
      <c r="F64" s="9">
        <v>44.792726999999999</v>
      </c>
      <c r="G64" s="139">
        <v>3.4878399999999999E-4</v>
      </c>
      <c r="H64" s="142"/>
    </row>
    <row r="65" spans="1:8" x14ac:dyDescent="0.2">
      <c r="A65" s="1"/>
      <c r="B65" s="1"/>
      <c r="C65" s="11"/>
      <c r="D65" s="1"/>
      <c r="E65" s="1"/>
      <c r="F65" s="12"/>
      <c r="G65" s="140"/>
      <c r="H65" s="142"/>
    </row>
    <row r="66" spans="1:8" x14ac:dyDescent="0.2">
      <c r="A66" s="1"/>
      <c r="B66" s="1"/>
      <c r="C66" s="2" t="s">
        <v>111</v>
      </c>
      <c r="D66" s="1"/>
      <c r="E66" s="1"/>
      <c r="F66" s="12"/>
      <c r="G66" s="140"/>
      <c r="H66" s="142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1">
        <v>0</v>
      </c>
      <c r="H67" s="142"/>
    </row>
    <row r="68" spans="1:8" x14ac:dyDescent="0.2">
      <c r="A68" s="1"/>
      <c r="B68" s="1"/>
      <c r="C68" s="11"/>
      <c r="D68" s="1"/>
      <c r="E68" s="1"/>
      <c r="F68" s="12"/>
      <c r="G68" s="140"/>
      <c r="H68" s="142"/>
    </row>
    <row r="69" spans="1:8" x14ac:dyDescent="0.2">
      <c r="A69" s="1"/>
      <c r="B69" s="1"/>
      <c r="C69" s="2" t="s">
        <v>112</v>
      </c>
      <c r="D69" s="1"/>
      <c r="E69" s="1"/>
      <c r="F69" s="12"/>
      <c r="G69" s="140"/>
      <c r="H69" s="14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1">
        <v>0</v>
      </c>
      <c r="H70" s="142"/>
    </row>
    <row r="71" spans="1:8" x14ac:dyDescent="0.2">
      <c r="A71" s="1"/>
      <c r="B71" s="1"/>
      <c r="C71" s="11"/>
      <c r="D71" s="1"/>
      <c r="E71" s="1"/>
      <c r="F71" s="12"/>
      <c r="G71" s="140"/>
      <c r="H71" s="142"/>
    </row>
    <row r="72" spans="1:8" x14ac:dyDescent="0.2">
      <c r="A72" s="1"/>
      <c r="B72" s="1"/>
      <c r="C72" s="2" t="s">
        <v>113</v>
      </c>
      <c r="D72" s="1"/>
      <c r="E72" s="1"/>
      <c r="F72" s="9">
        <v>125300.38540899999</v>
      </c>
      <c r="G72" s="139">
        <v>0.97566764699999997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114</v>
      </c>
      <c r="D74" s="1"/>
      <c r="E74" s="1"/>
      <c r="F74" s="12"/>
      <c r="G74" s="140"/>
      <c r="H74" s="142"/>
    </row>
    <row r="75" spans="1:8" ht="25.5" x14ac:dyDescent="0.2">
      <c r="A75" s="1"/>
      <c r="B75" s="1"/>
      <c r="C75" s="2" t="s">
        <v>10</v>
      </c>
      <c r="D75" s="1"/>
      <c r="E75" s="1"/>
      <c r="F75" s="12"/>
      <c r="G75" s="140"/>
      <c r="H75" s="14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1">
        <v>0</v>
      </c>
      <c r="H76" s="142"/>
    </row>
    <row r="77" spans="1:8" x14ac:dyDescent="0.2">
      <c r="A77" s="1"/>
      <c r="B77" s="1"/>
      <c r="C77" s="11"/>
      <c r="D77" s="1"/>
      <c r="E77" s="1"/>
      <c r="F77" s="12"/>
      <c r="G77" s="140"/>
      <c r="H77" s="142"/>
    </row>
    <row r="78" spans="1:8" x14ac:dyDescent="0.2">
      <c r="A78" s="1"/>
      <c r="B78" s="1"/>
      <c r="C78" s="2" t="s">
        <v>115</v>
      </c>
      <c r="D78" s="1"/>
      <c r="E78" s="1"/>
      <c r="F78" s="1"/>
      <c r="G78" s="137"/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1">
        <v>0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116</v>
      </c>
      <c r="D81" s="1"/>
      <c r="E81" s="1"/>
      <c r="F81" s="1"/>
      <c r="G81" s="137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117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118</v>
      </c>
      <c r="D87" s="1"/>
      <c r="E87" s="1"/>
      <c r="F87" s="9">
        <v>0</v>
      </c>
      <c r="G87" s="139">
        <v>0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119</v>
      </c>
      <c r="D89" s="1"/>
      <c r="E89" s="1"/>
      <c r="F89" s="12"/>
      <c r="G89" s="140"/>
      <c r="H89" s="142"/>
    </row>
    <row r="90" spans="1:8" x14ac:dyDescent="0.2">
      <c r="A90" s="1"/>
      <c r="B90" s="1"/>
      <c r="C90" s="2" t="s">
        <v>120</v>
      </c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121</v>
      </c>
      <c r="D93" s="1"/>
      <c r="E93" s="1"/>
      <c r="F93" s="12"/>
      <c r="G93" s="140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122</v>
      </c>
      <c r="D96" s="1"/>
      <c r="E96" s="1"/>
      <c r="F96" s="12"/>
      <c r="G96" s="140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123</v>
      </c>
      <c r="D99" s="1"/>
      <c r="E99" s="1"/>
      <c r="F99" s="12"/>
      <c r="G99" s="140"/>
      <c r="H99" s="142"/>
    </row>
    <row r="100" spans="1:8" x14ac:dyDescent="0.2">
      <c r="A100" s="3">
        <v>1</v>
      </c>
      <c r="B100" s="4"/>
      <c r="C100" s="4" t="s">
        <v>124</v>
      </c>
      <c r="D100" s="4"/>
      <c r="E100" s="8"/>
      <c r="F100" s="6">
        <v>2720.1927925</v>
      </c>
      <c r="G100" s="138">
        <v>2.1181133000000001E-2</v>
      </c>
      <c r="H100" s="152">
        <v>3.3197683930276081</v>
      </c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9">
        <v>2720.1927925</v>
      </c>
      <c r="G101" s="139">
        <v>2.1181133000000001E-2</v>
      </c>
      <c r="H101" s="142"/>
    </row>
    <row r="102" spans="1:8" x14ac:dyDescent="0.2">
      <c r="A102" s="1"/>
      <c r="B102" s="1"/>
      <c r="C102" s="11"/>
      <c r="D102" s="1"/>
      <c r="E102" s="1"/>
      <c r="F102" s="12"/>
      <c r="G102" s="140"/>
      <c r="H102" s="142"/>
    </row>
    <row r="103" spans="1:8" x14ac:dyDescent="0.2">
      <c r="A103" s="1"/>
      <c r="B103" s="1"/>
      <c r="C103" s="2" t="s">
        <v>125</v>
      </c>
      <c r="D103" s="1"/>
      <c r="E103" s="1"/>
      <c r="F103" s="9">
        <v>2720.1927925</v>
      </c>
      <c r="G103" s="139">
        <v>2.1181133000000001E-2</v>
      </c>
      <c r="H103" s="142"/>
    </row>
    <row r="104" spans="1:8" x14ac:dyDescent="0.2">
      <c r="A104" s="1"/>
      <c r="B104" s="1"/>
      <c r="C104" s="12"/>
      <c r="D104" s="1"/>
      <c r="E104" s="1"/>
      <c r="F104" s="1"/>
      <c r="G104" s="137"/>
      <c r="H104" s="142"/>
    </row>
    <row r="105" spans="1:8" x14ac:dyDescent="0.2">
      <c r="A105" s="1"/>
      <c r="B105" s="1"/>
      <c r="C105" s="2" t="s">
        <v>126</v>
      </c>
      <c r="D105" s="1"/>
      <c r="E105" s="1"/>
      <c r="F105" s="1"/>
      <c r="G105" s="137"/>
      <c r="H105" s="142"/>
    </row>
    <row r="106" spans="1:8" x14ac:dyDescent="0.2">
      <c r="A106" s="1"/>
      <c r="B106" s="1"/>
      <c r="C106" s="2" t="s">
        <v>127</v>
      </c>
      <c r="D106" s="1"/>
      <c r="E106" s="1"/>
      <c r="F106" s="1"/>
      <c r="G106" s="137"/>
      <c r="H106" s="142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1">
        <v>0</v>
      </c>
      <c r="H107" s="142"/>
    </row>
    <row r="108" spans="1:8" x14ac:dyDescent="0.2">
      <c r="A108" s="1"/>
      <c r="B108" s="1"/>
      <c r="C108" s="11"/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128</v>
      </c>
      <c r="D109" s="1"/>
      <c r="E109" s="1"/>
      <c r="F109" s="1"/>
      <c r="G109" s="137"/>
      <c r="H109" s="142"/>
    </row>
    <row r="110" spans="1:8" x14ac:dyDescent="0.2">
      <c r="A110" s="1"/>
      <c r="B110" s="1"/>
      <c r="C110" s="2" t="s">
        <v>129</v>
      </c>
      <c r="D110" s="1"/>
      <c r="E110" s="1"/>
      <c r="F110" s="1"/>
      <c r="G110" s="137"/>
      <c r="H110" s="142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1">
        <v>0</v>
      </c>
      <c r="H111" s="142"/>
    </row>
    <row r="112" spans="1:8" x14ac:dyDescent="0.2">
      <c r="A112" s="1"/>
      <c r="B112" s="1"/>
      <c r="C112" s="11"/>
      <c r="D112" s="1"/>
      <c r="E112" s="1"/>
      <c r="F112" s="12"/>
      <c r="G112" s="140"/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ht="25.5" x14ac:dyDescent="0.2">
      <c r="A114" s="1"/>
      <c r="B114" s="1"/>
      <c r="C114" s="2" t="s">
        <v>130</v>
      </c>
      <c r="D114" s="1"/>
      <c r="E114" s="1"/>
      <c r="F114" s="12"/>
      <c r="G114" s="140"/>
      <c r="H114" s="142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1">
        <v>0</v>
      </c>
      <c r="H115" s="142"/>
    </row>
    <row r="116" spans="1:8" x14ac:dyDescent="0.2">
      <c r="A116" s="1"/>
      <c r="B116" s="1"/>
      <c r="C116" s="11"/>
      <c r="D116" s="1"/>
      <c r="E116" s="1"/>
      <c r="F116" s="12"/>
      <c r="G116" s="140"/>
      <c r="H116" s="142"/>
    </row>
    <row r="117" spans="1:8" x14ac:dyDescent="0.2">
      <c r="A117" s="1"/>
      <c r="B117" s="4"/>
      <c r="C117" s="4"/>
      <c r="D117" s="2"/>
      <c r="E117" s="1"/>
      <c r="F117" s="4"/>
      <c r="G117" s="143"/>
      <c r="H117" s="142"/>
    </row>
    <row r="118" spans="1:8" x14ac:dyDescent="0.2">
      <c r="A118" s="8"/>
      <c r="B118" s="4"/>
      <c r="C118" s="4" t="s">
        <v>131</v>
      </c>
      <c r="D118" s="4"/>
      <c r="E118" s="8"/>
      <c r="F118" s="6">
        <v>404.69566439000482</v>
      </c>
      <c r="G118" s="138">
        <v>3.1512151168360696E-3</v>
      </c>
      <c r="H118" s="142"/>
    </row>
    <row r="119" spans="1:8" x14ac:dyDescent="0.2">
      <c r="A119" s="11"/>
      <c r="B119" s="11"/>
      <c r="C119" s="2" t="s">
        <v>132</v>
      </c>
      <c r="D119" s="15"/>
      <c r="E119" s="15"/>
      <c r="F119" s="9">
        <v>128425.27386589001</v>
      </c>
      <c r="G119" s="139">
        <v>0.99999999511683602</v>
      </c>
      <c r="H119" s="142"/>
    </row>
    <row r="120" spans="1:8" ht="14.1" customHeight="1" x14ac:dyDescent="0.2">
      <c r="A120" s="16"/>
      <c r="B120" s="16"/>
      <c r="C120" s="16"/>
      <c r="D120" s="17"/>
      <c r="E120" s="17"/>
    </row>
    <row r="121" spans="1:8" ht="14.1" customHeight="1" x14ac:dyDescent="0.2">
      <c r="A121" s="18"/>
      <c r="B121" s="205" t="s">
        <v>106</v>
      </c>
      <c r="C121" s="205"/>
      <c r="D121" s="205"/>
      <c r="E121" s="205"/>
      <c r="F121" s="205"/>
      <c r="G121" s="20"/>
    </row>
    <row r="122" spans="1:8" ht="14.1" customHeight="1" x14ac:dyDescent="0.2">
      <c r="A122" s="18"/>
      <c r="B122" s="205" t="s">
        <v>106</v>
      </c>
      <c r="C122" s="205"/>
      <c r="D122" s="205"/>
      <c r="E122" s="205"/>
      <c r="F122" s="205"/>
      <c r="G122" s="20"/>
    </row>
    <row r="123" spans="1:8" ht="14.1" customHeight="1" x14ac:dyDescent="0.2">
      <c r="A123" s="18"/>
      <c r="B123" s="18"/>
      <c r="C123" s="18"/>
      <c r="D123" s="20"/>
      <c r="E123" s="20"/>
      <c r="F123" s="20"/>
      <c r="G123" s="20"/>
    </row>
    <row r="124" spans="1:8" ht="14.1" customHeight="1" x14ac:dyDescent="0.2">
      <c r="A124" s="18"/>
      <c r="B124" s="203" t="s">
        <v>134</v>
      </c>
      <c r="C124" s="204"/>
      <c r="D124" s="12" t="s">
        <v>106</v>
      </c>
      <c r="E124" s="21"/>
      <c r="F124" s="20"/>
      <c r="G124" s="20"/>
    </row>
    <row r="125" spans="1:8" ht="29.1" customHeight="1" x14ac:dyDescent="0.2">
      <c r="A125" s="18"/>
      <c r="B125" s="199" t="s">
        <v>135</v>
      </c>
      <c r="C125" s="200"/>
      <c r="D125" s="2" t="s">
        <v>136</v>
      </c>
      <c r="E125" s="21"/>
      <c r="F125" s="20"/>
      <c r="G125" s="20"/>
    </row>
    <row r="126" spans="1:8" ht="17.100000000000001" customHeight="1" x14ac:dyDescent="0.2">
      <c r="A126" s="18"/>
      <c r="B126" s="199" t="s">
        <v>137</v>
      </c>
      <c r="C126" s="200"/>
      <c r="D126" s="2" t="s">
        <v>136</v>
      </c>
      <c r="E126" s="21"/>
      <c r="F126" s="20"/>
      <c r="G126" s="20"/>
    </row>
    <row r="127" spans="1:8" ht="17.100000000000001" customHeight="1" x14ac:dyDescent="0.2">
      <c r="A127" s="18"/>
      <c r="B127" s="199" t="s">
        <v>138</v>
      </c>
      <c r="C127" s="200"/>
      <c r="D127" s="12" t="s">
        <v>106</v>
      </c>
      <c r="E127" s="21"/>
      <c r="F127" s="20"/>
      <c r="G127" s="20"/>
    </row>
    <row r="128" spans="1:8" ht="24" customHeight="1" x14ac:dyDescent="0.2">
      <c r="A128" s="22"/>
      <c r="B128" s="23" t="s">
        <v>106</v>
      </c>
      <c r="C128" s="23" t="s">
        <v>139</v>
      </c>
      <c r="D128" s="23" t="s">
        <v>140</v>
      </c>
      <c r="E128" s="22"/>
      <c r="F128" s="22"/>
      <c r="G128" s="22"/>
    </row>
    <row r="129" spans="1:7" ht="18" customHeight="1" x14ac:dyDescent="0.2">
      <c r="A129" s="22"/>
      <c r="B129" s="23" t="s">
        <v>141</v>
      </c>
      <c r="C129" s="23" t="s">
        <v>142</v>
      </c>
      <c r="D129" s="23" t="s">
        <v>143</v>
      </c>
      <c r="E129" s="22"/>
      <c r="F129" s="22"/>
      <c r="G129" s="22"/>
    </row>
    <row r="130" spans="1:7" ht="17.100000000000001" customHeight="1" x14ac:dyDescent="0.2">
      <c r="A130" s="22"/>
      <c r="B130" s="4" t="s">
        <v>144</v>
      </c>
      <c r="C130" s="24">
        <v>15.0025</v>
      </c>
      <c r="D130" s="24">
        <v>15.232100000000001</v>
      </c>
      <c r="E130" s="22"/>
      <c r="F130" s="19"/>
      <c r="G130" s="25"/>
    </row>
    <row r="131" spans="1:7" ht="17.100000000000001" customHeight="1" x14ac:dyDescent="0.2">
      <c r="A131" s="22"/>
      <c r="B131" s="4" t="s">
        <v>1019</v>
      </c>
      <c r="C131" s="24">
        <v>15.0009</v>
      </c>
      <c r="D131" s="24">
        <v>15.230499999999999</v>
      </c>
      <c r="E131" s="22"/>
      <c r="F131" s="19"/>
      <c r="G131" s="25"/>
    </row>
    <row r="132" spans="1:7" ht="17.100000000000001" customHeight="1" x14ac:dyDescent="0.2">
      <c r="A132" s="22"/>
      <c r="B132" s="4" t="s">
        <v>145</v>
      </c>
      <c r="C132" s="24">
        <v>14.739599999999999</v>
      </c>
      <c r="D132" s="24">
        <v>14.9412</v>
      </c>
      <c r="E132" s="22"/>
      <c r="F132" s="19"/>
      <c r="G132" s="25"/>
    </row>
    <row r="133" spans="1:7" ht="17.100000000000001" customHeight="1" x14ac:dyDescent="0.2">
      <c r="A133" s="22"/>
      <c r="B133" s="4" t="s">
        <v>1020</v>
      </c>
      <c r="C133" s="24">
        <v>14.7393</v>
      </c>
      <c r="D133" s="24">
        <v>14.940899999999999</v>
      </c>
      <c r="E133" s="22"/>
      <c r="F133" s="19"/>
      <c r="G133" s="25"/>
    </row>
    <row r="134" spans="1:7" ht="14.1" customHeight="1" x14ac:dyDescent="0.2">
      <c r="A134" s="22"/>
      <c r="B134" s="22"/>
      <c r="C134" s="22"/>
      <c r="D134" s="22"/>
      <c r="E134" s="22"/>
      <c r="F134" s="22"/>
      <c r="G134" s="22"/>
    </row>
    <row r="135" spans="1:7" ht="17.100000000000001" customHeight="1" x14ac:dyDescent="0.2">
      <c r="A135" s="22"/>
      <c r="B135" s="199" t="s">
        <v>1021</v>
      </c>
      <c r="C135" s="200"/>
      <c r="D135" s="2" t="s">
        <v>136</v>
      </c>
      <c r="E135" s="22"/>
      <c r="F135" s="22"/>
      <c r="G135" s="22"/>
    </row>
    <row r="136" spans="1:7" ht="18" customHeight="1" x14ac:dyDescent="0.2">
      <c r="A136" s="22"/>
      <c r="B136" s="26"/>
      <c r="C136" s="26"/>
      <c r="D136" s="27"/>
      <c r="E136" s="22"/>
      <c r="F136" s="22"/>
      <c r="G136" s="22"/>
    </row>
    <row r="137" spans="1:7" s="125" customFormat="1" x14ac:dyDescent="0.2">
      <c r="B137" s="201" t="s">
        <v>825</v>
      </c>
      <c r="C137" s="201"/>
      <c r="D137" s="201"/>
      <c r="E137" s="201"/>
      <c r="F137" s="201"/>
    </row>
    <row r="138" spans="1:7" ht="14.1" customHeight="1" x14ac:dyDescent="0.2">
      <c r="A138" s="22"/>
      <c r="B138" s="19"/>
      <c r="C138" s="19"/>
      <c r="D138" s="22"/>
      <c r="E138" s="22"/>
      <c r="F138" s="22"/>
      <c r="G138" s="22"/>
    </row>
    <row r="139" spans="1:7" ht="29.1" customHeight="1" x14ac:dyDescent="0.2">
      <c r="A139" s="22"/>
      <c r="B139" s="199" t="s">
        <v>146</v>
      </c>
      <c r="C139" s="200"/>
      <c r="D139" s="2" t="s">
        <v>136</v>
      </c>
      <c r="E139" s="22"/>
      <c r="F139" s="22"/>
      <c r="G139" s="22"/>
    </row>
    <row r="140" spans="1:7" ht="29.1" customHeight="1" x14ac:dyDescent="0.2">
      <c r="A140" s="22"/>
      <c r="B140" s="199" t="s">
        <v>147</v>
      </c>
      <c r="C140" s="200"/>
      <c r="D140" s="2" t="s">
        <v>136</v>
      </c>
      <c r="E140" s="22"/>
      <c r="F140" s="22"/>
      <c r="G140" s="22"/>
    </row>
    <row r="141" spans="1:7" ht="17.100000000000001" customHeight="1" x14ac:dyDescent="0.2">
      <c r="A141" s="22"/>
      <c r="B141" s="199" t="s">
        <v>148</v>
      </c>
      <c r="C141" s="200"/>
      <c r="D141" s="28">
        <v>0.82741948285484357</v>
      </c>
      <c r="E141" s="22"/>
      <c r="F141" s="19"/>
      <c r="G141" s="25"/>
    </row>
    <row r="142" spans="1:7" ht="17.100000000000001" customHeight="1" x14ac:dyDescent="0.2">
      <c r="A142" s="22"/>
      <c r="B142" s="199" t="s">
        <v>149</v>
      </c>
      <c r="C142" s="200"/>
      <c r="D142" s="2" t="s">
        <v>136</v>
      </c>
      <c r="E142" s="22"/>
      <c r="F142" s="22"/>
      <c r="G142" s="22"/>
    </row>
    <row r="144" spans="1:7" x14ac:dyDescent="0.2">
      <c r="B144" s="164" t="s">
        <v>1051</v>
      </c>
    </row>
    <row r="146" spans="2:6" x14ac:dyDescent="0.2">
      <c r="B146" s="164" t="s">
        <v>1052</v>
      </c>
    </row>
    <row r="147" spans="2:6" x14ac:dyDescent="0.2">
      <c r="B147" s="164"/>
    </row>
    <row r="148" spans="2:6" x14ac:dyDescent="0.2">
      <c r="B148" s="164" t="s">
        <v>1065</v>
      </c>
    </row>
    <row r="149" spans="2:6" ht="63.75" x14ac:dyDescent="0.2">
      <c r="B149" s="165" t="s">
        <v>1056</v>
      </c>
      <c r="C149" s="165" t="s">
        <v>1066</v>
      </c>
      <c r="D149" s="165" t="s">
        <v>1067</v>
      </c>
      <c r="E149" s="165" t="s">
        <v>1068</v>
      </c>
      <c r="F149" s="165" t="s">
        <v>1069</v>
      </c>
    </row>
    <row r="150" spans="2:6" x14ac:dyDescent="0.2">
      <c r="B150" s="167">
        <v>225</v>
      </c>
      <c r="C150" s="167">
        <v>225</v>
      </c>
      <c r="D150" s="169">
        <v>1868.9585999999999</v>
      </c>
      <c r="E150" s="169">
        <v>1845.4069999999999</v>
      </c>
      <c r="F150" s="170">
        <v>-23.551600000000008</v>
      </c>
    </row>
    <row r="151" spans="2:6" x14ac:dyDescent="0.2">
      <c r="B151" s="173"/>
      <c r="C151" s="173"/>
      <c r="D151" s="173"/>
      <c r="E151" s="173"/>
      <c r="F151" s="173"/>
    </row>
    <row r="152" spans="2:6" x14ac:dyDescent="0.2">
      <c r="B152" s="164" t="s">
        <v>1054</v>
      </c>
    </row>
    <row r="153" spans="2:6" x14ac:dyDescent="0.2">
      <c r="B153" s="164"/>
    </row>
    <row r="154" spans="2:6" x14ac:dyDescent="0.2">
      <c r="B154" s="164" t="s">
        <v>1055</v>
      </c>
    </row>
    <row r="155" spans="2:6" ht="63.75" x14ac:dyDescent="0.2">
      <c r="B155" s="165" t="s">
        <v>1056</v>
      </c>
      <c r="C155" s="165" t="s">
        <v>1066</v>
      </c>
      <c r="D155" s="165" t="s">
        <v>1067</v>
      </c>
      <c r="E155" s="165" t="s">
        <v>1072</v>
      </c>
      <c r="F155" s="165" t="s">
        <v>1071</v>
      </c>
    </row>
    <row r="156" spans="2:6" x14ac:dyDescent="0.2">
      <c r="B156" s="168">
        <v>750</v>
      </c>
      <c r="C156" s="168">
        <v>750</v>
      </c>
      <c r="D156" s="171">
        <v>6056.4710035999997</v>
      </c>
      <c r="E156" s="171">
        <v>6149.1169</v>
      </c>
      <c r="F156" s="172">
        <v>92.645896400000311</v>
      </c>
    </row>
    <row r="157" spans="2:6" x14ac:dyDescent="0.2">
      <c r="B157" s="164"/>
    </row>
    <row r="158" spans="2:6" x14ac:dyDescent="0.2">
      <c r="B158" s="164" t="s">
        <v>1057</v>
      </c>
    </row>
    <row r="159" spans="2:6" x14ac:dyDescent="0.2">
      <c r="B159" s="164"/>
    </row>
    <row r="160" spans="2:6" x14ac:dyDescent="0.2">
      <c r="B160" s="164" t="s">
        <v>1058</v>
      </c>
    </row>
    <row r="161" spans="2:2" x14ac:dyDescent="0.2">
      <c r="B161" s="164"/>
    </row>
    <row r="162" spans="2:2" x14ac:dyDescent="0.2">
      <c r="B162" s="164" t="s">
        <v>1059</v>
      </c>
    </row>
    <row r="163" spans="2:2" x14ac:dyDescent="0.2">
      <c r="B163" s="164"/>
    </row>
    <row r="164" spans="2:2" x14ac:dyDescent="0.2">
      <c r="B164" s="164" t="s">
        <v>1060</v>
      </c>
    </row>
    <row r="165" spans="2:2" x14ac:dyDescent="0.2">
      <c r="B165" s="164"/>
    </row>
    <row r="166" spans="2:2" x14ac:dyDescent="0.2">
      <c r="B166" s="164" t="s">
        <v>1061</v>
      </c>
    </row>
    <row r="167" spans="2:2" x14ac:dyDescent="0.2">
      <c r="B167" s="164"/>
    </row>
    <row r="168" spans="2:2" x14ac:dyDescent="0.2">
      <c r="B168" s="164" t="s">
        <v>1062</v>
      </c>
    </row>
    <row r="170" spans="2:2" x14ac:dyDescent="0.2">
      <c r="B170" s="164" t="s">
        <v>1063</v>
      </c>
    </row>
    <row r="172" spans="2:2" x14ac:dyDescent="0.2">
      <c r="B172" s="164" t="s">
        <v>1064</v>
      </c>
    </row>
  </sheetData>
  <mergeCells count="16">
    <mergeCell ref="J2:N2"/>
    <mergeCell ref="B124:C124"/>
    <mergeCell ref="B121:F121"/>
    <mergeCell ref="B122:F122"/>
    <mergeCell ref="A1:H1"/>
    <mergeCell ref="A2:H2"/>
    <mergeCell ref="A3:H3"/>
    <mergeCell ref="B141:C141"/>
    <mergeCell ref="B142:C142"/>
    <mergeCell ref="B125:C125"/>
    <mergeCell ref="B126:C126"/>
    <mergeCell ref="B127:C127"/>
    <mergeCell ref="B135:C135"/>
    <mergeCell ref="B139:C139"/>
    <mergeCell ref="B140:C140"/>
    <mergeCell ref="B137:F13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N185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710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42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42"/>
    </row>
    <row r="7" spans="1:14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139057</v>
      </c>
      <c r="F7" s="6">
        <v>3503.1934725000001</v>
      </c>
      <c r="G7" s="138">
        <v>4.2277147000000001E-2</v>
      </c>
      <c r="H7" s="142"/>
    </row>
    <row r="8" spans="1:14" x14ac:dyDescent="0.2">
      <c r="A8" s="3">
        <v>2</v>
      </c>
      <c r="B8" s="4" t="s">
        <v>408</v>
      </c>
      <c r="C8" s="4" t="s">
        <v>409</v>
      </c>
      <c r="D8" s="4" t="s">
        <v>24</v>
      </c>
      <c r="E8" s="5">
        <v>186608</v>
      </c>
      <c r="F8" s="6">
        <v>2976.3042959999998</v>
      </c>
      <c r="G8" s="138">
        <v>3.5918556999999997E-2</v>
      </c>
      <c r="H8" s="142"/>
    </row>
    <row r="9" spans="1:14" x14ac:dyDescent="0.2">
      <c r="A9" s="3">
        <v>3</v>
      </c>
      <c r="B9" s="4" t="s">
        <v>410</v>
      </c>
      <c r="C9" s="4" t="s">
        <v>411</v>
      </c>
      <c r="D9" s="4" t="s">
        <v>164</v>
      </c>
      <c r="E9" s="5">
        <v>172983</v>
      </c>
      <c r="F9" s="6">
        <v>2897.8112160000001</v>
      </c>
      <c r="G9" s="138">
        <v>3.4971289000000003E-2</v>
      </c>
      <c r="H9" s="142"/>
    </row>
    <row r="10" spans="1:14" x14ac:dyDescent="0.2">
      <c r="A10" s="3">
        <v>4</v>
      </c>
      <c r="B10" s="4" t="s">
        <v>307</v>
      </c>
      <c r="C10" s="4" t="s">
        <v>934</v>
      </c>
      <c r="D10" s="4" t="s">
        <v>164</v>
      </c>
      <c r="E10" s="5">
        <v>68000</v>
      </c>
      <c r="F10" s="6">
        <v>2856.0680000000002</v>
      </c>
      <c r="G10" s="138">
        <v>3.4467523999999999E-2</v>
      </c>
      <c r="H10" s="142"/>
    </row>
    <row r="11" spans="1:14" x14ac:dyDescent="0.2">
      <c r="A11" s="3">
        <v>5</v>
      </c>
      <c r="B11" s="4" t="s">
        <v>22</v>
      </c>
      <c r="C11" s="4" t="s">
        <v>23</v>
      </c>
      <c r="D11" s="4" t="s">
        <v>24</v>
      </c>
      <c r="E11" s="5">
        <v>377738</v>
      </c>
      <c r="F11" s="6">
        <v>2647.376773</v>
      </c>
      <c r="G11" s="138">
        <v>3.1949001999999997E-2</v>
      </c>
      <c r="H11" s="142"/>
    </row>
    <row r="12" spans="1:14" ht="25.5" x14ac:dyDescent="0.2">
      <c r="A12" s="3">
        <v>6</v>
      </c>
      <c r="B12" s="4" t="s">
        <v>412</v>
      </c>
      <c r="C12" s="4" t="s">
        <v>413</v>
      </c>
      <c r="D12" s="4" t="s">
        <v>80</v>
      </c>
      <c r="E12" s="5">
        <v>94000</v>
      </c>
      <c r="F12" s="6">
        <v>2589.0419999999999</v>
      </c>
      <c r="G12" s="138">
        <v>3.1245008000000001E-2</v>
      </c>
      <c r="H12" s="142"/>
    </row>
    <row r="13" spans="1:14" x14ac:dyDescent="0.2">
      <c r="A13" s="3">
        <v>7</v>
      </c>
      <c r="B13" s="4" t="s">
        <v>336</v>
      </c>
      <c r="C13" s="4" t="s">
        <v>337</v>
      </c>
      <c r="D13" s="4" t="s">
        <v>24</v>
      </c>
      <c r="E13" s="5">
        <v>319543</v>
      </c>
      <c r="F13" s="6">
        <v>2449.4568665000002</v>
      </c>
      <c r="G13" s="138">
        <v>2.9560471000000001E-2</v>
      </c>
      <c r="H13" s="142"/>
    </row>
    <row r="14" spans="1:14" x14ac:dyDescent="0.2">
      <c r="A14" s="3">
        <v>8</v>
      </c>
      <c r="B14" s="4" t="s">
        <v>151</v>
      </c>
      <c r="C14" s="4" t="s">
        <v>152</v>
      </c>
      <c r="D14" s="4" t="s">
        <v>153</v>
      </c>
      <c r="E14" s="5">
        <v>62205</v>
      </c>
      <c r="F14" s="6">
        <v>2292.0987375</v>
      </c>
      <c r="G14" s="138">
        <v>2.7661445E-2</v>
      </c>
      <c r="H14" s="142"/>
    </row>
    <row r="15" spans="1:14" ht="15" x14ac:dyDescent="0.2">
      <c r="A15" s="3">
        <v>9</v>
      </c>
      <c r="B15" s="4" t="s">
        <v>17</v>
      </c>
      <c r="C15" s="4" t="s">
        <v>18</v>
      </c>
      <c r="D15" s="4" t="s">
        <v>19</v>
      </c>
      <c r="E15" s="5">
        <v>301200</v>
      </c>
      <c r="F15" s="6">
        <v>2073.1596</v>
      </c>
      <c r="G15" s="138">
        <v>2.501925E-2</v>
      </c>
      <c r="H15" s="142"/>
      <c r="J15" s="163" t="s">
        <v>1047</v>
      </c>
    </row>
    <row r="16" spans="1:14" ht="25.5" x14ac:dyDescent="0.2">
      <c r="A16" s="3">
        <v>10</v>
      </c>
      <c r="B16" s="4" t="s">
        <v>502</v>
      </c>
      <c r="C16" s="4" t="s">
        <v>503</v>
      </c>
      <c r="D16" s="4" t="s">
        <v>1023</v>
      </c>
      <c r="E16" s="5">
        <v>139340</v>
      </c>
      <c r="F16" s="6">
        <v>2000.5043800000001</v>
      </c>
      <c r="G16" s="138">
        <v>2.4142434000000001E-2</v>
      </c>
      <c r="H16" s="142"/>
    </row>
    <row r="17" spans="1:8" x14ac:dyDescent="0.2">
      <c r="A17" s="3">
        <v>11</v>
      </c>
      <c r="B17" s="4" t="s">
        <v>212</v>
      </c>
      <c r="C17" s="4" t="s">
        <v>213</v>
      </c>
      <c r="D17" s="4" t="s">
        <v>1027</v>
      </c>
      <c r="E17" s="5">
        <v>210048</v>
      </c>
      <c r="F17" s="6">
        <v>1924.4597759999999</v>
      </c>
      <c r="G17" s="138">
        <v>2.3224715E-2</v>
      </c>
      <c r="H17" s="142"/>
    </row>
    <row r="18" spans="1:8" x14ac:dyDescent="0.2">
      <c r="A18" s="3">
        <v>12</v>
      </c>
      <c r="B18" s="4" t="s">
        <v>414</v>
      </c>
      <c r="C18" s="4" t="s">
        <v>415</v>
      </c>
      <c r="D18" s="4" t="s">
        <v>24</v>
      </c>
      <c r="E18" s="5">
        <v>416666</v>
      </c>
      <c r="F18" s="6">
        <v>1887.4969799999999</v>
      </c>
      <c r="G18" s="138">
        <v>2.2778640999999999E-2</v>
      </c>
      <c r="H18" s="142"/>
    </row>
    <row r="19" spans="1:8" x14ac:dyDescent="0.2">
      <c r="A19" s="3">
        <v>13</v>
      </c>
      <c r="B19" s="4" t="s">
        <v>394</v>
      </c>
      <c r="C19" s="4" t="s">
        <v>395</v>
      </c>
      <c r="D19" s="4" t="s">
        <v>1030</v>
      </c>
      <c r="E19" s="5">
        <v>9583</v>
      </c>
      <c r="F19" s="6">
        <v>1704.5042524999999</v>
      </c>
      <c r="G19" s="138">
        <v>2.0570253E-2</v>
      </c>
      <c r="H19" s="142"/>
    </row>
    <row r="20" spans="1:8" x14ac:dyDescent="0.2">
      <c r="A20" s="3">
        <v>14</v>
      </c>
      <c r="B20" s="4" t="s">
        <v>449</v>
      </c>
      <c r="C20" s="4" t="s">
        <v>450</v>
      </c>
      <c r="D20" s="4" t="s">
        <v>80</v>
      </c>
      <c r="E20" s="5">
        <v>246529</v>
      </c>
      <c r="F20" s="6">
        <v>1696.7358425</v>
      </c>
      <c r="G20" s="138">
        <v>2.0476503E-2</v>
      </c>
      <c r="H20" s="142"/>
    </row>
    <row r="21" spans="1:8" x14ac:dyDescent="0.2">
      <c r="A21" s="3">
        <v>15</v>
      </c>
      <c r="B21" s="4" t="s">
        <v>420</v>
      </c>
      <c r="C21" s="4" t="s">
        <v>421</v>
      </c>
      <c r="D21" s="4" t="s">
        <v>164</v>
      </c>
      <c r="E21" s="5">
        <v>44649</v>
      </c>
      <c r="F21" s="6">
        <v>1685.7453195000001</v>
      </c>
      <c r="G21" s="138">
        <v>2.0343867000000002E-2</v>
      </c>
      <c r="H21" s="142"/>
    </row>
    <row r="22" spans="1:8" x14ac:dyDescent="0.2">
      <c r="A22" s="3">
        <v>16</v>
      </c>
      <c r="B22" s="4" t="s">
        <v>316</v>
      </c>
      <c r="C22" s="4" t="s">
        <v>317</v>
      </c>
      <c r="D22" s="4" t="s">
        <v>153</v>
      </c>
      <c r="E22" s="5">
        <v>14917</v>
      </c>
      <c r="F22" s="6">
        <v>1682.5033470000001</v>
      </c>
      <c r="G22" s="138">
        <v>2.0304742000000001E-2</v>
      </c>
      <c r="H22" s="142"/>
    </row>
    <row r="23" spans="1:8" x14ac:dyDescent="0.2">
      <c r="A23" s="3">
        <v>17</v>
      </c>
      <c r="B23" s="4" t="s">
        <v>11</v>
      </c>
      <c r="C23" s="4" t="s">
        <v>12</v>
      </c>
      <c r="D23" s="4" t="s">
        <v>13</v>
      </c>
      <c r="E23" s="5">
        <v>91037</v>
      </c>
      <c r="F23" s="6">
        <v>1550.3145915</v>
      </c>
      <c r="G23" s="138">
        <v>1.8709466000000001E-2</v>
      </c>
      <c r="H23" s="142"/>
    </row>
    <row r="24" spans="1:8" x14ac:dyDescent="0.2">
      <c r="A24" s="3">
        <v>18</v>
      </c>
      <c r="B24" s="4" t="s">
        <v>378</v>
      </c>
      <c r="C24" s="4" t="s">
        <v>379</v>
      </c>
      <c r="D24" s="4" t="s">
        <v>51</v>
      </c>
      <c r="E24" s="5">
        <v>2094345</v>
      </c>
      <c r="F24" s="6">
        <v>1526.777505</v>
      </c>
      <c r="G24" s="138">
        <v>1.8425416E-2</v>
      </c>
      <c r="H24" s="142"/>
    </row>
    <row r="25" spans="1:8" x14ac:dyDescent="0.2">
      <c r="A25" s="3">
        <v>19</v>
      </c>
      <c r="B25" s="4" t="s">
        <v>267</v>
      </c>
      <c r="C25" s="4" t="s">
        <v>268</v>
      </c>
      <c r="D25" s="4" t="s">
        <v>1024</v>
      </c>
      <c r="E25" s="5">
        <v>89854</v>
      </c>
      <c r="F25" s="6">
        <v>1490.3633709999999</v>
      </c>
      <c r="G25" s="138">
        <v>1.7985964E-2</v>
      </c>
      <c r="H25" s="142"/>
    </row>
    <row r="26" spans="1:8" x14ac:dyDescent="0.2">
      <c r="A26" s="3">
        <v>20</v>
      </c>
      <c r="B26" s="4" t="s">
        <v>265</v>
      </c>
      <c r="C26" s="4" t="s">
        <v>266</v>
      </c>
      <c r="D26" s="4" t="s">
        <v>59</v>
      </c>
      <c r="E26" s="5">
        <v>141941</v>
      </c>
      <c r="F26" s="6">
        <v>1468.0247925000001</v>
      </c>
      <c r="G26" s="138">
        <v>1.7716378000000001E-2</v>
      </c>
      <c r="H26" s="142"/>
    </row>
    <row r="27" spans="1:8" x14ac:dyDescent="0.2">
      <c r="A27" s="3">
        <v>21</v>
      </c>
      <c r="B27" s="4" t="s">
        <v>199</v>
      </c>
      <c r="C27" s="4" t="s">
        <v>200</v>
      </c>
      <c r="D27" s="4" t="s">
        <v>164</v>
      </c>
      <c r="E27" s="5">
        <v>135515</v>
      </c>
      <c r="F27" s="6">
        <v>1440.1856625</v>
      </c>
      <c r="G27" s="138">
        <v>1.7380410999999998E-2</v>
      </c>
      <c r="H27" s="142"/>
    </row>
    <row r="28" spans="1:8" x14ac:dyDescent="0.2">
      <c r="A28" s="3">
        <v>22</v>
      </c>
      <c r="B28" s="4" t="s">
        <v>25</v>
      </c>
      <c r="C28" s="4" t="s">
        <v>26</v>
      </c>
      <c r="D28" s="4" t="s">
        <v>27</v>
      </c>
      <c r="E28" s="5">
        <v>100996</v>
      </c>
      <c r="F28" s="6">
        <v>1386.321594</v>
      </c>
      <c r="G28" s="138">
        <v>1.6730370000000001E-2</v>
      </c>
      <c r="H28" s="142"/>
    </row>
    <row r="29" spans="1:8" ht="25.5" x14ac:dyDescent="0.2">
      <c r="A29" s="3">
        <v>23</v>
      </c>
      <c r="B29" s="4" t="s">
        <v>327</v>
      </c>
      <c r="C29" s="4" t="s">
        <v>328</v>
      </c>
      <c r="D29" s="4" t="s">
        <v>90</v>
      </c>
      <c r="E29" s="5">
        <v>237070</v>
      </c>
      <c r="F29" s="6">
        <v>1360.7818</v>
      </c>
      <c r="G29" s="138">
        <v>1.6422150999999999E-2</v>
      </c>
      <c r="H29" s="142"/>
    </row>
    <row r="30" spans="1:8" x14ac:dyDescent="0.2">
      <c r="A30" s="3">
        <v>24</v>
      </c>
      <c r="B30" s="4" t="s">
        <v>506</v>
      </c>
      <c r="C30" s="4" t="s">
        <v>507</v>
      </c>
      <c r="D30" s="4" t="s">
        <v>83</v>
      </c>
      <c r="E30" s="5">
        <v>394366</v>
      </c>
      <c r="F30" s="6">
        <v>1314.6190610000001</v>
      </c>
      <c r="G30" s="138">
        <v>1.5865051000000002E-2</v>
      </c>
      <c r="H30" s="142"/>
    </row>
    <row r="31" spans="1:8" x14ac:dyDescent="0.2">
      <c r="A31" s="3">
        <v>25</v>
      </c>
      <c r="B31" s="4" t="s">
        <v>239</v>
      </c>
      <c r="C31" s="4" t="s">
        <v>240</v>
      </c>
      <c r="D31" s="4" t="s">
        <v>207</v>
      </c>
      <c r="E31" s="5">
        <v>69458</v>
      </c>
      <c r="F31" s="6">
        <v>1296.7461310000001</v>
      </c>
      <c r="G31" s="138">
        <v>1.5649356999999999E-2</v>
      </c>
      <c r="H31" s="142"/>
    </row>
    <row r="32" spans="1:8" x14ac:dyDescent="0.2">
      <c r="A32" s="3">
        <v>26</v>
      </c>
      <c r="B32" s="4" t="s">
        <v>368</v>
      </c>
      <c r="C32" s="4" t="s">
        <v>369</v>
      </c>
      <c r="D32" s="4" t="s">
        <v>164</v>
      </c>
      <c r="E32" s="5">
        <v>100000</v>
      </c>
      <c r="F32" s="6">
        <v>1279.55</v>
      </c>
      <c r="G32" s="138">
        <v>1.5441831E-2</v>
      </c>
      <c r="H32" s="142"/>
    </row>
    <row r="33" spans="1:8" x14ac:dyDescent="0.2">
      <c r="A33" s="3">
        <v>27</v>
      </c>
      <c r="B33" s="4" t="s">
        <v>516</v>
      </c>
      <c r="C33" s="4" t="s">
        <v>517</v>
      </c>
      <c r="D33" s="4" t="s">
        <v>24</v>
      </c>
      <c r="E33" s="5">
        <v>394065</v>
      </c>
      <c r="F33" s="6">
        <v>1248.3979200000001</v>
      </c>
      <c r="G33" s="138">
        <v>1.5065883E-2</v>
      </c>
      <c r="H33" s="142"/>
    </row>
    <row r="34" spans="1:8" x14ac:dyDescent="0.2">
      <c r="A34" s="3">
        <v>28</v>
      </c>
      <c r="B34" s="4" t="s">
        <v>428</v>
      </c>
      <c r="C34" s="4" t="s">
        <v>429</v>
      </c>
      <c r="D34" s="4" t="s">
        <v>430</v>
      </c>
      <c r="E34" s="5">
        <v>250000</v>
      </c>
      <c r="F34" s="6">
        <v>1219.875</v>
      </c>
      <c r="G34" s="138">
        <v>1.4721662999999999E-2</v>
      </c>
      <c r="H34" s="142"/>
    </row>
    <row r="35" spans="1:8" x14ac:dyDescent="0.2">
      <c r="A35" s="3">
        <v>29</v>
      </c>
      <c r="B35" s="4" t="s">
        <v>416</v>
      </c>
      <c r="C35" s="4" t="s">
        <v>417</v>
      </c>
      <c r="D35" s="4" t="s">
        <v>1030</v>
      </c>
      <c r="E35" s="5">
        <v>100100</v>
      </c>
      <c r="F35" s="6">
        <v>1216.3151</v>
      </c>
      <c r="G35" s="138">
        <v>1.4678702E-2</v>
      </c>
      <c r="H35" s="142"/>
    </row>
    <row r="36" spans="1:8" x14ac:dyDescent="0.2">
      <c r="A36" s="3">
        <v>30</v>
      </c>
      <c r="B36" s="4" t="s">
        <v>340</v>
      </c>
      <c r="C36" s="4" t="s">
        <v>341</v>
      </c>
      <c r="D36" s="4" t="s">
        <v>216</v>
      </c>
      <c r="E36" s="5">
        <v>3790</v>
      </c>
      <c r="F36" s="6">
        <v>1201.61571</v>
      </c>
      <c r="G36" s="138">
        <v>1.4501307E-2</v>
      </c>
      <c r="H36" s="142"/>
    </row>
    <row r="37" spans="1:8" x14ac:dyDescent="0.2">
      <c r="A37" s="3">
        <v>31</v>
      </c>
      <c r="B37" s="4" t="s">
        <v>711</v>
      </c>
      <c r="C37" s="4" t="s">
        <v>712</v>
      </c>
      <c r="D37" s="4" t="s">
        <v>66</v>
      </c>
      <c r="E37" s="5">
        <v>124146</v>
      </c>
      <c r="F37" s="6">
        <v>1197.0157320000001</v>
      </c>
      <c r="G37" s="138">
        <v>1.4445794E-2</v>
      </c>
      <c r="H37" s="142"/>
    </row>
    <row r="38" spans="1:8" x14ac:dyDescent="0.2">
      <c r="A38" s="3">
        <v>32</v>
      </c>
      <c r="B38" s="4" t="s">
        <v>360</v>
      </c>
      <c r="C38" s="4" t="s">
        <v>361</v>
      </c>
      <c r="D38" s="4" t="s">
        <v>24</v>
      </c>
      <c r="E38" s="5">
        <v>1431306</v>
      </c>
      <c r="F38" s="6">
        <v>1170.0926549999999</v>
      </c>
      <c r="G38" s="138">
        <v>1.4120881E-2</v>
      </c>
      <c r="H38" s="142"/>
    </row>
    <row r="39" spans="1:8" ht="25.5" x14ac:dyDescent="0.2">
      <c r="A39" s="3">
        <v>33</v>
      </c>
      <c r="B39" s="4" t="s">
        <v>713</v>
      </c>
      <c r="C39" s="4" t="s">
        <v>714</v>
      </c>
      <c r="D39" s="4" t="s">
        <v>90</v>
      </c>
      <c r="E39" s="5">
        <v>132080</v>
      </c>
      <c r="F39" s="6">
        <v>1163.6248000000001</v>
      </c>
      <c r="G39" s="138">
        <v>1.4042826E-2</v>
      </c>
      <c r="H39" s="142"/>
    </row>
    <row r="40" spans="1:8" x14ac:dyDescent="0.2">
      <c r="A40" s="3">
        <v>34</v>
      </c>
      <c r="B40" s="4" t="s">
        <v>40</v>
      </c>
      <c r="C40" s="4" t="s">
        <v>41</v>
      </c>
      <c r="D40" s="4" t="s">
        <v>16</v>
      </c>
      <c r="E40" s="5">
        <v>256895</v>
      </c>
      <c r="F40" s="6">
        <v>1110.3001899999999</v>
      </c>
      <c r="G40" s="138">
        <v>1.3399295E-2</v>
      </c>
      <c r="H40" s="142"/>
    </row>
    <row r="41" spans="1:8" x14ac:dyDescent="0.2">
      <c r="A41" s="3">
        <v>35</v>
      </c>
      <c r="B41" s="4" t="s">
        <v>91</v>
      </c>
      <c r="C41" s="4" t="s">
        <v>92</v>
      </c>
      <c r="D41" s="4" t="s">
        <v>27</v>
      </c>
      <c r="E41" s="5">
        <v>14578</v>
      </c>
      <c r="F41" s="6">
        <v>1101.885419</v>
      </c>
      <c r="G41" s="138">
        <v>1.3297744E-2</v>
      </c>
      <c r="H41" s="142"/>
    </row>
    <row r="42" spans="1:8" x14ac:dyDescent="0.2">
      <c r="A42" s="3">
        <v>36</v>
      </c>
      <c r="B42" s="4" t="s">
        <v>97</v>
      </c>
      <c r="C42" s="4" t="s">
        <v>98</v>
      </c>
      <c r="D42" s="4" t="s">
        <v>56</v>
      </c>
      <c r="E42" s="5">
        <v>205000</v>
      </c>
      <c r="F42" s="6">
        <v>1092.855</v>
      </c>
      <c r="G42" s="138">
        <v>1.3188764E-2</v>
      </c>
      <c r="H42" s="142"/>
    </row>
    <row r="43" spans="1:8" ht="25.5" x14ac:dyDescent="0.2">
      <c r="A43" s="3">
        <v>37</v>
      </c>
      <c r="B43" s="4" t="s">
        <v>418</v>
      </c>
      <c r="C43" s="4" t="s">
        <v>419</v>
      </c>
      <c r="D43" s="4" t="s">
        <v>90</v>
      </c>
      <c r="E43" s="5">
        <v>40280</v>
      </c>
      <c r="F43" s="6">
        <v>1088.28504</v>
      </c>
      <c r="G43" s="138">
        <v>1.3133613000000001E-2</v>
      </c>
      <c r="H43" s="142"/>
    </row>
    <row r="44" spans="1:8" x14ac:dyDescent="0.2">
      <c r="A44" s="3">
        <v>38</v>
      </c>
      <c r="B44" s="4" t="s">
        <v>352</v>
      </c>
      <c r="C44" s="4" t="s">
        <v>353</v>
      </c>
      <c r="D44" s="4" t="s">
        <v>48</v>
      </c>
      <c r="E44" s="5">
        <v>147000</v>
      </c>
      <c r="F44" s="6">
        <v>1035.3209999999999</v>
      </c>
      <c r="G44" s="138">
        <v>1.2494434E-2</v>
      </c>
      <c r="H44" s="142"/>
    </row>
    <row r="45" spans="1:8" x14ac:dyDescent="0.2">
      <c r="A45" s="3">
        <v>39</v>
      </c>
      <c r="B45" s="4" t="s">
        <v>72</v>
      </c>
      <c r="C45" s="4" t="s">
        <v>73</v>
      </c>
      <c r="D45" s="4" t="s">
        <v>27</v>
      </c>
      <c r="E45" s="5">
        <v>96041</v>
      </c>
      <c r="F45" s="6">
        <v>952.67869949999999</v>
      </c>
      <c r="G45" s="138">
        <v>1.1497092E-2</v>
      </c>
      <c r="H45" s="142"/>
    </row>
    <row r="46" spans="1:8" x14ac:dyDescent="0.2">
      <c r="A46" s="3">
        <v>40</v>
      </c>
      <c r="B46" s="4" t="s">
        <v>573</v>
      </c>
      <c r="C46" s="4" t="s">
        <v>574</v>
      </c>
      <c r="D46" s="4" t="s">
        <v>51</v>
      </c>
      <c r="E46" s="5">
        <v>187368</v>
      </c>
      <c r="F46" s="6">
        <v>949.20628799999997</v>
      </c>
      <c r="G46" s="138">
        <v>1.1455185999999999E-2</v>
      </c>
      <c r="H46" s="142"/>
    </row>
    <row r="47" spans="1:8" x14ac:dyDescent="0.2">
      <c r="A47" s="3">
        <v>41</v>
      </c>
      <c r="B47" s="4" t="s">
        <v>346</v>
      </c>
      <c r="C47" s="4" t="s">
        <v>347</v>
      </c>
      <c r="D47" s="4" t="s">
        <v>207</v>
      </c>
      <c r="E47" s="5">
        <v>25000</v>
      </c>
      <c r="F47" s="6">
        <v>929.97500000000002</v>
      </c>
      <c r="G47" s="138">
        <v>1.12231E-2</v>
      </c>
      <c r="H47" s="142"/>
    </row>
    <row r="48" spans="1:8" x14ac:dyDescent="0.2">
      <c r="A48" s="3">
        <v>42</v>
      </c>
      <c r="B48" s="4" t="s">
        <v>437</v>
      </c>
      <c r="C48" s="4" t="s">
        <v>438</v>
      </c>
      <c r="D48" s="4" t="s">
        <v>164</v>
      </c>
      <c r="E48" s="5">
        <v>65425</v>
      </c>
      <c r="F48" s="6">
        <v>903.25755000000004</v>
      </c>
      <c r="G48" s="138">
        <v>1.0900669E-2</v>
      </c>
      <c r="H48" s="142"/>
    </row>
    <row r="49" spans="1:8" x14ac:dyDescent="0.2">
      <c r="A49" s="3">
        <v>43</v>
      </c>
      <c r="B49" s="4" t="s">
        <v>358</v>
      </c>
      <c r="C49" s="4" t="s">
        <v>359</v>
      </c>
      <c r="D49" s="4" t="s">
        <v>1024</v>
      </c>
      <c r="E49" s="5">
        <v>117000</v>
      </c>
      <c r="F49" s="6">
        <v>887.26949999999999</v>
      </c>
      <c r="G49" s="138">
        <v>1.0707721999999999E-2</v>
      </c>
      <c r="H49" s="142"/>
    </row>
    <row r="50" spans="1:8" x14ac:dyDescent="0.2">
      <c r="A50" s="3">
        <v>44</v>
      </c>
      <c r="B50" s="4" t="s">
        <v>235</v>
      </c>
      <c r="C50" s="4" t="s">
        <v>236</v>
      </c>
      <c r="D50" s="4" t="s">
        <v>27</v>
      </c>
      <c r="E50" s="5">
        <v>52223</v>
      </c>
      <c r="F50" s="6">
        <v>885.15373850000003</v>
      </c>
      <c r="G50" s="138">
        <v>1.0682189E-2</v>
      </c>
      <c r="H50" s="142"/>
    </row>
    <row r="51" spans="1:8" x14ac:dyDescent="0.2">
      <c r="A51" s="3">
        <v>45</v>
      </c>
      <c r="B51" s="4" t="s">
        <v>376</v>
      </c>
      <c r="C51" s="4" t="s">
        <v>377</v>
      </c>
      <c r="D51" s="4" t="s">
        <v>254</v>
      </c>
      <c r="E51" s="5">
        <v>110545</v>
      </c>
      <c r="F51" s="6">
        <v>878.22475250000002</v>
      </c>
      <c r="G51" s="138">
        <v>1.0598569E-2</v>
      </c>
      <c r="H51" s="142"/>
    </row>
    <row r="52" spans="1:8" ht="25.5" x14ac:dyDescent="0.2">
      <c r="A52" s="3">
        <v>46</v>
      </c>
      <c r="B52" s="4" t="s">
        <v>20</v>
      </c>
      <c r="C52" s="4" t="s">
        <v>21</v>
      </c>
      <c r="D52" s="4" t="s">
        <v>1023</v>
      </c>
      <c r="E52" s="5">
        <v>84095</v>
      </c>
      <c r="F52" s="6">
        <v>828.04141749999997</v>
      </c>
      <c r="G52" s="138">
        <v>9.9929479999999998E-3</v>
      </c>
      <c r="H52" s="142"/>
    </row>
    <row r="53" spans="1:8" ht="25.5" x14ac:dyDescent="0.2">
      <c r="A53" s="3">
        <v>47</v>
      </c>
      <c r="B53" s="4" t="s">
        <v>38</v>
      </c>
      <c r="C53" s="4" t="s">
        <v>39</v>
      </c>
      <c r="D53" s="4" t="s">
        <v>1023</v>
      </c>
      <c r="E53" s="5">
        <v>10930</v>
      </c>
      <c r="F53" s="6">
        <v>808.39373000000001</v>
      </c>
      <c r="G53" s="138">
        <v>9.7558360000000004E-3</v>
      </c>
      <c r="H53" s="142"/>
    </row>
    <row r="54" spans="1:8" x14ac:dyDescent="0.2">
      <c r="A54" s="3">
        <v>48</v>
      </c>
      <c r="B54" s="4" t="s">
        <v>514</v>
      </c>
      <c r="C54" s="4" t="s">
        <v>515</v>
      </c>
      <c r="D54" s="4" t="s">
        <v>207</v>
      </c>
      <c r="E54" s="5">
        <v>96183</v>
      </c>
      <c r="F54" s="6">
        <v>803.32041600000002</v>
      </c>
      <c r="G54" s="138">
        <v>9.6946099999999993E-3</v>
      </c>
      <c r="H54" s="142"/>
    </row>
    <row r="55" spans="1:8" ht="25.5" x14ac:dyDescent="0.2">
      <c r="A55" s="3">
        <v>49</v>
      </c>
      <c r="B55" s="4" t="s">
        <v>715</v>
      </c>
      <c r="C55" s="4" t="s">
        <v>716</v>
      </c>
      <c r="D55" s="4" t="s">
        <v>90</v>
      </c>
      <c r="E55" s="5">
        <v>3189</v>
      </c>
      <c r="F55" s="6">
        <v>791.90842499999997</v>
      </c>
      <c r="G55" s="138">
        <v>9.5568879999999995E-3</v>
      </c>
      <c r="H55" s="142"/>
    </row>
    <row r="56" spans="1:8" x14ac:dyDescent="0.2">
      <c r="A56" s="3">
        <v>50</v>
      </c>
      <c r="B56" s="4" t="s">
        <v>95</v>
      </c>
      <c r="C56" s="4" t="s">
        <v>96</v>
      </c>
      <c r="D56" s="4" t="s">
        <v>66</v>
      </c>
      <c r="E56" s="5">
        <v>152274</v>
      </c>
      <c r="F56" s="6">
        <v>747.43692899999996</v>
      </c>
      <c r="G56" s="138">
        <v>9.0201989999999996E-3</v>
      </c>
      <c r="H56" s="142"/>
    </row>
    <row r="57" spans="1:8" ht="25.5" x14ac:dyDescent="0.2">
      <c r="A57" s="3">
        <v>51</v>
      </c>
      <c r="B57" s="4" t="s">
        <v>717</v>
      </c>
      <c r="C57" s="4" t="s">
        <v>718</v>
      </c>
      <c r="D57" s="4" t="s">
        <v>37</v>
      </c>
      <c r="E57" s="5">
        <v>9000</v>
      </c>
      <c r="F57" s="6">
        <v>735.46199999999999</v>
      </c>
      <c r="G57" s="138">
        <v>8.8756830000000005E-3</v>
      </c>
      <c r="H57" s="142"/>
    </row>
    <row r="58" spans="1:8" x14ac:dyDescent="0.2">
      <c r="A58" s="3">
        <v>52</v>
      </c>
      <c r="B58" s="4" t="s">
        <v>719</v>
      </c>
      <c r="C58" s="4" t="s">
        <v>720</v>
      </c>
      <c r="D58" s="4" t="s">
        <v>173</v>
      </c>
      <c r="E58" s="5">
        <v>10000</v>
      </c>
      <c r="F58" s="6">
        <v>728.16499999999996</v>
      </c>
      <c r="G58" s="138">
        <v>8.7876220000000001E-3</v>
      </c>
      <c r="H58" s="142"/>
    </row>
    <row r="59" spans="1:8" x14ac:dyDescent="0.2">
      <c r="A59" s="3">
        <v>53</v>
      </c>
      <c r="B59" s="4" t="s">
        <v>81</v>
      </c>
      <c r="C59" s="4" t="s">
        <v>82</v>
      </c>
      <c r="D59" s="4" t="s">
        <v>83</v>
      </c>
      <c r="E59" s="5">
        <v>543762</v>
      </c>
      <c r="F59" s="6">
        <v>727.55355599999996</v>
      </c>
      <c r="G59" s="138">
        <v>8.7802430000000001E-3</v>
      </c>
      <c r="H59" s="142"/>
    </row>
    <row r="60" spans="1:8" x14ac:dyDescent="0.2">
      <c r="A60" s="3">
        <v>54</v>
      </c>
      <c r="B60" s="4" t="s">
        <v>384</v>
      </c>
      <c r="C60" s="4" t="s">
        <v>385</v>
      </c>
      <c r="D60" s="4" t="s">
        <v>80</v>
      </c>
      <c r="E60" s="5">
        <v>169899</v>
      </c>
      <c r="F60" s="6">
        <v>725.55367950000004</v>
      </c>
      <c r="G60" s="138">
        <v>8.7561080000000003E-3</v>
      </c>
      <c r="H60" s="142"/>
    </row>
    <row r="61" spans="1:8" x14ac:dyDescent="0.2">
      <c r="A61" s="3">
        <v>55</v>
      </c>
      <c r="B61" s="4" t="s">
        <v>696</v>
      </c>
      <c r="C61" s="4" t="s">
        <v>697</v>
      </c>
      <c r="D61" s="4" t="s">
        <v>207</v>
      </c>
      <c r="E61" s="5">
        <v>90000</v>
      </c>
      <c r="F61" s="6">
        <v>652.32000000000005</v>
      </c>
      <c r="G61" s="138">
        <v>7.8723109999999999E-3</v>
      </c>
      <c r="H61" s="142"/>
    </row>
    <row r="62" spans="1:8" x14ac:dyDescent="0.2">
      <c r="A62" s="3">
        <v>56</v>
      </c>
      <c r="B62" s="4" t="s">
        <v>372</v>
      </c>
      <c r="C62" s="4" t="s">
        <v>373</v>
      </c>
      <c r="D62" s="4" t="s">
        <v>51</v>
      </c>
      <c r="E62" s="5">
        <v>12700</v>
      </c>
      <c r="F62" s="6">
        <v>585.71130000000005</v>
      </c>
      <c r="G62" s="138">
        <v>7.0684659999999998E-3</v>
      </c>
      <c r="H62" s="142"/>
    </row>
    <row r="63" spans="1:8" x14ac:dyDescent="0.2">
      <c r="A63" s="3">
        <v>57</v>
      </c>
      <c r="B63" s="4" t="s">
        <v>550</v>
      </c>
      <c r="C63" s="4" t="s">
        <v>551</v>
      </c>
      <c r="D63" s="4" t="s">
        <v>173</v>
      </c>
      <c r="E63" s="5">
        <v>24347</v>
      </c>
      <c r="F63" s="6">
        <v>513.66083249999997</v>
      </c>
      <c r="G63" s="138">
        <v>6.1989480000000001E-3</v>
      </c>
      <c r="H63" s="142"/>
    </row>
    <row r="64" spans="1:8" x14ac:dyDescent="0.2">
      <c r="A64" s="3">
        <v>58</v>
      </c>
      <c r="B64" s="4" t="s">
        <v>382</v>
      </c>
      <c r="C64" s="4" t="s">
        <v>383</v>
      </c>
      <c r="D64" s="4" t="s">
        <v>51</v>
      </c>
      <c r="E64" s="5">
        <v>21630</v>
      </c>
      <c r="F64" s="6">
        <v>494.23468500000001</v>
      </c>
      <c r="G64" s="138">
        <v>5.9645100000000001E-3</v>
      </c>
      <c r="H64" s="142"/>
    </row>
    <row r="65" spans="1:8" x14ac:dyDescent="0.2">
      <c r="A65" s="3">
        <v>59</v>
      </c>
      <c r="B65" s="4" t="s">
        <v>456</v>
      </c>
      <c r="C65" s="4" t="s">
        <v>457</v>
      </c>
      <c r="D65" s="4" t="s">
        <v>51</v>
      </c>
      <c r="E65" s="5">
        <v>141219</v>
      </c>
      <c r="F65" s="6">
        <v>468.63525149999998</v>
      </c>
      <c r="G65" s="138">
        <v>5.6555720000000002E-3</v>
      </c>
      <c r="H65" s="142"/>
    </row>
    <row r="66" spans="1:8" x14ac:dyDescent="0.2">
      <c r="A66" s="3">
        <v>60</v>
      </c>
      <c r="B66" s="4" t="s">
        <v>28</v>
      </c>
      <c r="C66" s="4" t="s">
        <v>29</v>
      </c>
      <c r="D66" s="4" t="s">
        <v>27</v>
      </c>
      <c r="E66" s="5">
        <v>17809</v>
      </c>
      <c r="F66" s="6">
        <v>425.45701000000003</v>
      </c>
      <c r="G66" s="138">
        <v>5.1344889999999999E-3</v>
      </c>
      <c r="H66" s="142"/>
    </row>
    <row r="67" spans="1:8" x14ac:dyDescent="0.2">
      <c r="A67" s="3">
        <v>61</v>
      </c>
      <c r="B67" s="4" t="s">
        <v>64</v>
      </c>
      <c r="C67" s="4" t="s">
        <v>65</v>
      </c>
      <c r="D67" s="4" t="s">
        <v>66</v>
      </c>
      <c r="E67" s="5">
        <v>135712</v>
      </c>
      <c r="F67" s="6">
        <v>220.80342400000001</v>
      </c>
      <c r="G67" s="138">
        <v>2.664694E-3</v>
      </c>
      <c r="H67" s="142"/>
    </row>
    <row r="68" spans="1:8" ht="25.5" x14ac:dyDescent="0.2">
      <c r="A68" s="3">
        <v>62</v>
      </c>
      <c r="B68" s="4" t="s">
        <v>231</v>
      </c>
      <c r="C68" s="4" t="s">
        <v>232</v>
      </c>
      <c r="D68" s="4" t="s">
        <v>51</v>
      </c>
      <c r="E68" s="5">
        <v>8900</v>
      </c>
      <c r="F68" s="6">
        <v>190.80265</v>
      </c>
      <c r="G68" s="138">
        <v>2.302639E-3</v>
      </c>
      <c r="H68" s="142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9">
        <v>81658.954767999996</v>
      </c>
      <c r="G69" s="139">
        <v>0.98547444200000001</v>
      </c>
      <c r="H69" s="142"/>
    </row>
    <row r="70" spans="1:8" x14ac:dyDescent="0.2">
      <c r="A70" s="1"/>
      <c r="B70" s="1"/>
      <c r="C70" s="11"/>
      <c r="D70" s="1"/>
      <c r="E70" s="1"/>
      <c r="F70" s="12"/>
      <c r="G70" s="140"/>
      <c r="H70" s="142"/>
    </row>
    <row r="71" spans="1:8" x14ac:dyDescent="0.2">
      <c r="A71" s="1"/>
      <c r="B71" s="1"/>
      <c r="C71" s="2" t="s">
        <v>107</v>
      </c>
      <c r="D71" s="1"/>
      <c r="E71" s="1"/>
      <c r="F71" s="1"/>
      <c r="G71" s="137"/>
      <c r="H71" s="142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1">
        <v>0</v>
      </c>
      <c r="H72" s="142"/>
    </row>
    <row r="73" spans="1:8" x14ac:dyDescent="0.2">
      <c r="A73" s="1"/>
      <c r="B73" s="1"/>
      <c r="C73" s="11"/>
      <c r="D73" s="1"/>
      <c r="E73" s="1"/>
      <c r="F73" s="12"/>
      <c r="G73" s="140"/>
      <c r="H73" s="142"/>
    </row>
    <row r="74" spans="1:8" x14ac:dyDescent="0.2">
      <c r="A74" s="1"/>
      <c r="B74" s="1"/>
      <c r="C74" s="2" t="s">
        <v>108</v>
      </c>
      <c r="D74" s="1"/>
      <c r="E74" s="1"/>
      <c r="F74" s="1"/>
      <c r="G74" s="137"/>
      <c r="H74" s="14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1">
        <v>0</v>
      </c>
      <c r="H75" s="142"/>
    </row>
    <row r="76" spans="1:8" x14ac:dyDescent="0.2">
      <c r="A76" s="1"/>
      <c r="B76" s="1"/>
      <c r="C76" s="11"/>
      <c r="D76" s="1"/>
      <c r="E76" s="1"/>
      <c r="F76" s="12"/>
      <c r="G76" s="140"/>
      <c r="H76" s="142"/>
    </row>
    <row r="77" spans="1:8" x14ac:dyDescent="0.2">
      <c r="A77" s="1"/>
      <c r="B77" s="1"/>
      <c r="C77" s="2" t="s">
        <v>109</v>
      </c>
      <c r="D77" s="1"/>
      <c r="E77" s="1"/>
      <c r="F77" s="1"/>
      <c r="G77" s="137"/>
      <c r="H77" s="142"/>
    </row>
    <row r="78" spans="1:8" x14ac:dyDescent="0.2">
      <c r="A78" s="3">
        <v>1</v>
      </c>
      <c r="B78" s="4" t="s">
        <v>110</v>
      </c>
      <c r="C78" s="4" t="s">
        <v>996</v>
      </c>
      <c r="D78" s="4" t="s">
        <v>19</v>
      </c>
      <c r="E78" s="5">
        <v>21514</v>
      </c>
      <c r="F78" s="6">
        <v>32.980961999999998</v>
      </c>
      <c r="G78" s="138">
        <v>3.9802000000000001E-4</v>
      </c>
      <c r="H78" s="14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32.980961999999998</v>
      </c>
      <c r="G79" s="139">
        <v>3.9802000000000001E-4</v>
      </c>
      <c r="H79" s="142"/>
    </row>
    <row r="80" spans="1:8" x14ac:dyDescent="0.2">
      <c r="A80" s="1"/>
      <c r="B80" s="1"/>
      <c r="C80" s="11"/>
      <c r="D80" s="1"/>
      <c r="E80" s="1"/>
      <c r="F80" s="12"/>
      <c r="G80" s="140"/>
      <c r="H80" s="142"/>
    </row>
    <row r="81" spans="1:8" x14ac:dyDescent="0.2">
      <c r="A81" s="1"/>
      <c r="B81" s="1"/>
      <c r="C81" s="2" t="s">
        <v>111</v>
      </c>
      <c r="D81" s="1"/>
      <c r="E81" s="1"/>
      <c r="F81" s="12"/>
      <c r="G81" s="140"/>
      <c r="H81" s="14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1">
        <v>0</v>
      </c>
      <c r="H82" s="142"/>
    </row>
    <row r="83" spans="1:8" x14ac:dyDescent="0.2">
      <c r="A83" s="1"/>
      <c r="B83" s="1"/>
      <c r="C83" s="11"/>
      <c r="D83" s="1"/>
      <c r="E83" s="1"/>
      <c r="F83" s="12"/>
      <c r="G83" s="140"/>
      <c r="H83" s="142"/>
    </row>
    <row r="84" spans="1:8" x14ac:dyDescent="0.2">
      <c r="A84" s="1"/>
      <c r="B84" s="1"/>
      <c r="C84" s="2" t="s">
        <v>112</v>
      </c>
      <c r="D84" s="1"/>
      <c r="E84" s="1"/>
      <c r="F84" s="12"/>
      <c r="G84" s="140"/>
      <c r="H84" s="14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1">
        <v>0</v>
      </c>
      <c r="H85" s="142"/>
    </row>
    <row r="86" spans="1:8" x14ac:dyDescent="0.2">
      <c r="A86" s="1"/>
      <c r="B86" s="1"/>
      <c r="C86" s="11"/>
      <c r="D86" s="1"/>
      <c r="E86" s="1"/>
      <c r="F86" s="12"/>
      <c r="G86" s="140"/>
      <c r="H86" s="142"/>
    </row>
    <row r="87" spans="1:8" x14ac:dyDescent="0.2">
      <c r="A87" s="1"/>
      <c r="B87" s="1"/>
      <c r="C87" s="2" t="s">
        <v>113</v>
      </c>
      <c r="D87" s="1"/>
      <c r="E87" s="1"/>
      <c r="F87" s="9">
        <v>81691.935729999997</v>
      </c>
      <c r="G87" s="139">
        <v>0.985872462</v>
      </c>
      <c r="H87" s="142"/>
    </row>
    <row r="88" spans="1:8" x14ac:dyDescent="0.2">
      <c r="A88" s="1"/>
      <c r="B88" s="1"/>
      <c r="C88" s="11"/>
      <c r="D88" s="1"/>
      <c r="E88" s="1"/>
      <c r="F88" s="12"/>
      <c r="G88" s="140"/>
      <c r="H88" s="142"/>
    </row>
    <row r="89" spans="1:8" x14ac:dyDescent="0.2">
      <c r="A89" s="1"/>
      <c r="B89" s="1"/>
      <c r="C89" s="2" t="s">
        <v>114</v>
      </c>
      <c r="D89" s="1"/>
      <c r="E89" s="1"/>
      <c r="F89" s="12"/>
      <c r="G89" s="140"/>
      <c r="H89" s="142"/>
    </row>
    <row r="90" spans="1:8" ht="25.5" x14ac:dyDescent="0.2">
      <c r="A90" s="1"/>
      <c r="B90" s="1"/>
      <c r="C90" s="2" t="s">
        <v>10</v>
      </c>
      <c r="D90" s="1"/>
      <c r="E90" s="1"/>
      <c r="F90" s="12"/>
      <c r="G90" s="140"/>
      <c r="H90" s="142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1">
        <v>0</v>
      </c>
      <c r="H91" s="142"/>
    </row>
    <row r="92" spans="1:8" x14ac:dyDescent="0.2">
      <c r="A92" s="1"/>
      <c r="B92" s="1"/>
      <c r="C92" s="11"/>
      <c r="D92" s="1"/>
      <c r="E92" s="1"/>
      <c r="F92" s="12"/>
      <c r="G92" s="140"/>
      <c r="H92" s="142"/>
    </row>
    <row r="93" spans="1:8" x14ac:dyDescent="0.2">
      <c r="A93" s="1"/>
      <c r="B93" s="1"/>
      <c r="C93" s="2" t="s">
        <v>115</v>
      </c>
      <c r="D93" s="1"/>
      <c r="E93" s="1"/>
      <c r="F93" s="1"/>
      <c r="G93" s="137"/>
      <c r="H93" s="142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42"/>
    </row>
    <row r="95" spans="1:8" x14ac:dyDescent="0.2">
      <c r="A95" s="1"/>
      <c r="B95" s="1"/>
      <c r="C95" s="11"/>
      <c r="D95" s="1"/>
      <c r="E95" s="1"/>
      <c r="F95" s="12"/>
      <c r="G95" s="140"/>
      <c r="H95" s="142"/>
    </row>
    <row r="96" spans="1:8" x14ac:dyDescent="0.2">
      <c r="A96" s="1"/>
      <c r="B96" s="1"/>
      <c r="C96" s="2" t="s">
        <v>116</v>
      </c>
      <c r="D96" s="1"/>
      <c r="E96" s="1"/>
      <c r="F96" s="1"/>
      <c r="G96" s="137"/>
      <c r="H96" s="142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1">
        <v>0</v>
      </c>
      <c r="H97" s="142"/>
    </row>
    <row r="98" spans="1:8" x14ac:dyDescent="0.2">
      <c r="A98" s="1"/>
      <c r="B98" s="1"/>
      <c r="C98" s="11"/>
      <c r="D98" s="1"/>
      <c r="E98" s="1"/>
      <c r="F98" s="12"/>
      <c r="G98" s="140"/>
      <c r="H98" s="142"/>
    </row>
    <row r="99" spans="1:8" x14ac:dyDescent="0.2">
      <c r="A99" s="1"/>
      <c r="B99" s="1"/>
      <c r="C99" s="2" t="s">
        <v>117</v>
      </c>
      <c r="D99" s="1"/>
      <c r="E99" s="1"/>
      <c r="F99" s="12"/>
      <c r="G99" s="140"/>
      <c r="H99" s="14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1">
        <v>0</v>
      </c>
      <c r="H100" s="142"/>
    </row>
    <row r="101" spans="1:8" x14ac:dyDescent="0.2">
      <c r="A101" s="1"/>
      <c r="B101" s="1"/>
      <c r="C101" s="11"/>
      <c r="D101" s="1"/>
      <c r="E101" s="1"/>
      <c r="F101" s="12"/>
      <c r="G101" s="140"/>
      <c r="H101" s="142"/>
    </row>
    <row r="102" spans="1:8" x14ac:dyDescent="0.2">
      <c r="A102" s="1"/>
      <c r="B102" s="1"/>
      <c r="C102" s="2" t="s">
        <v>118</v>
      </c>
      <c r="D102" s="1"/>
      <c r="E102" s="1"/>
      <c r="F102" s="9">
        <v>0</v>
      </c>
      <c r="G102" s="139">
        <v>0</v>
      </c>
      <c r="H102" s="142"/>
    </row>
    <row r="103" spans="1:8" x14ac:dyDescent="0.2">
      <c r="A103" s="1"/>
      <c r="B103" s="1"/>
      <c r="C103" s="11"/>
      <c r="D103" s="1"/>
      <c r="E103" s="1"/>
      <c r="F103" s="12"/>
      <c r="G103" s="140"/>
      <c r="H103" s="142"/>
    </row>
    <row r="104" spans="1:8" x14ac:dyDescent="0.2">
      <c r="A104" s="1"/>
      <c r="B104" s="1"/>
      <c r="C104" s="2" t="s">
        <v>119</v>
      </c>
      <c r="D104" s="1"/>
      <c r="E104" s="1"/>
      <c r="F104" s="12"/>
      <c r="G104" s="140"/>
      <c r="H104" s="142"/>
    </row>
    <row r="105" spans="1:8" x14ac:dyDescent="0.2">
      <c r="A105" s="1"/>
      <c r="B105" s="1"/>
      <c r="C105" s="2" t="s">
        <v>120</v>
      </c>
      <c r="D105" s="1"/>
      <c r="E105" s="1"/>
      <c r="F105" s="12"/>
      <c r="G105" s="140"/>
      <c r="H105" s="142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1">
        <v>0</v>
      </c>
      <c r="H106" s="142"/>
    </row>
    <row r="107" spans="1:8" x14ac:dyDescent="0.2">
      <c r="A107" s="1"/>
      <c r="B107" s="1"/>
      <c r="C107" s="11"/>
      <c r="D107" s="1"/>
      <c r="E107" s="1"/>
      <c r="F107" s="12"/>
      <c r="G107" s="140"/>
      <c r="H107" s="142"/>
    </row>
    <row r="108" spans="1:8" x14ac:dyDescent="0.2">
      <c r="A108" s="1"/>
      <c r="B108" s="1"/>
      <c r="C108" s="2" t="s">
        <v>121</v>
      </c>
      <c r="D108" s="1"/>
      <c r="E108" s="1"/>
      <c r="F108" s="12"/>
      <c r="G108" s="140"/>
      <c r="H108" s="142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1">
        <v>0</v>
      </c>
      <c r="H109" s="142"/>
    </row>
    <row r="110" spans="1:8" x14ac:dyDescent="0.2">
      <c r="A110" s="1"/>
      <c r="B110" s="1"/>
      <c r="C110" s="11"/>
      <c r="D110" s="1"/>
      <c r="E110" s="1"/>
      <c r="F110" s="12"/>
      <c r="G110" s="140"/>
      <c r="H110" s="142"/>
    </row>
    <row r="111" spans="1:8" x14ac:dyDescent="0.2">
      <c r="A111" s="1"/>
      <c r="B111" s="1"/>
      <c r="C111" s="2" t="s">
        <v>122</v>
      </c>
      <c r="D111" s="1"/>
      <c r="E111" s="1"/>
      <c r="F111" s="12"/>
      <c r="G111" s="140"/>
      <c r="H111" s="142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1">
        <v>0</v>
      </c>
      <c r="H112" s="142"/>
    </row>
    <row r="113" spans="1:8" x14ac:dyDescent="0.2">
      <c r="A113" s="1"/>
      <c r="B113" s="1"/>
      <c r="C113" s="11"/>
      <c r="D113" s="1"/>
      <c r="E113" s="1"/>
      <c r="F113" s="12"/>
      <c r="G113" s="140"/>
      <c r="H113" s="142"/>
    </row>
    <row r="114" spans="1:8" x14ac:dyDescent="0.2">
      <c r="A114" s="1"/>
      <c r="B114" s="1"/>
      <c r="C114" s="2" t="s">
        <v>123</v>
      </c>
      <c r="D114" s="1"/>
      <c r="E114" s="1"/>
      <c r="F114" s="12"/>
      <c r="G114" s="140"/>
      <c r="H114" s="142"/>
    </row>
    <row r="115" spans="1:8" x14ac:dyDescent="0.2">
      <c r="A115" s="3">
        <v>1</v>
      </c>
      <c r="B115" s="4"/>
      <c r="C115" s="4" t="s">
        <v>124</v>
      </c>
      <c r="D115" s="4"/>
      <c r="E115" s="8"/>
      <c r="F115" s="6">
        <v>865.87984630000005</v>
      </c>
      <c r="G115" s="138">
        <v>1.0449587999999999E-2</v>
      </c>
      <c r="H115" s="152">
        <v>3.3197683930276081</v>
      </c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9">
        <v>865.87984630000005</v>
      </c>
      <c r="G116" s="139">
        <v>1.0449587999999999E-2</v>
      </c>
      <c r="H116" s="142"/>
    </row>
    <row r="117" spans="1:8" x14ac:dyDescent="0.2">
      <c r="A117" s="1"/>
      <c r="B117" s="1"/>
      <c r="C117" s="11"/>
      <c r="D117" s="1"/>
      <c r="E117" s="1"/>
      <c r="F117" s="12"/>
      <c r="G117" s="140"/>
      <c r="H117" s="142"/>
    </row>
    <row r="118" spans="1:8" x14ac:dyDescent="0.2">
      <c r="A118" s="1"/>
      <c r="B118" s="1"/>
      <c r="C118" s="2" t="s">
        <v>125</v>
      </c>
      <c r="D118" s="1"/>
      <c r="E118" s="1"/>
      <c r="F118" s="9">
        <v>865.87984630000005</v>
      </c>
      <c r="G118" s="139">
        <v>1.0449587999999999E-2</v>
      </c>
      <c r="H118" s="142"/>
    </row>
    <row r="119" spans="1:8" x14ac:dyDescent="0.2">
      <c r="A119" s="1"/>
      <c r="B119" s="1"/>
      <c r="C119" s="12"/>
      <c r="D119" s="1"/>
      <c r="E119" s="1"/>
      <c r="F119" s="1"/>
      <c r="G119" s="137"/>
      <c r="H119" s="142"/>
    </row>
    <row r="120" spans="1:8" x14ac:dyDescent="0.2">
      <c r="A120" s="1"/>
      <c r="B120" s="1"/>
      <c r="C120" s="2" t="s">
        <v>126</v>
      </c>
      <c r="D120" s="1"/>
      <c r="E120" s="1"/>
      <c r="F120" s="1"/>
      <c r="G120" s="137"/>
      <c r="H120" s="142"/>
    </row>
    <row r="121" spans="1:8" x14ac:dyDescent="0.2">
      <c r="A121" s="1"/>
      <c r="B121" s="1"/>
      <c r="C121" s="2" t="s">
        <v>127</v>
      </c>
      <c r="D121" s="1"/>
      <c r="E121" s="1"/>
      <c r="F121" s="1"/>
      <c r="G121" s="137"/>
      <c r="H121" s="142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1">
        <v>0</v>
      </c>
      <c r="H122" s="142"/>
    </row>
    <row r="123" spans="1:8" x14ac:dyDescent="0.2">
      <c r="A123" s="1"/>
      <c r="B123" s="1"/>
      <c r="C123" s="11"/>
      <c r="D123" s="1"/>
      <c r="E123" s="1"/>
      <c r="F123" s="12"/>
      <c r="G123" s="140"/>
      <c r="H123" s="142"/>
    </row>
    <row r="124" spans="1:8" x14ac:dyDescent="0.2">
      <c r="A124" s="1"/>
      <c r="B124" s="1"/>
      <c r="C124" s="2" t="s">
        <v>128</v>
      </c>
      <c r="D124" s="1"/>
      <c r="E124" s="1"/>
      <c r="F124" s="1"/>
      <c r="G124" s="137"/>
      <c r="H124" s="142"/>
    </row>
    <row r="125" spans="1:8" x14ac:dyDescent="0.2">
      <c r="A125" s="1"/>
      <c r="B125" s="1"/>
      <c r="C125" s="2" t="s">
        <v>129</v>
      </c>
      <c r="D125" s="1"/>
      <c r="E125" s="1"/>
      <c r="F125" s="1"/>
      <c r="G125" s="137"/>
      <c r="H125" s="142"/>
    </row>
    <row r="126" spans="1:8" x14ac:dyDescent="0.2">
      <c r="A126" s="1"/>
      <c r="B126" s="1"/>
      <c r="C126" s="2" t="s">
        <v>105</v>
      </c>
      <c r="D126" s="1"/>
      <c r="E126" s="1" t="s">
        <v>106</v>
      </c>
      <c r="F126" s="13">
        <v>0</v>
      </c>
      <c r="G126" s="141">
        <v>0</v>
      </c>
      <c r="H126" s="142"/>
    </row>
    <row r="127" spans="1:8" x14ac:dyDescent="0.2">
      <c r="A127" s="1"/>
      <c r="B127" s="1"/>
      <c r="C127" s="11"/>
      <c r="D127" s="1"/>
      <c r="E127" s="1"/>
      <c r="F127" s="12"/>
      <c r="G127" s="140"/>
      <c r="H127" s="142"/>
    </row>
    <row r="128" spans="1:8" x14ac:dyDescent="0.2">
      <c r="A128" s="1"/>
      <c r="B128" s="1"/>
      <c r="C128" s="11"/>
      <c r="D128" s="1"/>
      <c r="E128" s="1"/>
      <c r="F128" s="12"/>
      <c r="G128" s="140"/>
      <c r="H128" s="142"/>
    </row>
    <row r="129" spans="1:8" ht="25.5" x14ac:dyDescent="0.2">
      <c r="A129" s="1"/>
      <c r="B129" s="1"/>
      <c r="C129" s="2" t="s">
        <v>130</v>
      </c>
      <c r="D129" s="1"/>
      <c r="E129" s="1"/>
      <c r="F129" s="12"/>
      <c r="G129" s="140"/>
      <c r="H129" s="142"/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13">
        <v>0</v>
      </c>
      <c r="G130" s="141">
        <v>0</v>
      </c>
      <c r="H130" s="142"/>
    </row>
    <row r="131" spans="1:8" x14ac:dyDescent="0.2">
      <c r="A131" s="1"/>
      <c r="B131" s="1"/>
      <c r="C131" s="11"/>
      <c r="D131" s="1"/>
      <c r="E131" s="1"/>
      <c r="F131" s="12"/>
      <c r="G131" s="140"/>
      <c r="H131" s="142"/>
    </row>
    <row r="132" spans="1:8" x14ac:dyDescent="0.2">
      <c r="A132" s="1"/>
      <c r="B132" s="4"/>
      <c r="C132" s="4"/>
      <c r="D132" s="2"/>
      <c r="E132" s="1"/>
      <c r="F132" s="4"/>
      <c r="G132" s="143"/>
      <c r="H132" s="142"/>
    </row>
    <row r="133" spans="1:8" x14ac:dyDescent="0.2">
      <c r="A133" s="8"/>
      <c r="B133" s="4"/>
      <c r="C133" s="4" t="s">
        <v>131</v>
      </c>
      <c r="D133" s="4"/>
      <c r="E133" s="8"/>
      <c r="F133" s="6">
        <v>304.76472581000002</v>
      </c>
      <c r="G133" s="138">
        <v>3.6779540000000002E-3</v>
      </c>
      <c r="H133" s="142"/>
    </row>
    <row r="134" spans="1:8" x14ac:dyDescent="0.2">
      <c r="A134" s="11"/>
      <c r="B134" s="11"/>
      <c r="C134" s="2" t="s">
        <v>132</v>
      </c>
      <c r="D134" s="15"/>
      <c r="E134" s="15"/>
      <c r="F134" s="9">
        <v>82862.58030211</v>
      </c>
      <c r="G134" s="139">
        <v>1.0000000040000001</v>
      </c>
      <c r="H134" s="142"/>
    </row>
    <row r="135" spans="1:8" ht="14.1" customHeight="1" x14ac:dyDescent="0.2">
      <c r="A135" s="16"/>
      <c r="B135" s="16"/>
      <c r="C135" s="16"/>
      <c r="D135" s="17"/>
      <c r="E135" s="17"/>
      <c r="F135" s="17"/>
      <c r="G135" s="17"/>
    </row>
    <row r="136" spans="1:8" ht="14.1" customHeight="1" x14ac:dyDescent="0.2">
      <c r="A136" s="18"/>
      <c r="B136" s="205" t="s">
        <v>106</v>
      </c>
      <c r="C136" s="205"/>
      <c r="D136" s="205"/>
      <c r="E136" s="205"/>
      <c r="F136" s="205"/>
      <c r="G136" s="20"/>
    </row>
    <row r="137" spans="1:8" ht="14.1" customHeight="1" x14ac:dyDescent="0.2">
      <c r="A137" s="18"/>
      <c r="B137" s="205" t="s">
        <v>106</v>
      </c>
      <c r="C137" s="205"/>
      <c r="D137" s="205"/>
      <c r="E137" s="205"/>
      <c r="F137" s="205"/>
      <c r="G137" s="20"/>
    </row>
    <row r="138" spans="1:8" ht="14.1" customHeight="1" x14ac:dyDescent="0.2">
      <c r="A138" s="18"/>
      <c r="B138" s="18"/>
      <c r="C138" s="18"/>
      <c r="D138" s="20"/>
      <c r="E138" s="20"/>
      <c r="F138" s="20"/>
      <c r="G138" s="20"/>
    </row>
    <row r="139" spans="1:8" ht="14.1" customHeight="1" x14ac:dyDescent="0.2">
      <c r="A139" s="18"/>
      <c r="B139" s="203" t="s">
        <v>134</v>
      </c>
      <c r="C139" s="204"/>
      <c r="D139" s="12" t="s">
        <v>106</v>
      </c>
      <c r="E139" s="21"/>
      <c r="F139" s="20"/>
      <c r="G139" s="20"/>
    </row>
    <row r="140" spans="1:8" ht="29.1" customHeight="1" x14ac:dyDescent="0.2">
      <c r="A140" s="18"/>
      <c r="B140" s="199" t="s">
        <v>135</v>
      </c>
      <c r="C140" s="200"/>
      <c r="D140" s="2" t="s">
        <v>136</v>
      </c>
      <c r="E140" s="21"/>
      <c r="F140" s="20"/>
      <c r="G140" s="20"/>
    </row>
    <row r="141" spans="1:8" ht="17.100000000000001" customHeight="1" x14ac:dyDescent="0.2">
      <c r="A141" s="18"/>
      <c r="B141" s="199" t="s">
        <v>137</v>
      </c>
      <c r="C141" s="200"/>
      <c r="D141" s="2" t="s">
        <v>136</v>
      </c>
      <c r="E141" s="21"/>
      <c r="F141" s="20"/>
      <c r="G141" s="20"/>
    </row>
    <row r="142" spans="1:8" ht="17.100000000000001" customHeight="1" x14ac:dyDescent="0.2">
      <c r="A142" s="18"/>
      <c r="B142" s="199" t="s">
        <v>138</v>
      </c>
      <c r="C142" s="200"/>
      <c r="D142" s="12" t="s">
        <v>106</v>
      </c>
      <c r="E142" s="21"/>
      <c r="F142" s="20"/>
      <c r="G142" s="20"/>
    </row>
    <row r="143" spans="1:8" ht="24" customHeight="1" x14ac:dyDescent="0.2">
      <c r="A143" s="22"/>
      <c r="B143" s="23" t="s">
        <v>106</v>
      </c>
      <c r="C143" s="23" t="s">
        <v>139</v>
      </c>
      <c r="D143" s="23" t="s">
        <v>140</v>
      </c>
      <c r="E143" s="22"/>
      <c r="F143" s="22"/>
      <c r="G143" s="22"/>
    </row>
    <row r="144" spans="1:8" ht="18" customHeight="1" x14ac:dyDescent="0.2">
      <c r="A144" s="22"/>
      <c r="B144" s="23" t="s">
        <v>141</v>
      </c>
      <c r="C144" s="23" t="s">
        <v>142</v>
      </c>
      <c r="D144" s="23" t="s">
        <v>143</v>
      </c>
      <c r="E144" s="22"/>
      <c r="F144" s="22"/>
      <c r="G144" s="22"/>
    </row>
    <row r="145" spans="1:7" x14ac:dyDescent="0.2">
      <c r="A145" s="22"/>
      <c r="B145" s="4" t="s">
        <v>144</v>
      </c>
      <c r="C145" s="24">
        <v>16.406300000000002</v>
      </c>
      <c r="D145" s="24">
        <v>17.0594</v>
      </c>
      <c r="E145" s="22"/>
      <c r="F145" s="19"/>
      <c r="G145" s="25"/>
    </row>
    <row r="146" spans="1:7" x14ac:dyDescent="0.2">
      <c r="A146" s="22"/>
      <c r="B146" s="4" t="s">
        <v>1019</v>
      </c>
      <c r="C146" s="24">
        <v>15.267099999999999</v>
      </c>
      <c r="D146" s="24">
        <v>15.8748</v>
      </c>
      <c r="E146" s="22"/>
      <c r="F146" s="19"/>
      <c r="G146" s="25"/>
    </row>
    <row r="147" spans="1:7" x14ac:dyDescent="0.2">
      <c r="A147" s="22"/>
      <c r="B147" s="4" t="s">
        <v>145</v>
      </c>
      <c r="C147" s="24">
        <v>15.804600000000001</v>
      </c>
      <c r="D147" s="24">
        <v>16.410799999999998</v>
      </c>
      <c r="E147" s="22"/>
      <c r="F147" s="19"/>
      <c r="G147" s="25"/>
    </row>
    <row r="148" spans="1:7" x14ac:dyDescent="0.2">
      <c r="A148" s="22"/>
      <c r="B148" s="4" t="s">
        <v>1020</v>
      </c>
      <c r="C148" s="24">
        <v>14.720599999999999</v>
      </c>
      <c r="D148" s="24">
        <v>15.285299999999999</v>
      </c>
      <c r="E148" s="22"/>
      <c r="F148" s="19"/>
      <c r="G148" s="25"/>
    </row>
    <row r="149" spans="1:7" ht="14.1" customHeight="1" x14ac:dyDescent="0.2">
      <c r="A149" s="22"/>
      <c r="B149" s="22"/>
      <c r="C149" s="22"/>
      <c r="D149" s="22"/>
      <c r="E149" s="22"/>
      <c r="F149" s="22"/>
      <c r="G149" s="22"/>
    </row>
    <row r="150" spans="1:7" ht="17.100000000000001" customHeight="1" x14ac:dyDescent="0.2">
      <c r="A150" s="22"/>
      <c r="B150" s="199" t="s">
        <v>1021</v>
      </c>
      <c r="C150" s="200"/>
      <c r="D150" s="2" t="s">
        <v>136</v>
      </c>
      <c r="E150" s="22"/>
      <c r="F150" s="22"/>
      <c r="G150" s="22"/>
    </row>
    <row r="151" spans="1:7" ht="18" customHeight="1" x14ac:dyDescent="0.2">
      <c r="A151" s="22"/>
      <c r="B151" s="26"/>
      <c r="C151" s="26"/>
      <c r="D151" s="27"/>
      <c r="E151" s="22"/>
      <c r="F151" s="22"/>
      <c r="G151" s="22"/>
    </row>
    <row r="152" spans="1:7" s="125" customFormat="1" x14ac:dyDescent="0.2">
      <c r="B152" s="201" t="s">
        <v>825</v>
      </c>
      <c r="C152" s="201"/>
      <c r="D152" s="201"/>
      <c r="E152" s="201"/>
      <c r="F152" s="201"/>
    </row>
    <row r="153" spans="1:7" ht="14.1" customHeight="1" x14ac:dyDescent="0.2">
      <c r="A153" s="22"/>
      <c r="B153" s="19"/>
      <c r="C153" s="19"/>
      <c r="D153" s="22"/>
      <c r="E153" s="22"/>
      <c r="F153" s="22"/>
      <c r="G153" s="22"/>
    </row>
    <row r="154" spans="1:7" ht="29.1" customHeight="1" x14ac:dyDescent="0.2">
      <c r="A154" s="22"/>
      <c r="B154" s="199" t="s">
        <v>146</v>
      </c>
      <c r="C154" s="200"/>
      <c r="D154" s="2" t="s">
        <v>136</v>
      </c>
      <c r="E154" s="22"/>
      <c r="F154" s="22"/>
      <c r="G154" s="22"/>
    </row>
    <row r="155" spans="1:7" ht="29.1" customHeight="1" x14ac:dyDescent="0.2">
      <c r="A155" s="22"/>
      <c r="B155" s="199" t="s">
        <v>147</v>
      </c>
      <c r="C155" s="200"/>
      <c r="D155" s="2" t="s">
        <v>136</v>
      </c>
      <c r="E155" s="22"/>
      <c r="F155" s="22"/>
      <c r="G155" s="22"/>
    </row>
    <row r="156" spans="1:7" ht="17.100000000000001" customHeight="1" x14ac:dyDescent="0.2">
      <c r="A156" s="22"/>
      <c r="B156" s="199" t="s">
        <v>148</v>
      </c>
      <c r="C156" s="200"/>
      <c r="D156" s="28">
        <v>0.89313895410976329</v>
      </c>
      <c r="E156" s="22"/>
      <c r="F156" s="19"/>
      <c r="G156" s="25"/>
    </row>
    <row r="157" spans="1:7" ht="17.100000000000001" customHeight="1" x14ac:dyDescent="0.2">
      <c r="A157" s="22"/>
      <c r="B157" s="199" t="s">
        <v>149</v>
      </c>
      <c r="C157" s="200"/>
      <c r="D157" s="2" t="s">
        <v>136</v>
      </c>
      <c r="E157" s="22"/>
      <c r="F157" s="22"/>
      <c r="G157" s="22"/>
    </row>
    <row r="159" spans="1:7" x14ac:dyDescent="0.2">
      <c r="B159" s="164" t="s">
        <v>1051</v>
      </c>
    </row>
    <row r="161" spans="2:6" x14ac:dyDescent="0.2">
      <c r="B161" s="164" t="s">
        <v>1052</v>
      </c>
    </row>
    <row r="162" spans="2:6" x14ac:dyDescent="0.2">
      <c r="B162" s="164"/>
    </row>
    <row r="163" spans="2:6" x14ac:dyDescent="0.2">
      <c r="B163" s="164" t="s">
        <v>1053</v>
      </c>
    </row>
    <row r="164" spans="2:6" x14ac:dyDescent="0.2">
      <c r="B164" s="164"/>
    </row>
    <row r="165" spans="2:6" x14ac:dyDescent="0.2">
      <c r="B165" s="164" t="s">
        <v>1054</v>
      </c>
    </row>
    <row r="166" spans="2:6" x14ac:dyDescent="0.2">
      <c r="B166" s="164"/>
    </row>
    <row r="167" spans="2:6" x14ac:dyDescent="0.2">
      <c r="B167" s="164" t="s">
        <v>1055</v>
      </c>
    </row>
    <row r="168" spans="2:6" ht="63.75" x14ac:dyDescent="0.2">
      <c r="B168" s="165" t="s">
        <v>1056</v>
      </c>
      <c r="C168" s="165" t="s">
        <v>1066</v>
      </c>
      <c r="D168" s="165" t="s">
        <v>1067</v>
      </c>
      <c r="E168" s="165" t="s">
        <v>1072</v>
      </c>
      <c r="F168" s="165" t="s">
        <v>1071</v>
      </c>
    </row>
    <row r="169" spans="2:6" x14ac:dyDescent="0.2">
      <c r="B169" s="166">
        <v>808</v>
      </c>
      <c r="C169" s="166">
        <v>808</v>
      </c>
      <c r="D169" s="174">
        <v>6441.5020000000004</v>
      </c>
      <c r="E169" s="174">
        <v>6415.01</v>
      </c>
      <c r="F169" s="172">
        <v>-26.492000000000189</v>
      </c>
    </row>
    <row r="170" spans="2:6" x14ac:dyDescent="0.2">
      <c r="B170" s="164"/>
    </row>
    <row r="171" spans="2:6" x14ac:dyDescent="0.2">
      <c r="B171" s="164" t="s">
        <v>1057</v>
      </c>
    </row>
    <row r="172" spans="2:6" x14ac:dyDescent="0.2">
      <c r="B172" s="164"/>
    </row>
    <row r="173" spans="2:6" x14ac:dyDescent="0.2">
      <c r="B173" s="164" t="s">
        <v>1058</v>
      </c>
    </row>
    <row r="174" spans="2:6" x14ac:dyDescent="0.2">
      <c r="B174" s="164"/>
    </row>
    <row r="175" spans="2:6" x14ac:dyDescent="0.2">
      <c r="B175" s="164" t="s">
        <v>1059</v>
      </c>
    </row>
    <row r="176" spans="2:6" x14ac:dyDescent="0.2">
      <c r="B176" s="164"/>
    </row>
    <row r="177" spans="2:2" x14ac:dyDescent="0.2">
      <c r="B177" s="164" t="s">
        <v>1060</v>
      </c>
    </row>
    <row r="178" spans="2:2" x14ac:dyDescent="0.2">
      <c r="B178" s="164"/>
    </row>
    <row r="179" spans="2:2" x14ac:dyDescent="0.2">
      <c r="B179" s="164" t="s">
        <v>1061</v>
      </c>
    </row>
    <row r="180" spans="2:2" x14ac:dyDescent="0.2">
      <c r="B180" s="164"/>
    </row>
    <row r="181" spans="2:2" x14ac:dyDescent="0.2">
      <c r="B181" s="164" t="s">
        <v>1062</v>
      </c>
    </row>
    <row r="183" spans="2:2" x14ac:dyDescent="0.2">
      <c r="B183" s="164" t="s">
        <v>1063</v>
      </c>
    </row>
    <row r="185" spans="2:2" x14ac:dyDescent="0.2">
      <c r="B185" s="164" t="s">
        <v>1064</v>
      </c>
    </row>
  </sheetData>
  <mergeCells count="16">
    <mergeCell ref="J2:N2"/>
    <mergeCell ref="B139:C139"/>
    <mergeCell ref="B136:F136"/>
    <mergeCell ref="B137:F137"/>
    <mergeCell ref="A1:H1"/>
    <mergeCell ref="A2:H2"/>
    <mergeCell ref="A3:H3"/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N20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721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37"/>
      <c r="H5" s="151"/>
    </row>
    <row r="6" spans="1:14" ht="25.5" x14ac:dyDescent="0.2">
      <c r="A6" s="1"/>
      <c r="B6" s="1"/>
      <c r="C6" s="2" t="s">
        <v>10</v>
      </c>
      <c r="D6" s="1"/>
      <c r="E6" s="1"/>
      <c r="F6" s="1"/>
      <c r="G6" s="137"/>
      <c r="H6" s="151"/>
    </row>
    <row r="7" spans="1:14" ht="25.5" x14ac:dyDescent="0.2">
      <c r="A7" s="3">
        <v>1</v>
      </c>
      <c r="B7" s="4" t="s">
        <v>412</v>
      </c>
      <c r="C7" s="4" t="s">
        <v>413</v>
      </c>
      <c r="D7" s="4" t="s">
        <v>80</v>
      </c>
      <c r="E7" s="5">
        <v>34750</v>
      </c>
      <c r="F7" s="6">
        <v>957.11924999999997</v>
      </c>
      <c r="G7" s="138">
        <v>7.1412178000000007E-2</v>
      </c>
      <c r="H7" s="151"/>
    </row>
    <row r="8" spans="1:14" ht="25.5" x14ac:dyDescent="0.2">
      <c r="A8" s="3">
        <v>2</v>
      </c>
      <c r="B8" s="4" t="s">
        <v>418</v>
      </c>
      <c r="C8" s="4" t="s">
        <v>419</v>
      </c>
      <c r="D8" s="4" t="s">
        <v>90</v>
      </c>
      <c r="E8" s="5">
        <v>34000</v>
      </c>
      <c r="F8" s="6">
        <v>918.61199999999997</v>
      </c>
      <c r="G8" s="138">
        <v>6.8539090999999996E-2</v>
      </c>
      <c r="H8" s="151"/>
    </row>
    <row r="9" spans="1:14" x14ac:dyDescent="0.2">
      <c r="A9" s="3">
        <v>3</v>
      </c>
      <c r="B9" s="4" t="s">
        <v>22</v>
      </c>
      <c r="C9" s="4" t="s">
        <v>23</v>
      </c>
      <c r="D9" s="4" t="s">
        <v>24</v>
      </c>
      <c r="E9" s="5">
        <v>110500</v>
      </c>
      <c r="F9" s="6">
        <v>774.43925000000002</v>
      </c>
      <c r="G9" s="138">
        <v>5.7782134999999998E-2</v>
      </c>
      <c r="H9" s="151"/>
    </row>
    <row r="10" spans="1:14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30100</v>
      </c>
      <c r="F10" s="6">
        <v>758.29425000000003</v>
      </c>
      <c r="G10" s="138">
        <v>5.6577531E-2</v>
      </c>
      <c r="H10" s="151"/>
    </row>
    <row r="11" spans="1:14" x14ac:dyDescent="0.2">
      <c r="A11" s="3">
        <v>5</v>
      </c>
      <c r="B11" s="4" t="s">
        <v>437</v>
      </c>
      <c r="C11" s="4" t="s">
        <v>438</v>
      </c>
      <c r="D11" s="4" t="s">
        <v>164</v>
      </c>
      <c r="E11" s="5">
        <v>44000</v>
      </c>
      <c r="F11" s="6">
        <v>607.46400000000006</v>
      </c>
      <c r="G11" s="138">
        <v>4.5323848E-2</v>
      </c>
      <c r="H11" s="151"/>
    </row>
    <row r="12" spans="1:14" x14ac:dyDescent="0.2">
      <c r="A12" s="3">
        <v>6</v>
      </c>
      <c r="B12" s="4" t="s">
        <v>410</v>
      </c>
      <c r="C12" s="4" t="s">
        <v>411</v>
      </c>
      <c r="D12" s="4" t="s">
        <v>164</v>
      </c>
      <c r="E12" s="5">
        <v>27000</v>
      </c>
      <c r="F12" s="6">
        <v>452.30399999999997</v>
      </c>
      <c r="G12" s="138">
        <v>3.3747115000000001E-2</v>
      </c>
      <c r="H12" s="151"/>
    </row>
    <row r="13" spans="1:14" x14ac:dyDescent="0.2">
      <c r="A13" s="3">
        <v>7</v>
      </c>
      <c r="B13" s="4" t="s">
        <v>17</v>
      </c>
      <c r="C13" s="4" t="s">
        <v>18</v>
      </c>
      <c r="D13" s="4" t="s">
        <v>19</v>
      </c>
      <c r="E13" s="5">
        <v>58871</v>
      </c>
      <c r="F13" s="6">
        <v>405.209093</v>
      </c>
      <c r="G13" s="138">
        <v>3.0233289999999999E-2</v>
      </c>
      <c r="H13" s="151"/>
    </row>
    <row r="14" spans="1:14" x14ac:dyDescent="0.2">
      <c r="A14" s="3">
        <v>8</v>
      </c>
      <c r="B14" s="4" t="s">
        <v>408</v>
      </c>
      <c r="C14" s="4" t="s">
        <v>409</v>
      </c>
      <c r="D14" s="4" t="s">
        <v>24</v>
      </c>
      <c r="E14" s="5">
        <v>24500</v>
      </c>
      <c r="F14" s="6">
        <v>390.76274999999998</v>
      </c>
      <c r="G14" s="138">
        <v>2.9155424999999999E-2</v>
      </c>
      <c r="H14" s="151"/>
    </row>
    <row r="15" spans="1:14" ht="25.5" x14ac:dyDescent="0.2">
      <c r="A15" s="3">
        <v>9</v>
      </c>
      <c r="B15" s="4" t="s">
        <v>484</v>
      </c>
      <c r="C15" s="4" t="s">
        <v>485</v>
      </c>
      <c r="D15" s="4" t="s">
        <v>90</v>
      </c>
      <c r="E15" s="5">
        <v>40000</v>
      </c>
      <c r="F15" s="6">
        <v>341.24</v>
      </c>
      <c r="G15" s="138">
        <v>2.5460455E-2</v>
      </c>
      <c r="H15" s="151"/>
      <c r="J15" s="163" t="s">
        <v>1048</v>
      </c>
    </row>
    <row r="16" spans="1:14" s="130" customFormat="1" x14ac:dyDescent="0.2">
      <c r="A16" s="3">
        <v>10</v>
      </c>
      <c r="B16" s="4" t="s">
        <v>984</v>
      </c>
      <c r="C16" s="4" t="s">
        <v>985</v>
      </c>
      <c r="D16" s="4" t="s">
        <v>66</v>
      </c>
      <c r="E16" s="5">
        <v>97120</v>
      </c>
      <c r="F16" s="6">
        <v>329.30478399999998</v>
      </c>
      <c r="G16" s="138">
        <v>2.456995E-2</v>
      </c>
      <c r="H16" s="151"/>
    </row>
    <row r="17" spans="1:8" x14ac:dyDescent="0.2">
      <c r="A17" s="3">
        <v>11</v>
      </c>
      <c r="B17" s="4" t="s">
        <v>348</v>
      </c>
      <c r="C17" s="4" t="s">
        <v>349</v>
      </c>
      <c r="D17" s="4" t="s">
        <v>59</v>
      </c>
      <c r="E17" s="5">
        <v>84500</v>
      </c>
      <c r="F17" s="6">
        <v>328.91624999999999</v>
      </c>
      <c r="G17" s="138">
        <v>2.4540961E-2</v>
      </c>
      <c r="H17" s="151"/>
    </row>
    <row r="18" spans="1:8" ht="25.5" x14ac:dyDescent="0.2">
      <c r="A18" s="3">
        <v>12</v>
      </c>
      <c r="B18" s="4" t="s">
        <v>398</v>
      </c>
      <c r="C18" s="4" t="s">
        <v>399</v>
      </c>
      <c r="D18" s="4" t="s">
        <v>90</v>
      </c>
      <c r="E18" s="5">
        <v>37000</v>
      </c>
      <c r="F18" s="6">
        <v>301.03199999999998</v>
      </c>
      <c r="G18" s="138">
        <v>2.2460473000000002E-2</v>
      </c>
      <c r="H18" s="151"/>
    </row>
    <row r="19" spans="1:8" ht="25.5" x14ac:dyDescent="0.2">
      <c r="A19" s="3">
        <v>13</v>
      </c>
      <c r="B19" s="4" t="s">
        <v>435</v>
      </c>
      <c r="C19" s="4" t="s">
        <v>436</v>
      </c>
      <c r="D19" s="4" t="s">
        <v>90</v>
      </c>
      <c r="E19" s="5">
        <v>110000</v>
      </c>
      <c r="F19" s="6">
        <v>259.76499999999999</v>
      </c>
      <c r="G19" s="138">
        <v>1.9381477000000001E-2</v>
      </c>
      <c r="H19" s="151"/>
    </row>
    <row r="20" spans="1:8" x14ac:dyDescent="0.2">
      <c r="A20" s="3">
        <v>14</v>
      </c>
      <c r="B20" s="4" t="s">
        <v>414</v>
      </c>
      <c r="C20" s="4" t="s">
        <v>415</v>
      </c>
      <c r="D20" s="4" t="s">
        <v>24</v>
      </c>
      <c r="E20" s="5">
        <v>52000</v>
      </c>
      <c r="F20" s="6">
        <v>235.56</v>
      </c>
      <c r="G20" s="138">
        <v>1.7575502999999999E-2</v>
      </c>
      <c r="H20" s="151"/>
    </row>
    <row r="21" spans="1:8" x14ac:dyDescent="0.2">
      <c r="A21" s="3">
        <v>15</v>
      </c>
      <c r="B21" s="4" t="s">
        <v>11</v>
      </c>
      <c r="C21" s="4" t="s">
        <v>12</v>
      </c>
      <c r="D21" s="4" t="s">
        <v>13</v>
      </c>
      <c r="E21" s="5">
        <v>11000</v>
      </c>
      <c r="F21" s="6">
        <v>187.3245</v>
      </c>
      <c r="G21" s="138">
        <v>1.3976577E-2</v>
      </c>
      <c r="H21" s="151"/>
    </row>
    <row r="22" spans="1:8" x14ac:dyDescent="0.2">
      <c r="A22" s="3">
        <v>16</v>
      </c>
      <c r="B22" s="4" t="s">
        <v>394</v>
      </c>
      <c r="C22" s="4" t="s">
        <v>395</v>
      </c>
      <c r="D22" s="4" t="s">
        <v>1030</v>
      </c>
      <c r="E22" s="5">
        <v>1000</v>
      </c>
      <c r="F22" s="6">
        <v>177.86750000000001</v>
      </c>
      <c r="G22" s="138">
        <v>1.3270975000000001E-2</v>
      </c>
      <c r="H22" s="151"/>
    </row>
    <row r="23" spans="1:8" x14ac:dyDescent="0.2">
      <c r="A23" s="3">
        <v>17</v>
      </c>
      <c r="B23" s="4" t="s">
        <v>420</v>
      </c>
      <c r="C23" s="4" t="s">
        <v>421</v>
      </c>
      <c r="D23" s="4" t="s">
        <v>164</v>
      </c>
      <c r="E23" s="5">
        <v>4639</v>
      </c>
      <c r="F23" s="6">
        <v>175.14776449999999</v>
      </c>
      <c r="G23" s="138">
        <v>1.3068051000000001E-2</v>
      </c>
      <c r="H23" s="151"/>
    </row>
    <row r="24" spans="1:8" x14ac:dyDescent="0.2">
      <c r="A24" s="3">
        <v>18</v>
      </c>
      <c r="B24" s="4" t="s">
        <v>336</v>
      </c>
      <c r="C24" s="4" t="s">
        <v>337</v>
      </c>
      <c r="D24" s="4" t="s">
        <v>24</v>
      </c>
      <c r="E24" s="5">
        <v>21500</v>
      </c>
      <c r="F24" s="6">
        <v>164.80824999999999</v>
      </c>
      <c r="G24" s="138">
        <v>1.2296603999999999E-2</v>
      </c>
      <c r="H24" s="151"/>
    </row>
    <row r="25" spans="1:8" x14ac:dyDescent="0.2">
      <c r="A25" s="3">
        <v>19</v>
      </c>
      <c r="B25" s="4" t="s">
        <v>40</v>
      </c>
      <c r="C25" s="4" t="s">
        <v>41</v>
      </c>
      <c r="D25" s="4" t="s">
        <v>16</v>
      </c>
      <c r="E25" s="5">
        <v>35200</v>
      </c>
      <c r="F25" s="6">
        <v>152.1344</v>
      </c>
      <c r="G25" s="138">
        <v>1.1350987999999999E-2</v>
      </c>
      <c r="H25" s="151"/>
    </row>
    <row r="26" spans="1:8" x14ac:dyDescent="0.2">
      <c r="A26" s="3">
        <v>20</v>
      </c>
      <c r="B26" s="4" t="s">
        <v>344</v>
      </c>
      <c r="C26" s="4" t="s">
        <v>345</v>
      </c>
      <c r="D26" s="4" t="s">
        <v>24</v>
      </c>
      <c r="E26" s="5">
        <v>150000</v>
      </c>
      <c r="F26" s="6">
        <v>126.45</v>
      </c>
      <c r="G26" s="138">
        <v>9.4346340000000008E-3</v>
      </c>
      <c r="H26" s="151"/>
    </row>
    <row r="27" spans="1:8" ht="25.5" x14ac:dyDescent="0.2">
      <c r="A27" s="3">
        <v>21</v>
      </c>
      <c r="B27" s="4" t="s">
        <v>38</v>
      </c>
      <c r="C27" s="4" t="s">
        <v>39</v>
      </c>
      <c r="D27" s="4" t="s">
        <v>1023</v>
      </c>
      <c r="E27" s="5">
        <v>1700</v>
      </c>
      <c r="F27" s="6">
        <v>125.7337</v>
      </c>
      <c r="G27" s="138">
        <v>9.3811899999999993E-3</v>
      </c>
      <c r="H27" s="151"/>
    </row>
    <row r="28" spans="1:8" x14ac:dyDescent="0.2">
      <c r="A28" s="3">
        <v>22</v>
      </c>
      <c r="B28" s="4" t="s">
        <v>575</v>
      </c>
      <c r="C28" s="4" t="s">
        <v>576</v>
      </c>
      <c r="D28" s="4" t="s">
        <v>83</v>
      </c>
      <c r="E28" s="5">
        <v>3250</v>
      </c>
      <c r="F28" s="6">
        <v>124.561125</v>
      </c>
      <c r="G28" s="138">
        <v>9.2937019999999992E-3</v>
      </c>
      <c r="H28" s="151"/>
    </row>
    <row r="29" spans="1:8" x14ac:dyDescent="0.2">
      <c r="A29" s="3">
        <v>23</v>
      </c>
      <c r="B29" s="4" t="s">
        <v>441</v>
      </c>
      <c r="C29" s="4" t="s">
        <v>442</v>
      </c>
      <c r="D29" s="4" t="s">
        <v>24</v>
      </c>
      <c r="E29" s="5">
        <v>5500</v>
      </c>
      <c r="F29" s="6">
        <v>110.30249999999999</v>
      </c>
      <c r="G29" s="138">
        <v>8.229844E-3</v>
      </c>
      <c r="H29" s="151"/>
    </row>
    <row r="30" spans="1:8" x14ac:dyDescent="0.2">
      <c r="A30" s="3">
        <v>24</v>
      </c>
      <c r="B30" s="4" t="s">
        <v>368</v>
      </c>
      <c r="C30" s="4" t="s">
        <v>369</v>
      </c>
      <c r="D30" s="4" t="s">
        <v>164</v>
      </c>
      <c r="E30" s="5">
        <v>7000</v>
      </c>
      <c r="F30" s="6">
        <v>89.5685</v>
      </c>
      <c r="G30" s="138">
        <v>6.6828469999999996E-3</v>
      </c>
      <c r="H30" s="151"/>
    </row>
    <row r="31" spans="1:8" s="130" customFormat="1" ht="25.5" x14ac:dyDescent="0.2">
      <c r="A31" s="3">
        <v>25</v>
      </c>
      <c r="B31" s="4" t="s">
        <v>986</v>
      </c>
      <c r="C31" s="4" t="s">
        <v>987</v>
      </c>
      <c r="D31" s="4" t="s">
        <v>34</v>
      </c>
      <c r="E31" s="5">
        <v>65000</v>
      </c>
      <c r="F31" s="6">
        <v>78.298999999999992</v>
      </c>
      <c r="G31" s="138">
        <v>5.8420099999999999E-3</v>
      </c>
      <c r="H31" s="151"/>
    </row>
    <row r="32" spans="1:8" x14ac:dyDescent="0.2">
      <c r="A32" s="3">
        <v>26</v>
      </c>
      <c r="B32" s="4" t="s">
        <v>428</v>
      </c>
      <c r="C32" s="4" t="s">
        <v>429</v>
      </c>
      <c r="D32" s="4" t="s">
        <v>430</v>
      </c>
      <c r="E32" s="5">
        <v>16000</v>
      </c>
      <c r="F32" s="6">
        <v>78.072000000000003</v>
      </c>
      <c r="G32" s="138">
        <v>5.8250749999999999E-3</v>
      </c>
      <c r="H32" s="151"/>
    </row>
    <row r="33" spans="1:8" x14ac:dyDescent="0.2">
      <c r="A33" s="3">
        <v>27</v>
      </c>
      <c r="B33" s="4" t="s">
        <v>433</v>
      </c>
      <c r="C33" s="4" t="s">
        <v>434</v>
      </c>
      <c r="D33" s="4" t="s">
        <v>207</v>
      </c>
      <c r="E33" s="5">
        <v>1600</v>
      </c>
      <c r="F33" s="6">
        <v>76.779200000000003</v>
      </c>
      <c r="G33" s="138">
        <v>5.7286170000000001E-3</v>
      </c>
      <c r="H33" s="151"/>
    </row>
    <row r="34" spans="1:8" x14ac:dyDescent="0.2">
      <c r="A34" s="3">
        <v>28</v>
      </c>
      <c r="B34" s="4" t="s">
        <v>722</v>
      </c>
      <c r="C34" s="4" t="s">
        <v>723</v>
      </c>
      <c r="D34" s="4" t="s">
        <v>1026</v>
      </c>
      <c r="E34" s="5">
        <v>15000</v>
      </c>
      <c r="F34" s="6">
        <v>75.802499999999995</v>
      </c>
      <c r="G34" s="138">
        <v>5.6557439999999999E-3</v>
      </c>
      <c r="H34" s="151"/>
    </row>
    <row r="35" spans="1:8" x14ac:dyDescent="0.2">
      <c r="A35" s="3">
        <v>29</v>
      </c>
      <c r="B35" s="4" t="s">
        <v>416</v>
      </c>
      <c r="C35" s="4" t="s">
        <v>417</v>
      </c>
      <c r="D35" s="4" t="s">
        <v>1030</v>
      </c>
      <c r="E35" s="5">
        <v>6000</v>
      </c>
      <c r="F35" s="6">
        <v>72.906000000000006</v>
      </c>
      <c r="G35" s="138">
        <v>5.4396319999999998E-3</v>
      </c>
      <c r="H35" s="151"/>
    </row>
    <row r="36" spans="1:8" x14ac:dyDescent="0.2">
      <c r="A36" s="3">
        <v>30</v>
      </c>
      <c r="B36" s="4" t="s">
        <v>308</v>
      </c>
      <c r="C36" s="4" t="s">
        <v>309</v>
      </c>
      <c r="D36" s="4" t="s">
        <v>1030</v>
      </c>
      <c r="E36" s="5">
        <v>7000</v>
      </c>
      <c r="F36" s="6">
        <v>71.001000000000005</v>
      </c>
      <c r="G36" s="138">
        <v>5.297497E-3</v>
      </c>
      <c r="H36" s="151"/>
    </row>
    <row r="37" spans="1:8" ht="25.5" x14ac:dyDescent="0.2">
      <c r="A37" s="3">
        <v>31</v>
      </c>
      <c r="B37" s="4" t="s">
        <v>20</v>
      </c>
      <c r="C37" s="4" t="s">
        <v>21</v>
      </c>
      <c r="D37" s="4" t="s">
        <v>1023</v>
      </c>
      <c r="E37" s="5">
        <v>7000</v>
      </c>
      <c r="F37" s="6">
        <v>68.9255</v>
      </c>
      <c r="G37" s="138">
        <v>5.1426400000000004E-3</v>
      </c>
      <c r="H37" s="151"/>
    </row>
    <row r="38" spans="1:8" x14ac:dyDescent="0.2">
      <c r="A38" s="3">
        <v>32</v>
      </c>
      <c r="B38" s="4" t="s">
        <v>424</v>
      </c>
      <c r="C38" s="4" t="s">
        <v>425</v>
      </c>
      <c r="D38" s="4" t="s">
        <v>207</v>
      </c>
      <c r="E38" s="5">
        <v>7000</v>
      </c>
      <c r="F38" s="6">
        <v>57.277500000000003</v>
      </c>
      <c r="G38" s="138">
        <v>4.273565E-3</v>
      </c>
      <c r="H38" s="151"/>
    </row>
    <row r="39" spans="1:8" x14ac:dyDescent="0.2">
      <c r="A39" s="3">
        <v>33</v>
      </c>
      <c r="B39" s="4" t="s">
        <v>426</v>
      </c>
      <c r="C39" s="4" t="s">
        <v>427</v>
      </c>
      <c r="D39" s="4" t="s">
        <v>83</v>
      </c>
      <c r="E39" s="5">
        <v>6500</v>
      </c>
      <c r="F39" s="6">
        <v>52.198250000000002</v>
      </c>
      <c r="G39" s="138">
        <v>3.8945939999999999E-3</v>
      </c>
      <c r="H39" s="151"/>
    </row>
    <row r="40" spans="1:8" x14ac:dyDescent="0.2">
      <c r="A40" s="3">
        <v>34</v>
      </c>
      <c r="B40" s="4" t="s">
        <v>688</v>
      </c>
      <c r="C40" s="4" t="s">
        <v>689</v>
      </c>
      <c r="D40" s="4" t="s">
        <v>322</v>
      </c>
      <c r="E40" s="5">
        <v>7000</v>
      </c>
      <c r="F40" s="6">
        <v>49.539000000000001</v>
      </c>
      <c r="G40" s="138">
        <v>3.696183E-3</v>
      </c>
      <c r="H40" s="151"/>
    </row>
    <row r="41" spans="1:8" x14ac:dyDescent="0.2">
      <c r="A41" s="3">
        <v>35</v>
      </c>
      <c r="B41" s="4" t="s">
        <v>388</v>
      </c>
      <c r="C41" s="4" t="s">
        <v>389</v>
      </c>
      <c r="D41" s="4" t="s">
        <v>335</v>
      </c>
      <c r="E41" s="5">
        <v>35775</v>
      </c>
      <c r="F41" s="6">
        <v>48.868650000000002</v>
      </c>
      <c r="G41" s="138">
        <v>3.6461670000000001E-3</v>
      </c>
      <c r="H41" s="151"/>
    </row>
    <row r="42" spans="1:8" x14ac:dyDescent="0.2">
      <c r="A42" s="3">
        <v>36</v>
      </c>
      <c r="B42" s="4" t="s">
        <v>54</v>
      </c>
      <c r="C42" s="4" t="s">
        <v>55</v>
      </c>
      <c r="D42" s="4" t="s">
        <v>56</v>
      </c>
      <c r="E42" s="5">
        <v>30000</v>
      </c>
      <c r="F42" s="6">
        <v>47.655000000000001</v>
      </c>
      <c r="G42" s="138">
        <v>3.5556149999999998E-3</v>
      </c>
      <c r="H42" s="151"/>
    </row>
    <row r="43" spans="1:8" x14ac:dyDescent="0.2">
      <c r="A43" s="3">
        <v>37</v>
      </c>
      <c r="B43" s="4" t="s">
        <v>350</v>
      </c>
      <c r="C43" s="4" t="s">
        <v>351</v>
      </c>
      <c r="D43" s="4" t="s">
        <v>80</v>
      </c>
      <c r="E43" s="5">
        <v>3500</v>
      </c>
      <c r="F43" s="6">
        <v>45.45975</v>
      </c>
      <c r="G43" s="138">
        <v>3.3918239999999999E-3</v>
      </c>
      <c r="H43" s="151"/>
    </row>
    <row r="44" spans="1:8" x14ac:dyDescent="0.2">
      <c r="A44" s="3">
        <v>38</v>
      </c>
      <c r="B44" s="4" t="s">
        <v>360</v>
      </c>
      <c r="C44" s="4" t="s">
        <v>361</v>
      </c>
      <c r="D44" s="4" t="s">
        <v>24</v>
      </c>
      <c r="E44" s="5">
        <v>50000</v>
      </c>
      <c r="F44" s="6">
        <v>40.875</v>
      </c>
      <c r="G44" s="138">
        <v>3.0497480000000001E-3</v>
      </c>
      <c r="H44" s="151"/>
    </row>
    <row r="45" spans="1:8" x14ac:dyDescent="0.2">
      <c r="A45" s="3">
        <v>39</v>
      </c>
      <c r="B45" s="4" t="s">
        <v>340</v>
      </c>
      <c r="C45" s="4" t="s">
        <v>341</v>
      </c>
      <c r="D45" s="4" t="s">
        <v>216</v>
      </c>
      <c r="E45" s="5">
        <v>125</v>
      </c>
      <c r="F45" s="6">
        <v>39.631124999999997</v>
      </c>
      <c r="G45" s="138">
        <v>2.9569409999999998E-3</v>
      </c>
      <c r="H45" s="151"/>
    </row>
    <row r="46" spans="1:8" x14ac:dyDescent="0.2">
      <c r="A46" s="3">
        <v>40</v>
      </c>
      <c r="B46" s="4" t="s">
        <v>422</v>
      </c>
      <c r="C46" s="4" t="s">
        <v>423</v>
      </c>
      <c r="D46" s="4" t="s">
        <v>164</v>
      </c>
      <c r="E46" s="5">
        <v>6000</v>
      </c>
      <c r="F46" s="6">
        <v>38.045999999999999</v>
      </c>
      <c r="G46" s="138">
        <v>2.838672E-3</v>
      </c>
      <c r="H46" s="151"/>
    </row>
    <row r="47" spans="1:8" x14ac:dyDescent="0.2">
      <c r="A47" s="3">
        <v>41</v>
      </c>
      <c r="B47" s="4" t="s">
        <v>506</v>
      </c>
      <c r="C47" s="4" t="s">
        <v>507</v>
      </c>
      <c r="D47" s="4" t="s">
        <v>83</v>
      </c>
      <c r="E47" s="5">
        <v>11300</v>
      </c>
      <c r="F47" s="6">
        <v>37.668550000000003</v>
      </c>
      <c r="G47" s="138">
        <v>2.81051E-3</v>
      </c>
      <c r="H47" s="151"/>
    </row>
    <row r="48" spans="1:8" x14ac:dyDescent="0.2">
      <c r="A48" s="3">
        <v>42</v>
      </c>
      <c r="B48" s="4" t="s">
        <v>346</v>
      </c>
      <c r="C48" s="4" t="s">
        <v>347</v>
      </c>
      <c r="D48" s="4" t="s">
        <v>207</v>
      </c>
      <c r="E48" s="5">
        <v>1000</v>
      </c>
      <c r="F48" s="6">
        <v>37.198999999999998</v>
      </c>
      <c r="G48" s="138">
        <v>2.7754759999999998E-3</v>
      </c>
      <c r="H48" s="151"/>
    </row>
    <row r="49" spans="1:8" x14ac:dyDescent="0.2">
      <c r="A49" s="3">
        <v>43</v>
      </c>
      <c r="B49" s="4" t="s">
        <v>352</v>
      </c>
      <c r="C49" s="4" t="s">
        <v>353</v>
      </c>
      <c r="D49" s="4" t="s">
        <v>48</v>
      </c>
      <c r="E49" s="5">
        <v>5000</v>
      </c>
      <c r="F49" s="6">
        <v>35.215000000000003</v>
      </c>
      <c r="G49" s="138">
        <v>2.6274470000000002E-3</v>
      </c>
      <c r="H49" s="151"/>
    </row>
    <row r="50" spans="1:8" ht="25.5" x14ac:dyDescent="0.2">
      <c r="A50" s="3">
        <v>44</v>
      </c>
      <c r="B50" s="4" t="s">
        <v>642</v>
      </c>
      <c r="C50" s="4" t="s">
        <v>643</v>
      </c>
      <c r="D50" s="4" t="s">
        <v>1030</v>
      </c>
      <c r="E50" s="5">
        <v>4600</v>
      </c>
      <c r="F50" s="6">
        <v>30.905100000000001</v>
      </c>
      <c r="G50" s="138">
        <v>2.3058779999999999E-3</v>
      </c>
      <c r="H50" s="151"/>
    </row>
    <row r="51" spans="1:8" x14ac:dyDescent="0.2">
      <c r="A51" s="3">
        <v>45</v>
      </c>
      <c r="B51" s="4" t="s">
        <v>590</v>
      </c>
      <c r="C51" s="4" t="s">
        <v>591</v>
      </c>
      <c r="D51" s="4" t="s">
        <v>1030</v>
      </c>
      <c r="E51" s="5">
        <v>4000</v>
      </c>
      <c r="F51" s="6">
        <v>28.896000000000001</v>
      </c>
      <c r="G51" s="138">
        <v>2.155976E-3</v>
      </c>
      <c r="H51" s="151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9">
        <v>9605.1399915000038</v>
      </c>
      <c r="G52" s="139">
        <v>0.71665465500000003</v>
      </c>
      <c r="H52" s="151"/>
    </row>
    <row r="53" spans="1:8" x14ac:dyDescent="0.2">
      <c r="A53" s="1"/>
      <c r="B53" s="1"/>
      <c r="C53" s="11"/>
      <c r="D53" s="1"/>
      <c r="E53" s="1"/>
      <c r="F53" s="12"/>
      <c r="G53" s="140"/>
      <c r="H53" s="151"/>
    </row>
    <row r="54" spans="1:8" x14ac:dyDescent="0.2">
      <c r="A54" s="1"/>
      <c r="B54" s="1"/>
      <c r="C54" s="2" t="s">
        <v>107</v>
      </c>
      <c r="D54" s="1"/>
      <c r="E54" s="1"/>
      <c r="F54" s="1"/>
      <c r="G54" s="137"/>
      <c r="H54" s="151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13">
        <v>0</v>
      </c>
      <c r="G55" s="141">
        <v>0</v>
      </c>
      <c r="H55" s="151"/>
    </row>
    <row r="56" spans="1:8" x14ac:dyDescent="0.2">
      <c r="A56" s="1"/>
      <c r="B56" s="1"/>
      <c r="C56" s="11"/>
      <c r="D56" s="1"/>
      <c r="E56" s="1"/>
      <c r="F56" s="12"/>
      <c r="G56" s="140"/>
      <c r="H56" s="151"/>
    </row>
    <row r="57" spans="1:8" x14ac:dyDescent="0.2">
      <c r="A57" s="1"/>
      <c r="B57" s="1"/>
      <c r="C57" s="2" t="s">
        <v>108</v>
      </c>
      <c r="D57" s="1"/>
      <c r="E57" s="1"/>
      <c r="F57" s="1"/>
      <c r="G57" s="137"/>
      <c r="H57" s="151"/>
    </row>
    <row r="58" spans="1:8" x14ac:dyDescent="0.2">
      <c r="A58" s="1"/>
      <c r="B58" s="1"/>
      <c r="C58" s="2" t="s">
        <v>105</v>
      </c>
      <c r="D58" s="1"/>
      <c r="E58" s="1" t="s">
        <v>106</v>
      </c>
      <c r="F58" s="13">
        <v>0</v>
      </c>
      <c r="G58" s="141">
        <v>0</v>
      </c>
      <c r="H58" s="151"/>
    </row>
    <row r="59" spans="1:8" x14ac:dyDescent="0.2">
      <c r="A59" s="1"/>
      <c r="B59" s="1"/>
      <c r="C59" s="11"/>
      <c r="D59" s="1"/>
      <c r="E59" s="1"/>
      <c r="F59" s="12"/>
      <c r="G59" s="140"/>
      <c r="H59" s="151"/>
    </row>
    <row r="60" spans="1:8" x14ac:dyDescent="0.2">
      <c r="A60" s="1"/>
      <c r="B60" s="1"/>
      <c r="C60" s="2" t="s">
        <v>109</v>
      </c>
      <c r="D60" s="1"/>
      <c r="E60" s="1"/>
      <c r="F60" s="1"/>
      <c r="G60" s="137"/>
      <c r="H60" s="151"/>
    </row>
    <row r="61" spans="1:8" x14ac:dyDescent="0.2">
      <c r="A61" s="3">
        <v>1</v>
      </c>
      <c r="B61" s="4" t="s">
        <v>110</v>
      </c>
      <c r="C61" s="4" t="s">
        <v>996</v>
      </c>
      <c r="D61" s="4" t="s">
        <v>19</v>
      </c>
      <c r="E61" s="5">
        <v>4205</v>
      </c>
      <c r="F61" s="6">
        <v>6.4462650000000004</v>
      </c>
      <c r="G61" s="138">
        <v>4.8096599999999999E-4</v>
      </c>
      <c r="H61" s="151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9">
        <v>6.4462650000000004</v>
      </c>
      <c r="G62" s="139">
        <v>4.8096599999999999E-4</v>
      </c>
      <c r="H62" s="151"/>
    </row>
    <row r="63" spans="1:8" x14ac:dyDescent="0.2">
      <c r="A63" s="1"/>
      <c r="B63" s="1"/>
      <c r="C63" s="11"/>
      <c r="D63" s="1"/>
      <c r="E63" s="1"/>
      <c r="F63" s="12"/>
      <c r="G63" s="140"/>
      <c r="H63" s="151"/>
    </row>
    <row r="64" spans="1:8" x14ac:dyDescent="0.2">
      <c r="A64" s="1"/>
      <c r="B64" s="1"/>
      <c r="C64" s="2" t="s">
        <v>111</v>
      </c>
      <c r="D64" s="1"/>
      <c r="E64" s="1"/>
      <c r="F64" s="12"/>
      <c r="G64" s="140"/>
      <c r="H64" s="151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1">
        <v>0</v>
      </c>
      <c r="H65" s="151"/>
    </row>
    <row r="66" spans="1:8" x14ac:dyDescent="0.2">
      <c r="A66" s="1"/>
      <c r="B66" s="1"/>
      <c r="C66" s="11"/>
      <c r="D66" s="1"/>
      <c r="E66" s="1"/>
      <c r="F66" s="12"/>
      <c r="G66" s="140"/>
      <c r="H66" s="151"/>
    </row>
    <row r="67" spans="1:8" x14ac:dyDescent="0.2">
      <c r="A67" s="1"/>
      <c r="B67" s="1"/>
      <c r="C67" s="2" t="s">
        <v>112</v>
      </c>
      <c r="D67" s="1"/>
      <c r="E67" s="1"/>
      <c r="F67" s="12"/>
      <c r="G67" s="140"/>
      <c r="H67" s="151"/>
    </row>
    <row r="68" spans="1:8" x14ac:dyDescent="0.2">
      <c r="A68" s="3">
        <v>1</v>
      </c>
      <c r="B68" s="4"/>
      <c r="C68" s="4" t="s">
        <v>939</v>
      </c>
      <c r="D68" s="4" t="s">
        <v>706</v>
      </c>
      <c r="E68" s="5">
        <v>-15000</v>
      </c>
      <c r="F68" s="6">
        <v>-76.484999999999999</v>
      </c>
      <c r="G68" s="138">
        <v>-5.7066700000000005E-3</v>
      </c>
      <c r="H68" s="151"/>
    </row>
    <row r="69" spans="1:8" ht="25.5" x14ac:dyDescent="0.2">
      <c r="A69" s="3">
        <v>2</v>
      </c>
      <c r="B69" s="4"/>
      <c r="C69" s="4" t="s">
        <v>940</v>
      </c>
      <c r="D69" s="4" t="s">
        <v>706</v>
      </c>
      <c r="E69" s="5">
        <v>-18000</v>
      </c>
      <c r="F69" s="6">
        <v>-77.966999999999999</v>
      </c>
      <c r="G69" s="138">
        <v>-5.8172400000000004E-3</v>
      </c>
      <c r="H69" s="151"/>
    </row>
    <row r="70" spans="1:8" x14ac:dyDescent="0.2">
      <c r="A70" s="3">
        <v>3</v>
      </c>
      <c r="B70" s="4"/>
      <c r="C70" s="4" t="s">
        <v>941</v>
      </c>
      <c r="D70" s="4" t="s">
        <v>724</v>
      </c>
      <c r="E70" s="5">
        <v>-3250</v>
      </c>
      <c r="F70" s="6">
        <v>-124.860125</v>
      </c>
      <c r="G70" s="138">
        <v>-9.3160099999999996E-3</v>
      </c>
      <c r="H70" s="151"/>
    </row>
    <row r="71" spans="1:8" x14ac:dyDescent="0.2">
      <c r="A71" s="3">
        <v>4</v>
      </c>
      <c r="B71" s="4"/>
      <c r="C71" s="4" t="s">
        <v>942</v>
      </c>
      <c r="D71" s="4" t="s">
        <v>706</v>
      </c>
      <c r="E71" s="5">
        <v>-150000</v>
      </c>
      <c r="F71" s="6">
        <v>-127.2</v>
      </c>
      <c r="G71" s="138">
        <v>-9.4905900000000001E-3</v>
      </c>
      <c r="H71" s="151"/>
    </row>
    <row r="72" spans="1:8" x14ac:dyDescent="0.2">
      <c r="A72" s="3">
        <v>5</v>
      </c>
      <c r="B72" s="4"/>
      <c r="C72" s="4" t="s">
        <v>943</v>
      </c>
      <c r="D72" s="4" t="s">
        <v>706</v>
      </c>
      <c r="E72" s="5">
        <v>-80000</v>
      </c>
      <c r="F72" s="6">
        <v>-189.48</v>
      </c>
      <c r="G72" s="138">
        <v>-1.41374E-2</v>
      </c>
      <c r="H72" s="151"/>
    </row>
    <row r="73" spans="1:8" x14ac:dyDescent="0.2">
      <c r="A73" s="3">
        <v>6</v>
      </c>
      <c r="B73" s="4"/>
      <c r="C73" s="4" t="s">
        <v>944</v>
      </c>
      <c r="D73" s="4" t="s">
        <v>706</v>
      </c>
      <c r="E73" s="5">
        <v>-27000</v>
      </c>
      <c r="F73" s="6">
        <v>-220.86</v>
      </c>
      <c r="G73" s="138">
        <v>-1.6478710000000001E-2</v>
      </c>
      <c r="H73" s="151"/>
    </row>
    <row r="74" spans="1:8" x14ac:dyDescent="0.2">
      <c r="A74" s="3">
        <v>7</v>
      </c>
      <c r="B74" s="4"/>
      <c r="C74" s="4" t="s">
        <v>945</v>
      </c>
      <c r="D74" s="4" t="s">
        <v>706</v>
      </c>
      <c r="E74" s="5">
        <v>-60000</v>
      </c>
      <c r="F74" s="6">
        <v>-234.12</v>
      </c>
      <c r="G74" s="138">
        <v>-1.7468060000000001E-2</v>
      </c>
      <c r="H74" s="151"/>
    </row>
    <row r="75" spans="1:8" x14ac:dyDescent="0.2">
      <c r="A75" s="3">
        <v>8</v>
      </c>
      <c r="B75" s="4"/>
      <c r="C75" s="4" t="s">
        <v>946</v>
      </c>
      <c r="D75" s="4" t="s">
        <v>706</v>
      </c>
      <c r="E75" s="5">
        <v>-10000</v>
      </c>
      <c r="F75" s="6">
        <v>-252.05500000000001</v>
      </c>
      <c r="G75" s="138">
        <v>-1.8806219999999998E-2</v>
      </c>
      <c r="H75" s="151"/>
    </row>
    <row r="76" spans="1:8" x14ac:dyDescent="0.2">
      <c r="A76" s="3">
        <v>9</v>
      </c>
      <c r="B76" s="4"/>
      <c r="C76" s="4" t="s">
        <v>947</v>
      </c>
      <c r="D76" s="4" t="s">
        <v>706</v>
      </c>
      <c r="E76" s="5">
        <v>-39606</v>
      </c>
      <c r="F76" s="6">
        <v>-273.87549000000001</v>
      </c>
      <c r="G76" s="138">
        <v>-2.0434279999999999E-2</v>
      </c>
      <c r="H76" s="151"/>
    </row>
    <row r="77" spans="1:8" x14ac:dyDescent="0.2">
      <c r="A77" s="3">
        <v>10</v>
      </c>
      <c r="B77" s="4"/>
      <c r="C77" s="4" t="s">
        <v>948</v>
      </c>
      <c r="D77" s="4" t="s">
        <v>706</v>
      </c>
      <c r="E77" s="5">
        <v>-40000</v>
      </c>
      <c r="F77" s="6">
        <v>-342.66</v>
      </c>
      <c r="G77" s="138">
        <v>-2.55664E-2</v>
      </c>
      <c r="H77" s="151"/>
    </row>
    <row r="78" spans="1:8" x14ac:dyDescent="0.2">
      <c r="A78" s="3">
        <v>11</v>
      </c>
      <c r="B78" s="4"/>
      <c r="C78" s="4" t="s">
        <v>949</v>
      </c>
      <c r="D78" s="4" t="s">
        <v>706</v>
      </c>
      <c r="E78" s="5">
        <v>-55000</v>
      </c>
      <c r="F78" s="6">
        <v>-387.31</v>
      </c>
      <c r="G78" s="138">
        <v>-2.8897810000000003E-2</v>
      </c>
      <c r="H78" s="151"/>
    </row>
    <row r="79" spans="1:8" x14ac:dyDescent="0.2">
      <c r="A79" s="3">
        <v>12</v>
      </c>
      <c r="B79" s="4"/>
      <c r="C79" s="4" t="s">
        <v>950</v>
      </c>
      <c r="D79" s="4" t="s">
        <v>706</v>
      </c>
      <c r="E79" s="5">
        <v>-36000</v>
      </c>
      <c r="F79" s="6">
        <v>-499.608</v>
      </c>
      <c r="G79" s="138">
        <v>-3.7276539999999997E-2</v>
      </c>
      <c r="H79" s="151"/>
    </row>
    <row r="80" spans="1:8" ht="25.5" x14ac:dyDescent="0.2">
      <c r="A80" s="3">
        <v>13</v>
      </c>
      <c r="B80" s="4"/>
      <c r="C80" s="4" t="s">
        <v>951</v>
      </c>
      <c r="D80" s="4" t="s">
        <v>706</v>
      </c>
      <c r="E80" s="5">
        <v>-21000</v>
      </c>
      <c r="F80" s="6">
        <v>-579.96749999999997</v>
      </c>
      <c r="G80" s="138">
        <v>-4.3272289999999998E-2</v>
      </c>
      <c r="H80" s="151"/>
    </row>
    <row r="81" spans="1:8" x14ac:dyDescent="0.2">
      <c r="A81" s="3">
        <v>14</v>
      </c>
      <c r="B81" s="4"/>
      <c r="C81" s="4" t="s">
        <v>952</v>
      </c>
      <c r="D81" s="4" t="s">
        <v>706</v>
      </c>
      <c r="E81" s="5">
        <v>-30000</v>
      </c>
      <c r="F81" s="6">
        <v>-808.63499999999999</v>
      </c>
      <c r="G81" s="138">
        <v>-6.0333529999999996E-2</v>
      </c>
      <c r="H81" s="151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-4195.0831150000004</v>
      </c>
      <c r="G82" s="139">
        <v>-0.31300177200000001</v>
      </c>
      <c r="H82" s="151"/>
    </row>
    <row r="83" spans="1:8" x14ac:dyDescent="0.2">
      <c r="A83" s="1"/>
      <c r="B83" s="1"/>
      <c r="C83" s="11"/>
      <c r="D83" s="1"/>
      <c r="E83" s="1"/>
      <c r="F83" s="12"/>
      <c r="G83" s="140"/>
      <c r="H83" s="151"/>
    </row>
    <row r="84" spans="1:8" x14ac:dyDescent="0.2">
      <c r="A84" s="1"/>
      <c r="B84" s="1"/>
      <c r="C84" s="2" t="s">
        <v>113</v>
      </c>
      <c r="D84" s="1"/>
      <c r="E84" s="1"/>
      <c r="F84" s="9">
        <v>9611.5862565000043</v>
      </c>
      <c r="G84" s="139">
        <v>0.71713562100000006</v>
      </c>
      <c r="H84" s="151"/>
    </row>
    <row r="85" spans="1:8" x14ac:dyDescent="0.2">
      <c r="A85" s="1"/>
      <c r="B85" s="1"/>
      <c r="C85" s="11"/>
      <c r="D85" s="1"/>
      <c r="E85" s="1"/>
      <c r="F85" s="12"/>
      <c r="G85" s="140"/>
      <c r="H85" s="151"/>
    </row>
    <row r="86" spans="1:8" x14ac:dyDescent="0.2">
      <c r="A86" s="1"/>
      <c r="B86" s="1"/>
      <c r="C86" s="2" t="s">
        <v>114</v>
      </c>
      <c r="D86" s="1"/>
      <c r="E86" s="1"/>
      <c r="F86" s="12"/>
      <c r="G86" s="140"/>
      <c r="H86" s="151"/>
    </row>
    <row r="87" spans="1:8" ht="25.5" x14ac:dyDescent="0.2">
      <c r="A87" s="1"/>
      <c r="B87" s="1"/>
      <c r="C87" s="2" t="s">
        <v>10</v>
      </c>
      <c r="D87" s="1"/>
      <c r="E87" s="1"/>
      <c r="F87" s="12"/>
      <c r="G87" s="140"/>
      <c r="H87" s="151"/>
    </row>
    <row r="88" spans="1:8" x14ac:dyDescent="0.2">
      <c r="A88" s="3">
        <v>1</v>
      </c>
      <c r="B88" s="4" t="s">
        <v>725</v>
      </c>
      <c r="C88" s="4" t="s">
        <v>726</v>
      </c>
      <c r="D88" s="4" t="s">
        <v>700</v>
      </c>
      <c r="E88" s="5">
        <v>50</v>
      </c>
      <c r="F88" s="6">
        <v>510.84</v>
      </c>
      <c r="G88" s="138">
        <v>3.8114579000000003E-2</v>
      </c>
      <c r="H88" s="151">
        <v>3.76</v>
      </c>
    </row>
    <row r="89" spans="1:8" ht="25.5" x14ac:dyDescent="0.2">
      <c r="A89" s="3">
        <v>2</v>
      </c>
      <c r="B89" s="4" t="s">
        <v>727</v>
      </c>
      <c r="C89" s="4" t="s">
        <v>728</v>
      </c>
      <c r="D89" s="4" t="s">
        <v>700</v>
      </c>
      <c r="E89" s="5">
        <v>30</v>
      </c>
      <c r="F89" s="6">
        <v>305.99489999999997</v>
      </c>
      <c r="G89" s="138">
        <v>2.2830762000000001E-2</v>
      </c>
      <c r="H89" s="151">
        <v>3.9750000000000001</v>
      </c>
    </row>
    <row r="90" spans="1:8" x14ac:dyDescent="0.2">
      <c r="A90" s="3">
        <v>3</v>
      </c>
      <c r="B90" s="4" t="s">
        <v>729</v>
      </c>
      <c r="C90" s="4" t="s">
        <v>730</v>
      </c>
      <c r="D90" s="4" t="s">
        <v>700</v>
      </c>
      <c r="E90" s="5">
        <v>20</v>
      </c>
      <c r="F90" s="6">
        <v>208.69720000000001</v>
      </c>
      <c r="G90" s="138">
        <v>1.5571227E-2</v>
      </c>
      <c r="H90" s="151">
        <v>4.67</v>
      </c>
    </row>
    <row r="91" spans="1:8" x14ac:dyDescent="0.2">
      <c r="A91" s="1"/>
      <c r="B91" s="1"/>
      <c r="C91" s="2" t="s">
        <v>105</v>
      </c>
      <c r="D91" s="1"/>
      <c r="E91" s="1" t="s">
        <v>106</v>
      </c>
      <c r="F91" s="9">
        <v>1025.5320999999999</v>
      </c>
      <c r="G91" s="139">
        <v>7.6516567999999993E-2</v>
      </c>
      <c r="H91" s="151"/>
    </row>
    <row r="92" spans="1:8" x14ac:dyDescent="0.2">
      <c r="A92" s="1"/>
      <c r="B92" s="1"/>
      <c r="C92" s="11"/>
      <c r="D92" s="1"/>
      <c r="E92" s="1"/>
      <c r="F92" s="12"/>
      <c r="G92" s="140"/>
      <c r="H92" s="151"/>
    </row>
    <row r="93" spans="1:8" x14ac:dyDescent="0.2">
      <c r="A93" s="1"/>
      <c r="B93" s="1"/>
      <c r="C93" s="2" t="s">
        <v>115</v>
      </c>
      <c r="D93" s="1"/>
      <c r="E93" s="1"/>
      <c r="F93" s="1"/>
      <c r="G93" s="137"/>
      <c r="H93" s="151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1">
        <v>0</v>
      </c>
      <c r="H94" s="151"/>
    </row>
    <row r="95" spans="1:8" x14ac:dyDescent="0.2">
      <c r="A95" s="1"/>
      <c r="B95" s="1"/>
      <c r="C95" s="11"/>
      <c r="D95" s="1"/>
      <c r="E95" s="1"/>
      <c r="F95" s="12"/>
      <c r="G95" s="140"/>
      <c r="H95" s="151"/>
    </row>
    <row r="96" spans="1:8" x14ac:dyDescent="0.2">
      <c r="A96" s="1"/>
      <c r="B96" s="1"/>
      <c r="C96" s="2" t="s">
        <v>116</v>
      </c>
      <c r="D96" s="1"/>
      <c r="E96" s="1"/>
      <c r="F96" s="1"/>
      <c r="G96" s="137"/>
      <c r="H96" s="151"/>
    </row>
    <row r="97" spans="1:8" ht="25.5" x14ac:dyDescent="0.2">
      <c r="A97" s="3">
        <v>1</v>
      </c>
      <c r="B97" s="4" t="s">
        <v>731</v>
      </c>
      <c r="C97" s="4" t="s">
        <v>935</v>
      </c>
      <c r="D97" s="4" t="s">
        <v>732</v>
      </c>
      <c r="E97" s="5">
        <v>1000000</v>
      </c>
      <c r="F97" s="6">
        <v>996.77300000000002</v>
      </c>
      <c r="G97" s="138">
        <v>7.4370806999999997E-2</v>
      </c>
      <c r="H97" s="151">
        <v>5.3150000000000004</v>
      </c>
    </row>
    <row r="98" spans="1:8" ht="25.5" x14ac:dyDescent="0.2">
      <c r="A98" s="3">
        <v>2</v>
      </c>
      <c r="B98" s="4" t="s">
        <v>733</v>
      </c>
      <c r="C98" s="4" t="s">
        <v>938</v>
      </c>
      <c r="D98" s="4" t="s">
        <v>732</v>
      </c>
      <c r="E98" s="5">
        <v>200000</v>
      </c>
      <c r="F98" s="6">
        <v>211.41919999999999</v>
      </c>
      <c r="G98" s="138">
        <v>1.5774320000000001E-2</v>
      </c>
      <c r="H98" s="151">
        <v>4.6950000000000003</v>
      </c>
    </row>
    <row r="99" spans="1:8" x14ac:dyDescent="0.2">
      <c r="A99" s="1"/>
      <c r="B99" s="1"/>
      <c r="C99" s="2" t="s">
        <v>105</v>
      </c>
      <c r="D99" s="1"/>
      <c r="E99" s="1" t="s">
        <v>106</v>
      </c>
      <c r="F99" s="9">
        <v>1208.1922</v>
      </c>
      <c r="G99" s="139">
        <v>9.0145127000000005E-2</v>
      </c>
      <c r="H99" s="151"/>
    </row>
    <row r="100" spans="1:8" x14ac:dyDescent="0.2">
      <c r="A100" s="1"/>
      <c r="B100" s="1"/>
      <c r="C100" s="11"/>
      <c r="D100" s="1"/>
      <c r="E100" s="1"/>
      <c r="F100" s="12"/>
      <c r="G100" s="140"/>
      <c r="H100" s="151"/>
    </row>
    <row r="101" spans="1:8" x14ac:dyDescent="0.2">
      <c r="A101" s="1"/>
      <c r="B101" s="1"/>
      <c r="C101" s="2" t="s">
        <v>117</v>
      </c>
      <c r="D101" s="1"/>
      <c r="E101" s="1"/>
      <c r="F101" s="12"/>
      <c r="G101" s="140"/>
      <c r="H101" s="151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1">
        <v>0</v>
      </c>
      <c r="H102" s="151"/>
    </row>
    <row r="103" spans="1:8" x14ac:dyDescent="0.2">
      <c r="A103" s="1"/>
      <c r="B103" s="1"/>
      <c r="C103" s="11"/>
      <c r="D103" s="1"/>
      <c r="E103" s="1"/>
      <c r="F103" s="12"/>
      <c r="G103" s="140"/>
      <c r="H103" s="151"/>
    </row>
    <row r="104" spans="1:8" x14ac:dyDescent="0.2">
      <c r="A104" s="1"/>
      <c r="B104" s="1"/>
      <c r="C104" s="2" t="s">
        <v>118</v>
      </c>
      <c r="D104" s="1"/>
      <c r="E104" s="1"/>
      <c r="F104" s="9">
        <v>2233.7242999999999</v>
      </c>
      <c r="G104" s="139">
        <v>0.166661695</v>
      </c>
      <c r="H104" s="151"/>
    </row>
    <row r="105" spans="1:8" x14ac:dyDescent="0.2">
      <c r="A105" s="1"/>
      <c r="B105" s="1"/>
      <c r="C105" s="11"/>
      <c r="D105" s="1"/>
      <c r="E105" s="1"/>
      <c r="F105" s="12"/>
      <c r="G105" s="140"/>
      <c r="H105" s="151"/>
    </row>
    <row r="106" spans="1:8" x14ac:dyDescent="0.2">
      <c r="A106" s="1"/>
      <c r="B106" s="1"/>
      <c r="C106" s="2" t="s">
        <v>119</v>
      </c>
      <c r="D106" s="1"/>
      <c r="E106" s="1"/>
      <c r="F106" s="12"/>
      <c r="G106" s="140"/>
      <c r="H106" s="151"/>
    </row>
    <row r="107" spans="1:8" x14ac:dyDescent="0.2">
      <c r="A107" s="1"/>
      <c r="B107" s="1"/>
      <c r="C107" s="2" t="s">
        <v>120</v>
      </c>
      <c r="D107" s="1"/>
      <c r="E107" s="1"/>
      <c r="F107" s="12"/>
      <c r="G107" s="140"/>
      <c r="H107" s="151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1">
        <v>0</v>
      </c>
      <c r="H108" s="151"/>
    </row>
    <row r="109" spans="1:8" x14ac:dyDescent="0.2">
      <c r="A109" s="1"/>
      <c r="B109" s="1"/>
      <c r="C109" s="11"/>
      <c r="D109" s="1"/>
      <c r="E109" s="1"/>
      <c r="F109" s="12"/>
      <c r="G109" s="140"/>
      <c r="H109" s="151"/>
    </row>
    <row r="110" spans="1:8" x14ac:dyDescent="0.2">
      <c r="A110" s="1"/>
      <c r="B110" s="1"/>
      <c r="C110" s="2" t="s">
        <v>121</v>
      </c>
      <c r="D110" s="1"/>
      <c r="E110" s="1"/>
      <c r="F110" s="12"/>
      <c r="G110" s="140"/>
      <c r="H110" s="151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1">
        <v>0</v>
      </c>
      <c r="H111" s="151"/>
    </row>
    <row r="112" spans="1:8" x14ac:dyDescent="0.2">
      <c r="A112" s="1"/>
      <c r="B112" s="1"/>
      <c r="C112" s="11"/>
      <c r="D112" s="1"/>
      <c r="E112" s="1"/>
      <c r="F112" s="12"/>
      <c r="G112" s="140"/>
      <c r="H112" s="151"/>
    </row>
    <row r="113" spans="1:8" x14ac:dyDescent="0.2">
      <c r="A113" s="1"/>
      <c r="B113" s="1"/>
      <c r="C113" s="2" t="s">
        <v>122</v>
      </c>
      <c r="D113" s="1"/>
      <c r="E113" s="1"/>
      <c r="F113" s="12"/>
      <c r="G113" s="140"/>
      <c r="H113" s="151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1">
        <v>0</v>
      </c>
      <c r="H114" s="151"/>
    </row>
    <row r="115" spans="1:8" x14ac:dyDescent="0.2">
      <c r="A115" s="1"/>
      <c r="B115" s="1"/>
      <c r="C115" s="11"/>
      <c r="D115" s="1"/>
      <c r="E115" s="1"/>
      <c r="F115" s="12"/>
      <c r="G115" s="140"/>
      <c r="H115" s="151"/>
    </row>
    <row r="116" spans="1:8" x14ac:dyDescent="0.2">
      <c r="A116" s="1"/>
      <c r="B116" s="1"/>
      <c r="C116" s="2" t="s">
        <v>123</v>
      </c>
      <c r="D116" s="1"/>
      <c r="E116" s="1"/>
      <c r="F116" s="12"/>
      <c r="G116" s="140"/>
      <c r="H116" s="151"/>
    </row>
    <row r="117" spans="1:8" x14ac:dyDescent="0.2">
      <c r="A117" s="3">
        <v>1</v>
      </c>
      <c r="B117" s="4"/>
      <c r="C117" s="4" t="s">
        <v>124</v>
      </c>
      <c r="D117" s="4"/>
      <c r="E117" s="8"/>
      <c r="F117" s="6">
        <v>666.76025670000001</v>
      </c>
      <c r="G117" s="138">
        <v>4.9748035000000003E-2</v>
      </c>
      <c r="H117" s="152">
        <v>3.3197683930276081</v>
      </c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9">
        <v>666.76025670000001</v>
      </c>
      <c r="G118" s="139">
        <v>4.9748035000000003E-2</v>
      </c>
      <c r="H118" s="151"/>
    </row>
    <row r="119" spans="1:8" x14ac:dyDescent="0.2">
      <c r="A119" s="1"/>
      <c r="B119" s="1"/>
      <c r="C119" s="11"/>
      <c r="D119" s="1"/>
      <c r="E119" s="1"/>
      <c r="F119" s="12"/>
      <c r="G119" s="140"/>
      <c r="H119" s="151"/>
    </row>
    <row r="120" spans="1:8" x14ac:dyDescent="0.2">
      <c r="A120" s="1"/>
      <c r="B120" s="1"/>
      <c r="C120" s="2" t="s">
        <v>125</v>
      </c>
      <c r="D120" s="1"/>
      <c r="E120" s="1"/>
      <c r="F120" s="9">
        <v>666.76025670000001</v>
      </c>
      <c r="G120" s="139">
        <v>4.9748035000000003E-2</v>
      </c>
      <c r="H120" s="151"/>
    </row>
    <row r="121" spans="1:8" x14ac:dyDescent="0.2">
      <c r="A121" s="1"/>
      <c r="B121" s="1"/>
      <c r="C121" s="12"/>
      <c r="D121" s="1"/>
      <c r="E121" s="1"/>
      <c r="F121" s="1"/>
      <c r="G121" s="137"/>
      <c r="H121" s="151"/>
    </row>
    <row r="122" spans="1:8" x14ac:dyDescent="0.2">
      <c r="A122" s="1"/>
      <c r="B122" s="1"/>
      <c r="C122" s="2" t="s">
        <v>126</v>
      </c>
      <c r="D122" s="1"/>
      <c r="E122" s="1"/>
      <c r="F122" s="1"/>
      <c r="G122" s="137"/>
      <c r="H122" s="151"/>
    </row>
    <row r="123" spans="1:8" x14ac:dyDescent="0.2">
      <c r="A123" s="1"/>
      <c r="B123" s="1"/>
      <c r="C123" s="2" t="s">
        <v>127</v>
      </c>
      <c r="D123" s="1"/>
      <c r="E123" s="1"/>
      <c r="F123" s="1"/>
      <c r="G123" s="137"/>
      <c r="H123" s="151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1">
        <v>0</v>
      </c>
      <c r="H124" s="151"/>
    </row>
    <row r="125" spans="1:8" x14ac:dyDescent="0.2">
      <c r="A125" s="1"/>
      <c r="B125" s="1"/>
      <c r="C125" s="11"/>
      <c r="D125" s="1"/>
      <c r="E125" s="1"/>
      <c r="F125" s="12"/>
      <c r="G125" s="140"/>
      <c r="H125" s="151"/>
    </row>
    <row r="126" spans="1:8" x14ac:dyDescent="0.2">
      <c r="A126" s="1"/>
      <c r="B126" s="1"/>
      <c r="C126" s="2" t="s">
        <v>128</v>
      </c>
      <c r="D126" s="1"/>
      <c r="E126" s="1"/>
      <c r="F126" s="1"/>
      <c r="G126" s="137"/>
      <c r="H126" s="151"/>
    </row>
    <row r="127" spans="1:8" x14ac:dyDescent="0.2">
      <c r="A127" s="1"/>
      <c r="B127" s="1"/>
      <c r="C127" s="2" t="s">
        <v>129</v>
      </c>
      <c r="D127" s="1"/>
      <c r="E127" s="1"/>
      <c r="F127" s="1"/>
      <c r="G127" s="137"/>
      <c r="H127" s="151"/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13">
        <v>0</v>
      </c>
      <c r="G128" s="141">
        <v>0</v>
      </c>
      <c r="H128" s="151"/>
    </row>
    <row r="129" spans="1:8" x14ac:dyDescent="0.2">
      <c r="A129" s="1"/>
      <c r="B129" s="1"/>
      <c r="C129" s="11"/>
      <c r="D129" s="1"/>
      <c r="E129" s="1"/>
      <c r="F129" s="12"/>
      <c r="G129" s="140"/>
      <c r="H129" s="151"/>
    </row>
    <row r="130" spans="1:8" x14ac:dyDescent="0.2">
      <c r="A130" s="1"/>
      <c r="B130" s="1"/>
      <c r="C130" s="11"/>
      <c r="D130" s="1"/>
      <c r="E130" s="1"/>
      <c r="F130" s="12"/>
      <c r="G130" s="140"/>
      <c r="H130" s="151"/>
    </row>
    <row r="131" spans="1:8" ht="25.5" x14ac:dyDescent="0.2">
      <c r="A131" s="1"/>
      <c r="B131" s="1"/>
      <c r="C131" s="2" t="s">
        <v>130</v>
      </c>
      <c r="D131" s="1"/>
      <c r="E131" s="1"/>
      <c r="F131" s="12"/>
      <c r="G131" s="140"/>
      <c r="H131" s="151"/>
    </row>
    <row r="132" spans="1:8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1">
        <v>0</v>
      </c>
      <c r="H132" s="151"/>
    </row>
    <row r="133" spans="1:8" x14ac:dyDescent="0.2">
      <c r="A133" s="1"/>
      <c r="B133" s="1"/>
      <c r="C133" s="11"/>
      <c r="D133" s="1"/>
      <c r="E133" s="1"/>
      <c r="F133" s="12"/>
      <c r="G133" s="140"/>
      <c r="H133" s="151"/>
    </row>
    <row r="134" spans="1:8" x14ac:dyDescent="0.2">
      <c r="A134" s="8"/>
      <c r="B134" s="4"/>
      <c r="C134" s="4" t="s">
        <v>708</v>
      </c>
      <c r="D134" s="4"/>
      <c r="E134" s="8"/>
      <c r="F134" s="6">
        <v>1270.9690172000001</v>
      </c>
      <c r="G134" s="138">
        <v>9.4829003999999995E-2</v>
      </c>
      <c r="H134" s="151"/>
    </row>
    <row r="135" spans="1:8" x14ac:dyDescent="0.2">
      <c r="A135" s="8"/>
      <c r="B135" s="4"/>
      <c r="C135" s="4" t="s">
        <v>878</v>
      </c>
      <c r="D135" s="4"/>
      <c r="E135" s="8"/>
      <c r="F135" s="6">
        <v>-380.29424891000235</v>
      </c>
      <c r="G135" s="138">
        <v>-2.8374354090195637E-2</v>
      </c>
      <c r="H135" s="151"/>
    </row>
    <row r="136" spans="1:8" x14ac:dyDescent="0.2">
      <c r="A136" s="11"/>
      <c r="B136" s="11"/>
      <c r="C136" s="2" t="s">
        <v>132</v>
      </c>
      <c r="D136" s="15"/>
      <c r="E136" s="15"/>
      <c r="F136" s="9">
        <v>13402.745581490002</v>
      </c>
      <c r="G136" s="139">
        <v>1.0000000009098045</v>
      </c>
      <c r="H136" s="151"/>
    </row>
    <row r="137" spans="1:8" ht="14.1" customHeight="1" x14ac:dyDescent="0.2">
      <c r="A137" s="16"/>
      <c r="B137" s="16"/>
      <c r="C137" s="16"/>
      <c r="D137" s="17"/>
      <c r="E137" s="17"/>
      <c r="F137" s="17"/>
      <c r="G137" s="17"/>
    </row>
    <row r="138" spans="1:8" ht="17.100000000000001" customHeight="1" x14ac:dyDescent="0.2">
      <c r="A138" s="18"/>
      <c r="B138" s="205" t="s">
        <v>701</v>
      </c>
      <c r="C138" s="205"/>
      <c r="D138" s="205"/>
      <c r="E138" s="205"/>
      <c r="F138" s="205"/>
      <c r="G138" s="20"/>
    </row>
    <row r="139" spans="1:8" s="93" customFormat="1" ht="17.100000000000001" customHeight="1" x14ac:dyDescent="0.2">
      <c r="A139" s="107"/>
      <c r="B139" s="212" t="s">
        <v>880</v>
      </c>
      <c r="C139" s="212"/>
      <c r="D139" s="212"/>
      <c r="E139" s="212"/>
      <c r="F139" s="212"/>
      <c r="G139" s="108"/>
      <c r="H139"/>
    </row>
    <row r="140" spans="1:8" ht="14.1" customHeight="1" x14ac:dyDescent="0.2">
      <c r="A140" s="18"/>
      <c r="B140" s="18"/>
      <c r="C140" s="18"/>
      <c r="D140" s="20"/>
      <c r="E140" s="20"/>
      <c r="F140" s="20"/>
      <c r="G140" s="20"/>
    </row>
    <row r="141" spans="1:8" ht="14.1" customHeight="1" x14ac:dyDescent="0.2">
      <c r="A141" s="18"/>
      <c r="B141" s="203" t="s">
        <v>134</v>
      </c>
      <c r="C141" s="204"/>
      <c r="D141" s="12" t="s">
        <v>106</v>
      </c>
      <c r="E141" s="21"/>
      <c r="F141" s="20"/>
      <c r="G141" s="20"/>
    </row>
    <row r="142" spans="1:8" ht="29.1" customHeight="1" x14ac:dyDescent="0.2">
      <c r="A142" s="18"/>
      <c r="B142" s="199" t="s">
        <v>135</v>
      </c>
      <c r="C142" s="200"/>
      <c r="D142" s="2" t="s">
        <v>136</v>
      </c>
      <c r="E142" s="21"/>
      <c r="F142" s="20"/>
      <c r="G142" s="20"/>
    </row>
    <row r="143" spans="1:8" ht="17.100000000000001" customHeight="1" x14ac:dyDescent="0.2">
      <c r="A143" s="18"/>
      <c r="B143" s="199" t="s">
        <v>137</v>
      </c>
      <c r="C143" s="200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99" t="s">
        <v>138</v>
      </c>
      <c r="C144" s="200"/>
      <c r="D144" s="12" t="s">
        <v>106</v>
      </c>
      <c r="E144" s="21"/>
      <c r="F144" s="20"/>
      <c r="G144" s="20"/>
    </row>
    <row r="145" spans="1:7" ht="24" customHeight="1" x14ac:dyDescent="0.2">
      <c r="A145" s="22"/>
      <c r="B145" s="23" t="s">
        <v>106</v>
      </c>
      <c r="C145" s="23" t="s">
        <v>139</v>
      </c>
      <c r="D145" s="23" t="s">
        <v>140</v>
      </c>
      <c r="E145" s="22"/>
      <c r="F145" s="22"/>
      <c r="G145" s="22"/>
    </row>
    <row r="146" spans="1:7" ht="18" customHeight="1" x14ac:dyDescent="0.2">
      <c r="A146" s="22"/>
      <c r="B146" s="23" t="s">
        <v>141</v>
      </c>
      <c r="C146" s="23" t="s">
        <v>142</v>
      </c>
      <c r="D146" s="23" t="s">
        <v>143</v>
      </c>
      <c r="E146" s="22"/>
      <c r="F146" s="22"/>
      <c r="G146" s="22"/>
    </row>
    <row r="147" spans="1:7" x14ac:dyDescent="0.2">
      <c r="A147" s="22"/>
      <c r="B147" s="4" t="s">
        <v>144</v>
      </c>
      <c r="C147" s="24">
        <v>13.117000000000001</v>
      </c>
      <c r="D147" s="24">
        <v>13.1602</v>
      </c>
      <c r="E147" s="22"/>
      <c r="F147" s="19"/>
      <c r="G147" s="25"/>
    </row>
    <row r="148" spans="1:7" x14ac:dyDescent="0.2">
      <c r="A148" s="22"/>
      <c r="B148" s="4" t="s">
        <v>1019</v>
      </c>
      <c r="C148" s="24">
        <v>13.116899999999999</v>
      </c>
      <c r="D148" s="24">
        <v>13.1601</v>
      </c>
      <c r="E148" s="22"/>
      <c r="F148" s="19"/>
      <c r="G148" s="25"/>
    </row>
    <row r="149" spans="1:7" x14ac:dyDescent="0.2">
      <c r="A149" s="22"/>
      <c r="B149" s="4" t="s">
        <v>145</v>
      </c>
      <c r="C149" s="24">
        <v>12.505699999999999</v>
      </c>
      <c r="D149" s="24">
        <v>12.530099999999999</v>
      </c>
      <c r="E149" s="22"/>
      <c r="F149" s="19"/>
      <c r="G149" s="25"/>
    </row>
    <row r="150" spans="1:7" x14ac:dyDescent="0.2">
      <c r="A150" s="22"/>
      <c r="B150" s="4" t="s">
        <v>1020</v>
      </c>
      <c r="C150" s="24">
        <v>12.5055</v>
      </c>
      <c r="D150" s="24">
        <v>12.5298</v>
      </c>
      <c r="E150" s="22"/>
      <c r="F150" s="19"/>
      <c r="G150" s="25"/>
    </row>
    <row r="151" spans="1:7" x14ac:dyDescent="0.2">
      <c r="A151" s="22"/>
      <c r="B151" s="22"/>
      <c r="C151" s="22"/>
      <c r="D151" s="22"/>
      <c r="E151" s="22"/>
      <c r="F151" s="22"/>
      <c r="G151" s="22"/>
    </row>
    <row r="152" spans="1:7" ht="17.100000000000001" customHeight="1" x14ac:dyDescent="0.2">
      <c r="A152" s="22"/>
      <c r="B152" s="199" t="s">
        <v>1021</v>
      </c>
      <c r="C152" s="200"/>
      <c r="D152" s="2" t="s">
        <v>136</v>
      </c>
      <c r="E152" s="22"/>
      <c r="F152" s="22"/>
      <c r="G152" s="22"/>
    </row>
    <row r="153" spans="1:7" ht="18" customHeight="1" x14ac:dyDescent="0.2">
      <c r="A153" s="22"/>
      <c r="B153" s="26"/>
      <c r="C153" s="26"/>
      <c r="D153" s="27"/>
      <c r="E153" s="22"/>
      <c r="F153" s="22"/>
      <c r="G153" s="22"/>
    </row>
    <row r="154" spans="1:7" s="125" customFormat="1" x14ac:dyDescent="0.2">
      <c r="B154" s="201" t="s">
        <v>825</v>
      </c>
      <c r="C154" s="201"/>
      <c r="D154" s="201"/>
      <c r="E154" s="201"/>
      <c r="F154" s="201"/>
    </row>
    <row r="155" spans="1:7" ht="14.1" customHeight="1" x14ac:dyDescent="0.2">
      <c r="A155" s="22"/>
      <c r="B155" s="19"/>
      <c r="C155" s="19"/>
      <c r="D155" s="22"/>
      <c r="E155" s="22"/>
      <c r="F155" s="22"/>
      <c r="G155" s="22"/>
    </row>
    <row r="156" spans="1:7" ht="29.1" customHeight="1" x14ac:dyDescent="0.2">
      <c r="A156" s="22"/>
      <c r="B156" s="199" t="s">
        <v>146</v>
      </c>
      <c r="C156" s="200"/>
      <c r="D156" s="2" t="s">
        <v>1089</v>
      </c>
      <c r="E156" s="22"/>
      <c r="F156" s="22"/>
      <c r="G156" s="22"/>
    </row>
    <row r="157" spans="1:7" ht="29.1" customHeight="1" x14ac:dyDescent="0.2">
      <c r="A157" s="22"/>
      <c r="B157" s="199" t="s">
        <v>147</v>
      </c>
      <c r="C157" s="200"/>
      <c r="D157" s="2" t="s">
        <v>136</v>
      </c>
      <c r="E157" s="22"/>
      <c r="G157" s="22"/>
    </row>
    <row r="158" spans="1:7" ht="17.100000000000001" customHeight="1" x14ac:dyDescent="0.2">
      <c r="A158" s="22"/>
      <c r="B158" s="210" t="s">
        <v>1001</v>
      </c>
      <c r="C158" s="211"/>
      <c r="D158" s="135">
        <v>1.3048831605435101</v>
      </c>
      <c r="E158" s="22"/>
      <c r="F158" s="19"/>
      <c r="G158" s="25"/>
    </row>
    <row r="159" spans="1:7" ht="17.100000000000001" customHeight="1" x14ac:dyDescent="0.2">
      <c r="A159" s="22"/>
      <c r="B159" s="210" t="s">
        <v>1002</v>
      </c>
      <c r="C159" s="211"/>
      <c r="D159" s="135">
        <v>1.2004854239340099</v>
      </c>
      <c r="E159" s="22"/>
      <c r="F159" s="22"/>
      <c r="G159" s="22"/>
    </row>
    <row r="160" spans="1:7" x14ac:dyDescent="0.2">
      <c r="B160" s="199" t="s">
        <v>1003</v>
      </c>
      <c r="C160" s="200"/>
      <c r="D160" s="28">
        <v>4.6919910025280114</v>
      </c>
    </row>
    <row r="161" spans="2:6" x14ac:dyDescent="0.2">
      <c r="B161" s="199" t="s">
        <v>1004</v>
      </c>
      <c r="C161" s="200"/>
      <c r="D161" s="2" t="s">
        <v>136</v>
      </c>
    </row>
    <row r="163" spans="2:6" x14ac:dyDescent="0.2">
      <c r="B163" s="164" t="s">
        <v>1084</v>
      </c>
    </row>
    <row r="165" spans="2:6" x14ac:dyDescent="0.2">
      <c r="B165" s="164" t="s">
        <v>1052</v>
      </c>
    </row>
    <row r="166" spans="2:6" ht="25.5" x14ac:dyDescent="0.2">
      <c r="B166" s="179" t="s">
        <v>1075</v>
      </c>
      <c r="C166" s="179" t="s">
        <v>1076</v>
      </c>
      <c r="D166" s="165" t="s">
        <v>1077</v>
      </c>
      <c r="E166" s="165" t="s">
        <v>1078</v>
      </c>
      <c r="F166" s="165" t="s">
        <v>1079</v>
      </c>
    </row>
    <row r="167" spans="2:6" x14ac:dyDescent="0.2">
      <c r="B167" s="188" t="s">
        <v>941</v>
      </c>
      <c r="C167" s="180" t="s">
        <v>1080</v>
      </c>
      <c r="D167" s="181">
        <v>3819.17</v>
      </c>
      <c r="E167" s="181">
        <v>3841.85</v>
      </c>
      <c r="F167" s="169">
        <v>26.151994700000003</v>
      </c>
    </row>
    <row r="168" spans="2:6" ht="25.5" x14ac:dyDescent="0.2">
      <c r="B168" s="188" t="s">
        <v>947</v>
      </c>
      <c r="C168" s="180" t="s">
        <v>1080</v>
      </c>
      <c r="D168" s="181">
        <v>706.67</v>
      </c>
      <c r="E168" s="181">
        <v>691.5</v>
      </c>
      <c r="F168" s="169">
        <v>67.889623199999988</v>
      </c>
    </row>
    <row r="169" spans="2:6" ht="38.25" x14ac:dyDescent="0.2">
      <c r="B169" s="188" t="s">
        <v>940</v>
      </c>
      <c r="C169" s="180" t="s">
        <v>1080</v>
      </c>
      <c r="D169" s="181">
        <v>418.25</v>
      </c>
      <c r="E169" s="181">
        <v>433.15</v>
      </c>
      <c r="F169" s="182">
        <v>34.322445000000002</v>
      </c>
    </row>
    <row r="170" spans="2:6" x14ac:dyDescent="0.2">
      <c r="B170" s="188" t="s">
        <v>942</v>
      </c>
      <c r="C170" s="180" t="s">
        <v>1080</v>
      </c>
      <c r="D170" s="181">
        <v>81.81</v>
      </c>
      <c r="E170" s="181">
        <v>84.8</v>
      </c>
      <c r="F170" s="182">
        <v>36.866999999999997</v>
      </c>
    </row>
    <row r="171" spans="2:6" ht="25.5" x14ac:dyDescent="0.2">
      <c r="B171" s="188" t="s">
        <v>951</v>
      </c>
      <c r="C171" s="180" t="s">
        <v>1080</v>
      </c>
      <c r="D171" s="181">
        <v>2852.06</v>
      </c>
      <c r="E171" s="181">
        <v>2761.75</v>
      </c>
      <c r="F171" s="182">
        <v>149.92136600000001</v>
      </c>
    </row>
    <row r="172" spans="2:6" ht="25.5" x14ac:dyDescent="0.2">
      <c r="B172" s="188" t="s">
        <v>952</v>
      </c>
      <c r="C172" s="180" t="s">
        <v>1080</v>
      </c>
      <c r="D172" s="181">
        <v>2720.61</v>
      </c>
      <c r="E172" s="181">
        <v>2695.45</v>
      </c>
      <c r="F172" s="182">
        <v>143.54423000000003</v>
      </c>
    </row>
    <row r="173" spans="2:6" x14ac:dyDescent="0.2">
      <c r="B173" s="188" t="s">
        <v>949</v>
      </c>
      <c r="C173" s="180" t="s">
        <v>1080</v>
      </c>
      <c r="D173" s="181">
        <v>728.23</v>
      </c>
      <c r="E173" s="181">
        <v>704.2</v>
      </c>
      <c r="F173" s="182">
        <v>89.692251999999996</v>
      </c>
    </row>
    <row r="174" spans="2:6" x14ac:dyDescent="0.2">
      <c r="B174" s="188" t="s">
        <v>943</v>
      </c>
      <c r="C174" s="180" t="s">
        <v>1080</v>
      </c>
      <c r="D174" s="181">
        <v>240.7</v>
      </c>
      <c r="E174" s="181">
        <v>236.85</v>
      </c>
      <c r="F174" s="182">
        <v>41.335800000000006</v>
      </c>
    </row>
    <row r="175" spans="2:6" ht="25.5" x14ac:dyDescent="0.2">
      <c r="B175" s="188" t="s">
        <v>945</v>
      </c>
      <c r="C175" s="180" t="s">
        <v>1080</v>
      </c>
      <c r="D175" s="181">
        <v>363.01</v>
      </c>
      <c r="E175" s="181">
        <v>390.2</v>
      </c>
      <c r="F175" s="182">
        <v>83.360399999999998</v>
      </c>
    </row>
    <row r="176" spans="2:6" ht="25.5" x14ac:dyDescent="0.2">
      <c r="B176" s="188" t="s">
        <v>948</v>
      </c>
      <c r="C176" s="180" t="s">
        <v>1080</v>
      </c>
      <c r="D176" s="181">
        <v>830.28</v>
      </c>
      <c r="E176" s="181">
        <v>856.65</v>
      </c>
      <c r="F176" s="182">
        <v>68.877260800000002</v>
      </c>
    </row>
    <row r="177" spans="2:6" ht="25.5" x14ac:dyDescent="0.2">
      <c r="B177" s="188" t="s">
        <v>946</v>
      </c>
      <c r="C177" s="180" t="s">
        <v>1080</v>
      </c>
      <c r="D177" s="181">
        <v>2522.73</v>
      </c>
      <c r="E177" s="181">
        <v>2520.5500000000002</v>
      </c>
      <c r="F177" s="182">
        <v>55.781124000000005</v>
      </c>
    </row>
    <row r="178" spans="2:6" ht="25.5" x14ac:dyDescent="0.2">
      <c r="B178" s="188" t="s">
        <v>939</v>
      </c>
      <c r="C178" s="180" t="s">
        <v>1080</v>
      </c>
      <c r="D178" s="181">
        <v>514.99</v>
      </c>
      <c r="E178" s="181">
        <v>509.9</v>
      </c>
      <c r="F178" s="182">
        <v>29.490224999999999</v>
      </c>
    </row>
    <row r="179" spans="2:6" ht="25.5" x14ac:dyDescent="0.2">
      <c r="B179" s="188" t="s">
        <v>944</v>
      </c>
      <c r="C179" s="180" t="s">
        <v>1080</v>
      </c>
      <c r="D179" s="181">
        <v>841.83</v>
      </c>
      <c r="E179" s="181">
        <v>818</v>
      </c>
      <c r="F179" s="182">
        <v>59.5593</v>
      </c>
    </row>
    <row r="180" spans="2:6" ht="25.5" x14ac:dyDescent="0.2">
      <c r="B180" s="4" t="s">
        <v>950</v>
      </c>
      <c r="C180" s="180" t="s">
        <v>1080</v>
      </c>
      <c r="D180" s="181">
        <v>1495.95</v>
      </c>
      <c r="E180" s="181">
        <v>1387.8</v>
      </c>
      <c r="F180" s="182">
        <v>109.08468000000001</v>
      </c>
    </row>
    <row r="181" spans="2:6" x14ac:dyDescent="0.2">
      <c r="B181" s="189"/>
      <c r="C181" s="189"/>
      <c r="D181" s="173"/>
      <c r="E181" s="173"/>
      <c r="F181" s="173"/>
    </row>
    <row r="182" spans="2:6" x14ac:dyDescent="0.2">
      <c r="B182" s="164" t="s">
        <v>1065</v>
      </c>
    </row>
    <row r="183" spans="2:6" ht="63.75" x14ac:dyDescent="0.2">
      <c r="B183" s="165" t="s">
        <v>1056</v>
      </c>
      <c r="C183" s="165" t="s">
        <v>1066</v>
      </c>
      <c r="D183" s="165" t="s">
        <v>1067</v>
      </c>
      <c r="E183" s="165" t="s">
        <v>1068</v>
      </c>
      <c r="F183" s="165" t="s">
        <v>1069</v>
      </c>
    </row>
    <row r="184" spans="2:6" x14ac:dyDescent="0.2">
      <c r="B184" s="166">
        <v>2766</v>
      </c>
      <c r="C184" s="166">
        <v>2766</v>
      </c>
      <c r="D184" s="174">
        <v>22902.710499999997</v>
      </c>
      <c r="E184" s="174">
        <v>22122.542800000003</v>
      </c>
      <c r="F184" s="170">
        <v>-790.60769999999457</v>
      </c>
    </row>
    <row r="185" spans="2:6" x14ac:dyDescent="0.2">
      <c r="B185" s="173"/>
      <c r="C185" s="173"/>
      <c r="D185" s="173"/>
      <c r="E185" s="173"/>
      <c r="F185" s="173"/>
    </row>
    <row r="186" spans="2:6" x14ac:dyDescent="0.2">
      <c r="B186" s="164" t="s">
        <v>1054</v>
      </c>
    </row>
    <row r="187" spans="2:6" x14ac:dyDescent="0.2">
      <c r="B187" s="164"/>
    </row>
    <row r="188" spans="2:6" x14ac:dyDescent="0.2">
      <c r="B188" s="164" t="s">
        <v>1081</v>
      </c>
    </row>
    <row r="189" spans="2:6" x14ac:dyDescent="0.2">
      <c r="B189" s="164"/>
    </row>
    <row r="190" spans="2:6" x14ac:dyDescent="0.2">
      <c r="B190" s="164" t="s">
        <v>1057</v>
      </c>
    </row>
    <row r="191" spans="2:6" x14ac:dyDescent="0.2">
      <c r="B191" s="164"/>
    </row>
    <row r="192" spans="2:6" x14ac:dyDescent="0.2">
      <c r="B192" s="164" t="s">
        <v>1058</v>
      </c>
    </row>
    <row r="193" spans="2:2" x14ac:dyDescent="0.2">
      <c r="B193" s="164"/>
    </row>
    <row r="194" spans="2:2" x14ac:dyDescent="0.2">
      <c r="B194" s="164" t="s">
        <v>1059</v>
      </c>
    </row>
    <row r="195" spans="2:2" x14ac:dyDescent="0.2">
      <c r="B195" s="164"/>
    </row>
    <row r="196" spans="2:2" x14ac:dyDescent="0.2">
      <c r="B196" s="164" t="s">
        <v>1060</v>
      </c>
    </row>
    <row r="197" spans="2:2" x14ac:dyDescent="0.2">
      <c r="B197" s="164"/>
    </row>
    <row r="198" spans="2:2" x14ac:dyDescent="0.2">
      <c r="B198" s="164" t="s">
        <v>1061</v>
      </c>
    </row>
    <row r="199" spans="2:2" x14ac:dyDescent="0.2">
      <c r="B199" s="164"/>
    </row>
    <row r="200" spans="2:2" x14ac:dyDescent="0.2">
      <c r="B200" s="164" t="s">
        <v>1062</v>
      </c>
    </row>
    <row r="202" spans="2:2" x14ac:dyDescent="0.2">
      <c r="B202" s="164" t="s">
        <v>1063</v>
      </c>
    </row>
    <row r="204" spans="2:2" x14ac:dyDescent="0.2">
      <c r="B204" s="164" t="s">
        <v>1064</v>
      </c>
    </row>
    <row r="206" spans="2:2" x14ac:dyDescent="0.2">
      <c r="B206" s="164" t="s">
        <v>1082</v>
      </c>
    </row>
  </sheetData>
  <mergeCells count="18">
    <mergeCell ref="J2:N2"/>
    <mergeCell ref="B138:F138"/>
    <mergeCell ref="A1:H1"/>
    <mergeCell ref="A2:H2"/>
    <mergeCell ref="A3:H3"/>
    <mergeCell ref="B160:C160"/>
    <mergeCell ref="B161:C161"/>
    <mergeCell ref="B139:F139"/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41:C141"/>
    <mergeCell ref="B154:F154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N12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3.285156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734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62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2"/>
    </row>
    <row r="7" spans="1:14" x14ac:dyDescent="0.2">
      <c r="A7" s="3">
        <v>1</v>
      </c>
      <c r="B7" s="4" t="s">
        <v>408</v>
      </c>
      <c r="C7" s="4" t="s">
        <v>409</v>
      </c>
      <c r="D7" s="4" t="s">
        <v>24</v>
      </c>
      <c r="E7" s="5">
        <v>592354</v>
      </c>
      <c r="F7" s="6">
        <v>9447.7501229999998</v>
      </c>
      <c r="G7" s="7">
        <v>0.21263114799999999</v>
      </c>
      <c r="H7" s="62"/>
    </row>
    <row r="8" spans="1:14" x14ac:dyDescent="0.2">
      <c r="A8" s="3">
        <v>2</v>
      </c>
      <c r="B8" s="4" t="s">
        <v>22</v>
      </c>
      <c r="C8" s="4" t="s">
        <v>23</v>
      </c>
      <c r="D8" s="4" t="s">
        <v>24</v>
      </c>
      <c r="E8" s="5">
        <v>945216</v>
      </c>
      <c r="F8" s="6">
        <v>6624.5463360000003</v>
      </c>
      <c r="G8" s="7">
        <v>0.14909209900000001</v>
      </c>
      <c r="H8" s="62"/>
    </row>
    <row r="9" spans="1:14" ht="25.5" x14ac:dyDescent="0.2">
      <c r="A9" s="3">
        <v>3</v>
      </c>
      <c r="B9" s="4" t="s">
        <v>412</v>
      </c>
      <c r="C9" s="4" t="s">
        <v>413</v>
      </c>
      <c r="D9" s="4" t="s">
        <v>80</v>
      </c>
      <c r="E9" s="5">
        <v>161518</v>
      </c>
      <c r="F9" s="6">
        <v>4448.6902739999996</v>
      </c>
      <c r="G9" s="7">
        <v>0.100122263</v>
      </c>
      <c r="H9" s="62"/>
    </row>
    <row r="10" spans="1:14" x14ac:dyDescent="0.2">
      <c r="A10" s="3">
        <v>4</v>
      </c>
      <c r="B10" s="4" t="s">
        <v>336</v>
      </c>
      <c r="C10" s="4" t="s">
        <v>337</v>
      </c>
      <c r="D10" s="4" t="s">
        <v>24</v>
      </c>
      <c r="E10" s="5">
        <v>466660</v>
      </c>
      <c r="F10" s="6">
        <v>3577.1822299999999</v>
      </c>
      <c r="G10" s="7">
        <v>8.0508095000000002E-2</v>
      </c>
      <c r="H10" s="62"/>
    </row>
    <row r="11" spans="1:14" x14ac:dyDescent="0.2">
      <c r="A11" s="3">
        <v>5</v>
      </c>
      <c r="B11" s="4" t="s">
        <v>414</v>
      </c>
      <c r="C11" s="4" t="s">
        <v>415</v>
      </c>
      <c r="D11" s="4" t="s">
        <v>24</v>
      </c>
      <c r="E11" s="5">
        <v>782092</v>
      </c>
      <c r="F11" s="6">
        <v>3542.8767600000001</v>
      </c>
      <c r="G11" s="7">
        <v>7.9736016000000007E-2</v>
      </c>
      <c r="H11" s="62"/>
    </row>
    <row r="12" spans="1:14" x14ac:dyDescent="0.2">
      <c r="A12" s="3">
        <v>6</v>
      </c>
      <c r="B12" s="4" t="s">
        <v>394</v>
      </c>
      <c r="C12" s="4" t="s">
        <v>395</v>
      </c>
      <c r="D12" s="4" t="s">
        <v>1030</v>
      </c>
      <c r="E12" s="5">
        <v>17895</v>
      </c>
      <c r="F12" s="6">
        <v>3182.9389124999998</v>
      </c>
      <c r="G12" s="7">
        <v>7.1635251999999996E-2</v>
      </c>
      <c r="H12" s="62"/>
    </row>
    <row r="13" spans="1:14" x14ac:dyDescent="0.2">
      <c r="A13" s="3">
        <v>7</v>
      </c>
      <c r="B13" s="4" t="s">
        <v>441</v>
      </c>
      <c r="C13" s="4" t="s">
        <v>442</v>
      </c>
      <c r="D13" s="4" t="s">
        <v>24</v>
      </c>
      <c r="E13" s="5">
        <v>123430</v>
      </c>
      <c r="F13" s="6">
        <v>2475.3886499999999</v>
      </c>
      <c r="G13" s="7">
        <v>5.5711119000000003E-2</v>
      </c>
      <c r="H13" s="62"/>
    </row>
    <row r="14" spans="1:14" x14ac:dyDescent="0.2">
      <c r="A14" s="3">
        <v>8</v>
      </c>
      <c r="B14" s="4" t="s">
        <v>516</v>
      </c>
      <c r="C14" s="4" t="s">
        <v>517</v>
      </c>
      <c r="D14" s="4" t="s">
        <v>24</v>
      </c>
      <c r="E14" s="5">
        <v>517173</v>
      </c>
      <c r="F14" s="6">
        <v>1638.4040640000001</v>
      </c>
      <c r="G14" s="7">
        <v>3.6873936000000003E-2</v>
      </c>
      <c r="H14" s="62"/>
    </row>
    <row r="15" spans="1:14" ht="15" x14ac:dyDescent="0.2">
      <c r="A15" s="3">
        <v>9</v>
      </c>
      <c r="B15" s="4" t="s">
        <v>203</v>
      </c>
      <c r="C15" s="4" t="s">
        <v>204</v>
      </c>
      <c r="D15" s="4" t="s">
        <v>80</v>
      </c>
      <c r="E15" s="5">
        <v>198851</v>
      </c>
      <c r="F15" s="6">
        <v>1173.4197509999999</v>
      </c>
      <c r="G15" s="7">
        <v>2.6408995000000001E-2</v>
      </c>
      <c r="H15" s="62"/>
      <c r="J15" s="163" t="s">
        <v>1049</v>
      </c>
    </row>
    <row r="16" spans="1:14" ht="25.5" x14ac:dyDescent="0.2">
      <c r="A16" s="3">
        <v>10</v>
      </c>
      <c r="B16" s="4" t="s">
        <v>312</v>
      </c>
      <c r="C16" s="4" t="s">
        <v>313</v>
      </c>
      <c r="D16" s="4" t="s">
        <v>80</v>
      </c>
      <c r="E16" s="5">
        <v>141241</v>
      </c>
      <c r="F16" s="6">
        <v>796.95234249999999</v>
      </c>
      <c r="G16" s="7">
        <v>1.7936217000000001E-2</v>
      </c>
      <c r="H16" s="62"/>
    </row>
    <row r="17" spans="1:8" x14ac:dyDescent="0.2">
      <c r="A17" s="3">
        <v>11</v>
      </c>
      <c r="B17" s="4" t="s">
        <v>78</v>
      </c>
      <c r="C17" s="4" t="s">
        <v>79</v>
      </c>
      <c r="D17" s="4" t="s">
        <v>80</v>
      </c>
      <c r="E17" s="5">
        <v>260000</v>
      </c>
      <c r="F17" s="6">
        <v>743.73</v>
      </c>
      <c r="G17" s="7">
        <v>1.6738394E-2</v>
      </c>
      <c r="H17" s="62"/>
    </row>
    <row r="18" spans="1:8" x14ac:dyDescent="0.2">
      <c r="A18" s="3">
        <v>12</v>
      </c>
      <c r="B18" s="4" t="s">
        <v>350</v>
      </c>
      <c r="C18" s="4" t="s">
        <v>351</v>
      </c>
      <c r="D18" s="4" t="s">
        <v>80</v>
      </c>
      <c r="E18" s="5">
        <v>54241</v>
      </c>
      <c r="F18" s="6">
        <v>704.50922849999995</v>
      </c>
      <c r="G18" s="7">
        <v>1.5855691000000002E-2</v>
      </c>
      <c r="H18" s="62"/>
    </row>
    <row r="19" spans="1:8" x14ac:dyDescent="0.2">
      <c r="A19" s="3">
        <v>13</v>
      </c>
      <c r="B19" s="4" t="s">
        <v>640</v>
      </c>
      <c r="C19" s="4" t="s">
        <v>641</v>
      </c>
      <c r="D19" s="4" t="s">
        <v>24</v>
      </c>
      <c r="E19" s="5">
        <v>63263</v>
      </c>
      <c r="F19" s="6">
        <v>703.42129699999998</v>
      </c>
      <c r="G19" s="7">
        <v>1.5831206E-2</v>
      </c>
      <c r="H19" s="62"/>
    </row>
    <row r="20" spans="1:8" x14ac:dyDescent="0.2">
      <c r="A20" s="3">
        <v>14</v>
      </c>
      <c r="B20" s="4" t="s">
        <v>331</v>
      </c>
      <c r="C20" s="4" t="s">
        <v>332</v>
      </c>
      <c r="D20" s="4" t="s">
        <v>24</v>
      </c>
      <c r="E20" s="5">
        <v>51843</v>
      </c>
      <c r="F20" s="6">
        <v>603.58212749999996</v>
      </c>
      <c r="G20" s="7">
        <v>1.3584225E-2</v>
      </c>
      <c r="H20" s="62"/>
    </row>
    <row r="21" spans="1:8" x14ac:dyDescent="0.2">
      <c r="A21" s="3">
        <v>15</v>
      </c>
      <c r="B21" s="4" t="s">
        <v>561</v>
      </c>
      <c r="C21" s="4" t="s">
        <v>562</v>
      </c>
      <c r="D21" s="4" t="s">
        <v>80</v>
      </c>
      <c r="E21" s="5">
        <v>7202</v>
      </c>
      <c r="F21" s="6">
        <v>552.25656200000003</v>
      </c>
      <c r="G21" s="7">
        <v>1.2429091E-2</v>
      </c>
      <c r="H21" s="62"/>
    </row>
    <row r="22" spans="1:8" x14ac:dyDescent="0.2">
      <c r="A22" s="3">
        <v>16</v>
      </c>
      <c r="B22" s="4" t="s">
        <v>735</v>
      </c>
      <c r="C22" s="4" t="s">
        <v>736</v>
      </c>
      <c r="D22" s="4" t="s">
        <v>80</v>
      </c>
      <c r="E22" s="5">
        <v>414772</v>
      </c>
      <c r="F22" s="6">
        <v>467.65543000000002</v>
      </c>
      <c r="G22" s="7">
        <v>1.0525057000000001E-2</v>
      </c>
      <c r="H22" s="62"/>
    </row>
    <row r="23" spans="1:8" x14ac:dyDescent="0.2">
      <c r="A23" s="3">
        <v>17</v>
      </c>
      <c r="B23" s="4" t="s">
        <v>416</v>
      </c>
      <c r="C23" s="4" t="s">
        <v>417</v>
      </c>
      <c r="D23" s="4" t="s">
        <v>1030</v>
      </c>
      <c r="E23" s="5">
        <v>37738</v>
      </c>
      <c r="F23" s="6">
        <v>458.554438</v>
      </c>
      <c r="G23" s="7">
        <v>1.032023E-2</v>
      </c>
      <c r="H23" s="62"/>
    </row>
    <row r="24" spans="1:8" x14ac:dyDescent="0.2">
      <c r="A24" s="3">
        <v>18</v>
      </c>
      <c r="B24" s="4" t="s">
        <v>344</v>
      </c>
      <c r="C24" s="4" t="s">
        <v>345</v>
      </c>
      <c r="D24" s="4" t="s">
        <v>24</v>
      </c>
      <c r="E24" s="5">
        <v>498429</v>
      </c>
      <c r="F24" s="6">
        <v>420.17564700000003</v>
      </c>
      <c r="G24" s="7">
        <v>9.4564769999999996E-3</v>
      </c>
      <c r="H24" s="62"/>
    </row>
    <row r="25" spans="1:8" x14ac:dyDescent="0.2">
      <c r="A25" s="3">
        <v>19</v>
      </c>
      <c r="B25" s="4" t="s">
        <v>308</v>
      </c>
      <c r="C25" s="4" t="s">
        <v>309</v>
      </c>
      <c r="D25" s="4" t="s">
        <v>1030</v>
      </c>
      <c r="E25" s="5">
        <v>31042</v>
      </c>
      <c r="F25" s="6">
        <v>314.85900600000002</v>
      </c>
      <c r="G25" s="7">
        <v>7.0862199999999998E-3</v>
      </c>
      <c r="H25" s="62"/>
    </row>
    <row r="26" spans="1:8" ht="25.5" x14ac:dyDescent="0.2">
      <c r="A26" s="3">
        <v>20</v>
      </c>
      <c r="B26" s="4" t="s">
        <v>443</v>
      </c>
      <c r="C26" s="4" t="s">
        <v>444</v>
      </c>
      <c r="D26" s="4" t="s">
        <v>1030</v>
      </c>
      <c r="E26" s="5">
        <v>19277</v>
      </c>
      <c r="F26" s="6">
        <v>306.407915</v>
      </c>
      <c r="G26" s="7">
        <v>6.8960189999999998E-3</v>
      </c>
      <c r="H26" s="62"/>
    </row>
    <row r="27" spans="1:8" x14ac:dyDescent="0.2">
      <c r="A27" s="3">
        <v>21</v>
      </c>
      <c r="B27" s="4" t="s">
        <v>590</v>
      </c>
      <c r="C27" s="4" t="s">
        <v>591</v>
      </c>
      <c r="D27" s="4" t="s">
        <v>1030</v>
      </c>
      <c r="E27" s="5">
        <v>39000</v>
      </c>
      <c r="F27" s="6">
        <v>281.73599999999999</v>
      </c>
      <c r="G27" s="7">
        <v>6.3407530000000002E-3</v>
      </c>
      <c r="H27" s="62"/>
    </row>
    <row r="28" spans="1:8" x14ac:dyDescent="0.2">
      <c r="A28" s="3">
        <v>22</v>
      </c>
      <c r="B28" s="4" t="s">
        <v>384</v>
      </c>
      <c r="C28" s="4" t="s">
        <v>385</v>
      </c>
      <c r="D28" s="4" t="s">
        <v>80</v>
      </c>
      <c r="E28" s="5">
        <v>59054</v>
      </c>
      <c r="F28" s="6">
        <v>252.19010700000001</v>
      </c>
      <c r="G28" s="7">
        <v>5.6757930000000002E-3</v>
      </c>
      <c r="H28" s="62"/>
    </row>
    <row r="29" spans="1:8" x14ac:dyDescent="0.2">
      <c r="A29" s="3">
        <v>23</v>
      </c>
      <c r="B29" s="4" t="s">
        <v>552</v>
      </c>
      <c r="C29" s="4" t="s">
        <v>553</v>
      </c>
      <c r="D29" s="4" t="s">
        <v>1024</v>
      </c>
      <c r="E29" s="5">
        <v>16200</v>
      </c>
      <c r="F29" s="6">
        <v>172.8459</v>
      </c>
      <c r="G29" s="7">
        <v>3.8900710000000002E-3</v>
      </c>
      <c r="H29" s="62"/>
    </row>
    <row r="30" spans="1:8" x14ac:dyDescent="0.2">
      <c r="A30" s="3">
        <v>24</v>
      </c>
      <c r="B30" s="4" t="s">
        <v>737</v>
      </c>
      <c r="C30" s="4" t="s">
        <v>738</v>
      </c>
      <c r="D30" s="4" t="s">
        <v>80</v>
      </c>
      <c r="E30" s="5">
        <v>184713</v>
      </c>
      <c r="F30" s="6">
        <v>170.95188150000001</v>
      </c>
      <c r="G30" s="7">
        <v>3.8474450000000001E-3</v>
      </c>
      <c r="H30" s="62"/>
    </row>
    <row r="31" spans="1:8" x14ac:dyDescent="0.2">
      <c r="A31" s="3">
        <v>25</v>
      </c>
      <c r="B31" s="4" t="s">
        <v>358</v>
      </c>
      <c r="C31" s="4" t="s">
        <v>359</v>
      </c>
      <c r="D31" s="4" t="s">
        <v>1024</v>
      </c>
      <c r="E31" s="5">
        <v>15113</v>
      </c>
      <c r="F31" s="6">
        <v>114.6094355</v>
      </c>
      <c r="G31" s="7">
        <v>2.5794009999999998E-3</v>
      </c>
      <c r="H31" s="62"/>
    </row>
    <row r="32" spans="1:8" ht="25.5" x14ac:dyDescent="0.2">
      <c r="A32" s="3">
        <v>26</v>
      </c>
      <c r="B32" s="4" t="s">
        <v>739</v>
      </c>
      <c r="C32" s="4" t="s">
        <v>740</v>
      </c>
      <c r="D32" s="4" t="s">
        <v>80</v>
      </c>
      <c r="E32" s="5">
        <v>31804</v>
      </c>
      <c r="F32" s="6">
        <v>58.901007999999997</v>
      </c>
      <c r="G32" s="7">
        <v>1.325627E-3</v>
      </c>
      <c r="H32" s="62"/>
    </row>
    <row r="33" spans="1:8" x14ac:dyDescent="0.2">
      <c r="A33" s="1"/>
      <c r="B33" s="1"/>
      <c r="C33" s="2" t="s">
        <v>105</v>
      </c>
      <c r="D33" s="1"/>
      <c r="E33" s="1" t="s">
        <v>106</v>
      </c>
      <c r="F33" s="9">
        <v>43234.535426000002</v>
      </c>
      <c r="G33" s="10">
        <v>0.97303684000000001</v>
      </c>
      <c r="H33" s="62"/>
    </row>
    <row r="34" spans="1:8" x14ac:dyDescent="0.2">
      <c r="A34" s="1"/>
      <c r="B34" s="1"/>
      <c r="C34" s="11"/>
      <c r="D34" s="1"/>
      <c r="E34" s="1"/>
      <c r="F34" s="12"/>
      <c r="G34" s="12"/>
      <c r="H34" s="62"/>
    </row>
    <row r="35" spans="1:8" x14ac:dyDescent="0.2">
      <c r="A35" s="1"/>
      <c r="B35" s="1"/>
      <c r="C35" s="2" t="s">
        <v>107</v>
      </c>
      <c r="D35" s="1"/>
      <c r="E35" s="1"/>
      <c r="F35" s="1"/>
      <c r="G35" s="1"/>
      <c r="H35" s="62"/>
    </row>
    <row r="36" spans="1:8" x14ac:dyDescent="0.2">
      <c r="A36" s="1"/>
      <c r="B36" s="1"/>
      <c r="C36" s="2" t="s">
        <v>105</v>
      </c>
      <c r="D36" s="1"/>
      <c r="E36" s="1" t="s">
        <v>106</v>
      </c>
      <c r="F36" s="13">
        <v>0</v>
      </c>
      <c r="G36" s="14">
        <v>0</v>
      </c>
      <c r="H36" s="62"/>
    </row>
    <row r="37" spans="1:8" x14ac:dyDescent="0.2">
      <c r="A37" s="1"/>
      <c r="B37" s="1"/>
      <c r="C37" s="11"/>
      <c r="D37" s="1"/>
      <c r="E37" s="1"/>
      <c r="F37" s="12"/>
      <c r="G37" s="12"/>
      <c r="H37" s="62"/>
    </row>
    <row r="38" spans="1:8" x14ac:dyDescent="0.2">
      <c r="A38" s="1"/>
      <c r="B38" s="1"/>
      <c r="C38" s="2" t="s">
        <v>108</v>
      </c>
      <c r="D38" s="1"/>
      <c r="E38" s="1"/>
      <c r="F38" s="1"/>
      <c r="G38" s="1"/>
      <c r="H38" s="62"/>
    </row>
    <row r="39" spans="1:8" x14ac:dyDescent="0.2">
      <c r="A39" s="1"/>
      <c r="B39" s="1"/>
      <c r="C39" s="2" t="s">
        <v>105</v>
      </c>
      <c r="D39" s="1"/>
      <c r="E39" s="1" t="s">
        <v>106</v>
      </c>
      <c r="F39" s="13">
        <v>0</v>
      </c>
      <c r="G39" s="14">
        <v>0</v>
      </c>
      <c r="H39" s="62"/>
    </row>
    <row r="40" spans="1:8" x14ac:dyDescent="0.2">
      <c r="A40" s="1"/>
      <c r="B40" s="1"/>
      <c r="C40" s="11"/>
      <c r="D40" s="1"/>
      <c r="E40" s="1"/>
      <c r="F40" s="12"/>
      <c r="G40" s="12"/>
      <c r="H40" s="62"/>
    </row>
    <row r="41" spans="1:8" x14ac:dyDescent="0.2">
      <c r="A41" s="1"/>
      <c r="B41" s="1"/>
      <c r="C41" s="2" t="s">
        <v>109</v>
      </c>
      <c r="D41" s="1"/>
      <c r="E41" s="1"/>
      <c r="F41" s="1"/>
      <c r="G41" s="1"/>
      <c r="H41" s="62"/>
    </row>
    <row r="42" spans="1:8" x14ac:dyDescent="0.2">
      <c r="A42" s="1"/>
      <c r="B42" s="1"/>
      <c r="C42" s="2" t="s">
        <v>105</v>
      </c>
      <c r="D42" s="1"/>
      <c r="E42" s="1" t="s">
        <v>106</v>
      </c>
      <c r="F42" s="13">
        <v>0</v>
      </c>
      <c r="G42" s="14">
        <v>0</v>
      </c>
      <c r="H42" s="62"/>
    </row>
    <row r="43" spans="1:8" x14ac:dyDescent="0.2">
      <c r="A43" s="1"/>
      <c r="B43" s="1"/>
      <c r="C43" s="11"/>
      <c r="D43" s="1"/>
      <c r="E43" s="1"/>
      <c r="F43" s="12"/>
      <c r="G43" s="12"/>
      <c r="H43" s="62"/>
    </row>
    <row r="44" spans="1:8" x14ac:dyDescent="0.2">
      <c r="A44" s="1"/>
      <c r="B44" s="1"/>
      <c r="C44" s="2" t="s">
        <v>111</v>
      </c>
      <c r="D44" s="1"/>
      <c r="E44" s="1"/>
      <c r="F44" s="12"/>
      <c r="G44" s="12"/>
      <c r="H44" s="62"/>
    </row>
    <row r="45" spans="1:8" x14ac:dyDescent="0.2">
      <c r="A45" s="1"/>
      <c r="B45" s="1"/>
      <c r="C45" s="2" t="s">
        <v>105</v>
      </c>
      <c r="D45" s="1"/>
      <c r="E45" s="1" t="s">
        <v>106</v>
      </c>
      <c r="F45" s="13">
        <v>0</v>
      </c>
      <c r="G45" s="14">
        <v>0</v>
      </c>
      <c r="H45" s="62"/>
    </row>
    <row r="46" spans="1:8" x14ac:dyDescent="0.2">
      <c r="A46" s="1"/>
      <c r="B46" s="1"/>
      <c r="C46" s="11"/>
      <c r="D46" s="1"/>
      <c r="E46" s="1"/>
      <c r="F46" s="12"/>
      <c r="G46" s="12"/>
      <c r="H46" s="62"/>
    </row>
    <row r="47" spans="1:8" x14ac:dyDescent="0.2">
      <c r="A47" s="1"/>
      <c r="B47" s="1"/>
      <c r="C47" s="2" t="s">
        <v>112</v>
      </c>
      <c r="D47" s="1"/>
      <c r="E47" s="1"/>
      <c r="F47" s="12"/>
      <c r="G47" s="12"/>
      <c r="H47" s="62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13">
        <v>0</v>
      </c>
      <c r="G48" s="14">
        <v>0</v>
      </c>
      <c r="H48" s="62"/>
    </row>
    <row r="49" spans="1:8" x14ac:dyDescent="0.2">
      <c r="A49" s="1"/>
      <c r="B49" s="1"/>
      <c r="C49" s="11"/>
      <c r="D49" s="1"/>
      <c r="E49" s="1"/>
      <c r="F49" s="12"/>
      <c r="G49" s="12"/>
      <c r="H49" s="62"/>
    </row>
    <row r="50" spans="1:8" x14ac:dyDescent="0.2">
      <c r="A50" s="1"/>
      <c r="B50" s="1"/>
      <c r="C50" s="2" t="s">
        <v>113</v>
      </c>
      <c r="D50" s="1"/>
      <c r="E50" s="1"/>
      <c r="F50" s="9">
        <v>43234.535426000002</v>
      </c>
      <c r="G50" s="10">
        <v>0.97303684000000001</v>
      </c>
      <c r="H50" s="62"/>
    </row>
    <row r="51" spans="1:8" x14ac:dyDescent="0.2">
      <c r="A51" s="1"/>
      <c r="B51" s="1"/>
      <c r="C51" s="11"/>
      <c r="D51" s="1"/>
      <c r="E51" s="1"/>
      <c r="F51" s="12"/>
      <c r="G51" s="12"/>
      <c r="H51" s="62"/>
    </row>
    <row r="52" spans="1:8" x14ac:dyDescent="0.2">
      <c r="A52" s="1"/>
      <c r="B52" s="1"/>
      <c r="C52" s="2" t="s">
        <v>114</v>
      </c>
      <c r="D52" s="1"/>
      <c r="E52" s="1"/>
      <c r="F52" s="12"/>
      <c r="G52" s="12"/>
      <c r="H52" s="62"/>
    </row>
    <row r="53" spans="1:8" ht="25.5" x14ac:dyDescent="0.2">
      <c r="A53" s="1"/>
      <c r="B53" s="1"/>
      <c r="C53" s="2" t="s">
        <v>10</v>
      </c>
      <c r="D53" s="1"/>
      <c r="E53" s="1"/>
      <c r="F53" s="12"/>
      <c r="G53" s="12"/>
      <c r="H53" s="62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13">
        <v>0</v>
      </c>
      <c r="G54" s="14">
        <v>0</v>
      </c>
      <c r="H54" s="62"/>
    </row>
    <row r="55" spans="1:8" x14ac:dyDescent="0.2">
      <c r="A55" s="1"/>
      <c r="B55" s="1"/>
      <c r="C55" s="11"/>
      <c r="D55" s="1"/>
      <c r="E55" s="1"/>
      <c r="F55" s="12"/>
      <c r="G55" s="12"/>
      <c r="H55" s="62"/>
    </row>
    <row r="56" spans="1:8" x14ac:dyDescent="0.2">
      <c r="A56" s="1"/>
      <c r="B56" s="1"/>
      <c r="C56" s="2" t="s">
        <v>115</v>
      </c>
      <c r="D56" s="1"/>
      <c r="E56" s="1"/>
      <c r="F56" s="1"/>
      <c r="G56" s="1"/>
      <c r="H56" s="6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2"/>
    </row>
    <row r="58" spans="1:8" x14ac:dyDescent="0.2">
      <c r="A58" s="1"/>
      <c r="B58" s="1"/>
      <c r="C58" s="11"/>
      <c r="D58" s="1"/>
      <c r="E58" s="1"/>
      <c r="F58" s="12"/>
      <c r="G58" s="12"/>
      <c r="H58" s="62"/>
    </row>
    <row r="59" spans="1:8" x14ac:dyDescent="0.2">
      <c r="A59" s="1"/>
      <c r="B59" s="1"/>
      <c r="C59" s="2" t="s">
        <v>116</v>
      </c>
      <c r="D59" s="1"/>
      <c r="E59" s="1"/>
      <c r="F59" s="1"/>
      <c r="G59" s="1"/>
      <c r="H59" s="6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2"/>
    </row>
    <row r="61" spans="1:8" x14ac:dyDescent="0.2">
      <c r="A61" s="1"/>
      <c r="B61" s="1"/>
      <c r="C61" s="11"/>
      <c r="D61" s="1"/>
      <c r="E61" s="1"/>
      <c r="F61" s="12"/>
      <c r="G61" s="12"/>
      <c r="H61" s="62"/>
    </row>
    <row r="62" spans="1:8" x14ac:dyDescent="0.2">
      <c r="A62" s="1"/>
      <c r="B62" s="1"/>
      <c r="C62" s="2" t="s">
        <v>117</v>
      </c>
      <c r="D62" s="1"/>
      <c r="E62" s="1"/>
      <c r="F62" s="12"/>
      <c r="G62" s="12"/>
      <c r="H62" s="62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2"/>
    </row>
    <row r="64" spans="1:8" x14ac:dyDescent="0.2">
      <c r="A64" s="1"/>
      <c r="B64" s="1"/>
      <c r="C64" s="11"/>
      <c r="D64" s="1"/>
      <c r="E64" s="1"/>
      <c r="F64" s="12"/>
      <c r="G64" s="12"/>
      <c r="H64" s="62"/>
    </row>
    <row r="65" spans="1:8" x14ac:dyDescent="0.2">
      <c r="A65" s="1"/>
      <c r="B65" s="1"/>
      <c r="C65" s="2" t="s">
        <v>118</v>
      </c>
      <c r="D65" s="1"/>
      <c r="E65" s="1"/>
      <c r="F65" s="9">
        <v>0</v>
      </c>
      <c r="G65" s="10">
        <v>0</v>
      </c>
      <c r="H65" s="62"/>
    </row>
    <row r="66" spans="1:8" x14ac:dyDescent="0.2">
      <c r="A66" s="1"/>
      <c r="B66" s="1"/>
      <c r="C66" s="11"/>
      <c r="D66" s="1"/>
      <c r="E66" s="1"/>
      <c r="F66" s="12"/>
      <c r="G66" s="12"/>
      <c r="H66" s="62"/>
    </row>
    <row r="67" spans="1:8" x14ac:dyDescent="0.2">
      <c r="A67" s="1"/>
      <c r="B67" s="1"/>
      <c r="C67" s="2" t="s">
        <v>119</v>
      </c>
      <c r="D67" s="1"/>
      <c r="E67" s="1"/>
      <c r="F67" s="12"/>
      <c r="G67" s="12"/>
      <c r="H67" s="62"/>
    </row>
    <row r="68" spans="1:8" x14ac:dyDescent="0.2">
      <c r="A68" s="1"/>
      <c r="B68" s="1"/>
      <c r="C68" s="2" t="s">
        <v>120</v>
      </c>
      <c r="D68" s="1"/>
      <c r="E68" s="1"/>
      <c r="F68" s="12"/>
      <c r="G68" s="12"/>
      <c r="H68" s="62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2"/>
    </row>
    <row r="70" spans="1:8" x14ac:dyDescent="0.2">
      <c r="A70" s="1"/>
      <c r="B70" s="1"/>
      <c r="C70" s="11"/>
      <c r="D70" s="1"/>
      <c r="E70" s="1"/>
      <c r="F70" s="12"/>
      <c r="G70" s="12"/>
      <c r="H70" s="62"/>
    </row>
    <row r="71" spans="1:8" x14ac:dyDescent="0.2">
      <c r="A71" s="1"/>
      <c r="B71" s="1"/>
      <c r="C71" s="2" t="s">
        <v>121</v>
      </c>
      <c r="D71" s="1"/>
      <c r="E71" s="1"/>
      <c r="F71" s="12"/>
      <c r="G71" s="12"/>
      <c r="H71" s="62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2"/>
    </row>
    <row r="73" spans="1:8" x14ac:dyDescent="0.2">
      <c r="A73" s="1"/>
      <c r="B73" s="1"/>
      <c r="C73" s="11"/>
      <c r="D73" s="1"/>
      <c r="E73" s="1"/>
      <c r="F73" s="12"/>
      <c r="G73" s="12"/>
      <c r="H73" s="62"/>
    </row>
    <row r="74" spans="1:8" x14ac:dyDescent="0.2">
      <c r="A74" s="1"/>
      <c r="B74" s="1"/>
      <c r="C74" s="2" t="s">
        <v>122</v>
      </c>
      <c r="D74" s="1"/>
      <c r="E74" s="1"/>
      <c r="F74" s="12"/>
      <c r="G74" s="12"/>
      <c r="H74" s="6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2"/>
    </row>
    <row r="76" spans="1:8" x14ac:dyDescent="0.2">
      <c r="A76" s="1"/>
      <c r="B76" s="1"/>
      <c r="C76" s="11"/>
      <c r="D76" s="1"/>
      <c r="E76" s="1"/>
      <c r="F76" s="12"/>
      <c r="G76" s="12"/>
      <c r="H76" s="62"/>
    </row>
    <row r="77" spans="1:8" x14ac:dyDescent="0.2">
      <c r="A77" s="1"/>
      <c r="B77" s="1"/>
      <c r="C77" s="2" t="s">
        <v>123</v>
      </c>
      <c r="D77" s="1"/>
      <c r="E77" s="1"/>
      <c r="F77" s="12"/>
      <c r="G77" s="12"/>
      <c r="H77" s="62"/>
    </row>
    <row r="78" spans="1:8" x14ac:dyDescent="0.2">
      <c r="A78" s="3">
        <v>1</v>
      </c>
      <c r="B78" s="4"/>
      <c r="C78" s="4" t="s">
        <v>124</v>
      </c>
      <c r="D78" s="4"/>
      <c r="E78" s="8"/>
      <c r="F78" s="6">
        <v>1208.2466076000001</v>
      </c>
      <c r="G78" s="7">
        <v>2.7192808999999998E-2</v>
      </c>
      <c r="H78" s="152">
        <v>3.3197683930276081</v>
      </c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1208.2466076000001</v>
      </c>
      <c r="G79" s="10">
        <v>2.7192808999999998E-2</v>
      </c>
      <c r="H79" s="62"/>
    </row>
    <row r="80" spans="1:8" x14ac:dyDescent="0.2">
      <c r="A80" s="1"/>
      <c r="B80" s="1"/>
      <c r="C80" s="11"/>
      <c r="D80" s="1"/>
      <c r="E80" s="1"/>
      <c r="F80" s="12"/>
      <c r="G80" s="12"/>
      <c r="H80" s="62"/>
    </row>
    <row r="81" spans="1:8" x14ac:dyDescent="0.2">
      <c r="A81" s="1"/>
      <c r="B81" s="1"/>
      <c r="C81" s="2" t="s">
        <v>125</v>
      </c>
      <c r="D81" s="1"/>
      <c r="E81" s="1"/>
      <c r="F81" s="9">
        <v>1208.2466076000001</v>
      </c>
      <c r="G81" s="10">
        <v>2.7192808999999998E-2</v>
      </c>
      <c r="H81" s="62"/>
    </row>
    <row r="82" spans="1:8" x14ac:dyDescent="0.2">
      <c r="A82" s="1"/>
      <c r="B82" s="1"/>
      <c r="C82" s="12"/>
      <c r="D82" s="1"/>
      <c r="E82" s="1"/>
      <c r="F82" s="1"/>
      <c r="G82" s="1"/>
      <c r="H82" s="62"/>
    </row>
    <row r="83" spans="1:8" x14ac:dyDescent="0.2">
      <c r="A83" s="1"/>
      <c r="B83" s="1"/>
      <c r="C83" s="2" t="s">
        <v>126</v>
      </c>
      <c r="D83" s="1"/>
      <c r="E83" s="1"/>
      <c r="F83" s="1"/>
      <c r="G83" s="1"/>
      <c r="H83" s="62"/>
    </row>
    <row r="84" spans="1:8" x14ac:dyDescent="0.2">
      <c r="A84" s="1"/>
      <c r="B84" s="1"/>
      <c r="C84" s="2" t="s">
        <v>127</v>
      </c>
      <c r="D84" s="1"/>
      <c r="E84" s="1"/>
      <c r="F84" s="1"/>
      <c r="G84" s="1"/>
      <c r="H84" s="6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2"/>
    </row>
    <row r="86" spans="1:8" x14ac:dyDescent="0.2">
      <c r="A86" s="1"/>
      <c r="B86" s="1"/>
      <c r="C86" s="11"/>
      <c r="D86" s="1"/>
      <c r="E86" s="1"/>
      <c r="F86" s="12"/>
      <c r="G86" s="12"/>
      <c r="H86" s="62"/>
    </row>
    <row r="87" spans="1:8" x14ac:dyDescent="0.2">
      <c r="A87" s="1"/>
      <c r="B87" s="1"/>
      <c r="C87" s="2" t="s">
        <v>128</v>
      </c>
      <c r="D87" s="1"/>
      <c r="E87" s="1"/>
      <c r="F87" s="1"/>
      <c r="G87" s="1"/>
      <c r="H87" s="62"/>
    </row>
    <row r="88" spans="1:8" x14ac:dyDescent="0.2">
      <c r="A88" s="1"/>
      <c r="B88" s="1"/>
      <c r="C88" s="2" t="s">
        <v>129</v>
      </c>
      <c r="D88" s="1"/>
      <c r="E88" s="1"/>
      <c r="F88" s="1"/>
      <c r="G88" s="1"/>
      <c r="H88" s="6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2"/>
    </row>
    <row r="90" spans="1:8" x14ac:dyDescent="0.2">
      <c r="A90" s="1"/>
      <c r="B90" s="1"/>
      <c r="C90" s="11"/>
      <c r="D90" s="1"/>
      <c r="E90" s="1"/>
      <c r="F90" s="12"/>
      <c r="G90" s="12"/>
      <c r="H90" s="62"/>
    </row>
    <row r="91" spans="1:8" x14ac:dyDescent="0.2">
      <c r="A91" s="1"/>
      <c r="B91" s="1"/>
      <c r="C91" s="11"/>
      <c r="D91" s="1"/>
      <c r="E91" s="1"/>
      <c r="F91" s="12"/>
      <c r="G91" s="12"/>
      <c r="H91" s="62"/>
    </row>
    <row r="92" spans="1:8" ht="25.5" x14ac:dyDescent="0.2">
      <c r="A92" s="1"/>
      <c r="B92" s="1"/>
      <c r="C92" s="2" t="s">
        <v>130</v>
      </c>
      <c r="D92" s="1"/>
      <c r="E92" s="1"/>
      <c r="F92" s="12"/>
      <c r="G92" s="12"/>
      <c r="H92" s="62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2"/>
    </row>
    <row r="94" spans="1:8" x14ac:dyDescent="0.2">
      <c r="A94" s="1"/>
      <c r="B94" s="1"/>
      <c r="C94" s="11"/>
      <c r="D94" s="1"/>
      <c r="E94" s="1"/>
      <c r="F94" s="12"/>
      <c r="G94" s="12"/>
      <c r="H94" s="62"/>
    </row>
    <row r="95" spans="1:8" x14ac:dyDescent="0.2">
      <c r="A95" s="1"/>
      <c r="B95" s="4"/>
      <c r="C95" s="4"/>
      <c r="D95" s="2"/>
      <c r="E95" s="1"/>
      <c r="F95" s="4"/>
      <c r="G95" s="8"/>
      <c r="H95" s="62"/>
    </row>
    <row r="96" spans="1:8" x14ac:dyDescent="0.2">
      <c r="A96" s="8"/>
      <c r="B96" s="4"/>
      <c r="C96" s="4" t="s">
        <v>131</v>
      </c>
      <c r="D96" s="4"/>
      <c r="E96" s="8"/>
      <c r="F96" s="6">
        <v>-10.2038788</v>
      </c>
      <c r="G96" s="7">
        <v>-2.2964900000000001E-4</v>
      </c>
      <c r="H96" s="62"/>
    </row>
    <row r="97" spans="1:8" x14ac:dyDescent="0.2">
      <c r="A97" s="11"/>
      <c r="B97" s="11"/>
      <c r="C97" s="2" t="s">
        <v>132</v>
      </c>
      <c r="D97" s="15"/>
      <c r="E97" s="15"/>
      <c r="F97" s="9">
        <v>44432.578154800001</v>
      </c>
      <c r="G97" s="10">
        <v>1</v>
      </c>
      <c r="H97" s="62"/>
    </row>
    <row r="98" spans="1:8" ht="14.1" customHeight="1" x14ac:dyDescent="0.2">
      <c r="A98" s="16"/>
      <c r="B98" s="16"/>
      <c r="C98" s="16"/>
      <c r="D98" s="17"/>
      <c r="E98" s="17"/>
      <c r="F98" s="17"/>
      <c r="G98" s="17"/>
    </row>
    <row r="99" spans="1:8" ht="14.1" customHeight="1" x14ac:dyDescent="0.2">
      <c r="A99" s="18"/>
      <c r="B99" s="205" t="s">
        <v>106</v>
      </c>
      <c r="C99" s="205"/>
      <c r="D99" s="205"/>
      <c r="E99" s="205"/>
      <c r="F99" s="205"/>
      <c r="G99" s="20"/>
    </row>
    <row r="100" spans="1:8" ht="14.1" customHeight="1" x14ac:dyDescent="0.2">
      <c r="A100" s="18"/>
      <c r="B100" s="205" t="s">
        <v>106</v>
      </c>
      <c r="C100" s="205"/>
      <c r="D100" s="205"/>
      <c r="E100" s="205"/>
      <c r="F100" s="205"/>
      <c r="G100" s="20"/>
    </row>
    <row r="101" spans="1:8" ht="14.1" customHeight="1" x14ac:dyDescent="0.2">
      <c r="A101" s="18"/>
      <c r="B101" s="18"/>
      <c r="C101" s="18"/>
      <c r="D101" s="20"/>
      <c r="E101" s="20"/>
      <c r="F101" s="20"/>
      <c r="G101" s="20"/>
    </row>
    <row r="102" spans="1:8" ht="14.1" customHeight="1" x14ac:dyDescent="0.2">
      <c r="A102" s="18"/>
      <c r="B102" s="203" t="s">
        <v>134</v>
      </c>
      <c r="C102" s="204"/>
      <c r="D102" s="12" t="s">
        <v>106</v>
      </c>
      <c r="E102" s="21"/>
      <c r="F102" s="20"/>
      <c r="G102" s="20"/>
    </row>
    <row r="103" spans="1:8" ht="29.1" customHeight="1" x14ac:dyDescent="0.2">
      <c r="A103" s="18"/>
      <c r="B103" s="199" t="s">
        <v>135</v>
      </c>
      <c r="C103" s="200"/>
      <c r="D103" s="2" t="s">
        <v>136</v>
      </c>
      <c r="E103" s="21"/>
      <c r="F103" s="20"/>
      <c r="G103" s="20"/>
    </row>
    <row r="104" spans="1:8" ht="17.100000000000001" customHeight="1" x14ac:dyDescent="0.2">
      <c r="A104" s="18"/>
      <c r="B104" s="199" t="s">
        <v>137</v>
      </c>
      <c r="C104" s="200"/>
      <c r="D104" s="2" t="s">
        <v>136</v>
      </c>
      <c r="E104" s="21"/>
      <c r="F104" s="20"/>
      <c r="G104" s="20"/>
    </row>
    <row r="105" spans="1:8" ht="17.100000000000001" customHeight="1" x14ac:dyDescent="0.2">
      <c r="A105" s="18"/>
      <c r="B105" s="199" t="s">
        <v>138</v>
      </c>
      <c r="C105" s="200"/>
      <c r="D105" s="12" t="s">
        <v>106</v>
      </c>
      <c r="E105" s="21"/>
      <c r="F105" s="20"/>
      <c r="G105" s="20"/>
    </row>
    <row r="106" spans="1:8" ht="24" customHeight="1" x14ac:dyDescent="0.2">
      <c r="A106" s="22"/>
      <c r="B106" s="23" t="s">
        <v>106</v>
      </c>
      <c r="C106" s="23" t="s">
        <v>139</v>
      </c>
      <c r="D106" s="23" t="s">
        <v>140</v>
      </c>
      <c r="E106" s="22"/>
      <c r="F106" s="22"/>
      <c r="G106" s="22"/>
    </row>
    <row r="107" spans="1:8" ht="18" customHeight="1" x14ac:dyDescent="0.2">
      <c r="A107" s="22"/>
      <c r="B107" s="23" t="s">
        <v>141</v>
      </c>
      <c r="C107" s="23" t="s">
        <v>142</v>
      </c>
      <c r="D107" s="23" t="s">
        <v>143</v>
      </c>
      <c r="E107" s="22"/>
      <c r="F107" s="22"/>
      <c r="G107" s="22"/>
    </row>
    <row r="108" spans="1:8" x14ac:dyDescent="0.2">
      <c r="A108" s="22"/>
      <c r="B108" s="4" t="s">
        <v>144</v>
      </c>
      <c r="C108" s="24">
        <v>63.724699999999999</v>
      </c>
      <c r="D108" s="24">
        <v>64.580100000000002</v>
      </c>
      <c r="E108" s="22"/>
      <c r="F108" s="19"/>
      <c r="G108" s="25"/>
    </row>
    <row r="109" spans="1:8" x14ac:dyDescent="0.2">
      <c r="A109" s="22"/>
      <c r="B109" s="4" t="s">
        <v>1019</v>
      </c>
      <c r="C109" s="24">
        <v>25.027100000000001</v>
      </c>
      <c r="D109" s="24">
        <v>25.363</v>
      </c>
      <c r="E109" s="22"/>
      <c r="F109" s="19"/>
      <c r="G109" s="25"/>
    </row>
    <row r="110" spans="1:8" x14ac:dyDescent="0.2">
      <c r="A110" s="22"/>
      <c r="B110" s="4" t="s">
        <v>406</v>
      </c>
      <c r="C110" s="24">
        <v>65.520700000000005</v>
      </c>
      <c r="D110" s="24">
        <v>66.400300000000001</v>
      </c>
      <c r="E110" s="22"/>
      <c r="F110" s="19"/>
      <c r="G110" s="25"/>
    </row>
    <row r="111" spans="1:8" x14ac:dyDescent="0.2">
      <c r="A111" s="22"/>
      <c r="B111" s="4" t="s">
        <v>1022</v>
      </c>
      <c r="C111" s="24">
        <v>25.4697</v>
      </c>
      <c r="D111" s="24">
        <v>25.811299999999999</v>
      </c>
      <c r="E111" s="22"/>
      <c r="F111" s="19"/>
      <c r="G111" s="25"/>
    </row>
    <row r="112" spans="1:8" x14ac:dyDescent="0.2">
      <c r="A112" s="22"/>
      <c r="B112" s="4" t="s">
        <v>145</v>
      </c>
      <c r="C112" s="24">
        <v>59.689300000000003</v>
      </c>
      <c r="D112" s="24">
        <v>60.4178</v>
      </c>
      <c r="E112" s="22"/>
      <c r="F112" s="19"/>
      <c r="G112" s="25"/>
    </row>
    <row r="113" spans="1:7" x14ac:dyDescent="0.2">
      <c r="A113" s="22"/>
      <c r="B113" s="4" t="s">
        <v>1020</v>
      </c>
      <c r="C113" s="24">
        <v>23.061</v>
      </c>
      <c r="D113" s="24">
        <v>23.342500000000001</v>
      </c>
      <c r="E113" s="22"/>
      <c r="F113" s="19"/>
      <c r="G113" s="25"/>
    </row>
    <row r="114" spans="1:7" ht="14.1" customHeight="1" x14ac:dyDescent="0.2">
      <c r="A114" s="22"/>
      <c r="B114" s="22"/>
      <c r="C114" s="22"/>
      <c r="D114" s="22"/>
      <c r="E114" s="22"/>
      <c r="F114" s="22"/>
      <c r="G114" s="22"/>
    </row>
    <row r="115" spans="1:7" ht="17.100000000000001" customHeight="1" x14ac:dyDescent="0.2">
      <c r="A115" s="22"/>
      <c r="B115" s="199" t="s">
        <v>1021</v>
      </c>
      <c r="C115" s="200"/>
      <c r="D115" s="2" t="s">
        <v>136</v>
      </c>
      <c r="E115" s="22"/>
      <c r="F115" s="22"/>
      <c r="G115" s="22"/>
    </row>
    <row r="116" spans="1:7" ht="18" customHeight="1" x14ac:dyDescent="0.2">
      <c r="A116" s="22"/>
      <c r="B116" s="26"/>
      <c r="C116" s="26"/>
      <c r="D116" s="27"/>
      <c r="E116" s="22"/>
      <c r="F116" s="22"/>
      <c r="G116" s="22"/>
    </row>
    <row r="117" spans="1:7" s="125" customFormat="1" x14ac:dyDescent="0.2">
      <c r="B117" s="201" t="s">
        <v>825</v>
      </c>
      <c r="C117" s="201"/>
      <c r="D117" s="201"/>
      <c r="E117" s="201"/>
      <c r="F117" s="201"/>
    </row>
    <row r="118" spans="1:7" ht="14.1" customHeight="1" x14ac:dyDescent="0.2">
      <c r="A118" s="22"/>
      <c r="B118" s="19"/>
      <c r="C118" s="19"/>
      <c r="D118" s="22"/>
      <c r="E118" s="22"/>
      <c r="F118" s="22"/>
      <c r="G118" s="22"/>
    </row>
    <row r="119" spans="1:7" ht="29.1" customHeight="1" x14ac:dyDescent="0.2">
      <c r="A119" s="22"/>
      <c r="B119" s="199" t="s">
        <v>146</v>
      </c>
      <c r="C119" s="200"/>
      <c r="D119" s="2" t="s">
        <v>136</v>
      </c>
      <c r="E119" s="22"/>
      <c r="F119" s="22"/>
      <c r="G119" s="22"/>
    </row>
    <row r="120" spans="1:7" ht="29.1" customHeight="1" x14ac:dyDescent="0.2">
      <c r="A120" s="22"/>
      <c r="B120" s="199" t="s">
        <v>147</v>
      </c>
      <c r="C120" s="200"/>
      <c r="D120" s="2" t="s">
        <v>136</v>
      </c>
      <c r="E120" s="22"/>
      <c r="F120" s="22"/>
      <c r="G120" s="22"/>
    </row>
    <row r="121" spans="1:7" ht="17.100000000000001" customHeight="1" x14ac:dyDescent="0.2">
      <c r="A121" s="22"/>
      <c r="B121" s="199" t="s">
        <v>148</v>
      </c>
      <c r="C121" s="200"/>
      <c r="D121" s="28">
        <v>0.21532179047901467</v>
      </c>
      <c r="E121" s="22"/>
      <c r="F121" s="19"/>
      <c r="G121" s="25"/>
    </row>
    <row r="122" spans="1:7" ht="17.100000000000001" customHeight="1" x14ac:dyDescent="0.2">
      <c r="A122" s="22"/>
      <c r="B122" s="199" t="s">
        <v>149</v>
      </c>
      <c r="C122" s="200"/>
      <c r="D122" s="2" t="s">
        <v>136</v>
      </c>
      <c r="E122" s="22"/>
      <c r="F122" s="22"/>
      <c r="G122" s="22"/>
    </row>
  </sheetData>
  <mergeCells count="16">
    <mergeCell ref="J2:N2"/>
    <mergeCell ref="B102:C102"/>
    <mergeCell ref="B99:F99"/>
    <mergeCell ref="B100:F100"/>
    <mergeCell ref="A1:H1"/>
    <mergeCell ref="A2:H2"/>
    <mergeCell ref="A3:H3"/>
    <mergeCell ref="B121:C121"/>
    <mergeCell ref="B122:C122"/>
    <mergeCell ref="B103:C103"/>
    <mergeCell ref="B104:C104"/>
    <mergeCell ref="B105:C105"/>
    <mergeCell ref="B115:C115"/>
    <mergeCell ref="B119:C119"/>
    <mergeCell ref="B120:C120"/>
    <mergeCell ref="B117:F11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N12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741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62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2"/>
    </row>
    <row r="7" spans="1:14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102145</v>
      </c>
      <c r="F7" s="6">
        <v>715.88323249999996</v>
      </c>
      <c r="G7" s="7">
        <v>7.7082218999999993E-2</v>
      </c>
      <c r="H7" s="62"/>
    </row>
    <row r="8" spans="1:14" x14ac:dyDescent="0.2">
      <c r="A8" s="3">
        <v>2</v>
      </c>
      <c r="B8" s="4" t="s">
        <v>414</v>
      </c>
      <c r="C8" s="4" t="s">
        <v>415</v>
      </c>
      <c r="D8" s="4" t="s">
        <v>24</v>
      </c>
      <c r="E8" s="5">
        <v>150297</v>
      </c>
      <c r="F8" s="6">
        <v>680.84541000000002</v>
      </c>
      <c r="G8" s="7">
        <v>7.3309546000000003E-2</v>
      </c>
      <c r="H8" s="62"/>
    </row>
    <row r="9" spans="1:14" x14ac:dyDescent="0.2">
      <c r="A9" s="3">
        <v>3</v>
      </c>
      <c r="B9" s="4" t="s">
        <v>336</v>
      </c>
      <c r="C9" s="4" t="s">
        <v>337</v>
      </c>
      <c r="D9" s="4" t="s">
        <v>24</v>
      </c>
      <c r="E9" s="5">
        <v>68473</v>
      </c>
      <c r="F9" s="6">
        <v>524.87978150000004</v>
      </c>
      <c r="G9" s="7">
        <v>5.6516058000000001E-2</v>
      </c>
      <c r="H9" s="62"/>
    </row>
    <row r="10" spans="1:14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29371</v>
      </c>
      <c r="F10" s="6">
        <v>500.17344450000002</v>
      </c>
      <c r="G10" s="7">
        <v>5.3855819999999999E-2</v>
      </c>
      <c r="H10" s="62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80</v>
      </c>
      <c r="E11" s="5">
        <v>16898</v>
      </c>
      <c r="F11" s="6">
        <v>465.42161399999998</v>
      </c>
      <c r="G11" s="7">
        <v>5.0113942000000002E-2</v>
      </c>
      <c r="H11" s="62"/>
    </row>
    <row r="12" spans="1:14" x14ac:dyDescent="0.2">
      <c r="A12" s="3">
        <v>6</v>
      </c>
      <c r="B12" s="4" t="s">
        <v>17</v>
      </c>
      <c r="C12" s="4" t="s">
        <v>18</v>
      </c>
      <c r="D12" s="4" t="s">
        <v>19</v>
      </c>
      <c r="E12" s="5">
        <v>66285</v>
      </c>
      <c r="F12" s="6">
        <v>456.23965500000003</v>
      </c>
      <c r="G12" s="7">
        <v>4.9125281E-2</v>
      </c>
      <c r="H12" s="62"/>
    </row>
    <row r="13" spans="1:14" x14ac:dyDescent="0.2">
      <c r="A13" s="3">
        <v>7</v>
      </c>
      <c r="B13" s="4" t="s">
        <v>14</v>
      </c>
      <c r="C13" s="4" t="s">
        <v>15</v>
      </c>
      <c r="D13" s="4" t="s">
        <v>16</v>
      </c>
      <c r="E13" s="5">
        <v>14937</v>
      </c>
      <c r="F13" s="6">
        <v>376.30037249999998</v>
      </c>
      <c r="G13" s="7">
        <v>4.0517875000000002E-2</v>
      </c>
      <c r="H13" s="62"/>
    </row>
    <row r="14" spans="1:14" ht="25.5" x14ac:dyDescent="0.2">
      <c r="A14" s="3">
        <v>8</v>
      </c>
      <c r="B14" s="4" t="s">
        <v>435</v>
      </c>
      <c r="C14" s="4" t="s">
        <v>436</v>
      </c>
      <c r="D14" s="4" t="s">
        <v>90</v>
      </c>
      <c r="E14" s="5">
        <v>149881</v>
      </c>
      <c r="F14" s="6">
        <v>353.94398150000001</v>
      </c>
      <c r="G14" s="7">
        <v>3.8110667000000001E-2</v>
      </c>
      <c r="H14" s="62"/>
    </row>
    <row r="15" spans="1:14" ht="15" x14ac:dyDescent="0.2">
      <c r="A15" s="3">
        <v>9</v>
      </c>
      <c r="B15" s="4" t="s">
        <v>54</v>
      </c>
      <c r="C15" s="4" t="s">
        <v>55</v>
      </c>
      <c r="D15" s="4" t="s">
        <v>56</v>
      </c>
      <c r="E15" s="5">
        <v>191369</v>
      </c>
      <c r="F15" s="6">
        <v>303.98965650000002</v>
      </c>
      <c r="G15" s="7">
        <v>3.2731870000000003E-2</v>
      </c>
      <c r="H15" s="62"/>
      <c r="J15" s="163" t="s">
        <v>1035</v>
      </c>
    </row>
    <row r="16" spans="1:14" x14ac:dyDescent="0.2">
      <c r="A16" s="3">
        <v>10</v>
      </c>
      <c r="B16" s="4" t="s">
        <v>360</v>
      </c>
      <c r="C16" s="4" t="s">
        <v>361</v>
      </c>
      <c r="D16" s="4" t="s">
        <v>24</v>
      </c>
      <c r="E16" s="5">
        <v>367875</v>
      </c>
      <c r="F16" s="6">
        <v>300.73781250000002</v>
      </c>
      <c r="G16" s="7">
        <v>3.2381729999999997E-2</v>
      </c>
      <c r="H16" s="62"/>
    </row>
    <row r="17" spans="1:8" x14ac:dyDescent="0.2">
      <c r="A17" s="3">
        <v>11</v>
      </c>
      <c r="B17" s="4" t="s">
        <v>628</v>
      </c>
      <c r="C17" s="4" t="s">
        <v>629</v>
      </c>
      <c r="D17" s="4" t="s">
        <v>16</v>
      </c>
      <c r="E17" s="5">
        <v>236958</v>
      </c>
      <c r="F17" s="6">
        <v>296.90837399999998</v>
      </c>
      <c r="G17" s="7">
        <v>3.1969398000000003E-2</v>
      </c>
      <c r="H17" s="62"/>
    </row>
    <row r="18" spans="1:8" x14ac:dyDescent="0.2">
      <c r="A18" s="3">
        <v>12</v>
      </c>
      <c r="B18" s="4" t="s">
        <v>40</v>
      </c>
      <c r="C18" s="4" t="s">
        <v>41</v>
      </c>
      <c r="D18" s="4" t="s">
        <v>16</v>
      </c>
      <c r="E18" s="5">
        <v>64450</v>
      </c>
      <c r="F18" s="6">
        <v>278.55290000000002</v>
      </c>
      <c r="G18" s="7">
        <v>2.9992985999999999E-2</v>
      </c>
      <c r="H18" s="62"/>
    </row>
    <row r="19" spans="1:8" x14ac:dyDescent="0.2">
      <c r="A19" s="3">
        <v>13</v>
      </c>
      <c r="B19" s="4" t="s">
        <v>344</v>
      </c>
      <c r="C19" s="4" t="s">
        <v>345</v>
      </c>
      <c r="D19" s="4" t="s">
        <v>24</v>
      </c>
      <c r="E19" s="5">
        <v>289203</v>
      </c>
      <c r="F19" s="6">
        <v>243.79812899999999</v>
      </c>
      <c r="G19" s="7">
        <v>2.625079E-2</v>
      </c>
      <c r="H19" s="62"/>
    </row>
    <row r="20" spans="1:8" ht="25.5" x14ac:dyDescent="0.2">
      <c r="A20" s="3">
        <v>14</v>
      </c>
      <c r="B20" s="4" t="s">
        <v>739</v>
      </c>
      <c r="C20" s="4" t="s">
        <v>740</v>
      </c>
      <c r="D20" s="4" t="s">
        <v>80</v>
      </c>
      <c r="E20" s="5">
        <v>130130</v>
      </c>
      <c r="F20" s="6">
        <v>241.00076000000001</v>
      </c>
      <c r="G20" s="7">
        <v>2.5949586E-2</v>
      </c>
      <c r="H20" s="62"/>
    </row>
    <row r="21" spans="1:8" x14ac:dyDescent="0.2">
      <c r="A21" s="3">
        <v>15</v>
      </c>
      <c r="B21" s="4" t="s">
        <v>265</v>
      </c>
      <c r="C21" s="4" t="s">
        <v>266</v>
      </c>
      <c r="D21" s="4" t="s">
        <v>59</v>
      </c>
      <c r="E21" s="5">
        <v>21716</v>
      </c>
      <c r="F21" s="6">
        <v>224.59773000000001</v>
      </c>
      <c r="G21" s="7">
        <v>2.4183401E-2</v>
      </c>
      <c r="H21" s="62"/>
    </row>
    <row r="22" spans="1:8" x14ac:dyDescent="0.2">
      <c r="A22" s="3">
        <v>16</v>
      </c>
      <c r="B22" s="4" t="s">
        <v>352</v>
      </c>
      <c r="C22" s="4" t="s">
        <v>353</v>
      </c>
      <c r="D22" s="4" t="s">
        <v>48</v>
      </c>
      <c r="E22" s="5">
        <v>30688</v>
      </c>
      <c r="F22" s="6">
        <v>216.13558399999999</v>
      </c>
      <c r="G22" s="7">
        <v>2.3272246E-2</v>
      </c>
      <c r="H22" s="62"/>
    </row>
    <row r="23" spans="1:8" ht="25.5" x14ac:dyDescent="0.2">
      <c r="A23" s="3">
        <v>17</v>
      </c>
      <c r="B23" s="4" t="s">
        <v>70</v>
      </c>
      <c r="C23" s="4" t="s">
        <v>71</v>
      </c>
      <c r="D23" s="4" t="s">
        <v>37</v>
      </c>
      <c r="E23" s="5">
        <v>29885</v>
      </c>
      <c r="F23" s="6">
        <v>215.18694249999999</v>
      </c>
      <c r="G23" s="7">
        <v>2.3170100999999999E-2</v>
      </c>
      <c r="H23" s="62"/>
    </row>
    <row r="24" spans="1:8" x14ac:dyDescent="0.2">
      <c r="A24" s="3">
        <v>18</v>
      </c>
      <c r="B24" s="4" t="s">
        <v>404</v>
      </c>
      <c r="C24" s="4" t="s">
        <v>405</v>
      </c>
      <c r="D24" s="4" t="s">
        <v>335</v>
      </c>
      <c r="E24" s="5">
        <v>83497</v>
      </c>
      <c r="F24" s="6">
        <v>205.69485950000001</v>
      </c>
      <c r="G24" s="7">
        <v>2.2148048E-2</v>
      </c>
      <c r="H24" s="62"/>
    </row>
    <row r="25" spans="1:8" x14ac:dyDescent="0.2">
      <c r="A25" s="3">
        <v>19</v>
      </c>
      <c r="B25" s="4" t="s">
        <v>290</v>
      </c>
      <c r="C25" s="4" t="s">
        <v>291</v>
      </c>
      <c r="D25" s="4" t="s">
        <v>153</v>
      </c>
      <c r="E25" s="5">
        <v>33264</v>
      </c>
      <c r="F25" s="6">
        <v>203.725368</v>
      </c>
      <c r="G25" s="7">
        <v>2.1935983999999999E-2</v>
      </c>
      <c r="H25" s="62"/>
    </row>
    <row r="26" spans="1:8" x14ac:dyDescent="0.2">
      <c r="A26" s="3">
        <v>20</v>
      </c>
      <c r="B26" s="4" t="s">
        <v>424</v>
      </c>
      <c r="C26" s="4" t="s">
        <v>425</v>
      </c>
      <c r="D26" s="4" t="s">
        <v>207</v>
      </c>
      <c r="E26" s="5">
        <v>23783</v>
      </c>
      <c r="F26" s="6">
        <v>194.6043975</v>
      </c>
      <c r="G26" s="7">
        <v>2.0953889999999999E-2</v>
      </c>
      <c r="H26" s="62"/>
    </row>
    <row r="27" spans="1:8" x14ac:dyDescent="0.2">
      <c r="A27" s="3">
        <v>21</v>
      </c>
      <c r="B27" s="4" t="s">
        <v>742</v>
      </c>
      <c r="C27" s="4" t="s">
        <v>743</v>
      </c>
      <c r="D27" s="4" t="s">
        <v>190</v>
      </c>
      <c r="E27" s="5">
        <v>8727</v>
      </c>
      <c r="F27" s="6">
        <v>161.65894800000001</v>
      </c>
      <c r="G27" s="7">
        <v>1.7406511999999999E-2</v>
      </c>
      <c r="H27" s="62"/>
    </row>
    <row r="28" spans="1:8" x14ac:dyDescent="0.2">
      <c r="A28" s="3">
        <v>22</v>
      </c>
      <c r="B28" s="4" t="s">
        <v>72</v>
      </c>
      <c r="C28" s="4" t="s">
        <v>73</v>
      </c>
      <c r="D28" s="4" t="s">
        <v>27</v>
      </c>
      <c r="E28" s="5">
        <v>13730</v>
      </c>
      <c r="F28" s="6">
        <v>136.19473500000001</v>
      </c>
      <c r="G28" s="7">
        <v>1.4664671000000001E-2</v>
      </c>
      <c r="H28" s="62"/>
    </row>
    <row r="29" spans="1:8" x14ac:dyDescent="0.2">
      <c r="A29" s="3">
        <v>23</v>
      </c>
      <c r="B29" s="4" t="s">
        <v>348</v>
      </c>
      <c r="C29" s="4" t="s">
        <v>349</v>
      </c>
      <c r="D29" s="4" t="s">
        <v>59</v>
      </c>
      <c r="E29" s="5">
        <v>33343</v>
      </c>
      <c r="F29" s="6">
        <v>129.78762750000001</v>
      </c>
      <c r="G29" s="7">
        <v>1.3974791E-2</v>
      </c>
      <c r="H29" s="62"/>
    </row>
    <row r="30" spans="1:8" x14ac:dyDescent="0.2">
      <c r="A30" s="3">
        <v>24</v>
      </c>
      <c r="B30" s="4" t="s">
        <v>84</v>
      </c>
      <c r="C30" s="4" t="s">
        <v>85</v>
      </c>
      <c r="D30" s="4" t="s">
        <v>56</v>
      </c>
      <c r="E30" s="5">
        <v>39574</v>
      </c>
      <c r="F30" s="6">
        <v>125.05383999999999</v>
      </c>
      <c r="G30" s="7">
        <v>1.3465082999999999E-2</v>
      </c>
      <c r="H30" s="62"/>
    </row>
    <row r="31" spans="1:8" x14ac:dyDescent="0.2">
      <c r="A31" s="3">
        <v>25</v>
      </c>
      <c r="B31" s="4" t="s">
        <v>376</v>
      </c>
      <c r="C31" s="4" t="s">
        <v>377</v>
      </c>
      <c r="D31" s="4" t="s">
        <v>254</v>
      </c>
      <c r="E31" s="5">
        <v>14349</v>
      </c>
      <c r="F31" s="6">
        <v>113.9956305</v>
      </c>
      <c r="G31" s="7">
        <v>1.2274399E-2</v>
      </c>
      <c r="H31" s="62"/>
    </row>
    <row r="32" spans="1:8" x14ac:dyDescent="0.2">
      <c r="A32" s="3">
        <v>26</v>
      </c>
      <c r="B32" s="4" t="s">
        <v>640</v>
      </c>
      <c r="C32" s="4" t="s">
        <v>641</v>
      </c>
      <c r="D32" s="4" t="s">
        <v>24</v>
      </c>
      <c r="E32" s="5">
        <v>9227</v>
      </c>
      <c r="F32" s="6">
        <v>102.59501299999999</v>
      </c>
      <c r="G32" s="7">
        <v>1.1046845E-2</v>
      </c>
      <c r="H32" s="62"/>
    </row>
    <row r="33" spans="1:8" x14ac:dyDescent="0.2">
      <c r="A33" s="3">
        <v>27</v>
      </c>
      <c r="B33" s="4" t="s">
        <v>688</v>
      </c>
      <c r="C33" s="4" t="s">
        <v>689</v>
      </c>
      <c r="D33" s="4" t="s">
        <v>322</v>
      </c>
      <c r="E33" s="5">
        <v>12900</v>
      </c>
      <c r="F33" s="6">
        <v>91.293300000000002</v>
      </c>
      <c r="G33" s="7">
        <v>9.829941E-3</v>
      </c>
      <c r="H33" s="62"/>
    </row>
    <row r="34" spans="1:8" x14ac:dyDescent="0.2">
      <c r="A34" s="3">
        <v>28</v>
      </c>
      <c r="B34" s="4" t="s">
        <v>350</v>
      </c>
      <c r="C34" s="4" t="s">
        <v>351</v>
      </c>
      <c r="D34" s="4" t="s">
        <v>80</v>
      </c>
      <c r="E34" s="5">
        <v>6937</v>
      </c>
      <c r="F34" s="6">
        <v>90.101224500000001</v>
      </c>
      <c r="G34" s="7">
        <v>9.7015850000000004E-3</v>
      </c>
      <c r="H34" s="62"/>
    </row>
    <row r="35" spans="1:8" x14ac:dyDescent="0.2">
      <c r="A35" s="3">
        <v>29</v>
      </c>
      <c r="B35" s="4" t="s">
        <v>546</v>
      </c>
      <c r="C35" s="4" t="s">
        <v>547</v>
      </c>
      <c r="D35" s="4" t="s">
        <v>24</v>
      </c>
      <c r="E35" s="5">
        <v>62204</v>
      </c>
      <c r="F35" s="6">
        <v>87.303314</v>
      </c>
      <c r="G35" s="7">
        <v>9.4003219999999992E-3</v>
      </c>
      <c r="H35" s="62"/>
    </row>
    <row r="36" spans="1:8" x14ac:dyDescent="0.2">
      <c r="A36" s="3">
        <v>30</v>
      </c>
      <c r="B36" s="4" t="s">
        <v>744</v>
      </c>
      <c r="C36" s="4" t="s">
        <v>745</v>
      </c>
      <c r="D36" s="4" t="s">
        <v>24</v>
      </c>
      <c r="E36" s="5">
        <v>178000</v>
      </c>
      <c r="F36" s="6">
        <v>82.414000000000001</v>
      </c>
      <c r="G36" s="7">
        <v>8.8738689999999995E-3</v>
      </c>
      <c r="H36" s="62"/>
    </row>
    <row r="37" spans="1:8" x14ac:dyDescent="0.2">
      <c r="A37" s="3">
        <v>31</v>
      </c>
      <c r="B37" s="4" t="s">
        <v>44</v>
      </c>
      <c r="C37" s="4" t="s">
        <v>45</v>
      </c>
      <c r="D37" s="4" t="s">
        <v>27</v>
      </c>
      <c r="E37" s="5">
        <v>5576</v>
      </c>
      <c r="F37" s="6">
        <v>68.094111999999996</v>
      </c>
      <c r="G37" s="7">
        <v>7.3319850000000001E-3</v>
      </c>
      <c r="H37" s="62"/>
    </row>
    <row r="38" spans="1:8" x14ac:dyDescent="0.2">
      <c r="A38" s="1"/>
      <c r="B38" s="1"/>
      <c r="C38" s="2" t="s">
        <v>105</v>
      </c>
      <c r="D38" s="1"/>
      <c r="E38" s="1" t="s">
        <v>106</v>
      </c>
      <c r="F38" s="9">
        <v>8187.1117494999999</v>
      </c>
      <c r="G38" s="10">
        <v>0.88154144099999998</v>
      </c>
      <c r="H38" s="62"/>
    </row>
    <row r="39" spans="1:8" x14ac:dyDescent="0.2">
      <c r="A39" s="1"/>
      <c r="B39" s="1"/>
      <c r="C39" s="11"/>
      <c r="D39" s="1"/>
      <c r="E39" s="1"/>
      <c r="F39" s="12"/>
      <c r="G39" s="12"/>
      <c r="H39" s="62"/>
    </row>
    <row r="40" spans="1:8" x14ac:dyDescent="0.2">
      <c r="A40" s="1"/>
      <c r="B40" s="1"/>
      <c r="C40" s="2" t="s">
        <v>107</v>
      </c>
      <c r="D40" s="1"/>
      <c r="E40" s="1"/>
      <c r="F40" s="1"/>
      <c r="G40" s="1"/>
      <c r="H40" s="62"/>
    </row>
    <row r="41" spans="1:8" x14ac:dyDescent="0.2">
      <c r="A41" s="1"/>
      <c r="B41" s="1"/>
      <c r="C41" s="2" t="s">
        <v>105</v>
      </c>
      <c r="D41" s="1"/>
      <c r="E41" s="1" t="s">
        <v>106</v>
      </c>
      <c r="F41" s="13">
        <v>0</v>
      </c>
      <c r="G41" s="14">
        <v>0</v>
      </c>
      <c r="H41" s="62"/>
    </row>
    <row r="42" spans="1:8" x14ac:dyDescent="0.2">
      <c r="A42" s="1"/>
      <c r="B42" s="1"/>
      <c r="C42" s="11"/>
      <c r="D42" s="1"/>
      <c r="E42" s="1"/>
      <c r="F42" s="12"/>
      <c r="G42" s="12"/>
      <c r="H42" s="62"/>
    </row>
    <row r="43" spans="1:8" x14ac:dyDescent="0.2">
      <c r="A43" s="1"/>
      <c r="B43" s="1"/>
      <c r="C43" s="2" t="s">
        <v>108</v>
      </c>
      <c r="D43" s="1"/>
      <c r="E43" s="1"/>
      <c r="F43" s="1"/>
      <c r="G43" s="1"/>
      <c r="H43" s="62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13">
        <v>0</v>
      </c>
      <c r="G44" s="14">
        <v>0</v>
      </c>
      <c r="H44" s="62"/>
    </row>
    <row r="45" spans="1:8" x14ac:dyDescent="0.2">
      <c r="A45" s="1"/>
      <c r="B45" s="1"/>
      <c r="C45" s="11"/>
      <c r="D45" s="1"/>
      <c r="E45" s="1"/>
      <c r="F45" s="12"/>
      <c r="G45" s="12"/>
      <c r="H45" s="62"/>
    </row>
    <row r="46" spans="1:8" x14ac:dyDescent="0.2">
      <c r="A46" s="1"/>
      <c r="B46" s="1"/>
      <c r="C46" s="2" t="s">
        <v>109</v>
      </c>
      <c r="D46" s="1"/>
      <c r="E46" s="1"/>
      <c r="F46" s="1"/>
      <c r="G46" s="1"/>
      <c r="H46" s="62"/>
    </row>
    <row r="47" spans="1:8" x14ac:dyDescent="0.2">
      <c r="A47" s="3">
        <v>1</v>
      </c>
      <c r="B47" s="4" t="s">
        <v>110</v>
      </c>
      <c r="C47" s="4" t="s">
        <v>996</v>
      </c>
      <c r="D47" s="4" t="s">
        <v>19</v>
      </c>
      <c r="E47" s="5">
        <v>4734</v>
      </c>
      <c r="F47" s="6">
        <v>7.2572219999999996</v>
      </c>
      <c r="G47" s="7">
        <v>7.8141599999999995E-4</v>
      </c>
      <c r="H47" s="62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9">
        <v>7.2572219999999996</v>
      </c>
      <c r="G48" s="10">
        <v>7.8141599999999995E-4</v>
      </c>
      <c r="H48" s="62"/>
    </row>
    <row r="49" spans="1:8" x14ac:dyDescent="0.2">
      <c r="A49" s="1"/>
      <c r="B49" s="1"/>
      <c r="C49" s="11"/>
      <c r="D49" s="1"/>
      <c r="E49" s="1"/>
      <c r="F49" s="12"/>
      <c r="G49" s="12"/>
      <c r="H49" s="62"/>
    </row>
    <row r="50" spans="1:8" x14ac:dyDescent="0.2">
      <c r="A50" s="1"/>
      <c r="B50" s="1"/>
      <c r="C50" s="2" t="s">
        <v>111</v>
      </c>
      <c r="D50" s="1"/>
      <c r="E50" s="1"/>
      <c r="F50" s="12"/>
      <c r="G50" s="12"/>
      <c r="H50" s="62"/>
    </row>
    <row r="51" spans="1:8" s="131" customFormat="1" ht="25.5" x14ac:dyDescent="0.2">
      <c r="A51" s="3">
        <v>1</v>
      </c>
      <c r="B51" s="4" t="s">
        <v>988</v>
      </c>
      <c r="C51" s="4" t="s">
        <v>989</v>
      </c>
      <c r="D51" s="4" t="s">
        <v>80</v>
      </c>
      <c r="E51" s="5">
        <v>12000</v>
      </c>
      <c r="F51" s="6">
        <v>99.846000000000004</v>
      </c>
      <c r="G51" s="7">
        <v>1.0750849999999999E-2</v>
      </c>
      <c r="H51" s="62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99.846000000000004</v>
      </c>
      <c r="G52" s="14">
        <v>1.0750849999999999E-2</v>
      </c>
      <c r="H52" s="62"/>
    </row>
    <row r="53" spans="1:8" x14ac:dyDescent="0.2">
      <c r="A53" s="1"/>
      <c r="B53" s="1"/>
      <c r="C53" s="11"/>
      <c r="D53" s="1"/>
      <c r="E53" s="1"/>
      <c r="F53" s="12"/>
      <c r="G53" s="12"/>
      <c r="H53" s="62"/>
    </row>
    <row r="54" spans="1:8" x14ac:dyDescent="0.2">
      <c r="A54" s="1"/>
      <c r="B54" s="1"/>
      <c r="C54" s="2" t="s">
        <v>112</v>
      </c>
      <c r="D54" s="1"/>
      <c r="E54" s="1"/>
      <c r="F54" s="12"/>
      <c r="G54" s="12"/>
      <c r="H54" s="62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13">
        <v>0</v>
      </c>
      <c r="G55" s="14">
        <v>0</v>
      </c>
      <c r="H55" s="62"/>
    </row>
    <row r="56" spans="1:8" x14ac:dyDescent="0.2">
      <c r="A56" s="1"/>
      <c r="B56" s="1"/>
      <c r="C56" s="11"/>
      <c r="D56" s="1"/>
      <c r="E56" s="1"/>
      <c r="F56" s="12"/>
      <c r="G56" s="12"/>
      <c r="H56" s="62"/>
    </row>
    <row r="57" spans="1:8" x14ac:dyDescent="0.2">
      <c r="A57" s="1"/>
      <c r="B57" s="1"/>
      <c r="C57" s="2" t="s">
        <v>113</v>
      </c>
      <c r="D57" s="1"/>
      <c r="E57" s="1"/>
      <c r="F57" s="9">
        <v>8294.2149714999996</v>
      </c>
      <c r="G57" s="10">
        <v>0.89307370699999999</v>
      </c>
      <c r="H57" s="62"/>
    </row>
    <row r="58" spans="1:8" x14ac:dyDescent="0.2">
      <c r="A58" s="1"/>
      <c r="B58" s="1"/>
      <c r="C58" s="11"/>
      <c r="D58" s="1"/>
      <c r="E58" s="1"/>
      <c r="F58" s="12"/>
      <c r="G58" s="12"/>
      <c r="H58" s="62"/>
    </row>
    <row r="59" spans="1:8" x14ac:dyDescent="0.2">
      <c r="A59" s="1"/>
      <c r="B59" s="1"/>
      <c r="C59" s="2" t="s">
        <v>114</v>
      </c>
      <c r="D59" s="1"/>
      <c r="E59" s="1"/>
      <c r="F59" s="12"/>
      <c r="G59" s="12"/>
      <c r="H59" s="62"/>
    </row>
    <row r="60" spans="1:8" ht="25.5" x14ac:dyDescent="0.2">
      <c r="A60" s="1"/>
      <c r="B60" s="1"/>
      <c r="C60" s="2" t="s">
        <v>10</v>
      </c>
      <c r="D60" s="1"/>
      <c r="E60" s="1"/>
      <c r="F60" s="12"/>
      <c r="G60" s="12"/>
      <c r="H60" s="62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">
        <v>0</v>
      </c>
      <c r="H61" s="62"/>
    </row>
    <row r="62" spans="1:8" x14ac:dyDescent="0.2">
      <c r="A62" s="1"/>
      <c r="B62" s="1"/>
      <c r="C62" s="11"/>
      <c r="D62" s="1"/>
      <c r="E62" s="1"/>
      <c r="F62" s="12"/>
      <c r="G62" s="12"/>
      <c r="H62" s="62"/>
    </row>
    <row r="63" spans="1:8" x14ac:dyDescent="0.2">
      <c r="A63" s="1"/>
      <c r="B63" s="1"/>
      <c r="C63" s="2" t="s">
        <v>115</v>
      </c>
      <c r="D63" s="1"/>
      <c r="E63" s="1"/>
      <c r="F63" s="1"/>
      <c r="G63" s="1"/>
      <c r="H63" s="62"/>
    </row>
    <row r="64" spans="1:8" x14ac:dyDescent="0.2">
      <c r="A64" s="1"/>
      <c r="B64" s="1"/>
      <c r="C64" s="2" t="s">
        <v>105</v>
      </c>
      <c r="D64" s="1"/>
      <c r="E64" s="1" t="s">
        <v>106</v>
      </c>
      <c r="F64" s="13">
        <v>0</v>
      </c>
      <c r="G64" s="14">
        <v>0</v>
      </c>
      <c r="H64" s="62"/>
    </row>
    <row r="65" spans="1:8" x14ac:dyDescent="0.2">
      <c r="A65" s="1"/>
      <c r="B65" s="1"/>
      <c r="C65" s="11"/>
      <c r="D65" s="1"/>
      <c r="E65" s="1"/>
      <c r="F65" s="12"/>
      <c r="G65" s="12"/>
      <c r="H65" s="62"/>
    </row>
    <row r="66" spans="1:8" x14ac:dyDescent="0.2">
      <c r="A66" s="1"/>
      <c r="B66" s="1"/>
      <c r="C66" s="2" t="s">
        <v>116</v>
      </c>
      <c r="D66" s="1"/>
      <c r="E66" s="1"/>
      <c r="F66" s="1"/>
      <c r="G66" s="1"/>
      <c r="H66" s="62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">
        <v>0</v>
      </c>
      <c r="H67" s="62"/>
    </row>
    <row r="68" spans="1:8" x14ac:dyDescent="0.2">
      <c r="A68" s="1"/>
      <c r="B68" s="1"/>
      <c r="C68" s="11"/>
      <c r="D68" s="1"/>
      <c r="E68" s="1"/>
      <c r="F68" s="12"/>
      <c r="G68" s="12"/>
      <c r="H68" s="62"/>
    </row>
    <row r="69" spans="1:8" x14ac:dyDescent="0.2">
      <c r="A69" s="1"/>
      <c r="B69" s="1"/>
      <c r="C69" s="2" t="s">
        <v>117</v>
      </c>
      <c r="D69" s="1"/>
      <c r="E69" s="1"/>
      <c r="F69" s="12"/>
      <c r="G69" s="12"/>
      <c r="H69" s="6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">
        <v>0</v>
      </c>
      <c r="H70" s="62"/>
    </row>
    <row r="71" spans="1:8" x14ac:dyDescent="0.2">
      <c r="A71" s="1"/>
      <c r="B71" s="1"/>
      <c r="C71" s="11"/>
      <c r="D71" s="1"/>
      <c r="E71" s="1"/>
      <c r="F71" s="12"/>
      <c r="G71" s="12"/>
      <c r="H71" s="62"/>
    </row>
    <row r="72" spans="1:8" x14ac:dyDescent="0.2">
      <c r="A72" s="1"/>
      <c r="B72" s="1"/>
      <c r="C72" s="2" t="s">
        <v>118</v>
      </c>
      <c r="D72" s="1"/>
      <c r="E72" s="1"/>
      <c r="F72" s="9">
        <v>0</v>
      </c>
      <c r="G72" s="10">
        <v>0</v>
      </c>
      <c r="H72" s="62"/>
    </row>
    <row r="73" spans="1:8" x14ac:dyDescent="0.2">
      <c r="A73" s="1"/>
      <c r="B73" s="1"/>
      <c r="C73" s="11"/>
      <c r="D73" s="1"/>
      <c r="E73" s="1"/>
      <c r="F73" s="12"/>
      <c r="G73" s="12"/>
      <c r="H73" s="62"/>
    </row>
    <row r="74" spans="1:8" x14ac:dyDescent="0.2">
      <c r="A74" s="1"/>
      <c r="B74" s="1"/>
      <c r="C74" s="2" t="s">
        <v>119</v>
      </c>
      <c r="D74" s="1"/>
      <c r="E74" s="1"/>
      <c r="F74" s="12"/>
      <c r="G74" s="12"/>
      <c r="H74" s="62"/>
    </row>
    <row r="75" spans="1:8" x14ac:dyDescent="0.2">
      <c r="A75" s="1"/>
      <c r="B75" s="1"/>
      <c r="C75" s="2" t="s">
        <v>120</v>
      </c>
      <c r="D75" s="1"/>
      <c r="E75" s="1"/>
      <c r="F75" s="12"/>
      <c r="G75" s="12"/>
      <c r="H75" s="6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2"/>
    </row>
    <row r="77" spans="1:8" x14ac:dyDescent="0.2">
      <c r="A77" s="1"/>
      <c r="B77" s="1"/>
      <c r="C77" s="11"/>
      <c r="D77" s="1"/>
      <c r="E77" s="1"/>
      <c r="F77" s="12"/>
      <c r="G77" s="12"/>
      <c r="H77" s="62"/>
    </row>
    <row r="78" spans="1:8" x14ac:dyDescent="0.2">
      <c r="A78" s="1"/>
      <c r="B78" s="1"/>
      <c r="C78" s="2" t="s">
        <v>121</v>
      </c>
      <c r="D78" s="1"/>
      <c r="E78" s="1"/>
      <c r="F78" s="12"/>
      <c r="G78" s="12"/>
      <c r="H78" s="6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2"/>
    </row>
    <row r="80" spans="1:8" x14ac:dyDescent="0.2">
      <c r="A80" s="1"/>
      <c r="B80" s="1"/>
      <c r="C80" s="11"/>
      <c r="D80" s="1"/>
      <c r="E80" s="1"/>
      <c r="F80" s="12"/>
      <c r="G80" s="12"/>
      <c r="H80" s="62"/>
    </row>
    <row r="81" spans="1:8" x14ac:dyDescent="0.2">
      <c r="A81" s="1"/>
      <c r="B81" s="1"/>
      <c r="C81" s="2" t="s">
        <v>122</v>
      </c>
      <c r="D81" s="1"/>
      <c r="E81" s="1"/>
      <c r="F81" s="12"/>
      <c r="G81" s="12"/>
      <c r="H81" s="6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2"/>
    </row>
    <row r="83" spans="1:8" x14ac:dyDescent="0.2">
      <c r="A83" s="1"/>
      <c r="B83" s="1"/>
      <c r="C83" s="11"/>
      <c r="D83" s="1"/>
      <c r="E83" s="1"/>
      <c r="F83" s="12"/>
      <c r="G83" s="12"/>
      <c r="H83" s="62"/>
    </row>
    <row r="84" spans="1:8" x14ac:dyDescent="0.2">
      <c r="A84" s="1"/>
      <c r="B84" s="1"/>
      <c r="C84" s="2" t="s">
        <v>123</v>
      </c>
      <c r="D84" s="1"/>
      <c r="E84" s="1"/>
      <c r="F84" s="12"/>
      <c r="G84" s="12"/>
      <c r="H84" s="62"/>
    </row>
    <row r="85" spans="1:8" x14ac:dyDescent="0.2">
      <c r="A85" s="3">
        <v>1</v>
      </c>
      <c r="B85" s="4"/>
      <c r="C85" s="4" t="s">
        <v>124</v>
      </c>
      <c r="D85" s="4"/>
      <c r="E85" s="8"/>
      <c r="F85" s="6">
        <v>954.25890809999999</v>
      </c>
      <c r="G85" s="7">
        <v>0.10274915</v>
      </c>
      <c r="H85" s="152">
        <v>3.3197683930276081</v>
      </c>
    </row>
    <row r="86" spans="1:8" x14ac:dyDescent="0.2">
      <c r="A86" s="1"/>
      <c r="B86" s="1"/>
      <c r="C86" s="2" t="s">
        <v>105</v>
      </c>
      <c r="D86" s="1"/>
      <c r="E86" s="1" t="s">
        <v>106</v>
      </c>
      <c r="F86" s="9">
        <v>954.25890809999999</v>
      </c>
      <c r="G86" s="10">
        <v>0.10274915</v>
      </c>
      <c r="H86" s="62"/>
    </row>
    <row r="87" spans="1:8" x14ac:dyDescent="0.2">
      <c r="A87" s="1"/>
      <c r="B87" s="1"/>
      <c r="C87" s="11"/>
      <c r="D87" s="1"/>
      <c r="E87" s="1"/>
      <c r="F87" s="12"/>
      <c r="G87" s="12"/>
      <c r="H87" s="62"/>
    </row>
    <row r="88" spans="1:8" x14ac:dyDescent="0.2">
      <c r="A88" s="1"/>
      <c r="B88" s="1"/>
      <c r="C88" s="2" t="s">
        <v>125</v>
      </c>
      <c r="D88" s="1"/>
      <c r="E88" s="1"/>
      <c r="F88" s="9">
        <v>954.25890809999999</v>
      </c>
      <c r="G88" s="10">
        <v>0.10274915</v>
      </c>
      <c r="H88" s="62"/>
    </row>
    <row r="89" spans="1:8" x14ac:dyDescent="0.2">
      <c r="A89" s="1"/>
      <c r="B89" s="1"/>
      <c r="C89" s="12"/>
      <c r="D89" s="1"/>
      <c r="E89" s="1"/>
      <c r="F89" s="1"/>
      <c r="G89" s="1"/>
      <c r="H89" s="62"/>
    </row>
    <row r="90" spans="1:8" x14ac:dyDescent="0.2">
      <c r="A90" s="1"/>
      <c r="B90" s="1"/>
      <c r="C90" s="2" t="s">
        <v>126</v>
      </c>
      <c r="D90" s="1"/>
      <c r="E90" s="1"/>
      <c r="F90" s="1"/>
      <c r="G90" s="1"/>
      <c r="H90" s="62"/>
    </row>
    <row r="91" spans="1:8" x14ac:dyDescent="0.2">
      <c r="A91" s="1"/>
      <c r="B91" s="1"/>
      <c r="C91" s="2" t="s">
        <v>127</v>
      </c>
      <c r="D91" s="1"/>
      <c r="E91" s="1"/>
      <c r="F91" s="1"/>
      <c r="G91" s="1"/>
      <c r="H91" s="6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2"/>
    </row>
    <row r="93" spans="1:8" x14ac:dyDescent="0.2">
      <c r="A93" s="1"/>
      <c r="B93" s="1"/>
      <c r="C93" s="11"/>
      <c r="D93" s="1"/>
      <c r="E93" s="1"/>
      <c r="F93" s="12"/>
      <c r="G93" s="12"/>
      <c r="H93" s="62"/>
    </row>
    <row r="94" spans="1:8" x14ac:dyDescent="0.2">
      <c r="A94" s="1"/>
      <c r="B94" s="1"/>
      <c r="C94" s="2" t="s">
        <v>128</v>
      </c>
      <c r="D94" s="1"/>
      <c r="E94" s="1"/>
      <c r="F94" s="1"/>
      <c r="G94" s="1"/>
      <c r="H94" s="62"/>
    </row>
    <row r="95" spans="1:8" x14ac:dyDescent="0.2">
      <c r="A95" s="1"/>
      <c r="B95" s="1"/>
      <c r="C95" s="2" t="s">
        <v>129</v>
      </c>
      <c r="D95" s="1"/>
      <c r="E95" s="1"/>
      <c r="F95" s="1"/>
      <c r="G95" s="1"/>
      <c r="H95" s="62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2"/>
    </row>
    <row r="97" spans="1:8" x14ac:dyDescent="0.2">
      <c r="A97" s="1"/>
      <c r="B97" s="1"/>
      <c r="C97" s="11"/>
      <c r="D97" s="1"/>
      <c r="E97" s="1"/>
      <c r="F97" s="12"/>
      <c r="G97" s="12"/>
      <c r="H97" s="62"/>
    </row>
    <row r="98" spans="1:8" x14ac:dyDescent="0.2">
      <c r="A98" s="1"/>
      <c r="B98" s="1"/>
      <c r="C98" s="11"/>
      <c r="D98" s="1"/>
      <c r="E98" s="1"/>
      <c r="F98" s="12"/>
      <c r="G98" s="12"/>
      <c r="H98" s="62"/>
    </row>
    <row r="99" spans="1:8" ht="25.5" x14ac:dyDescent="0.2">
      <c r="A99" s="1"/>
      <c r="B99" s="1"/>
      <c r="C99" s="2" t="s">
        <v>130</v>
      </c>
      <c r="D99" s="1"/>
      <c r="E99" s="1"/>
      <c r="F99" s="12"/>
      <c r="G99" s="12"/>
      <c r="H99" s="6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2"/>
    </row>
    <row r="101" spans="1:8" x14ac:dyDescent="0.2">
      <c r="A101" s="1"/>
      <c r="B101" s="1"/>
      <c r="C101" s="11"/>
      <c r="D101" s="1"/>
      <c r="E101" s="1"/>
      <c r="F101" s="12"/>
      <c r="G101" s="12"/>
      <c r="H101" s="62"/>
    </row>
    <row r="102" spans="1:8" x14ac:dyDescent="0.2">
      <c r="A102" s="1"/>
      <c r="B102" s="4"/>
      <c r="C102" s="4"/>
      <c r="D102" s="2"/>
      <c r="E102" s="1"/>
      <c r="F102" s="4"/>
      <c r="G102" s="8"/>
      <c r="H102" s="62"/>
    </row>
    <row r="103" spans="1:8" x14ac:dyDescent="0.2">
      <c r="A103" s="8"/>
      <c r="B103" s="4"/>
      <c r="C103" s="4" t="s">
        <v>131</v>
      </c>
      <c r="D103" s="4"/>
      <c r="E103" s="8"/>
      <c r="F103" s="6">
        <v>38.794243090000002</v>
      </c>
      <c r="G103" s="7">
        <v>4.1771430000000003E-3</v>
      </c>
      <c r="H103" s="62"/>
    </row>
    <row r="104" spans="1:8" x14ac:dyDescent="0.2">
      <c r="A104" s="11"/>
      <c r="B104" s="11"/>
      <c r="C104" s="2" t="s">
        <v>132</v>
      </c>
      <c r="D104" s="15"/>
      <c r="E104" s="15"/>
      <c r="F104" s="9">
        <v>9287.2681226900004</v>
      </c>
      <c r="G104" s="10">
        <v>1</v>
      </c>
      <c r="H104" s="62"/>
    </row>
    <row r="105" spans="1:8" ht="14.1" customHeight="1" x14ac:dyDescent="0.2">
      <c r="A105" s="16"/>
      <c r="B105" s="16"/>
      <c r="C105" s="16"/>
      <c r="D105" s="17"/>
      <c r="E105" s="17"/>
      <c r="F105" s="17"/>
      <c r="G105" s="17"/>
    </row>
    <row r="106" spans="1:8" ht="14.1" customHeight="1" x14ac:dyDescent="0.2">
      <c r="A106" s="18"/>
      <c r="B106" s="205" t="s">
        <v>106</v>
      </c>
      <c r="C106" s="205"/>
      <c r="D106" s="205"/>
      <c r="E106" s="205"/>
      <c r="F106" s="205"/>
      <c r="G106" s="20"/>
    </row>
    <row r="107" spans="1:8" ht="14.1" customHeight="1" x14ac:dyDescent="0.2">
      <c r="A107" s="18"/>
      <c r="B107" s="205" t="s">
        <v>106</v>
      </c>
      <c r="C107" s="205"/>
      <c r="D107" s="205"/>
      <c r="E107" s="205"/>
      <c r="F107" s="205"/>
      <c r="G107" s="20"/>
    </row>
    <row r="108" spans="1:8" ht="14.1" customHeight="1" x14ac:dyDescent="0.2">
      <c r="A108" s="18"/>
      <c r="B108" s="18"/>
      <c r="C108" s="18"/>
      <c r="D108" s="20"/>
      <c r="E108" s="20"/>
      <c r="F108" s="20"/>
      <c r="G108" s="20"/>
    </row>
    <row r="109" spans="1:8" ht="14.1" customHeight="1" x14ac:dyDescent="0.2">
      <c r="A109" s="18"/>
      <c r="B109" s="203" t="s">
        <v>134</v>
      </c>
      <c r="C109" s="204"/>
      <c r="D109" s="12" t="s">
        <v>106</v>
      </c>
      <c r="E109" s="21"/>
      <c r="F109" s="20"/>
      <c r="G109" s="20"/>
    </row>
    <row r="110" spans="1:8" ht="29.1" customHeight="1" x14ac:dyDescent="0.2">
      <c r="A110" s="18"/>
      <c r="B110" s="199" t="s">
        <v>135</v>
      </c>
      <c r="C110" s="200"/>
      <c r="D110" s="2" t="s">
        <v>136</v>
      </c>
      <c r="E110" s="21"/>
      <c r="F110" s="20"/>
      <c r="G110" s="20"/>
    </row>
    <row r="111" spans="1:8" ht="17.100000000000001" customHeight="1" x14ac:dyDescent="0.2">
      <c r="A111" s="18"/>
      <c r="B111" s="199" t="s">
        <v>137</v>
      </c>
      <c r="C111" s="200"/>
      <c r="D111" s="2" t="s">
        <v>136</v>
      </c>
      <c r="E111" s="21"/>
      <c r="F111" s="20"/>
      <c r="G111" s="20"/>
    </row>
    <row r="112" spans="1:8" ht="17.100000000000001" customHeight="1" x14ac:dyDescent="0.2">
      <c r="A112" s="18"/>
      <c r="B112" s="199" t="s">
        <v>138</v>
      </c>
      <c r="C112" s="200"/>
      <c r="D112" s="12" t="s">
        <v>106</v>
      </c>
      <c r="E112" s="21"/>
      <c r="F112" s="20"/>
      <c r="G112" s="20"/>
    </row>
    <row r="113" spans="1:7" ht="24" customHeight="1" x14ac:dyDescent="0.2">
      <c r="A113" s="22"/>
      <c r="B113" s="23" t="s">
        <v>106</v>
      </c>
      <c r="C113" s="23" t="s">
        <v>139</v>
      </c>
      <c r="D113" s="23" t="s">
        <v>140</v>
      </c>
      <c r="E113" s="22"/>
      <c r="F113" s="22"/>
      <c r="G113" s="22"/>
    </row>
    <row r="114" spans="1:7" ht="18" customHeight="1" x14ac:dyDescent="0.2">
      <c r="A114" s="22"/>
      <c r="B114" s="23" t="s">
        <v>141</v>
      </c>
      <c r="C114" s="23" t="s">
        <v>142</v>
      </c>
      <c r="D114" s="23" t="s">
        <v>143</v>
      </c>
      <c r="E114" s="22"/>
      <c r="F114" s="22"/>
      <c r="G114" s="22"/>
    </row>
    <row r="115" spans="1:7" x14ac:dyDescent="0.2">
      <c r="A115" s="22"/>
      <c r="B115" s="4" t="s">
        <v>144</v>
      </c>
      <c r="C115" s="24">
        <v>15.995900000000001</v>
      </c>
      <c r="D115" s="24">
        <v>16.519600000000001</v>
      </c>
      <c r="E115" s="22"/>
      <c r="F115" s="19"/>
      <c r="G115" s="25"/>
    </row>
    <row r="116" spans="1:7" x14ac:dyDescent="0.2">
      <c r="A116" s="22"/>
      <c r="B116" s="4" t="s">
        <v>1019</v>
      </c>
      <c r="C116" s="24">
        <v>14.0059</v>
      </c>
      <c r="D116" s="24">
        <v>14.464399999999999</v>
      </c>
      <c r="E116" s="22"/>
      <c r="F116" s="19"/>
      <c r="G116" s="25"/>
    </row>
    <row r="117" spans="1:7" x14ac:dyDescent="0.2">
      <c r="A117" s="22"/>
      <c r="B117" s="4" t="s">
        <v>145</v>
      </c>
      <c r="C117" s="24">
        <v>15.4064</v>
      </c>
      <c r="D117" s="24">
        <v>15.902799999999999</v>
      </c>
      <c r="E117" s="22"/>
      <c r="F117" s="19"/>
      <c r="G117" s="25"/>
    </row>
    <row r="118" spans="1:7" x14ac:dyDescent="0.2">
      <c r="A118" s="22"/>
      <c r="B118" s="4" t="s">
        <v>1020</v>
      </c>
      <c r="C118" s="24">
        <v>13.8497</v>
      </c>
      <c r="D118" s="24">
        <v>14.295999999999999</v>
      </c>
      <c r="E118" s="22"/>
      <c r="F118" s="19"/>
      <c r="G118" s="25"/>
    </row>
    <row r="119" spans="1:7" ht="14.1" customHeight="1" x14ac:dyDescent="0.2">
      <c r="A119" s="22"/>
      <c r="B119" s="22"/>
      <c r="C119" s="22"/>
      <c r="D119" s="22"/>
      <c r="E119" s="22"/>
      <c r="F119" s="22"/>
      <c r="G119" s="22"/>
    </row>
    <row r="120" spans="1:7" ht="17.100000000000001" customHeight="1" x14ac:dyDescent="0.2">
      <c r="A120" s="22"/>
      <c r="B120" s="199" t="s">
        <v>1021</v>
      </c>
      <c r="C120" s="200"/>
      <c r="D120" s="2" t="s">
        <v>136</v>
      </c>
      <c r="E120" s="22"/>
      <c r="F120" s="22"/>
      <c r="G120" s="22"/>
    </row>
    <row r="121" spans="1:7" ht="18" customHeight="1" x14ac:dyDescent="0.2">
      <c r="A121" s="22"/>
      <c r="B121" s="26"/>
      <c r="C121" s="26"/>
      <c r="D121" s="27"/>
      <c r="E121" s="22"/>
      <c r="F121" s="22"/>
      <c r="G121" s="22"/>
    </row>
    <row r="122" spans="1:7" s="125" customFormat="1" x14ac:dyDescent="0.2">
      <c r="B122" s="201" t="s">
        <v>825</v>
      </c>
      <c r="C122" s="201"/>
      <c r="D122" s="201"/>
      <c r="E122" s="201"/>
      <c r="F122" s="201"/>
    </row>
    <row r="123" spans="1:7" ht="14.1" customHeight="1" x14ac:dyDescent="0.2">
      <c r="A123" s="22"/>
      <c r="B123" s="19"/>
      <c r="C123" s="19"/>
      <c r="D123" s="22"/>
      <c r="E123" s="22"/>
      <c r="F123" s="22"/>
      <c r="G123" s="22"/>
    </row>
    <row r="124" spans="1:7" ht="29.1" customHeight="1" x14ac:dyDescent="0.2">
      <c r="A124" s="22"/>
      <c r="B124" s="199" t="s">
        <v>146</v>
      </c>
      <c r="C124" s="200"/>
      <c r="D124" s="2" t="s">
        <v>136</v>
      </c>
      <c r="E124" s="22"/>
      <c r="F124" s="22"/>
      <c r="G124" s="22"/>
    </row>
    <row r="125" spans="1:7" ht="29.1" customHeight="1" x14ac:dyDescent="0.2">
      <c r="A125" s="22"/>
      <c r="B125" s="199" t="s">
        <v>147</v>
      </c>
      <c r="C125" s="200"/>
      <c r="D125" s="2" t="s">
        <v>136</v>
      </c>
      <c r="E125" s="22"/>
      <c r="F125" s="22"/>
      <c r="G125" s="22"/>
    </row>
    <row r="126" spans="1:7" ht="17.100000000000001" customHeight="1" x14ac:dyDescent="0.2">
      <c r="A126" s="22"/>
      <c r="B126" s="199" t="s">
        <v>148</v>
      </c>
      <c r="C126" s="200"/>
      <c r="D126" s="28">
        <v>0.48361970839914137</v>
      </c>
      <c r="E126" s="22"/>
      <c r="F126" s="19"/>
      <c r="G126" s="25"/>
    </row>
    <row r="127" spans="1:7" ht="17.100000000000001" customHeight="1" x14ac:dyDescent="0.2">
      <c r="A127" s="22"/>
      <c r="B127" s="199" t="s">
        <v>149</v>
      </c>
      <c r="C127" s="200"/>
      <c r="D127" s="2" t="s">
        <v>136</v>
      </c>
      <c r="E127" s="22"/>
      <c r="F127" s="22"/>
      <c r="G127" s="22"/>
    </row>
  </sheetData>
  <mergeCells count="16">
    <mergeCell ref="J2:N2"/>
    <mergeCell ref="B109:C109"/>
    <mergeCell ref="B106:F106"/>
    <mergeCell ref="B107:F107"/>
    <mergeCell ref="A1:H1"/>
    <mergeCell ref="A2:H2"/>
    <mergeCell ref="A3:H3"/>
    <mergeCell ref="B126:C126"/>
    <mergeCell ref="B127:C127"/>
    <mergeCell ref="B110:C110"/>
    <mergeCell ref="B111:C111"/>
    <mergeCell ref="B112:C112"/>
    <mergeCell ref="B120:C120"/>
    <mergeCell ref="B124:C124"/>
    <mergeCell ref="B125:C125"/>
    <mergeCell ref="B122:F12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N12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746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62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2"/>
    </row>
    <row r="7" spans="1:14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47713</v>
      </c>
      <c r="F7" s="6">
        <v>334.39656050000002</v>
      </c>
      <c r="G7" s="7">
        <v>8.0358458999999993E-2</v>
      </c>
      <c r="H7" s="62"/>
    </row>
    <row r="8" spans="1:14" x14ac:dyDescent="0.2">
      <c r="A8" s="3">
        <v>2</v>
      </c>
      <c r="B8" s="4" t="s">
        <v>414</v>
      </c>
      <c r="C8" s="4" t="s">
        <v>415</v>
      </c>
      <c r="D8" s="4" t="s">
        <v>24</v>
      </c>
      <c r="E8" s="5">
        <v>65489</v>
      </c>
      <c r="F8" s="6">
        <v>296.66516999999999</v>
      </c>
      <c r="G8" s="7">
        <v>7.1291272000000003E-2</v>
      </c>
      <c r="H8" s="62"/>
    </row>
    <row r="9" spans="1:14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36000</v>
      </c>
      <c r="F9" s="6">
        <v>247.78800000000001</v>
      </c>
      <c r="G9" s="7">
        <v>5.9545654000000003E-2</v>
      </c>
      <c r="H9" s="62"/>
    </row>
    <row r="10" spans="1:14" x14ac:dyDescent="0.2">
      <c r="A10" s="3">
        <v>4</v>
      </c>
      <c r="B10" s="4" t="s">
        <v>336</v>
      </c>
      <c r="C10" s="4" t="s">
        <v>337</v>
      </c>
      <c r="D10" s="4" t="s">
        <v>24</v>
      </c>
      <c r="E10" s="5">
        <v>30706</v>
      </c>
      <c r="F10" s="6">
        <v>235.37684300000001</v>
      </c>
      <c r="G10" s="7">
        <v>5.6563143000000003E-2</v>
      </c>
      <c r="H10" s="62"/>
    </row>
    <row r="11" spans="1:14" ht="25.5" x14ac:dyDescent="0.2">
      <c r="A11" s="3">
        <v>5</v>
      </c>
      <c r="B11" s="4" t="s">
        <v>435</v>
      </c>
      <c r="C11" s="4" t="s">
        <v>436</v>
      </c>
      <c r="D11" s="4" t="s">
        <v>90</v>
      </c>
      <c r="E11" s="5">
        <v>77800</v>
      </c>
      <c r="F11" s="6">
        <v>183.72470000000001</v>
      </c>
      <c r="G11" s="7">
        <v>4.4150675E-2</v>
      </c>
      <c r="H11" s="62"/>
    </row>
    <row r="12" spans="1:14" x14ac:dyDescent="0.2">
      <c r="A12" s="3">
        <v>6</v>
      </c>
      <c r="B12" s="4" t="s">
        <v>11</v>
      </c>
      <c r="C12" s="4" t="s">
        <v>12</v>
      </c>
      <c r="D12" s="4" t="s">
        <v>13</v>
      </c>
      <c r="E12" s="5">
        <v>9637</v>
      </c>
      <c r="F12" s="6">
        <v>164.1132915</v>
      </c>
      <c r="G12" s="7">
        <v>3.9437880000000002E-2</v>
      </c>
      <c r="H12" s="62"/>
    </row>
    <row r="13" spans="1:14" x14ac:dyDescent="0.2">
      <c r="A13" s="3">
        <v>7</v>
      </c>
      <c r="B13" s="4" t="s">
        <v>360</v>
      </c>
      <c r="C13" s="4" t="s">
        <v>361</v>
      </c>
      <c r="D13" s="4" t="s">
        <v>24</v>
      </c>
      <c r="E13" s="5">
        <v>189994</v>
      </c>
      <c r="F13" s="6">
        <v>155.32009500000001</v>
      </c>
      <c r="G13" s="7">
        <v>3.7324796E-2</v>
      </c>
      <c r="H13" s="62"/>
    </row>
    <row r="14" spans="1:14" x14ac:dyDescent="0.2">
      <c r="A14" s="3">
        <v>8</v>
      </c>
      <c r="B14" s="4" t="s">
        <v>352</v>
      </c>
      <c r="C14" s="4" t="s">
        <v>353</v>
      </c>
      <c r="D14" s="4" t="s">
        <v>48</v>
      </c>
      <c r="E14" s="5">
        <v>22001</v>
      </c>
      <c r="F14" s="6">
        <v>154.95304300000001</v>
      </c>
      <c r="G14" s="7">
        <v>3.7236590999999999E-2</v>
      </c>
      <c r="H14" s="62"/>
    </row>
    <row r="15" spans="1:14" ht="15" x14ac:dyDescent="0.2">
      <c r="A15" s="3">
        <v>9</v>
      </c>
      <c r="B15" s="4" t="s">
        <v>54</v>
      </c>
      <c r="C15" s="4" t="s">
        <v>55</v>
      </c>
      <c r="D15" s="4" t="s">
        <v>56</v>
      </c>
      <c r="E15" s="5">
        <v>94248</v>
      </c>
      <c r="F15" s="6">
        <v>149.71294800000001</v>
      </c>
      <c r="G15" s="7">
        <v>3.5977348999999999E-2</v>
      </c>
      <c r="H15" s="62"/>
      <c r="J15" s="163" t="s">
        <v>1035</v>
      </c>
    </row>
    <row r="16" spans="1:14" x14ac:dyDescent="0.2">
      <c r="A16" s="3">
        <v>10</v>
      </c>
      <c r="B16" s="4" t="s">
        <v>424</v>
      </c>
      <c r="C16" s="4" t="s">
        <v>425</v>
      </c>
      <c r="D16" s="4" t="s">
        <v>207</v>
      </c>
      <c r="E16" s="5">
        <v>17351</v>
      </c>
      <c r="F16" s="6">
        <v>141.9745575</v>
      </c>
      <c r="G16" s="7">
        <v>3.4117744999999998E-2</v>
      </c>
      <c r="H16" s="62"/>
    </row>
    <row r="17" spans="1:8" x14ac:dyDescent="0.2">
      <c r="A17" s="3">
        <v>11</v>
      </c>
      <c r="B17" s="4" t="s">
        <v>404</v>
      </c>
      <c r="C17" s="4" t="s">
        <v>405</v>
      </c>
      <c r="D17" s="4" t="s">
        <v>335</v>
      </c>
      <c r="E17" s="5">
        <v>50965</v>
      </c>
      <c r="F17" s="6">
        <v>125.5522775</v>
      </c>
      <c r="G17" s="7">
        <v>3.0171325999999998E-2</v>
      </c>
      <c r="H17" s="62"/>
    </row>
    <row r="18" spans="1:8" x14ac:dyDescent="0.2">
      <c r="A18" s="3">
        <v>12</v>
      </c>
      <c r="B18" s="4" t="s">
        <v>628</v>
      </c>
      <c r="C18" s="4" t="s">
        <v>629</v>
      </c>
      <c r="D18" s="4" t="s">
        <v>16</v>
      </c>
      <c r="E18" s="5">
        <v>100000</v>
      </c>
      <c r="F18" s="6">
        <v>125.3</v>
      </c>
      <c r="G18" s="7">
        <v>3.0110701E-2</v>
      </c>
      <c r="H18" s="62"/>
    </row>
    <row r="19" spans="1:8" x14ac:dyDescent="0.2">
      <c r="A19" s="3">
        <v>13</v>
      </c>
      <c r="B19" s="4" t="s">
        <v>350</v>
      </c>
      <c r="C19" s="4" t="s">
        <v>351</v>
      </c>
      <c r="D19" s="4" t="s">
        <v>80</v>
      </c>
      <c r="E19" s="5">
        <v>9517</v>
      </c>
      <c r="F19" s="6">
        <v>123.6115545</v>
      </c>
      <c r="G19" s="7">
        <v>2.9704952999999999E-2</v>
      </c>
      <c r="H19" s="62"/>
    </row>
    <row r="20" spans="1:8" x14ac:dyDescent="0.2">
      <c r="A20" s="3">
        <v>14</v>
      </c>
      <c r="B20" s="4" t="s">
        <v>84</v>
      </c>
      <c r="C20" s="4" t="s">
        <v>85</v>
      </c>
      <c r="D20" s="4" t="s">
        <v>56</v>
      </c>
      <c r="E20" s="5">
        <v>36000</v>
      </c>
      <c r="F20" s="6">
        <v>113.76</v>
      </c>
      <c r="G20" s="7">
        <v>2.7337536999999999E-2</v>
      </c>
      <c r="H20" s="62"/>
    </row>
    <row r="21" spans="1:8" ht="25.5" x14ac:dyDescent="0.2">
      <c r="A21" s="3">
        <v>15</v>
      </c>
      <c r="B21" s="4" t="s">
        <v>739</v>
      </c>
      <c r="C21" s="4" t="s">
        <v>740</v>
      </c>
      <c r="D21" s="4" t="s">
        <v>80</v>
      </c>
      <c r="E21" s="5">
        <v>58527</v>
      </c>
      <c r="F21" s="6">
        <v>108.392004</v>
      </c>
      <c r="G21" s="7">
        <v>2.6047560000000001E-2</v>
      </c>
      <c r="H21" s="62"/>
    </row>
    <row r="22" spans="1:8" x14ac:dyDescent="0.2">
      <c r="A22" s="3">
        <v>16</v>
      </c>
      <c r="B22" s="4" t="s">
        <v>688</v>
      </c>
      <c r="C22" s="4" t="s">
        <v>689</v>
      </c>
      <c r="D22" s="4" t="s">
        <v>322</v>
      </c>
      <c r="E22" s="5">
        <v>15000</v>
      </c>
      <c r="F22" s="6">
        <v>106.155</v>
      </c>
      <c r="G22" s="7">
        <v>2.5509988000000001E-2</v>
      </c>
      <c r="H22" s="62"/>
    </row>
    <row r="23" spans="1:8" x14ac:dyDescent="0.2">
      <c r="A23" s="3">
        <v>17</v>
      </c>
      <c r="B23" s="4" t="s">
        <v>179</v>
      </c>
      <c r="C23" s="4" t="s">
        <v>180</v>
      </c>
      <c r="D23" s="4" t="s">
        <v>181</v>
      </c>
      <c r="E23" s="5">
        <v>40000</v>
      </c>
      <c r="F23" s="6">
        <v>98.96</v>
      </c>
      <c r="G23" s="7">
        <v>2.3780966000000001E-2</v>
      </c>
      <c r="H23" s="62"/>
    </row>
    <row r="24" spans="1:8" x14ac:dyDescent="0.2">
      <c r="A24" s="3">
        <v>18</v>
      </c>
      <c r="B24" s="4" t="s">
        <v>742</v>
      </c>
      <c r="C24" s="4" t="s">
        <v>743</v>
      </c>
      <c r="D24" s="4" t="s">
        <v>190</v>
      </c>
      <c r="E24" s="5">
        <v>5000</v>
      </c>
      <c r="F24" s="6">
        <v>92.62</v>
      </c>
      <c r="G24" s="7">
        <v>2.2257407E-2</v>
      </c>
      <c r="H24" s="62"/>
    </row>
    <row r="25" spans="1:8" ht="25.5" x14ac:dyDescent="0.2">
      <c r="A25" s="3">
        <v>19</v>
      </c>
      <c r="B25" s="4" t="s">
        <v>252</v>
      </c>
      <c r="C25" s="4" t="s">
        <v>253</v>
      </c>
      <c r="D25" s="4" t="s">
        <v>90</v>
      </c>
      <c r="E25" s="5">
        <v>22000</v>
      </c>
      <c r="F25" s="6">
        <v>92.554000000000002</v>
      </c>
      <c r="G25" s="7">
        <v>2.2241547E-2</v>
      </c>
      <c r="H25" s="62"/>
    </row>
    <row r="26" spans="1:8" ht="25.5" x14ac:dyDescent="0.2">
      <c r="A26" s="3">
        <v>20</v>
      </c>
      <c r="B26" s="4" t="s">
        <v>327</v>
      </c>
      <c r="C26" s="4" t="s">
        <v>328</v>
      </c>
      <c r="D26" s="4" t="s">
        <v>90</v>
      </c>
      <c r="E26" s="5">
        <v>16000</v>
      </c>
      <c r="F26" s="6">
        <v>91.84</v>
      </c>
      <c r="G26" s="7">
        <v>2.2069966999999999E-2</v>
      </c>
      <c r="H26" s="62"/>
    </row>
    <row r="27" spans="1:8" x14ac:dyDescent="0.2">
      <c r="A27" s="3">
        <v>21</v>
      </c>
      <c r="B27" s="4" t="s">
        <v>40</v>
      </c>
      <c r="C27" s="4" t="s">
        <v>41</v>
      </c>
      <c r="D27" s="4" t="s">
        <v>16</v>
      </c>
      <c r="E27" s="5">
        <v>21000</v>
      </c>
      <c r="F27" s="6">
        <v>90.762</v>
      </c>
      <c r="G27" s="7">
        <v>2.1810914000000001E-2</v>
      </c>
      <c r="H27" s="62"/>
    </row>
    <row r="28" spans="1:8" x14ac:dyDescent="0.2">
      <c r="A28" s="3">
        <v>22</v>
      </c>
      <c r="B28" s="4" t="s">
        <v>265</v>
      </c>
      <c r="C28" s="4" t="s">
        <v>266</v>
      </c>
      <c r="D28" s="4" t="s">
        <v>59</v>
      </c>
      <c r="E28" s="5">
        <v>8089</v>
      </c>
      <c r="F28" s="6">
        <v>83.660482500000001</v>
      </c>
      <c r="G28" s="7">
        <v>2.0104356E-2</v>
      </c>
      <c r="H28" s="62"/>
    </row>
    <row r="29" spans="1:8" ht="25.5" x14ac:dyDescent="0.2">
      <c r="A29" s="3">
        <v>23</v>
      </c>
      <c r="B29" s="4" t="s">
        <v>70</v>
      </c>
      <c r="C29" s="4" t="s">
        <v>71</v>
      </c>
      <c r="D29" s="4" t="s">
        <v>37</v>
      </c>
      <c r="E29" s="5">
        <v>10000</v>
      </c>
      <c r="F29" s="6">
        <v>72.004999999999995</v>
      </c>
      <c r="G29" s="7">
        <v>1.730344E-2</v>
      </c>
      <c r="H29" s="62"/>
    </row>
    <row r="30" spans="1:8" x14ac:dyDescent="0.2">
      <c r="A30" s="3">
        <v>24</v>
      </c>
      <c r="B30" s="4" t="s">
        <v>348</v>
      </c>
      <c r="C30" s="4" t="s">
        <v>349</v>
      </c>
      <c r="D30" s="4" t="s">
        <v>59</v>
      </c>
      <c r="E30" s="5">
        <v>12997</v>
      </c>
      <c r="F30" s="6">
        <v>50.590822500000002</v>
      </c>
      <c r="G30" s="7">
        <v>1.2157423000000001E-2</v>
      </c>
      <c r="H30" s="62"/>
    </row>
    <row r="31" spans="1:8" ht="25.5" x14ac:dyDescent="0.2">
      <c r="A31" s="3">
        <v>25</v>
      </c>
      <c r="B31" s="4" t="s">
        <v>522</v>
      </c>
      <c r="C31" s="4" t="s">
        <v>523</v>
      </c>
      <c r="D31" s="4" t="s">
        <v>90</v>
      </c>
      <c r="E31" s="5">
        <v>11000</v>
      </c>
      <c r="F31" s="6">
        <v>40.314999999999998</v>
      </c>
      <c r="G31" s="7">
        <v>9.6880520000000008E-3</v>
      </c>
      <c r="H31" s="62"/>
    </row>
    <row r="32" spans="1:8" x14ac:dyDescent="0.2">
      <c r="A32" s="1"/>
      <c r="B32" s="1"/>
      <c r="C32" s="2" t="s">
        <v>105</v>
      </c>
      <c r="D32" s="1"/>
      <c r="E32" s="1" t="s">
        <v>106</v>
      </c>
      <c r="F32" s="9">
        <v>3480.1033495000001</v>
      </c>
      <c r="G32" s="10">
        <v>0.83629970099999995</v>
      </c>
      <c r="H32" s="62"/>
    </row>
    <row r="33" spans="1:8" x14ac:dyDescent="0.2">
      <c r="A33" s="1"/>
      <c r="B33" s="1"/>
      <c r="C33" s="11"/>
      <c r="D33" s="1"/>
      <c r="E33" s="1"/>
      <c r="F33" s="12"/>
      <c r="G33" s="12"/>
      <c r="H33" s="62"/>
    </row>
    <row r="34" spans="1:8" x14ac:dyDescent="0.2">
      <c r="A34" s="1"/>
      <c r="B34" s="1"/>
      <c r="C34" s="2" t="s">
        <v>107</v>
      </c>
      <c r="D34" s="1"/>
      <c r="E34" s="1"/>
      <c r="F34" s="1"/>
      <c r="G34" s="1"/>
      <c r="H34" s="62"/>
    </row>
    <row r="35" spans="1:8" x14ac:dyDescent="0.2">
      <c r="A35" s="1"/>
      <c r="B35" s="1"/>
      <c r="C35" s="2" t="s">
        <v>105</v>
      </c>
      <c r="D35" s="1"/>
      <c r="E35" s="1" t="s">
        <v>106</v>
      </c>
      <c r="F35" s="13">
        <v>0</v>
      </c>
      <c r="G35" s="14">
        <v>0</v>
      </c>
      <c r="H35" s="62"/>
    </row>
    <row r="36" spans="1:8" x14ac:dyDescent="0.2">
      <c r="A36" s="1"/>
      <c r="B36" s="1"/>
      <c r="C36" s="11"/>
      <c r="D36" s="1"/>
      <c r="E36" s="1"/>
      <c r="F36" s="12"/>
      <c r="G36" s="12"/>
      <c r="H36" s="62"/>
    </row>
    <row r="37" spans="1:8" x14ac:dyDescent="0.2">
      <c r="A37" s="1"/>
      <c r="B37" s="1"/>
      <c r="C37" s="2" t="s">
        <v>108</v>
      </c>
      <c r="D37" s="1"/>
      <c r="E37" s="1"/>
      <c r="F37" s="1"/>
      <c r="G37" s="1"/>
      <c r="H37" s="62"/>
    </row>
    <row r="38" spans="1:8" x14ac:dyDescent="0.2">
      <c r="A38" s="1"/>
      <c r="B38" s="1"/>
      <c r="C38" s="2" t="s">
        <v>105</v>
      </c>
      <c r="D38" s="1"/>
      <c r="E38" s="1" t="s">
        <v>106</v>
      </c>
      <c r="F38" s="13">
        <v>0</v>
      </c>
      <c r="G38" s="14">
        <v>0</v>
      </c>
      <c r="H38" s="62"/>
    </row>
    <row r="39" spans="1:8" x14ac:dyDescent="0.2">
      <c r="A39" s="1"/>
      <c r="B39" s="1"/>
      <c r="C39" s="11"/>
      <c r="D39" s="1"/>
      <c r="E39" s="1"/>
      <c r="F39" s="12"/>
      <c r="G39" s="12"/>
      <c r="H39" s="62"/>
    </row>
    <row r="40" spans="1:8" x14ac:dyDescent="0.2">
      <c r="A40" s="1"/>
      <c r="B40" s="1"/>
      <c r="C40" s="2" t="s">
        <v>109</v>
      </c>
      <c r="D40" s="1"/>
      <c r="E40" s="1"/>
      <c r="F40" s="1"/>
      <c r="G40" s="1"/>
      <c r="H40" s="62"/>
    </row>
    <row r="41" spans="1:8" x14ac:dyDescent="0.2">
      <c r="A41" s="3">
        <v>1</v>
      </c>
      <c r="B41" s="4" t="s">
        <v>110</v>
      </c>
      <c r="C41" s="4" t="s">
        <v>996</v>
      </c>
      <c r="D41" s="4" t="s">
        <v>19</v>
      </c>
      <c r="E41" s="5">
        <v>2571</v>
      </c>
      <c r="F41" s="6">
        <v>3.9413429999999998</v>
      </c>
      <c r="G41" s="7">
        <v>9.4713999999999996E-4</v>
      </c>
      <c r="H41" s="62"/>
    </row>
    <row r="42" spans="1:8" x14ac:dyDescent="0.2">
      <c r="A42" s="1"/>
      <c r="B42" s="1"/>
      <c r="C42" s="2" t="s">
        <v>105</v>
      </c>
      <c r="D42" s="1"/>
      <c r="E42" s="1" t="s">
        <v>106</v>
      </c>
      <c r="F42" s="9">
        <v>3.9413429999999998</v>
      </c>
      <c r="G42" s="10">
        <v>9.4713999999999996E-4</v>
      </c>
      <c r="H42" s="62"/>
    </row>
    <row r="43" spans="1:8" x14ac:dyDescent="0.2">
      <c r="A43" s="1"/>
      <c r="B43" s="1"/>
      <c r="C43" s="11"/>
      <c r="D43" s="1"/>
      <c r="E43" s="1"/>
      <c r="F43" s="12"/>
      <c r="G43" s="12"/>
      <c r="H43" s="62"/>
    </row>
    <row r="44" spans="1:8" x14ac:dyDescent="0.2">
      <c r="A44" s="1"/>
      <c r="B44" s="1"/>
      <c r="C44" s="2" t="s">
        <v>111</v>
      </c>
      <c r="D44" s="1"/>
      <c r="E44" s="1"/>
      <c r="F44" s="12"/>
      <c r="G44" s="12"/>
      <c r="H44" s="62"/>
    </row>
    <row r="45" spans="1:8" x14ac:dyDescent="0.2">
      <c r="A45" s="1"/>
      <c r="B45" s="1"/>
      <c r="C45" s="2" t="s">
        <v>105</v>
      </c>
      <c r="D45" s="1"/>
      <c r="E45" s="1" t="s">
        <v>106</v>
      </c>
      <c r="F45" s="13">
        <v>0</v>
      </c>
      <c r="G45" s="14">
        <v>0</v>
      </c>
      <c r="H45" s="62"/>
    </row>
    <row r="46" spans="1:8" x14ac:dyDescent="0.2">
      <c r="A46" s="1"/>
      <c r="B46" s="1"/>
      <c r="C46" s="11"/>
      <c r="D46" s="1"/>
      <c r="E46" s="1"/>
      <c r="F46" s="12"/>
      <c r="G46" s="12"/>
      <c r="H46" s="62"/>
    </row>
    <row r="47" spans="1:8" x14ac:dyDescent="0.2">
      <c r="A47" s="1"/>
      <c r="B47" s="1"/>
      <c r="C47" s="2" t="s">
        <v>112</v>
      </c>
      <c r="D47" s="1"/>
      <c r="E47" s="1"/>
      <c r="F47" s="12"/>
      <c r="G47" s="12"/>
      <c r="H47" s="62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13">
        <v>0</v>
      </c>
      <c r="G48" s="14">
        <v>0</v>
      </c>
      <c r="H48" s="62"/>
    </row>
    <row r="49" spans="1:8" x14ac:dyDescent="0.2">
      <c r="A49" s="1"/>
      <c r="B49" s="1"/>
      <c r="C49" s="11"/>
      <c r="D49" s="1"/>
      <c r="E49" s="1"/>
      <c r="F49" s="12"/>
      <c r="G49" s="12"/>
      <c r="H49" s="62"/>
    </row>
    <row r="50" spans="1:8" x14ac:dyDescent="0.2">
      <c r="A50" s="1"/>
      <c r="B50" s="1"/>
      <c r="C50" s="2" t="s">
        <v>113</v>
      </c>
      <c r="D50" s="1"/>
      <c r="E50" s="1"/>
      <c r="F50" s="9">
        <v>3484.0446925000001</v>
      </c>
      <c r="G50" s="10">
        <v>0.83724684100000002</v>
      </c>
      <c r="H50" s="62"/>
    </row>
    <row r="51" spans="1:8" x14ac:dyDescent="0.2">
      <c r="A51" s="1"/>
      <c r="B51" s="1"/>
      <c r="C51" s="11"/>
      <c r="D51" s="1"/>
      <c r="E51" s="1"/>
      <c r="F51" s="12"/>
      <c r="G51" s="12"/>
      <c r="H51" s="62"/>
    </row>
    <row r="52" spans="1:8" x14ac:dyDescent="0.2">
      <c r="A52" s="1"/>
      <c r="B52" s="1"/>
      <c r="C52" s="2" t="s">
        <v>114</v>
      </c>
      <c r="D52" s="1"/>
      <c r="E52" s="1"/>
      <c r="F52" s="12"/>
      <c r="G52" s="12"/>
      <c r="H52" s="62"/>
    </row>
    <row r="53" spans="1:8" ht="25.5" x14ac:dyDescent="0.2">
      <c r="A53" s="1"/>
      <c r="B53" s="1"/>
      <c r="C53" s="2" t="s">
        <v>10</v>
      </c>
      <c r="D53" s="1"/>
      <c r="E53" s="1"/>
      <c r="F53" s="12"/>
      <c r="G53" s="12"/>
      <c r="H53" s="62"/>
    </row>
    <row r="54" spans="1:8" x14ac:dyDescent="0.2">
      <c r="A54" s="1"/>
      <c r="B54" s="1"/>
      <c r="C54" s="2" t="s">
        <v>105</v>
      </c>
      <c r="D54" s="1"/>
      <c r="E54" s="1" t="s">
        <v>106</v>
      </c>
      <c r="F54" s="13">
        <v>0</v>
      </c>
      <c r="G54" s="14">
        <v>0</v>
      </c>
      <c r="H54" s="62"/>
    </row>
    <row r="55" spans="1:8" x14ac:dyDescent="0.2">
      <c r="A55" s="1"/>
      <c r="B55" s="1"/>
      <c r="C55" s="11"/>
      <c r="D55" s="1"/>
      <c r="E55" s="1"/>
      <c r="F55" s="12"/>
      <c r="G55" s="12"/>
      <c r="H55" s="62"/>
    </row>
    <row r="56" spans="1:8" x14ac:dyDescent="0.2">
      <c r="A56" s="1"/>
      <c r="B56" s="1"/>
      <c r="C56" s="2" t="s">
        <v>115</v>
      </c>
      <c r="D56" s="1"/>
      <c r="E56" s="1"/>
      <c r="F56" s="1"/>
      <c r="G56" s="1"/>
      <c r="H56" s="62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2"/>
    </row>
    <row r="58" spans="1:8" x14ac:dyDescent="0.2">
      <c r="A58" s="1"/>
      <c r="B58" s="1"/>
      <c r="C58" s="11"/>
      <c r="D58" s="1"/>
      <c r="E58" s="1"/>
      <c r="F58" s="12"/>
      <c r="G58" s="12"/>
      <c r="H58" s="62"/>
    </row>
    <row r="59" spans="1:8" x14ac:dyDescent="0.2">
      <c r="A59" s="1"/>
      <c r="B59" s="1"/>
      <c r="C59" s="2" t="s">
        <v>116</v>
      </c>
      <c r="D59" s="1"/>
      <c r="E59" s="1"/>
      <c r="F59" s="1"/>
      <c r="G59" s="1"/>
      <c r="H59" s="62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2"/>
    </row>
    <row r="61" spans="1:8" x14ac:dyDescent="0.2">
      <c r="A61" s="1"/>
      <c r="B61" s="1"/>
      <c r="C61" s="11"/>
      <c r="D61" s="1"/>
      <c r="E61" s="1"/>
      <c r="F61" s="12"/>
      <c r="G61" s="12"/>
      <c r="H61" s="62"/>
    </row>
    <row r="62" spans="1:8" x14ac:dyDescent="0.2">
      <c r="A62" s="1"/>
      <c r="B62" s="1"/>
      <c r="C62" s="2" t="s">
        <v>117</v>
      </c>
      <c r="D62" s="1"/>
      <c r="E62" s="1"/>
      <c r="F62" s="12"/>
      <c r="G62" s="12"/>
      <c r="H62" s="62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2"/>
    </row>
    <row r="64" spans="1:8" x14ac:dyDescent="0.2">
      <c r="A64" s="1"/>
      <c r="B64" s="1"/>
      <c r="C64" s="11"/>
      <c r="D64" s="1"/>
      <c r="E64" s="1"/>
      <c r="F64" s="12"/>
      <c r="G64" s="12"/>
      <c r="H64" s="62"/>
    </row>
    <row r="65" spans="1:8" x14ac:dyDescent="0.2">
      <c r="A65" s="1"/>
      <c r="B65" s="1"/>
      <c r="C65" s="2" t="s">
        <v>118</v>
      </c>
      <c r="D65" s="1"/>
      <c r="E65" s="1"/>
      <c r="F65" s="9">
        <v>0</v>
      </c>
      <c r="G65" s="10">
        <v>0</v>
      </c>
      <c r="H65" s="62"/>
    </row>
    <row r="66" spans="1:8" x14ac:dyDescent="0.2">
      <c r="A66" s="1"/>
      <c r="B66" s="1"/>
      <c r="C66" s="11"/>
      <c r="D66" s="1"/>
      <c r="E66" s="1"/>
      <c r="F66" s="12"/>
      <c r="G66" s="12"/>
      <c r="H66" s="62"/>
    </row>
    <row r="67" spans="1:8" x14ac:dyDescent="0.2">
      <c r="A67" s="1"/>
      <c r="B67" s="1"/>
      <c r="C67" s="2" t="s">
        <v>119</v>
      </c>
      <c r="D67" s="1"/>
      <c r="E67" s="1"/>
      <c r="F67" s="12"/>
      <c r="G67" s="12"/>
      <c r="H67" s="62"/>
    </row>
    <row r="68" spans="1:8" x14ac:dyDescent="0.2">
      <c r="A68" s="1"/>
      <c r="B68" s="1"/>
      <c r="C68" s="2" t="s">
        <v>120</v>
      </c>
      <c r="D68" s="1"/>
      <c r="E68" s="1"/>
      <c r="F68" s="12"/>
      <c r="G68" s="12"/>
      <c r="H68" s="62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2"/>
    </row>
    <row r="70" spans="1:8" x14ac:dyDescent="0.2">
      <c r="A70" s="1"/>
      <c r="B70" s="1"/>
      <c r="C70" s="11"/>
      <c r="D70" s="1"/>
      <c r="E70" s="1"/>
      <c r="F70" s="12"/>
      <c r="G70" s="12"/>
      <c r="H70" s="62"/>
    </row>
    <row r="71" spans="1:8" x14ac:dyDescent="0.2">
      <c r="A71" s="1"/>
      <c r="B71" s="1"/>
      <c r="C71" s="2" t="s">
        <v>121</v>
      </c>
      <c r="D71" s="1"/>
      <c r="E71" s="1"/>
      <c r="F71" s="12"/>
      <c r="G71" s="12"/>
      <c r="H71" s="62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2"/>
    </row>
    <row r="73" spans="1:8" x14ac:dyDescent="0.2">
      <c r="A73" s="1"/>
      <c r="B73" s="1"/>
      <c r="C73" s="11"/>
      <c r="D73" s="1"/>
      <c r="E73" s="1"/>
      <c r="F73" s="12"/>
      <c r="G73" s="12"/>
      <c r="H73" s="62"/>
    </row>
    <row r="74" spans="1:8" x14ac:dyDescent="0.2">
      <c r="A74" s="1"/>
      <c r="B74" s="1"/>
      <c r="C74" s="2" t="s">
        <v>122</v>
      </c>
      <c r="D74" s="1"/>
      <c r="E74" s="1"/>
      <c r="F74" s="12"/>
      <c r="G74" s="12"/>
      <c r="H74" s="62"/>
    </row>
    <row r="75" spans="1:8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2"/>
    </row>
    <row r="76" spans="1:8" x14ac:dyDescent="0.2">
      <c r="A76" s="1"/>
      <c r="B76" s="1"/>
      <c r="C76" s="11"/>
      <c r="D76" s="1"/>
      <c r="E76" s="1"/>
      <c r="F76" s="12"/>
      <c r="G76" s="12"/>
      <c r="H76" s="62"/>
    </row>
    <row r="77" spans="1:8" x14ac:dyDescent="0.2">
      <c r="A77" s="1"/>
      <c r="B77" s="1"/>
      <c r="C77" s="2" t="s">
        <v>123</v>
      </c>
      <c r="D77" s="1"/>
      <c r="E77" s="1"/>
      <c r="F77" s="12"/>
      <c r="G77" s="12"/>
      <c r="H77" s="62"/>
    </row>
    <row r="78" spans="1:8" x14ac:dyDescent="0.2">
      <c r="A78" s="3">
        <v>1</v>
      </c>
      <c r="B78" s="4"/>
      <c r="C78" s="4" t="s">
        <v>124</v>
      </c>
      <c r="D78" s="4"/>
      <c r="E78" s="8"/>
      <c r="F78" s="6">
        <v>659.20694379999998</v>
      </c>
      <c r="G78" s="7">
        <v>0.15841327499999999</v>
      </c>
      <c r="H78" s="152">
        <v>3.3197683930276081</v>
      </c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659.20694379999998</v>
      </c>
      <c r="G79" s="10">
        <v>0.15841327499999999</v>
      </c>
      <c r="H79" s="62"/>
    </row>
    <row r="80" spans="1:8" x14ac:dyDescent="0.2">
      <c r="A80" s="1"/>
      <c r="B80" s="1"/>
      <c r="C80" s="11"/>
      <c r="D80" s="1"/>
      <c r="E80" s="1"/>
      <c r="F80" s="12"/>
      <c r="G80" s="12"/>
      <c r="H80" s="62"/>
    </row>
    <row r="81" spans="1:8" x14ac:dyDescent="0.2">
      <c r="A81" s="1"/>
      <c r="B81" s="1"/>
      <c r="C81" s="2" t="s">
        <v>125</v>
      </c>
      <c r="D81" s="1"/>
      <c r="E81" s="1"/>
      <c r="F81" s="9">
        <v>659.20694379999998</v>
      </c>
      <c r="G81" s="10">
        <v>0.15841327499999999</v>
      </c>
      <c r="H81" s="62"/>
    </row>
    <row r="82" spans="1:8" x14ac:dyDescent="0.2">
      <c r="A82" s="1"/>
      <c r="B82" s="1"/>
      <c r="C82" s="12"/>
      <c r="D82" s="1"/>
      <c r="E82" s="1"/>
      <c r="F82" s="1"/>
      <c r="G82" s="1"/>
      <c r="H82" s="62"/>
    </row>
    <row r="83" spans="1:8" x14ac:dyDescent="0.2">
      <c r="A83" s="1"/>
      <c r="B83" s="1"/>
      <c r="C83" s="2" t="s">
        <v>126</v>
      </c>
      <c r="D83" s="1"/>
      <c r="E83" s="1"/>
      <c r="F83" s="1"/>
      <c r="G83" s="1"/>
      <c r="H83" s="62"/>
    </row>
    <row r="84" spans="1:8" x14ac:dyDescent="0.2">
      <c r="A84" s="1"/>
      <c r="B84" s="1"/>
      <c r="C84" s="2" t="s">
        <v>127</v>
      </c>
      <c r="D84" s="1"/>
      <c r="E84" s="1"/>
      <c r="F84" s="1"/>
      <c r="G84" s="1"/>
      <c r="H84" s="62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2"/>
    </row>
    <row r="86" spans="1:8" x14ac:dyDescent="0.2">
      <c r="A86" s="1"/>
      <c r="B86" s="1"/>
      <c r="C86" s="11"/>
      <c r="D86" s="1"/>
      <c r="E86" s="1"/>
      <c r="F86" s="12"/>
      <c r="G86" s="12"/>
      <c r="H86" s="62"/>
    </row>
    <row r="87" spans="1:8" x14ac:dyDescent="0.2">
      <c r="A87" s="1"/>
      <c r="B87" s="1"/>
      <c r="C87" s="2" t="s">
        <v>128</v>
      </c>
      <c r="D87" s="1"/>
      <c r="E87" s="1"/>
      <c r="F87" s="1"/>
      <c r="G87" s="1"/>
      <c r="H87" s="62"/>
    </row>
    <row r="88" spans="1:8" x14ac:dyDescent="0.2">
      <c r="A88" s="1"/>
      <c r="B88" s="1"/>
      <c r="C88" s="2" t="s">
        <v>129</v>
      </c>
      <c r="D88" s="1"/>
      <c r="E88" s="1"/>
      <c r="F88" s="1"/>
      <c r="G88" s="1"/>
      <c r="H88" s="62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2"/>
    </row>
    <row r="90" spans="1:8" x14ac:dyDescent="0.2">
      <c r="A90" s="1"/>
      <c r="B90" s="1"/>
      <c r="C90" s="11"/>
      <c r="D90" s="1"/>
      <c r="E90" s="1"/>
      <c r="F90" s="12"/>
      <c r="G90" s="12"/>
      <c r="H90" s="62"/>
    </row>
    <row r="91" spans="1:8" x14ac:dyDescent="0.2">
      <c r="A91" s="1"/>
      <c r="B91" s="1"/>
      <c r="C91" s="11"/>
      <c r="D91" s="1"/>
      <c r="E91" s="1"/>
      <c r="F91" s="12"/>
      <c r="G91" s="12"/>
      <c r="H91" s="62"/>
    </row>
    <row r="92" spans="1:8" ht="25.5" x14ac:dyDescent="0.2">
      <c r="A92" s="1"/>
      <c r="B92" s="1"/>
      <c r="C92" s="2" t="s">
        <v>130</v>
      </c>
      <c r="D92" s="1"/>
      <c r="E92" s="1"/>
      <c r="F92" s="12"/>
      <c r="G92" s="12"/>
      <c r="H92" s="62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2"/>
    </row>
    <row r="94" spans="1:8" x14ac:dyDescent="0.2">
      <c r="A94" s="1"/>
      <c r="B94" s="1"/>
      <c r="C94" s="11"/>
      <c r="D94" s="1"/>
      <c r="E94" s="1"/>
      <c r="F94" s="12"/>
      <c r="G94" s="12"/>
      <c r="H94" s="62"/>
    </row>
    <row r="95" spans="1:8" x14ac:dyDescent="0.2">
      <c r="A95" s="1"/>
      <c r="B95" s="4"/>
      <c r="C95" s="4"/>
      <c r="D95" s="2"/>
      <c r="E95" s="1"/>
      <c r="F95" s="4"/>
      <c r="G95" s="8"/>
      <c r="H95" s="62"/>
    </row>
    <row r="96" spans="1:8" x14ac:dyDescent="0.2">
      <c r="A96" s="8"/>
      <c r="B96" s="4"/>
      <c r="C96" s="4" t="s">
        <v>131</v>
      </c>
      <c r="D96" s="4"/>
      <c r="E96" s="8"/>
      <c r="F96" s="6">
        <v>18.059608189999999</v>
      </c>
      <c r="G96" s="7">
        <v>4.3398839999999996E-3</v>
      </c>
      <c r="H96" s="62"/>
    </row>
    <row r="97" spans="1:8" x14ac:dyDescent="0.2">
      <c r="A97" s="11"/>
      <c r="B97" s="11"/>
      <c r="C97" s="2" t="s">
        <v>132</v>
      </c>
      <c r="D97" s="15"/>
      <c r="E97" s="15"/>
      <c r="F97" s="9">
        <v>4161.3112444899998</v>
      </c>
      <c r="G97" s="10">
        <v>1</v>
      </c>
      <c r="H97" s="62"/>
    </row>
    <row r="98" spans="1:8" ht="14.1" customHeight="1" x14ac:dyDescent="0.2">
      <c r="A98" s="16"/>
      <c r="B98" s="16"/>
      <c r="C98" s="16"/>
      <c r="D98" s="17"/>
      <c r="E98" s="17"/>
      <c r="F98" s="17"/>
    </row>
    <row r="99" spans="1:8" ht="14.1" customHeight="1" x14ac:dyDescent="0.2">
      <c r="A99" s="18"/>
      <c r="B99" s="205" t="s">
        <v>106</v>
      </c>
      <c r="C99" s="205"/>
      <c r="D99" s="205"/>
      <c r="E99" s="205"/>
      <c r="F99" s="205"/>
    </row>
    <row r="100" spans="1:8" ht="14.1" customHeight="1" x14ac:dyDescent="0.2">
      <c r="A100" s="18"/>
      <c r="B100" s="205" t="s">
        <v>106</v>
      </c>
      <c r="C100" s="205"/>
      <c r="D100" s="205"/>
      <c r="E100" s="205"/>
      <c r="F100" s="205"/>
    </row>
    <row r="101" spans="1:8" ht="14.1" customHeight="1" x14ac:dyDescent="0.2">
      <c r="A101" s="18"/>
      <c r="B101" s="18"/>
      <c r="C101" s="18"/>
      <c r="D101" s="20"/>
      <c r="E101" s="20"/>
      <c r="F101" s="20"/>
    </row>
    <row r="102" spans="1:8" ht="14.1" customHeight="1" x14ac:dyDescent="0.2">
      <c r="A102" s="18"/>
      <c r="B102" s="203" t="s">
        <v>134</v>
      </c>
      <c r="C102" s="204"/>
      <c r="D102" s="12" t="s">
        <v>106</v>
      </c>
      <c r="E102" s="21"/>
      <c r="F102" s="20"/>
    </row>
    <row r="103" spans="1:8" ht="29.1" customHeight="1" x14ac:dyDescent="0.2">
      <c r="A103" s="18"/>
      <c r="B103" s="199" t="s">
        <v>135</v>
      </c>
      <c r="C103" s="200"/>
      <c r="D103" s="2" t="s">
        <v>136</v>
      </c>
      <c r="E103" s="21"/>
      <c r="F103" s="20"/>
    </row>
    <row r="104" spans="1:8" ht="17.100000000000001" customHeight="1" x14ac:dyDescent="0.2">
      <c r="A104" s="18"/>
      <c r="B104" s="199" t="s">
        <v>137</v>
      </c>
      <c r="C104" s="200"/>
      <c r="D104" s="2" t="s">
        <v>136</v>
      </c>
      <c r="E104" s="21"/>
      <c r="F104" s="20"/>
    </row>
    <row r="105" spans="1:8" ht="17.100000000000001" customHeight="1" x14ac:dyDescent="0.2">
      <c r="A105" s="18"/>
      <c r="B105" s="199" t="s">
        <v>138</v>
      </c>
      <c r="C105" s="200"/>
      <c r="D105" s="12" t="s">
        <v>106</v>
      </c>
      <c r="E105" s="21"/>
      <c r="F105" s="20"/>
    </row>
    <row r="106" spans="1:8" ht="24" customHeight="1" x14ac:dyDescent="0.2">
      <c r="A106" s="22"/>
      <c r="B106" s="23" t="s">
        <v>106</v>
      </c>
      <c r="C106" s="23" t="s">
        <v>139</v>
      </c>
      <c r="D106" s="23" t="s">
        <v>140</v>
      </c>
      <c r="E106" s="22"/>
      <c r="F106" s="22"/>
    </row>
    <row r="107" spans="1:8" ht="18" customHeight="1" x14ac:dyDescent="0.2">
      <c r="A107" s="22"/>
      <c r="B107" s="23" t="s">
        <v>141</v>
      </c>
      <c r="C107" s="23" t="s">
        <v>142</v>
      </c>
      <c r="D107" s="23" t="s">
        <v>143</v>
      </c>
      <c r="E107" s="22"/>
      <c r="F107" s="22"/>
    </row>
    <row r="108" spans="1:8" x14ac:dyDescent="0.2">
      <c r="A108" s="22"/>
      <c r="B108" s="4" t="s">
        <v>144</v>
      </c>
      <c r="C108" s="24">
        <v>14.544700000000001</v>
      </c>
      <c r="D108" s="24">
        <v>14.8916</v>
      </c>
      <c r="E108" s="22"/>
      <c r="F108" s="19"/>
      <c r="G108" s="25"/>
    </row>
    <row r="109" spans="1:8" x14ac:dyDescent="0.2">
      <c r="A109" s="22"/>
      <c r="B109" s="4" t="s">
        <v>1019</v>
      </c>
      <c r="C109" s="24">
        <v>13.476599999999999</v>
      </c>
      <c r="D109" s="24">
        <v>13.798</v>
      </c>
      <c r="E109" s="22"/>
      <c r="F109" s="19"/>
      <c r="G109" s="25"/>
    </row>
    <row r="110" spans="1:8" x14ac:dyDescent="0.2">
      <c r="A110" s="22"/>
      <c r="B110" s="4" t="s">
        <v>145</v>
      </c>
      <c r="C110" s="24">
        <v>14.1332</v>
      </c>
      <c r="D110" s="24">
        <v>14.464</v>
      </c>
      <c r="E110" s="22"/>
      <c r="F110" s="19"/>
      <c r="G110" s="25"/>
    </row>
    <row r="111" spans="1:8" x14ac:dyDescent="0.2">
      <c r="A111" s="22"/>
      <c r="B111" s="4" t="s">
        <v>1020</v>
      </c>
      <c r="C111" s="24">
        <v>13.3698</v>
      </c>
      <c r="D111" s="24">
        <v>13.682700000000001</v>
      </c>
      <c r="E111" s="22"/>
      <c r="F111" s="19"/>
      <c r="G111" s="25"/>
    </row>
    <row r="112" spans="1:8" ht="14.1" customHeight="1" x14ac:dyDescent="0.2">
      <c r="A112" s="22"/>
      <c r="B112" s="22"/>
      <c r="C112" s="22"/>
      <c r="D112" s="22"/>
      <c r="E112" s="22"/>
      <c r="F112" s="22"/>
      <c r="G112" s="22"/>
    </row>
    <row r="113" spans="1:7" ht="17.100000000000001" customHeight="1" x14ac:dyDescent="0.2">
      <c r="A113" s="22"/>
      <c r="B113" s="199" t="s">
        <v>1021</v>
      </c>
      <c r="C113" s="200"/>
      <c r="D113" s="2" t="s">
        <v>136</v>
      </c>
      <c r="E113" s="22"/>
      <c r="F113" s="22"/>
      <c r="G113" s="22"/>
    </row>
    <row r="114" spans="1:7" ht="18" customHeight="1" x14ac:dyDescent="0.2">
      <c r="A114" s="22"/>
      <c r="B114" s="26"/>
      <c r="C114" s="26"/>
      <c r="D114" s="27"/>
      <c r="E114" s="22"/>
      <c r="F114" s="22"/>
      <c r="G114" s="22"/>
    </row>
    <row r="115" spans="1:7" s="125" customFormat="1" x14ac:dyDescent="0.2">
      <c r="B115" s="201" t="s">
        <v>825</v>
      </c>
      <c r="C115" s="201"/>
      <c r="D115" s="201"/>
      <c r="E115" s="201"/>
      <c r="F115" s="201"/>
    </row>
    <row r="116" spans="1:7" ht="14.1" customHeight="1" x14ac:dyDescent="0.2">
      <c r="A116" s="22"/>
      <c r="B116" s="19"/>
      <c r="C116" s="19"/>
      <c r="D116" s="22"/>
      <c r="E116" s="22"/>
      <c r="F116" s="22"/>
      <c r="G116" s="22"/>
    </row>
    <row r="117" spans="1:7" ht="29.1" customHeight="1" x14ac:dyDescent="0.2">
      <c r="A117" s="22"/>
      <c r="B117" s="199" t="s">
        <v>146</v>
      </c>
      <c r="C117" s="200"/>
      <c r="D117" s="2" t="s">
        <v>136</v>
      </c>
      <c r="E117" s="22"/>
      <c r="F117" s="22"/>
      <c r="G117" s="22"/>
    </row>
    <row r="118" spans="1:7" ht="29.1" customHeight="1" x14ac:dyDescent="0.2">
      <c r="A118" s="22"/>
      <c r="B118" s="199" t="s">
        <v>147</v>
      </c>
      <c r="C118" s="200"/>
      <c r="D118" s="2" t="s">
        <v>136</v>
      </c>
      <c r="E118" s="22"/>
      <c r="F118" s="22"/>
      <c r="G118" s="22"/>
    </row>
    <row r="119" spans="1:7" ht="17.100000000000001" customHeight="1" x14ac:dyDescent="0.2">
      <c r="A119" s="22"/>
      <c r="B119" s="199" t="s">
        <v>148</v>
      </c>
      <c r="C119" s="200"/>
      <c r="D119" s="28">
        <v>0.81958252837986023</v>
      </c>
      <c r="E119" s="22"/>
      <c r="F119" s="19"/>
      <c r="G119" s="25"/>
    </row>
    <row r="120" spans="1:7" ht="17.100000000000001" customHeight="1" x14ac:dyDescent="0.2">
      <c r="A120" s="22"/>
      <c r="B120" s="199" t="s">
        <v>149</v>
      </c>
      <c r="C120" s="200"/>
      <c r="D120" s="2" t="s">
        <v>136</v>
      </c>
      <c r="E120" s="22"/>
      <c r="F120" s="22"/>
      <c r="G120" s="22"/>
    </row>
  </sheetData>
  <mergeCells count="16">
    <mergeCell ref="J2:N2"/>
    <mergeCell ref="B102:C102"/>
    <mergeCell ref="B99:F99"/>
    <mergeCell ref="B100:F100"/>
    <mergeCell ref="A1:H1"/>
    <mergeCell ref="A2:H2"/>
    <mergeCell ref="A3:H3"/>
    <mergeCell ref="B119:C119"/>
    <mergeCell ref="B120:C120"/>
    <mergeCell ref="B103:C103"/>
    <mergeCell ref="B104:C104"/>
    <mergeCell ref="B105:C105"/>
    <mergeCell ref="B113:C113"/>
    <mergeCell ref="B117:C117"/>
    <mergeCell ref="B118:C118"/>
    <mergeCell ref="B115:F11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N12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5" x14ac:dyDescent="0.2">
      <c r="A1" s="206" t="s">
        <v>0</v>
      </c>
      <c r="B1" s="206"/>
      <c r="C1" s="206"/>
      <c r="D1" s="206"/>
      <c r="E1" s="206"/>
      <c r="F1" s="206"/>
      <c r="G1" s="206"/>
      <c r="H1" s="206"/>
    </row>
    <row r="2" spans="1:14" ht="15" x14ac:dyDescent="0.2">
      <c r="A2" s="207" t="s">
        <v>747</v>
      </c>
      <c r="B2" s="208"/>
      <c r="C2" s="208"/>
      <c r="D2" s="208"/>
      <c r="E2" s="208"/>
      <c r="F2" s="208"/>
      <c r="G2" s="208"/>
      <c r="H2" s="209"/>
      <c r="J2" s="202" t="s">
        <v>1031</v>
      </c>
      <c r="K2" s="202"/>
      <c r="L2" s="202"/>
      <c r="M2" s="202"/>
      <c r="N2" s="202"/>
    </row>
    <row r="3" spans="1:14" ht="15" x14ac:dyDescent="0.2">
      <c r="A3" s="206" t="s">
        <v>932</v>
      </c>
      <c r="B3" s="206"/>
      <c r="C3" s="206"/>
      <c r="D3" s="206"/>
      <c r="E3" s="206"/>
      <c r="F3" s="206"/>
      <c r="G3" s="206"/>
      <c r="H3" s="206"/>
    </row>
    <row r="4" spans="1:14" s="159" customFormat="1" ht="30" x14ac:dyDescent="0.2">
      <c r="A4" s="158" t="s">
        <v>2</v>
      </c>
      <c r="B4" s="158" t="s">
        <v>3</v>
      </c>
      <c r="C4" s="158" t="s">
        <v>4</v>
      </c>
      <c r="D4" s="158" t="s">
        <v>5</v>
      </c>
      <c r="E4" s="158" t="s">
        <v>6</v>
      </c>
      <c r="F4" s="158" t="s">
        <v>7</v>
      </c>
      <c r="G4" s="158" t="s">
        <v>8</v>
      </c>
      <c r="H4" s="136" t="s">
        <v>810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62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2"/>
    </row>
    <row r="7" spans="1:14" x14ac:dyDescent="0.2">
      <c r="A7" s="3">
        <v>1</v>
      </c>
      <c r="B7" s="4" t="s">
        <v>22</v>
      </c>
      <c r="C7" s="4" t="s">
        <v>23</v>
      </c>
      <c r="D7" s="4" t="s">
        <v>24</v>
      </c>
      <c r="E7" s="5">
        <v>180295</v>
      </c>
      <c r="F7" s="6">
        <v>1263.5975074999999</v>
      </c>
      <c r="G7" s="7">
        <v>7.7344246000000005E-2</v>
      </c>
      <c r="H7" s="62"/>
    </row>
    <row r="8" spans="1:14" x14ac:dyDescent="0.2">
      <c r="A8" s="3">
        <v>2</v>
      </c>
      <c r="B8" s="4" t="s">
        <v>414</v>
      </c>
      <c r="C8" s="4" t="s">
        <v>415</v>
      </c>
      <c r="D8" s="4" t="s">
        <v>24</v>
      </c>
      <c r="E8" s="5">
        <v>264724</v>
      </c>
      <c r="F8" s="6">
        <v>1199.1997200000001</v>
      </c>
      <c r="G8" s="7">
        <v>7.3402486000000003E-2</v>
      </c>
      <c r="H8" s="62"/>
    </row>
    <row r="9" spans="1:14" x14ac:dyDescent="0.2">
      <c r="A9" s="3">
        <v>3</v>
      </c>
      <c r="B9" s="4" t="s">
        <v>336</v>
      </c>
      <c r="C9" s="4" t="s">
        <v>337</v>
      </c>
      <c r="D9" s="4" t="s">
        <v>24</v>
      </c>
      <c r="E9" s="5">
        <v>120791</v>
      </c>
      <c r="F9" s="6">
        <v>925.92341050000005</v>
      </c>
      <c r="G9" s="7">
        <v>5.6675363999999999E-2</v>
      </c>
      <c r="H9" s="62"/>
    </row>
    <row r="10" spans="1:14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51804</v>
      </c>
      <c r="F10" s="6">
        <v>882.19621800000004</v>
      </c>
      <c r="G10" s="7">
        <v>5.3998840999999999E-2</v>
      </c>
      <c r="H10" s="62"/>
    </row>
    <row r="11" spans="1:14" ht="25.5" x14ac:dyDescent="0.2">
      <c r="A11" s="3">
        <v>5</v>
      </c>
      <c r="B11" s="4" t="s">
        <v>412</v>
      </c>
      <c r="C11" s="4" t="s">
        <v>413</v>
      </c>
      <c r="D11" s="4" t="s">
        <v>80</v>
      </c>
      <c r="E11" s="5">
        <v>29715</v>
      </c>
      <c r="F11" s="6">
        <v>818.440245</v>
      </c>
      <c r="G11" s="7">
        <v>5.0096366000000003E-2</v>
      </c>
      <c r="H11" s="62"/>
    </row>
    <row r="12" spans="1:14" x14ac:dyDescent="0.2">
      <c r="A12" s="3">
        <v>6</v>
      </c>
      <c r="B12" s="4" t="s">
        <v>17</v>
      </c>
      <c r="C12" s="4" t="s">
        <v>18</v>
      </c>
      <c r="D12" s="4" t="s">
        <v>19</v>
      </c>
      <c r="E12" s="5">
        <v>117223</v>
      </c>
      <c r="F12" s="6">
        <v>806.84590900000001</v>
      </c>
      <c r="G12" s="7">
        <v>4.9386682000000001E-2</v>
      </c>
      <c r="H12" s="62"/>
    </row>
    <row r="13" spans="1:14" x14ac:dyDescent="0.2">
      <c r="A13" s="3">
        <v>7</v>
      </c>
      <c r="B13" s="4" t="s">
        <v>14</v>
      </c>
      <c r="C13" s="4" t="s">
        <v>15</v>
      </c>
      <c r="D13" s="4" t="s">
        <v>16</v>
      </c>
      <c r="E13" s="5">
        <v>26277</v>
      </c>
      <c r="F13" s="6">
        <v>661.98332249999999</v>
      </c>
      <c r="G13" s="7">
        <v>4.0519707000000002E-2</v>
      </c>
      <c r="H13" s="62"/>
    </row>
    <row r="14" spans="1:14" ht="25.5" x14ac:dyDescent="0.2">
      <c r="A14" s="3">
        <v>8</v>
      </c>
      <c r="B14" s="4" t="s">
        <v>435</v>
      </c>
      <c r="C14" s="4" t="s">
        <v>436</v>
      </c>
      <c r="D14" s="4" t="s">
        <v>90</v>
      </c>
      <c r="E14" s="5">
        <v>263694</v>
      </c>
      <c r="F14" s="6">
        <v>622.71338100000003</v>
      </c>
      <c r="G14" s="7">
        <v>3.8116010999999998E-2</v>
      </c>
      <c r="H14" s="62"/>
    </row>
    <row r="15" spans="1:14" ht="15" x14ac:dyDescent="0.2">
      <c r="A15" s="3">
        <v>9</v>
      </c>
      <c r="B15" s="4" t="s">
        <v>54</v>
      </c>
      <c r="C15" s="4" t="s">
        <v>55</v>
      </c>
      <c r="D15" s="4" t="s">
        <v>56</v>
      </c>
      <c r="E15" s="5">
        <v>337303</v>
      </c>
      <c r="F15" s="6">
        <v>535.80581549999999</v>
      </c>
      <c r="G15" s="7">
        <v>3.2796437999999997E-2</v>
      </c>
      <c r="H15" s="62"/>
      <c r="J15" s="163" t="s">
        <v>1035</v>
      </c>
    </row>
    <row r="16" spans="1:14" x14ac:dyDescent="0.2">
      <c r="A16" s="3">
        <v>10</v>
      </c>
      <c r="B16" s="4" t="s">
        <v>360</v>
      </c>
      <c r="C16" s="4" t="s">
        <v>361</v>
      </c>
      <c r="D16" s="4" t="s">
        <v>24</v>
      </c>
      <c r="E16" s="5">
        <v>651045</v>
      </c>
      <c r="F16" s="6">
        <v>532.22928750000005</v>
      </c>
      <c r="G16" s="7">
        <v>3.2577519999999999E-2</v>
      </c>
      <c r="H16" s="62"/>
    </row>
    <row r="17" spans="1:8" x14ac:dyDescent="0.2">
      <c r="A17" s="3">
        <v>11</v>
      </c>
      <c r="B17" s="4" t="s">
        <v>628</v>
      </c>
      <c r="C17" s="4" t="s">
        <v>629</v>
      </c>
      <c r="D17" s="4" t="s">
        <v>16</v>
      </c>
      <c r="E17" s="5">
        <v>417847</v>
      </c>
      <c r="F17" s="6">
        <v>523.56229099999996</v>
      </c>
      <c r="G17" s="7">
        <v>3.2047016999999997E-2</v>
      </c>
      <c r="H17" s="62"/>
    </row>
    <row r="18" spans="1:8" x14ac:dyDescent="0.2">
      <c r="A18" s="3">
        <v>12</v>
      </c>
      <c r="B18" s="4" t="s">
        <v>40</v>
      </c>
      <c r="C18" s="4" t="s">
        <v>41</v>
      </c>
      <c r="D18" s="4" t="s">
        <v>16</v>
      </c>
      <c r="E18" s="5">
        <v>113768</v>
      </c>
      <c r="F18" s="6">
        <v>491.70529599999998</v>
      </c>
      <c r="G18" s="7">
        <v>3.0097064E-2</v>
      </c>
      <c r="H18" s="62"/>
    </row>
    <row r="19" spans="1:8" x14ac:dyDescent="0.2">
      <c r="A19" s="3">
        <v>13</v>
      </c>
      <c r="B19" s="4" t="s">
        <v>344</v>
      </c>
      <c r="C19" s="4" t="s">
        <v>345</v>
      </c>
      <c r="D19" s="4" t="s">
        <v>24</v>
      </c>
      <c r="E19" s="5">
        <v>508830</v>
      </c>
      <c r="F19" s="6">
        <v>428.94369</v>
      </c>
      <c r="G19" s="7">
        <v>2.6255454000000001E-2</v>
      </c>
      <c r="H19" s="62"/>
    </row>
    <row r="20" spans="1:8" ht="25.5" x14ac:dyDescent="0.2">
      <c r="A20" s="3">
        <v>14</v>
      </c>
      <c r="B20" s="4" t="s">
        <v>739</v>
      </c>
      <c r="C20" s="4" t="s">
        <v>740</v>
      </c>
      <c r="D20" s="4" t="s">
        <v>80</v>
      </c>
      <c r="E20" s="5">
        <v>229311</v>
      </c>
      <c r="F20" s="6">
        <v>424.68397199999998</v>
      </c>
      <c r="G20" s="7">
        <v>2.5994718999999999E-2</v>
      </c>
      <c r="H20" s="62"/>
    </row>
    <row r="21" spans="1:8" x14ac:dyDescent="0.2">
      <c r="A21" s="3">
        <v>15</v>
      </c>
      <c r="B21" s="4" t="s">
        <v>265</v>
      </c>
      <c r="C21" s="4" t="s">
        <v>266</v>
      </c>
      <c r="D21" s="4" t="s">
        <v>59</v>
      </c>
      <c r="E21" s="5">
        <v>38334</v>
      </c>
      <c r="F21" s="6">
        <v>396.46939500000002</v>
      </c>
      <c r="G21" s="7">
        <v>2.4267717000000001E-2</v>
      </c>
      <c r="H21" s="62"/>
    </row>
    <row r="22" spans="1:8" ht="25.5" x14ac:dyDescent="0.2">
      <c r="A22" s="3">
        <v>16</v>
      </c>
      <c r="B22" s="4" t="s">
        <v>70</v>
      </c>
      <c r="C22" s="4" t="s">
        <v>71</v>
      </c>
      <c r="D22" s="4" t="s">
        <v>37</v>
      </c>
      <c r="E22" s="5">
        <v>52829</v>
      </c>
      <c r="F22" s="6">
        <v>380.39521450000001</v>
      </c>
      <c r="G22" s="7">
        <v>2.3283822999999999E-2</v>
      </c>
      <c r="H22" s="62"/>
    </row>
    <row r="23" spans="1:8" x14ac:dyDescent="0.2">
      <c r="A23" s="3">
        <v>17</v>
      </c>
      <c r="B23" s="4" t="s">
        <v>352</v>
      </c>
      <c r="C23" s="4" t="s">
        <v>353</v>
      </c>
      <c r="D23" s="4" t="s">
        <v>48</v>
      </c>
      <c r="E23" s="5">
        <v>53943</v>
      </c>
      <c r="F23" s="6">
        <v>379.92054899999999</v>
      </c>
      <c r="G23" s="7">
        <v>2.3254769000000002E-2</v>
      </c>
      <c r="H23" s="62"/>
    </row>
    <row r="24" spans="1:8" x14ac:dyDescent="0.2">
      <c r="A24" s="3">
        <v>18</v>
      </c>
      <c r="B24" s="4" t="s">
        <v>404</v>
      </c>
      <c r="C24" s="4" t="s">
        <v>405</v>
      </c>
      <c r="D24" s="4" t="s">
        <v>335</v>
      </c>
      <c r="E24" s="5">
        <v>147228</v>
      </c>
      <c r="F24" s="6">
        <v>362.69617799999997</v>
      </c>
      <c r="G24" s="7">
        <v>2.2200472999999998E-2</v>
      </c>
      <c r="H24" s="62"/>
    </row>
    <row r="25" spans="1:8" x14ac:dyDescent="0.2">
      <c r="A25" s="3">
        <v>19</v>
      </c>
      <c r="B25" s="4" t="s">
        <v>290</v>
      </c>
      <c r="C25" s="4" t="s">
        <v>291</v>
      </c>
      <c r="D25" s="4" t="s">
        <v>153</v>
      </c>
      <c r="E25" s="5">
        <v>59157</v>
      </c>
      <c r="F25" s="6">
        <v>362.30704650000001</v>
      </c>
      <c r="G25" s="7">
        <v>2.2176654000000001E-2</v>
      </c>
      <c r="H25" s="62"/>
    </row>
    <row r="26" spans="1:8" x14ac:dyDescent="0.2">
      <c r="A26" s="3">
        <v>20</v>
      </c>
      <c r="B26" s="4" t="s">
        <v>424</v>
      </c>
      <c r="C26" s="4" t="s">
        <v>425</v>
      </c>
      <c r="D26" s="4" t="s">
        <v>207</v>
      </c>
      <c r="E26" s="5">
        <v>41915</v>
      </c>
      <c r="F26" s="6">
        <v>342.96948750000001</v>
      </c>
      <c r="G26" s="7">
        <v>2.0993010999999999E-2</v>
      </c>
      <c r="H26" s="62"/>
    </row>
    <row r="27" spans="1:8" x14ac:dyDescent="0.2">
      <c r="A27" s="3">
        <v>21</v>
      </c>
      <c r="B27" s="4" t="s">
        <v>742</v>
      </c>
      <c r="C27" s="4" t="s">
        <v>743</v>
      </c>
      <c r="D27" s="4" t="s">
        <v>190</v>
      </c>
      <c r="E27" s="5">
        <v>15187</v>
      </c>
      <c r="F27" s="6">
        <v>281.32398799999999</v>
      </c>
      <c r="G27" s="7">
        <v>1.7219716999999999E-2</v>
      </c>
      <c r="H27" s="62"/>
    </row>
    <row r="28" spans="1:8" x14ac:dyDescent="0.2">
      <c r="A28" s="3">
        <v>22</v>
      </c>
      <c r="B28" s="4" t="s">
        <v>72</v>
      </c>
      <c r="C28" s="4" t="s">
        <v>73</v>
      </c>
      <c r="D28" s="4" t="s">
        <v>27</v>
      </c>
      <c r="E28" s="5">
        <v>24242</v>
      </c>
      <c r="F28" s="6">
        <v>240.46851899999999</v>
      </c>
      <c r="G28" s="7">
        <v>1.4718972E-2</v>
      </c>
      <c r="H28" s="62"/>
    </row>
    <row r="29" spans="1:8" x14ac:dyDescent="0.2">
      <c r="A29" s="3">
        <v>23</v>
      </c>
      <c r="B29" s="4" t="s">
        <v>348</v>
      </c>
      <c r="C29" s="4" t="s">
        <v>349</v>
      </c>
      <c r="D29" s="4" t="s">
        <v>59</v>
      </c>
      <c r="E29" s="5">
        <v>58801</v>
      </c>
      <c r="F29" s="6">
        <v>228.8828925</v>
      </c>
      <c r="G29" s="7">
        <v>1.4009821E-2</v>
      </c>
      <c r="H29" s="62"/>
    </row>
    <row r="30" spans="1:8" x14ac:dyDescent="0.2">
      <c r="A30" s="3">
        <v>24</v>
      </c>
      <c r="B30" s="4" t="s">
        <v>84</v>
      </c>
      <c r="C30" s="4" t="s">
        <v>85</v>
      </c>
      <c r="D30" s="4" t="s">
        <v>56</v>
      </c>
      <c r="E30" s="5">
        <v>69341</v>
      </c>
      <c r="F30" s="6">
        <v>219.11756</v>
      </c>
      <c r="G30" s="7">
        <v>1.3412089E-2</v>
      </c>
      <c r="H30" s="62"/>
    </row>
    <row r="31" spans="1:8" x14ac:dyDescent="0.2">
      <c r="A31" s="3">
        <v>25</v>
      </c>
      <c r="B31" s="4" t="s">
        <v>376</v>
      </c>
      <c r="C31" s="4" t="s">
        <v>377</v>
      </c>
      <c r="D31" s="4" t="s">
        <v>254</v>
      </c>
      <c r="E31" s="5">
        <v>24891</v>
      </c>
      <c r="F31" s="6">
        <v>197.74654949999999</v>
      </c>
      <c r="G31" s="7">
        <v>1.2103979000000001E-2</v>
      </c>
      <c r="H31" s="62"/>
    </row>
    <row r="32" spans="1:8" x14ac:dyDescent="0.2">
      <c r="A32" s="3">
        <v>26</v>
      </c>
      <c r="B32" s="4" t="s">
        <v>640</v>
      </c>
      <c r="C32" s="4" t="s">
        <v>641</v>
      </c>
      <c r="D32" s="4" t="s">
        <v>24</v>
      </c>
      <c r="E32" s="5">
        <v>16160</v>
      </c>
      <c r="F32" s="6">
        <v>179.68304000000001</v>
      </c>
      <c r="G32" s="7">
        <v>1.0998320000000001E-2</v>
      </c>
      <c r="H32" s="62"/>
    </row>
    <row r="33" spans="1:8" x14ac:dyDescent="0.2">
      <c r="A33" s="3">
        <v>27</v>
      </c>
      <c r="B33" s="4" t="s">
        <v>688</v>
      </c>
      <c r="C33" s="4" t="s">
        <v>689</v>
      </c>
      <c r="D33" s="4" t="s">
        <v>322</v>
      </c>
      <c r="E33" s="5">
        <v>22774</v>
      </c>
      <c r="F33" s="6">
        <v>161.17159799999999</v>
      </c>
      <c r="G33" s="7">
        <v>9.8652419999999998E-3</v>
      </c>
      <c r="H33" s="62"/>
    </row>
    <row r="34" spans="1:8" x14ac:dyDescent="0.2">
      <c r="A34" s="3">
        <v>28</v>
      </c>
      <c r="B34" s="4" t="s">
        <v>350</v>
      </c>
      <c r="C34" s="4" t="s">
        <v>351</v>
      </c>
      <c r="D34" s="4" t="s">
        <v>80</v>
      </c>
      <c r="E34" s="5">
        <v>12203</v>
      </c>
      <c r="F34" s="6">
        <v>158.49866549999999</v>
      </c>
      <c r="G34" s="7">
        <v>9.7016329999999994E-3</v>
      </c>
      <c r="H34" s="62"/>
    </row>
    <row r="35" spans="1:8" x14ac:dyDescent="0.2">
      <c r="A35" s="3">
        <v>29</v>
      </c>
      <c r="B35" s="4" t="s">
        <v>546</v>
      </c>
      <c r="C35" s="4" t="s">
        <v>547</v>
      </c>
      <c r="D35" s="4" t="s">
        <v>24</v>
      </c>
      <c r="E35" s="5">
        <v>110000</v>
      </c>
      <c r="F35" s="6">
        <v>154.38499999999999</v>
      </c>
      <c r="G35" s="7">
        <v>9.4498380000000003E-3</v>
      </c>
      <c r="H35" s="62"/>
    </row>
    <row r="36" spans="1:8" x14ac:dyDescent="0.2">
      <c r="A36" s="3">
        <v>30</v>
      </c>
      <c r="B36" s="4" t="s">
        <v>744</v>
      </c>
      <c r="C36" s="4" t="s">
        <v>745</v>
      </c>
      <c r="D36" s="4" t="s">
        <v>24</v>
      </c>
      <c r="E36" s="5">
        <v>310000</v>
      </c>
      <c r="F36" s="6">
        <v>143.53</v>
      </c>
      <c r="G36" s="7">
        <v>8.7854079999999998E-3</v>
      </c>
      <c r="H36" s="62"/>
    </row>
    <row r="37" spans="1:8" x14ac:dyDescent="0.2">
      <c r="A37" s="3">
        <v>31</v>
      </c>
      <c r="B37" s="4" t="s">
        <v>44</v>
      </c>
      <c r="C37" s="4" t="s">
        <v>45</v>
      </c>
      <c r="D37" s="4" t="s">
        <v>27</v>
      </c>
      <c r="E37" s="5">
        <v>9821</v>
      </c>
      <c r="F37" s="6">
        <v>119.93405199999999</v>
      </c>
      <c r="G37" s="7">
        <v>7.3411099999999996E-3</v>
      </c>
      <c r="H37" s="62"/>
    </row>
    <row r="38" spans="1:8" x14ac:dyDescent="0.2">
      <c r="A38" s="1"/>
      <c r="B38" s="1"/>
      <c r="C38" s="2" t="s">
        <v>105</v>
      </c>
      <c r="D38" s="1"/>
      <c r="E38" s="1" t="s">
        <v>106</v>
      </c>
      <c r="F38" s="9">
        <v>14427.3298005</v>
      </c>
      <c r="G38" s="10">
        <v>0.88309049100000003</v>
      </c>
      <c r="H38" s="62"/>
    </row>
    <row r="39" spans="1:8" x14ac:dyDescent="0.2">
      <c r="A39" s="1"/>
      <c r="B39" s="1"/>
      <c r="C39" s="11"/>
      <c r="D39" s="1"/>
      <c r="E39" s="1"/>
      <c r="F39" s="12"/>
      <c r="G39" s="12"/>
      <c r="H39" s="62"/>
    </row>
    <row r="40" spans="1:8" x14ac:dyDescent="0.2">
      <c r="A40" s="1"/>
      <c r="B40" s="1"/>
      <c r="C40" s="2" t="s">
        <v>107</v>
      </c>
      <c r="D40" s="1"/>
      <c r="E40" s="1"/>
      <c r="F40" s="1"/>
      <c r="G40" s="1"/>
      <c r="H40" s="62"/>
    </row>
    <row r="41" spans="1:8" x14ac:dyDescent="0.2">
      <c r="A41" s="1"/>
      <c r="B41" s="1"/>
      <c r="C41" s="2" t="s">
        <v>105</v>
      </c>
      <c r="D41" s="1"/>
      <c r="E41" s="1" t="s">
        <v>106</v>
      </c>
      <c r="F41" s="13">
        <v>0</v>
      </c>
      <c r="G41" s="14">
        <v>0</v>
      </c>
      <c r="H41" s="62"/>
    </row>
    <row r="42" spans="1:8" x14ac:dyDescent="0.2">
      <c r="A42" s="1"/>
      <c r="B42" s="1"/>
      <c r="C42" s="11"/>
      <c r="D42" s="1"/>
      <c r="E42" s="1"/>
      <c r="F42" s="12"/>
      <c r="G42" s="12"/>
      <c r="H42" s="62"/>
    </row>
    <row r="43" spans="1:8" x14ac:dyDescent="0.2">
      <c r="A43" s="1"/>
      <c r="B43" s="1"/>
      <c r="C43" s="2" t="s">
        <v>108</v>
      </c>
      <c r="D43" s="1"/>
      <c r="E43" s="1"/>
      <c r="F43" s="1"/>
      <c r="G43" s="1"/>
      <c r="H43" s="62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13">
        <v>0</v>
      </c>
      <c r="G44" s="14">
        <v>0</v>
      </c>
      <c r="H44" s="62"/>
    </row>
    <row r="45" spans="1:8" x14ac:dyDescent="0.2">
      <c r="A45" s="1"/>
      <c r="B45" s="1"/>
      <c r="C45" s="11"/>
      <c r="D45" s="1"/>
      <c r="E45" s="1"/>
      <c r="F45" s="12"/>
      <c r="G45" s="12"/>
      <c r="H45" s="62"/>
    </row>
    <row r="46" spans="1:8" x14ac:dyDescent="0.2">
      <c r="A46" s="1"/>
      <c r="B46" s="1"/>
      <c r="C46" s="2" t="s">
        <v>109</v>
      </c>
      <c r="D46" s="1"/>
      <c r="E46" s="1"/>
      <c r="F46" s="1"/>
      <c r="G46" s="1"/>
      <c r="H46" s="62"/>
    </row>
    <row r="47" spans="1:8" x14ac:dyDescent="0.2">
      <c r="A47" s="3">
        <v>1</v>
      </c>
      <c r="B47" s="4" t="s">
        <v>110</v>
      </c>
      <c r="C47" s="4" t="s">
        <v>996</v>
      </c>
      <c r="D47" s="4" t="s">
        <v>19</v>
      </c>
      <c r="E47" s="5">
        <v>8373</v>
      </c>
      <c r="F47" s="6">
        <v>12.835808999999999</v>
      </c>
      <c r="G47" s="7">
        <v>7.8567399999999999E-4</v>
      </c>
      <c r="H47" s="62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9">
        <v>12.835808999999999</v>
      </c>
      <c r="G48" s="10">
        <v>7.8567399999999999E-4</v>
      </c>
      <c r="H48" s="62"/>
    </row>
    <row r="49" spans="1:8" x14ac:dyDescent="0.2">
      <c r="A49" s="1"/>
      <c r="B49" s="1"/>
      <c r="C49" s="11"/>
      <c r="D49" s="1"/>
      <c r="E49" s="1"/>
      <c r="F49" s="12"/>
      <c r="G49" s="12"/>
      <c r="H49" s="62"/>
    </row>
    <row r="50" spans="1:8" x14ac:dyDescent="0.2">
      <c r="A50" s="1"/>
      <c r="B50" s="1"/>
      <c r="C50" s="2" t="s">
        <v>111</v>
      </c>
      <c r="D50" s="1"/>
      <c r="E50" s="1"/>
      <c r="F50" s="12"/>
      <c r="G50" s="12"/>
      <c r="H50" s="62"/>
    </row>
    <row r="51" spans="1:8" s="131" customFormat="1" ht="25.5" x14ac:dyDescent="0.2">
      <c r="A51" s="3">
        <v>1</v>
      </c>
      <c r="B51" s="4" t="s">
        <v>988</v>
      </c>
      <c r="C51" s="4" t="s">
        <v>989</v>
      </c>
      <c r="D51" s="4" t="s">
        <v>80</v>
      </c>
      <c r="E51" s="5">
        <v>21600</v>
      </c>
      <c r="F51" s="6">
        <v>179.72280000000001</v>
      </c>
      <c r="G51" s="7">
        <v>1.100075E-2</v>
      </c>
      <c r="H51" s="62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179.72280000000001</v>
      </c>
      <c r="G52" s="14">
        <v>1.100075E-2</v>
      </c>
      <c r="H52" s="62"/>
    </row>
    <row r="53" spans="1:8" x14ac:dyDescent="0.2">
      <c r="A53" s="1"/>
      <c r="B53" s="1"/>
      <c r="C53" s="11"/>
      <c r="D53" s="1"/>
      <c r="E53" s="1"/>
      <c r="F53" s="12"/>
      <c r="G53" s="12"/>
      <c r="H53" s="62"/>
    </row>
    <row r="54" spans="1:8" x14ac:dyDescent="0.2">
      <c r="A54" s="1"/>
      <c r="B54" s="1"/>
      <c r="C54" s="2" t="s">
        <v>112</v>
      </c>
      <c r="D54" s="1"/>
      <c r="E54" s="1"/>
      <c r="F54" s="12"/>
      <c r="G54" s="12"/>
      <c r="H54" s="62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13">
        <v>0</v>
      </c>
      <c r="G55" s="14">
        <v>0</v>
      </c>
      <c r="H55" s="62"/>
    </row>
    <row r="56" spans="1:8" x14ac:dyDescent="0.2">
      <c r="A56" s="1"/>
      <c r="B56" s="1"/>
      <c r="C56" s="11"/>
      <c r="D56" s="1"/>
      <c r="E56" s="1"/>
      <c r="F56" s="12"/>
      <c r="G56" s="12"/>
      <c r="H56" s="62"/>
    </row>
    <row r="57" spans="1:8" x14ac:dyDescent="0.2">
      <c r="A57" s="1"/>
      <c r="B57" s="1"/>
      <c r="C57" s="2" t="s">
        <v>113</v>
      </c>
      <c r="D57" s="1"/>
      <c r="E57" s="1"/>
      <c r="F57" s="9">
        <v>14619.888409499999</v>
      </c>
      <c r="G57" s="10">
        <v>0.89487691499999988</v>
      </c>
      <c r="H57" s="62"/>
    </row>
    <row r="58" spans="1:8" x14ac:dyDescent="0.2">
      <c r="A58" s="1"/>
      <c r="B58" s="1"/>
      <c r="C58" s="11"/>
      <c r="D58" s="1"/>
      <c r="E58" s="1"/>
      <c r="F58" s="12"/>
      <c r="G58" s="12"/>
      <c r="H58" s="62"/>
    </row>
    <row r="59" spans="1:8" x14ac:dyDescent="0.2">
      <c r="A59" s="1"/>
      <c r="B59" s="1"/>
      <c r="C59" s="2" t="s">
        <v>114</v>
      </c>
      <c r="D59" s="1"/>
      <c r="E59" s="1"/>
      <c r="F59" s="12"/>
      <c r="G59" s="12"/>
      <c r="H59" s="62"/>
    </row>
    <row r="60" spans="1:8" ht="25.5" x14ac:dyDescent="0.2">
      <c r="A60" s="1"/>
      <c r="B60" s="1"/>
      <c r="C60" s="2" t="s">
        <v>10</v>
      </c>
      <c r="D60" s="1"/>
      <c r="E60" s="1"/>
      <c r="F60" s="12"/>
      <c r="G60" s="12"/>
      <c r="H60" s="62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">
        <v>0</v>
      </c>
      <c r="H61" s="62"/>
    </row>
    <row r="62" spans="1:8" x14ac:dyDescent="0.2">
      <c r="A62" s="1"/>
      <c r="B62" s="1"/>
      <c r="C62" s="11"/>
      <c r="D62" s="1"/>
      <c r="E62" s="1"/>
      <c r="F62" s="12"/>
      <c r="G62" s="12"/>
      <c r="H62" s="62"/>
    </row>
    <row r="63" spans="1:8" x14ac:dyDescent="0.2">
      <c r="A63" s="1"/>
      <c r="B63" s="1"/>
      <c r="C63" s="2" t="s">
        <v>115</v>
      </c>
      <c r="D63" s="1"/>
      <c r="E63" s="1"/>
      <c r="F63" s="1"/>
      <c r="G63" s="1"/>
      <c r="H63" s="62"/>
    </row>
    <row r="64" spans="1:8" x14ac:dyDescent="0.2">
      <c r="A64" s="1"/>
      <c r="B64" s="1"/>
      <c r="C64" s="2" t="s">
        <v>105</v>
      </c>
      <c r="D64" s="1"/>
      <c r="E64" s="1" t="s">
        <v>106</v>
      </c>
      <c r="F64" s="13">
        <v>0</v>
      </c>
      <c r="G64" s="14">
        <v>0</v>
      </c>
      <c r="H64" s="62"/>
    </row>
    <row r="65" spans="1:8" x14ac:dyDescent="0.2">
      <c r="A65" s="1"/>
      <c r="B65" s="1"/>
      <c r="C65" s="11"/>
      <c r="D65" s="1"/>
      <c r="E65" s="1"/>
      <c r="F65" s="12"/>
      <c r="G65" s="12"/>
      <c r="H65" s="62"/>
    </row>
    <row r="66" spans="1:8" x14ac:dyDescent="0.2">
      <c r="A66" s="1"/>
      <c r="B66" s="1"/>
      <c r="C66" s="2" t="s">
        <v>116</v>
      </c>
      <c r="D66" s="1"/>
      <c r="E66" s="1"/>
      <c r="F66" s="1"/>
      <c r="G66" s="1"/>
      <c r="H66" s="62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">
        <v>0</v>
      </c>
      <c r="H67" s="62"/>
    </row>
    <row r="68" spans="1:8" x14ac:dyDescent="0.2">
      <c r="A68" s="1"/>
      <c r="B68" s="1"/>
      <c r="C68" s="11"/>
      <c r="D68" s="1"/>
      <c r="E68" s="1"/>
      <c r="F68" s="12"/>
      <c r="G68" s="12"/>
      <c r="H68" s="62"/>
    </row>
    <row r="69" spans="1:8" x14ac:dyDescent="0.2">
      <c r="A69" s="1"/>
      <c r="B69" s="1"/>
      <c r="C69" s="2" t="s">
        <v>117</v>
      </c>
      <c r="D69" s="1"/>
      <c r="E69" s="1"/>
      <c r="F69" s="12"/>
      <c r="G69" s="12"/>
      <c r="H69" s="62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">
        <v>0</v>
      </c>
      <c r="H70" s="62"/>
    </row>
    <row r="71" spans="1:8" x14ac:dyDescent="0.2">
      <c r="A71" s="1"/>
      <c r="B71" s="1"/>
      <c r="C71" s="11"/>
      <c r="D71" s="1"/>
      <c r="E71" s="1"/>
      <c r="F71" s="12"/>
      <c r="G71" s="12"/>
      <c r="H71" s="62"/>
    </row>
    <row r="72" spans="1:8" x14ac:dyDescent="0.2">
      <c r="A72" s="1"/>
      <c r="B72" s="1"/>
      <c r="C72" s="2" t="s">
        <v>118</v>
      </c>
      <c r="D72" s="1"/>
      <c r="E72" s="1"/>
      <c r="F72" s="9">
        <v>0</v>
      </c>
      <c r="G72" s="10">
        <v>0</v>
      </c>
      <c r="H72" s="62"/>
    </row>
    <row r="73" spans="1:8" x14ac:dyDescent="0.2">
      <c r="A73" s="1"/>
      <c r="B73" s="1"/>
      <c r="C73" s="11"/>
      <c r="D73" s="1"/>
      <c r="E73" s="1"/>
      <c r="F73" s="12"/>
      <c r="G73" s="12"/>
      <c r="H73" s="62"/>
    </row>
    <row r="74" spans="1:8" x14ac:dyDescent="0.2">
      <c r="A74" s="1"/>
      <c r="B74" s="1"/>
      <c r="C74" s="2" t="s">
        <v>119</v>
      </c>
      <c r="D74" s="1"/>
      <c r="E74" s="1"/>
      <c r="F74" s="12"/>
      <c r="G74" s="12"/>
      <c r="H74" s="62"/>
    </row>
    <row r="75" spans="1:8" x14ac:dyDescent="0.2">
      <c r="A75" s="1"/>
      <c r="B75" s="1"/>
      <c r="C75" s="2" t="s">
        <v>120</v>
      </c>
      <c r="D75" s="1"/>
      <c r="E75" s="1"/>
      <c r="F75" s="12"/>
      <c r="G75" s="12"/>
      <c r="H75" s="62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2"/>
    </row>
    <row r="77" spans="1:8" x14ac:dyDescent="0.2">
      <c r="A77" s="1"/>
      <c r="B77" s="1"/>
      <c r="C77" s="11"/>
      <c r="D77" s="1"/>
      <c r="E77" s="1"/>
      <c r="F77" s="12"/>
      <c r="G77" s="12"/>
      <c r="H77" s="62"/>
    </row>
    <row r="78" spans="1:8" x14ac:dyDescent="0.2">
      <c r="A78" s="1"/>
      <c r="B78" s="1"/>
      <c r="C78" s="2" t="s">
        <v>121</v>
      </c>
      <c r="D78" s="1"/>
      <c r="E78" s="1"/>
      <c r="F78" s="12"/>
      <c r="G78" s="12"/>
      <c r="H78" s="62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2"/>
    </row>
    <row r="80" spans="1:8" x14ac:dyDescent="0.2">
      <c r="A80" s="1"/>
      <c r="B80" s="1"/>
      <c r="C80" s="11"/>
      <c r="D80" s="1"/>
      <c r="E80" s="1"/>
      <c r="F80" s="12"/>
      <c r="G80" s="12"/>
      <c r="H80" s="62"/>
    </row>
    <row r="81" spans="1:8" x14ac:dyDescent="0.2">
      <c r="A81" s="1"/>
      <c r="B81" s="1"/>
      <c r="C81" s="2" t="s">
        <v>122</v>
      </c>
      <c r="D81" s="1"/>
      <c r="E81" s="1"/>
      <c r="F81" s="12"/>
      <c r="G81" s="12"/>
      <c r="H81" s="62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2"/>
    </row>
    <row r="83" spans="1:8" x14ac:dyDescent="0.2">
      <c r="A83" s="1"/>
      <c r="B83" s="1"/>
      <c r="C83" s="11"/>
      <c r="D83" s="1"/>
      <c r="E83" s="1"/>
      <c r="F83" s="12"/>
      <c r="G83" s="12"/>
      <c r="H83" s="62"/>
    </row>
    <row r="84" spans="1:8" x14ac:dyDescent="0.2">
      <c r="A84" s="1"/>
      <c r="B84" s="1"/>
      <c r="C84" s="2" t="s">
        <v>123</v>
      </c>
      <c r="D84" s="1"/>
      <c r="E84" s="1"/>
      <c r="F84" s="12"/>
      <c r="G84" s="12"/>
      <c r="H84" s="62"/>
    </row>
    <row r="85" spans="1:8" x14ac:dyDescent="0.2">
      <c r="A85" s="3">
        <v>1</v>
      </c>
      <c r="B85" s="4"/>
      <c r="C85" s="4" t="s">
        <v>124</v>
      </c>
      <c r="D85" s="4"/>
      <c r="E85" s="8"/>
      <c r="F85" s="6">
        <v>1650.6235721999999</v>
      </c>
      <c r="G85" s="7">
        <v>0.101033941</v>
      </c>
      <c r="H85" s="152">
        <v>3.3197683930276081</v>
      </c>
    </row>
    <row r="86" spans="1:8" x14ac:dyDescent="0.2">
      <c r="A86" s="1"/>
      <c r="B86" s="1"/>
      <c r="C86" s="2" t="s">
        <v>105</v>
      </c>
      <c r="D86" s="1"/>
      <c r="E86" s="1" t="s">
        <v>106</v>
      </c>
      <c r="F86" s="9">
        <v>1650.6235721999999</v>
      </c>
      <c r="G86" s="10">
        <v>0.101033941</v>
      </c>
      <c r="H86" s="62"/>
    </row>
    <row r="87" spans="1:8" x14ac:dyDescent="0.2">
      <c r="A87" s="1"/>
      <c r="B87" s="1"/>
      <c r="C87" s="11"/>
      <c r="D87" s="1"/>
      <c r="E87" s="1"/>
      <c r="F87" s="12"/>
      <c r="G87" s="12"/>
      <c r="H87" s="62"/>
    </row>
    <row r="88" spans="1:8" x14ac:dyDescent="0.2">
      <c r="A88" s="1"/>
      <c r="B88" s="1"/>
      <c r="C88" s="2" t="s">
        <v>125</v>
      </c>
      <c r="D88" s="1"/>
      <c r="E88" s="1"/>
      <c r="F88" s="9">
        <v>1650.6235721999999</v>
      </c>
      <c r="G88" s="10">
        <v>0.101033941</v>
      </c>
      <c r="H88" s="62"/>
    </row>
    <row r="89" spans="1:8" x14ac:dyDescent="0.2">
      <c r="A89" s="1"/>
      <c r="B89" s="1"/>
      <c r="C89" s="12"/>
      <c r="D89" s="1"/>
      <c r="E89" s="1"/>
      <c r="F89" s="1"/>
      <c r="G89" s="1"/>
      <c r="H89" s="62"/>
    </row>
    <row r="90" spans="1:8" x14ac:dyDescent="0.2">
      <c r="A90" s="1"/>
      <c r="B90" s="1"/>
      <c r="C90" s="2" t="s">
        <v>126</v>
      </c>
      <c r="D90" s="1"/>
      <c r="E90" s="1"/>
      <c r="F90" s="1"/>
      <c r="G90" s="1"/>
      <c r="H90" s="62"/>
    </row>
    <row r="91" spans="1:8" x14ac:dyDescent="0.2">
      <c r="A91" s="1"/>
      <c r="B91" s="1"/>
      <c r="C91" s="2" t="s">
        <v>127</v>
      </c>
      <c r="D91" s="1"/>
      <c r="E91" s="1"/>
      <c r="F91" s="1"/>
      <c r="G91" s="1"/>
      <c r="H91" s="62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2"/>
    </row>
    <row r="93" spans="1:8" x14ac:dyDescent="0.2">
      <c r="A93" s="1"/>
      <c r="B93" s="1"/>
      <c r="C93" s="11"/>
      <c r="D93" s="1"/>
      <c r="E93" s="1"/>
      <c r="F93" s="12"/>
      <c r="G93" s="12"/>
      <c r="H93" s="62"/>
    </row>
    <row r="94" spans="1:8" x14ac:dyDescent="0.2">
      <c r="A94" s="1"/>
      <c r="B94" s="1"/>
      <c r="C94" s="2" t="s">
        <v>128</v>
      </c>
      <c r="D94" s="1"/>
      <c r="E94" s="1"/>
      <c r="F94" s="1"/>
      <c r="G94" s="1"/>
      <c r="H94" s="62"/>
    </row>
    <row r="95" spans="1:8" x14ac:dyDescent="0.2">
      <c r="A95" s="1"/>
      <c r="B95" s="1"/>
      <c r="C95" s="2" t="s">
        <v>129</v>
      </c>
      <c r="D95" s="1"/>
      <c r="E95" s="1"/>
      <c r="F95" s="1"/>
      <c r="G95" s="1"/>
      <c r="H95" s="62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2"/>
    </row>
    <row r="97" spans="1:8" x14ac:dyDescent="0.2">
      <c r="A97" s="1"/>
      <c r="B97" s="1"/>
      <c r="C97" s="11"/>
      <c r="D97" s="1"/>
      <c r="E97" s="1"/>
      <c r="F97" s="12"/>
      <c r="G97" s="12"/>
      <c r="H97" s="62"/>
    </row>
    <row r="98" spans="1:8" x14ac:dyDescent="0.2">
      <c r="A98" s="1"/>
      <c r="B98" s="1"/>
      <c r="C98" s="11"/>
      <c r="D98" s="1"/>
      <c r="E98" s="1"/>
      <c r="F98" s="12"/>
      <c r="G98" s="12"/>
      <c r="H98" s="62"/>
    </row>
    <row r="99" spans="1:8" ht="25.5" x14ac:dyDescent="0.2">
      <c r="A99" s="1"/>
      <c r="B99" s="1"/>
      <c r="C99" s="2" t="s">
        <v>130</v>
      </c>
      <c r="D99" s="1"/>
      <c r="E99" s="1"/>
      <c r="F99" s="12"/>
      <c r="G99" s="12"/>
      <c r="H99" s="62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2"/>
    </row>
    <row r="101" spans="1:8" x14ac:dyDescent="0.2">
      <c r="A101" s="1"/>
      <c r="B101" s="1"/>
      <c r="C101" s="11"/>
      <c r="D101" s="1"/>
      <c r="E101" s="1"/>
      <c r="F101" s="12"/>
      <c r="G101" s="12"/>
      <c r="H101" s="62"/>
    </row>
    <row r="102" spans="1:8" x14ac:dyDescent="0.2">
      <c r="A102" s="1"/>
      <c r="B102" s="4"/>
      <c r="C102" s="4"/>
      <c r="D102" s="2"/>
      <c r="E102" s="1"/>
      <c r="F102" s="4"/>
      <c r="G102" s="8"/>
      <c r="H102" s="62"/>
    </row>
    <row r="103" spans="1:8" x14ac:dyDescent="0.2">
      <c r="A103" s="8"/>
      <c r="B103" s="4"/>
      <c r="C103" s="4" t="s">
        <v>131</v>
      </c>
      <c r="D103" s="4"/>
      <c r="E103" s="8"/>
      <c r="F103" s="6">
        <v>66.805557890000003</v>
      </c>
      <c r="G103" s="7">
        <v>4.0891390000000003E-3</v>
      </c>
      <c r="H103" s="62"/>
    </row>
    <row r="104" spans="1:8" x14ac:dyDescent="0.2">
      <c r="A104" s="11"/>
      <c r="B104" s="11"/>
      <c r="C104" s="2" t="s">
        <v>132</v>
      </c>
      <c r="D104" s="15"/>
      <c r="E104" s="15"/>
      <c r="F104" s="9">
        <v>16337.31753959</v>
      </c>
      <c r="G104" s="10">
        <v>0.99999999500000003</v>
      </c>
      <c r="H104" s="62"/>
    </row>
    <row r="105" spans="1:8" ht="14.1" customHeight="1" x14ac:dyDescent="0.2">
      <c r="A105" s="16"/>
      <c r="B105" s="16"/>
      <c r="C105" s="16"/>
      <c r="D105" s="17"/>
      <c r="E105" s="17"/>
      <c r="F105" s="17"/>
      <c r="G105" s="17"/>
    </row>
    <row r="106" spans="1:8" ht="14.1" customHeight="1" x14ac:dyDescent="0.2">
      <c r="A106" s="18"/>
      <c r="B106" s="205" t="s">
        <v>106</v>
      </c>
      <c r="C106" s="205"/>
      <c r="D106" s="205"/>
      <c r="E106" s="205"/>
      <c r="F106" s="205"/>
      <c r="G106" s="20"/>
    </row>
    <row r="107" spans="1:8" ht="14.1" customHeight="1" x14ac:dyDescent="0.2">
      <c r="A107" s="18"/>
      <c r="B107" s="205" t="s">
        <v>106</v>
      </c>
      <c r="C107" s="205"/>
      <c r="D107" s="205"/>
      <c r="E107" s="205"/>
      <c r="F107" s="205"/>
      <c r="G107" s="20"/>
    </row>
    <row r="108" spans="1:8" ht="14.1" customHeight="1" x14ac:dyDescent="0.2">
      <c r="A108" s="18"/>
      <c r="B108" s="18"/>
      <c r="C108" s="18"/>
      <c r="D108" s="20"/>
      <c r="E108" s="20"/>
      <c r="F108" s="20"/>
      <c r="G108" s="20"/>
    </row>
    <row r="109" spans="1:8" ht="14.1" customHeight="1" x14ac:dyDescent="0.2">
      <c r="A109" s="18"/>
      <c r="B109" s="203" t="s">
        <v>134</v>
      </c>
      <c r="C109" s="204"/>
      <c r="D109" s="12" t="s">
        <v>106</v>
      </c>
      <c r="E109" s="21"/>
      <c r="F109" s="20"/>
      <c r="G109" s="20"/>
    </row>
    <row r="110" spans="1:8" ht="29.1" customHeight="1" x14ac:dyDescent="0.2">
      <c r="A110" s="18"/>
      <c r="B110" s="199" t="s">
        <v>135</v>
      </c>
      <c r="C110" s="200"/>
      <c r="D110" s="2" t="s">
        <v>136</v>
      </c>
      <c r="E110" s="21"/>
      <c r="F110" s="20"/>
      <c r="G110" s="20"/>
    </row>
    <row r="111" spans="1:8" ht="17.100000000000001" customHeight="1" x14ac:dyDescent="0.2">
      <c r="A111" s="18"/>
      <c r="B111" s="199" t="s">
        <v>137</v>
      </c>
      <c r="C111" s="200"/>
      <c r="D111" s="2" t="s">
        <v>136</v>
      </c>
      <c r="E111" s="21"/>
      <c r="F111" s="20"/>
      <c r="G111" s="20"/>
    </row>
    <row r="112" spans="1:8" ht="17.100000000000001" customHeight="1" x14ac:dyDescent="0.2">
      <c r="A112" s="18"/>
      <c r="B112" s="199" t="s">
        <v>138</v>
      </c>
      <c r="C112" s="200"/>
      <c r="D112" s="12" t="s">
        <v>106</v>
      </c>
      <c r="E112" s="21"/>
      <c r="F112" s="20"/>
      <c r="G112" s="20"/>
    </row>
    <row r="113" spans="1:7" ht="24" customHeight="1" x14ac:dyDescent="0.2">
      <c r="A113" s="22"/>
      <c r="B113" s="23" t="s">
        <v>106</v>
      </c>
      <c r="C113" s="23" t="s">
        <v>139</v>
      </c>
      <c r="D113" s="23" t="s">
        <v>140</v>
      </c>
      <c r="E113" s="22"/>
      <c r="F113" s="22"/>
      <c r="G113" s="22"/>
    </row>
    <row r="114" spans="1:7" ht="18" customHeight="1" x14ac:dyDescent="0.2">
      <c r="A114" s="22"/>
      <c r="B114" s="23" t="s">
        <v>141</v>
      </c>
      <c r="C114" s="23" t="s">
        <v>142</v>
      </c>
      <c r="D114" s="23" t="s">
        <v>143</v>
      </c>
      <c r="E114" s="22"/>
      <c r="F114" s="22"/>
      <c r="G114" s="22"/>
    </row>
    <row r="115" spans="1:7" x14ac:dyDescent="0.2">
      <c r="A115" s="22"/>
      <c r="B115" s="4" t="s">
        <v>144</v>
      </c>
      <c r="C115" s="24">
        <v>16.164400000000001</v>
      </c>
      <c r="D115" s="24">
        <v>16.694500000000001</v>
      </c>
      <c r="E115" s="22"/>
      <c r="F115" s="19"/>
      <c r="G115" s="25"/>
    </row>
    <row r="116" spans="1:7" x14ac:dyDescent="0.2">
      <c r="A116" s="22"/>
      <c r="B116" s="4" t="s">
        <v>1019</v>
      </c>
      <c r="C116" s="24">
        <v>14.047800000000001</v>
      </c>
      <c r="D116" s="24">
        <v>14.5085</v>
      </c>
      <c r="E116" s="22"/>
      <c r="F116" s="19"/>
      <c r="G116" s="25"/>
    </row>
    <row r="117" spans="1:7" x14ac:dyDescent="0.2">
      <c r="A117" s="22"/>
      <c r="B117" s="4" t="s">
        <v>145</v>
      </c>
      <c r="C117" s="24">
        <v>15.5281</v>
      </c>
      <c r="D117" s="24">
        <v>16.0291</v>
      </c>
      <c r="E117" s="22"/>
      <c r="F117" s="19"/>
      <c r="G117" s="25"/>
    </row>
    <row r="118" spans="1:7" x14ac:dyDescent="0.2">
      <c r="A118" s="22"/>
      <c r="B118" s="4" t="s">
        <v>1020</v>
      </c>
      <c r="C118" s="24">
        <v>13.8766</v>
      </c>
      <c r="D118" s="24">
        <v>14.324400000000001</v>
      </c>
      <c r="E118" s="22"/>
      <c r="F118" s="19"/>
      <c r="G118" s="25"/>
    </row>
    <row r="119" spans="1:7" ht="14.1" customHeight="1" x14ac:dyDescent="0.2">
      <c r="A119" s="22"/>
      <c r="B119" s="22"/>
      <c r="C119" s="22"/>
      <c r="D119" s="22"/>
      <c r="E119" s="22"/>
      <c r="F119" s="22"/>
      <c r="G119" s="22"/>
    </row>
    <row r="120" spans="1:7" ht="17.100000000000001" customHeight="1" x14ac:dyDescent="0.2">
      <c r="A120" s="22"/>
      <c r="B120" s="199" t="s">
        <v>1021</v>
      </c>
      <c r="C120" s="200"/>
      <c r="D120" s="2" t="s">
        <v>136</v>
      </c>
      <c r="E120" s="22"/>
      <c r="F120" s="22"/>
      <c r="G120" s="22"/>
    </row>
    <row r="121" spans="1:7" ht="18" customHeight="1" x14ac:dyDescent="0.2">
      <c r="A121" s="22"/>
      <c r="B121" s="26"/>
      <c r="C121" s="26"/>
      <c r="D121" s="27"/>
      <c r="E121" s="22"/>
      <c r="F121" s="22"/>
      <c r="G121" s="22"/>
    </row>
    <row r="122" spans="1:7" s="125" customFormat="1" x14ac:dyDescent="0.2">
      <c r="B122" s="201" t="s">
        <v>825</v>
      </c>
      <c r="C122" s="201"/>
      <c r="D122" s="201"/>
      <c r="E122" s="201"/>
      <c r="F122" s="201"/>
    </row>
    <row r="123" spans="1:7" ht="14.1" customHeight="1" x14ac:dyDescent="0.2">
      <c r="A123" s="22"/>
      <c r="B123" s="19"/>
      <c r="C123" s="19"/>
      <c r="D123" s="22"/>
      <c r="E123" s="22"/>
      <c r="F123" s="22"/>
      <c r="G123" s="22"/>
    </row>
    <row r="124" spans="1:7" ht="29.1" customHeight="1" x14ac:dyDescent="0.2">
      <c r="A124" s="22"/>
      <c r="B124" s="199" t="s">
        <v>146</v>
      </c>
      <c r="C124" s="200"/>
      <c r="D124" s="2" t="s">
        <v>136</v>
      </c>
      <c r="E124" s="22"/>
      <c r="F124" s="22"/>
      <c r="G124" s="22"/>
    </row>
    <row r="125" spans="1:7" ht="29.1" customHeight="1" x14ac:dyDescent="0.2">
      <c r="A125" s="22"/>
      <c r="B125" s="199" t="s">
        <v>147</v>
      </c>
      <c r="C125" s="200"/>
      <c r="D125" s="2" t="s">
        <v>136</v>
      </c>
      <c r="E125" s="22"/>
      <c r="F125" s="22"/>
      <c r="G125" s="22"/>
    </row>
    <row r="126" spans="1:7" ht="17.100000000000001" customHeight="1" x14ac:dyDescent="0.2">
      <c r="A126" s="22"/>
      <c r="B126" s="199" t="s">
        <v>148</v>
      </c>
      <c r="C126" s="200"/>
      <c r="D126" s="28">
        <v>0.48221583073516605</v>
      </c>
      <c r="E126" s="22"/>
      <c r="F126" s="19"/>
      <c r="G126" s="25"/>
    </row>
    <row r="127" spans="1:7" ht="17.100000000000001" customHeight="1" x14ac:dyDescent="0.2">
      <c r="A127" s="22"/>
      <c r="B127" s="199" t="s">
        <v>149</v>
      </c>
      <c r="C127" s="200"/>
      <c r="D127" s="2" t="s">
        <v>136</v>
      </c>
      <c r="E127" s="22"/>
      <c r="F127" s="22"/>
      <c r="G127" s="22"/>
    </row>
  </sheetData>
  <mergeCells count="16">
    <mergeCell ref="J2:N2"/>
    <mergeCell ref="B109:C109"/>
    <mergeCell ref="B106:F106"/>
    <mergeCell ref="B107:F107"/>
    <mergeCell ref="A1:H1"/>
    <mergeCell ref="A2:H2"/>
    <mergeCell ref="A3:H3"/>
    <mergeCell ref="B126:C126"/>
    <mergeCell ref="B127:C127"/>
    <mergeCell ref="B110:C110"/>
    <mergeCell ref="B111:C111"/>
    <mergeCell ref="B112:C112"/>
    <mergeCell ref="B120:C120"/>
    <mergeCell ref="B124:C124"/>
    <mergeCell ref="B125:C125"/>
    <mergeCell ref="B122:F12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F074-A569-4807-A84E-590B1EF16ECF}">
  <dimension ref="A1:N36"/>
  <sheetViews>
    <sheetView workbookViewId="0">
      <selection activeCell="A4" sqref="A4"/>
    </sheetView>
  </sheetViews>
  <sheetFormatPr defaultRowHeight="15" x14ac:dyDescent="0.25"/>
  <cols>
    <col min="1" max="1" width="5.42578125" style="36" bestFit="1" customWidth="1"/>
    <col min="2" max="2" width="19.7109375" style="36" bestFit="1" customWidth="1"/>
    <col min="3" max="3" width="40.28515625" style="36" bestFit="1" customWidth="1"/>
    <col min="4" max="4" width="15.28515625" style="36" bestFit="1" customWidth="1"/>
    <col min="5" max="5" width="11.42578125" style="36" bestFit="1" customWidth="1"/>
    <col min="6" max="6" width="10.140625" style="36" bestFit="1" customWidth="1"/>
    <col min="7" max="7" width="8.5703125" style="36" bestFit="1" customWidth="1"/>
    <col min="8" max="8" width="8.42578125" style="36" bestFit="1" customWidth="1"/>
    <col min="9" max="10" width="9.140625" style="36"/>
    <col min="11" max="11" width="10.5703125" style="36" bestFit="1" customWidth="1"/>
    <col min="12" max="250" width="9.140625" style="36"/>
    <col min="251" max="251" width="5.42578125" style="36" bestFit="1" customWidth="1"/>
    <col min="252" max="252" width="20.42578125" style="36" bestFit="1" customWidth="1"/>
    <col min="253" max="253" width="41.42578125" style="36" customWidth="1"/>
    <col min="254" max="254" width="15.28515625" style="36" bestFit="1" customWidth="1"/>
    <col min="255" max="255" width="16.7109375" style="36" bestFit="1" customWidth="1"/>
    <col min="256" max="256" width="11.28515625" style="36" bestFit="1" customWidth="1"/>
    <col min="257" max="257" width="14" style="36" bestFit="1" customWidth="1"/>
    <col min="258" max="258" width="11.85546875" style="36" bestFit="1" customWidth="1"/>
    <col min="259" max="259" width="14.85546875" style="36" bestFit="1" customWidth="1"/>
    <col min="260" max="260" width="9.7109375" style="36" customWidth="1"/>
    <col min="261" max="261" width="4.85546875" style="36" customWidth="1"/>
    <col min="262" max="506" width="9.140625" style="36"/>
    <col min="507" max="507" width="5.42578125" style="36" bestFit="1" customWidth="1"/>
    <col min="508" max="508" width="20.42578125" style="36" bestFit="1" customWidth="1"/>
    <col min="509" max="509" width="41.42578125" style="36" customWidth="1"/>
    <col min="510" max="510" width="15.28515625" style="36" bestFit="1" customWidth="1"/>
    <col min="511" max="511" width="16.7109375" style="36" bestFit="1" customWidth="1"/>
    <col min="512" max="512" width="11.28515625" style="36" bestFit="1" customWidth="1"/>
    <col min="513" max="513" width="14" style="36" bestFit="1" customWidth="1"/>
    <col min="514" max="514" width="11.85546875" style="36" bestFit="1" customWidth="1"/>
    <col min="515" max="515" width="14.85546875" style="36" bestFit="1" customWidth="1"/>
    <col min="516" max="516" width="9.7109375" style="36" customWidth="1"/>
    <col min="517" max="517" width="4.85546875" style="36" customWidth="1"/>
    <col min="518" max="762" width="9.140625" style="36"/>
    <col min="763" max="763" width="5.42578125" style="36" bestFit="1" customWidth="1"/>
    <col min="764" max="764" width="20.42578125" style="36" bestFit="1" customWidth="1"/>
    <col min="765" max="765" width="41.42578125" style="36" customWidth="1"/>
    <col min="766" max="766" width="15.28515625" style="36" bestFit="1" customWidth="1"/>
    <col min="767" max="767" width="16.7109375" style="36" bestFit="1" customWidth="1"/>
    <col min="768" max="768" width="11.28515625" style="36" bestFit="1" customWidth="1"/>
    <col min="769" max="769" width="14" style="36" bestFit="1" customWidth="1"/>
    <col min="770" max="770" width="11.85546875" style="36" bestFit="1" customWidth="1"/>
    <col min="771" max="771" width="14.85546875" style="36" bestFit="1" customWidth="1"/>
    <col min="772" max="772" width="9.7109375" style="36" customWidth="1"/>
    <col min="773" max="773" width="4.85546875" style="36" customWidth="1"/>
    <col min="774" max="1018" width="9.140625" style="36"/>
    <col min="1019" max="1019" width="5.42578125" style="36" bestFit="1" customWidth="1"/>
    <col min="1020" max="1020" width="20.42578125" style="36" bestFit="1" customWidth="1"/>
    <col min="1021" max="1021" width="41.42578125" style="36" customWidth="1"/>
    <col min="1022" max="1022" width="15.28515625" style="36" bestFit="1" customWidth="1"/>
    <col min="1023" max="1023" width="16.7109375" style="36" bestFit="1" customWidth="1"/>
    <col min="1024" max="1024" width="11.28515625" style="36" bestFit="1" customWidth="1"/>
    <col min="1025" max="1025" width="14" style="36" bestFit="1" customWidth="1"/>
    <col min="1026" max="1026" width="11.85546875" style="36" bestFit="1" customWidth="1"/>
    <col min="1027" max="1027" width="14.85546875" style="36" bestFit="1" customWidth="1"/>
    <col min="1028" max="1028" width="9.7109375" style="36" customWidth="1"/>
    <col min="1029" max="1029" width="4.85546875" style="36" customWidth="1"/>
    <col min="1030" max="1274" width="9.140625" style="36"/>
    <col min="1275" max="1275" width="5.42578125" style="36" bestFit="1" customWidth="1"/>
    <col min="1276" max="1276" width="20.42578125" style="36" bestFit="1" customWidth="1"/>
    <col min="1277" max="1277" width="41.42578125" style="36" customWidth="1"/>
    <col min="1278" max="1278" width="15.28515625" style="36" bestFit="1" customWidth="1"/>
    <col min="1279" max="1279" width="16.7109375" style="36" bestFit="1" customWidth="1"/>
    <col min="1280" max="1280" width="11.28515625" style="36" bestFit="1" customWidth="1"/>
    <col min="1281" max="1281" width="14" style="36" bestFit="1" customWidth="1"/>
    <col min="1282" max="1282" width="11.85546875" style="36" bestFit="1" customWidth="1"/>
    <col min="1283" max="1283" width="14.85546875" style="36" bestFit="1" customWidth="1"/>
    <col min="1284" max="1284" width="9.7109375" style="36" customWidth="1"/>
    <col min="1285" max="1285" width="4.85546875" style="36" customWidth="1"/>
    <col min="1286" max="1530" width="9.140625" style="36"/>
    <col min="1531" max="1531" width="5.42578125" style="36" bestFit="1" customWidth="1"/>
    <col min="1532" max="1532" width="20.42578125" style="36" bestFit="1" customWidth="1"/>
    <col min="1533" max="1533" width="41.42578125" style="36" customWidth="1"/>
    <col min="1534" max="1534" width="15.28515625" style="36" bestFit="1" customWidth="1"/>
    <col min="1535" max="1535" width="16.7109375" style="36" bestFit="1" customWidth="1"/>
    <col min="1536" max="1536" width="11.28515625" style="36" bestFit="1" customWidth="1"/>
    <col min="1537" max="1537" width="14" style="36" bestFit="1" customWidth="1"/>
    <col min="1538" max="1538" width="11.85546875" style="36" bestFit="1" customWidth="1"/>
    <col min="1539" max="1539" width="14.85546875" style="36" bestFit="1" customWidth="1"/>
    <col min="1540" max="1540" width="9.7109375" style="36" customWidth="1"/>
    <col min="1541" max="1541" width="4.85546875" style="36" customWidth="1"/>
    <col min="1542" max="1786" width="9.140625" style="36"/>
    <col min="1787" max="1787" width="5.42578125" style="36" bestFit="1" customWidth="1"/>
    <col min="1788" max="1788" width="20.42578125" style="36" bestFit="1" customWidth="1"/>
    <col min="1789" max="1789" width="41.42578125" style="36" customWidth="1"/>
    <col min="1790" max="1790" width="15.28515625" style="36" bestFit="1" customWidth="1"/>
    <col min="1791" max="1791" width="16.7109375" style="36" bestFit="1" customWidth="1"/>
    <col min="1792" max="1792" width="11.28515625" style="36" bestFit="1" customWidth="1"/>
    <col min="1793" max="1793" width="14" style="36" bestFit="1" customWidth="1"/>
    <col min="1794" max="1794" width="11.85546875" style="36" bestFit="1" customWidth="1"/>
    <col min="1795" max="1795" width="14.85546875" style="36" bestFit="1" customWidth="1"/>
    <col min="1796" max="1796" width="9.7109375" style="36" customWidth="1"/>
    <col min="1797" max="1797" width="4.85546875" style="36" customWidth="1"/>
    <col min="1798" max="2042" width="9.140625" style="36"/>
    <col min="2043" max="2043" width="5.42578125" style="36" bestFit="1" customWidth="1"/>
    <col min="2044" max="2044" width="20.42578125" style="36" bestFit="1" customWidth="1"/>
    <col min="2045" max="2045" width="41.42578125" style="36" customWidth="1"/>
    <col min="2046" max="2046" width="15.28515625" style="36" bestFit="1" customWidth="1"/>
    <col min="2047" max="2047" width="16.7109375" style="36" bestFit="1" customWidth="1"/>
    <col min="2048" max="2048" width="11.28515625" style="36" bestFit="1" customWidth="1"/>
    <col min="2049" max="2049" width="14" style="36" bestFit="1" customWidth="1"/>
    <col min="2050" max="2050" width="11.85546875" style="36" bestFit="1" customWidth="1"/>
    <col min="2051" max="2051" width="14.85546875" style="36" bestFit="1" customWidth="1"/>
    <col min="2052" max="2052" width="9.7109375" style="36" customWidth="1"/>
    <col min="2053" max="2053" width="4.85546875" style="36" customWidth="1"/>
    <col min="2054" max="2298" width="9.140625" style="36"/>
    <col min="2299" max="2299" width="5.42578125" style="36" bestFit="1" customWidth="1"/>
    <col min="2300" max="2300" width="20.42578125" style="36" bestFit="1" customWidth="1"/>
    <col min="2301" max="2301" width="41.42578125" style="36" customWidth="1"/>
    <col min="2302" max="2302" width="15.28515625" style="36" bestFit="1" customWidth="1"/>
    <col min="2303" max="2303" width="16.7109375" style="36" bestFit="1" customWidth="1"/>
    <col min="2304" max="2304" width="11.28515625" style="36" bestFit="1" customWidth="1"/>
    <col min="2305" max="2305" width="14" style="36" bestFit="1" customWidth="1"/>
    <col min="2306" max="2306" width="11.85546875" style="36" bestFit="1" customWidth="1"/>
    <col min="2307" max="2307" width="14.85546875" style="36" bestFit="1" customWidth="1"/>
    <col min="2308" max="2308" width="9.7109375" style="36" customWidth="1"/>
    <col min="2309" max="2309" width="4.85546875" style="36" customWidth="1"/>
    <col min="2310" max="2554" width="9.140625" style="36"/>
    <col min="2555" max="2555" width="5.42578125" style="36" bestFit="1" customWidth="1"/>
    <col min="2556" max="2556" width="20.42578125" style="36" bestFit="1" customWidth="1"/>
    <col min="2557" max="2557" width="41.42578125" style="36" customWidth="1"/>
    <col min="2558" max="2558" width="15.28515625" style="36" bestFit="1" customWidth="1"/>
    <col min="2559" max="2559" width="16.7109375" style="36" bestFit="1" customWidth="1"/>
    <col min="2560" max="2560" width="11.28515625" style="36" bestFit="1" customWidth="1"/>
    <col min="2561" max="2561" width="14" style="36" bestFit="1" customWidth="1"/>
    <col min="2562" max="2562" width="11.85546875" style="36" bestFit="1" customWidth="1"/>
    <col min="2563" max="2563" width="14.85546875" style="36" bestFit="1" customWidth="1"/>
    <col min="2564" max="2564" width="9.7109375" style="36" customWidth="1"/>
    <col min="2565" max="2565" width="4.85546875" style="36" customWidth="1"/>
    <col min="2566" max="2810" width="9.140625" style="36"/>
    <col min="2811" max="2811" width="5.42578125" style="36" bestFit="1" customWidth="1"/>
    <col min="2812" max="2812" width="20.42578125" style="36" bestFit="1" customWidth="1"/>
    <col min="2813" max="2813" width="41.42578125" style="36" customWidth="1"/>
    <col min="2814" max="2814" width="15.28515625" style="36" bestFit="1" customWidth="1"/>
    <col min="2815" max="2815" width="16.7109375" style="36" bestFit="1" customWidth="1"/>
    <col min="2816" max="2816" width="11.28515625" style="36" bestFit="1" customWidth="1"/>
    <col min="2817" max="2817" width="14" style="36" bestFit="1" customWidth="1"/>
    <col min="2818" max="2818" width="11.85546875" style="36" bestFit="1" customWidth="1"/>
    <col min="2819" max="2819" width="14.85546875" style="36" bestFit="1" customWidth="1"/>
    <col min="2820" max="2820" width="9.7109375" style="36" customWidth="1"/>
    <col min="2821" max="2821" width="4.85546875" style="36" customWidth="1"/>
    <col min="2822" max="3066" width="9.140625" style="36"/>
    <col min="3067" max="3067" width="5.42578125" style="36" bestFit="1" customWidth="1"/>
    <col min="3068" max="3068" width="20.42578125" style="36" bestFit="1" customWidth="1"/>
    <col min="3069" max="3069" width="41.42578125" style="36" customWidth="1"/>
    <col min="3070" max="3070" width="15.28515625" style="36" bestFit="1" customWidth="1"/>
    <col min="3071" max="3071" width="16.7109375" style="36" bestFit="1" customWidth="1"/>
    <col min="3072" max="3072" width="11.28515625" style="36" bestFit="1" customWidth="1"/>
    <col min="3073" max="3073" width="14" style="36" bestFit="1" customWidth="1"/>
    <col min="3074" max="3074" width="11.85546875" style="36" bestFit="1" customWidth="1"/>
    <col min="3075" max="3075" width="14.85546875" style="36" bestFit="1" customWidth="1"/>
    <col min="3076" max="3076" width="9.7109375" style="36" customWidth="1"/>
    <col min="3077" max="3077" width="4.85546875" style="36" customWidth="1"/>
    <col min="3078" max="3322" width="9.140625" style="36"/>
    <col min="3323" max="3323" width="5.42578125" style="36" bestFit="1" customWidth="1"/>
    <col min="3324" max="3324" width="20.42578125" style="36" bestFit="1" customWidth="1"/>
    <col min="3325" max="3325" width="41.42578125" style="36" customWidth="1"/>
    <col min="3326" max="3326" width="15.28515625" style="36" bestFit="1" customWidth="1"/>
    <col min="3327" max="3327" width="16.7109375" style="36" bestFit="1" customWidth="1"/>
    <col min="3328" max="3328" width="11.28515625" style="36" bestFit="1" customWidth="1"/>
    <col min="3329" max="3329" width="14" style="36" bestFit="1" customWidth="1"/>
    <col min="3330" max="3330" width="11.85546875" style="36" bestFit="1" customWidth="1"/>
    <col min="3331" max="3331" width="14.85546875" style="36" bestFit="1" customWidth="1"/>
    <col min="3332" max="3332" width="9.7109375" style="36" customWidth="1"/>
    <col min="3333" max="3333" width="4.85546875" style="36" customWidth="1"/>
    <col min="3334" max="3578" width="9.140625" style="36"/>
    <col min="3579" max="3579" width="5.42578125" style="36" bestFit="1" customWidth="1"/>
    <col min="3580" max="3580" width="20.42578125" style="36" bestFit="1" customWidth="1"/>
    <col min="3581" max="3581" width="41.42578125" style="36" customWidth="1"/>
    <col min="3582" max="3582" width="15.28515625" style="36" bestFit="1" customWidth="1"/>
    <col min="3583" max="3583" width="16.7109375" style="36" bestFit="1" customWidth="1"/>
    <col min="3584" max="3584" width="11.28515625" style="36" bestFit="1" customWidth="1"/>
    <col min="3585" max="3585" width="14" style="36" bestFit="1" customWidth="1"/>
    <col min="3586" max="3586" width="11.85546875" style="36" bestFit="1" customWidth="1"/>
    <col min="3587" max="3587" width="14.85546875" style="36" bestFit="1" customWidth="1"/>
    <col min="3588" max="3588" width="9.7109375" style="36" customWidth="1"/>
    <col min="3589" max="3589" width="4.85546875" style="36" customWidth="1"/>
    <col min="3590" max="3834" width="9.140625" style="36"/>
    <col min="3835" max="3835" width="5.42578125" style="36" bestFit="1" customWidth="1"/>
    <col min="3836" max="3836" width="20.42578125" style="36" bestFit="1" customWidth="1"/>
    <col min="3837" max="3837" width="41.42578125" style="36" customWidth="1"/>
    <col min="3838" max="3838" width="15.28515625" style="36" bestFit="1" customWidth="1"/>
    <col min="3839" max="3839" width="16.7109375" style="36" bestFit="1" customWidth="1"/>
    <col min="3840" max="3840" width="11.28515625" style="36" bestFit="1" customWidth="1"/>
    <col min="3841" max="3841" width="14" style="36" bestFit="1" customWidth="1"/>
    <col min="3842" max="3842" width="11.85546875" style="36" bestFit="1" customWidth="1"/>
    <col min="3843" max="3843" width="14.85546875" style="36" bestFit="1" customWidth="1"/>
    <col min="3844" max="3844" width="9.7109375" style="36" customWidth="1"/>
    <col min="3845" max="3845" width="4.85546875" style="36" customWidth="1"/>
    <col min="3846" max="4090" width="9.140625" style="36"/>
    <col min="4091" max="4091" width="5.42578125" style="36" bestFit="1" customWidth="1"/>
    <col min="4092" max="4092" width="20.42578125" style="36" bestFit="1" customWidth="1"/>
    <col min="4093" max="4093" width="41.42578125" style="36" customWidth="1"/>
    <col min="4094" max="4094" width="15.28515625" style="36" bestFit="1" customWidth="1"/>
    <col min="4095" max="4095" width="16.7109375" style="36" bestFit="1" customWidth="1"/>
    <col min="4096" max="4096" width="11.28515625" style="36" bestFit="1" customWidth="1"/>
    <col min="4097" max="4097" width="14" style="36" bestFit="1" customWidth="1"/>
    <col min="4098" max="4098" width="11.85546875" style="36" bestFit="1" customWidth="1"/>
    <col min="4099" max="4099" width="14.85546875" style="36" bestFit="1" customWidth="1"/>
    <col min="4100" max="4100" width="9.7109375" style="36" customWidth="1"/>
    <col min="4101" max="4101" width="4.85546875" style="36" customWidth="1"/>
    <col min="4102" max="4346" width="9.140625" style="36"/>
    <col min="4347" max="4347" width="5.42578125" style="36" bestFit="1" customWidth="1"/>
    <col min="4348" max="4348" width="20.42578125" style="36" bestFit="1" customWidth="1"/>
    <col min="4349" max="4349" width="41.42578125" style="36" customWidth="1"/>
    <col min="4350" max="4350" width="15.28515625" style="36" bestFit="1" customWidth="1"/>
    <col min="4351" max="4351" width="16.7109375" style="36" bestFit="1" customWidth="1"/>
    <col min="4352" max="4352" width="11.28515625" style="36" bestFit="1" customWidth="1"/>
    <col min="4353" max="4353" width="14" style="36" bestFit="1" customWidth="1"/>
    <col min="4354" max="4354" width="11.85546875" style="36" bestFit="1" customWidth="1"/>
    <col min="4355" max="4355" width="14.85546875" style="36" bestFit="1" customWidth="1"/>
    <col min="4356" max="4356" width="9.7109375" style="36" customWidth="1"/>
    <col min="4357" max="4357" width="4.85546875" style="36" customWidth="1"/>
    <col min="4358" max="4602" width="9.140625" style="36"/>
    <col min="4603" max="4603" width="5.42578125" style="36" bestFit="1" customWidth="1"/>
    <col min="4604" max="4604" width="20.42578125" style="36" bestFit="1" customWidth="1"/>
    <col min="4605" max="4605" width="41.42578125" style="36" customWidth="1"/>
    <col min="4606" max="4606" width="15.28515625" style="36" bestFit="1" customWidth="1"/>
    <col min="4607" max="4607" width="16.7109375" style="36" bestFit="1" customWidth="1"/>
    <col min="4608" max="4608" width="11.28515625" style="36" bestFit="1" customWidth="1"/>
    <col min="4609" max="4609" width="14" style="36" bestFit="1" customWidth="1"/>
    <col min="4610" max="4610" width="11.85546875" style="36" bestFit="1" customWidth="1"/>
    <col min="4611" max="4611" width="14.85546875" style="36" bestFit="1" customWidth="1"/>
    <col min="4612" max="4612" width="9.7109375" style="36" customWidth="1"/>
    <col min="4613" max="4613" width="4.85546875" style="36" customWidth="1"/>
    <col min="4614" max="4858" width="9.140625" style="36"/>
    <col min="4859" max="4859" width="5.42578125" style="36" bestFit="1" customWidth="1"/>
    <col min="4860" max="4860" width="20.42578125" style="36" bestFit="1" customWidth="1"/>
    <col min="4861" max="4861" width="41.42578125" style="36" customWidth="1"/>
    <col min="4862" max="4862" width="15.28515625" style="36" bestFit="1" customWidth="1"/>
    <col min="4863" max="4863" width="16.7109375" style="36" bestFit="1" customWidth="1"/>
    <col min="4864" max="4864" width="11.28515625" style="36" bestFit="1" customWidth="1"/>
    <col min="4865" max="4865" width="14" style="36" bestFit="1" customWidth="1"/>
    <col min="4866" max="4866" width="11.85546875" style="36" bestFit="1" customWidth="1"/>
    <col min="4867" max="4867" width="14.85546875" style="36" bestFit="1" customWidth="1"/>
    <col min="4868" max="4868" width="9.7109375" style="36" customWidth="1"/>
    <col min="4869" max="4869" width="4.85546875" style="36" customWidth="1"/>
    <col min="4870" max="5114" width="9.140625" style="36"/>
    <col min="5115" max="5115" width="5.42578125" style="36" bestFit="1" customWidth="1"/>
    <col min="5116" max="5116" width="20.42578125" style="36" bestFit="1" customWidth="1"/>
    <col min="5117" max="5117" width="41.42578125" style="36" customWidth="1"/>
    <col min="5118" max="5118" width="15.28515625" style="36" bestFit="1" customWidth="1"/>
    <col min="5119" max="5119" width="16.7109375" style="36" bestFit="1" customWidth="1"/>
    <col min="5120" max="5120" width="11.28515625" style="36" bestFit="1" customWidth="1"/>
    <col min="5121" max="5121" width="14" style="36" bestFit="1" customWidth="1"/>
    <col min="5122" max="5122" width="11.85546875" style="36" bestFit="1" customWidth="1"/>
    <col min="5123" max="5123" width="14.85546875" style="36" bestFit="1" customWidth="1"/>
    <col min="5124" max="5124" width="9.7109375" style="36" customWidth="1"/>
    <col min="5125" max="5125" width="4.85546875" style="36" customWidth="1"/>
    <col min="5126" max="5370" width="9.140625" style="36"/>
    <col min="5371" max="5371" width="5.42578125" style="36" bestFit="1" customWidth="1"/>
    <col min="5372" max="5372" width="20.42578125" style="36" bestFit="1" customWidth="1"/>
    <col min="5373" max="5373" width="41.42578125" style="36" customWidth="1"/>
    <col min="5374" max="5374" width="15.28515625" style="36" bestFit="1" customWidth="1"/>
    <col min="5375" max="5375" width="16.7109375" style="36" bestFit="1" customWidth="1"/>
    <col min="5376" max="5376" width="11.28515625" style="36" bestFit="1" customWidth="1"/>
    <col min="5377" max="5377" width="14" style="36" bestFit="1" customWidth="1"/>
    <col min="5378" max="5378" width="11.85546875" style="36" bestFit="1" customWidth="1"/>
    <col min="5379" max="5379" width="14.85546875" style="36" bestFit="1" customWidth="1"/>
    <col min="5380" max="5380" width="9.7109375" style="36" customWidth="1"/>
    <col min="5381" max="5381" width="4.85546875" style="36" customWidth="1"/>
    <col min="5382" max="5626" width="9.140625" style="36"/>
    <col min="5627" max="5627" width="5.42578125" style="36" bestFit="1" customWidth="1"/>
    <col min="5628" max="5628" width="20.42578125" style="36" bestFit="1" customWidth="1"/>
    <col min="5629" max="5629" width="41.42578125" style="36" customWidth="1"/>
    <col min="5630" max="5630" width="15.28515625" style="36" bestFit="1" customWidth="1"/>
    <col min="5631" max="5631" width="16.7109375" style="36" bestFit="1" customWidth="1"/>
    <col min="5632" max="5632" width="11.28515625" style="36" bestFit="1" customWidth="1"/>
    <col min="5633" max="5633" width="14" style="36" bestFit="1" customWidth="1"/>
    <col min="5634" max="5634" width="11.85546875" style="36" bestFit="1" customWidth="1"/>
    <col min="5635" max="5635" width="14.85546875" style="36" bestFit="1" customWidth="1"/>
    <col min="5636" max="5636" width="9.7109375" style="36" customWidth="1"/>
    <col min="5637" max="5637" width="4.85546875" style="36" customWidth="1"/>
    <col min="5638" max="5882" width="9.140625" style="36"/>
    <col min="5883" max="5883" width="5.42578125" style="36" bestFit="1" customWidth="1"/>
    <col min="5884" max="5884" width="20.42578125" style="36" bestFit="1" customWidth="1"/>
    <col min="5885" max="5885" width="41.42578125" style="36" customWidth="1"/>
    <col min="5886" max="5886" width="15.28515625" style="36" bestFit="1" customWidth="1"/>
    <col min="5887" max="5887" width="16.7109375" style="36" bestFit="1" customWidth="1"/>
    <col min="5888" max="5888" width="11.28515625" style="36" bestFit="1" customWidth="1"/>
    <col min="5889" max="5889" width="14" style="36" bestFit="1" customWidth="1"/>
    <col min="5890" max="5890" width="11.85546875" style="36" bestFit="1" customWidth="1"/>
    <col min="5891" max="5891" width="14.85546875" style="36" bestFit="1" customWidth="1"/>
    <col min="5892" max="5892" width="9.7109375" style="36" customWidth="1"/>
    <col min="5893" max="5893" width="4.85546875" style="36" customWidth="1"/>
    <col min="5894" max="6138" width="9.140625" style="36"/>
    <col min="6139" max="6139" width="5.42578125" style="36" bestFit="1" customWidth="1"/>
    <col min="6140" max="6140" width="20.42578125" style="36" bestFit="1" customWidth="1"/>
    <col min="6141" max="6141" width="41.42578125" style="36" customWidth="1"/>
    <col min="6142" max="6142" width="15.28515625" style="36" bestFit="1" customWidth="1"/>
    <col min="6143" max="6143" width="16.7109375" style="36" bestFit="1" customWidth="1"/>
    <col min="6144" max="6144" width="11.28515625" style="36" bestFit="1" customWidth="1"/>
    <col min="6145" max="6145" width="14" style="36" bestFit="1" customWidth="1"/>
    <col min="6146" max="6146" width="11.85546875" style="36" bestFit="1" customWidth="1"/>
    <col min="6147" max="6147" width="14.85546875" style="36" bestFit="1" customWidth="1"/>
    <col min="6148" max="6148" width="9.7109375" style="36" customWidth="1"/>
    <col min="6149" max="6149" width="4.85546875" style="36" customWidth="1"/>
    <col min="6150" max="6394" width="9.140625" style="36"/>
    <col min="6395" max="6395" width="5.42578125" style="36" bestFit="1" customWidth="1"/>
    <col min="6396" max="6396" width="20.42578125" style="36" bestFit="1" customWidth="1"/>
    <col min="6397" max="6397" width="41.42578125" style="36" customWidth="1"/>
    <col min="6398" max="6398" width="15.28515625" style="36" bestFit="1" customWidth="1"/>
    <col min="6399" max="6399" width="16.7109375" style="36" bestFit="1" customWidth="1"/>
    <col min="6400" max="6400" width="11.28515625" style="36" bestFit="1" customWidth="1"/>
    <col min="6401" max="6401" width="14" style="36" bestFit="1" customWidth="1"/>
    <col min="6402" max="6402" width="11.85546875" style="36" bestFit="1" customWidth="1"/>
    <col min="6403" max="6403" width="14.85546875" style="36" bestFit="1" customWidth="1"/>
    <col min="6404" max="6404" width="9.7109375" style="36" customWidth="1"/>
    <col min="6405" max="6405" width="4.85546875" style="36" customWidth="1"/>
    <col min="6406" max="6650" width="9.140625" style="36"/>
    <col min="6651" max="6651" width="5.42578125" style="36" bestFit="1" customWidth="1"/>
    <col min="6652" max="6652" width="20.42578125" style="36" bestFit="1" customWidth="1"/>
    <col min="6653" max="6653" width="41.42578125" style="36" customWidth="1"/>
    <col min="6654" max="6654" width="15.28515625" style="36" bestFit="1" customWidth="1"/>
    <col min="6655" max="6655" width="16.7109375" style="36" bestFit="1" customWidth="1"/>
    <col min="6656" max="6656" width="11.28515625" style="36" bestFit="1" customWidth="1"/>
    <col min="6657" max="6657" width="14" style="36" bestFit="1" customWidth="1"/>
    <col min="6658" max="6658" width="11.85546875" style="36" bestFit="1" customWidth="1"/>
    <col min="6659" max="6659" width="14.85546875" style="36" bestFit="1" customWidth="1"/>
    <col min="6660" max="6660" width="9.7109375" style="36" customWidth="1"/>
    <col min="6661" max="6661" width="4.85546875" style="36" customWidth="1"/>
    <col min="6662" max="6906" width="9.140625" style="36"/>
    <col min="6907" max="6907" width="5.42578125" style="36" bestFit="1" customWidth="1"/>
    <col min="6908" max="6908" width="20.42578125" style="36" bestFit="1" customWidth="1"/>
    <col min="6909" max="6909" width="41.42578125" style="36" customWidth="1"/>
    <col min="6910" max="6910" width="15.28515625" style="36" bestFit="1" customWidth="1"/>
    <col min="6911" max="6911" width="16.7109375" style="36" bestFit="1" customWidth="1"/>
    <col min="6912" max="6912" width="11.28515625" style="36" bestFit="1" customWidth="1"/>
    <col min="6913" max="6913" width="14" style="36" bestFit="1" customWidth="1"/>
    <col min="6914" max="6914" width="11.85546875" style="36" bestFit="1" customWidth="1"/>
    <col min="6915" max="6915" width="14.85546875" style="36" bestFit="1" customWidth="1"/>
    <col min="6916" max="6916" width="9.7109375" style="36" customWidth="1"/>
    <col min="6917" max="6917" width="4.85546875" style="36" customWidth="1"/>
    <col min="6918" max="7162" width="9.140625" style="36"/>
    <col min="7163" max="7163" width="5.42578125" style="36" bestFit="1" customWidth="1"/>
    <col min="7164" max="7164" width="20.42578125" style="36" bestFit="1" customWidth="1"/>
    <col min="7165" max="7165" width="41.42578125" style="36" customWidth="1"/>
    <col min="7166" max="7166" width="15.28515625" style="36" bestFit="1" customWidth="1"/>
    <col min="7167" max="7167" width="16.7109375" style="36" bestFit="1" customWidth="1"/>
    <col min="7168" max="7168" width="11.28515625" style="36" bestFit="1" customWidth="1"/>
    <col min="7169" max="7169" width="14" style="36" bestFit="1" customWidth="1"/>
    <col min="7170" max="7170" width="11.85546875" style="36" bestFit="1" customWidth="1"/>
    <col min="7171" max="7171" width="14.85546875" style="36" bestFit="1" customWidth="1"/>
    <col min="7172" max="7172" width="9.7109375" style="36" customWidth="1"/>
    <col min="7173" max="7173" width="4.85546875" style="36" customWidth="1"/>
    <col min="7174" max="7418" width="9.140625" style="36"/>
    <col min="7419" max="7419" width="5.42578125" style="36" bestFit="1" customWidth="1"/>
    <col min="7420" max="7420" width="20.42578125" style="36" bestFit="1" customWidth="1"/>
    <col min="7421" max="7421" width="41.42578125" style="36" customWidth="1"/>
    <col min="7422" max="7422" width="15.28515625" style="36" bestFit="1" customWidth="1"/>
    <col min="7423" max="7423" width="16.7109375" style="36" bestFit="1" customWidth="1"/>
    <col min="7424" max="7424" width="11.28515625" style="36" bestFit="1" customWidth="1"/>
    <col min="7425" max="7425" width="14" style="36" bestFit="1" customWidth="1"/>
    <col min="7426" max="7426" width="11.85546875" style="36" bestFit="1" customWidth="1"/>
    <col min="7427" max="7427" width="14.85546875" style="36" bestFit="1" customWidth="1"/>
    <col min="7428" max="7428" width="9.7109375" style="36" customWidth="1"/>
    <col min="7429" max="7429" width="4.85546875" style="36" customWidth="1"/>
    <col min="7430" max="7674" width="9.140625" style="36"/>
    <col min="7675" max="7675" width="5.42578125" style="36" bestFit="1" customWidth="1"/>
    <col min="7676" max="7676" width="20.42578125" style="36" bestFit="1" customWidth="1"/>
    <col min="7677" max="7677" width="41.42578125" style="36" customWidth="1"/>
    <col min="7678" max="7678" width="15.28515625" style="36" bestFit="1" customWidth="1"/>
    <col min="7679" max="7679" width="16.7109375" style="36" bestFit="1" customWidth="1"/>
    <col min="7680" max="7680" width="11.28515625" style="36" bestFit="1" customWidth="1"/>
    <col min="7681" max="7681" width="14" style="36" bestFit="1" customWidth="1"/>
    <col min="7682" max="7682" width="11.85546875" style="36" bestFit="1" customWidth="1"/>
    <col min="7683" max="7683" width="14.85546875" style="36" bestFit="1" customWidth="1"/>
    <col min="7684" max="7684" width="9.7109375" style="36" customWidth="1"/>
    <col min="7685" max="7685" width="4.85546875" style="36" customWidth="1"/>
    <col min="7686" max="7930" width="9.140625" style="36"/>
    <col min="7931" max="7931" width="5.42578125" style="36" bestFit="1" customWidth="1"/>
    <col min="7932" max="7932" width="20.42578125" style="36" bestFit="1" customWidth="1"/>
    <col min="7933" max="7933" width="41.42578125" style="36" customWidth="1"/>
    <col min="7934" max="7934" width="15.28515625" style="36" bestFit="1" customWidth="1"/>
    <col min="7935" max="7935" width="16.7109375" style="36" bestFit="1" customWidth="1"/>
    <col min="7936" max="7936" width="11.28515625" style="36" bestFit="1" customWidth="1"/>
    <col min="7937" max="7937" width="14" style="36" bestFit="1" customWidth="1"/>
    <col min="7938" max="7938" width="11.85546875" style="36" bestFit="1" customWidth="1"/>
    <col min="7939" max="7939" width="14.85546875" style="36" bestFit="1" customWidth="1"/>
    <col min="7940" max="7940" width="9.7109375" style="36" customWidth="1"/>
    <col min="7941" max="7941" width="4.85546875" style="36" customWidth="1"/>
    <col min="7942" max="8186" width="9.140625" style="36"/>
    <col min="8187" max="8187" width="5.42578125" style="36" bestFit="1" customWidth="1"/>
    <col min="8188" max="8188" width="20.42578125" style="36" bestFit="1" customWidth="1"/>
    <col min="8189" max="8189" width="41.42578125" style="36" customWidth="1"/>
    <col min="8190" max="8190" width="15.28515625" style="36" bestFit="1" customWidth="1"/>
    <col min="8191" max="8191" width="16.7109375" style="36" bestFit="1" customWidth="1"/>
    <col min="8192" max="8192" width="11.28515625" style="36" bestFit="1" customWidth="1"/>
    <col min="8193" max="8193" width="14" style="36" bestFit="1" customWidth="1"/>
    <col min="8194" max="8194" width="11.85546875" style="36" bestFit="1" customWidth="1"/>
    <col min="8195" max="8195" width="14.85546875" style="36" bestFit="1" customWidth="1"/>
    <col min="8196" max="8196" width="9.7109375" style="36" customWidth="1"/>
    <col min="8197" max="8197" width="4.85546875" style="36" customWidth="1"/>
    <col min="8198" max="8442" width="9.140625" style="36"/>
    <col min="8443" max="8443" width="5.42578125" style="36" bestFit="1" customWidth="1"/>
    <col min="8444" max="8444" width="20.42578125" style="36" bestFit="1" customWidth="1"/>
    <col min="8445" max="8445" width="41.42578125" style="36" customWidth="1"/>
    <col min="8446" max="8446" width="15.28515625" style="36" bestFit="1" customWidth="1"/>
    <col min="8447" max="8447" width="16.7109375" style="36" bestFit="1" customWidth="1"/>
    <col min="8448" max="8448" width="11.28515625" style="36" bestFit="1" customWidth="1"/>
    <col min="8449" max="8449" width="14" style="36" bestFit="1" customWidth="1"/>
    <col min="8450" max="8450" width="11.85546875" style="36" bestFit="1" customWidth="1"/>
    <col min="8451" max="8451" width="14.85546875" style="36" bestFit="1" customWidth="1"/>
    <col min="8452" max="8452" width="9.7109375" style="36" customWidth="1"/>
    <col min="8453" max="8453" width="4.85546875" style="36" customWidth="1"/>
    <col min="8454" max="8698" width="9.140625" style="36"/>
    <col min="8699" max="8699" width="5.42578125" style="36" bestFit="1" customWidth="1"/>
    <col min="8700" max="8700" width="20.42578125" style="36" bestFit="1" customWidth="1"/>
    <col min="8701" max="8701" width="41.42578125" style="36" customWidth="1"/>
    <col min="8702" max="8702" width="15.28515625" style="36" bestFit="1" customWidth="1"/>
    <col min="8703" max="8703" width="16.7109375" style="36" bestFit="1" customWidth="1"/>
    <col min="8704" max="8704" width="11.28515625" style="36" bestFit="1" customWidth="1"/>
    <col min="8705" max="8705" width="14" style="36" bestFit="1" customWidth="1"/>
    <col min="8706" max="8706" width="11.85546875" style="36" bestFit="1" customWidth="1"/>
    <col min="8707" max="8707" width="14.85546875" style="36" bestFit="1" customWidth="1"/>
    <col min="8708" max="8708" width="9.7109375" style="36" customWidth="1"/>
    <col min="8709" max="8709" width="4.85546875" style="36" customWidth="1"/>
    <col min="8710" max="8954" width="9.140625" style="36"/>
    <col min="8955" max="8955" width="5.42578125" style="36" bestFit="1" customWidth="1"/>
    <col min="8956" max="8956" width="20.42578125" style="36" bestFit="1" customWidth="1"/>
    <col min="8957" max="8957" width="41.42578125" style="36" customWidth="1"/>
    <col min="8958" max="8958" width="15.28515625" style="36" bestFit="1" customWidth="1"/>
    <col min="8959" max="8959" width="16.7109375" style="36" bestFit="1" customWidth="1"/>
    <col min="8960" max="8960" width="11.28515625" style="36" bestFit="1" customWidth="1"/>
    <col min="8961" max="8961" width="14" style="36" bestFit="1" customWidth="1"/>
    <col min="8962" max="8962" width="11.85546875" style="36" bestFit="1" customWidth="1"/>
    <col min="8963" max="8963" width="14.85546875" style="36" bestFit="1" customWidth="1"/>
    <col min="8964" max="8964" width="9.7109375" style="36" customWidth="1"/>
    <col min="8965" max="8965" width="4.85546875" style="36" customWidth="1"/>
    <col min="8966" max="9210" width="9.140625" style="36"/>
    <col min="9211" max="9211" width="5.42578125" style="36" bestFit="1" customWidth="1"/>
    <col min="9212" max="9212" width="20.42578125" style="36" bestFit="1" customWidth="1"/>
    <col min="9213" max="9213" width="41.42578125" style="36" customWidth="1"/>
    <col min="9214" max="9214" width="15.28515625" style="36" bestFit="1" customWidth="1"/>
    <col min="9215" max="9215" width="16.7109375" style="36" bestFit="1" customWidth="1"/>
    <col min="9216" max="9216" width="11.28515625" style="36" bestFit="1" customWidth="1"/>
    <col min="9217" max="9217" width="14" style="36" bestFit="1" customWidth="1"/>
    <col min="9218" max="9218" width="11.85546875" style="36" bestFit="1" customWidth="1"/>
    <col min="9219" max="9219" width="14.85546875" style="36" bestFit="1" customWidth="1"/>
    <col min="9220" max="9220" width="9.7109375" style="36" customWidth="1"/>
    <col min="9221" max="9221" width="4.85546875" style="36" customWidth="1"/>
    <col min="9222" max="9466" width="9.140625" style="36"/>
    <col min="9467" max="9467" width="5.42578125" style="36" bestFit="1" customWidth="1"/>
    <col min="9468" max="9468" width="20.42578125" style="36" bestFit="1" customWidth="1"/>
    <col min="9469" max="9469" width="41.42578125" style="36" customWidth="1"/>
    <col min="9470" max="9470" width="15.28515625" style="36" bestFit="1" customWidth="1"/>
    <col min="9471" max="9471" width="16.7109375" style="36" bestFit="1" customWidth="1"/>
    <col min="9472" max="9472" width="11.28515625" style="36" bestFit="1" customWidth="1"/>
    <col min="9473" max="9473" width="14" style="36" bestFit="1" customWidth="1"/>
    <col min="9474" max="9474" width="11.85546875" style="36" bestFit="1" customWidth="1"/>
    <col min="9475" max="9475" width="14.85546875" style="36" bestFit="1" customWidth="1"/>
    <col min="9476" max="9476" width="9.7109375" style="36" customWidth="1"/>
    <col min="9477" max="9477" width="4.85546875" style="36" customWidth="1"/>
    <col min="9478" max="9722" width="9.140625" style="36"/>
    <col min="9723" max="9723" width="5.42578125" style="36" bestFit="1" customWidth="1"/>
    <col min="9724" max="9724" width="20.42578125" style="36" bestFit="1" customWidth="1"/>
    <col min="9725" max="9725" width="41.42578125" style="36" customWidth="1"/>
    <col min="9726" max="9726" width="15.28515625" style="36" bestFit="1" customWidth="1"/>
    <col min="9727" max="9727" width="16.7109375" style="36" bestFit="1" customWidth="1"/>
    <col min="9728" max="9728" width="11.28515625" style="36" bestFit="1" customWidth="1"/>
    <col min="9729" max="9729" width="14" style="36" bestFit="1" customWidth="1"/>
    <col min="9730" max="9730" width="11.85546875" style="36" bestFit="1" customWidth="1"/>
    <col min="9731" max="9731" width="14.85546875" style="36" bestFit="1" customWidth="1"/>
    <col min="9732" max="9732" width="9.7109375" style="36" customWidth="1"/>
    <col min="9733" max="9733" width="4.85546875" style="36" customWidth="1"/>
    <col min="9734" max="9978" width="9.140625" style="36"/>
    <col min="9979" max="9979" width="5.42578125" style="36" bestFit="1" customWidth="1"/>
    <col min="9980" max="9980" width="20.42578125" style="36" bestFit="1" customWidth="1"/>
    <col min="9981" max="9981" width="41.42578125" style="36" customWidth="1"/>
    <col min="9982" max="9982" width="15.28515625" style="36" bestFit="1" customWidth="1"/>
    <col min="9983" max="9983" width="16.7109375" style="36" bestFit="1" customWidth="1"/>
    <col min="9984" max="9984" width="11.28515625" style="36" bestFit="1" customWidth="1"/>
    <col min="9985" max="9985" width="14" style="36" bestFit="1" customWidth="1"/>
    <col min="9986" max="9986" width="11.85546875" style="36" bestFit="1" customWidth="1"/>
    <col min="9987" max="9987" width="14.85546875" style="36" bestFit="1" customWidth="1"/>
    <col min="9988" max="9988" width="9.7109375" style="36" customWidth="1"/>
    <col min="9989" max="9989" width="4.85546875" style="36" customWidth="1"/>
    <col min="9990" max="10234" width="9.140625" style="36"/>
    <col min="10235" max="10235" width="5.42578125" style="36" bestFit="1" customWidth="1"/>
    <col min="10236" max="10236" width="20.42578125" style="36" bestFit="1" customWidth="1"/>
    <col min="10237" max="10237" width="41.42578125" style="36" customWidth="1"/>
    <col min="10238" max="10238" width="15.28515625" style="36" bestFit="1" customWidth="1"/>
    <col min="10239" max="10239" width="16.7109375" style="36" bestFit="1" customWidth="1"/>
    <col min="10240" max="10240" width="11.28515625" style="36" bestFit="1" customWidth="1"/>
    <col min="10241" max="10241" width="14" style="36" bestFit="1" customWidth="1"/>
    <col min="10242" max="10242" width="11.85546875" style="36" bestFit="1" customWidth="1"/>
    <col min="10243" max="10243" width="14.85546875" style="36" bestFit="1" customWidth="1"/>
    <col min="10244" max="10244" width="9.7109375" style="36" customWidth="1"/>
    <col min="10245" max="10245" width="4.85546875" style="36" customWidth="1"/>
    <col min="10246" max="10490" width="9.140625" style="36"/>
    <col min="10491" max="10491" width="5.42578125" style="36" bestFit="1" customWidth="1"/>
    <col min="10492" max="10492" width="20.42578125" style="36" bestFit="1" customWidth="1"/>
    <col min="10493" max="10493" width="41.42578125" style="36" customWidth="1"/>
    <col min="10494" max="10494" width="15.28515625" style="36" bestFit="1" customWidth="1"/>
    <col min="10495" max="10495" width="16.7109375" style="36" bestFit="1" customWidth="1"/>
    <col min="10496" max="10496" width="11.28515625" style="36" bestFit="1" customWidth="1"/>
    <col min="10497" max="10497" width="14" style="36" bestFit="1" customWidth="1"/>
    <col min="10498" max="10498" width="11.85546875" style="36" bestFit="1" customWidth="1"/>
    <col min="10499" max="10499" width="14.85546875" style="36" bestFit="1" customWidth="1"/>
    <col min="10500" max="10500" width="9.7109375" style="36" customWidth="1"/>
    <col min="10501" max="10501" width="4.85546875" style="36" customWidth="1"/>
    <col min="10502" max="10746" width="9.140625" style="36"/>
    <col min="10747" max="10747" width="5.42578125" style="36" bestFit="1" customWidth="1"/>
    <col min="10748" max="10748" width="20.42578125" style="36" bestFit="1" customWidth="1"/>
    <col min="10749" max="10749" width="41.42578125" style="36" customWidth="1"/>
    <col min="10750" max="10750" width="15.28515625" style="36" bestFit="1" customWidth="1"/>
    <col min="10751" max="10751" width="16.7109375" style="36" bestFit="1" customWidth="1"/>
    <col min="10752" max="10752" width="11.28515625" style="36" bestFit="1" customWidth="1"/>
    <col min="10753" max="10753" width="14" style="36" bestFit="1" customWidth="1"/>
    <col min="10754" max="10754" width="11.85546875" style="36" bestFit="1" customWidth="1"/>
    <col min="10755" max="10755" width="14.85546875" style="36" bestFit="1" customWidth="1"/>
    <col min="10756" max="10756" width="9.7109375" style="36" customWidth="1"/>
    <col min="10757" max="10757" width="4.85546875" style="36" customWidth="1"/>
    <col min="10758" max="11002" width="9.140625" style="36"/>
    <col min="11003" max="11003" width="5.42578125" style="36" bestFit="1" customWidth="1"/>
    <col min="11004" max="11004" width="20.42578125" style="36" bestFit="1" customWidth="1"/>
    <col min="11005" max="11005" width="41.42578125" style="36" customWidth="1"/>
    <col min="11006" max="11006" width="15.28515625" style="36" bestFit="1" customWidth="1"/>
    <col min="11007" max="11007" width="16.7109375" style="36" bestFit="1" customWidth="1"/>
    <col min="11008" max="11008" width="11.28515625" style="36" bestFit="1" customWidth="1"/>
    <col min="11009" max="11009" width="14" style="36" bestFit="1" customWidth="1"/>
    <col min="11010" max="11010" width="11.85546875" style="36" bestFit="1" customWidth="1"/>
    <col min="11011" max="11011" width="14.85546875" style="36" bestFit="1" customWidth="1"/>
    <col min="11012" max="11012" width="9.7109375" style="36" customWidth="1"/>
    <col min="11013" max="11013" width="4.85546875" style="36" customWidth="1"/>
    <col min="11014" max="11258" width="9.140625" style="36"/>
    <col min="11259" max="11259" width="5.42578125" style="36" bestFit="1" customWidth="1"/>
    <col min="11260" max="11260" width="20.42578125" style="36" bestFit="1" customWidth="1"/>
    <col min="11261" max="11261" width="41.42578125" style="36" customWidth="1"/>
    <col min="11262" max="11262" width="15.28515625" style="36" bestFit="1" customWidth="1"/>
    <col min="11263" max="11263" width="16.7109375" style="36" bestFit="1" customWidth="1"/>
    <col min="11264" max="11264" width="11.28515625" style="36" bestFit="1" customWidth="1"/>
    <col min="11265" max="11265" width="14" style="36" bestFit="1" customWidth="1"/>
    <col min="11266" max="11266" width="11.85546875" style="36" bestFit="1" customWidth="1"/>
    <col min="11267" max="11267" width="14.85546875" style="36" bestFit="1" customWidth="1"/>
    <col min="11268" max="11268" width="9.7109375" style="36" customWidth="1"/>
    <col min="11269" max="11269" width="4.85546875" style="36" customWidth="1"/>
    <col min="11270" max="11514" width="9.140625" style="36"/>
    <col min="11515" max="11515" width="5.42578125" style="36" bestFit="1" customWidth="1"/>
    <col min="11516" max="11516" width="20.42578125" style="36" bestFit="1" customWidth="1"/>
    <col min="11517" max="11517" width="41.42578125" style="36" customWidth="1"/>
    <col min="11518" max="11518" width="15.28515625" style="36" bestFit="1" customWidth="1"/>
    <col min="11519" max="11519" width="16.7109375" style="36" bestFit="1" customWidth="1"/>
    <col min="11520" max="11520" width="11.28515625" style="36" bestFit="1" customWidth="1"/>
    <col min="11521" max="11521" width="14" style="36" bestFit="1" customWidth="1"/>
    <col min="11522" max="11522" width="11.85546875" style="36" bestFit="1" customWidth="1"/>
    <col min="11523" max="11523" width="14.85546875" style="36" bestFit="1" customWidth="1"/>
    <col min="11524" max="11524" width="9.7109375" style="36" customWidth="1"/>
    <col min="11525" max="11525" width="4.85546875" style="36" customWidth="1"/>
    <col min="11526" max="11770" width="9.140625" style="36"/>
    <col min="11771" max="11771" width="5.42578125" style="36" bestFit="1" customWidth="1"/>
    <col min="11772" max="11772" width="20.42578125" style="36" bestFit="1" customWidth="1"/>
    <col min="11773" max="11773" width="41.42578125" style="36" customWidth="1"/>
    <col min="11774" max="11774" width="15.28515625" style="36" bestFit="1" customWidth="1"/>
    <col min="11775" max="11775" width="16.7109375" style="36" bestFit="1" customWidth="1"/>
    <col min="11776" max="11776" width="11.28515625" style="36" bestFit="1" customWidth="1"/>
    <col min="11777" max="11777" width="14" style="36" bestFit="1" customWidth="1"/>
    <col min="11778" max="11778" width="11.85546875" style="36" bestFit="1" customWidth="1"/>
    <col min="11779" max="11779" width="14.85546875" style="36" bestFit="1" customWidth="1"/>
    <col min="11780" max="11780" width="9.7109375" style="36" customWidth="1"/>
    <col min="11781" max="11781" width="4.85546875" style="36" customWidth="1"/>
    <col min="11782" max="12026" width="9.140625" style="36"/>
    <col min="12027" max="12027" width="5.42578125" style="36" bestFit="1" customWidth="1"/>
    <col min="12028" max="12028" width="20.42578125" style="36" bestFit="1" customWidth="1"/>
    <col min="12029" max="12029" width="41.42578125" style="36" customWidth="1"/>
    <col min="12030" max="12030" width="15.28515625" style="36" bestFit="1" customWidth="1"/>
    <col min="12031" max="12031" width="16.7109375" style="36" bestFit="1" customWidth="1"/>
    <col min="12032" max="12032" width="11.28515625" style="36" bestFit="1" customWidth="1"/>
    <col min="12033" max="12033" width="14" style="36" bestFit="1" customWidth="1"/>
    <col min="12034" max="12034" width="11.85546875" style="36" bestFit="1" customWidth="1"/>
    <col min="12035" max="12035" width="14.85546875" style="36" bestFit="1" customWidth="1"/>
    <col min="12036" max="12036" width="9.7109375" style="36" customWidth="1"/>
    <col min="12037" max="12037" width="4.85546875" style="36" customWidth="1"/>
    <col min="12038" max="12282" width="9.140625" style="36"/>
    <col min="12283" max="12283" width="5.42578125" style="36" bestFit="1" customWidth="1"/>
    <col min="12284" max="12284" width="20.42578125" style="36" bestFit="1" customWidth="1"/>
    <col min="12285" max="12285" width="41.42578125" style="36" customWidth="1"/>
    <col min="12286" max="12286" width="15.28515625" style="36" bestFit="1" customWidth="1"/>
    <col min="12287" max="12287" width="16.7109375" style="36" bestFit="1" customWidth="1"/>
    <col min="12288" max="12288" width="11.28515625" style="36" bestFit="1" customWidth="1"/>
    <col min="12289" max="12289" width="14" style="36" bestFit="1" customWidth="1"/>
    <col min="12290" max="12290" width="11.85546875" style="36" bestFit="1" customWidth="1"/>
    <col min="12291" max="12291" width="14.85546875" style="36" bestFit="1" customWidth="1"/>
    <col min="12292" max="12292" width="9.7109375" style="36" customWidth="1"/>
    <col min="12293" max="12293" width="4.85546875" style="36" customWidth="1"/>
    <col min="12294" max="12538" width="9.140625" style="36"/>
    <col min="12539" max="12539" width="5.42578125" style="36" bestFit="1" customWidth="1"/>
    <col min="12540" max="12540" width="20.42578125" style="36" bestFit="1" customWidth="1"/>
    <col min="12541" max="12541" width="41.42578125" style="36" customWidth="1"/>
    <col min="12542" max="12542" width="15.28515625" style="36" bestFit="1" customWidth="1"/>
    <col min="12543" max="12543" width="16.7109375" style="36" bestFit="1" customWidth="1"/>
    <col min="12544" max="12544" width="11.28515625" style="36" bestFit="1" customWidth="1"/>
    <col min="12545" max="12545" width="14" style="36" bestFit="1" customWidth="1"/>
    <col min="12546" max="12546" width="11.85546875" style="36" bestFit="1" customWidth="1"/>
    <col min="12547" max="12547" width="14.85546875" style="36" bestFit="1" customWidth="1"/>
    <col min="12548" max="12548" width="9.7109375" style="36" customWidth="1"/>
    <col min="12549" max="12549" width="4.85546875" style="36" customWidth="1"/>
    <col min="12550" max="12794" width="9.140625" style="36"/>
    <col min="12795" max="12795" width="5.42578125" style="36" bestFit="1" customWidth="1"/>
    <col min="12796" max="12796" width="20.42578125" style="36" bestFit="1" customWidth="1"/>
    <col min="12797" max="12797" width="41.42578125" style="36" customWidth="1"/>
    <col min="12798" max="12798" width="15.28515625" style="36" bestFit="1" customWidth="1"/>
    <col min="12799" max="12799" width="16.7109375" style="36" bestFit="1" customWidth="1"/>
    <col min="12800" max="12800" width="11.28515625" style="36" bestFit="1" customWidth="1"/>
    <col min="12801" max="12801" width="14" style="36" bestFit="1" customWidth="1"/>
    <col min="12802" max="12802" width="11.85546875" style="36" bestFit="1" customWidth="1"/>
    <col min="12803" max="12803" width="14.85546875" style="36" bestFit="1" customWidth="1"/>
    <col min="12804" max="12804" width="9.7109375" style="36" customWidth="1"/>
    <col min="12805" max="12805" width="4.85546875" style="36" customWidth="1"/>
    <col min="12806" max="13050" width="9.140625" style="36"/>
    <col min="13051" max="13051" width="5.42578125" style="36" bestFit="1" customWidth="1"/>
    <col min="13052" max="13052" width="20.42578125" style="36" bestFit="1" customWidth="1"/>
    <col min="13053" max="13053" width="41.42578125" style="36" customWidth="1"/>
    <col min="13054" max="13054" width="15.28515625" style="36" bestFit="1" customWidth="1"/>
    <col min="13055" max="13055" width="16.7109375" style="36" bestFit="1" customWidth="1"/>
    <col min="13056" max="13056" width="11.28515625" style="36" bestFit="1" customWidth="1"/>
    <col min="13057" max="13057" width="14" style="36" bestFit="1" customWidth="1"/>
    <col min="13058" max="13058" width="11.85546875" style="36" bestFit="1" customWidth="1"/>
    <col min="13059" max="13059" width="14.85546875" style="36" bestFit="1" customWidth="1"/>
    <col min="13060" max="13060" width="9.7109375" style="36" customWidth="1"/>
    <col min="13061" max="13061" width="4.85546875" style="36" customWidth="1"/>
    <col min="13062" max="13306" width="9.140625" style="36"/>
    <col min="13307" max="13307" width="5.42578125" style="36" bestFit="1" customWidth="1"/>
    <col min="13308" max="13308" width="20.42578125" style="36" bestFit="1" customWidth="1"/>
    <col min="13309" max="13309" width="41.42578125" style="36" customWidth="1"/>
    <col min="13310" max="13310" width="15.28515625" style="36" bestFit="1" customWidth="1"/>
    <col min="13311" max="13311" width="16.7109375" style="36" bestFit="1" customWidth="1"/>
    <col min="13312" max="13312" width="11.28515625" style="36" bestFit="1" customWidth="1"/>
    <col min="13313" max="13313" width="14" style="36" bestFit="1" customWidth="1"/>
    <col min="13314" max="13314" width="11.85546875" style="36" bestFit="1" customWidth="1"/>
    <col min="13315" max="13315" width="14.85546875" style="36" bestFit="1" customWidth="1"/>
    <col min="13316" max="13316" width="9.7109375" style="36" customWidth="1"/>
    <col min="13317" max="13317" width="4.85546875" style="36" customWidth="1"/>
    <col min="13318" max="13562" width="9.140625" style="36"/>
    <col min="13563" max="13563" width="5.42578125" style="36" bestFit="1" customWidth="1"/>
    <col min="13564" max="13564" width="20.42578125" style="36" bestFit="1" customWidth="1"/>
    <col min="13565" max="13565" width="41.42578125" style="36" customWidth="1"/>
    <col min="13566" max="13566" width="15.28515625" style="36" bestFit="1" customWidth="1"/>
    <col min="13567" max="13567" width="16.7109375" style="36" bestFit="1" customWidth="1"/>
    <col min="13568" max="13568" width="11.28515625" style="36" bestFit="1" customWidth="1"/>
    <col min="13569" max="13569" width="14" style="36" bestFit="1" customWidth="1"/>
    <col min="13570" max="13570" width="11.85546875" style="36" bestFit="1" customWidth="1"/>
    <col min="13571" max="13571" width="14.85546875" style="36" bestFit="1" customWidth="1"/>
    <col min="13572" max="13572" width="9.7109375" style="36" customWidth="1"/>
    <col min="13573" max="13573" width="4.85546875" style="36" customWidth="1"/>
    <col min="13574" max="13818" width="9.140625" style="36"/>
    <col min="13819" max="13819" width="5.42578125" style="36" bestFit="1" customWidth="1"/>
    <col min="13820" max="13820" width="20.42578125" style="36" bestFit="1" customWidth="1"/>
    <col min="13821" max="13821" width="41.42578125" style="36" customWidth="1"/>
    <col min="13822" max="13822" width="15.28515625" style="36" bestFit="1" customWidth="1"/>
    <col min="13823" max="13823" width="16.7109375" style="36" bestFit="1" customWidth="1"/>
    <col min="13824" max="13824" width="11.28515625" style="36" bestFit="1" customWidth="1"/>
    <col min="13825" max="13825" width="14" style="36" bestFit="1" customWidth="1"/>
    <col min="13826" max="13826" width="11.85546875" style="36" bestFit="1" customWidth="1"/>
    <col min="13827" max="13827" width="14.85546875" style="36" bestFit="1" customWidth="1"/>
    <col min="13828" max="13828" width="9.7109375" style="36" customWidth="1"/>
    <col min="13829" max="13829" width="4.85546875" style="36" customWidth="1"/>
    <col min="13830" max="14074" width="9.140625" style="36"/>
    <col min="14075" max="14075" width="5.42578125" style="36" bestFit="1" customWidth="1"/>
    <col min="14076" max="14076" width="20.42578125" style="36" bestFit="1" customWidth="1"/>
    <col min="14077" max="14077" width="41.42578125" style="36" customWidth="1"/>
    <col min="14078" max="14078" width="15.28515625" style="36" bestFit="1" customWidth="1"/>
    <col min="14079" max="14079" width="16.7109375" style="36" bestFit="1" customWidth="1"/>
    <col min="14080" max="14080" width="11.28515625" style="36" bestFit="1" customWidth="1"/>
    <col min="14081" max="14081" width="14" style="36" bestFit="1" customWidth="1"/>
    <col min="14082" max="14082" width="11.85546875" style="36" bestFit="1" customWidth="1"/>
    <col min="14083" max="14083" width="14.85546875" style="36" bestFit="1" customWidth="1"/>
    <col min="14084" max="14084" width="9.7109375" style="36" customWidth="1"/>
    <col min="14085" max="14085" width="4.85546875" style="36" customWidth="1"/>
    <col min="14086" max="14330" width="9.140625" style="36"/>
    <col min="14331" max="14331" width="5.42578125" style="36" bestFit="1" customWidth="1"/>
    <col min="14332" max="14332" width="20.42578125" style="36" bestFit="1" customWidth="1"/>
    <col min="14333" max="14333" width="41.42578125" style="36" customWidth="1"/>
    <col min="14334" max="14334" width="15.28515625" style="36" bestFit="1" customWidth="1"/>
    <col min="14335" max="14335" width="16.7109375" style="36" bestFit="1" customWidth="1"/>
    <col min="14336" max="14336" width="11.28515625" style="36" bestFit="1" customWidth="1"/>
    <col min="14337" max="14337" width="14" style="36" bestFit="1" customWidth="1"/>
    <col min="14338" max="14338" width="11.85546875" style="36" bestFit="1" customWidth="1"/>
    <col min="14339" max="14339" width="14.85546875" style="36" bestFit="1" customWidth="1"/>
    <col min="14340" max="14340" width="9.7109375" style="36" customWidth="1"/>
    <col min="14341" max="14341" width="4.85546875" style="36" customWidth="1"/>
    <col min="14342" max="14586" width="9.140625" style="36"/>
    <col min="14587" max="14587" width="5.42578125" style="36" bestFit="1" customWidth="1"/>
    <col min="14588" max="14588" width="20.42578125" style="36" bestFit="1" customWidth="1"/>
    <col min="14589" max="14589" width="41.42578125" style="36" customWidth="1"/>
    <col min="14590" max="14590" width="15.28515625" style="36" bestFit="1" customWidth="1"/>
    <col min="14591" max="14591" width="16.7109375" style="36" bestFit="1" customWidth="1"/>
    <col min="14592" max="14592" width="11.28515625" style="36" bestFit="1" customWidth="1"/>
    <col min="14593" max="14593" width="14" style="36" bestFit="1" customWidth="1"/>
    <col min="14594" max="14594" width="11.85546875" style="36" bestFit="1" customWidth="1"/>
    <col min="14595" max="14595" width="14.85546875" style="36" bestFit="1" customWidth="1"/>
    <col min="14596" max="14596" width="9.7109375" style="36" customWidth="1"/>
    <col min="14597" max="14597" width="4.85546875" style="36" customWidth="1"/>
    <col min="14598" max="14842" width="9.140625" style="36"/>
    <col min="14843" max="14843" width="5.42578125" style="36" bestFit="1" customWidth="1"/>
    <col min="14844" max="14844" width="20.42578125" style="36" bestFit="1" customWidth="1"/>
    <col min="14845" max="14845" width="41.42578125" style="36" customWidth="1"/>
    <col min="14846" max="14846" width="15.28515625" style="36" bestFit="1" customWidth="1"/>
    <col min="14847" max="14847" width="16.7109375" style="36" bestFit="1" customWidth="1"/>
    <col min="14848" max="14848" width="11.28515625" style="36" bestFit="1" customWidth="1"/>
    <col min="14849" max="14849" width="14" style="36" bestFit="1" customWidth="1"/>
    <col min="14850" max="14850" width="11.85546875" style="36" bestFit="1" customWidth="1"/>
    <col min="14851" max="14851" width="14.85546875" style="36" bestFit="1" customWidth="1"/>
    <col min="14852" max="14852" width="9.7109375" style="36" customWidth="1"/>
    <col min="14853" max="14853" width="4.85546875" style="36" customWidth="1"/>
    <col min="14854" max="15098" width="9.140625" style="36"/>
    <col min="15099" max="15099" width="5.42578125" style="36" bestFit="1" customWidth="1"/>
    <col min="15100" max="15100" width="20.42578125" style="36" bestFit="1" customWidth="1"/>
    <col min="15101" max="15101" width="41.42578125" style="36" customWidth="1"/>
    <col min="15102" max="15102" width="15.28515625" style="36" bestFit="1" customWidth="1"/>
    <col min="15103" max="15103" width="16.7109375" style="36" bestFit="1" customWidth="1"/>
    <col min="15104" max="15104" width="11.28515625" style="36" bestFit="1" customWidth="1"/>
    <col min="15105" max="15105" width="14" style="36" bestFit="1" customWidth="1"/>
    <col min="15106" max="15106" width="11.85546875" style="36" bestFit="1" customWidth="1"/>
    <col min="15107" max="15107" width="14.85546875" style="36" bestFit="1" customWidth="1"/>
    <col min="15108" max="15108" width="9.7109375" style="36" customWidth="1"/>
    <col min="15109" max="15109" width="4.85546875" style="36" customWidth="1"/>
    <col min="15110" max="15354" width="9.140625" style="36"/>
    <col min="15355" max="15355" width="5.42578125" style="36" bestFit="1" customWidth="1"/>
    <col min="15356" max="15356" width="20.42578125" style="36" bestFit="1" customWidth="1"/>
    <col min="15357" max="15357" width="41.42578125" style="36" customWidth="1"/>
    <col min="15358" max="15358" width="15.28515625" style="36" bestFit="1" customWidth="1"/>
    <col min="15359" max="15359" width="16.7109375" style="36" bestFit="1" customWidth="1"/>
    <col min="15360" max="15360" width="11.28515625" style="36" bestFit="1" customWidth="1"/>
    <col min="15361" max="15361" width="14" style="36" bestFit="1" customWidth="1"/>
    <col min="15362" max="15362" width="11.85546875" style="36" bestFit="1" customWidth="1"/>
    <col min="15363" max="15363" width="14.85546875" style="36" bestFit="1" customWidth="1"/>
    <col min="15364" max="15364" width="9.7109375" style="36" customWidth="1"/>
    <col min="15365" max="15365" width="4.85546875" style="36" customWidth="1"/>
    <col min="15366" max="15610" width="9.140625" style="36"/>
    <col min="15611" max="15611" width="5.42578125" style="36" bestFit="1" customWidth="1"/>
    <col min="15612" max="15612" width="20.42578125" style="36" bestFit="1" customWidth="1"/>
    <col min="15613" max="15613" width="41.42578125" style="36" customWidth="1"/>
    <col min="15614" max="15614" width="15.28515625" style="36" bestFit="1" customWidth="1"/>
    <col min="15615" max="15615" width="16.7109375" style="36" bestFit="1" customWidth="1"/>
    <col min="15616" max="15616" width="11.28515625" style="36" bestFit="1" customWidth="1"/>
    <col min="15617" max="15617" width="14" style="36" bestFit="1" customWidth="1"/>
    <col min="15618" max="15618" width="11.85546875" style="36" bestFit="1" customWidth="1"/>
    <col min="15619" max="15619" width="14.85546875" style="36" bestFit="1" customWidth="1"/>
    <col min="15620" max="15620" width="9.7109375" style="36" customWidth="1"/>
    <col min="15621" max="15621" width="4.85546875" style="36" customWidth="1"/>
    <col min="15622" max="15866" width="9.140625" style="36"/>
    <col min="15867" max="15867" width="5.42578125" style="36" bestFit="1" customWidth="1"/>
    <col min="15868" max="15868" width="20.42578125" style="36" bestFit="1" customWidth="1"/>
    <col min="15869" max="15869" width="41.42578125" style="36" customWidth="1"/>
    <col min="15870" max="15870" width="15.28515625" style="36" bestFit="1" customWidth="1"/>
    <col min="15871" max="15871" width="16.7109375" style="36" bestFit="1" customWidth="1"/>
    <col min="15872" max="15872" width="11.28515625" style="36" bestFit="1" customWidth="1"/>
    <col min="15873" max="15873" width="14" style="36" bestFit="1" customWidth="1"/>
    <col min="15874" max="15874" width="11.85546875" style="36" bestFit="1" customWidth="1"/>
    <col min="15875" max="15875" width="14.85546875" style="36" bestFit="1" customWidth="1"/>
    <col min="15876" max="15876" width="9.7109375" style="36" customWidth="1"/>
    <col min="15877" max="15877" width="4.85546875" style="36" customWidth="1"/>
    <col min="15878" max="16122" width="9.140625" style="36"/>
    <col min="16123" max="16123" width="5.42578125" style="36" bestFit="1" customWidth="1"/>
    <col min="16124" max="16124" width="20.42578125" style="36" bestFit="1" customWidth="1"/>
    <col min="16125" max="16125" width="41.42578125" style="36" customWidth="1"/>
    <col min="16126" max="16126" width="15.28515625" style="36" bestFit="1" customWidth="1"/>
    <col min="16127" max="16127" width="16.7109375" style="36" bestFit="1" customWidth="1"/>
    <col min="16128" max="16128" width="11.28515625" style="36" bestFit="1" customWidth="1"/>
    <col min="16129" max="16129" width="14" style="36" bestFit="1" customWidth="1"/>
    <col min="16130" max="16130" width="11.85546875" style="36" bestFit="1" customWidth="1"/>
    <col min="16131" max="16131" width="14.85546875" style="36" bestFit="1" customWidth="1"/>
    <col min="16132" max="16132" width="9.7109375" style="36" customWidth="1"/>
    <col min="16133" max="16133" width="4.85546875" style="36" customWidth="1"/>
    <col min="16134" max="16384" width="9.140625" style="36"/>
  </cols>
  <sheetData>
    <row r="1" spans="1:14" x14ac:dyDescent="0.25">
      <c r="A1" s="231" t="s">
        <v>0</v>
      </c>
      <c r="B1" s="231"/>
      <c r="C1" s="231"/>
      <c r="D1" s="231"/>
      <c r="E1" s="231"/>
      <c r="F1" s="231"/>
      <c r="G1" s="231"/>
      <c r="H1" s="231"/>
    </row>
    <row r="2" spans="1:14" x14ac:dyDescent="0.25">
      <c r="A2" s="232" t="s">
        <v>804</v>
      </c>
      <c r="B2" s="232"/>
      <c r="C2" s="232"/>
      <c r="D2" s="232"/>
      <c r="E2" s="232"/>
      <c r="F2" s="232"/>
      <c r="G2" s="232"/>
      <c r="H2" s="232"/>
      <c r="J2" s="202" t="s">
        <v>1031</v>
      </c>
      <c r="K2" s="202"/>
      <c r="L2" s="202"/>
      <c r="M2" s="202"/>
      <c r="N2" s="202"/>
    </row>
    <row r="3" spans="1:14" x14ac:dyDescent="0.25">
      <c r="A3" s="233" t="s">
        <v>805</v>
      </c>
      <c r="B3" s="233"/>
      <c r="C3" s="233"/>
      <c r="D3" s="233"/>
      <c r="E3" s="233"/>
      <c r="F3" s="233"/>
      <c r="G3" s="233"/>
      <c r="H3" s="233"/>
    </row>
    <row r="4" spans="1:14" s="160" customFormat="1" ht="45" x14ac:dyDescent="0.2">
      <c r="A4" s="37" t="s">
        <v>806</v>
      </c>
      <c r="B4" s="37" t="s">
        <v>807</v>
      </c>
      <c r="C4" s="37" t="s">
        <v>808</v>
      </c>
      <c r="D4" s="37" t="s">
        <v>809</v>
      </c>
      <c r="E4" s="37" t="s">
        <v>6</v>
      </c>
      <c r="F4" s="37" t="s">
        <v>7</v>
      </c>
      <c r="G4" s="37" t="s">
        <v>8</v>
      </c>
      <c r="H4" s="38" t="s">
        <v>810</v>
      </c>
    </row>
    <row r="5" spans="1:14" ht="26.25" x14ac:dyDescent="0.25">
      <c r="A5" s="39"/>
      <c r="B5" s="39"/>
      <c r="C5" s="40" t="s">
        <v>811</v>
      </c>
      <c r="D5" s="39"/>
      <c r="E5" s="39"/>
      <c r="F5" s="41"/>
      <c r="G5" s="41"/>
      <c r="H5" s="42"/>
    </row>
    <row r="6" spans="1:14" ht="26.25" x14ac:dyDescent="0.25">
      <c r="A6" s="39">
        <v>1</v>
      </c>
      <c r="B6" s="39" t="s">
        <v>812</v>
      </c>
      <c r="C6" s="43" t="s">
        <v>813</v>
      </c>
      <c r="D6" s="39" t="s">
        <v>814</v>
      </c>
      <c r="E6" s="44">
        <v>9211979.1630000006</v>
      </c>
      <c r="F6" s="45">
        <v>8762.5067204999996</v>
      </c>
      <c r="G6" s="46">
        <f>F6/$F$18*100</f>
        <v>98.559647885346521</v>
      </c>
      <c r="H6" s="42"/>
      <c r="I6" s="47"/>
      <c r="K6" s="48"/>
    </row>
    <row r="7" spans="1:14" x14ac:dyDescent="0.25">
      <c r="A7" s="49"/>
      <c r="B7" s="42"/>
      <c r="C7" s="42"/>
      <c r="D7" s="42"/>
      <c r="E7" s="42"/>
      <c r="F7" s="42"/>
      <c r="G7" s="42"/>
      <c r="H7" s="50"/>
    </row>
    <row r="8" spans="1:14" ht="25.5" x14ac:dyDescent="0.25">
      <c r="A8" s="51"/>
      <c r="B8" s="51"/>
      <c r="C8" s="52" t="s">
        <v>815</v>
      </c>
      <c r="D8" s="52"/>
      <c r="E8" s="53"/>
      <c r="F8" s="54">
        <f>F6</f>
        <v>8762.5067204999996</v>
      </c>
      <c r="G8" s="55">
        <f>G6</f>
        <v>98.559647885346521</v>
      </c>
      <c r="H8" s="56"/>
    </row>
    <row r="9" spans="1:14" x14ac:dyDescent="0.25">
      <c r="A9" s="51"/>
      <c r="B9" s="51"/>
      <c r="C9" s="51"/>
      <c r="D9" s="51"/>
      <c r="E9" s="51"/>
      <c r="F9" s="57"/>
      <c r="G9" s="51"/>
      <c r="H9" s="42"/>
    </row>
    <row r="10" spans="1:14" x14ac:dyDescent="0.25">
      <c r="A10" s="39"/>
      <c r="B10" s="39"/>
      <c r="C10" s="58" t="s">
        <v>816</v>
      </c>
      <c r="D10" s="58"/>
      <c r="E10" s="58"/>
      <c r="F10" s="59"/>
      <c r="G10" s="51"/>
      <c r="H10" s="42"/>
    </row>
    <row r="11" spans="1:14" x14ac:dyDescent="0.25">
      <c r="A11" s="51"/>
      <c r="B11" s="51"/>
      <c r="C11" s="60" t="s">
        <v>124</v>
      </c>
      <c r="D11" s="58"/>
      <c r="E11" s="58"/>
      <c r="F11" s="61">
        <v>160.681173683</v>
      </c>
      <c r="G11" s="46">
        <f>F11/$F$18*100</f>
        <v>1.8073229961639365</v>
      </c>
      <c r="H11" s="62">
        <v>3.32</v>
      </c>
    </row>
    <row r="12" spans="1:14" x14ac:dyDescent="0.25">
      <c r="A12" s="51"/>
      <c r="B12" s="51"/>
      <c r="C12" s="60" t="s">
        <v>817</v>
      </c>
      <c r="D12" s="58"/>
      <c r="E12" s="58"/>
      <c r="F12" s="61">
        <v>0</v>
      </c>
      <c r="G12" s="61">
        <f>F12/$F$18*100</f>
        <v>0</v>
      </c>
      <c r="H12" s="62"/>
    </row>
    <row r="13" spans="1:14" x14ac:dyDescent="0.25">
      <c r="A13" s="51"/>
      <c r="B13" s="51"/>
      <c r="C13" s="60"/>
      <c r="D13" s="58"/>
      <c r="E13" s="58"/>
      <c r="F13" s="61"/>
      <c r="G13" s="46"/>
      <c r="H13" s="42"/>
    </row>
    <row r="14" spans="1:14" x14ac:dyDescent="0.25">
      <c r="A14" s="51"/>
      <c r="B14" s="51"/>
      <c r="C14" s="63" t="s">
        <v>125</v>
      </c>
      <c r="D14" s="51"/>
      <c r="E14" s="51"/>
      <c r="F14" s="64">
        <f>SUM(F11:F12)</f>
        <v>160.681173683</v>
      </c>
      <c r="G14" s="55">
        <f>SUM(G11:G13)</f>
        <v>1.8073229961639365</v>
      </c>
      <c r="H14" s="42"/>
      <c r="J14" s="163" t="s">
        <v>1050</v>
      </c>
    </row>
    <row r="15" spans="1:14" x14ac:dyDescent="0.25">
      <c r="A15" s="51"/>
      <c r="B15" s="51"/>
      <c r="C15" s="51"/>
      <c r="D15" s="51"/>
      <c r="E15" s="51"/>
      <c r="F15" s="57"/>
      <c r="G15" s="51"/>
      <c r="H15" s="42"/>
    </row>
    <row r="16" spans="1:14" x14ac:dyDescent="0.25">
      <c r="A16" s="51"/>
      <c r="B16" s="51"/>
      <c r="C16" s="60" t="s">
        <v>818</v>
      </c>
      <c r="D16" s="58"/>
      <c r="E16" s="58"/>
      <c r="F16" s="61">
        <f>F18-F14-F8</f>
        <v>-32.625774182999521</v>
      </c>
      <c r="G16" s="61">
        <f>F16/$F$18*100</f>
        <v>-0.36697088151046536</v>
      </c>
      <c r="H16" s="65"/>
    </row>
    <row r="17" spans="1:9" x14ac:dyDescent="0.25">
      <c r="A17" s="51"/>
      <c r="B17" s="51"/>
      <c r="C17" s="51"/>
      <c r="D17" s="51"/>
      <c r="E17" s="51"/>
      <c r="F17" s="57"/>
      <c r="G17" s="51"/>
      <c r="H17" s="42"/>
    </row>
    <row r="18" spans="1:9" x14ac:dyDescent="0.25">
      <c r="A18" s="51"/>
      <c r="B18" s="51"/>
      <c r="C18" s="63" t="s">
        <v>132</v>
      </c>
      <c r="D18" s="51"/>
      <c r="E18" s="51"/>
      <c r="F18" s="64">
        <v>8890.5621200000005</v>
      </c>
      <c r="G18" s="66">
        <f>G16+G14+G8</f>
        <v>99.999999999999986</v>
      </c>
      <c r="H18" s="67"/>
      <c r="I18" s="47"/>
    </row>
    <row r="19" spans="1:9" x14ac:dyDescent="0.25">
      <c r="F19" s="68"/>
      <c r="H19" s="69"/>
    </row>
    <row r="20" spans="1:9" x14ac:dyDescent="0.25">
      <c r="B20" s="70" t="s">
        <v>134</v>
      </c>
      <c r="C20" s="71"/>
      <c r="D20" s="71"/>
      <c r="E20" s="71"/>
      <c r="F20" s="72"/>
      <c r="G20" s="71"/>
    </row>
    <row r="21" spans="1:9" x14ac:dyDescent="0.25">
      <c r="B21" s="71" t="s">
        <v>819</v>
      </c>
      <c r="C21" s="71"/>
      <c r="D21" s="71"/>
      <c r="E21" s="71"/>
      <c r="F21" s="73"/>
      <c r="G21" s="73"/>
    </row>
    <row r="22" spans="1:9" x14ac:dyDescent="0.25">
      <c r="B22" s="229" t="s">
        <v>820</v>
      </c>
      <c r="C22" s="229"/>
      <c r="D22" s="71"/>
      <c r="E22" s="71"/>
      <c r="F22" s="74"/>
      <c r="G22" s="74"/>
    </row>
    <row r="23" spans="1:9" x14ac:dyDescent="0.25">
      <c r="B23" s="229" t="s">
        <v>138</v>
      </c>
      <c r="C23" s="229"/>
      <c r="D23" s="75"/>
      <c r="E23" s="75"/>
      <c r="F23" s="71" t="s">
        <v>821</v>
      </c>
      <c r="G23" s="71"/>
    </row>
    <row r="24" spans="1:9" x14ac:dyDescent="0.25">
      <c r="B24" s="76"/>
      <c r="C24" s="76"/>
      <c r="D24" s="75"/>
      <c r="E24" s="75"/>
      <c r="F24" s="71"/>
      <c r="G24" s="71"/>
    </row>
    <row r="25" spans="1:9" x14ac:dyDescent="0.25">
      <c r="B25" s="77"/>
      <c r="C25" s="78" t="s">
        <v>139</v>
      </c>
      <c r="D25" s="78" t="s">
        <v>140</v>
      </c>
      <c r="E25" s="79"/>
      <c r="F25" s="79"/>
      <c r="G25" s="71"/>
    </row>
    <row r="26" spans="1:9" x14ac:dyDescent="0.25">
      <c r="B26" s="80" t="s">
        <v>822</v>
      </c>
      <c r="C26" s="81">
        <v>44439</v>
      </c>
      <c r="D26" s="81">
        <v>44469</v>
      </c>
      <c r="E26" s="82"/>
      <c r="F26" s="82"/>
      <c r="G26" s="83"/>
    </row>
    <row r="27" spans="1:9" x14ac:dyDescent="0.25">
      <c r="B27" s="84" t="s">
        <v>144</v>
      </c>
      <c r="C27" s="85">
        <v>26.4893</v>
      </c>
      <c r="D27" s="85">
        <v>25.797000000000001</v>
      </c>
      <c r="E27" s="86"/>
      <c r="F27" s="83"/>
      <c r="G27" s="83"/>
    </row>
    <row r="28" spans="1:9" x14ac:dyDescent="0.25">
      <c r="B28" s="87" t="s">
        <v>823</v>
      </c>
      <c r="C28" s="85">
        <v>23.563700000000001</v>
      </c>
      <c r="D28" s="85">
        <v>22.947700000000001</v>
      </c>
      <c r="E28" s="86"/>
      <c r="F28" s="83"/>
      <c r="G28" s="83"/>
    </row>
    <row r="29" spans="1:9" x14ac:dyDescent="0.25">
      <c r="B29" s="84" t="s">
        <v>145</v>
      </c>
      <c r="C29" s="85">
        <v>25.195599999999999</v>
      </c>
      <c r="D29" s="85">
        <v>24.5122</v>
      </c>
      <c r="E29" s="86"/>
      <c r="F29" s="83"/>
      <c r="G29" s="83"/>
    </row>
    <row r="30" spans="1:9" x14ac:dyDescent="0.25">
      <c r="B30" s="87" t="s">
        <v>824</v>
      </c>
      <c r="C30" s="85">
        <v>21.590599999999998</v>
      </c>
      <c r="D30" s="85">
        <v>21.004899999999999</v>
      </c>
      <c r="E30" s="86"/>
      <c r="F30" s="83"/>
      <c r="G30" s="83"/>
    </row>
    <row r="31" spans="1:9" x14ac:dyDescent="0.25">
      <c r="B31" s="88" t="s">
        <v>825</v>
      </c>
      <c r="C31" s="89"/>
      <c r="D31" s="89"/>
      <c r="E31" s="89"/>
      <c r="F31" s="89"/>
      <c r="G31" s="71"/>
    </row>
    <row r="32" spans="1:9" x14ac:dyDescent="0.25">
      <c r="B32" s="88"/>
      <c r="C32" s="89"/>
      <c r="D32" s="89"/>
      <c r="E32" s="89"/>
      <c r="F32" s="89"/>
      <c r="G32" s="71"/>
    </row>
    <row r="33" spans="2:7" x14ac:dyDescent="0.25">
      <c r="B33" s="234" t="s">
        <v>826</v>
      </c>
      <c r="C33" s="234"/>
      <c r="D33" s="234"/>
      <c r="E33" s="90"/>
      <c r="F33" s="90"/>
      <c r="G33" s="83"/>
    </row>
    <row r="34" spans="2:7" x14ac:dyDescent="0.25">
      <c r="B34" s="229" t="s">
        <v>827</v>
      </c>
      <c r="C34" s="229"/>
      <c r="D34" s="229"/>
      <c r="E34" s="71"/>
      <c r="F34" s="71"/>
      <c r="G34" s="71"/>
    </row>
    <row r="35" spans="2:7" x14ac:dyDescent="0.25">
      <c r="B35" s="91" t="s">
        <v>828</v>
      </c>
      <c r="C35" s="91"/>
      <c r="D35" s="91"/>
      <c r="E35" s="92"/>
      <c r="F35" s="92"/>
      <c r="G35" s="71"/>
    </row>
    <row r="36" spans="2:7" x14ac:dyDescent="0.25">
      <c r="B36" s="230" t="s">
        <v>829</v>
      </c>
      <c r="C36" s="230"/>
      <c r="D36" s="230"/>
      <c r="E36" s="83"/>
      <c r="F36" s="83"/>
      <c r="G36" s="83"/>
    </row>
  </sheetData>
  <mergeCells count="9">
    <mergeCell ref="J2:N2"/>
    <mergeCell ref="B34:D34"/>
    <mergeCell ref="B36:D36"/>
    <mergeCell ref="A1:H1"/>
    <mergeCell ref="A2:H2"/>
    <mergeCell ref="A3:H3"/>
    <mergeCell ref="B22:C22"/>
    <mergeCell ref="B23:C23"/>
    <mergeCell ref="B33:D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SRURAL</vt:lpstr>
      <vt:lpstr>SSFUND</vt:lpstr>
      <vt:lpstr>SSN100</vt:lpstr>
      <vt:lpstr>STAX</vt:lpstr>
      <vt:lpstr>SUNARF</vt:lpstr>
      <vt:lpstr>SUNBAF</vt:lpstr>
      <vt:lpstr>SUNBAL</vt:lpstr>
      <vt:lpstr>SUNBCF</vt:lpstr>
      <vt:lpstr>SUNEQF</vt:lpstr>
      <vt:lpstr>SUNESF</vt:lpstr>
      <vt:lpstr>SUNFOP</vt:lpstr>
      <vt:lpstr>SUNVALF10</vt:lpstr>
      <vt:lpstr>SUNVALF7</vt:lpstr>
      <vt:lpstr>SUNVALF9</vt:lpstr>
      <vt:lpstr>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2021-10-02T02:56:27Z</dcterms:created>
  <dcterms:modified xsi:type="dcterms:W3CDTF">2021-10-09T18:34:55Z</dcterms:modified>
</cp:coreProperties>
</file>