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D:\Review\2021-22\11. Feb 2022\"/>
    </mc:Choice>
  </mc:AlternateContent>
  <xr:revisionPtr revIDLastSave="0" documentId="13_ncr:1_{3224F717-0471-4BA8-A1B9-86082E4ABA9D}" xr6:coauthVersionLast="47" xr6:coauthVersionMax="47" xr10:uidLastSave="{00000000-0000-0000-0000-000000000000}"/>
  <bookViews>
    <workbookView xWindow="-120" yWindow="-120" windowWidth="20730" windowHeight="11160" tabRatio="760" xr2:uid="{00000000-000D-0000-FFFF-FFFF00000000}"/>
  </bookViews>
  <sheets>
    <sheet name="Index" sheetId="12" r:id="rId1"/>
    <sheet name="SFRLTP" sheetId="1" r:id="rId2"/>
    <sheet name="SFRSTP" sheetId="2" r:id="rId3"/>
    <sheet name="SFTPIS" sheetId="3" r:id="rId4"/>
    <sheet name="SMMF" sheetId="4" r:id="rId5"/>
    <sheet name="SPLDF" sheetId="5" r:id="rId6"/>
    <sheet name="SPMON" sheetId="6" r:id="rId7"/>
    <sheet name="SPSDF" sheetId="7" r:id="rId8"/>
    <sheet name="SPUSDF" sheetId="8" r:id="rId9"/>
    <sheet name="SUNBDS" sheetId="9" r:id="rId10"/>
    <sheet name="SUNMIA" sheetId="10" r:id="rId11"/>
    <sheet name="SUNONF"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21" i="9" l="1"/>
  <c r="G31" i="10"/>
  <c r="F31" i="10"/>
  <c r="G159" i="7"/>
  <c r="J120" i="9"/>
</calcChain>
</file>

<file path=xl/sharedStrings.xml><?xml version="1.0" encoding="utf-8"?>
<sst xmlns="http://schemas.openxmlformats.org/spreadsheetml/2006/main" count="2389" uniqueCount="647">
  <si>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</si>
  <si>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</si>
  <si>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</si>
  <si>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</si>
  <si>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</si>
  <si>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</si>
  <si>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</si>
  <si>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</si>
  <si>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</si>
  <si>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</si>
  <si>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</si>
  <si>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</si>
  <si>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</si>
  <si>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</si>
  <si>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</si>
  <si>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</si>
  <si>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</si>
  <si>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</si>
  <si>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</si>
  <si>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</si>
  <si>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INE094A08085</t>
  </si>
  <si>
    <t>Hindustan Petroleum Corporation Ltd - 4.79% - 23/10/2023**</t>
  </si>
  <si>
    <t xml:space="preserve"> CRISIL AAA </t>
  </si>
  <si>
    <t>INE031A08798</t>
  </si>
  <si>
    <t>Housing and Urban Development Corp. Ltd - 5.95% - 11/08/2023**</t>
  </si>
  <si>
    <t>INE001A07RJ2</t>
  </si>
  <si>
    <t>Housing Development Finance Corporation Ltd - 9.05% - 20/11/2023**</t>
  </si>
  <si>
    <t>INE031A08764</t>
  </si>
  <si>
    <t>Housing and Urban Development Corp. Ltd - 6.79% - 14/04/2023**</t>
  </si>
  <si>
    <t>INE002A08641</t>
  </si>
  <si>
    <t>Reliance Industries Ltd - 6.95% - 15/03/2023**</t>
  </si>
  <si>
    <t>INE115A07OU4</t>
  </si>
  <si>
    <t>LIC Housing Finance Ltd - 5.9% - 11/05/2023**</t>
  </si>
  <si>
    <t>INE115A07NI1</t>
  </si>
  <si>
    <t>LIC Housing Finance Ltd - 9.19% - 06/06/2023**</t>
  </si>
  <si>
    <t>INE115A07JO7</t>
  </si>
  <si>
    <t>LIC Housing Finance Ltd - 8.48% - 09/06/2023**</t>
  </si>
  <si>
    <t>INE557F08FJ5</t>
  </si>
  <si>
    <t>National Housing Bank  - 5.8% - 15/05/2023**</t>
  </si>
  <si>
    <t>INE053F07603</t>
  </si>
  <si>
    <t>Indian Railway Finance Corporation Ltd - 8.83% - 25/03/2023**</t>
  </si>
  <si>
    <t>INE941D07133</t>
  </si>
  <si>
    <t>Sikka Ports and Terminals Ltd - 8.45% - 12/06/2023**</t>
  </si>
  <si>
    <t>INE733E07JC4</t>
  </si>
  <si>
    <t>NTPC Ltd - 8.73% - 07/03/2023**</t>
  </si>
  <si>
    <t>INE134E08FJ6</t>
  </si>
  <si>
    <t>Power Finance Corporation Ltd - 8.84% - 04/03/2023**</t>
  </si>
  <si>
    <t>INE020B08CC5</t>
  </si>
  <si>
    <t>REC Ltd - 7.55% - 26/09/2023**</t>
  </si>
  <si>
    <t>INE001A07SK8</t>
  </si>
  <si>
    <t>Housing Development Finance Corporation Ltd - 6.95% - 27/04/2023**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</si>
  <si>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</si>
  <si>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</si>
  <si>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</si>
  <si>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</si>
  <si>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</si>
  <si>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</si>
  <si>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</si>
  <si>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</si>
  <si>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</si>
  <si>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</si>
  <si>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</si>
  <si>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</si>
  <si>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</si>
  <si>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</si>
  <si>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</si>
  <si>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</si>
  <si>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</si>
  <si>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</si>
  <si>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</si>
  <si>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</si>
  <si>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</si>
  <si>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</si>
  <si>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</si>
  <si>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</si>
  <si>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</si>
  <si>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</si>
  <si>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</si>
  <si>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INE001A07KU4</t>
  </si>
  <si>
    <t>Housing Development Finance Corporation Ltd - 8.95% - 21/03/2023**</t>
  </si>
  <si>
    <t>INE134E08FN8</t>
  </si>
  <si>
    <t>Power Finance Corporation Ltd - 8.9% - 18/03/2023**</t>
  </si>
  <si>
    <t>INE206D08147</t>
  </si>
  <si>
    <t>Nuclear Power Corporation of  India Ltd - 8.54% - 15/03/2023**</t>
  </si>
  <si>
    <t>INE020B08849</t>
  </si>
  <si>
    <t>REC Ltd - 8.06% - 31/05/2023**</t>
  </si>
  <si>
    <t>INE733E08148</t>
  </si>
  <si>
    <t>NTPC Ltd - 6.55% - 17/04/2023**</t>
  </si>
  <si>
    <t>INE134E08KO6</t>
  </si>
  <si>
    <t>Power Finance Corporation Ltd - 6.83% - 24/04/2023**</t>
  </si>
  <si>
    <t>INE134E08JF6</t>
  </si>
  <si>
    <t>Power Finance Corporation Ltd - 7.35% - 22/11/2022**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</si>
  <si>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</si>
  <si>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</si>
  <si>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</si>
  <si>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</si>
  <si>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</si>
  <si>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</si>
  <si>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</si>
  <si>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</si>
  <si>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</si>
  <si>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</si>
  <si>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</si>
  <si>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</si>
  <si>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</si>
  <si>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</si>
  <si>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</si>
  <si>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</si>
  <si>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</si>
  <si>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IN3120120149</t>
  </si>
  <si>
    <t>8.62% Tamilnadu State Development Loan 20/02/2023</t>
  </si>
  <si>
    <t>IN0020130012</t>
  </si>
  <si>
    <t>7.16% Central Government Securities 20/05/2023</t>
  </si>
  <si>
    <t>IN2220130024</t>
  </si>
  <si>
    <t>7.95% Maharashtra State Development Loan 03/07/2023</t>
  </si>
  <si>
    <t>IN3120200032</t>
  </si>
  <si>
    <t>5.44% Tamilnadu State Development Loan  22/04/2023</t>
  </si>
  <si>
    <t>IN2220130057</t>
  </si>
  <si>
    <t>9.60% Maharashtra State Development Loan 14/08/2023</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</si>
  <si>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</si>
  <si>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</si>
  <si>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</si>
  <si>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</si>
  <si>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</si>
  <si>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</si>
  <si>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</si>
  <si>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</si>
  <si>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</si>
  <si>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</si>
  <si>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</si>
  <si>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</si>
  <si>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</si>
  <si>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</si>
  <si>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</si>
  <si>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</si>
  <si>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</si>
  <si>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</si>
  <si>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</si>
  <si>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</si>
  <si>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</si>
  <si>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</si>
  <si>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</si>
  <si>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</si>
  <si>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</si>
  <si>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</si>
  <si>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</si>
  <si>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31/01/2022</t>
  </si>
  <si>
    <t>28/02/2022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</si>
  <si>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</si>
  <si>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</si>
  <si>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</si>
  <si>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</si>
  <si>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</si>
  <si>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</si>
  <si>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</si>
  <si>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</si>
  <si>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</si>
  <si>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</si>
  <si>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</si>
  <si>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INE261F08DI1</t>
  </si>
  <si>
    <t>National Bank for Agricultural &amp; Rural Development - 5.23% - 31/01/2025**</t>
  </si>
  <si>
    <t>INE020B08963</t>
  </si>
  <si>
    <t>REC Ltd - 8.11% - 07/10/2025**</t>
  </si>
  <si>
    <t>INE242A08460</t>
  </si>
  <si>
    <t>Indian Oil Corporation Ltd - 5.05% - 25/11/2022**</t>
  </si>
  <si>
    <t>INE514E08FV4</t>
  </si>
  <si>
    <t>Export Import Bank of India - 5.85% - 12/09/2025**</t>
  </si>
  <si>
    <t>INE134E08LK2</t>
  </si>
  <si>
    <t>Power Finance Corporation Ltd - 6.09% - 27/08/2026</t>
  </si>
  <si>
    <t>INE936D07174</t>
  </si>
  <si>
    <t>Jamnagar Utilities and Power Pvt Ltd - 6.4% - 29/09/2026**</t>
  </si>
  <si>
    <t>INE752E08569</t>
  </si>
  <si>
    <t>Power Grid Corporation of India Ltd - 7.34% - 15/07/2024**</t>
  </si>
  <si>
    <t>INE514E08DH8</t>
  </si>
  <si>
    <t>Export Import Bank of India - 9.58% - 16/12/2023**</t>
  </si>
  <si>
    <t>INE020B08AA3</t>
  </si>
  <si>
    <t>REC Ltd - 7.52% - 07/11/2026**</t>
  </si>
  <si>
    <t>INE001A07RV7</t>
  </si>
  <si>
    <t>Housing Development Finance Corporation Ltd - 7.99% - 11/07/2024**</t>
  </si>
  <si>
    <t>INE261F08CA0</t>
  </si>
  <si>
    <t>National Bank for Agricultural &amp; Rural Development - 6.4% - 31/07/2023**</t>
  </si>
  <si>
    <t>INE134E08LD7</t>
  </si>
  <si>
    <t>Power Finance Corporation Ltd - 6.5% - 17/09/2025**</t>
  </si>
  <si>
    <t>INE556F08JN1</t>
  </si>
  <si>
    <t>Small Industrial Development Bank of India - 6.99% - 08/08/2022**</t>
  </si>
  <si>
    <t xml:space="preserve"> CARE AAA </t>
  </si>
  <si>
    <t>INE296A07RU5</t>
  </si>
  <si>
    <t>Bajaj Finance Ltd - 5.65% - 10/05/2024**</t>
  </si>
  <si>
    <t>INE213A08032</t>
  </si>
  <si>
    <t>Oil &amp; Natural Gas Corporation Ltd - 4.64% - 21/11/2023**</t>
  </si>
  <si>
    <t>INE134E08LF2</t>
  </si>
  <si>
    <t>Power Finance Corporation Ltd - 6.35% - 30/06/2025**</t>
  </si>
  <si>
    <t>INE178A08037</t>
  </si>
  <si>
    <t>Chennai Petroleum Corporation Ltd - 5.44% - 24/06/2024**</t>
  </si>
  <si>
    <t>INE906B07FT4</t>
  </si>
  <si>
    <t>National Highway Authority of India - 7.27% - 06/06/2022**</t>
  </si>
  <si>
    <t>IN0020210012</t>
  </si>
  <si>
    <t>5.63% Central Government Securities 12/04/2026</t>
  </si>
  <si>
    <t>IN0020200112</t>
  </si>
  <si>
    <t>5.22% Central Government Securities 15/06/2025</t>
  </si>
  <si>
    <t>INE040A16CI5</t>
  </si>
  <si>
    <t>HDFC Bank Ltd - 17/08/2022**</t>
  </si>
  <si>
    <t xml:space="preserve"> IND A1+ </t>
  </si>
  <si>
    <t>Direct Plan - Bonus</t>
  </si>
  <si>
    <t>Retail Plan - Growth</t>
  </si>
  <si>
    <t>Regular Plan - Bonus</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</si>
  <si>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</si>
  <si>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</si>
  <si>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</si>
  <si>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</si>
  <si>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</si>
  <si>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</si>
  <si>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</si>
  <si>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</si>
  <si>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</si>
  <si>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</si>
  <si>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</si>
  <si>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</si>
  <si>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</si>
  <si>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</si>
  <si>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</si>
  <si>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</si>
  <si>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</si>
  <si>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IN002021X470</t>
  </si>
  <si>
    <t>IN002020Z485</t>
  </si>
  <si>
    <t>IN002020Z519</t>
  </si>
  <si>
    <t>Sundaram Money Market Fund</t>
  </si>
  <si>
    <t>IN002021Y437</t>
  </si>
  <si>
    <t>Sundaram Low Duration Fund</t>
  </si>
  <si>
    <t>INE261F08CS2</t>
  </si>
  <si>
    <t>National Bank for Agricultural &amp; Rural Development - 4.6% - 29/07/2022</t>
  </si>
  <si>
    <t>INE906B07FG1</t>
  </si>
  <si>
    <t>National Highway Authority of India - 7.6% - 18/03/2022**</t>
  </si>
  <si>
    <t>INE445L08391</t>
  </si>
  <si>
    <t>INE516Y07444</t>
  </si>
  <si>
    <t>Piramal Capital &amp; Housing Finance Ltd - 6.75% - 26/09/2031</t>
  </si>
  <si>
    <t>INE081A08181</t>
  </si>
  <si>
    <t>Tata Steel Ltd - 2% - 23/04/2022**</t>
  </si>
  <si>
    <t xml:space="preserve"> CARE AA+ </t>
  </si>
  <si>
    <t>INE001A07SD3</t>
  </si>
  <si>
    <t>Housing Development Finance Corporation Ltd - 7.21% - 30/12/2022**</t>
  </si>
  <si>
    <t>INE514E08BA7</t>
  </si>
  <si>
    <t>Export Import Bank of India - 9.1% - 15/06/2022**</t>
  </si>
  <si>
    <t>INE915D08CL3</t>
  </si>
  <si>
    <t>Citicorp Finance India Ltd - 5.64% - 20/01/2024**</t>
  </si>
  <si>
    <t>INE031A08723</t>
  </si>
  <si>
    <t>Housing and Urban Development Corp. Ltd - 7.62% - 15/07/2022**</t>
  </si>
  <si>
    <t>INE020B08BM6</t>
  </si>
  <si>
    <t>REC Ltd - 8.35% - 11/03/2022**</t>
  </si>
  <si>
    <t>INE733E07JD2</t>
  </si>
  <si>
    <t>NTPC Ltd - 8.8% - 04/04/2023**</t>
  </si>
  <si>
    <t>INE020B08BT1</t>
  </si>
  <si>
    <t>REC Ltd - 8.15% - 10/06/2022**</t>
  </si>
  <si>
    <t>INE115A07LW6</t>
  </si>
  <si>
    <t>LIC Housing Finance Ltd - 7.78% - 23/05/2022**</t>
  </si>
  <si>
    <t>INE018A08AR3</t>
  </si>
  <si>
    <t>Larsen &amp; Toubro Ltd - 7.87% - 18/04/2022**</t>
  </si>
  <si>
    <t>IN2920160081</t>
  </si>
  <si>
    <t xml:space="preserve">8.27% Rajasthan State Development Loan 23/06/2022  </t>
  </si>
  <si>
    <t>IN0020180025</t>
  </si>
  <si>
    <t xml:space="preserve">7.37% Central Government Securities 16/04/2023 </t>
  </si>
  <si>
    <t>IN0020160050</t>
  </si>
  <si>
    <t xml:space="preserve">6.84% Central Government Securities 19/12/2022 </t>
  </si>
  <si>
    <t>IN2220170111</t>
  </si>
  <si>
    <t>7.02% Maharashtra State Development Loan 27/09/2022</t>
  </si>
  <si>
    <t>IN3420120054</t>
  </si>
  <si>
    <t>8.91% WestBengal State Development Loan 18/07/2022</t>
  </si>
  <si>
    <t>IN1520120057</t>
  </si>
  <si>
    <t>8.91% Gujarat State Development Loan 22/08/2022</t>
  </si>
  <si>
    <t>IN0020120013</t>
  </si>
  <si>
    <t xml:space="preserve">8.15% Central Government Securities 11/06/2022 </t>
  </si>
  <si>
    <t>IN0020020072</t>
  </si>
  <si>
    <t>8.35% Central Government Securities 14/05/2022</t>
  </si>
  <si>
    <t>IN0020070051</t>
  </si>
  <si>
    <t>8.13% Central Government Securities 21/09/2022</t>
  </si>
  <si>
    <t>INE476A16ST4</t>
  </si>
  <si>
    <t>Canara Bank - 22/08/2022**</t>
  </si>
  <si>
    <t xml:space="preserve"> CRISIL A1+ </t>
  </si>
  <si>
    <t>INE238A162W8</t>
  </si>
  <si>
    <t>Axis Bank Ltd - 11/05/2022**</t>
  </si>
  <si>
    <t>INE929O14529</t>
  </si>
  <si>
    <t>Reliance Retail Ventures Ltd - 20/06/2022**</t>
  </si>
  <si>
    <t>INE466L14AS7</t>
  </si>
  <si>
    <t>IIFL Wealth Management Ltd - 10/03/2022**</t>
  </si>
  <si>
    <t>INE403G14PH1</t>
  </si>
  <si>
    <t>Standard Chartered Capital Ltd - 24/01/2023**</t>
  </si>
  <si>
    <t>INE824H14GU8</t>
  </si>
  <si>
    <t>Julius Baer Capital (India) Private Ltd - 24/03/2022**</t>
  </si>
  <si>
    <t>INE850D14LG1</t>
  </si>
  <si>
    <t>Godrej Agrovet Ltd - 31/05/2022**</t>
  </si>
  <si>
    <t>INE012I14MR2</t>
  </si>
  <si>
    <t>INE115A14DE7</t>
  </si>
  <si>
    <t>LIC Housing Finance Ltd - 07/07/2022**</t>
  </si>
  <si>
    <t>INE211H14278</t>
  </si>
  <si>
    <t>Sharekhan Ltd - 23/05/2022**</t>
  </si>
  <si>
    <t>IN002021Y338</t>
  </si>
  <si>
    <t>IN002021Y312</t>
  </si>
  <si>
    <t>IN002021Z343</t>
  </si>
  <si>
    <t>IN002020Z493</t>
  </si>
  <si>
    <t>Sundaram Liquid Fund</t>
  </si>
  <si>
    <t>INE040A16CK1</t>
  </si>
  <si>
    <t>HDFC Bank Ltd - 21/03/2022**</t>
  </si>
  <si>
    <t>INE028A16CJ8</t>
  </si>
  <si>
    <t>Bank of Baroda - 11/04/2022**</t>
  </si>
  <si>
    <t>INE238A168X3</t>
  </si>
  <si>
    <t>Axis Bank Ltd - 06/05/2022**</t>
  </si>
  <si>
    <t>INE238A161W0</t>
  </si>
  <si>
    <t>Axis Bank Ltd - 13/05/2022**</t>
  </si>
  <si>
    <t>INE556F16861</t>
  </si>
  <si>
    <t>Small Industrial Development Bank of India - 25/03/2022</t>
  </si>
  <si>
    <t>INE514E14QB1</t>
  </si>
  <si>
    <t>Export Import Bank of India - 23/03/2022**</t>
  </si>
  <si>
    <t>INE556F14HZ7</t>
  </si>
  <si>
    <t>Small Industrial Development Bank of India - 30/03/2022**</t>
  </si>
  <si>
    <t>INE081A14BO4</t>
  </si>
  <si>
    <t>Tata Steel Ltd - 07/03/2022**</t>
  </si>
  <si>
    <t>INE331A14LU9</t>
  </si>
  <si>
    <t>Ramco Cements Ltd - 21/03/2022**</t>
  </si>
  <si>
    <t>INE09OL14979</t>
  </si>
  <si>
    <t>Birla Group Holdings Pvt Ltd - 08/04/2022**</t>
  </si>
  <si>
    <t>INE178A14HG1</t>
  </si>
  <si>
    <t>Chennai Petroleum Corporation Ltd - 31/03/2022**</t>
  </si>
  <si>
    <t>INE211H14260</t>
  </si>
  <si>
    <t>Sharekhan Ltd - 06/04/2022**</t>
  </si>
  <si>
    <t>INE865C14GW8</t>
  </si>
  <si>
    <t>Aditya Birla Money Ltd - 13/04/2022**</t>
  </si>
  <si>
    <t>INE763G14LO3</t>
  </si>
  <si>
    <t>ICICI Securities Ltd - 03/03/2022**</t>
  </si>
  <si>
    <t>INE248U14KB5</t>
  </si>
  <si>
    <t>IIFL Wealth Prime Ltd - 07/03/2022**</t>
  </si>
  <si>
    <t>INE02FN14028</t>
  </si>
  <si>
    <t>INE242A14VZ6</t>
  </si>
  <si>
    <t>Indian Oil Corporation Ltd - 17/03/2022**</t>
  </si>
  <si>
    <t>INE929O14503</t>
  </si>
  <si>
    <t>Reliance Retail Ventures Ltd - 25/03/2022**</t>
  </si>
  <si>
    <t>INE824H14GI3</t>
  </si>
  <si>
    <t>Julius Baer Capital (India) Private Ltd - 23/03/2022**</t>
  </si>
  <si>
    <t>INE110L14QN8</t>
  </si>
  <si>
    <t>Reliance Jio Infocomm Ltd - 18/04/2022**</t>
  </si>
  <si>
    <t>INE261F14IP3</t>
  </si>
  <si>
    <t>National Bank for Agricultural &amp; Rural Development - 25/05/2022**</t>
  </si>
  <si>
    <t>INE929O14552</t>
  </si>
  <si>
    <t>Reliance Retail Ventures Ltd - 30/05/2022**</t>
  </si>
  <si>
    <t>INE012I14MU6</t>
  </si>
  <si>
    <t>INE472A14MH6</t>
  </si>
  <si>
    <t>Blue Star Ltd - 14/03/2022**</t>
  </si>
  <si>
    <t>INE763G14KO5</t>
  </si>
  <si>
    <t>ICICI Securities Ltd - 16/03/2022**</t>
  </si>
  <si>
    <t>INE012I14MT8</t>
  </si>
  <si>
    <t>INE563J14617</t>
  </si>
  <si>
    <t>Astec LifeSciences Ltd - 28/03/2022**</t>
  </si>
  <si>
    <t>INE850D14KZ3</t>
  </si>
  <si>
    <t>Godrej Agrovet Ltd - 13/04/2022**</t>
  </si>
  <si>
    <t>INE563J14658</t>
  </si>
  <si>
    <t>Astec LifeSciences Ltd - 13/04/2022**</t>
  </si>
  <si>
    <t>IN002021X512</t>
  </si>
  <si>
    <t>IN002021X488</t>
  </si>
  <si>
    <t>IN002021X496</t>
  </si>
  <si>
    <t>IN002021X389</t>
  </si>
  <si>
    <t>IN002021X421</t>
  </si>
  <si>
    <t>Sundaram Short Duration Fund</t>
  </si>
  <si>
    <t>INE001A07SH4</t>
  </si>
  <si>
    <t>Housing Development Finance Corporation Ltd - 6.99% - 13/02/2023**</t>
  </si>
  <si>
    <t>INE020B08CG6</t>
  </si>
  <si>
    <t>REC Ltd - 7.24% - 31/12/2022**</t>
  </si>
  <si>
    <t>INE001A07SG6</t>
  </si>
  <si>
    <t>Housing Development Finance Corporation Ltd - 7.35% - 10/02/2025**</t>
  </si>
  <si>
    <t>INE090A08TU6</t>
  </si>
  <si>
    <t>ICICI Bank Ltd - 7.6% - 07/10/2023**</t>
  </si>
  <si>
    <t>INE002A08625</t>
  </si>
  <si>
    <t>Reliance Industries Ltd - 7.05% - 13/09/2023**</t>
  </si>
  <si>
    <t>INE115A07OQ2</t>
  </si>
  <si>
    <t>LIC Housing Finance Ltd - 7.45% - 10/02/2023**</t>
  </si>
  <si>
    <t>INE094A08044</t>
  </si>
  <si>
    <t>Hindustan Petroleum Corporation Ltd - 6.8% - 15/12/2022**</t>
  </si>
  <si>
    <t>INE053F07BB3</t>
  </si>
  <si>
    <t>Indian Railway Finance Corporation Ltd - 8.25% - 28/02/2024**</t>
  </si>
  <si>
    <t>INE261F08AT4</t>
  </si>
  <si>
    <t>National Bank for Agricultural &amp; Rural Development - 8.5% - 31/01/2023**</t>
  </si>
  <si>
    <t>IN0020210210</t>
  </si>
  <si>
    <t>4.56% Central Government Securities 29/11/2023</t>
  </si>
  <si>
    <t>IN2220150022</t>
  </si>
  <si>
    <t>8.14% Maharashtra State Development Loan 27/05/2025</t>
  </si>
  <si>
    <t>IN0020180488</t>
  </si>
  <si>
    <t>7.32% Central Government Securities 28/01/2024</t>
  </si>
  <si>
    <t>#</t>
  </si>
  <si>
    <t># percentage to NAV of security is less than 0.01%</t>
  </si>
  <si>
    <t>Sundaram Ultra Short Duration Fund</t>
  </si>
  <si>
    <t>INE001A07RU9</t>
  </si>
  <si>
    <t>Housing Development Finance Corporation Ltd - 8.05% - 20/06/2022**</t>
  </si>
  <si>
    <t>INE134E08JU5</t>
  </si>
  <si>
    <t>Power Finance Corporation Ltd - 8.45% - 11/08/2022**</t>
  </si>
  <si>
    <t>INE134E08JD1</t>
  </si>
  <si>
    <t>Power Finance Corporation Ltd - 7.1% - 08/08/2022**</t>
  </si>
  <si>
    <t>INE752E07MO3</t>
  </si>
  <si>
    <t>Power Grid Corporation of India Ltd - 8.4% - 27/05/2022**</t>
  </si>
  <si>
    <t>INE261F08BJ3</t>
  </si>
  <si>
    <t>National Bank for Agricultural &amp; Rural Development - 7.85% - 23/05/2022**</t>
  </si>
  <si>
    <t>INE047A08133</t>
  </si>
  <si>
    <t>Grasim Industries Ltd - 7.65% - 15/04/2022**</t>
  </si>
  <si>
    <t>IN1520110124</t>
  </si>
  <si>
    <t>8.94% Gujarat State Development Loan 07/03/2022</t>
  </si>
  <si>
    <t>INE238A169X1</t>
  </si>
  <si>
    <t>Axis Bank Ltd - 09/05/2022**</t>
  </si>
  <si>
    <t>INE237A162N8</t>
  </si>
  <si>
    <t>Kotak Mahindra Bank Ltd - 15/06/2022**</t>
  </si>
  <si>
    <t>INE238A167W7</t>
  </si>
  <si>
    <t>Axis Bank Ltd - 28/04/2022**</t>
  </si>
  <si>
    <t>INE028A16CN0</t>
  </si>
  <si>
    <t>Bank of Baroda - 10/05/2022**</t>
  </si>
  <si>
    <t>INE331A14LT1</t>
  </si>
  <si>
    <t>Ramco Cements Ltd - 22/03/2022**</t>
  </si>
  <si>
    <t>INE110L14QM0</t>
  </si>
  <si>
    <t>Reliance Jio Infocomm Ltd - 11/04/2022**</t>
  </si>
  <si>
    <t>INE09OL14AA1</t>
  </si>
  <si>
    <t>Birla Group Holdings Pvt Ltd - 18/05/2022**</t>
  </si>
  <si>
    <t>INE466L14AV1</t>
  </si>
  <si>
    <t>IIFL Wealth Management Ltd - 05/09/2022**</t>
  </si>
  <si>
    <t>INE248U14KS9</t>
  </si>
  <si>
    <t>IIFL Wealth Prime Ltd - 05/09/2022**</t>
  </si>
  <si>
    <t>IN002021Y452</t>
  </si>
  <si>
    <t>IN002021Y304</t>
  </si>
  <si>
    <t>Sundaram Medium Term Bond Fund</t>
  </si>
  <si>
    <t>INE028A08158</t>
  </si>
  <si>
    <t>IN0020210244</t>
  </si>
  <si>
    <t>6.54% Central Government Securities 17/01/2032</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</si>
  <si>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</si>
  <si>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</si>
  <si>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</si>
  <si>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</si>
  <si>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</si>
  <si>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</si>
  <si>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</si>
  <si>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</si>
  <si>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</si>
  <si>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</si>
  <si>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</si>
  <si>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 Project</t>
  </si>
  <si>
    <t>INE002A01018</t>
  </si>
  <si>
    <t>Reliance Industries Ltd</t>
  </si>
  <si>
    <t>Petroleum Products</t>
  </si>
  <si>
    <t>INE179A01014</t>
  </si>
  <si>
    <t>Procter &amp; Gamble Hygiene and Health Care Ltd</t>
  </si>
  <si>
    <t>Consumer Non Durables</t>
  </si>
  <si>
    <t>INE238A01034</t>
  </si>
  <si>
    <t>Axis Bank Ltd</t>
  </si>
  <si>
    <t>INE009A01021</t>
  </si>
  <si>
    <t>Infosys Ltd</t>
  </si>
  <si>
    <t>Software</t>
  </si>
  <si>
    <t>INE044A01036</t>
  </si>
  <si>
    <t>Sun Pharmaceutical Industries Ltd</t>
  </si>
  <si>
    <t>Pharmaceuticals</t>
  </si>
  <si>
    <t>INE397D01024</t>
  </si>
  <si>
    <t>Bharti Airtel Ltd</t>
  </si>
  <si>
    <t>Telecom - Services</t>
  </si>
  <si>
    <t>INE860A01027</t>
  </si>
  <si>
    <t>HCL Technologies Ltd</t>
  </si>
  <si>
    <t>INE062A01020</t>
  </si>
  <si>
    <t>State Bank of India</t>
  </si>
  <si>
    <t>INE200M01013</t>
  </si>
  <si>
    <t>Varun Beverages Ltd</t>
  </si>
  <si>
    <t>INE006I01046</t>
  </si>
  <si>
    <t>Astral Ltd</t>
  </si>
  <si>
    <t>Industrial Products</t>
  </si>
  <si>
    <t>INE059A01026</t>
  </si>
  <si>
    <t>Cipla Ltd</t>
  </si>
  <si>
    <t>INE208A01029</t>
  </si>
  <si>
    <t>Ashok Leyland Ltd</t>
  </si>
  <si>
    <t>Auto</t>
  </si>
  <si>
    <t>INE068V01023</t>
  </si>
  <si>
    <t>Gland Pharma Ltd</t>
  </si>
  <si>
    <t>INE917I01010</t>
  </si>
  <si>
    <t>Bajaj Auto Ltd</t>
  </si>
  <si>
    <t>INE603J01030</t>
  </si>
  <si>
    <t>PI Industries Ltd</t>
  </si>
  <si>
    <t>Pesticides</t>
  </si>
  <si>
    <t>INE018I01017</t>
  </si>
  <si>
    <t>MindTree Ltd</t>
  </si>
  <si>
    <t>INE679A01013</t>
  </si>
  <si>
    <t>CSB Bank Ltd</t>
  </si>
  <si>
    <t>INE854D01024</t>
  </si>
  <si>
    <t>United Spirits Ltd</t>
  </si>
  <si>
    <t>INE481G01011</t>
  </si>
  <si>
    <t>Ultratech Cement Ltd</t>
  </si>
  <si>
    <t>Cement</t>
  </si>
  <si>
    <t>INE203G01027</t>
  </si>
  <si>
    <t>Indraprastha Gas Ltd</t>
  </si>
  <si>
    <t>Gas</t>
  </si>
  <si>
    <t>IN9397D01014</t>
  </si>
  <si>
    <t>INE040A08377</t>
  </si>
  <si>
    <t xml:space="preserve"> CRISIL AA+ </t>
  </si>
  <si>
    <t>IN0020210095</t>
  </si>
  <si>
    <t>6.10% Central Government Securities 12/07/2031</t>
  </si>
  <si>
    <t>Sundaram Overnight Fund</t>
  </si>
  <si>
    <t>Unclaimed Plan - Redemption Less than three years</t>
  </si>
  <si>
    <t>Unclaimed Plan - Redemption greater than three years</t>
  </si>
  <si>
    <t>S. No.</t>
  </si>
  <si>
    <t>ACRONYM</t>
  </si>
  <si>
    <t>SCHEME NAME</t>
  </si>
  <si>
    <t>SFRLTP</t>
  </si>
  <si>
    <t>SFRSTP</t>
  </si>
  <si>
    <t>SFTPIS</t>
  </si>
  <si>
    <t>Sundaram Fixed Term Plan - Series IS</t>
  </si>
  <si>
    <t>SMMF</t>
  </si>
  <si>
    <t>SPLDF</t>
  </si>
  <si>
    <t>SPMON</t>
  </si>
  <si>
    <t>SPSDF</t>
  </si>
  <si>
    <t>SPUSDF</t>
  </si>
  <si>
    <t>SUNBDS</t>
  </si>
  <si>
    <t>SUNMIA</t>
  </si>
  <si>
    <t>SUNONF</t>
  </si>
  <si>
    <t>JM Financial Services Ltd. - 02/06/2022**</t>
  </si>
  <si>
    <t>JM Financial Services Ltd. - 30/05/2022**</t>
  </si>
  <si>
    <t>JM Financial Services Ltd. - 24/03/2022**</t>
  </si>
  <si>
    <t>IGH Holdings Private Limited - 10/03/2022**</t>
  </si>
  <si>
    <t>182 Days T Bill 21/04/2022</t>
  </si>
  <si>
    <t>182 Days T Bill 28/04/2022</t>
  </si>
  <si>
    <t>182 Days T Bill 07/07/2022</t>
  </si>
  <si>
    <t>182 Days T Bill 12/05/2022</t>
  </si>
  <si>
    <t>182 Days T Bill 21/07/2022</t>
  </si>
  <si>
    <t>364 Days T Bill 11/03/2022</t>
  </si>
  <si>
    <t>364 Days T Bill 03/03/2022</t>
  </si>
  <si>
    <t>364 Days T Bill 24/03/2022</t>
  </si>
  <si>
    <t>364 Days T Bill 17/11/2022</t>
  </si>
  <si>
    <t>91 Days T Bill 03/03/2022</t>
  </si>
  <si>
    <t>91 Days T Bill 07/04/2022</t>
  </si>
  <si>
    <t>91 Days T Bill 05/05/2022</t>
  </si>
  <si>
    <t>91 Days T Bill 14/04/2022</t>
  </si>
  <si>
    <t>91 Days T Bill 21/04/2022</t>
  </si>
  <si>
    <t>91 Days T Bill 31/03/2022</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</si>
  <si>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</si>
  <si>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</si>
  <si>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</si>
  <si>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</si>
  <si>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</si>
  <si>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</si>
  <si>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</si>
  <si>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</si>
  <si>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</si>
  <si>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</si>
  <si>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</si>
  <si>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</si>
  <si>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</si>
  <si>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</si>
  <si>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</si>
  <si>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</si>
  <si>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</si>
  <si>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</si>
  <si>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Interest not accrued upto 31/03/2021 from the default date (Rs. in Lacs)</t>
  </si>
  <si>
    <t>Total 
(Rs. in Lacs)</t>
  </si>
  <si>
    <t>$ Yes Bank Limited Reconstruction Scheme 2020” was notified in the Official Gazette on March 13, 2020. Based on that, the Basel III Additional Tier I Bonds (ISIN - INE528G08394) were written off in the scheme along with the Interest accrued.</t>
  </si>
  <si>
    <t>k) Exposure to securities classified as below investment grade or default as on Feb 28, 2022:-</t>
  </si>
  <si>
    <t>% to AUM as on 28.02.2022</t>
  </si>
  <si>
    <t>SUNBDS - AUM</t>
  </si>
  <si>
    <t>Total - Cr</t>
  </si>
  <si>
    <t>%</t>
  </si>
  <si>
    <t>INE202B07654</t>
  </si>
  <si>
    <t xml:space="preserve">11.55% Prev 11.45%-Dewan Housing Finance Corp Ltd-12/09/2019  </t>
  </si>
  <si>
    <t>TOTAL AMOUNT INCLUDING INTEREST DUE TO AND RECOVERED BY THE SCHEME</t>
  </si>
  <si>
    <t>Amount Recovered (Rs. In Lacs)</t>
  </si>
  <si>
    <t>Interest Accrued till 3rd June 2019
(Rs. in Lacs)</t>
  </si>
  <si>
    <t>Interest not accrued due to category by rating agency as default till maturity (Rs. in Lacs)</t>
  </si>
  <si>
    <t xml:space="preserve">11.55%_Prev 11.45%-Dewan Housing Finance Corp Ltd-12/09/2019  </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</si>
  <si>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</si>
  <si>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</si>
  <si>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</si>
  <si>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j) Exposure to securities classified as below investment grade or default as on Feb 28, 2022:-</t>
  </si>
  <si>
    <t>Refer below point j)</t>
  </si>
  <si>
    <t>Refer below point k)</t>
  </si>
  <si>
    <t xml:space="preserve">ISIN </t>
  </si>
  <si>
    <t>Name of The security</t>
  </si>
  <si>
    <t>Total Amount(Principal &amp; Interest)  (Rs. Lakh)</t>
  </si>
  <si>
    <t>INE121H14JU3</t>
  </si>
  <si>
    <t xml:space="preserve">IL&amp;FS Financial Services Ltd. 24SEP18 CP </t>
  </si>
  <si>
    <t>INE202B07IJ3</t>
  </si>
  <si>
    <t>9.05% Dewan Housing Finance Corporation Ltd-NCD-09/09/2019</t>
  </si>
  <si>
    <t>INE202B07IK1</t>
  </si>
  <si>
    <t>Dewan Housing Finance Corporation Ltd-9.10%-09/09/2019</t>
  </si>
  <si>
    <t>11.55%_Prev 11.45%-Dewan Housing Finance Corp Ltd-12/09/2019  ##</t>
  </si>
  <si>
    <t>INE202B07HQ0</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</si>
  <si>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</si>
  <si>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</si>
  <si>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</si>
  <si>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</si>
  <si>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</si>
  <si>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Net receivable/Market value  (Rs. Lakh)</t>
  </si>
  <si>
    <t>% to NAV</t>
  </si>
  <si>
    <t xml:space="preserve">Dewan Housing Finance Corporation Ltd-9.10%-09/09/2019 </t>
  </si>
  <si>
    <t>9.10%-Dewan Housing Finance Corporation Ltd-16/08/2019</t>
  </si>
  <si>
    <t xml:space="preserve">9.05% Dewan Housing Finance Corporation Ltd-NCD-09/09/2019 </t>
  </si>
  <si>
    <t>Bharti Airtel Ltd - Partly Paid Right Shares</t>
  </si>
  <si>
    <t xml:space="preserve"> ICRA AAA </t>
  </si>
  <si>
    <t xml:space="preserve"> ICRA AAA(CE) </t>
  </si>
  <si>
    <t xml:space="preserve"> ICRA AA </t>
  </si>
  <si>
    <t xml:space="preserve"> ICRA  A1+ </t>
  </si>
  <si>
    <t xml:space="preserve"> ICRA A1+ </t>
  </si>
  <si>
    <t>YTM (%)</t>
  </si>
  <si>
    <t>Bank of Baroda - 8.55% - Call Dt 14-Feb-2024** (Tier II Bond under Basel III)</t>
  </si>
  <si>
    <t>HDFC Bank Ltd - 8.85% - Call Dt 12/05/2022** (Perpetual Bond under Basel III)</t>
  </si>
  <si>
    <t>Yield to call date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</si>
  <si>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</si>
  <si>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</si>
  <si>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</si>
  <si>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</si>
  <si>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</si>
  <si>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</si>
  <si>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</si>
  <si>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</si>
  <si>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</si>
  <si>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</si>
  <si>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</si>
  <si>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</si>
  <si>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</si>
  <si>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Regular Plan - IDCW^^</t>
  </si>
  <si>
    <t>Direct Plan - Weekly IDCW^^</t>
  </si>
  <si>
    <t>Direct Plan - Fortnightly IDCW^^</t>
  </si>
  <si>
    <t>Regular Plan - Fortnightly IDCW^^</t>
  </si>
  <si>
    <t>Unclaimed Plan - IDCW^^ greater than three years</t>
  </si>
  <si>
    <t>Unclaimed Plan - IDCW^^ less than three years</t>
  </si>
  <si>
    <t>^^ IDCW means Income distribution cum capital withdrawal (Payout/Reinvestment/Transfer)</t>
  </si>
  <si>
    <t>Monthly Portfolio Statement for the month ended 28 February 2022</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</si>
  <si>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</si>
  <si>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</si>
  <si>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</si>
  <si>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</si>
  <si>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Nabha Power Ltd - 7.405% - 20/04/2022** - Unconditional and irrevocable corporate guarantee by Larsen &amp; Toubro Limited</t>
  </si>
  <si>
    <t>Debt instruments having structured obligations or credit enhancement features have been denoted with suffix as (SO) or (CE) respectively against the ratings of the instrument.</t>
  </si>
  <si>
    <t>Scheme Riskometer</t>
  </si>
  <si>
    <t>Tier I Benchmark Riskometer - NIFTY 1D Rate Index</t>
  </si>
  <si>
    <t>Tier II Benchmark Riskometer - NIFTY 1D Rate Index</t>
  </si>
  <si>
    <t>Benchmark Riskometer - CRISIL Hybrid 85+15 - Conservative Index</t>
  </si>
  <si>
    <t>Tire I Benchmark Riskometer - NIFTY Medium Duration Debt Index</t>
  </si>
  <si>
    <t>Tier II Benchmark Riskometer - NIFTY Medium Duration Debt Index</t>
  </si>
  <si>
    <t>Tier I Benchmark Riskometer - NIFTY Ultra Short Duration Debt Index</t>
  </si>
  <si>
    <t>Tier II Benchmark Riskometer - NIFTY Ultra Short Duration Debt Index</t>
  </si>
  <si>
    <t>Tier I Benchmark Riskometer - Nifty Short Duration Debt Index</t>
  </si>
  <si>
    <t>Tier II Benchmark Riskometer - NIFTY Short Duration Debt Index</t>
  </si>
  <si>
    <t>Tier I Benchmark Riskometer - NIFTY Liquid Index</t>
  </si>
  <si>
    <t>Tier II Benchmark Riskometer - NIFTY Liquid Index</t>
  </si>
  <si>
    <t>Tier I Benchmark Riskometer - NIFTY Low Duration Debt Index</t>
  </si>
  <si>
    <t>Tier II Benchmark Riskometer - NIFTY Low Duration Debt Index</t>
  </si>
  <si>
    <t>Tier I Benchmark Riskometer - NIFTY Money Market Index</t>
  </si>
  <si>
    <t>Tier II Benchmark Riskometer - NIFTY Money Market Index</t>
  </si>
  <si>
    <t>Benchmark Riskometer - CRISIL Medium Term Debt Index</t>
  </si>
  <si>
    <t>Tier I Benchmark Riskometer - NIFTY Banking and PSU Debt Index</t>
  </si>
  <si>
    <t>Tier I Benchmark Riskometer - NIFTY Corporate Bond Index</t>
  </si>
  <si>
    <t>Tier II Benchmark Riskometer - NIFTY AAA Short Duration Bond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</si>
</sst>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5"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color rgb="FF000000"/>
      <name val="Calibri"/>
      <family val="2"/>
    </font>
    <font>
      <sz val="11"/>
      <name val="Calibri"/>
      <family val="2"/>
      <scheme val="minor"/>
    </font>
    <font>
      <b/>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sz val="10"/>
      <color theme="0"/>
      <name val="Arial"/>
      <family val="2"/>
    </font>
    <font>
      <sz val="10"/>
      <name val="Arial"/>
      <family val="2"/>
    </font>
    <font>
      <u/>
      <sz val="10"/>
      <color theme="10"/>
      <name val="Arial"/>
      <family val="2"/>
    </font>
    <font>
      <sz val="10"/>
      <name val="Calibri"/>
      <family val="2"/>
      <scheme val="minor"/>
    </font>
    <font>
      <sz val="10"/>
      <color indexed="8"/>
      <name val="Calibri"/>
      <family val="2"/>
    </font>
    <font>
      <b/>
      <sz val="11"/>
      <name val="Calibri"/>
      <family val="2"/>
    </font>
    <font>
      <sz val="10"/>
      <name val="Calibri"/>
      <family val="2"/>
    </font>
  </fonts>
  <fills count="4">
    <fill>
      <patternFill patternType="none"/>
    </fill>
    <fill>
      <patternFill patternType="gray125"/>
    </fill>
    <fill>
      <patternFill patternType="solid">
        <fgColor indexed="9"/>
      </patternFill>
    </fill>
    <fill>
      <patternFill patternType="solid">
        <fgColor indexed="9"/>
        <bgColor indexed="64"/>
      </patternFill>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bottom style="thin">
        <color indexed="8"/>
      </bottom>
      <diagonal/>
    </border>
  </borders>
  <cellStyleXfs count="9">
    <xf numFmtId="0" fontId="0" fillId="0" borderId="0">
      <alignment wrapText="1"/>
    </xf>
    <xf numFmtId="0" fontId="1" fillId="0" borderId="0"/>
    <xf numFmtId="0" fontId="7" fillId="0" borderId="0">
      <alignment wrapText="1"/>
    </xf>
    <xf numFmtId="0" fontId="1" fillId="0" borderId="0"/>
    <xf numFmtId="173" fontId="17" fillId="0" borderId="0" applyFont="0" applyFill="0" applyBorder="0" applyAlignment="0" applyProtection="0"/>
    <xf numFmtId="9" fontId="17"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0" fontId="20" fillId="0" borderId="0" applyNumberFormat="0" applyFill="0" applyBorder="0" applyAlignment="0" applyProtection="0">
      <alignment wrapText="1"/>
    </xf>
  </cellStyleXfs>
  <cellXfs count="135">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5" fillId="2" borderId="0" xfId="0" applyFont="1" applyFill="1" applyBorder="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Border="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1"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9" fillId="0" borderId="7" xfId="1" applyFont="1" applyBorder="1" applyAlignment="1">
      <alignment horizontal="center"/>
    </xf>
    <xf numFmtId="0" fontId="11" fillId="0" borderId="7" xfId="1" applyFont="1" applyBorder="1" applyAlignment="1">
      <alignment horizontal="center" vertical="center"/>
    </xf>
    <xf numFmtId="0" fontId="1" fillId="0" borderId="0" xfId="1"/>
    <xf numFmtId="0" fontId="1" fillId="0" borderId="7" xfId="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15" fillId="0" borderId="7" xfId="3" applyFont="1" applyBorder="1" applyAlignment="1">
      <alignment horizontal="center"/>
    </xf>
    <xf numFmtId="0" fontId="15" fillId="0" borderId="7" xfId="3" applyFont="1" applyBorder="1" applyAlignment="1">
      <alignment horizontal="center"/>
    </xf>
    <xf numFmtId="0" fontId="16" fillId="0" borderId="7" xfId="3" applyFont="1" applyBorder="1"/>
    <xf numFmtId="0" fontId="16" fillId="0" borderId="7" xfId="3" applyFont="1" applyBorder="1" applyAlignment="1">
      <alignment wrapText="1"/>
    </xf>
    <xf numFmtId="0" fontId="15" fillId="0" borderId="7" xfId="3" applyFont="1" applyBorder="1" applyAlignment="1">
      <alignment horizontal="center" vertical="center" wrapText="1"/>
    </xf>
    <xf numFmtId="0" fontId="16" fillId="0" borderId="7" xfId="3" applyFont="1" applyBorder="1" applyAlignment="1">
      <alignment vertical="center"/>
    </xf>
    <xf numFmtId="0" fontId="16" fillId="0" borderId="7" xfId="3" applyFont="1" applyBorder="1" applyAlignment="1">
      <alignment vertical="center" wrapText="1"/>
    </xf>
    <xf numFmtId="4" fontId="16" fillId="0" borderId="7" xfId="3" applyNumberFormat="1" applyFont="1" applyBorder="1" applyAlignment="1">
      <alignment horizontal="right" vertical="center"/>
    </xf>
    <xf numFmtId="173" fontId="16" fillId="0" borderId="7" xfId="4" applyFont="1" applyBorder="1" applyAlignment="1">
      <alignment horizontal="right" vertical="center"/>
    </xf>
    <xf numFmtId="10" fontId="16" fillId="0" borderId="7" xfId="5" applyNumberFormat="1" applyFont="1" applyFill="1" applyBorder="1" applyAlignment="1">
      <alignment vertical="center"/>
    </xf>
    <xf numFmtId="0" fontId="8" fillId="0" borderId="0" xfId="3" applyFont="1" applyAlignment="1">
      <alignment horizontal="center" vertical="center"/>
    </xf>
    <xf numFmtId="4" fontId="10" fillId="0" borderId="0" xfId="3" applyNumberFormat="1" applyFont="1"/>
    <xf numFmtId="0" fontId="18" fillId="0" borderId="0" xfId="0" applyFont="1">
      <alignment wrapText="1"/>
    </xf>
    <xf numFmtId="0" fontId="18" fillId="0" borderId="0" xfId="2" applyFont="1">
      <alignment wrapText="1"/>
    </xf>
    <xf numFmtId="4" fontId="16" fillId="0" borderId="7" xfId="3" applyNumberFormat="1" applyFont="1" applyBorder="1"/>
    <xf numFmtId="2" fontId="16" fillId="0" borderId="7" xfId="3" applyNumberFormat="1" applyFont="1" applyBorder="1"/>
    <xf numFmtId="4" fontId="16" fillId="0" borderId="7" xfId="5" applyNumberFormat="1" applyFont="1" applyFill="1" applyBorder="1"/>
    <xf numFmtId="0" fontId="14" fillId="0" borderId="0" xfId="0" applyFont="1" applyAlignment="1"/>
    <xf numFmtId="0" fontId="7" fillId="0" borderId="0" xfId="2">
      <alignment wrapText="1"/>
    </xf>
    <xf numFmtId="0" fontId="20" fillId="0" borderId="0" xfId="8" applyAlignment="1"/>
    <xf numFmtId="0" fontId="14" fillId="2" borderId="0" xfId="0" applyFont="1" applyFill="1" applyAlignment="1">
      <alignment vertical="top" readingOrder="1"/>
    </xf>
    <xf numFmtId="0" fontId="14" fillId="2" borderId="0" xfId="0" applyFont="1" applyFill="1" applyAlignment="1">
      <alignment horizontal="left" vertical="top" readingOrder="1"/>
    </xf>
    <xf numFmtId="0" fontId="15" fillId="0" borderId="7" xfId="0" applyFont="1" applyBorder="1">
      <alignment wrapText="1"/>
    </xf>
    <xf numFmtId="0" fontId="21" fillId="0" borderId="7" xfId="0" applyFont="1" applyBorder="1" applyAlignment="1"/>
    <xf numFmtId="43" fontId="21" fillId="0" borderId="7" xfId="6" applyFont="1" applyBorder="1" applyAlignment="1"/>
    <xf numFmtId="43" fontId="16" fillId="0" borderId="7" xfId="6" applyFont="1" applyBorder="1"/>
    <xf numFmtId="4" fontId="21" fillId="0" borderId="7" xfId="0" applyNumberFormat="1" applyFont="1" applyBorder="1" applyAlignment="1"/>
    <xf numFmtId="173" fontId="16" fillId="0" borderId="7" xfId="4" applyFont="1" applyBorder="1"/>
    <xf numFmtId="173" fontId="16" fillId="0" borderId="7" xfId="3" applyNumberFormat="1" applyFont="1" applyBorder="1"/>
    <xf numFmtId="0" fontId="15"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16" fillId="0" borderId="7" xfId="7" applyNumberFormat="1" applyFont="1" applyBorder="1" applyAlignment="1">
      <alignment vertical="center"/>
    </xf>
    <xf numFmtId="4" fontId="21" fillId="0" borderId="7" xfId="0" applyNumberFormat="1" applyFont="1" applyBorder="1" applyAlignment="1">
      <alignment vertical="center"/>
    </xf>
    <xf numFmtId="0" fontId="15" fillId="0" borderId="0" xfId="0" applyFont="1">
      <alignment wrapText="1"/>
    </xf>
    <xf numFmtId="0" fontId="21" fillId="0" borderId="0" xfId="0" applyFont="1" applyAlignment="1"/>
    <xf numFmtId="0" fontId="0" fillId="2" borderId="0" xfId="0" applyFill="1" applyAlignment="1">
      <alignment horizontal="center" vertical="top" readingOrder="1"/>
    </xf>
    <xf numFmtId="0" fontId="22" fillId="2" borderId="4" xfId="0" applyFont="1" applyFill="1" applyBorder="1" applyAlignment="1">
      <alignment horizontal="left" vertical="center" wrapText="1" readingOrder="1"/>
    </xf>
    <xf numFmtId="0" fontId="23" fillId="0" borderId="16" xfId="0" applyFont="1" applyBorder="1" applyAlignment="1">
      <alignment horizontal="center" vertical="center" wrapText="1" readingOrder="1"/>
    </xf>
    <xf numFmtId="166" fontId="3" fillId="2" borderId="16" xfId="0" applyNumberFormat="1"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5" fillId="2" borderId="0" xfId="0" applyFont="1" applyFill="1" applyAlignment="1">
      <alignment horizontal="left" vertical="center" wrapText="1" readingOrder="1"/>
    </xf>
    <xf numFmtId="0" fontId="24" fillId="3" borderId="0" xfId="0" applyFont="1" applyFill="1" applyAlignment="1">
      <alignment vertical="center"/>
    </xf>
    <xf numFmtId="0" fontId="5" fillId="2" borderId="0" xfId="0" applyFont="1" applyFill="1" applyAlignment="1">
      <alignment horizontal="right" vertical="center" wrapText="1" readingOrder="1"/>
    </xf>
    <xf numFmtId="0" fontId="7" fillId="0" borderId="0" xfId="2" applyAlignment="1">
      <alignment vertical="center" wrapText="1"/>
    </xf>
    <xf numFmtId="0" fontId="9" fillId="0" borderId="0" xfId="0" applyFont="1" applyAlignment="1">
      <alignment horizontal="left"/>
    </xf>
    <xf numFmtId="0" fontId="7" fillId="0" borderId="0" xfId="2" applyAlignment="1">
      <alignment horizontal="left"/>
    </xf>
    <xf numFmtId="0" fontId="1" fillId="0" borderId="0" xfId="3"/>
    <xf numFmtId="0" fontId="11" fillId="0" borderId="0" xfId="2" applyFont="1" applyAlignment="1">
      <alignment horizontal="left"/>
    </xf>
    <xf numFmtId="0" fontId="11" fillId="0" borderId="0" xfId="2" applyFont="1" applyAlignment="1">
      <alignment vertical="center" wrapText="1"/>
    </xf>
    <xf numFmtId="0" fontId="9" fillId="0" borderId="0" xfId="0" applyFont="1" applyAlignment="1"/>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5"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1" fillId="0" borderId="0" xfId="2" applyFont="1" applyAlignment="1">
      <alignment horizontal="center" vertical="center" wrapText="1"/>
    </xf>
    <xf numFmtId="0" fontId="2" fillId="2" borderId="7" xfId="0" applyFont="1" applyFill="1" applyBorder="1" applyAlignment="1">
      <alignment horizontal="center" vertical="center" wrapText="1" readingOrder="1"/>
    </xf>
    <xf numFmtId="0" fontId="3" fillId="2" borderId="0" xfId="0" applyFont="1" applyFill="1" applyAlignment="1">
      <alignment horizontal="left" vertical="center" wrapText="1" readingOrder="1"/>
    </xf>
    <xf numFmtId="0" fontId="15" fillId="0" borderId="7" xfId="3" applyFont="1" applyBorder="1" applyAlignment="1">
      <alignment horizontal="center" vertical="center"/>
    </xf>
    <xf numFmtId="0" fontId="15" fillId="0" borderId="15" xfId="3" applyFont="1" applyBorder="1" applyAlignment="1">
      <alignment horizontal="center" vertical="center" wrapText="1"/>
    </xf>
    <xf numFmtId="0" fontId="15" fillId="0" borderId="11" xfId="3" applyFont="1" applyBorder="1" applyAlignment="1">
      <alignment horizontal="center" vertical="center" wrapText="1"/>
    </xf>
    <xf numFmtId="43" fontId="16" fillId="0" borderId="7" xfId="6" applyFont="1" applyBorder="1" applyAlignment="1">
      <alignment horizontal="center"/>
    </xf>
    <xf numFmtId="0" fontId="16" fillId="0" borderId="7" xfId="3" applyFont="1" applyBorder="1" applyAlignment="1">
      <alignment horizontal="center"/>
    </xf>
    <xf numFmtId="0" fontId="15" fillId="0" borderId="7" xfId="3" applyFont="1" applyBorder="1" applyAlignment="1">
      <alignment horizontal="center"/>
    </xf>
    <xf numFmtId="0" fontId="15" fillId="0" borderId="7" xfId="3" applyFont="1" applyBorder="1" applyAlignment="1">
      <alignment horizontal="center" wrapText="1"/>
    </xf>
    <xf numFmtId="0" fontId="9" fillId="0" borderId="0" xfId="2" applyFont="1" applyAlignment="1">
      <alignment horizontal="center" vertical="center" wrapText="1"/>
    </xf>
    <xf numFmtId="0" fontId="16" fillId="0" borderId="7" xfId="3" applyFont="1" applyBorder="1" applyAlignment="1">
      <alignment horizontal="left" vertical="center" wrapText="1"/>
    </xf>
    <xf numFmtId="43" fontId="16" fillId="0" borderId="8" xfId="6" applyFont="1" applyBorder="1" applyAlignment="1">
      <alignment horizontal="center"/>
    </xf>
    <xf numFmtId="43" fontId="16" fillId="0" borderId="9" xfId="6" applyFont="1" applyBorder="1" applyAlignment="1">
      <alignment horizontal="center"/>
    </xf>
    <xf numFmtId="43" fontId="16" fillId="0" borderId="10" xfId="6" applyFont="1" applyBorder="1" applyAlignment="1">
      <alignment horizontal="center"/>
    </xf>
    <xf numFmtId="0" fontId="14" fillId="2" borderId="0" xfId="0" applyFont="1" applyFill="1" applyAlignment="1">
      <alignment horizontal="left" vertical="top" readingOrder="1"/>
    </xf>
    <xf numFmtId="0" fontId="15" fillId="0" borderId="8" xfId="3" applyFont="1" applyBorder="1" applyAlignment="1">
      <alignment horizontal="center" wrapText="1"/>
    </xf>
    <xf numFmtId="0" fontId="15" fillId="0" borderId="9" xfId="3" applyFont="1" applyBorder="1" applyAlignment="1">
      <alignment horizontal="center" wrapText="1"/>
    </xf>
    <xf numFmtId="0" fontId="15" fillId="0" borderId="10" xfId="3" applyFont="1" applyBorder="1" applyAlignment="1">
      <alignment horizontal="center" wrapText="1"/>
    </xf>
    <xf numFmtId="0" fontId="15" fillId="0" borderId="8" xfId="3" applyFont="1" applyBorder="1" applyAlignment="1">
      <alignment horizontal="center"/>
    </xf>
    <xf numFmtId="0" fontId="15" fillId="0" borderId="10" xfId="3" applyFont="1" applyBorder="1" applyAlignment="1">
      <alignment horizontal="center"/>
    </xf>
    <xf numFmtId="0" fontId="14" fillId="2" borderId="7" xfId="0" applyFont="1" applyFill="1" applyBorder="1" applyAlignment="1">
      <alignment horizontal="left" vertical="top" readingOrder="1"/>
    </xf>
    <xf numFmtId="0" fontId="16" fillId="0" borderId="7" xfId="3" applyFont="1" applyBorder="1" applyAlignment="1">
      <alignment horizontal="center" vertical="center"/>
    </xf>
    <xf numFmtId="0" fontId="16" fillId="0" borderId="12" xfId="3" applyFont="1" applyBorder="1" applyAlignment="1">
      <alignment horizontal="left" wrapText="1"/>
    </xf>
    <xf numFmtId="0" fontId="16" fillId="0" borderId="13" xfId="3" applyFont="1" applyBorder="1" applyAlignment="1">
      <alignment horizontal="left"/>
    </xf>
    <xf numFmtId="0" fontId="16" fillId="0" borderId="14" xfId="3" applyFont="1" applyBorder="1" applyAlignment="1">
      <alignment horizontal="left"/>
    </xf>
    <xf numFmtId="0" fontId="16" fillId="0" borderId="8" xfId="3" applyFont="1" applyBorder="1" applyAlignment="1">
      <alignment horizontal="center"/>
    </xf>
    <xf numFmtId="0" fontId="16" fillId="0" borderId="9" xfId="3" applyFont="1" applyBorder="1" applyAlignment="1">
      <alignment horizontal="center"/>
    </xf>
    <xf numFmtId="0" fontId="16" fillId="0" borderId="10" xfId="3" applyFont="1" applyBorder="1" applyAlignment="1">
      <alignment horizontal="center"/>
    </xf>
    <xf numFmtId="0" fontId="15" fillId="0" borderId="9" xfId="3" applyFont="1" applyBorder="1" applyAlignment="1">
      <alignment horizontal="center"/>
    </xf>
    <xf numFmtId="0" fontId="15" fillId="0" borderId="11" xfId="3" applyFont="1" applyBorder="1" applyAlignment="1">
      <alignment horizontal="center" vertical="center"/>
    </xf>
    <xf numFmtId="0" fontId="15" fillId="0" borderId="8" xfId="3" applyFont="1" applyBorder="1" applyAlignment="1">
      <alignment horizontal="center" vertical="center"/>
    </xf>
    <xf numFmtId="0" fontId="15" fillId="0" borderId="9" xfId="3" applyFont="1" applyBorder="1" applyAlignment="1">
      <alignment horizontal="center" vertical="center"/>
    </xf>
  </cellXfs>
  <cellStyles count="9">
    <cellStyle name="Comma" xfId="6" builtinId="3"/>
    <cellStyle name="Comma 2" xfId="4" xr:uid="{D68EBA77-9499-40A7-96D6-0E698E5C8DAA}"/>
    <cellStyle name="Hyperlink" xfId="8" builtinId="8"/>
    <cellStyle name="Normal" xfId="0" builtinId="0"/>
    <cellStyle name="Normal 2" xfId="1" xr:uid="{820AF8B5-DBB9-4374-A014-FB16C01EF0D0}"/>
    <cellStyle name="Normal 2 2" xfId="3" xr:uid="{586FA501-AEEA-4FD0-84AD-03B254D2C643}"/>
    <cellStyle name="Normal 3" xfId="2" xr:uid="{2B19ECFD-5162-40C0-8F1D-1F3C5C4FD313}"/>
    <cellStyle name="Percent" xfId="7" builtinId="5"/>
    <cellStyle name="Percent 2" xfId="5" xr:uid="{72DEF186-AB31-4E3A-A806-931ACA9F70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1.jpe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7525DFE8-C182-4961-84DC-187DB5BE62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EA16208C-3C7F-43CF-90E9-B0369350CF14}"/>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30</xdr:row>
      <xdr:rowOff>0</xdr:rowOff>
    </xdr:from>
    <xdr:to>
      <xdr:col>14</xdr:col>
      <xdr:colOff>374530</xdr:colOff>
      <xdr:row>35</xdr:row>
      <xdr:rowOff>161925</xdr:rowOff>
    </xdr:to>
    <xdr:pic>
      <xdr:nvPicPr>
        <xdr:cNvPr id="5" name="Picture 2">
          <a:extLst>
            <a:ext uri="{FF2B5EF4-FFF2-40B4-BE49-F238E27FC236}">
              <a16:creationId xmlns:a16="http://schemas.microsoft.com/office/drawing/2014/main" id="{973B8D0A-1E33-4F37-9B78-A9AFD01C1E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72700" y="643890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13</xdr:row>
      <xdr:rowOff>38100</xdr:rowOff>
    </xdr:to>
    <xdr:pic>
      <xdr:nvPicPr>
        <xdr:cNvPr id="2" name="Picture 1">
          <a:extLst>
            <a:ext uri="{FF2B5EF4-FFF2-40B4-BE49-F238E27FC236}">
              <a16:creationId xmlns:a16="http://schemas.microsoft.com/office/drawing/2014/main" id="{C838BDA4-FE6D-429B-8B9E-047EAA139999}"/>
            </a:ext>
          </a:extLst>
        </xdr:cNvPr>
        <xdr:cNvPicPr>
          <a:picLocks noChangeAspect="1"/>
        </xdr:cNvPicPr>
      </xdr:nvPicPr>
      <xdr:blipFill>
        <a:blip xmlns:r="http://schemas.openxmlformats.org/officeDocument/2006/relationships" r:embed="rId1"/>
        <a:stretch>
          <a:fillRect/>
        </a:stretch>
      </xdr:blipFill>
      <xdr:spPr>
        <a:xfrm>
          <a:off x="10172700" y="704850"/>
          <a:ext cx="3274417" cy="2095500"/>
        </a:xfrm>
        <a:prstGeom prst="rect">
          <a:avLst/>
        </a:prstGeom>
      </xdr:spPr>
    </xdr:pic>
    <xdr:clientData/>
  </xdr:twoCellAnchor>
  <xdr:twoCellAnchor editAs="oneCell">
    <xdr:from>
      <xdr:col>9</xdr:col>
      <xdr:colOff>0</xdr:colOff>
      <xdr:row>18</xdr:row>
      <xdr:rowOff>0</xdr:rowOff>
    </xdr:from>
    <xdr:to>
      <xdr:col>14</xdr:col>
      <xdr:colOff>374530</xdr:colOff>
      <xdr:row>27</xdr:row>
      <xdr:rowOff>238125</xdr:rowOff>
    </xdr:to>
    <xdr:pic>
      <xdr:nvPicPr>
        <xdr:cNvPr id="3" name="Picture 2">
          <a:extLst>
            <a:ext uri="{FF2B5EF4-FFF2-40B4-BE49-F238E27FC236}">
              <a16:creationId xmlns:a16="http://schemas.microsoft.com/office/drawing/2014/main" id="{694AAACC-5B2B-448E-BE6B-6ACD345694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6195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31</xdr:row>
      <xdr:rowOff>0</xdr:rowOff>
    </xdr:from>
    <xdr:to>
      <xdr:col>14</xdr:col>
      <xdr:colOff>374530</xdr:colOff>
      <xdr:row>36</xdr:row>
      <xdr:rowOff>161925</xdr:rowOff>
    </xdr:to>
    <xdr:pic>
      <xdr:nvPicPr>
        <xdr:cNvPr id="5" name="Picture 2">
          <a:extLst>
            <a:ext uri="{FF2B5EF4-FFF2-40B4-BE49-F238E27FC236}">
              <a16:creationId xmlns:a16="http://schemas.microsoft.com/office/drawing/2014/main" id="{00545C50-3C5C-49D3-8A76-346A2589D1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72700" y="664845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D07F996C-16C4-4F64-8413-726D8FDAE9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4CDF2CCB-6D00-4204-B57E-803032CBB0C4}"/>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02AE0EC0-87E9-406B-A408-F8C2A52C44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3" name="Picture 2">
          <a:extLst>
            <a:ext uri="{FF2B5EF4-FFF2-40B4-BE49-F238E27FC236}">
              <a16:creationId xmlns:a16="http://schemas.microsoft.com/office/drawing/2014/main" id="{DAED6AE4-EBC1-465F-AC2E-39D740C59B7D}"/>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oneCellAnchor>
    <xdr:from>
      <xdr:col>9</xdr:col>
      <xdr:colOff>0</xdr:colOff>
      <xdr:row>32</xdr:row>
      <xdr:rowOff>0</xdr:rowOff>
    </xdr:from>
    <xdr:ext cx="3422530" cy="1971675"/>
    <xdr:pic>
      <xdr:nvPicPr>
        <xdr:cNvPr id="4" name="Picture 3">
          <a:extLst>
            <a:ext uri="{FF2B5EF4-FFF2-40B4-BE49-F238E27FC236}">
              <a16:creationId xmlns:a16="http://schemas.microsoft.com/office/drawing/2014/main" id="{E6FCC25E-A8B4-4E6A-BB1F-9784C7744B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103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DDDAC5E7-99CA-4747-BC7A-C65759E07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95250</xdr:rowOff>
    </xdr:from>
    <xdr:to>
      <xdr:col>14</xdr:col>
      <xdr:colOff>374530</xdr:colOff>
      <xdr:row>34</xdr:row>
      <xdr:rowOff>123825</xdr:rowOff>
    </xdr:to>
    <xdr:pic>
      <xdr:nvPicPr>
        <xdr:cNvPr id="4" name="Picture 3">
          <a:extLst>
            <a:ext uri="{FF2B5EF4-FFF2-40B4-BE49-F238E27FC236}">
              <a16:creationId xmlns:a16="http://schemas.microsoft.com/office/drawing/2014/main" id="{54525250-6EC3-47D3-A85C-FC49B1F68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1722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5" name="Picture 4">
          <a:extLst>
            <a:ext uri="{FF2B5EF4-FFF2-40B4-BE49-F238E27FC236}">
              <a16:creationId xmlns:a16="http://schemas.microsoft.com/office/drawing/2014/main" id="{3F8CEC81-A403-4913-8485-199F4270F3B2}"/>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495300</xdr:colOff>
      <xdr:row>16</xdr:row>
      <xdr:rowOff>66675</xdr:rowOff>
    </xdr:from>
    <xdr:to>
      <xdr:col>14</xdr:col>
      <xdr:colOff>260230</xdr:colOff>
      <xdr:row>26</xdr:row>
      <xdr:rowOff>266700</xdr:rowOff>
    </xdr:to>
    <xdr:pic>
      <xdr:nvPicPr>
        <xdr:cNvPr id="3" name="Picture 2">
          <a:extLst>
            <a:ext uri="{FF2B5EF4-FFF2-40B4-BE49-F238E27FC236}">
              <a16:creationId xmlns:a16="http://schemas.microsoft.com/office/drawing/2014/main" id="{7B1B82BC-36AE-4B71-A8E1-4A319D3A1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400" y="33432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47625</xdr:rowOff>
    </xdr:from>
    <xdr:to>
      <xdr:col>14</xdr:col>
      <xdr:colOff>279280</xdr:colOff>
      <xdr:row>41</xdr:row>
      <xdr:rowOff>133350</xdr:rowOff>
    </xdr:to>
    <xdr:pic>
      <xdr:nvPicPr>
        <xdr:cNvPr id="4" name="Picture 3">
          <a:extLst>
            <a:ext uri="{FF2B5EF4-FFF2-40B4-BE49-F238E27FC236}">
              <a16:creationId xmlns:a16="http://schemas.microsoft.com/office/drawing/2014/main" id="{20684DFD-B8CB-4242-B0FE-97B724E42B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4579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3</xdr:row>
      <xdr:rowOff>9525</xdr:rowOff>
    </xdr:from>
    <xdr:to>
      <xdr:col>14</xdr:col>
      <xdr:colOff>112117</xdr:colOff>
      <xdr:row>12</xdr:row>
      <xdr:rowOff>142875</xdr:rowOff>
    </xdr:to>
    <xdr:pic>
      <xdr:nvPicPr>
        <xdr:cNvPr id="5" name="Picture 4">
          <a:extLst>
            <a:ext uri="{FF2B5EF4-FFF2-40B4-BE49-F238E27FC236}">
              <a16:creationId xmlns:a16="http://schemas.microsoft.com/office/drawing/2014/main" id="{EC8EDCB2-A527-48E3-992D-CC2F41D0E68F}"/>
            </a:ext>
          </a:extLst>
        </xdr:cNvPr>
        <xdr:cNvPicPr>
          <a:picLocks noChangeAspect="1"/>
        </xdr:cNvPicPr>
      </xdr:nvPicPr>
      <xdr:blipFill>
        <a:blip xmlns:r="http://schemas.openxmlformats.org/officeDocument/2006/relationships" r:embed="rId2"/>
        <a:stretch>
          <a:fillRect/>
        </a:stretch>
      </xdr:blipFill>
      <xdr:spPr>
        <a:xfrm>
          <a:off x="10153650" y="714375"/>
          <a:ext cx="3179167" cy="2019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0F4B4091-A416-4A90-83A8-71EBE76907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33C0740F-214B-492B-8F66-2846825F2419}"/>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152400</xdr:rowOff>
    </xdr:from>
    <xdr:to>
      <xdr:col>14</xdr:col>
      <xdr:colOff>374530</xdr:colOff>
      <xdr:row>35</xdr:row>
      <xdr:rowOff>9525</xdr:rowOff>
    </xdr:to>
    <xdr:pic>
      <xdr:nvPicPr>
        <xdr:cNvPr id="4" name="Picture 3">
          <a:extLst>
            <a:ext uri="{FF2B5EF4-FFF2-40B4-BE49-F238E27FC236}">
              <a16:creationId xmlns:a16="http://schemas.microsoft.com/office/drawing/2014/main" id="{ACFD1DCA-473F-4B1F-A204-6B7D99740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0"/>
          <a:ext cx="342253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13</xdr:col>
      <xdr:colOff>521692</xdr:colOff>
      <xdr:row>12</xdr:row>
      <xdr:rowOff>133350</xdr:rowOff>
    </xdr:to>
    <xdr:pic>
      <xdr:nvPicPr>
        <xdr:cNvPr id="2" name="Picture 1">
          <a:extLst>
            <a:ext uri="{FF2B5EF4-FFF2-40B4-BE49-F238E27FC236}">
              <a16:creationId xmlns:a16="http://schemas.microsoft.com/office/drawing/2014/main" id="{B07F290E-3D57-43C5-91FC-DE4502BAFCF5}"/>
            </a:ext>
          </a:extLst>
        </xdr:cNvPr>
        <xdr:cNvPicPr>
          <a:picLocks noChangeAspect="1"/>
        </xdr:cNvPicPr>
      </xdr:nvPicPr>
      <xdr:blipFill>
        <a:blip xmlns:r="http://schemas.openxmlformats.org/officeDocument/2006/relationships" r:embed="rId1"/>
        <a:stretch>
          <a:fillRect/>
        </a:stretch>
      </xdr:blipFill>
      <xdr:spPr>
        <a:xfrm>
          <a:off x="10172700" y="704850"/>
          <a:ext cx="2960092" cy="2019300"/>
        </a:xfrm>
        <a:prstGeom prst="rect">
          <a:avLst/>
        </a:prstGeom>
      </xdr:spPr>
    </xdr:pic>
    <xdr:clientData/>
  </xdr:twoCellAnchor>
  <xdr:twoCellAnchor editAs="oneCell">
    <xdr:from>
      <xdr:col>9</xdr:col>
      <xdr:colOff>28575</xdr:colOff>
      <xdr:row>16</xdr:row>
      <xdr:rowOff>76201</xdr:rowOff>
    </xdr:from>
    <xdr:to>
      <xdr:col>13</xdr:col>
      <xdr:colOff>552450</xdr:colOff>
      <xdr:row>26</xdr:row>
      <xdr:rowOff>114301</xdr:rowOff>
    </xdr:to>
    <xdr:pic>
      <xdr:nvPicPr>
        <xdr:cNvPr id="3" name="Picture 2">
          <a:extLst>
            <a:ext uri="{FF2B5EF4-FFF2-40B4-BE49-F238E27FC236}">
              <a16:creationId xmlns:a16="http://schemas.microsoft.com/office/drawing/2014/main" id="{A13B9ACF-A573-4487-8B95-9B1A469992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01275" y="3352801"/>
          <a:ext cx="29622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47626</xdr:rowOff>
    </xdr:from>
    <xdr:to>
      <xdr:col>13</xdr:col>
      <xdr:colOff>552450</xdr:colOff>
      <xdr:row>33</xdr:row>
      <xdr:rowOff>66676</xdr:rowOff>
    </xdr:to>
    <xdr:pic>
      <xdr:nvPicPr>
        <xdr:cNvPr id="4" name="Picture 3">
          <a:extLst>
            <a:ext uri="{FF2B5EF4-FFF2-40B4-BE49-F238E27FC236}">
              <a16:creationId xmlns:a16="http://schemas.microsoft.com/office/drawing/2014/main" id="{060C2661-D82F-4E21-B0F3-8EBB00C633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5972176"/>
          <a:ext cx="29908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2</xdr:row>
      <xdr:rowOff>85725</xdr:rowOff>
    </xdr:from>
    <xdr:to>
      <xdr:col>15</xdr:col>
      <xdr:colOff>512167</xdr:colOff>
      <xdr:row>12</xdr:row>
      <xdr:rowOff>28575</xdr:rowOff>
    </xdr:to>
    <xdr:pic>
      <xdr:nvPicPr>
        <xdr:cNvPr id="2" name="Picture 1">
          <a:extLst>
            <a:ext uri="{FF2B5EF4-FFF2-40B4-BE49-F238E27FC236}">
              <a16:creationId xmlns:a16="http://schemas.microsoft.com/office/drawing/2014/main" id="{C708DF87-1963-4ED0-855D-A613FFC3AC0C}"/>
            </a:ext>
          </a:extLst>
        </xdr:cNvPr>
        <xdr:cNvPicPr>
          <a:picLocks noChangeAspect="1"/>
        </xdr:cNvPicPr>
      </xdr:nvPicPr>
      <xdr:blipFill>
        <a:blip xmlns:r="http://schemas.openxmlformats.org/officeDocument/2006/relationships" r:embed="rId1"/>
        <a:stretch>
          <a:fillRect/>
        </a:stretch>
      </xdr:blipFill>
      <xdr:spPr>
        <a:xfrm>
          <a:off x="11144250" y="523875"/>
          <a:ext cx="3569692" cy="2095500"/>
        </a:xfrm>
        <a:prstGeom prst="rect">
          <a:avLst/>
        </a:prstGeom>
      </xdr:spPr>
    </xdr:pic>
    <xdr:clientData/>
  </xdr:twoCellAnchor>
  <xdr:twoCellAnchor editAs="oneCell">
    <xdr:from>
      <xdr:col>10</xdr:col>
      <xdr:colOff>0</xdr:colOff>
      <xdr:row>17</xdr:row>
      <xdr:rowOff>19050</xdr:rowOff>
    </xdr:from>
    <xdr:to>
      <xdr:col>16</xdr:col>
      <xdr:colOff>50680</xdr:colOff>
      <xdr:row>27</xdr:row>
      <xdr:rowOff>85725</xdr:rowOff>
    </xdr:to>
    <xdr:pic>
      <xdr:nvPicPr>
        <xdr:cNvPr id="3" name="Picture 2">
          <a:extLst>
            <a:ext uri="{FF2B5EF4-FFF2-40B4-BE49-F238E27FC236}">
              <a16:creationId xmlns:a16="http://schemas.microsoft.com/office/drawing/2014/main" id="{C688E91F-CB6E-4E9B-A16C-9D86E83C47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4250" y="3467100"/>
          <a:ext cx="371780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10</xdr:col>
      <xdr:colOff>0</xdr:colOff>
      <xdr:row>31</xdr:row>
      <xdr:rowOff>19050</xdr:rowOff>
    </xdr:from>
    <xdr:ext cx="3422530" cy="1971675"/>
    <xdr:pic>
      <xdr:nvPicPr>
        <xdr:cNvPr id="4" name="Picture 3">
          <a:extLst>
            <a:ext uri="{FF2B5EF4-FFF2-40B4-BE49-F238E27FC236}">
              <a16:creationId xmlns:a16="http://schemas.microsoft.com/office/drawing/2014/main" id="{D15ABF4E-E74A-4D43-9ED9-11844AD976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4250" y="66294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10</xdr:col>
      <xdr:colOff>28576</xdr:colOff>
      <xdr:row>12</xdr:row>
      <xdr:rowOff>19050</xdr:rowOff>
    </xdr:from>
    <xdr:to>
      <xdr:col>15</xdr:col>
      <xdr:colOff>200025</xdr:colOff>
      <xdr:row>20</xdr:row>
      <xdr:rowOff>76200</xdr:rowOff>
    </xdr:to>
    <xdr:pic>
      <xdr:nvPicPr>
        <xdr:cNvPr id="5" name="Picture 4">
          <a:extLst>
            <a:ext uri="{FF2B5EF4-FFF2-40B4-BE49-F238E27FC236}">
              <a16:creationId xmlns:a16="http://schemas.microsoft.com/office/drawing/2014/main" id="{16355523-8659-47E9-9014-4E817A8236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2326" y="2990850"/>
          <a:ext cx="3571874"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47626</xdr:colOff>
      <xdr:row>2</xdr:row>
      <xdr:rowOff>66675</xdr:rowOff>
    </xdr:from>
    <xdr:to>
      <xdr:col>15</xdr:col>
      <xdr:colOff>133350</xdr:colOff>
      <xdr:row>10</xdr:row>
      <xdr:rowOff>200025</xdr:rowOff>
    </xdr:to>
    <xdr:pic>
      <xdr:nvPicPr>
        <xdr:cNvPr id="6" name="Picture 5">
          <a:extLst>
            <a:ext uri="{FF2B5EF4-FFF2-40B4-BE49-F238E27FC236}">
              <a16:creationId xmlns:a16="http://schemas.microsoft.com/office/drawing/2014/main" id="{682F71B3-F430-42CC-88F9-8A6E651B5C58}"/>
            </a:ext>
          </a:extLst>
        </xdr:cNvPr>
        <xdr:cNvPicPr>
          <a:picLocks noChangeAspect="1"/>
        </xdr:cNvPicPr>
      </xdr:nvPicPr>
      <xdr:blipFill>
        <a:blip xmlns:r="http://schemas.openxmlformats.org/officeDocument/2006/relationships" r:embed="rId2"/>
        <a:stretch>
          <a:fillRect/>
        </a:stretch>
      </xdr:blipFill>
      <xdr:spPr>
        <a:xfrm>
          <a:off x="11001376" y="504825"/>
          <a:ext cx="3486149" cy="2095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20538865-5A7C-432F-827F-C716F024786A}"/>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9</xdr:col>
      <xdr:colOff>0</xdr:colOff>
      <xdr:row>17</xdr:row>
      <xdr:rowOff>1</xdr:rowOff>
    </xdr:from>
    <xdr:to>
      <xdr:col>14</xdr:col>
      <xdr:colOff>190500</xdr:colOff>
      <xdr:row>27</xdr:row>
      <xdr:rowOff>1</xdr:rowOff>
    </xdr:to>
    <xdr:pic>
      <xdr:nvPicPr>
        <xdr:cNvPr id="3" name="Picture 2">
          <a:extLst>
            <a:ext uri="{FF2B5EF4-FFF2-40B4-BE49-F238E27FC236}">
              <a16:creationId xmlns:a16="http://schemas.microsoft.com/office/drawing/2014/main" id="{43E61D50-AE7D-46DE-8566-F647C9E5D5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448051"/>
          <a:ext cx="3238500" cy="19050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32</xdr:row>
      <xdr:rowOff>1</xdr:rowOff>
    </xdr:from>
    <xdr:ext cx="3209925" cy="1905000"/>
    <xdr:pic>
      <xdr:nvPicPr>
        <xdr:cNvPr id="4" name="Picture 3">
          <a:extLst>
            <a:ext uri="{FF2B5EF4-FFF2-40B4-BE49-F238E27FC236}">
              <a16:creationId xmlns:a16="http://schemas.microsoft.com/office/drawing/2014/main" id="{19DA7A6C-14E3-49A7-904A-1D72B1B7E5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6210301"/>
          <a:ext cx="3209925" cy="19050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1576E-FEC8-4D29-BE67-56935A06D264}">
  <dimension ref="A1:C12"/>
  <sheetViews>
    <sheetView tabSelected="1" workbookViewId="0">
      <pane ySplit="1" topLeftCell="A2" activePane="bottomLeft" state="frozen"/>
      <selection pane="bottomLeft"/>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496</v>
      </c>
      <c r="B1" s="35" t="s">
        <v>497</v>
      </c>
      <c r="C1" s="35" t="s">
        <v>498</v>
      </c>
    </row>
    <row r="2" spans="1:3" x14ac:dyDescent="0.25">
      <c r="A2" s="37">
        <v>1</v>
      </c>
      <c r="B2" s="38" t="s">
        <v>499</v>
      </c>
      <c r="C2" s="39" t="s">
        <v>1</v>
      </c>
    </row>
    <row r="3" spans="1:3" x14ac:dyDescent="0.25">
      <c r="A3" s="37">
        <v>2</v>
      </c>
      <c r="B3" s="38" t="s">
        <v>500</v>
      </c>
      <c r="C3" s="39" t="s">
        <v>158</v>
      </c>
    </row>
    <row r="4" spans="1:3" x14ac:dyDescent="0.25">
      <c r="A4" s="37">
        <v>3</v>
      </c>
      <c r="B4" s="38" t="s">
        <v>501</v>
      </c>
      <c r="C4" s="39" t="s">
        <v>502</v>
      </c>
    </row>
    <row r="5" spans="1:3" x14ac:dyDescent="0.25">
      <c r="A5" s="37">
        <v>4</v>
      </c>
      <c r="B5" s="38" t="s">
        <v>503</v>
      </c>
      <c r="C5" s="39" t="s">
        <v>226</v>
      </c>
    </row>
    <row r="6" spans="1:3" x14ac:dyDescent="0.25">
      <c r="A6" s="37">
        <v>5</v>
      </c>
      <c r="B6" s="38" t="s">
        <v>504</v>
      </c>
      <c r="C6" s="39" t="s">
        <v>228</v>
      </c>
    </row>
    <row r="7" spans="1:3" x14ac:dyDescent="0.25">
      <c r="A7" s="37">
        <v>6</v>
      </c>
      <c r="B7" s="38" t="s">
        <v>505</v>
      </c>
      <c r="C7" s="39" t="s">
        <v>299</v>
      </c>
    </row>
    <row r="8" spans="1:3" x14ac:dyDescent="0.25">
      <c r="A8" s="37">
        <v>7</v>
      </c>
      <c r="B8" s="38" t="s">
        <v>506</v>
      </c>
      <c r="C8" s="39" t="s">
        <v>360</v>
      </c>
    </row>
    <row r="9" spans="1:3" x14ac:dyDescent="0.25">
      <c r="A9" s="37">
        <v>8</v>
      </c>
      <c r="B9" s="38" t="s">
        <v>507</v>
      </c>
      <c r="C9" s="39" t="s">
        <v>387</v>
      </c>
    </row>
    <row r="10" spans="1:3" x14ac:dyDescent="0.25">
      <c r="A10" s="37">
        <v>9</v>
      </c>
      <c r="B10" s="38" t="s">
        <v>508</v>
      </c>
      <c r="C10" s="39" t="s">
        <v>422</v>
      </c>
    </row>
    <row r="11" spans="1:3" x14ac:dyDescent="0.25">
      <c r="A11" s="37">
        <v>10</v>
      </c>
      <c r="B11" s="38" t="s">
        <v>509</v>
      </c>
      <c r="C11" s="39" t="s">
        <v>429</v>
      </c>
    </row>
    <row r="12" spans="1:3" x14ac:dyDescent="0.25">
      <c r="A12" s="37">
        <v>11</v>
      </c>
      <c r="B12" s="38" t="s">
        <v>510</v>
      </c>
      <c r="C12" s="39" t="s">
        <v>493</v>
      </c>
    </row>
  </sheetData>
  <sortState xmlns:xlrd2="http://schemas.microsoft.com/office/spreadsheetml/2017/richdata2" ref="I2:K12">
    <sortCondition ref="I2:I1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58"/>
  </cols>
  <sheetData>
    <row r="1" spans="1:15" ht="18" customHeight="1" x14ac:dyDescent="0.2">
      <c r="A1" s="103" t="s">
        <v>0</v>
      </c>
      <c r="B1" s="103"/>
      <c r="C1" s="103"/>
      <c r="D1" s="103"/>
      <c r="E1" s="103"/>
      <c r="F1" s="103"/>
      <c r="G1" s="103"/>
      <c r="H1" s="103"/>
    </row>
    <row r="2" spans="1:15" ht="17.100000000000001" customHeight="1" x14ac:dyDescent="0.2">
      <c r="A2" s="103" t="s">
        <v>1</v>
      </c>
      <c r="B2" s="103"/>
      <c r="C2" s="103"/>
      <c r="D2" s="103"/>
      <c r="E2" s="103"/>
      <c r="F2" s="103"/>
      <c r="G2" s="103"/>
      <c r="H2" s="103"/>
      <c r="J2" s="102" t="s">
        <v>627</v>
      </c>
      <c r="K2" s="102"/>
      <c r="L2" s="102"/>
      <c r="M2" s="102"/>
      <c r="N2" s="10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94" t="s">
        <v>645</v>
      </c>
      <c r="K16" s="94"/>
      <c r="L16" s="94"/>
      <c r="M16" s="94"/>
      <c r="N16" s="94"/>
      <c r="O16" s="94"/>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22</v>
      </c>
      <c r="E28" s="11">
        <v>625</v>
      </c>
      <c r="F28" s="12">
        <v>6218.4312499999996</v>
      </c>
      <c r="G28" s="13">
        <v>5.7867844000000002E-2</v>
      </c>
      <c r="H28" s="12">
        <v>5.0999999999999996</v>
      </c>
    </row>
    <row r="29" spans="1:15" ht="29.1" customHeight="1" x14ac:dyDescent="0.25">
      <c r="A29" s="9">
        <v>2</v>
      </c>
      <c r="B29" s="10" t="s">
        <v>23</v>
      </c>
      <c r="C29" s="10" t="s">
        <v>24</v>
      </c>
      <c r="D29" s="10" t="s">
        <v>591</v>
      </c>
      <c r="E29" s="11">
        <v>550</v>
      </c>
      <c r="F29" s="12">
        <v>5557.4695000000002</v>
      </c>
      <c r="G29" s="13">
        <v>5.1717026999999999E-2</v>
      </c>
      <c r="H29" s="12">
        <v>5.1550000000000002</v>
      </c>
      <c r="J29" s="94" t="s">
        <v>646</v>
      </c>
      <c r="O29"/>
    </row>
    <row r="30" spans="1:15" ht="29.1" customHeight="1" x14ac:dyDescent="0.2">
      <c r="A30" s="9">
        <v>3</v>
      </c>
      <c r="B30" s="10" t="s">
        <v>25</v>
      </c>
      <c r="C30" s="10" t="s">
        <v>26</v>
      </c>
      <c r="D30" s="10" t="s">
        <v>22</v>
      </c>
      <c r="E30" s="11">
        <v>500</v>
      </c>
      <c r="F30" s="12">
        <v>5284.5550000000003</v>
      </c>
      <c r="G30" s="13">
        <v>4.9177323000000002E-2</v>
      </c>
      <c r="H30" s="12">
        <v>5.47</v>
      </c>
      <c r="O30"/>
    </row>
    <row r="31" spans="1:15" ht="29.1" customHeight="1" x14ac:dyDescent="0.2">
      <c r="A31" s="9">
        <v>4</v>
      </c>
      <c r="B31" s="10" t="s">
        <v>27</v>
      </c>
      <c r="C31" s="10" t="s">
        <v>28</v>
      </c>
      <c r="D31" s="10" t="s">
        <v>591</v>
      </c>
      <c r="E31" s="11">
        <v>400</v>
      </c>
      <c r="F31" s="12">
        <v>4076.2080000000001</v>
      </c>
      <c r="G31" s="13">
        <v>3.7932616000000002E-2</v>
      </c>
      <c r="H31" s="12">
        <v>5.01</v>
      </c>
      <c r="O31"/>
    </row>
    <row r="32" spans="1:15" ht="29.1" customHeight="1" x14ac:dyDescent="0.2">
      <c r="A32" s="9">
        <v>5</v>
      </c>
      <c r="B32" s="10" t="s">
        <v>29</v>
      </c>
      <c r="C32" s="10" t="s">
        <v>30</v>
      </c>
      <c r="D32" s="10" t="s">
        <v>22</v>
      </c>
      <c r="E32" s="11">
        <v>350</v>
      </c>
      <c r="F32" s="12">
        <v>3564.5680000000002</v>
      </c>
      <c r="G32" s="13">
        <v>3.3171367E-2</v>
      </c>
      <c r="H32" s="12">
        <v>5.0750000000000002</v>
      </c>
      <c r="O32"/>
    </row>
    <row r="33" spans="1:15" ht="29.1" customHeight="1" x14ac:dyDescent="0.2">
      <c r="A33" s="9">
        <v>6</v>
      </c>
      <c r="B33" s="10" t="s">
        <v>31</v>
      </c>
      <c r="C33" s="10" t="s">
        <v>32</v>
      </c>
      <c r="D33" s="10" t="s">
        <v>22</v>
      </c>
      <c r="E33" s="11">
        <v>350</v>
      </c>
      <c r="F33" s="12">
        <v>3521.7139999999999</v>
      </c>
      <c r="G33" s="13">
        <v>3.2772573999999999E-2</v>
      </c>
      <c r="H33" s="12">
        <v>5.3289</v>
      </c>
      <c r="O33"/>
    </row>
    <row r="34" spans="1:15" ht="29.1" customHeight="1" x14ac:dyDescent="0.2">
      <c r="A34" s="9">
        <v>7</v>
      </c>
      <c r="B34" s="10" t="s">
        <v>33</v>
      </c>
      <c r="C34" s="10" t="s">
        <v>34</v>
      </c>
      <c r="D34" s="10" t="s">
        <v>22</v>
      </c>
      <c r="E34" s="11">
        <v>300</v>
      </c>
      <c r="F34" s="12">
        <v>3138.348</v>
      </c>
      <c r="G34" s="13">
        <v>2.9205024E-2</v>
      </c>
      <c r="H34" s="12">
        <v>5.3289</v>
      </c>
      <c r="O34"/>
    </row>
    <row r="35" spans="1:15" ht="29.1" customHeight="1" x14ac:dyDescent="0.2">
      <c r="A35" s="9">
        <v>8</v>
      </c>
      <c r="B35" s="10" t="s">
        <v>35</v>
      </c>
      <c r="C35" s="10" t="s">
        <v>36</v>
      </c>
      <c r="D35" s="10" t="s">
        <v>22</v>
      </c>
      <c r="E35" s="11">
        <v>300</v>
      </c>
      <c r="F35" s="12">
        <v>3112.23</v>
      </c>
      <c r="G35" s="13">
        <v>2.8961972999999998E-2</v>
      </c>
      <c r="H35" s="12">
        <v>5.3289</v>
      </c>
      <c r="O35"/>
    </row>
    <row r="36" spans="1:15" ht="29.1" customHeight="1" x14ac:dyDescent="0.2">
      <c r="A36" s="9">
        <v>9</v>
      </c>
      <c r="B36" s="10" t="s">
        <v>37</v>
      </c>
      <c r="C36" s="10" t="s">
        <v>38</v>
      </c>
      <c r="D36" s="10" t="s">
        <v>22</v>
      </c>
      <c r="E36" s="11">
        <v>300</v>
      </c>
      <c r="F36" s="12">
        <v>3029.319</v>
      </c>
      <c r="G36" s="13">
        <v>2.8190415E-2</v>
      </c>
      <c r="H36" s="12">
        <v>4.9249999999999998</v>
      </c>
    </row>
    <row r="37" spans="1:15" ht="29.1" customHeight="1" x14ac:dyDescent="0.2">
      <c r="A37" s="9">
        <v>10</v>
      </c>
      <c r="B37" s="10" t="s">
        <v>39</v>
      </c>
      <c r="C37" s="10" t="s">
        <v>40</v>
      </c>
      <c r="D37" s="10" t="s">
        <v>22</v>
      </c>
      <c r="E37" s="11">
        <v>250</v>
      </c>
      <c r="F37" s="12">
        <v>2601.2150000000001</v>
      </c>
      <c r="G37" s="13">
        <v>2.4206539999999999E-2</v>
      </c>
      <c r="H37" s="12">
        <v>4.83</v>
      </c>
    </row>
    <row r="38" spans="1:15" ht="29.1" customHeight="1" x14ac:dyDescent="0.2">
      <c r="A38" s="9">
        <v>11</v>
      </c>
      <c r="B38" s="10" t="s">
        <v>41</v>
      </c>
      <c r="C38" s="10" t="s">
        <v>42</v>
      </c>
      <c r="D38" s="10" t="s">
        <v>22</v>
      </c>
      <c r="E38" s="11">
        <v>250</v>
      </c>
      <c r="F38" s="12">
        <v>2597.2424999999998</v>
      </c>
      <c r="G38" s="13">
        <v>2.4169572E-2</v>
      </c>
      <c r="H38" s="12">
        <v>5.2</v>
      </c>
    </row>
    <row r="39" spans="1:15" ht="17.100000000000001" customHeight="1" x14ac:dyDescent="0.2">
      <c r="A39" s="9">
        <v>12</v>
      </c>
      <c r="B39" s="10" t="s">
        <v>43</v>
      </c>
      <c r="C39" s="10" t="s">
        <v>44</v>
      </c>
      <c r="D39" s="10" t="s">
        <v>22</v>
      </c>
      <c r="E39" s="11">
        <v>250</v>
      </c>
      <c r="F39" s="12">
        <v>2594.04</v>
      </c>
      <c r="G39" s="13">
        <v>2.4139770000000001E-2</v>
      </c>
      <c r="H39" s="12">
        <v>4.8449999999999998</v>
      </c>
    </row>
    <row r="40" spans="1:15" ht="29.1" customHeight="1" x14ac:dyDescent="0.2">
      <c r="A40" s="9">
        <v>13</v>
      </c>
      <c r="B40" s="10" t="s">
        <v>45</v>
      </c>
      <c r="C40" s="10" t="s">
        <v>46</v>
      </c>
      <c r="D40" s="10" t="s">
        <v>22</v>
      </c>
      <c r="E40" s="11">
        <v>250</v>
      </c>
      <c r="F40" s="12">
        <v>2591.87</v>
      </c>
      <c r="G40" s="13">
        <v>2.4119576E-2</v>
      </c>
      <c r="H40" s="12">
        <v>5.01</v>
      </c>
    </row>
    <row r="41" spans="1:15" ht="17.100000000000001" customHeight="1" x14ac:dyDescent="0.2">
      <c r="A41" s="9">
        <v>14</v>
      </c>
      <c r="B41" s="10" t="s">
        <v>47</v>
      </c>
      <c r="C41" s="10" t="s">
        <v>48</v>
      </c>
      <c r="D41" s="10" t="s">
        <v>22</v>
      </c>
      <c r="E41" s="11">
        <v>250</v>
      </c>
      <c r="F41" s="12">
        <v>2584.8325</v>
      </c>
      <c r="G41" s="13">
        <v>2.4054085999999999E-2</v>
      </c>
      <c r="H41" s="12">
        <v>5.2149999999999999</v>
      </c>
    </row>
    <row r="42" spans="1:15" ht="29.1" customHeight="1" x14ac:dyDescent="0.2">
      <c r="A42" s="9">
        <v>15</v>
      </c>
      <c r="B42" s="10" t="s">
        <v>49</v>
      </c>
      <c r="C42" s="10" t="s">
        <v>50</v>
      </c>
      <c r="D42" s="10" t="s">
        <v>22</v>
      </c>
      <c r="E42" s="11">
        <v>250</v>
      </c>
      <c r="F42" s="12">
        <v>2546.1925000000001</v>
      </c>
      <c r="G42" s="13">
        <v>2.3694508E-2</v>
      </c>
      <c r="H42" s="12">
        <v>5.24</v>
      </c>
    </row>
    <row r="43" spans="1:15" ht="29.1" customHeight="1" x14ac:dyDescent="0.2">
      <c r="A43" s="9">
        <v>16</v>
      </c>
      <c r="B43" s="10" t="s">
        <v>51</v>
      </c>
      <c r="C43" s="10" t="s">
        <v>52</v>
      </c>
      <c r="D43" s="10" t="s">
        <v>591</v>
      </c>
      <c r="E43" s="11">
        <v>250</v>
      </c>
      <c r="F43" s="12">
        <v>2539.8775000000001</v>
      </c>
      <c r="G43" s="13">
        <v>2.3635742000000001E-2</v>
      </c>
      <c r="H43" s="12">
        <v>4.9950000000000001</v>
      </c>
    </row>
    <row r="44" spans="1:15" ht="17.100000000000001" customHeight="1" x14ac:dyDescent="0.2">
      <c r="A44" s="9">
        <v>17</v>
      </c>
      <c r="B44" s="10" t="s">
        <v>53</v>
      </c>
      <c r="C44" s="10" t="s">
        <v>54</v>
      </c>
      <c r="D44" s="10" t="s">
        <v>22</v>
      </c>
      <c r="E44" s="11">
        <v>250</v>
      </c>
      <c r="F44" s="12">
        <v>2506.4124999999999</v>
      </c>
      <c r="G44" s="13">
        <v>2.3324320999999999E-2</v>
      </c>
      <c r="H44" s="12">
        <v>5.4850000000000003</v>
      </c>
    </row>
    <row r="45" spans="1:15" ht="29.1" customHeight="1" x14ac:dyDescent="0.2">
      <c r="A45" s="9">
        <v>18</v>
      </c>
      <c r="B45" s="10" t="s">
        <v>55</v>
      </c>
      <c r="C45" s="10" t="s">
        <v>56</v>
      </c>
      <c r="D45" s="10" t="s">
        <v>22</v>
      </c>
      <c r="E45" s="11">
        <v>200</v>
      </c>
      <c r="F45" s="12">
        <v>2077.0160000000001</v>
      </c>
      <c r="G45" s="13">
        <v>1.9328418E-2</v>
      </c>
      <c r="H45" s="12">
        <v>4.88</v>
      </c>
    </row>
    <row r="46" spans="1:15" ht="17.100000000000001" customHeight="1" x14ac:dyDescent="0.2">
      <c r="A46" s="9">
        <v>19</v>
      </c>
      <c r="B46" s="10" t="s">
        <v>57</v>
      </c>
      <c r="C46" s="10" t="s">
        <v>58</v>
      </c>
      <c r="D46" s="10" t="s">
        <v>22</v>
      </c>
      <c r="E46" s="11">
        <v>200</v>
      </c>
      <c r="F46" s="12">
        <v>2033.21</v>
      </c>
      <c r="G46" s="13">
        <v>1.8920764999999999E-2</v>
      </c>
      <c r="H46" s="12">
        <v>4.8250000000000002</v>
      </c>
    </row>
    <row r="47" spans="1:15" ht="29.1" customHeight="1" x14ac:dyDescent="0.2">
      <c r="A47" s="9">
        <v>20</v>
      </c>
      <c r="B47" s="10" t="s">
        <v>59</v>
      </c>
      <c r="C47" s="10" t="s">
        <v>60</v>
      </c>
      <c r="D47" s="10" t="s">
        <v>22</v>
      </c>
      <c r="E47" s="11">
        <v>200</v>
      </c>
      <c r="F47" s="12">
        <v>2028.6179999999999</v>
      </c>
      <c r="G47" s="13">
        <v>1.8878032999999999E-2</v>
      </c>
      <c r="H47" s="12">
        <v>4.88</v>
      </c>
    </row>
    <row r="48" spans="1:15" ht="29.1" customHeight="1" x14ac:dyDescent="0.2">
      <c r="A48" s="9">
        <v>21</v>
      </c>
      <c r="B48" s="10" t="s">
        <v>61</v>
      </c>
      <c r="C48" s="10" t="s">
        <v>62</v>
      </c>
      <c r="D48" s="10" t="s">
        <v>22</v>
      </c>
      <c r="E48" s="11">
        <v>200</v>
      </c>
      <c r="F48" s="12">
        <v>2024.4580000000001</v>
      </c>
      <c r="G48" s="13">
        <v>1.883932E-2</v>
      </c>
      <c r="H48" s="12">
        <v>5.14</v>
      </c>
    </row>
    <row r="49" spans="1:8" ht="29.1" customHeight="1" x14ac:dyDescent="0.2">
      <c r="A49" s="9">
        <v>22</v>
      </c>
      <c r="B49" s="10" t="s">
        <v>63</v>
      </c>
      <c r="C49" s="10" t="s">
        <v>64</v>
      </c>
      <c r="D49" s="10" t="s">
        <v>22</v>
      </c>
      <c r="E49" s="11">
        <v>150</v>
      </c>
      <c r="F49" s="12">
        <v>1558.2</v>
      </c>
      <c r="G49" s="13">
        <v>1.4500389000000001E-2</v>
      </c>
      <c r="H49" s="12">
        <v>4.87</v>
      </c>
    </row>
    <row r="50" spans="1:8" ht="29.1" customHeight="1" x14ac:dyDescent="0.2">
      <c r="A50" s="9">
        <v>23</v>
      </c>
      <c r="B50" s="10" t="s">
        <v>65</v>
      </c>
      <c r="C50" s="10" t="s">
        <v>66</v>
      </c>
      <c r="D50" s="10" t="s">
        <v>22</v>
      </c>
      <c r="E50" s="11">
        <v>150</v>
      </c>
      <c r="F50" s="12">
        <v>1553.2860000000001</v>
      </c>
      <c r="G50" s="13">
        <v>1.4454659999999999E-2</v>
      </c>
      <c r="H50" s="12">
        <v>4.8650000000000002</v>
      </c>
    </row>
    <row r="51" spans="1:8" ht="29.1" customHeight="1" x14ac:dyDescent="0.2">
      <c r="A51" s="9">
        <v>24</v>
      </c>
      <c r="B51" s="10" t="s">
        <v>67</v>
      </c>
      <c r="C51" s="10" t="s">
        <v>68</v>
      </c>
      <c r="D51" s="10" t="s">
        <v>22</v>
      </c>
      <c r="E51" s="11">
        <v>150</v>
      </c>
      <c r="F51" s="12">
        <v>1551.5205000000001</v>
      </c>
      <c r="G51" s="13">
        <v>1.4438230999999999E-2</v>
      </c>
      <c r="H51" s="12">
        <v>4.93</v>
      </c>
    </row>
    <row r="52" spans="1:8" ht="29.1" customHeight="1" x14ac:dyDescent="0.2">
      <c r="A52" s="9">
        <v>25</v>
      </c>
      <c r="B52" s="10" t="s">
        <v>69</v>
      </c>
      <c r="C52" s="10" t="s">
        <v>70</v>
      </c>
      <c r="D52" s="10" t="s">
        <v>22</v>
      </c>
      <c r="E52" s="11">
        <v>140</v>
      </c>
      <c r="F52" s="12">
        <v>1424.1486</v>
      </c>
      <c r="G52" s="13">
        <v>1.3252926E-2</v>
      </c>
      <c r="H52" s="12">
        <v>4.9249999999999998</v>
      </c>
    </row>
    <row r="53" spans="1:8" ht="29.1" customHeight="1" x14ac:dyDescent="0.2">
      <c r="A53" s="9">
        <v>26</v>
      </c>
      <c r="B53" s="10" t="s">
        <v>71</v>
      </c>
      <c r="C53" s="10" t="s">
        <v>72</v>
      </c>
      <c r="D53" s="10" t="s">
        <v>22</v>
      </c>
      <c r="E53" s="11">
        <v>100</v>
      </c>
      <c r="F53" s="12">
        <v>1058.8030000000001</v>
      </c>
      <c r="G53" s="13">
        <v>9.8530709999999997E-3</v>
      </c>
      <c r="H53" s="12">
        <v>5.0650000000000004</v>
      </c>
    </row>
    <row r="54" spans="1:8" ht="29.1" customHeight="1" x14ac:dyDescent="0.2">
      <c r="A54" s="9">
        <v>27</v>
      </c>
      <c r="B54" s="10" t="s">
        <v>73</v>
      </c>
      <c r="C54" s="10" t="s">
        <v>74</v>
      </c>
      <c r="D54" s="10" t="s">
        <v>22</v>
      </c>
      <c r="E54" s="11">
        <v>80</v>
      </c>
      <c r="F54" s="12">
        <v>1045.2339999999999</v>
      </c>
      <c r="G54" s="13">
        <v>9.7268000000000007E-3</v>
      </c>
      <c r="H54" s="12">
        <v>5.0599999999999996</v>
      </c>
    </row>
    <row r="55" spans="1:8" ht="17.100000000000001" customHeight="1" x14ac:dyDescent="0.2">
      <c r="A55" s="9">
        <v>28</v>
      </c>
      <c r="B55" s="10" t="s">
        <v>75</v>
      </c>
      <c r="C55" s="10" t="s">
        <v>76</v>
      </c>
      <c r="D55" s="10" t="s">
        <v>77</v>
      </c>
      <c r="E55" s="11">
        <v>1000</v>
      </c>
      <c r="F55" s="12">
        <v>1043.5550000000001</v>
      </c>
      <c r="G55" s="13">
        <v>9.7111760000000002E-3</v>
      </c>
      <c r="H55" s="12">
        <v>5.09</v>
      </c>
    </row>
    <row r="56" spans="1:8" ht="29.1" customHeight="1" x14ac:dyDescent="0.2">
      <c r="A56" s="9">
        <v>29</v>
      </c>
      <c r="B56" s="10" t="s">
        <v>78</v>
      </c>
      <c r="C56" s="10" t="s">
        <v>79</v>
      </c>
      <c r="D56" s="10" t="s">
        <v>22</v>
      </c>
      <c r="E56" s="11">
        <v>100</v>
      </c>
      <c r="F56" s="12">
        <v>1038.6790000000001</v>
      </c>
      <c r="G56" s="13">
        <v>9.6658000000000004E-3</v>
      </c>
      <c r="H56" s="12">
        <v>5.08</v>
      </c>
    </row>
    <row r="57" spans="1:8" ht="29.1" customHeight="1" x14ac:dyDescent="0.2">
      <c r="A57" s="9">
        <v>30</v>
      </c>
      <c r="B57" s="10" t="s">
        <v>80</v>
      </c>
      <c r="C57" s="10" t="s">
        <v>81</v>
      </c>
      <c r="D57" s="10" t="s">
        <v>22</v>
      </c>
      <c r="E57" s="11">
        <v>100</v>
      </c>
      <c r="F57" s="12">
        <v>1037.9559999999999</v>
      </c>
      <c r="G57" s="13">
        <v>9.6590719999999994E-3</v>
      </c>
      <c r="H57" s="12">
        <v>5.0750000000000002</v>
      </c>
    </row>
    <row r="58" spans="1:8" ht="29.1" customHeight="1" x14ac:dyDescent="0.2">
      <c r="A58" s="9">
        <v>31</v>
      </c>
      <c r="B58" s="10" t="s">
        <v>82</v>
      </c>
      <c r="C58" s="10" t="s">
        <v>83</v>
      </c>
      <c r="D58" s="10" t="s">
        <v>22</v>
      </c>
      <c r="E58" s="11">
        <v>100</v>
      </c>
      <c r="F58" s="12">
        <v>1037.4780000000001</v>
      </c>
      <c r="G58" s="13">
        <v>9.6546240000000005E-3</v>
      </c>
      <c r="H58" s="12">
        <v>4.8849999999999998</v>
      </c>
    </row>
    <row r="59" spans="1:8" ht="17.100000000000001" customHeight="1" x14ac:dyDescent="0.2">
      <c r="A59" s="9">
        <v>32</v>
      </c>
      <c r="B59" s="10" t="s">
        <v>84</v>
      </c>
      <c r="C59" s="10" t="s">
        <v>85</v>
      </c>
      <c r="D59" s="10" t="s">
        <v>22</v>
      </c>
      <c r="E59" s="11">
        <v>100</v>
      </c>
      <c r="F59" s="12">
        <v>1030.319</v>
      </c>
      <c r="G59" s="13">
        <v>9.5880029999999995E-3</v>
      </c>
      <c r="H59" s="12">
        <v>5.45</v>
      </c>
    </row>
    <row r="60" spans="1:8" ht="17.100000000000001" customHeight="1" x14ac:dyDescent="0.2">
      <c r="A60" s="9">
        <v>33</v>
      </c>
      <c r="B60" s="10" t="s">
        <v>86</v>
      </c>
      <c r="C60" s="10" t="s">
        <v>87</v>
      </c>
      <c r="D60" s="10" t="s">
        <v>22</v>
      </c>
      <c r="E60" s="11">
        <v>101</v>
      </c>
      <c r="F60" s="12">
        <v>1027.8638699999999</v>
      </c>
      <c r="G60" s="13">
        <v>9.565156E-3</v>
      </c>
      <c r="H60" s="12">
        <v>4.8849999999999998</v>
      </c>
    </row>
    <row r="61" spans="1:8" ht="29.1" customHeight="1" x14ac:dyDescent="0.2">
      <c r="A61" s="9">
        <v>34</v>
      </c>
      <c r="B61" s="10" t="s">
        <v>88</v>
      </c>
      <c r="C61" s="10" t="s">
        <v>89</v>
      </c>
      <c r="D61" s="10" t="s">
        <v>22</v>
      </c>
      <c r="E61" s="11">
        <v>100</v>
      </c>
      <c r="F61" s="12">
        <v>1019.279</v>
      </c>
      <c r="G61" s="13">
        <v>9.4852670000000004E-3</v>
      </c>
      <c r="H61" s="12">
        <v>5.04</v>
      </c>
    </row>
    <row r="62" spans="1:8" ht="29.1" customHeight="1" x14ac:dyDescent="0.2">
      <c r="A62" s="9">
        <v>35</v>
      </c>
      <c r="B62" s="10" t="s">
        <v>90</v>
      </c>
      <c r="C62" s="10" t="s">
        <v>91</v>
      </c>
      <c r="D62" s="10" t="s">
        <v>22</v>
      </c>
      <c r="E62" s="11">
        <v>100</v>
      </c>
      <c r="F62" s="12">
        <v>1017.465</v>
      </c>
      <c r="G62" s="13">
        <v>9.4683860000000005E-3</v>
      </c>
      <c r="H62" s="12">
        <v>4.7750000000000004</v>
      </c>
    </row>
    <row r="63" spans="1:8" ht="29.1" customHeight="1" x14ac:dyDescent="0.2">
      <c r="A63" s="9">
        <v>36</v>
      </c>
      <c r="B63" s="10" t="s">
        <v>92</v>
      </c>
      <c r="C63" s="10" t="s">
        <v>93</v>
      </c>
      <c r="D63" s="10" t="s">
        <v>22</v>
      </c>
      <c r="E63" s="11">
        <v>40</v>
      </c>
      <c r="F63" s="12">
        <v>534.99350000000004</v>
      </c>
      <c r="G63" s="13">
        <v>4.9785740000000004E-3</v>
      </c>
      <c r="H63" s="12">
        <v>5.1100000000000003</v>
      </c>
    </row>
    <row r="64" spans="1:8" ht="29.1" customHeight="1" x14ac:dyDescent="0.2">
      <c r="A64" s="9">
        <v>37</v>
      </c>
      <c r="B64" s="10" t="s">
        <v>94</v>
      </c>
      <c r="C64" s="10" t="s">
        <v>95</v>
      </c>
      <c r="D64" s="10" t="s">
        <v>22</v>
      </c>
      <c r="E64" s="11">
        <v>40</v>
      </c>
      <c r="F64" s="12">
        <v>523.54899999999998</v>
      </c>
      <c r="G64" s="13">
        <v>4.8720730000000002E-3</v>
      </c>
      <c r="H64" s="12">
        <v>4.88</v>
      </c>
    </row>
    <row r="65" spans="1:8" ht="29.1" customHeight="1" x14ac:dyDescent="0.2">
      <c r="A65" s="9">
        <v>38</v>
      </c>
      <c r="B65" s="10" t="s">
        <v>96</v>
      </c>
      <c r="C65" s="10" t="s">
        <v>97</v>
      </c>
      <c r="D65" s="10" t="s">
        <v>22</v>
      </c>
      <c r="E65" s="11">
        <v>50</v>
      </c>
      <c r="F65" s="12">
        <v>520.17600000000004</v>
      </c>
      <c r="G65" s="13">
        <v>4.8406839999999996E-3</v>
      </c>
      <c r="H65" s="12">
        <v>4.93</v>
      </c>
    </row>
    <row r="66" spans="1:8" ht="29.1" customHeight="1" x14ac:dyDescent="0.2">
      <c r="A66" s="9">
        <v>39</v>
      </c>
      <c r="B66" s="10" t="s">
        <v>98</v>
      </c>
      <c r="C66" s="10" t="s">
        <v>99</v>
      </c>
      <c r="D66" s="10" t="s">
        <v>22</v>
      </c>
      <c r="E66" s="11">
        <v>50</v>
      </c>
      <c r="F66" s="12">
        <v>511.97949999999997</v>
      </c>
      <c r="G66" s="13">
        <v>4.7644089999999998E-3</v>
      </c>
      <c r="H66" s="12">
        <v>4.8250000000000002</v>
      </c>
    </row>
    <row r="67" spans="1:8" ht="29.1" customHeight="1" x14ac:dyDescent="0.2">
      <c r="A67" s="9">
        <v>40</v>
      </c>
      <c r="B67" s="10" t="s">
        <v>100</v>
      </c>
      <c r="C67" s="10" t="s">
        <v>101</v>
      </c>
      <c r="D67" s="10" t="s">
        <v>591</v>
      </c>
      <c r="E67" s="11">
        <v>50</v>
      </c>
      <c r="F67" s="12">
        <v>509.09100000000001</v>
      </c>
      <c r="G67" s="13">
        <v>4.7375289999999999E-3</v>
      </c>
      <c r="H67" s="12">
        <v>4.9950000000000001</v>
      </c>
    </row>
    <row r="68" spans="1:8" ht="14.1" customHeight="1" x14ac:dyDescent="0.2">
      <c r="A68" s="1"/>
      <c r="B68" s="1"/>
      <c r="C68" s="2" t="s">
        <v>11</v>
      </c>
      <c r="D68" s="1"/>
      <c r="E68" s="1" t="s">
        <v>12</v>
      </c>
      <c r="F68" s="7">
        <v>85271.403219999993</v>
      </c>
      <c r="G68" s="8">
        <v>0.79352364399999997</v>
      </c>
      <c r="H68" s="12"/>
    </row>
    <row r="69" spans="1:8" ht="14.1" customHeight="1" x14ac:dyDescent="0.2">
      <c r="A69" s="1"/>
      <c r="B69" s="1"/>
      <c r="C69" s="5"/>
      <c r="D69" s="1"/>
      <c r="E69" s="1"/>
      <c r="F69" s="6"/>
      <c r="G69" s="6"/>
      <c r="H69" s="12"/>
    </row>
    <row r="70" spans="1:8" ht="14.1" customHeight="1" x14ac:dyDescent="0.2">
      <c r="A70" s="1"/>
      <c r="B70" s="1"/>
      <c r="C70" s="2" t="s">
        <v>102</v>
      </c>
      <c r="D70" s="1"/>
      <c r="E70" s="1"/>
      <c r="F70" s="1"/>
      <c r="G70" s="1"/>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103</v>
      </c>
      <c r="D73" s="1"/>
      <c r="E73" s="1"/>
      <c r="F73" s="1"/>
      <c r="G73" s="1"/>
      <c r="H73" s="12"/>
    </row>
    <row r="74" spans="1:8" ht="29.1" customHeight="1" x14ac:dyDescent="0.2">
      <c r="A74" s="9">
        <v>1</v>
      </c>
      <c r="B74" s="10" t="s">
        <v>104</v>
      </c>
      <c r="C74" s="10" t="s">
        <v>105</v>
      </c>
      <c r="D74" s="10" t="s">
        <v>106</v>
      </c>
      <c r="E74" s="11">
        <v>5000000</v>
      </c>
      <c r="F74" s="12">
        <v>5226.67</v>
      </c>
      <c r="G74" s="13">
        <v>4.8638652999999997E-2</v>
      </c>
      <c r="H74" s="12">
        <v>5.0201000000000002</v>
      </c>
    </row>
    <row r="75" spans="1:8" ht="29.1" customHeight="1" x14ac:dyDescent="0.2">
      <c r="A75" s="9">
        <v>2</v>
      </c>
      <c r="B75" s="10" t="s">
        <v>107</v>
      </c>
      <c r="C75" s="10" t="s">
        <v>108</v>
      </c>
      <c r="D75" s="10" t="s">
        <v>106</v>
      </c>
      <c r="E75" s="11">
        <v>2500000</v>
      </c>
      <c r="F75" s="12">
        <v>2658.3074999999999</v>
      </c>
      <c r="G75" s="13">
        <v>2.4737834E-2</v>
      </c>
      <c r="H75" s="12">
        <v>5.0865</v>
      </c>
    </row>
    <row r="76" spans="1:8" ht="29.1" customHeight="1" x14ac:dyDescent="0.2">
      <c r="A76" s="9">
        <v>3</v>
      </c>
      <c r="B76" s="10" t="s">
        <v>109</v>
      </c>
      <c r="C76" s="10" t="s">
        <v>110</v>
      </c>
      <c r="D76" s="10" t="s">
        <v>106</v>
      </c>
      <c r="E76" s="11">
        <v>1500000</v>
      </c>
      <c r="F76" s="12">
        <v>1554.5820000000001</v>
      </c>
      <c r="G76" s="13">
        <v>1.4466721E-2</v>
      </c>
      <c r="H76" s="12">
        <v>4.7324999999999999</v>
      </c>
    </row>
    <row r="77" spans="1:8" ht="29.1" customHeight="1" x14ac:dyDescent="0.2">
      <c r="A77" s="9">
        <v>4</v>
      </c>
      <c r="B77" s="10" t="s">
        <v>111</v>
      </c>
      <c r="C77" s="10" t="s">
        <v>112</v>
      </c>
      <c r="D77" s="10" t="s">
        <v>106</v>
      </c>
      <c r="E77" s="11">
        <v>1500000</v>
      </c>
      <c r="F77" s="12">
        <v>1543.086</v>
      </c>
      <c r="G77" s="13">
        <v>1.4359741000000001E-2</v>
      </c>
      <c r="H77" s="12">
        <v>4.7000999999999999</v>
      </c>
    </row>
    <row r="78" spans="1:8" ht="29.1" customHeight="1" x14ac:dyDescent="0.2">
      <c r="A78" s="9">
        <v>5</v>
      </c>
      <c r="B78" s="10" t="s">
        <v>113</v>
      </c>
      <c r="C78" s="10" t="s">
        <v>114</v>
      </c>
      <c r="D78" s="10" t="s">
        <v>106</v>
      </c>
      <c r="E78" s="11">
        <v>1000000</v>
      </c>
      <c r="F78" s="12">
        <v>1038.3520000000001</v>
      </c>
      <c r="G78" s="13">
        <v>9.6627569999999992E-3</v>
      </c>
      <c r="H78" s="12">
        <v>4.9462000000000002</v>
      </c>
    </row>
    <row r="79" spans="1:8" ht="29.1" customHeight="1" x14ac:dyDescent="0.2">
      <c r="A79" s="9">
        <v>6</v>
      </c>
      <c r="B79" s="10" t="s">
        <v>115</v>
      </c>
      <c r="C79" s="10" t="s">
        <v>116</v>
      </c>
      <c r="D79" s="10" t="s">
        <v>106</v>
      </c>
      <c r="E79" s="11">
        <v>1000000</v>
      </c>
      <c r="F79" s="12">
        <v>1007.129</v>
      </c>
      <c r="G79" s="13">
        <v>9.3722000000000007E-3</v>
      </c>
      <c r="H79" s="12">
        <v>4.7850000000000001</v>
      </c>
    </row>
    <row r="80" spans="1:8" ht="29.1" customHeight="1" x14ac:dyDescent="0.2">
      <c r="A80" s="9">
        <v>7</v>
      </c>
      <c r="B80" s="10" t="s">
        <v>117</v>
      </c>
      <c r="C80" s="10" t="s">
        <v>118</v>
      </c>
      <c r="D80" s="10" t="s">
        <v>106</v>
      </c>
      <c r="E80" s="11">
        <v>500000</v>
      </c>
      <c r="F80" s="12">
        <v>531.23299999999995</v>
      </c>
      <c r="G80" s="13">
        <v>4.943579E-3</v>
      </c>
      <c r="H80" s="12">
        <v>5.0815000000000001</v>
      </c>
    </row>
    <row r="81" spans="1:8" ht="14.1" customHeight="1" x14ac:dyDescent="0.2">
      <c r="A81" s="1"/>
      <c r="B81" s="1"/>
      <c r="C81" s="2" t="s">
        <v>11</v>
      </c>
      <c r="D81" s="1"/>
      <c r="E81" s="1" t="s">
        <v>12</v>
      </c>
      <c r="F81" s="7">
        <v>13559.3595</v>
      </c>
      <c r="G81" s="8">
        <v>0.12618148500000001</v>
      </c>
      <c r="H81" s="12"/>
    </row>
    <row r="82" spans="1:8" ht="14.1" customHeight="1" x14ac:dyDescent="0.2">
      <c r="A82" s="1"/>
      <c r="B82" s="1"/>
      <c r="C82" s="5"/>
      <c r="D82" s="1"/>
      <c r="E82" s="1"/>
      <c r="F82" s="6"/>
      <c r="G82" s="6"/>
      <c r="H82" s="12"/>
    </row>
    <row r="83" spans="1:8" ht="14.1" customHeight="1" x14ac:dyDescent="0.2">
      <c r="A83" s="1"/>
      <c r="B83" s="1"/>
      <c r="C83" s="2" t="s">
        <v>119</v>
      </c>
      <c r="D83" s="1"/>
      <c r="E83" s="1"/>
      <c r="F83" s="6"/>
      <c r="G83" s="6"/>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
      <c r="C86" s="2" t="s">
        <v>120</v>
      </c>
      <c r="D86" s="1"/>
      <c r="E86" s="1"/>
      <c r="F86" s="7">
        <v>98830.762719999999</v>
      </c>
      <c r="G86" s="8">
        <v>0.91970512900000001</v>
      </c>
      <c r="H86" s="12"/>
    </row>
    <row r="87" spans="1:8" ht="14.1" customHeight="1" x14ac:dyDescent="0.2">
      <c r="A87" s="1"/>
      <c r="B87" s="1"/>
      <c r="C87" s="5"/>
      <c r="D87" s="1"/>
      <c r="E87" s="1"/>
      <c r="F87" s="6"/>
      <c r="G87" s="6"/>
      <c r="H87" s="12"/>
    </row>
    <row r="88" spans="1:8" ht="14.1" customHeight="1" x14ac:dyDescent="0.2">
      <c r="A88" s="1"/>
      <c r="B88" s="1"/>
      <c r="C88" s="2" t="s">
        <v>121</v>
      </c>
      <c r="D88" s="1"/>
      <c r="E88" s="1"/>
      <c r="F88" s="6"/>
      <c r="G88" s="6"/>
      <c r="H88" s="12"/>
    </row>
    <row r="89" spans="1:8" ht="14.1" customHeight="1" x14ac:dyDescent="0.2">
      <c r="A89" s="1"/>
      <c r="B89" s="1"/>
      <c r="C89" s="2" t="s">
        <v>122</v>
      </c>
      <c r="D89" s="1"/>
      <c r="E89" s="1"/>
      <c r="F89" s="6"/>
      <c r="G89" s="6"/>
      <c r="H89" s="12"/>
    </row>
    <row r="90" spans="1:8" ht="14.1" customHeight="1" x14ac:dyDescent="0.2">
      <c r="A90" s="1"/>
      <c r="B90" s="1"/>
      <c r="C90" s="2" t="s">
        <v>11</v>
      </c>
      <c r="D90" s="1"/>
      <c r="E90" s="1" t="s">
        <v>12</v>
      </c>
      <c r="F90" s="3">
        <v>0</v>
      </c>
      <c r="G90" s="4">
        <v>0</v>
      </c>
      <c r="H90" s="12"/>
    </row>
    <row r="91" spans="1:8" ht="14.1" customHeight="1" x14ac:dyDescent="0.2">
      <c r="A91" s="1"/>
      <c r="B91" s="1"/>
      <c r="C91" s="5"/>
      <c r="D91" s="1"/>
      <c r="E91" s="1"/>
      <c r="F91" s="6"/>
      <c r="G91" s="6"/>
      <c r="H91" s="12"/>
    </row>
    <row r="92" spans="1:8" ht="14.1" customHeight="1" x14ac:dyDescent="0.2">
      <c r="A92" s="1"/>
      <c r="B92" s="1"/>
      <c r="C92" s="2" t="s">
        <v>123</v>
      </c>
      <c r="D92" s="1"/>
      <c r="E92" s="1"/>
      <c r="F92" s="6"/>
      <c r="G92" s="6"/>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14.1" customHeight="1" x14ac:dyDescent="0.2">
      <c r="A95" s="1"/>
      <c r="B95" s="1"/>
      <c r="C95" s="2" t="s">
        <v>124</v>
      </c>
      <c r="D95" s="1"/>
      <c r="E95" s="1"/>
      <c r="F95" s="6"/>
      <c r="G95" s="6"/>
      <c r="H95" s="12"/>
    </row>
    <row r="96" spans="1:8" ht="14.1" customHeight="1" x14ac:dyDescent="0.2">
      <c r="A96" s="1"/>
      <c r="B96" s="1"/>
      <c r="C96" s="2" t="s">
        <v>11</v>
      </c>
      <c r="D96" s="1"/>
      <c r="E96" s="1" t="s">
        <v>12</v>
      </c>
      <c r="F96" s="3">
        <v>0</v>
      </c>
      <c r="G96" s="4">
        <v>0</v>
      </c>
      <c r="H96" s="12"/>
    </row>
    <row r="97" spans="1:8" ht="14.1" customHeight="1" x14ac:dyDescent="0.2">
      <c r="A97" s="1"/>
      <c r="B97" s="1"/>
      <c r="C97" s="5"/>
      <c r="D97" s="1"/>
      <c r="E97" s="1"/>
      <c r="F97" s="6"/>
      <c r="G97" s="6"/>
      <c r="H97" s="12"/>
    </row>
    <row r="98" spans="1:8" ht="14.1" customHeight="1" x14ac:dyDescent="0.2">
      <c r="A98" s="1"/>
      <c r="B98" s="1"/>
      <c r="C98" s="2" t="s">
        <v>125</v>
      </c>
      <c r="D98" s="1"/>
      <c r="E98" s="1"/>
      <c r="F98" s="6"/>
      <c r="G98" s="6"/>
      <c r="H98" s="12"/>
    </row>
    <row r="99" spans="1:8" ht="17.100000000000001" customHeight="1" x14ac:dyDescent="0.2">
      <c r="A99" s="9">
        <v>1</v>
      </c>
      <c r="B99" s="10"/>
      <c r="C99" s="10" t="s">
        <v>126</v>
      </c>
      <c r="D99" s="10"/>
      <c r="E99" s="14"/>
      <c r="F99" s="12">
        <v>3134.2368124999998</v>
      </c>
      <c r="G99" s="13">
        <v>2.9166765000000001E-2</v>
      </c>
      <c r="H99" s="12">
        <v>3.2903893505936708</v>
      </c>
    </row>
    <row r="100" spans="1:8" ht="17.100000000000001" customHeight="1" x14ac:dyDescent="0.2">
      <c r="A100" s="9">
        <v>2</v>
      </c>
      <c r="B100" s="10"/>
      <c r="C100" s="10" t="s">
        <v>127</v>
      </c>
      <c r="D100" s="10"/>
      <c r="E100" s="14"/>
      <c r="F100" s="12">
        <v>1388.7939096</v>
      </c>
      <c r="G100" s="13">
        <v>1.292392E-2</v>
      </c>
      <c r="H100" s="12">
        <v>3.2766870282233538</v>
      </c>
    </row>
    <row r="101" spans="1:8" ht="14.1" customHeight="1" x14ac:dyDescent="0.2">
      <c r="A101" s="1"/>
      <c r="B101" s="1"/>
      <c r="C101" s="2" t="s">
        <v>11</v>
      </c>
      <c r="D101" s="1"/>
      <c r="E101" s="1" t="s">
        <v>12</v>
      </c>
      <c r="F101" s="7">
        <v>4523.0307221000003</v>
      </c>
      <c r="G101" s="8">
        <v>4.2090685000000003E-2</v>
      </c>
      <c r="H101" s="12"/>
    </row>
    <row r="102" spans="1:8" ht="14.1" customHeight="1" x14ac:dyDescent="0.2">
      <c r="A102" s="1"/>
      <c r="B102" s="1"/>
      <c r="C102" s="5"/>
      <c r="D102" s="1"/>
      <c r="E102" s="1"/>
      <c r="F102" s="6"/>
      <c r="G102" s="6"/>
      <c r="H102" s="12"/>
    </row>
    <row r="103" spans="1:8" ht="14.1" customHeight="1" x14ac:dyDescent="0.2">
      <c r="A103" s="1"/>
      <c r="B103" s="1"/>
      <c r="C103" s="2" t="s">
        <v>128</v>
      </c>
      <c r="D103" s="1"/>
      <c r="E103" s="1"/>
      <c r="F103" s="7">
        <v>4523.0307221000003</v>
      </c>
      <c r="G103" s="8">
        <v>4.2090685000000003E-2</v>
      </c>
      <c r="H103" s="12"/>
    </row>
    <row r="104" spans="1:8" ht="14.1" customHeight="1" x14ac:dyDescent="0.2">
      <c r="A104" s="1"/>
      <c r="B104" s="1"/>
      <c r="C104" s="6"/>
      <c r="D104" s="1"/>
      <c r="E104" s="1"/>
      <c r="F104" s="1"/>
      <c r="G104" s="1"/>
      <c r="H104" s="12"/>
    </row>
    <row r="105" spans="1:8" ht="14.1" customHeight="1" x14ac:dyDescent="0.2">
      <c r="A105" s="1"/>
      <c r="B105" s="1"/>
      <c r="C105" s="2" t="s">
        <v>129</v>
      </c>
      <c r="D105" s="1"/>
      <c r="E105" s="1"/>
      <c r="F105" s="1"/>
      <c r="G105" s="1"/>
      <c r="H105" s="12"/>
    </row>
    <row r="106" spans="1:8" ht="14.1" customHeight="1" x14ac:dyDescent="0.2">
      <c r="A106" s="1"/>
      <c r="B106" s="1"/>
      <c r="C106" s="2" t="s">
        <v>130</v>
      </c>
      <c r="D106" s="1"/>
      <c r="E106" s="1"/>
      <c r="F106" s="1"/>
      <c r="G106" s="1"/>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14.1" customHeight="1" x14ac:dyDescent="0.2">
      <c r="A109" s="1"/>
      <c r="B109" s="1"/>
      <c r="C109" s="2" t="s">
        <v>131</v>
      </c>
      <c r="D109" s="1"/>
      <c r="E109" s="1"/>
      <c r="F109" s="1"/>
      <c r="G109" s="1"/>
      <c r="H109" s="12"/>
    </row>
    <row r="110" spans="1:8" ht="14.1" customHeight="1" x14ac:dyDescent="0.2">
      <c r="A110" s="1"/>
      <c r="B110" s="1"/>
      <c r="C110" s="2" t="s">
        <v>132</v>
      </c>
      <c r="D110" s="1"/>
      <c r="E110" s="1"/>
      <c r="F110" s="1"/>
      <c r="G110" s="1"/>
      <c r="H110" s="12"/>
    </row>
    <row r="111" spans="1:8" ht="14.1" customHeight="1" x14ac:dyDescent="0.2">
      <c r="A111" s="1"/>
      <c r="B111" s="1"/>
      <c r="C111" s="2" t="s">
        <v>11</v>
      </c>
      <c r="D111" s="1"/>
      <c r="E111" s="1" t="s">
        <v>12</v>
      </c>
      <c r="F111" s="3">
        <v>0</v>
      </c>
      <c r="G111" s="4">
        <v>0</v>
      </c>
      <c r="H111" s="12"/>
    </row>
    <row r="112" spans="1:8" ht="14.1" customHeight="1" x14ac:dyDescent="0.2">
      <c r="A112" s="1"/>
      <c r="B112" s="1"/>
      <c r="C112" s="5"/>
      <c r="D112" s="1"/>
      <c r="E112" s="1"/>
      <c r="F112" s="6"/>
      <c r="G112" s="6"/>
      <c r="H112" s="12"/>
    </row>
    <row r="113" spans="1:8" ht="24" customHeight="1" x14ac:dyDescent="0.2">
      <c r="A113" s="1"/>
      <c r="B113" s="1"/>
      <c r="C113" s="2" t="s">
        <v>133</v>
      </c>
      <c r="D113" s="1"/>
      <c r="E113" s="1"/>
      <c r="F113" s="6"/>
      <c r="G113" s="6"/>
      <c r="H113" s="12"/>
    </row>
    <row r="114" spans="1:8" ht="14.1" customHeight="1" x14ac:dyDescent="0.2">
      <c r="A114" s="1"/>
      <c r="B114" s="1"/>
      <c r="C114" s="2" t="s">
        <v>11</v>
      </c>
      <c r="D114" s="1"/>
      <c r="E114" s="1" t="s">
        <v>12</v>
      </c>
      <c r="F114" s="3">
        <v>0</v>
      </c>
      <c r="G114" s="4">
        <v>0</v>
      </c>
      <c r="H114" s="12"/>
    </row>
    <row r="115" spans="1:8" ht="14.1" customHeight="1" x14ac:dyDescent="0.2">
      <c r="A115" s="1"/>
      <c r="B115" s="1"/>
      <c r="C115" s="5"/>
      <c r="D115" s="1"/>
      <c r="E115" s="1"/>
      <c r="F115" s="6"/>
      <c r="G115" s="6"/>
      <c r="H115" s="12"/>
    </row>
    <row r="116" spans="1:8" ht="14.1" customHeight="1" x14ac:dyDescent="0.2">
      <c r="A116" s="1"/>
      <c r="B116" s="10"/>
      <c r="C116" s="10"/>
      <c r="D116" s="2"/>
      <c r="E116" s="1"/>
      <c r="F116" s="10"/>
      <c r="G116" s="14"/>
      <c r="H116" s="12"/>
    </row>
    <row r="117" spans="1:8" ht="18" customHeight="1" x14ac:dyDescent="0.2">
      <c r="A117" s="14"/>
      <c r="B117" s="10"/>
      <c r="C117" s="10" t="s">
        <v>134</v>
      </c>
      <c r="D117" s="10"/>
      <c r="E117" s="14"/>
      <c r="F117" s="12">
        <v>4105.3903524400002</v>
      </c>
      <c r="G117" s="13">
        <v>3.8204183000000003E-2</v>
      </c>
      <c r="H117" s="12"/>
    </row>
    <row r="118" spans="1:8" ht="14.1" customHeight="1" x14ac:dyDescent="0.2">
      <c r="A118" s="5"/>
      <c r="B118" s="5"/>
      <c r="C118" s="2" t="s">
        <v>135</v>
      </c>
      <c r="D118" s="6"/>
      <c r="E118" s="6"/>
      <c r="F118" s="7">
        <v>107459.18379454</v>
      </c>
      <c r="G118" s="8">
        <v>0.99999999699999997</v>
      </c>
      <c r="H118" s="12"/>
    </row>
    <row r="119" spans="1:8" ht="14.1" customHeight="1" x14ac:dyDescent="0.2">
      <c r="A119" s="15"/>
      <c r="B119" s="15"/>
      <c r="C119" s="15"/>
      <c r="D119" s="16"/>
      <c r="E119" s="16"/>
      <c r="F119" s="16"/>
      <c r="G119" s="16"/>
    </row>
    <row r="120" spans="1:8" ht="17.100000000000001" customHeight="1" x14ac:dyDescent="0.2">
      <c r="A120" s="17"/>
      <c r="B120" s="98" t="s">
        <v>136</v>
      </c>
      <c r="C120" s="98"/>
      <c r="D120" s="98"/>
      <c r="E120" s="98"/>
      <c r="F120" s="98"/>
      <c r="G120" s="19"/>
    </row>
    <row r="121" spans="1:8" ht="17.100000000000001" customHeight="1" x14ac:dyDescent="0.2">
      <c r="A121" s="17"/>
      <c r="B121" s="98" t="s">
        <v>137</v>
      </c>
      <c r="C121" s="98"/>
      <c r="D121" s="98"/>
      <c r="E121" s="98"/>
      <c r="F121" s="98"/>
      <c r="G121" s="19"/>
    </row>
    <row r="122" spans="1:8" ht="14.1" customHeight="1" x14ac:dyDescent="0.2">
      <c r="A122" s="17"/>
      <c r="B122" s="98" t="s">
        <v>12</v>
      </c>
      <c r="C122" s="98"/>
      <c r="D122" s="98"/>
      <c r="E122" s="98"/>
      <c r="F122" s="98"/>
      <c r="G122" s="19"/>
    </row>
    <row r="123" spans="1:8" ht="14.1" customHeight="1" x14ac:dyDescent="0.2">
      <c r="A123" s="17"/>
      <c r="B123" s="17"/>
      <c r="C123" s="17"/>
      <c r="D123" s="19"/>
      <c r="E123" s="19"/>
      <c r="F123" s="19"/>
      <c r="G123" s="19"/>
    </row>
    <row r="124" spans="1:8" ht="14.1" customHeight="1" x14ac:dyDescent="0.2">
      <c r="A124" s="17"/>
      <c r="B124" s="99" t="s">
        <v>138</v>
      </c>
      <c r="C124" s="100"/>
      <c r="D124" s="101"/>
      <c r="E124" s="20"/>
      <c r="F124" s="19"/>
      <c r="G124" s="19"/>
    </row>
    <row r="125" spans="1:8" ht="29.1" customHeight="1" x14ac:dyDescent="0.2">
      <c r="A125" s="17"/>
      <c r="B125" s="95" t="s">
        <v>139</v>
      </c>
      <c r="C125" s="96"/>
      <c r="D125" s="2" t="s">
        <v>140</v>
      </c>
      <c r="E125" s="20"/>
      <c r="F125" s="19"/>
      <c r="G125" s="19"/>
    </row>
    <row r="126" spans="1:8" ht="17.100000000000001" customHeight="1" x14ac:dyDescent="0.2">
      <c r="A126" s="17"/>
      <c r="B126" s="95" t="s">
        <v>141</v>
      </c>
      <c r="C126" s="96"/>
      <c r="D126" s="2" t="s">
        <v>140</v>
      </c>
      <c r="E126" s="20"/>
      <c r="F126" s="19"/>
      <c r="G126" s="19"/>
    </row>
    <row r="127" spans="1:8" ht="17.100000000000001" customHeight="1" x14ac:dyDescent="0.2">
      <c r="A127" s="17"/>
      <c r="B127" s="95" t="s">
        <v>142</v>
      </c>
      <c r="C127" s="96"/>
      <c r="D127" s="6" t="s">
        <v>12</v>
      </c>
      <c r="E127" s="20"/>
      <c r="F127" s="19"/>
      <c r="G127" s="19"/>
    </row>
    <row r="128" spans="1:8" ht="24" customHeight="1" x14ac:dyDescent="0.2">
      <c r="A128" s="21"/>
      <c r="B128" s="22" t="s">
        <v>12</v>
      </c>
      <c r="C128" s="22" t="s">
        <v>143</v>
      </c>
      <c r="D128" s="22" t="s">
        <v>144</v>
      </c>
      <c r="E128" s="21"/>
      <c r="F128" s="21"/>
      <c r="G128" s="21"/>
    </row>
    <row r="129" spans="1:7" ht="18" customHeight="1" x14ac:dyDescent="0.2">
      <c r="A129" s="21"/>
      <c r="B129" s="23" t="s">
        <v>145</v>
      </c>
      <c r="C129" s="22" t="s">
        <v>146</v>
      </c>
      <c r="D129" s="22" t="s">
        <v>147</v>
      </c>
      <c r="E129" s="21"/>
      <c r="F129" s="21"/>
      <c r="G129" s="21"/>
    </row>
    <row r="130" spans="1:7" ht="17.100000000000001" customHeight="1" x14ac:dyDescent="0.2">
      <c r="A130" s="21"/>
      <c r="B130" s="10" t="s">
        <v>148</v>
      </c>
      <c r="C130" s="24">
        <v>33.214799999999997</v>
      </c>
      <c r="D130" s="24">
        <v>33.341500000000003</v>
      </c>
      <c r="E130" s="21"/>
      <c r="F130" s="18"/>
      <c r="G130" s="25"/>
    </row>
    <row r="131" spans="1:7" ht="29.1" customHeight="1" x14ac:dyDescent="0.2">
      <c r="A131" s="21"/>
      <c r="B131" s="10" t="s">
        <v>600</v>
      </c>
      <c r="C131" s="24">
        <v>15.3262</v>
      </c>
      <c r="D131" s="24">
        <v>15.364699999999999</v>
      </c>
      <c r="E131" s="21"/>
      <c r="F131" s="18"/>
      <c r="G131" s="25"/>
    </row>
    <row r="132" spans="1:7" ht="29.1" customHeight="1" x14ac:dyDescent="0.2">
      <c r="A132" s="21"/>
      <c r="B132" s="10" t="s">
        <v>601</v>
      </c>
      <c r="C132" s="24">
        <v>16.999300000000002</v>
      </c>
      <c r="D132" s="24">
        <v>17.0641</v>
      </c>
      <c r="E132" s="21"/>
      <c r="F132" s="18"/>
      <c r="G132" s="25"/>
    </row>
    <row r="133" spans="1:7" ht="29.1" customHeight="1" x14ac:dyDescent="0.2">
      <c r="A133" s="21"/>
      <c r="B133" s="10" t="s">
        <v>602</v>
      </c>
      <c r="C133" s="24">
        <v>15.523</v>
      </c>
      <c r="D133" s="24">
        <v>15.5823</v>
      </c>
      <c r="E133" s="21"/>
      <c r="F133" s="18"/>
      <c r="G133" s="25"/>
    </row>
    <row r="134" spans="1:7" ht="29.1" customHeight="1" x14ac:dyDescent="0.2">
      <c r="A134" s="21"/>
      <c r="B134" s="10" t="s">
        <v>603</v>
      </c>
      <c r="C134" s="24">
        <v>15.616099999999999</v>
      </c>
      <c r="D134" s="24">
        <v>15.675700000000001</v>
      </c>
      <c r="E134" s="21"/>
      <c r="F134" s="18"/>
      <c r="G134" s="25"/>
    </row>
    <row r="135" spans="1:7" ht="17.100000000000001" customHeight="1" x14ac:dyDescent="0.2">
      <c r="A135" s="21"/>
      <c r="B135" s="10" t="s">
        <v>149</v>
      </c>
      <c r="C135" s="24">
        <v>32.372199999999999</v>
      </c>
      <c r="D135" s="24">
        <v>32.489400000000003</v>
      </c>
      <c r="E135" s="21"/>
      <c r="F135" s="18"/>
      <c r="G135" s="25"/>
    </row>
    <row r="136" spans="1:7" ht="29.1" customHeight="1" x14ac:dyDescent="0.2">
      <c r="A136" s="21"/>
      <c r="B136" s="10" t="s">
        <v>604</v>
      </c>
      <c r="C136" s="24">
        <v>14.6105</v>
      </c>
      <c r="D136" s="24">
        <v>14.6434</v>
      </c>
      <c r="E136" s="21"/>
      <c r="F136" s="18"/>
      <c r="G136" s="25"/>
    </row>
    <row r="137" spans="1:7" ht="29.1" customHeight="1" x14ac:dyDescent="0.2">
      <c r="A137" s="21"/>
      <c r="B137" s="10" t="s">
        <v>605</v>
      </c>
      <c r="C137" s="24">
        <v>16.621400000000001</v>
      </c>
      <c r="D137" s="24">
        <v>16.6816</v>
      </c>
      <c r="E137" s="21"/>
      <c r="F137" s="18"/>
      <c r="G137" s="25"/>
    </row>
    <row r="138" spans="1:7" ht="29.1" customHeight="1" x14ac:dyDescent="0.2">
      <c r="A138" s="21"/>
      <c r="B138" s="10" t="s">
        <v>606</v>
      </c>
      <c r="C138" s="24">
        <v>15.522</v>
      </c>
      <c r="D138" s="24">
        <v>15.578099999999999</v>
      </c>
      <c r="E138" s="21"/>
      <c r="F138" s="18"/>
      <c r="G138" s="25"/>
    </row>
    <row r="139" spans="1:7" ht="29.1" customHeight="1" x14ac:dyDescent="0.2">
      <c r="A139" s="21"/>
      <c r="B139" s="10" t="s">
        <v>607</v>
      </c>
      <c r="C139" s="24">
        <v>15.273400000000001</v>
      </c>
      <c r="D139" s="24">
        <v>15.3287</v>
      </c>
      <c r="E139" s="21"/>
      <c r="F139" s="18"/>
      <c r="G139" s="25"/>
    </row>
    <row r="140" spans="1:7" ht="14.1" customHeight="1" x14ac:dyDescent="0.2">
      <c r="A140" s="21"/>
      <c r="B140" s="21"/>
      <c r="C140" s="21"/>
      <c r="D140" s="21"/>
      <c r="E140" s="21"/>
      <c r="F140" s="21"/>
      <c r="G140" s="21"/>
    </row>
    <row r="141" spans="1:7" ht="17.100000000000001" customHeight="1" x14ac:dyDescent="0.2">
      <c r="A141" s="21"/>
      <c r="B141" s="95" t="s">
        <v>608</v>
      </c>
      <c r="C141" s="96"/>
      <c r="D141" s="2" t="s">
        <v>12</v>
      </c>
      <c r="E141" s="21"/>
      <c r="F141" s="21"/>
      <c r="G141" s="21"/>
    </row>
    <row r="142" spans="1:7" ht="18" customHeight="1" x14ac:dyDescent="0.2">
      <c r="A142" s="21"/>
      <c r="B142" s="26" t="s">
        <v>145</v>
      </c>
      <c r="C142" s="27" t="s">
        <v>150</v>
      </c>
      <c r="D142" s="27" t="s">
        <v>151</v>
      </c>
      <c r="E142" s="21"/>
      <c r="F142" s="21"/>
      <c r="G142" s="21"/>
    </row>
    <row r="143" spans="1:7" ht="29.1" customHeight="1" x14ac:dyDescent="0.2">
      <c r="A143" s="21"/>
      <c r="B143" s="10" t="s">
        <v>600</v>
      </c>
      <c r="C143" s="28">
        <v>0.02</v>
      </c>
      <c r="D143" s="14" t="s">
        <v>152</v>
      </c>
      <c r="E143" s="21"/>
      <c r="F143" s="18"/>
      <c r="G143" s="25"/>
    </row>
    <row r="144" spans="1:7" ht="29.1" customHeight="1" x14ac:dyDescent="0.2">
      <c r="A144" s="21"/>
      <c r="B144" s="10" t="s">
        <v>604</v>
      </c>
      <c r="C144" s="28">
        <v>0.02</v>
      </c>
      <c r="D144" s="14" t="s">
        <v>152</v>
      </c>
      <c r="E144" s="21"/>
      <c r="F144" s="18"/>
      <c r="G144" s="25"/>
    </row>
    <row r="145" spans="1:16" ht="14.1" customHeight="1" x14ac:dyDescent="0.2">
      <c r="A145" s="21"/>
      <c r="B145" s="29"/>
      <c r="C145" s="29"/>
      <c r="D145" s="30"/>
      <c r="E145" s="21"/>
      <c r="F145" s="18"/>
      <c r="G145" s="25"/>
    </row>
    <row r="146" spans="1:16" x14ac:dyDescent="0.2">
      <c r="A146" s="82"/>
      <c r="B146" s="104" t="s">
        <v>619</v>
      </c>
      <c r="C146" s="104"/>
      <c r="D146" s="104"/>
      <c r="E146" s="104"/>
      <c r="F146" s="104"/>
      <c r="G146" s="82"/>
      <c r="I146" s="58"/>
      <c r="P146" s="58"/>
    </row>
    <row r="147" spans="1:16" ht="14.1" customHeight="1" x14ac:dyDescent="0.2">
      <c r="A147" s="21"/>
      <c r="B147" s="18"/>
      <c r="C147" s="18"/>
      <c r="D147" s="21"/>
      <c r="E147" s="21"/>
      <c r="F147" s="21"/>
      <c r="G147" s="21"/>
    </row>
    <row r="148" spans="1:16" ht="29.1" customHeight="1" x14ac:dyDescent="0.2">
      <c r="A148" s="21"/>
      <c r="B148" s="95" t="s">
        <v>153</v>
      </c>
      <c r="C148" s="96"/>
      <c r="D148" s="2" t="s">
        <v>140</v>
      </c>
      <c r="E148" s="31"/>
      <c r="F148" s="21"/>
      <c r="G148" s="21"/>
    </row>
    <row r="149" spans="1:16" ht="29.1" customHeight="1" x14ac:dyDescent="0.2">
      <c r="A149" s="21"/>
      <c r="B149" s="95" t="s">
        <v>154</v>
      </c>
      <c r="C149" s="96"/>
      <c r="D149" s="2" t="s">
        <v>140</v>
      </c>
      <c r="E149" s="31"/>
      <c r="F149" s="21"/>
      <c r="G149" s="21"/>
    </row>
    <row r="150" spans="1:16" ht="17.100000000000001" customHeight="1" x14ac:dyDescent="0.2">
      <c r="A150" s="21"/>
      <c r="B150" s="95" t="s">
        <v>155</v>
      </c>
      <c r="C150" s="96"/>
      <c r="D150" s="32">
        <v>1.2061596010973599</v>
      </c>
      <c r="E150" s="31"/>
      <c r="F150" s="21"/>
      <c r="G150" s="21"/>
    </row>
    <row r="151" spans="1:16" ht="17.100000000000001" customHeight="1" x14ac:dyDescent="0.2">
      <c r="A151" s="21"/>
      <c r="B151" s="95" t="s">
        <v>156</v>
      </c>
      <c r="C151" s="96"/>
      <c r="D151" s="32">
        <v>1.1467260390648524</v>
      </c>
      <c r="E151" s="31"/>
      <c r="F151" s="21"/>
      <c r="G151" s="21"/>
      <c r="J151"/>
      <c r="K151"/>
      <c r="L151"/>
      <c r="M151"/>
      <c r="N151"/>
      <c r="O151"/>
    </row>
    <row r="152" spans="1:16" ht="17.100000000000001" customHeight="1" x14ac:dyDescent="0.2">
      <c r="A152" s="21"/>
      <c r="B152" s="95" t="s">
        <v>157</v>
      </c>
      <c r="C152" s="96"/>
      <c r="D152" s="2" t="s">
        <v>140</v>
      </c>
      <c r="E152" s="31"/>
      <c r="F152" s="21"/>
      <c r="G152" s="21"/>
    </row>
    <row r="153" spans="1:16" ht="14.1" customHeight="1" x14ac:dyDescent="0.2">
      <c r="A153" s="21"/>
      <c r="B153" s="97"/>
      <c r="C153" s="97"/>
      <c r="D153" s="30"/>
      <c r="E153" s="21"/>
      <c r="F153" s="18"/>
      <c r="G153" s="25"/>
    </row>
  </sheetData>
  <mergeCells count="19">
    <mergeCell ref="J2:N2"/>
    <mergeCell ref="A1:H1"/>
    <mergeCell ref="A2:H2"/>
    <mergeCell ref="A3:H3"/>
    <mergeCell ref="B146:F146"/>
    <mergeCell ref="B148:C148"/>
    <mergeCell ref="B120:F120"/>
    <mergeCell ref="B121:F121"/>
    <mergeCell ref="B122:F122"/>
    <mergeCell ref="B124:D124"/>
    <mergeCell ref="B125:C125"/>
    <mergeCell ref="B126:C126"/>
    <mergeCell ref="B127:C127"/>
    <mergeCell ref="B141:C141"/>
    <mergeCell ref="B149:C149"/>
    <mergeCell ref="B150:C150"/>
    <mergeCell ref="B151:C151"/>
    <mergeCell ref="B152:C152"/>
    <mergeCell ref="B153:C15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3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58"/>
  </cols>
  <sheetData>
    <row r="1" spans="1:15" ht="18" customHeight="1" x14ac:dyDescent="0.2">
      <c r="A1" s="103" t="s">
        <v>0</v>
      </c>
      <c r="B1" s="103"/>
      <c r="C1" s="103"/>
      <c r="D1" s="103"/>
      <c r="E1" s="103"/>
      <c r="F1" s="103"/>
      <c r="G1" s="103"/>
      <c r="H1" s="103"/>
    </row>
    <row r="2" spans="1:15" ht="17.100000000000001" customHeight="1" x14ac:dyDescent="0.2">
      <c r="A2" s="103" t="s">
        <v>158</v>
      </c>
      <c r="B2" s="103"/>
      <c r="C2" s="103"/>
      <c r="D2" s="103"/>
      <c r="E2" s="103"/>
      <c r="F2" s="103"/>
      <c r="G2" s="103"/>
      <c r="H2" s="103"/>
      <c r="J2" s="102" t="s">
        <v>627</v>
      </c>
      <c r="K2" s="102"/>
      <c r="L2" s="102"/>
      <c r="M2" s="102"/>
      <c r="N2" s="10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
      <c r="A16" s="1"/>
      <c r="B16" s="1"/>
      <c r="C16" s="2" t="s">
        <v>11</v>
      </c>
      <c r="D16" s="1"/>
      <c r="E16" s="1" t="s">
        <v>12</v>
      </c>
      <c r="F16" s="3">
        <v>0</v>
      </c>
      <c r="G16" s="4">
        <v>0</v>
      </c>
      <c r="H16" s="12"/>
    </row>
    <row r="17" spans="1:15" ht="14.1" customHeight="1" x14ac:dyDescent="0.25">
      <c r="A17" s="1"/>
      <c r="B17" s="1"/>
      <c r="C17" s="5"/>
      <c r="D17" s="1"/>
      <c r="E17" s="1"/>
      <c r="F17" s="6"/>
      <c r="G17" s="6"/>
      <c r="H17" s="12"/>
      <c r="J17" s="89" t="s">
        <v>644</v>
      </c>
      <c r="K17" s="94"/>
      <c r="L17" s="94"/>
      <c r="M17" s="94"/>
      <c r="N17" s="90"/>
      <c r="O17" s="90"/>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23</v>
      </c>
      <c r="C28" s="10" t="s">
        <v>24</v>
      </c>
      <c r="D28" s="10" t="s">
        <v>591</v>
      </c>
      <c r="E28" s="11">
        <v>750</v>
      </c>
      <c r="F28" s="12">
        <v>7578.3675000000003</v>
      </c>
      <c r="G28" s="13">
        <v>8.2561850000000006E-2</v>
      </c>
      <c r="H28" s="12">
        <v>5.1550000000000002</v>
      </c>
    </row>
    <row r="29" spans="1:15" ht="29.1" customHeight="1" x14ac:dyDescent="0.2">
      <c r="A29" s="9">
        <v>2</v>
      </c>
      <c r="B29" s="10" t="s">
        <v>159</v>
      </c>
      <c r="C29" s="10" t="s">
        <v>160</v>
      </c>
      <c r="D29" s="10" t="s">
        <v>22</v>
      </c>
      <c r="E29" s="11">
        <v>750</v>
      </c>
      <c r="F29" s="12">
        <v>7397.0249999999996</v>
      </c>
      <c r="G29" s="13">
        <v>8.0586229999999995E-2</v>
      </c>
      <c r="H29" s="12">
        <v>5.75</v>
      </c>
    </row>
    <row r="30" spans="1:15" ht="17.100000000000001" customHeight="1" x14ac:dyDescent="0.25">
      <c r="A30" s="9">
        <v>3</v>
      </c>
      <c r="B30" s="10" t="s">
        <v>161</v>
      </c>
      <c r="C30" s="10" t="s">
        <v>162</v>
      </c>
      <c r="D30" s="10" t="s">
        <v>22</v>
      </c>
      <c r="E30" s="11">
        <v>500</v>
      </c>
      <c r="F30" s="12">
        <v>5322.73</v>
      </c>
      <c r="G30" s="13">
        <v>5.7988008000000001E-2</v>
      </c>
      <c r="H30" s="12">
        <v>6.05</v>
      </c>
      <c r="J30" s="94" t="s">
        <v>646</v>
      </c>
      <c r="O30"/>
    </row>
    <row r="31" spans="1:15" ht="29.1" customHeight="1" x14ac:dyDescent="0.2">
      <c r="A31" s="9">
        <v>4</v>
      </c>
      <c r="B31" s="10" t="s">
        <v>163</v>
      </c>
      <c r="C31" s="10" t="s">
        <v>164</v>
      </c>
      <c r="D31" s="10" t="s">
        <v>22</v>
      </c>
      <c r="E31" s="11">
        <v>500</v>
      </c>
      <c r="F31" s="12">
        <v>5016.1099999999997</v>
      </c>
      <c r="G31" s="13">
        <v>5.4647564000000003E-2</v>
      </c>
      <c r="H31" s="12">
        <v>4.6050000000000004</v>
      </c>
      <c r="O31"/>
    </row>
    <row r="32" spans="1:15" ht="29.1" customHeight="1" x14ac:dyDescent="0.2">
      <c r="A32" s="9">
        <v>5</v>
      </c>
      <c r="B32" s="10" t="s">
        <v>165</v>
      </c>
      <c r="C32" s="10" t="s">
        <v>166</v>
      </c>
      <c r="D32" s="10" t="s">
        <v>22</v>
      </c>
      <c r="E32" s="11">
        <v>500</v>
      </c>
      <c r="F32" s="12">
        <v>4994.08</v>
      </c>
      <c r="G32" s="13">
        <v>5.4407560000000001E-2</v>
      </c>
      <c r="H32" s="12">
        <v>5.875</v>
      </c>
      <c r="O32"/>
    </row>
    <row r="33" spans="1:15" ht="29.1" customHeight="1" x14ac:dyDescent="0.2">
      <c r="A33" s="9">
        <v>6</v>
      </c>
      <c r="B33" s="10" t="s">
        <v>167</v>
      </c>
      <c r="C33" s="10" t="s">
        <v>168</v>
      </c>
      <c r="D33" s="10" t="s">
        <v>22</v>
      </c>
      <c r="E33" s="11">
        <v>500</v>
      </c>
      <c r="F33" s="12">
        <v>4978.62</v>
      </c>
      <c r="G33" s="13">
        <v>5.4239132000000002E-2</v>
      </c>
      <c r="H33" s="12">
        <v>6.19</v>
      </c>
      <c r="O33"/>
    </row>
    <row r="34" spans="1:15" ht="29.1" customHeight="1" x14ac:dyDescent="0.2">
      <c r="A34" s="9">
        <v>7</v>
      </c>
      <c r="B34" s="10" t="s">
        <v>169</v>
      </c>
      <c r="C34" s="10" t="s">
        <v>170</v>
      </c>
      <c r="D34" s="10" t="s">
        <v>22</v>
      </c>
      <c r="E34" s="11">
        <v>500</v>
      </c>
      <c r="F34" s="12">
        <v>4914.28</v>
      </c>
      <c r="G34" s="13">
        <v>5.3538186000000001E-2</v>
      </c>
      <c r="H34" s="12">
        <v>6.835</v>
      </c>
      <c r="O34"/>
    </row>
    <row r="35" spans="1:15" ht="29.1" customHeight="1" x14ac:dyDescent="0.2">
      <c r="A35" s="9">
        <v>8</v>
      </c>
      <c r="B35" s="10" t="s">
        <v>171</v>
      </c>
      <c r="C35" s="10" t="s">
        <v>172</v>
      </c>
      <c r="D35" s="10" t="s">
        <v>22</v>
      </c>
      <c r="E35" s="11">
        <v>300</v>
      </c>
      <c r="F35" s="12">
        <v>3131.4989999999998</v>
      </c>
      <c r="G35" s="13">
        <v>3.4115837000000003E-2</v>
      </c>
      <c r="H35" s="12">
        <v>5.3049999999999997</v>
      </c>
      <c r="O35"/>
    </row>
    <row r="36" spans="1:15" ht="29.1" customHeight="1" x14ac:dyDescent="0.2">
      <c r="A36" s="9">
        <v>9</v>
      </c>
      <c r="B36" s="10" t="s">
        <v>173</v>
      </c>
      <c r="C36" s="10" t="s">
        <v>174</v>
      </c>
      <c r="D36" s="10" t="s">
        <v>22</v>
      </c>
      <c r="E36" s="11">
        <v>250</v>
      </c>
      <c r="F36" s="12">
        <v>2684.5675000000001</v>
      </c>
      <c r="G36" s="13">
        <v>2.9246781999999999E-2</v>
      </c>
      <c r="H36" s="12">
        <v>5.1449999999999996</v>
      </c>
      <c r="O36"/>
    </row>
    <row r="37" spans="1:15" ht="17.100000000000001" customHeight="1" x14ac:dyDescent="0.2">
      <c r="A37" s="9">
        <v>10</v>
      </c>
      <c r="B37" s="10" t="s">
        <v>175</v>
      </c>
      <c r="C37" s="10" t="s">
        <v>176</v>
      </c>
      <c r="D37" s="10" t="s">
        <v>22</v>
      </c>
      <c r="E37" s="11">
        <v>250</v>
      </c>
      <c r="F37" s="12">
        <v>2619.75</v>
      </c>
      <c r="G37" s="13">
        <v>2.8540632999999999E-2</v>
      </c>
      <c r="H37" s="12">
        <v>6.3</v>
      </c>
      <c r="O37"/>
    </row>
    <row r="38" spans="1:15" ht="29.1" customHeight="1" x14ac:dyDescent="0.2">
      <c r="A38" s="9">
        <v>11</v>
      </c>
      <c r="B38" s="10" t="s">
        <v>177</v>
      </c>
      <c r="C38" s="10" t="s">
        <v>178</v>
      </c>
      <c r="D38" s="10" t="s">
        <v>22</v>
      </c>
      <c r="E38" s="11">
        <v>250</v>
      </c>
      <c r="F38" s="12">
        <v>2616.3775000000001</v>
      </c>
      <c r="G38" s="13">
        <v>2.8503891999999999E-2</v>
      </c>
      <c r="H38" s="12">
        <v>5.8</v>
      </c>
    </row>
    <row r="39" spans="1:15" ht="29.1" customHeight="1" x14ac:dyDescent="0.2">
      <c r="A39" s="9">
        <v>12</v>
      </c>
      <c r="B39" s="10" t="s">
        <v>179</v>
      </c>
      <c r="C39" s="10" t="s">
        <v>180</v>
      </c>
      <c r="D39" s="10" t="s">
        <v>591</v>
      </c>
      <c r="E39" s="11">
        <v>250</v>
      </c>
      <c r="F39" s="12">
        <v>2541.0250000000001</v>
      </c>
      <c r="G39" s="13">
        <v>2.7682971000000001E-2</v>
      </c>
      <c r="H39" s="12">
        <v>5.14</v>
      </c>
    </row>
    <row r="40" spans="1:15" ht="29.1" customHeight="1" x14ac:dyDescent="0.2">
      <c r="A40" s="9">
        <v>13</v>
      </c>
      <c r="B40" s="10" t="s">
        <v>181</v>
      </c>
      <c r="C40" s="10" t="s">
        <v>182</v>
      </c>
      <c r="D40" s="10" t="s">
        <v>22</v>
      </c>
      <c r="E40" s="11">
        <v>250</v>
      </c>
      <c r="F40" s="12">
        <v>2535.77</v>
      </c>
      <c r="G40" s="13">
        <v>2.7625719999999999E-2</v>
      </c>
      <c r="H40" s="12">
        <v>6.0250000000000004</v>
      </c>
    </row>
    <row r="41" spans="1:15" ht="29.1" customHeight="1" x14ac:dyDescent="0.2">
      <c r="A41" s="9">
        <v>14</v>
      </c>
      <c r="B41" s="10" t="s">
        <v>183</v>
      </c>
      <c r="C41" s="10" t="s">
        <v>184</v>
      </c>
      <c r="D41" s="10" t="s">
        <v>185</v>
      </c>
      <c r="E41" s="11">
        <v>250</v>
      </c>
      <c r="F41" s="12">
        <v>2524.9749999999999</v>
      </c>
      <c r="G41" s="13">
        <v>2.7508115E-2</v>
      </c>
      <c r="H41" s="12">
        <v>4.49</v>
      </c>
    </row>
    <row r="42" spans="1:15" ht="17.100000000000001" customHeight="1" x14ac:dyDescent="0.2">
      <c r="A42" s="9">
        <v>15</v>
      </c>
      <c r="B42" s="10" t="s">
        <v>53</v>
      </c>
      <c r="C42" s="10" t="s">
        <v>54</v>
      </c>
      <c r="D42" s="10" t="s">
        <v>22</v>
      </c>
      <c r="E42" s="11">
        <v>250</v>
      </c>
      <c r="F42" s="12">
        <v>2506.4124999999999</v>
      </c>
      <c r="G42" s="13">
        <v>2.7305888E-2</v>
      </c>
      <c r="H42" s="12">
        <v>5.4850000000000003</v>
      </c>
    </row>
    <row r="43" spans="1:15" ht="17.100000000000001" customHeight="1" x14ac:dyDescent="0.2">
      <c r="A43" s="9">
        <v>16</v>
      </c>
      <c r="B43" s="10" t="s">
        <v>186</v>
      </c>
      <c r="C43" s="10" t="s">
        <v>187</v>
      </c>
      <c r="D43" s="10" t="s">
        <v>22</v>
      </c>
      <c r="E43" s="11">
        <v>250</v>
      </c>
      <c r="F43" s="12">
        <v>2486.8625000000002</v>
      </c>
      <c r="G43" s="13">
        <v>2.7092901999999999E-2</v>
      </c>
      <c r="H43" s="12">
        <v>5.9</v>
      </c>
    </row>
    <row r="44" spans="1:15" ht="29.1" customHeight="1" x14ac:dyDescent="0.2">
      <c r="A44" s="9">
        <v>17</v>
      </c>
      <c r="B44" s="10" t="s">
        <v>188</v>
      </c>
      <c r="C44" s="10" t="s">
        <v>189</v>
      </c>
      <c r="D44" s="10" t="s">
        <v>591</v>
      </c>
      <c r="E44" s="11">
        <v>250</v>
      </c>
      <c r="F44" s="12">
        <v>2477.98</v>
      </c>
      <c r="G44" s="13">
        <v>2.6996131999999999E-2</v>
      </c>
      <c r="H44" s="12">
        <v>5.1749999999999998</v>
      </c>
    </row>
    <row r="45" spans="1:15" ht="29.1" customHeight="1" x14ac:dyDescent="0.2">
      <c r="A45" s="9">
        <v>18</v>
      </c>
      <c r="B45" s="10" t="s">
        <v>190</v>
      </c>
      <c r="C45" s="10" t="s">
        <v>191</v>
      </c>
      <c r="D45" s="10" t="s">
        <v>22</v>
      </c>
      <c r="E45" s="11">
        <v>500</v>
      </c>
      <c r="F45" s="12">
        <v>1515.4905000000001</v>
      </c>
      <c r="G45" s="13">
        <v>1.6510376E-2</v>
      </c>
      <c r="H45" s="12">
        <v>5.9850000000000003</v>
      </c>
    </row>
    <row r="46" spans="1:15" ht="29.1" customHeight="1" x14ac:dyDescent="0.2">
      <c r="A46" s="9">
        <v>19</v>
      </c>
      <c r="B46" s="10" t="s">
        <v>20</v>
      </c>
      <c r="C46" s="10" t="s">
        <v>21</v>
      </c>
      <c r="D46" s="10" t="s">
        <v>22</v>
      </c>
      <c r="E46" s="11">
        <v>125</v>
      </c>
      <c r="F46" s="12">
        <v>1243.68625</v>
      </c>
      <c r="G46" s="13">
        <v>1.3549228999999999E-2</v>
      </c>
      <c r="H46" s="12">
        <v>5.0999999999999996</v>
      </c>
    </row>
    <row r="47" spans="1:15" ht="29.1" customHeight="1" x14ac:dyDescent="0.2">
      <c r="A47" s="9">
        <v>20</v>
      </c>
      <c r="B47" s="10" t="s">
        <v>192</v>
      </c>
      <c r="C47" s="10" t="s">
        <v>193</v>
      </c>
      <c r="D47" s="10" t="s">
        <v>22</v>
      </c>
      <c r="E47" s="11">
        <v>100</v>
      </c>
      <c r="F47" s="12">
        <v>993.96699999999998</v>
      </c>
      <c r="G47" s="13">
        <v>1.0828684999999999E-2</v>
      </c>
      <c r="H47" s="12">
        <v>5.71</v>
      </c>
    </row>
    <row r="48" spans="1:15" ht="29.1" customHeight="1" x14ac:dyDescent="0.2">
      <c r="A48" s="9">
        <v>21</v>
      </c>
      <c r="B48" s="10" t="s">
        <v>194</v>
      </c>
      <c r="C48" s="10" t="s">
        <v>195</v>
      </c>
      <c r="D48" s="10" t="s">
        <v>22</v>
      </c>
      <c r="E48" s="11">
        <v>50</v>
      </c>
      <c r="F48" s="12">
        <v>503.8725</v>
      </c>
      <c r="G48" s="13">
        <v>5.4893939999999999E-3</v>
      </c>
      <c r="H48" s="12">
        <v>4.1050000000000004</v>
      </c>
    </row>
    <row r="49" spans="1:8" ht="14.1" customHeight="1" x14ac:dyDescent="0.2">
      <c r="A49" s="1"/>
      <c r="B49" s="1"/>
      <c r="C49" s="2" t="s">
        <v>11</v>
      </c>
      <c r="D49" s="1"/>
      <c r="E49" s="1" t="s">
        <v>12</v>
      </c>
      <c r="F49" s="7">
        <v>70583.447750000007</v>
      </c>
      <c r="G49" s="8">
        <v>0.76896508600000002</v>
      </c>
      <c r="H49" s="12"/>
    </row>
    <row r="50" spans="1:8" ht="14.1" customHeight="1" x14ac:dyDescent="0.2">
      <c r="A50" s="1"/>
      <c r="B50" s="1"/>
      <c r="C50" s="5"/>
      <c r="D50" s="1"/>
      <c r="E50" s="1"/>
      <c r="F50" s="6"/>
      <c r="G50" s="6"/>
      <c r="H50" s="12"/>
    </row>
    <row r="51" spans="1:8" ht="14.1" customHeight="1" x14ac:dyDescent="0.2">
      <c r="A51" s="1"/>
      <c r="B51" s="1"/>
      <c r="C51" s="2" t="s">
        <v>102</v>
      </c>
      <c r="D51" s="1"/>
      <c r="E51" s="1"/>
      <c r="F51" s="1"/>
      <c r="G51" s="1"/>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103</v>
      </c>
      <c r="D54" s="1"/>
      <c r="E54" s="1"/>
      <c r="F54" s="1"/>
      <c r="G54" s="1"/>
      <c r="H54" s="12"/>
    </row>
    <row r="55" spans="1:8" ht="29.1" customHeight="1" x14ac:dyDescent="0.2">
      <c r="A55" s="9">
        <v>1</v>
      </c>
      <c r="B55" s="10" t="s">
        <v>196</v>
      </c>
      <c r="C55" s="10" t="s">
        <v>197</v>
      </c>
      <c r="D55" s="10" t="s">
        <v>106</v>
      </c>
      <c r="E55" s="11">
        <v>5500000</v>
      </c>
      <c r="F55" s="12">
        <v>5433.6260000000002</v>
      </c>
      <c r="G55" s="13">
        <v>5.9196155E-2</v>
      </c>
      <c r="H55" s="12">
        <v>5.9630999999999998</v>
      </c>
    </row>
    <row r="56" spans="1:8" ht="29.1" customHeight="1" x14ac:dyDescent="0.2">
      <c r="A56" s="9">
        <v>2</v>
      </c>
      <c r="B56" s="10" t="s">
        <v>198</v>
      </c>
      <c r="C56" s="10" t="s">
        <v>199</v>
      </c>
      <c r="D56" s="10" t="s">
        <v>106</v>
      </c>
      <c r="E56" s="11">
        <v>3500000</v>
      </c>
      <c r="F56" s="12">
        <v>3461.9969999999998</v>
      </c>
      <c r="G56" s="13">
        <v>3.7716418000000002E-2</v>
      </c>
      <c r="H56" s="12">
        <v>5.5830000000000002</v>
      </c>
    </row>
    <row r="57" spans="1:8" ht="14.1" customHeight="1" x14ac:dyDescent="0.2">
      <c r="A57" s="1"/>
      <c r="B57" s="1"/>
      <c r="C57" s="2" t="s">
        <v>11</v>
      </c>
      <c r="D57" s="1"/>
      <c r="E57" s="1" t="s">
        <v>12</v>
      </c>
      <c r="F57" s="7">
        <v>8895.6229999999996</v>
      </c>
      <c r="G57" s="8">
        <v>9.6912573000000002E-2</v>
      </c>
      <c r="H57" s="12"/>
    </row>
    <row r="58" spans="1:8" ht="14.1" customHeight="1" x14ac:dyDescent="0.2">
      <c r="A58" s="1"/>
      <c r="B58" s="1"/>
      <c r="C58" s="5"/>
      <c r="D58" s="1"/>
      <c r="E58" s="1"/>
      <c r="F58" s="6"/>
      <c r="G58" s="6"/>
      <c r="H58" s="12"/>
    </row>
    <row r="59" spans="1:8" ht="14.1" customHeight="1" x14ac:dyDescent="0.2">
      <c r="A59" s="1"/>
      <c r="B59" s="1"/>
      <c r="C59" s="2" t="s">
        <v>119</v>
      </c>
      <c r="D59" s="1"/>
      <c r="E59" s="1"/>
      <c r="F59" s="6"/>
      <c r="G59" s="6"/>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120</v>
      </c>
      <c r="D62" s="1"/>
      <c r="E62" s="1"/>
      <c r="F62" s="7">
        <v>79479.070749999999</v>
      </c>
      <c r="G62" s="8">
        <v>0.86587765900000002</v>
      </c>
      <c r="H62" s="12"/>
    </row>
    <row r="63" spans="1:8" ht="14.1" customHeight="1" x14ac:dyDescent="0.2">
      <c r="A63" s="1"/>
      <c r="B63" s="1"/>
      <c r="C63" s="5"/>
      <c r="D63" s="1"/>
      <c r="E63" s="1"/>
      <c r="F63" s="6"/>
      <c r="G63" s="6"/>
      <c r="H63" s="12"/>
    </row>
    <row r="64" spans="1:8" ht="14.1" customHeight="1" x14ac:dyDescent="0.2">
      <c r="A64" s="1"/>
      <c r="B64" s="1"/>
      <c r="C64" s="2" t="s">
        <v>121</v>
      </c>
      <c r="D64" s="1"/>
      <c r="E64" s="1"/>
      <c r="F64" s="6"/>
      <c r="G64" s="6"/>
      <c r="H64" s="12"/>
    </row>
    <row r="65" spans="1:8" ht="14.1" customHeight="1" x14ac:dyDescent="0.2">
      <c r="A65" s="1"/>
      <c r="B65" s="1"/>
      <c r="C65" s="2" t="s">
        <v>122</v>
      </c>
      <c r="D65" s="1"/>
      <c r="E65" s="1"/>
      <c r="F65" s="6"/>
      <c r="G65" s="6"/>
      <c r="H65" s="12"/>
    </row>
    <row r="66" spans="1:8" ht="17.100000000000001" customHeight="1" x14ac:dyDescent="0.2">
      <c r="A66" s="9">
        <v>1</v>
      </c>
      <c r="B66" s="10" t="s">
        <v>200</v>
      </c>
      <c r="C66" s="10" t="s">
        <v>201</v>
      </c>
      <c r="D66" s="10" t="s">
        <v>202</v>
      </c>
      <c r="E66" s="11">
        <v>1500</v>
      </c>
      <c r="F66" s="12">
        <v>7351.4250000000002</v>
      </c>
      <c r="G66" s="13">
        <v>8.0089444999999995E-2</v>
      </c>
      <c r="H66" s="12">
        <v>4.3650000000000002</v>
      </c>
    </row>
    <row r="67" spans="1:8" ht="14.1" customHeight="1" x14ac:dyDescent="0.2">
      <c r="A67" s="1"/>
      <c r="B67" s="1"/>
      <c r="C67" s="2" t="s">
        <v>11</v>
      </c>
      <c r="D67" s="1"/>
      <c r="E67" s="1" t="s">
        <v>12</v>
      </c>
      <c r="F67" s="7">
        <v>7351.4250000000002</v>
      </c>
      <c r="G67" s="8">
        <v>8.0089444999999995E-2</v>
      </c>
      <c r="H67" s="12"/>
    </row>
    <row r="68" spans="1:8" ht="14.1" customHeight="1" x14ac:dyDescent="0.2">
      <c r="A68" s="1"/>
      <c r="B68" s="1"/>
      <c r="C68" s="5"/>
      <c r="D68" s="1"/>
      <c r="E68" s="1"/>
      <c r="F68" s="6"/>
      <c r="G68" s="6"/>
      <c r="H68" s="12"/>
    </row>
    <row r="69" spans="1:8" ht="14.1" customHeight="1" x14ac:dyDescent="0.2">
      <c r="A69" s="1"/>
      <c r="B69" s="1"/>
      <c r="C69" s="2" t="s">
        <v>123</v>
      </c>
      <c r="D69" s="1"/>
      <c r="E69" s="1"/>
      <c r="F69" s="6"/>
      <c r="G69" s="6"/>
      <c r="H69" s="12"/>
    </row>
    <row r="70" spans="1:8" ht="14.1" customHeight="1" x14ac:dyDescent="0.2">
      <c r="A70" s="1"/>
      <c r="B70" s="1"/>
      <c r="C70" s="2" t="s">
        <v>11</v>
      </c>
      <c r="D70" s="1"/>
      <c r="E70" s="1" t="s">
        <v>12</v>
      </c>
      <c r="F70" s="3">
        <v>0</v>
      </c>
      <c r="G70" s="4">
        <v>0</v>
      </c>
      <c r="H70" s="12"/>
    </row>
    <row r="71" spans="1:8" ht="14.1" customHeight="1" x14ac:dyDescent="0.2">
      <c r="A71" s="1"/>
      <c r="B71" s="1"/>
      <c r="C71" s="5"/>
      <c r="D71" s="1"/>
      <c r="E71" s="1"/>
      <c r="F71" s="6"/>
      <c r="G71" s="6"/>
      <c r="H71" s="12"/>
    </row>
    <row r="72" spans="1:8" ht="14.1" customHeight="1" x14ac:dyDescent="0.2">
      <c r="A72" s="1"/>
      <c r="B72" s="1"/>
      <c r="C72" s="2" t="s">
        <v>124</v>
      </c>
      <c r="D72" s="1"/>
      <c r="E72" s="1"/>
      <c r="F72" s="6"/>
      <c r="G72" s="6"/>
      <c r="H72" s="12"/>
    </row>
    <row r="73" spans="1:8" ht="14.1" customHeight="1" x14ac:dyDescent="0.2">
      <c r="A73" s="1"/>
      <c r="B73" s="1"/>
      <c r="C73" s="2" t="s">
        <v>11</v>
      </c>
      <c r="D73" s="1"/>
      <c r="E73" s="1" t="s">
        <v>12</v>
      </c>
      <c r="F73" s="3">
        <v>0</v>
      </c>
      <c r="G73" s="4">
        <v>0</v>
      </c>
      <c r="H73" s="12"/>
    </row>
    <row r="74" spans="1:8" ht="14.1" customHeight="1" x14ac:dyDescent="0.2">
      <c r="A74" s="1"/>
      <c r="B74" s="1"/>
      <c r="C74" s="5"/>
      <c r="D74" s="1"/>
      <c r="E74" s="1"/>
      <c r="F74" s="6"/>
      <c r="G74" s="6"/>
      <c r="H74" s="12"/>
    </row>
    <row r="75" spans="1:8" ht="14.1" customHeight="1" x14ac:dyDescent="0.2">
      <c r="A75" s="1"/>
      <c r="B75" s="1"/>
      <c r="C75" s="2" t="s">
        <v>125</v>
      </c>
      <c r="D75" s="1"/>
      <c r="E75" s="1"/>
      <c r="F75" s="6"/>
      <c r="G75" s="6"/>
      <c r="H75" s="12"/>
    </row>
    <row r="76" spans="1:8" ht="17.100000000000001" customHeight="1" x14ac:dyDescent="0.2">
      <c r="A76" s="9">
        <v>1</v>
      </c>
      <c r="B76" s="10"/>
      <c r="C76" s="10" t="s">
        <v>126</v>
      </c>
      <c r="D76" s="10"/>
      <c r="E76" s="14"/>
      <c r="F76" s="12">
        <v>1927.7410374999999</v>
      </c>
      <c r="G76" s="13">
        <v>2.1001603000000001E-2</v>
      </c>
      <c r="H76" s="12">
        <v>3.2903893505936708</v>
      </c>
    </row>
    <row r="77" spans="1:8" ht="17.100000000000001" customHeight="1" x14ac:dyDescent="0.2">
      <c r="A77" s="9">
        <v>2</v>
      </c>
      <c r="B77" s="10"/>
      <c r="C77" s="10" t="s">
        <v>127</v>
      </c>
      <c r="D77" s="10"/>
      <c r="E77" s="14"/>
      <c r="F77" s="12">
        <v>854.19047509999996</v>
      </c>
      <c r="G77" s="13">
        <v>9.3059019999999996E-3</v>
      </c>
      <c r="H77" s="12">
        <v>3.2766870282233538</v>
      </c>
    </row>
    <row r="78" spans="1:8" ht="14.1" customHeight="1" x14ac:dyDescent="0.2">
      <c r="A78" s="1"/>
      <c r="B78" s="1"/>
      <c r="C78" s="2" t="s">
        <v>11</v>
      </c>
      <c r="D78" s="1"/>
      <c r="E78" s="1" t="s">
        <v>12</v>
      </c>
      <c r="F78" s="7">
        <v>2781.9315126000001</v>
      </c>
      <c r="G78" s="8">
        <v>3.0307504999999998E-2</v>
      </c>
      <c r="H78" s="12"/>
    </row>
    <row r="79" spans="1:8" ht="14.1" customHeight="1" x14ac:dyDescent="0.2">
      <c r="A79" s="1"/>
      <c r="B79" s="1"/>
      <c r="C79" s="5"/>
      <c r="D79" s="1"/>
      <c r="E79" s="1"/>
      <c r="F79" s="6"/>
      <c r="G79" s="6"/>
      <c r="H79" s="12"/>
    </row>
    <row r="80" spans="1:8" ht="14.1" customHeight="1" x14ac:dyDescent="0.2">
      <c r="A80" s="1"/>
      <c r="B80" s="1"/>
      <c r="C80" s="2" t="s">
        <v>128</v>
      </c>
      <c r="D80" s="1"/>
      <c r="E80" s="1"/>
      <c r="F80" s="7">
        <v>10133.356512599999</v>
      </c>
      <c r="G80" s="8">
        <v>0.11039694999999999</v>
      </c>
      <c r="H80" s="12"/>
    </row>
    <row r="81" spans="1:8" ht="14.1" customHeight="1" x14ac:dyDescent="0.2">
      <c r="A81" s="1"/>
      <c r="B81" s="1"/>
      <c r="C81" s="6"/>
      <c r="D81" s="1"/>
      <c r="E81" s="1"/>
      <c r="F81" s="1"/>
      <c r="G81" s="1"/>
      <c r="H81" s="12"/>
    </row>
    <row r="82" spans="1:8" ht="14.1" customHeight="1" x14ac:dyDescent="0.2">
      <c r="A82" s="1"/>
      <c r="B82" s="1"/>
      <c r="C82" s="2" t="s">
        <v>129</v>
      </c>
      <c r="D82" s="1"/>
      <c r="E82" s="1"/>
      <c r="F82" s="1"/>
      <c r="G82" s="1"/>
      <c r="H82" s="12"/>
    </row>
    <row r="83" spans="1:8" ht="14.1" customHeight="1" x14ac:dyDescent="0.2">
      <c r="A83" s="1"/>
      <c r="B83" s="1"/>
      <c r="C83" s="2" t="s">
        <v>130</v>
      </c>
      <c r="D83" s="1"/>
      <c r="E83" s="1"/>
      <c r="F83" s="1"/>
      <c r="G83" s="1"/>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
      <c r="C86" s="2" t="s">
        <v>131</v>
      </c>
      <c r="D86" s="1"/>
      <c r="E86" s="1"/>
      <c r="F86" s="1"/>
      <c r="G86" s="1"/>
      <c r="H86" s="12"/>
    </row>
    <row r="87" spans="1:8" ht="14.1" customHeight="1" x14ac:dyDescent="0.2">
      <c r="A87" s="1"/>
      <c r="B87" s="1"/>
      <c r="C87" s="2" t="s">
        <v>132</v>
      </c>
      <c r="D87" s="1"/>
      <c r="E87" s="1"/>
      <c r="F87" s="1"/>
      <c r="G87" s="1"/>
      <c r="H87" s="12"/>
    </row>
    <row r="88" spans="1:8" ht="14.1" customHeight="1" x14ac:dyDescent="0.2">
      <c r="A88" s="1"/>
      <c r="B88" s="1"/>
      <c r="C88" s="2" t="s">
        <v>11</v>
      </c>
      <c r="D88" s="1"/>
      <c r="E88" s="1" t="s">
        <v>12</v>
      </c>
      <c r="F88" s="3">
        <v>0</v>
      </c>
      <c r="G88" s="4">
        <v>0</v>
      </c>
      <c r="H88" s="12"/>
    </row>
    <row r="89" spans="1:8" ht="14.1" customHeight="1" x14ac:dyDescent="0.2">
      <c r="A89" s="1"/>
      <c r="B89" s="1"/>
      <c r="C89" s="5"/>
      <c r="D89" s="1"/>
      <c r="E89" s="1"/>
      <c r="F89" s="6"/>
      <c r="G89" s="6"/>
      <c r="H89" s="12"/>
    </row>
    <row r="90" spans="1:8" ht="24" customHeight="1" x14ac:dyDescent="0.2">
      <c r="A90" s="1"/>
      <c r="B90" s="1"/>
      <c r="C90" s="2" t="s">
        <v>133</v>
      </c>
      <c r="D90" s="1"/>
      <c r="E90" s="1"/>
      <c r="F90" s="6"/>
      <c r="G90" s="6"/>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0"/>
      <c r="C93" s="10"/>
      <c r="D93" s="2"/>
      <c r="E93" s="1"/>
      <c r="F93" s="10"/>
      <c r="G93" s="14"/>
      <c r="H93" s="12"/>
    </row>
    <row r="94" spans="1:8" ht="18" customHeight="1" x14ac:dyDescent="0.2">
      <c r="A94" s="14"/>
      <c r="B94" s="10"/>
      <c r="C94" s="10" t="s">
        <v>134</v>
      </c>
      <c r="D94" s="10"/>
      <c r="E94" s="14"/>
      <c r="F94" s="12">
        <v>2177.75806827</v>
      </c>
      <c r="G94" s="13">
        <v>2.3725390999999998E-2</v>
      </c>
      <c r="H94" s="12"/>
    </row>
    <row r="95" spans="1:8" ht="14.1" customHeight="1" x14ac:dyDescent="0.2">
      <c r="A95" s="5"/>
      <c r="B95" s="5"/>
      <c r="C95" s="2" t="s">
        <v>135</v>
      </c>
      <c r="D95" s="6"/>
      <c r="E95" s="6"/>
      <c r="F95" s="7">
        <v>91790.185330869994</v>
      </c>
      <c r="G95" s="8">
        <v>1</v>
      </c>
      <c r="H95" s="12"/>
    </row>
    <row r="96" spans="1:8" ht="14.1" customHeight="1" x14ac:dyDescent="0.2">
      <c r="A96" s="15"/>
      <c r="B96" s="15"/>
      <c r="C96" s="15"/>
      <c r="D96" s="16"/>
      <c r="E96" s="16"/>
      <c r="F96" s="16"/>
      <c r="G96" s="16"/>
    </row>
    <row r="97" spans="1:7" ht="17.100000000000001" customHeight="1" x14ac:dyDescent="0.2">
      <c r="A97" s="17"/>
      <c r="B97" s="98" t="s">
        <v>136</v>
      </c>
      <c r="C97" s="98"/>
      <c r="D97" s="98"/>
      <c r="E97" s="98"/>
      <c r="F97" s="98"/>
      <c r="G97" s="19"/>
    </row>
    <row r="98" spans="1:7" ht="17.100000000000001" customHeight="1" x14ac:dyDescent="0.2">
      <c r="A98" s="17"/>
      <c r="B98" s="98" t="s">
        <v>137</v>
      </c>
      <c r="C98" s="98"/>
      <c r="D98" s="98"/>
      <c r="E98" s="98"/>
      <c r="F98" s="98"/>
      <c r="G98" s="19"/>
    </row>
    <row r="99" spans="1:7" ht="14.1" customHeight="1" x14ac:dyDescent="0.2">
      <c r="A99" s="17"/>
      <c r="B99" s="98" t="s">
        <v>12</v>
      </c>
      <c r="C99" s="98"/>
      <c r="D99" s="98"/>
      <c r="E99" s="98"/>
      <c r="F99" s="98"/>
      <c r="G99" s="19"/>
    </row>
    <row r="100" spans="1:7" ht="14.1" customHeight="1" x14ac:dyDescent="0.2">
      <c r="A100" s="17"/>
      <c r="B100" s="17"/>
      <c r="C100" s="17"/>
      <c r="D100" s="19"/>
      <c r="E100" s="19"/>
      <c r="F100" s="19"/>
      <c r="G100" s="19"/>
    </row>
    <row r="101" spans="1:7" ht="14.1" customHeight="1" x14ac:dyDescent="0.2">
      <c r="A101" s="17"/>
      <c r="B101" s="99" t="s">
        <v>138</v>
      </c>
      <c r="C101" s="100"/>
      <c r="D101" s="101"/>
      <c r="E101" s="20"/>
      <c r="F101" s="19"/>
      <c r="G101" s="19"/>
    </row>
    <row r="102" spans="1:7" ht="29.1" customHeight="1" x14ac:dyDescent="0.2">
      <c r="A102" s="17"/>
      <c r="B102" s="95" t="s">
        <v>139</v>
      </c>
      <c r="C102" s="96"/>
      <c r="D102" s="2" t="s">
        <v>140</v>
      </c>
      <c r="E102" s="20"/>
      <c r="F102" s="19"/>
      <c r="G102" s="19"/>
    </row>
    <row r="103" spans="1:7" ht="17.100000000000001" customHeight="1" x14ac:dyDescent="0.2">
      <c r="A103" s="17"/>
      <c r="B103" s="95" t="s">
        <v>141</v>
      </c>
      <c r="C103" s="96"/>
      <c r="D103" s="2" t="s">
        <v>140</v>
      </c>
      <c r="E103" s="20"/>
      <c r="F103" s="19"/>
      <c r="G103" s="19"/>
    </row>
    <row r="104" spans="1:7" ht="17.100000000000001" customHeight="1" x14ac:dyDescent="0.2">
      <c r="A104" s="17"/>
      <c r="B104" s="95" t="s">
        <v>142</v>
      </c>
      <c r="C104" s="96"/>
      <c r="D104" s="6" t="s">
        <v>12</v>
      </c>
      <c r="E104" s="20"/>
      <c r="F104" s="19"/>
      <c r="G104" s="19"/>
    </row>
    <row r="105" spans="1:7" ht="24" customHeight="1" x14ac:dyDescent="0.2">
      <c r="A105" s="21"/>
      <c r="B105" s="22" t="s">
        <v>12</v>
      </c>
      <c r="C105" s="22" t="s">
        <v>143</v>
      </c>
      <c r="D105" s="22" t="s">
        <v>144</v>
      </c>
      <c r="E105" s="21"/>
      <c r="F105" s="21"/>
      <c r="G105" s="21"/>
    </row>
    <row r="106" spans="1:7" ht="18" customHeight="1" x14ac:dyDescent="0.2">
      <c r="A106" s="21"/>
      <c r="B106" s="23" t="s">
        <v>145</v>
      </c>
      <c r="C106" s="22" t="s">
        <v>146</v>
      </c>
      <c r="D106" s="22" t="s">
        <v>147</v>
      </c>
      <c r="E106" s="21"/>
      <c r="F106" s="21"/>
      <c r="G106" s="21"/>
    </row>
    <row r="107" spans="1:7" ht="17.100000000000001" customHeight="1" x14ac:dyDescent="0.2">
      <c r="A107" s="21"/>
      <c r="B107" s="10" t="s">
        <v>148</v>
      </c>
      <c r="C107" s="24">
        <v>35.0276</v>
      </c>
      <c r="D107" s="24">
        <v>35.207299999999996</v>
      </c>
      <c r="E107" s="21"/>
      <c r="F107" s="18"/>
      <c r="G107" s="25"/>
    </row>
    <row r="108" spans="1:7" ht="17.100000000000001" customHeight="1" x14ac:dyDescent="0.2">
      <c r="A108" s="21"/>
      <c r="B108" s="10" t="s">
        <v>203</v>
      </c>
      <c r="C108" s="24">
        <v>17.526299999999999</v>
      </c>
      <c r="D108" s="24">
        <v>17.616</v>
      </c>
      <c r="E108" s="21"/>
      <c r="F108" s="18"/>
      <c r="G108" s="25"/>
    </row>
    <row r="109" spans="1:7" ht="29.1" customHeight="1" x14ac:dyDescent="0.2">
      <c r="A109" s="21"/>
      <c r="B109" s="10" t="s">
        <v>609</v>
      </c>
      <c r="C109" s="24">
        <v>10.23</v>
      </c>
      <c r="D109" s="24">
        <v>10.2254</v>
      </c>
      <c r="E109" s="21"/>
      <c r="F109" s="18"/>
      <c r="G109" s="25"/>
    </row>
    <row r="110" spans="1:7" ht="29.1" customHeight="1" x14ac:dyDescent="0.2">
      <c r="A110" s="21"/>
      <c r="B110" s="10" t="s">
        <v>600</v>
      </c>
      <c r="C110" s="24">
        <v>11.5154</v>
      </c>
      <c r="D110" s="24">
        <v>11.5122</v>
      </c>
      <c r="E110" s="21"/>
      <c r="F110" s="18"/>
      <c r="G110" s="25"/>
    </row>
    <row r="111" spans="1:7" ht="17.100000000000001" customHeight="1" x14ac:dyDescent="0.2">
      <c r="A111" s="21"/>
      <c r="B111" s="10" t="s">
        <v>204</v>
      </c>
      <c r="C111" s="24">
        <v>31.279800000000002</v>
      </c>
      <c r="D111" s="24">
        <v>31.4359</v>
      </c>
      <c r="E111" s="21"/>
      <c r="F111" s="18"/>
      <c r="G111" s="25"/>
    </row>
    <row r="112" spans="1:7" ht="29.1" customHeight="1" x14ac:dyDescent="0.2">
      <c r="A112" s="21"/>
      <c r="B112" s="10" t="s">
        <v>610</v>
      </c>
      <c r="C112" s="24">
        <v>11.471</v>
      </c>
      <c r="D112" s="24">
        <v>11.4695</v>
      </c>
      <c r="E112" s="21"/>
      <c r="F112" s="18"/>
      <c r="G112" s="25"/>
    </row>
    <row r="113" spans="1:16" ht="17.100000000000001" customHeight="1" x14ac:dyDescent="0.2">
      <c r="A113" s="21"/>
      <c r="B113" s="10" t="s">
        <v>149</v>
      </c>
      <c r="C113" s="24">
        <v>34.698500000000003</v>
      </c>
      <c r="D113" s="24">
        <v>34.871600000000001</v>
      </c>
      <c r="E113" s="21"/>
      <c r="F113" s="18"/>
      <c r="G113" s="25"/>
    </row>
    <row r="114" spans="1:16" ht="17.100000000000001" customHeight="1" x14ac:dyDescent="0.2">
      <c r="A114" s="21"/>
      <c r="B114" s="10" t="s">
        <v>205</v>
      </c>
      <c r="C114" s="24">
        <v>17.497499999999999</v>
      </c>
      <c r="D114" s="24">
        <v>17.584800000000001</v>
      </c>
      <c r="E114" s="21"/>
      <c r="F114" s="18"/>
      <c r="G114" s="25"/>
    </row>
    <row r="115" spans="1:16" ht="29.1" customHeight="1" x14ac:dyDescent="0.2">
      <c r="A115" s="21"/>
      <c r="B115" s="10" t="s">
        <v>611</v>
      </c>
      <c r="C115" s="24">
        <v>10.355</v>
      </c>
      <c r="D115" s="24">
        <v>10.350099999999999</v>
      </c>
      <c r="E115" s="21"/>
      <c r="F115" s="18"/>
      <c r="G115" s="25"/>
    </row>
    <row r="116" spans="1:16" ht="29.1" customHeight="1" x14ac:dyDescent="0.2">
      <c r="A116" s="21"/>
      <c r="B116" s="10" t="s">
        <v>612</v>
      </c>
      <c r="C116" s="24">
        <v>12.102</v>
      </c>
      <c r="D116" s="24">
        <v>12.089600000000001</v>
      </c>
      <c r="E116" s="21"/>
      <c r="F116" s="18"/>
      <c r="G116" s="25"/>
    </row>
    <row r="117" spans="1:16" ht="29.1" customHeight="1" x14ac:dyDescent="0.2">
      <c r="A117" s="21"/>
      <c r="B117" s="10" t="s">
        <v>604</v>
      </c>
      <c r="C117" s="24">
        <v>11.566000000000001</v>
      </c>
      <c r="D117" s="24">
        <v>11.5646</v>
      </c>
      <c r="E117" s="21"/>
      <c r="F117" s="18"/>
      <c r="G117" s="25"/>
    </row>
    <row r="118" spans="1:16" ht="14.1" customHeight="1" x14ac:dyDescent="0.2">
      <c r="A118" s="21"/>
      <c r="B118" s="21"/>
      <c r="C118" s="21"/>
      <c r="D118" s="21"/>
      <c r="E118" s="21"/>
      <c r="F118" s="21"/>
      <c r="G118" s="21"/>
    </row>
    <row r="119" spans="1:16" ht="17.100000000000001" customHeight="1" x14ac:dyDescent="0.2">
      <c r="A119" s="21"/>
      <c r="B119" s="95" t="s">
        <v>608</v>
      </c>
      <c r="C119" s="96"/>
      <c r="D119" s="2" t="s">
        <v>12</v>
      </c>
      <c r="E119" s="21"/>
      <c r="F119" s="21"/>
      <c r="G119" s="21"/>
    </row>
    <row r="120" spans="1:16" ht="18" customHeight="1" x14ac:dyDescent="0.2">
      <c r="A120" s="21"/>
      <c r="B120" s="26" t="s">
        <v>145</v>
      </c>
      <c r="C120" s="27" t="s">
        <v>150</v>
      </c>
      <c r="D120" s="27" t="s">
        <v>151</v>
      </c>
      <c r="E120" s="21"/>
      <c r="F120" s="21"/>
      <c r="G120" s="21"/>
    </row>
    <row r="121" spans="1:16" ht="29.1" customHeight="1" x14ac:dyDescent="0.2">
      <c r="A121" s="21"/>
      <c r="B121" s="10" t="s">
        <v>609</v>
      </c>
      <c r="C121" s="28">
        <v>5.6873E-2</v>
      </c>
      <c r="D121" s="14" t="s">
        <v>152</v>
      </c>
      <c r="E121" s="21"/>
      <c r="F121" s="18"/>
      <c r="G121" s="25"/>
    </row>
    <row r="122" spans="1:16" ht="29.1" customHeight="1" x14ac:dyDescent="0.2">
      <c r="A122" s="21"/>
      <c r="B122" s="10" t="s">
        <v>600</v>
      </c>
      <c r="C122" s="28">
        <v>6.2199999999999998E-2</v>
      </c>
      <c r="D122" s="14" t="s">
        <v>152</v>
      </c>
      <c r="E122" s="21"/>
      <c r="F122" s="18"/>
      <c r="G122" s="25"/>
    </row>
    <row r="123" spans="1:16" ht="29.1" customHeight="1" x14ac:dyDescent="0.2">
      <c r="A123" s="21"/>
      <c r="B123" s="10" t="s">
        <v>610</v>
      </c>
      <c r="C123" s="28">
        <v>5.8700000000000002E-2</v>
      </c>
      <c r="D123" s="28">
        <v>5.8700000000000002E-2</v>
      </c>
      <c r="E123" s="21"/>
      <c r="F123" s="18"/>
      <c r="G123" s="25"/>
    </row>
    <row r="124" spans="1:16" ht="29.1" customHeight="1" x14ac:dyDescent="0.2">
      <c r="A124" s="21"/>
      <c r="B124" s="10" t="s">
        <v>611</v>
      </c>
      <c r="C124" s="28">
        <v>5.6478E-2</v>
      </c>
      <c r="D124" s="14" t="s">
        <v>152</v>
      </c>
      <c r="E124" s="21"/>
      <c r="F124" s="18"/>
      <c r="G124" s="25"/>
    </row>
    <row r="125" spans="1:16" ht="29.1" customHeight="1" x14ac:dyDescent="0.2">
      <c r="A125" s="21"/>
      <c r="B125" s="10" t="s">
        <v>612</v>
      </c>
      <c r="C125" s="28">
        <v>7.2700000000000001E-2</v>
      </c>
      <c r="D125" s="14" t="s">
        <v>152</v>
      </c>
      <c r="E125" s="21"/>
      <c r="F125" s="18"/>
      <c r="G125" s="25"/>
    </row>
    <row r="126" spans="1:16" ht="29.1" customHeight="1" x14ac:dyDescent="0.2">
      <c r="A126" s="21"/>
      <c r="B126" s="10" t="s">
        <v>604</v>
      </c>
      <c r="C126" s="28">
        <v>5.9200000000000003E-2</v>
      </c>
      <c r="D126" s="28">
        <v>5.9200000000000003E-2</v>
      </c>
      <c r="E126" s="21"/>
      <c r="F126" s="18"/>
      <c r="G126" s="25"/>
    </row>
    <row r="127" spans="1:16" ht="14.1" customHeight="1" x14ac:dyDescent="0.2">
      <c r="A127" s="21"/>
      <c r="B127" s="29"/>
      <c r="C127" s="29"/>
      <c r="D127" s="30"/>
      <c r="E127" s="21"/>
      <c r="F127" s="18"/>
      <c r="G127" s="25"/>
    </row>
    <row r="128" spans="1:16" x14ac:dyDescent="0.2">
      <c r="A128" s="82"/>
      <c r="B128" s="104" t="s">
        <v>619</v>
      </c>
      <c r="C128" s="104"/>
      <c r="D128" s="104"/>
      <c r="E128" s="104"/>
      <c r="F128" s="104"/>
      <c r="G128" s="82"/>
      <c r="I128" s="58"/>
      <c r="P128" s="58"/>
    </row>
    <row r="129" spans="1:15" ht="14.1" customHeight="1" x14ac:dyDescent="0.2">
      <c r="A129" s="21"/>
      <c r="B129" s="18"/>
      <c r="C129" s="18"/>
      <c r="D129" s="21"/>
      <c r="E129" s="21"/>
      <c r="F129" s="21"/>
      <c r="G129" s="21"/>
    </row>
    <row r="130" spans="1:15" ht="17.100000000000001" customHeight="1" x14ac:dyDescent="0.2">
      <c r="A130" s="21"/>
      <c r="B130" s="95" t="s">
        <v>532</v>
      </c>
      <c r="C130" s="96"/>
      <c r="D130" s="2" t="s">
        <v>140</v>
      </c>
      <c r="E130" s="21"/>
      <c r="F130" s="18"/>
      <c r="G130" s="25"/>
      <c r="J130"/>
      <c r="K130"/>
      <c r="L130"/>
      <c r="M130"/>
      <c r="N130"/>
      <c r="O130"/>
    </row>
    <row r="131" spans="1:15" ht="29.1" customHeight="1" x14ac:dyDescent="0.2">
      <c r="A131" s="21"/>
      <c r="B131" s="95" t="s">
        <v>533</v>
      </c>
      <c r="C131" s="96"/>
      <c r="D131" s="2" t="s">
        <v>140</v>
      </c>
      <c r="E131" s="31"/>
      <c r="F131" s="21"/>
      <c r="G131" s="21"/>
    </row>
    <row r="132" spans="1:15" ht="29.1" customHeight="1" x14ac:dyDescent="0.2">
      <c r="A132" s="21"/>
      <c r="B132" s="95" t="s">
        <v>534</v>
      </c>
      <c r="C132" s="96"/>
      <c r="D132" s="2" t="s">
        <v>140</v>
      </c>
      <c r="E132" s="31"/>
      <c r="F132" s="21"/>
      <c r="G132" s="21"/>
    </row>
    <row r="133" spans="1:15" ht="17.100000000000001" customHeight="1" x14ac:dyDescent="0.2">
      <c r="A133" s="21"/>
      <c r="B133" s="95" t="s">
        <v>535</v>
      </c>
      <c r="C133" s="96"/>
      <c r="D133" s="32">
        <v>2.4901222144309827</v>
      </c>
      <c r="E133" s="31"/>
      <c r="F133" s="21"/>
      <c r="G133" s="21"/>
    </row>
    <row r="134" spans="1:15" ht="17.100000000000001" customHeight="1" x14ac:dyDescent="0.2">
      <c r="A134" s="21"/>
      <c r="B134" s="95" t="s">
        <v>536</v>
      </c>
      <c r="C134" s="96"/>
      <c r="D134" s="32">
        <v>2.2639905523012787</v>
      </c>
      <c r="E134" s="31"/>
      <c r="F134" s="21"/>
      <c r="G134" s="21"/>
    </row>
    <row r="135" spans="1:15" ht="17.100000000000001" customHeight="1" x14ac:dyDescent="0.2">
      <c r="A135" s="21"/>
      <c r="B135" s="95" t="s">
        <v>537</v>
      </c>
      <c r="C135" s="96"/>
      <c r="D135" s="2" t="s">
        <v>140</v>
      </c>
      <c r="E135" s="31"/>
      <c r="F135" s="21"/>
      <c r="G135" s="21"/>
    </row>
    <row r="136" spans="1:15" ht="11.1" customHeight="1" x14ac:dyDescent="0.2">
      <c r="A136" s="33"/>
      <c r="B136" s="33"/>
      <c r="C136" s="33"/>
      <c r="D136" s="33"/>
      <c r="E136" s="33"/>
      <c r="F136" s="33"/>
      <c r="G136" s="33"/>
    </row>
  </sheetData>
  <mergeCells count="19">
    <mergeCell ref="J2:N2"/>
    <mergeCell ref="B128:F128"/>
    <mergeCell ref="B103:C103"/>
    <mergeCell ref="B104:C104"/>
    <mergeCell ref="B119:C119"/>
    <mergeCell ref="B99:F99"/>
    <mergeCell ref="B101:D101"/>
    <mergeCell ref="B102:C102"/>
    <mergeCell ref="A1:H1"/>
    <mergeCell ref="A2:H2"/>
    <mergeCell ref="A3:H3"/>
    <mergeCell ref="B97:F97"/>
    <mergeCell ref="B98:F98"/>
    <mergeCell ref="B132:C132"/>
    <mergeCell ref="B133:C133"/>
    <mergeCell ref="B134:C134"/>
    <mergeCell ref="B135:C135"/>
    <mergeCell ref="B130:C130"/>
    <mergeCell ref="B131:C13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58"/>
  </cols>
  <sheetData>
    <row r="1" spans="1:15" ht="18" customHeight="1" x14ac:dyDescent="0.2">
      <c r="A1" s="103" t="s">
        <v>0</v>
      </c>
      <c r="B1" s="103"/>
      <c r="C1" s="103"/>
      <c r="D1" s="103"/>
      <c r="E1" s="103"/>
      <c r="F1" s="103"/>
      <c r="G1" s="103"/>
      <c r="H1" s="103"/>
    </row>
    <row r="2" spans="1:15" ht="17.100000000000001" customHeight="1" x14ac:dyDescent="0.2">
      <c r="A2" s="103" t="s">
        <v>206</v>
      </c>
      <c r="B2" s="103"/>
      <c r="C2" s="103"/>
      <c r="D2" s="103"/>
      <c r="E2" s="103"/>
      <c r="F2" s="103"/>
      <c r="G2" s="103"/>
      <c r="H2" s="103"/>
      <c r="J2" s="102" t="s">
        <v>627</v>
      </c>
      <c r="K2" s="102"/>
      <c r="L2" s="102"/>
      <c r="M2" s="102"/>
      <c r="N2" s="10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9" t="s">
        <v>643</v>
      </c>
      <c r="K16" s="90"/>
      <c r="L16" s="90"/>
      <c r="M16" s="90"/>
      <c r="N16" s="90"/>
      <c r="O16" s="90"/>
    </row>
    <row r="17" spans="1:8" ht="14.1" customHeight="1" x14ac:dyDescent="0.2">
      <c r="A17" s="1"/>
      <c r="B17" s="1"/>
      <c r="C17" s="5"/>
      <c r="D17" s="1"/>
      <c r="E17" s="1"/>
      <c r="F17" s="6"/>
      <c r="G17" s="6"/>
      <c r="H17" s="12"/>
    </row>
    <row r="18" spans="1:8" ht="14.1" customHeight="1" x14ac:dyDescent="0.2">
      <c r="A18" s="1"/>
      <c r="B18" s="1"/>
      <c r="C18" s="2" t="s">
        <v>16</v>
      </c>
      <c r="D18" s="1"/>
      <c r="E18" s="1"/>
      <c r="F18" s="6"/>
      <c r="G18" s="6"/>
      <c r="H18" s="12"/>
    </row>
    <row r="19" spans="1:8" ht="14.1" customHeight="1" x14ac:dyDescent="0.2">
      <c r="A19" s="1"/>
      <c r="B19" s="1"/>
      <c r="C19" s="2" t="s">
        <v>11</v>
      </c>
      <c r="D19" s="1"/>
      <c r="E19" s="1" t="s">
        <v>12</v>
      </c>
      <c r="F19" s="3">
        <v>0</v>
      </c>
      <c r="G19" s="4">
        <v>0</v>
      </c>
      <c r="H19" s="12"/>
    </row>
    <row r="20" spans="1:8" ht="14.1" customHeight="1" x14ac:dyDescent="0.2">
      <c r="A20" s="1"/>
      <c r="B20" s="1"/>
      <c r="C20" s="5"/>
      <c r="D20" s="1"/>
      <c r="E20" s="1"/>
      <c r="F20" s="6"/>
      <c r="G20" s="6"/>
      <c r="H20" s="12"/>
    </row>
    <row r="21" spans="1:8" ht="14.1" customHeight="1" x14ac:dyDescent="0.2">
      <c r="A21" s="1"/>
      <c r="B21" s="1"/>
      <c r="C21" s="2" t="s">
        <v>17</v>
      </c>
      <c r="D21" s="1"/>
      <c r="E21" s="1"/>
      <c r="F21" s="6"/>
      <c r="G21" s="6"/>
      <c r="H21" s="12"/>
    </row>
    <row r="22" spans="1:8" ht="14.1" customHeight="1" x14ac:dyDescent="0.2">
      <c r="A22" s="1"/>
      <c r="B22" s="1"/>
      <c r="C22" s="2" t="s">
        <v>11</v>
      </c>
      <c r="D22" s="1"/>
      <c r="E22" s="1" t="s">
        <v>12</v>
      </c>
      <c r="F22" s="3">
        <v>0</v>
      </c>
      <c r="G22" s="4">
        <v>0</v>
      </c>
      <c r="H22" s="12"/>
    </row>
    <row r="23" spans="1:8" ht="14.1" customHeight="1" x14ac:dyDescent="0.2">
      <c r="A23" s="1"/>
      <c r="B23" s="1"/>
      <c r="C23" s="5"/>
      <c r="D23" s="1"/>
      <c r="E23" s="1"/>
      <c r="F23" s="6"/>
      <c r="G23" s="6"/>
      <c r="H23" s="12"/>
    </row>
    <row r="24" spans="1:8" ht="18" customHeight="1" x14ac:dyDescent="0.2">
      <c r="A24" s="1"/>
      <c r="B24" s="1"/>
      <c r="C24" s="2" t="s">
        <v>18</v>
      </c>
      <c r="D24" s="1"/>
      <c r="E24" s="1"/>
      <c r="F24" s="7">
        <v>0</v>
      </c>
      <c r="G24" s="8">
        <v>0</v>
      </c>
      <c r="H24" s="12"/>
    </row>
    <row r="25" spans="1:8" ht="14.1" customHeight="1" x14ac:dyDescent="0.2">
      <c r="A25" s="1"/>
      <c r="B25" s="1"/>
      <c r="C25" s="5"/>
      <c r="D25" s="1"/>
      <c r="E25" s="1"/>
      <c r="F25" s="6"/>
      <c r="G25" s="6"/>
      <c r="H25" s="12"/>
    </row>
    <row r="26" spans="1:8" ht="14.1" customHeight="1" x14ac:dyDescent="0.2">
      <c r="A26" s="1"/>
      <c r="B26" s="1"/>
      <c r="C26" s="2" t="s">
        <v>19</v>
      </c>
      <c r="D26" s="1"/>
      <c r="E26" s="1"/>
      <c r="F26" s="6"/>
      <c r="G26" s="6"/>
      <c r="H26" s="12"/>
    </row>
    <row r="27" spans="1:8" ht="24" customHeight="1" x14ac:dyDescent="0.2">
      <c r="A27" s="1"/>
      <c r="B27" s="1"/>
      <c r="C27" s="2" t="s">
        <v>10</v>
      </c>
      <c r="D27" s="1"/>
      <c r="E27" s="1"/>
      <c r="F27" s="6"/>
      <c r="G27" s="6"/>
      <c r="H27" s="12"/>
    </row>
    <row r="28" spans="1:8" ht="17.100000000000001" customHeight="1" x14ac:dyDescent="0.2">
      <c r="A28" s="9">
        <v>1</v>
      </c>
      <c r="B28" s="10" t="s">
        <v>207</v>
      </c>
      <c r="C28" s="10" t="s">
        <v>208</v>
      </c>
      <c r="D28" s="10" t="s">
        <v>22</v>
      </c>
      <c r="E28" s="11">
        <v>72</v>
      </c>
      <c r="F28" s="12">
        <v>962.88480000000004</v>
      </c>
      <c r="G28" s="13">
        <v>0.117170698</v>
      </c>
      <c r="H28" s="12">
        <v>4.1500000000000004</v>
      </c>
    </row>
    <row r="29" spans="1:8" ht="29.1" customHeight="1" x14ac:dyDescent="0.2">
      <c r="A29" s="9">
        <v>2</v>
      </c>
      <c r="B29" s="10" t="s">
        <v>209</v>
      </c>
      <c r="C29" s="10" t="s">
        <v>210</v>
      </c>
      <c r="D29" s="10" t="s">
        <v>591</v>
      </c>
      <c r="E29" s="11">
        <v>80</v>
      </c>
      <c r="F29" s="12">
        <v>803.90719999999999</v>
      </c>
      <c r="G29" s="13">
        <v>9.7825168000000004E-2</v>
      </c>
      <c r="H29" s="12">
        <v>3.96</v>
      </c>
    </row>
    <row r="30" spans="1:8" ht="29.1" customHeight="1" x14ac:dyDescent="0.2">
      <c r="A30" s="9">
        <v>3</v>
      </c>
      <c r="B30" s="10" t="s">
        <v>211</v>
      </c>
      <c r="C30" s="10" t="s">
        <v>212</v>
      </c>
      <c r="D30" s="10" t="s">
        <v>22</v>
      </c>
      <c r="E30" s="11">
        <v>80</v>
      </c>
      <c r="F30" s="12">
        <v>801.6576</v>
      </c>
      <c r="G30" s="13">
        <v>9.7551420999999999E-2</v>
      </c>
      <c r="H30" s="12">
        <v>3.6850000000000001</v>
      </c>
    </row>
    <row r="31" spans="1:8" ht="29.1" customHeight="1" x14ac:dyDescent="0.2">
      <c r="A31" s="9">
        <v>4</v>
      </c>
      <c r="B31" s="10" t="s">
        <v>213</v>
      </c>
      <c r="C31" s="10" t="s">
        <v>214</v>
      </c>
      <c r="D31" s="10" t="s">
        <v>22</v>
      </c>
      <c r="E31" s="11">
        <v>80</v>
      </c>
      <c r="F31" s="12">
        <v>800.66399999999999</v>
      </c>
      <c r="G31" s="13">
        <v>9.7430512999999996E-2</v>
      </c>
      <c r="H31" s="12">
        <v>3.67</v>
      </c>
    </row>
    <row r="32" spans="1:8" ht="17.100000000000001" customHeight="1" x14ac:dyDescent="0.2">
      <c r="A32" s="9">
        <v>5</v>
      </c>
      <c r="B32" s="10" t="s">
        <v>215</v>
      </c>
      <c r="C32" s="10" t="s">
        <v>216</v>
      </c>
      <c r="D32" s="10" t="s">
        <v>22</v>
      </c>
      <c r="E32" s="11">
        <v>78</v>
      </c>
      <c r="F32" s="12">
        <v>782.06543999999997</v>
      </c>
      <c r="G32" s="13">
        <v>9.5167307000000007E-2</v>
      </c>
      <c r="H32" s="12">
        <v>3.6999</v>
      </c>
    </row>
    <row r="33" spans="1:8" ht="29.1" customHeight="1" x14ac:dyDescent="0.2">
      <c r="A33" s="9">
        <v>6</v>
      </c>
      <c r="B33" s="10" t="s">
        <v>217</v>
      </c>
      <c r="C33" s="10" t="s">
        <v>218</v>
      </c>
      <c r="D33" s="10" t="s">
        <v>591</v>
      </c>
      <c r="E33" s="11">
        <v>75</v>
      </c>
      <c r="F33" s="12">
        <v>752.13599999999997</v>
      </c>
      <c r="G33" s="13">
        <v>9.1525279000000001E-2</v>
      </c>
      <c r="H33" s="12">
        <v>4.04</v>
      </c>
    </row>
    <row r="34" spans="1:8" ht="17.100000000000001" customHeight="1" x14ac:dyDescent="0.2">
      <c r="A34" s="9">
        <v>7</v>
      </c>
      <c r="B34" s="10" t="s">
        <v>219</v>
      </c>
      <c r="C34" s="10" t="s">
        <v>220</v>
      </c>
      <c r="D34" s="10" t="s">
        <v>22</v>
      </c>
      <c r="E34" s="11">
        <v>50</v>
      </c>
      <c r="F34" s="12">
        <v>679.20799999999997</v>
      </c>
      <c r="G34" s="13">
        <v>8.2650878999999997E-2</v>
      </c>
      <c r="H34" s="12">
        <v>4.2</v>
      </c>
    </row>
    <row r="35" spans="1:8" ht="29.1" customHeight="1" x14ac:dyDescent="0.2">
      <c r="A35" s="9">
        <v>8</v>
      </c>
      <c r="B35" s="10" t="s">
        <v>221</v>
      </c>
      <c r="C35" s="10" t="s">
        <v>222</v>
      </c>
      <c r="D35" s="10" t="s">
        <v>22</v>
      </c>
      <c r="E35" s="11">
        <v>50</v>
      </c>
      <c r="F35" s="12">
        <v>501.06049999999999</v>
      </c>
      <c r="G35" s="13">
        <v>6.0972618999999999E-2</v>
      </c>
      <c r="H35" s="12">
        <v>3.7147000000000001</v>
      </c>
    </row>
    <row r="36" spans="1:8" ht="14.1" customHeight="1" x14ac:dyDescent="0.2">
      <c r="A36" s="1"/>
      <c r="B36" s="1"/>
      <c r="C36" s="2" t="s">
        <v>11</v>
      </c>
      <c r="D36" s="1"/>
      <c r="E36" s="1" t="s">
        <v>12</v>
      </c>
      <c r="F36" s="7">
        <v>6083.5835399999996</v>
      </c>
      <c r="G36" s="8">
        <v>0.74029388399999996</v>
      </c>
      <c r="H36" s="12"/>
    </row>
    <row r="37" spans="1:8" ht="14.1" customHeight="1" x14ac:dyDescent="0.2">
      <c r="A37" s="1"/>
      <c r="B37" s="1"/>
      <c r="C37" s="5"/>
      <c r="D37" s="1"/>
      <c r="E37" s="1"/>
      <c r="F37" s="6"/>
      <c r="G37" s="6"/>
      <c r="H37" s="12"/>
    </row>
    <row r="38" spans="1:8" ht="14.1" customHeight="1" x14ac:dyDescent="0.2">
      <c r="A38" s="1"/>
      <c r="B38" s="1"/>
      <c r="C38" s="2" t="s">
        <v>102</v>
      </c>
      <c r="D38" s="1"/>
      <c r="E38" s="1"/>
      <c r="F38" s="1"/>
      <c r="G38" s="1"/>
      <c r="H38" s="12"/>
    </row>
    <row r="39" spans="1:8" ht="14.1" customHeight="1" x14ac:dyDescent="0.2">
      <c r="A39" s="1"/>
      <c r="B39" s="1"/>
      <c r="C39" s="2" t="s">
        <v>11</v>
      </c>
      <c r="D39" s="1"/>
      <c r="E39" s="1" t="s">
        <v>12</v>
      </c>
      <c r="F39" s="3">
        <v>0</v>
      </c>
      <c r="G39" s="4">
        <v>0</v>
      </c>
      <c r="H39" s="12"/>
    </row>
    <row r="40" spans="1:8" ht="14.1" customHeight="1" x14ac:dyDescent="0.2">
      <c r="A40" s="1"/>
      <c r="B40" s="1"/>
      <c r="C40" s="5"/>
      <c r="D40" s="1"/>
      <c r="E40" s="1"/>
      <c r="F40" s="6"/>
      <c r="G40" s="6"/>
      <c r="H40" s="12"/>
    </row>
    <row r="41" spans="1:8" ht="14.1" customHeight="1" x14ac:dyDescent="0.2">
      <c r="A41" s="1"/>
      <c r="B41" s="1"/>
      <c r="C41" s="2" t="s">
        <v>103</v>
      </c>
      <c r="D41" s="1"/>
      <c r="E41" s="1"/>
      <c r="F41" s="1"/>
      <c r="G41" s="1"/>
      <c r="H41" s="12"/>
    </row>
    <row r="42" spans="1:8" ht="14.1" customHeight="1" x14ac:dyDescent="0.2">
      <c r="A42" s="1"/>
      <c r="B42" s="1"/>
      <c r="C42" s="2" t="s">
        <v>11</v>
      </c>
      <c r="D42" s="1"/>
      <c r="E42" s="1" t="s">
        <v>12</v>
      </c>
      <c r="F42" s="3">
        <v>0</v>
      </c>
      <c r="G42" s="4">
        <v>0</v>
      </c>
      <c r="H42" s="12"/>
    </row>
    <row r="43" spans="1:8" ht="14.1" customHeight="1" x14ac:dyDescent="0.2">
      <c r="A43" s="1"/>
      <c r="B43" s="1"/>
      <c r="C43" s="5"/>
      <c r="D43" s="1"/>
      <c r="E43" s="1"/>
      <c r="F43" s="6"/>
      <c r="G43" s="6"/>
      <c r="H43" s="12"/>
    </row>
    <row r="44" spans="1:8" ht="14.1" customHeight="1" x14ac:dyDescent="0.2">
      <c r="A44" s="1"/>
      <c r="B44" s="1"/>
      <c r="C44" s="2" t="s">
        <v>119</v>
      </c>
      <c r="D44" s="1"/>
      <c r="E44" s="1"/>
      <c r="F44" s="6"/>
      <c r="G44" s="6"/>
      <c r="H44" s="12"/>
    </row>
    <row r="45" spans="1:8" ht="14.1" customHeight="1" x14ac:dyDescent="0.2">
      <c r="A45" s="1"/>
      <c r="B45" s="1"/>
      <c r="C45" s="2" t="s">
        <v>11</v>
      </c>
      <c r="D45" s="1"/>
      <c r="E45" s="1" t="s">
        <v>12</v>
      </c>
      <c r="F45" s="3">
        <v>0</v>
      </c>
      <c r="G45" s="4">
        <v>0</v>
      </c>
      <c r="H45" s="12"/>
    </row>
    <row r="46" spans="1:8" ht="14.1" customHeight="1" x14ac:dyDescent="0.2">
      <c r="A46" s="1"/>
      <c r="B46" s="1"/>
      <c r="C46" s="5"/>
      <c r="D46" s="1"/>
      <c r="E46" s="1"/>
      <c r="F46" s="6"/>
      <c r="G46" s="6"/>
      <c r="H46" s="12"/>
    </row>
    <row r="47" spans="1:8" ht="14.1" customHeight="1" x14ac:dyDescent="0.2">
      <c r="A47" s="1"/>
      <c r="B47" s="1"/>
      <c r="C47" s="2" t="s">
        <v>120</v>
      </c>
      <c r="D47" s="1"/>
      <c r="E47" s="1"/>
      <c r="F47" s="7">
        <v>6083.5835399999996</v>
      </c>
      <c r="G47" s="8">
        <v>0.74029388399999996</v>
      </c>
      <c r="H47" s="12"/>
    </row>
    <row r="48" spans="1:8" ht="14.1" customHeight="1" x14ac:dyDescent="0.2">
      <c r="A48" s="1"/>
      <c r="B48" s="1"/>
      <c r="C48" s="5"/>
      <c r="D48" s="1"/>
      <c r="E48" s="1"/>
      <c r="F48" s="6"/>
      <c r="G48" s="6"/>
      <c r="H48" s="12"/>
    </row>
    <row r="49" spans="1:8" ht="14.1" customHeight="1" x14ac:dyDescent="0.2">
      <c r="A49" s="1"/>
      <c r="B49" s="1"/>
      <c r="C49" s="2" t="s">
        <v>121</v>
      </c>
      <c r="D49" s="1"/>
      <c r="E49" s="1"/>
      <c r="F49" s="6"/>
      <c r="G49" s="6"/>
      <c r="H49" s="12"/>
    </row>
    <row r="50" spans="1:8" ht="14.1" customHeight="1" x14ac:dyDescent="0.2">
      <c r="A50" s="1"/>
      <c r="B50" s="1"/>
      <c r="C50" s="2" t="s">
        <v>122</v>
      </c>
      <c r="D50" s="1"/>
      <c r="E50" s="1"/>
      <c r="F50" s="6"/>
      <c r="G50" s="6"/>
      <c r="H50" s="12"/>
    </row>
    <row r="51" spans="1:8" ht="14.1" customHeight="1" x14ac:dyDescent="0.2">
      <c r="A51" s="1"/>
      <c r="B51" s="1"/>
      <c r="C51" s="2" t="s">
        <v>11</v>
      </c>
      <c r="D51" s="1"/>
      <c r="E51" s="1" t="s">
        <v>12</v>
      </c>
      <c r="F51" s="3">
        <v>0</v>
      </c>
      <c r="G51" s="4">
        <v>0</v>
      </c>
      <c r="H51" s="12"/>
    </row>
    <row r="52" spans="1:8" ht="14.1" customHeight="1" x14ac:dyDescent="0.2">
      <c r="A52" s="1"/>
      <c r="B52" s="1"/>
      <c r="C52" s="5"/>
      <c r="D52" s="1"/>
      <c r="E52" s="1"/>
      <c r="F52" s="6"/>
      <c r="G52" s="6"/>
      <c r="H52" s="12"/>
    </row>
    <row r="53" spans="1:8" ht="14.1" customHeight="1" x14ac:dyDescent="0.2">
      <c r="A53" s="1"/>
      <c r="B53" s="1"/>
      <c r="C53" s="2" t="s">
        <v>123</v>
      </c>
      <c r="D53" s="1"/>
      <c r="E53" s="1"/>
      <c r="F53" s="6"/>
      <c r="G53" s="6"/>
      <c r="H53" s="12"/>
    </row>
    <row r="54" spans="1:8" ht="14.1" customHeight="1" x14ac:dyDescent="0.2">
      <c r="A54" s="1"/>
      <c r="B54" s="1"/>
      <c r="C54" s="2" t="s">
        <v>11</v>
      </c>
      <c r="D54" s="1"/>
      <c r="E54" s="1" t="s">
        <v>12</v>
      </c>
      <c r="F54" s="3">
        <v>0</v>
      </c>
      <c r="G54" s="4">
        <v>0</v>
      </c>
      <c r="H54" s="12"/>
    </row>
    <row r="55" spans="1:8" ht="14.1" customHeight="1" x14ac:dyDescent="0.2">
      <c r="A55" s="1"/>
      <c r="B55" s="1"/>
      <c r="C55" s="5"/>
      <c r="D55" s="1"/>
      <c r="E55" s="1"/>
      <c r="F55" s="6"/>
      <c r="G55" s="6"/>
      <c r="H55" s="12"/>
    </row>
    <row r="56" spans="1:8" ht="14.1" customHeight="1" x14ac:dyDescent="0.2">
      <c r="A56" s="1"/>
      <c r="B56" s="1"/>
      <c r="C56" s="2" t="s">
        <v>124</v>
      </c>
      <c r="D56" s="1"/>
      <c r="E56" s="1"/>
      <c r="F56" s="6"/>
      <c r="G56" s="6"/>
      <c r="H56" s="12"/>
    </row>
    <row r="57" spans="1:8" ht="17.100000000000001" customHeight="1" x14ac:dyDescent="0.2">
      <c r="A57" s="9">
        <v>1</v>
      </c>
      <c r="B57" s="10" t="s">
        <v>223</v>
      </c>
      <c r="C57" s="10" t="s">
        <v>525</v>
      </c>
      <c r="D57" s="10" t="s">
        <v>106</v>
      </c>
      <c r="E57" s="11">
        <v>1400000</v>
      </c>
      <c r="F57" s="12">
        <v>1395.037</v>
      </c>
      <c r="G57" s="13">
        <v>0.16975806299999999</v>
      </c>
      <c r="H57" s="12">
        <v>3.51</v>
      </c>
    </row>
    <row r="58" spans="1:8" ht="17.100000000000001" customHeight="1" x14ac:dyDescent="0.2">
      <c r="A58" s="9">
        <v>2</v>
      </c>
      <c r="B58" s="10" t="s">
        <v>224</v>
      </c>
      <c r="C58" s="10" t="s">
        <v>521</v>
      </c>
      <c r="D58" s="10" t="s">
        <v>106</v>
      </c>
      <c r="E58" s="11">
        <v>200000</v>
      </c>
      <c r="F58" s="12">
        <v>199.9632</v>
      </c>
      <c r="G58" s="13">
        <v>2.4332949999999999E-2</v>
      </c>
      <c r="H58" s="12">
        <v>3.35</v>
      </c>
    </row>
    <row r="59" spans="1:8" ht="17.100000000000001" customHeight="1" x14ac:dyDescent="0.2">
      <c r="A59" s="9">
        <v>3</v>
      </c>
      <c r="B59" s="10" t="s">
        <v>225</v>
      </c>
      <c r="C59" s="10" t="s">
        <v>522</v>
      </c>
      <c r="D59" s="10" t="s">
        <v>106</v>
      </c>
      <c r="E59" s="11">
        <v>200000</v>
      </c>
      <c r="F59" s="12">
        <v>199.58500000000001</v>
      </c>
      <c r="G59" s="13">
        <v>2.4286927999999999E-2</v>
      </c>
      <c r="H59" s="12">
        <v>3.3</v>
      </c>
    </row>
    <row r="60" spans="1:8" ht="14.1" customHeight="1" x14ac:dyDescent="0.2">
      <c r="A60" s="1"/>
      <c r="B60" s="1"/>
      <c r="C60" s="2" t="s">
        <v>11</v>
      </c>
      <c r="D60" s="1"/>
      <c r="E60" s="1" t="s">
        <v>12</v>
      </c>
      <c r="F60" s="7">
        <v>1794.5852</v>
      </c>
      <c r="G60" s="8">
        <v>0.21837794099999999</v>
      </c>
      <c r="H60" s="12"/>
    </row>
    <row r="61" spans="1:8" ht="14.1" customHeight="1" x14ac:dyDescent="0.2">
      <c r="A61" s="1"/>
      <c r="B61" s="1"/>
      <c r="C61" s="5"/>
      <c r="D61" s="1"/>
      <c r="E61" s="1"/>
      <c r="F61" s="6"/>
      <c r="G61" s="6"/>
      <c r="H61" s="12"/>
    </row>
    <row r="62" spans="1:8" ht="14.1" customHeight="1" x14ac:dyDescent="0.2">
      <c r="A62" s="1"/>
      <c r="B62" s="1"/>
      <c r="C62" s="2" t="s">
        <v>125</v>
      </c>
      <c r="D62" s="1"/>
      <c r="E62" s="1"/>
      <c r="F62" s="6"/>
      <c r="G62" s="6"/>
      <c r="H62" s="12"/>
    </row>
    <row r="63" spans="1:8" ht="17.100000000000001" customHeight="1" x14ac:dyDescent="0.2">
      <c r="A63" s="9">
        <v>1</v>
      </c>
      <c r="B63" s="10"/>
      <c r="C63" s="10" t="s">
        <v>126</v>
      </c>
      <c r="D63" s="10"/>
      <c r="E63" s="14"/>
      <c r="F63" s="12">
        <v>47.3503629</v>
      </c>
      <c r="G63" s="13">
        <v>5.7619300000000002E-3</v>
      </c>
      <c r="H63" s="12">
        <v>3.2903893505936708</v>
      </c>
    </row>
    <row r="64" spans="1:8" ht="17.100000000000001" customHeight="1" x14ac:dyDescent="0.2">
      <c r="A64" s="9">
        <v>2</v>
      </c>
      <c r="B64" s="10"/>
      <c r="C64" s="10" t="s">
        <v>127</v>
      </c>
      <c r="D64" s="10"/>
      <c r="E64" s="14"/>
      <c r="F64" s="12">
        <v>20.9811455</v>
      </c>
      <c r="G64" s="13">
        <v>2.5531360000000001E-3</v>
      </c>
      <c r="H64" s="12">
        <v>3.2766870282233538</v>
      </c>
    </row>
    <row r="65" spans="1:8" ht="14.1" customHeight="1" x14ac:dyDescent="0.2">
      <c r="A65" s="1"/>
      <c r="B65" s="1"/>
      <c r="C65" s="2" t="s">
        <v>11</v>
      </c>
      <c r="D65" s="1"/>
      <c r="E65" s="1" t="s">
        <v>12</v>
      </c>
      <c r="F65" s="7">
        <v>68.331508400000004</v>
      </c>
      <c r="G65" s="8">
        <v>8.3150659999999994E-3</v>
      </c>
      <c r="H65" s="12"/>
    </row>
    <row r="66" spans="1:8" ht="14.1" customHeight="1" x14ac:dyDescent="0.2">
      <c r="A66" s="1"/>
      <c r="B66" s="1"/>
      <c r="C66" s="5"/>
      <c r="D66" s="1"/>
      <c r="E66" s="1"/>
      <c r="F66" s="6"/>
      <c r="G66" s="6"/>
      <c r="H66" s="12"/>
    </row>
    <row r="67" spans="1:8" ht="14.1" customHeight="1" x14ac:dyDescent="0.2">
      <c r="A67" s="1"/>
      <c r="B67" s="1"/>
      <c r="C67" s="2" t="s">
        <v>128</v>
      </c>
      <c r="D67" s="1"/>
      <c r="E67" s="1"/>
      <c r="F67" s="7">
        <v>1862.9167084000001</v>
      </c>
      <c r="G67" s="8">
        <v>0.226693007</v>
      </c>
      <c r="H67" s="12"/>
    </row>
    <row r="68" spans="1:8" ht="14.1" customHeight="1" x14ac:dyDescent="0.2">
      <c r="A68" s="1"/>
      <c r="B68" s="1"/>
      <c r="C68" s="6"/>
      <c r="D68" s="1"/>
      <c r="E68" s="1"/>
      <c r="F68" s="1"/>
      <c r="G68" s="1"/>
      <c r="H68" s="12"/>
    </row>
    <row r="69" spans="1:8" ht="14.1" customHeight="1" x14ac:dyDescent="0.2">
      <c r="A69" s="1"/>
      <c r="B69" s="1"/>
      <c r="C69" s="2" t="s">
        <v>129</v>
      </c>
      <c r="D69" s="1"/>
      <c r="E69" s="1"/>
      <c r="F69" s="1"/>
      <c r="G69" s="1"/>
      <c r="H69" s="12"/>
    </row>
    <row r="70" spans="1:8" ht="14.1" customHeight="1" x14ac:dyDescent="0.2">
      <c r="A70" s="1"/>
      <c r="B70" s="1"/>
      <c r="C70" s="2" t="s">
        <v>130</v>
      </c>
      <c r="D70" s="1"/>
      <c r="E70" s="1"/>
      <c r="F70" s="1"/>
      <c r="G70" s="1"/>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131</v>
      </c>
      <c r="D73" s="1"/>
      <c r="E73" s="1"/>
      <c r="F73" s="1"/>
      <c r="G73" s="1"/>
      <c r="H73" s="12"/>
    </row>
    <row r="74" spans="1:8" ht="14.1" customHeight="1" x14ac:dyDescent="0.2">
      <c r="A74" s="1"/>
      <c r="B74" s="1"/>
      <c r="C74" s="2" t="s">
        <v>132</v>
      </c>
      <c r="D74" s="1"/>
      <c r="E74" s="1"/>
      <c r="F74" s="1"/>
      <c r="G74" s="1"/>
      <c r="H74" s="12"/>
    </row>
    <row r="75" spans="1:8" ht="14.1" customHeight="1" x14ac:dyDescent="0.2">
      <c r="A75" s="1"/>
      <c r="B75" s="1"/>
      <c r="C75" s="2" t="s">
        <v>11</v>
      </c>
      <c r="D75" s="1"/>
      <c r="E75" s="1" t="s">
        <v>12</v>
      </c>
      <c r="F75" s="3">
        <v>0</v>
      </c>
      <c r="G75" s="4">
        <v>0</v>
      </c>
      <c r="H75" s="12"/>
    </row>
    <row r="76" spans="1:8" ht="14.1" customHeight="1" x14ac:dyDescent="0.2">
      <c r="A76" s="1"/>
      <c r="B76" s="1"/>
      <c r="C76" s="5"/>
      <c r="D76" s="1"/>
      <c r="E76" s="1"/>
      <c r="F76" s="6"/>
      <c r="G76" s="6"/>
      <c r="H76" s="12"/>
    </row>
    <row r="77" spans="1:8" ht="24" customHeight="1" x14ac:dyDescent="0.2">
      <c r="A77" s="1"/>
      <c r="B77" s="1"/>
      <c r="C77" s="2" t="s">
        <v>133</v>
      </c>
      <c r="D77" s="1"/>
      <c r="E77" s="1"/>
      <c r="F77" s="6"/>
      <c r="G77" s="6"/>
      <c r="H77" s="12"/>
    </row>
    <row r="78" spans="1:8" ht="14.1" customHeight="1" x14ac:dyDescent="0.2">
      <c r="A78" s="1"/>
      <c r="B78" s="1"/>
      <c r="C78" s="2" t="s">
        <v>11</v>
      </c>
      <c r="D78" s="1"/>
      <c r="E78" s="1" t="s">
        <v>12</v>
      </c>
      <c r="F78" s="3">
        <v>0</v>
      </c>
      <c r="G78" s="4">
        <v>0</v>
      </c>
      <c r="H78" s="12"/>
    </row>
    <row r="79" spans="1:8" ht="14.1" customHeight="1" x14ac:dyDescent="0.2">
      <c r="A79" s="1"/>
      <c r="B79" s="1"/>
      <c r="C79" s="5"/>
      <c r="D79" s="1"/>
      <c r="E79" s="1"/>
      <c r="F79" s="6"/>
      <c r="G79" s="6"/>
      <c r="H79" s="12"/>
    </row>
    <row r="80" spans="1:8" ht="14.1" customHeight="1" x14ac:dyDescent="0.2">
      <c r="A80" s="1"/>
      <c r="B80" s="10"/>
      <c r="C80" s="10"/>
      <c r="D80" s="2"/>
      <c r="E80" s="1"/>
      <c r="F80" s="10"/>
      <c r="G80" s="14"/>
      <c r="H80" s="12"/>
    </row>
    <row r="81" spans="1:8" ht="18" customHeight="1" x14ac:dyDescent="0.2">
      <c r="A81" s="14"/>
      <c r="B81" s="10"/>
      <c r="C81" s="10" t="s">
        <v>134</v>
      </c>
      <c r="D81" s="10"/>
      <c r="E81" s="14"/>
      <c r="F81" s="12">
        <v>271.29496390999998</v>
      </c>
      <c r="G81" s="13">
        <v>3.3013107999999999E-2</v>
      </c>
      <c r="H81" s="12"/>
    </row>
    <row r="82" spans="1:8" ht="14.1" customHeight="1" x14ac:dyDescent="0.2">
      <c r="A82" s="5"/>
      <c r="B82" s="5"/>
      <c r="C82" s="2" t="s">
        <v>135</v>
      </c>
      <c r="D82" s="6"/>
      <c r="E82" s="6"/>
      <c r="F82" s="7">
        <v>8217.7952123100004</v>
      </c>
      <c r="G82" s="8">
        <v>0.99999999900000003</v>
      </c>
      <c r="H82" s="12"/>
    </row>
    <row r="83" spans="1:8" ht="14.1" customHeight="1" x14ac:dyDescent="0.2">
      <c r="A83" s="15"/>
      <c r="B83" s="15"/>
      <c r="C83" s="15"/>
      <c r="D83" s="16"/>
      <c r="E83" s="16"/>
      <c r="F83" s="16"/>
      <c r="G83" s="16"/>
    </row>
    <row r="84" spans="1:8" ht="17.100000000000001" customHeight="1" x14ac:dyDescent="0.2">
      <c r="A84" s="17"/>
      <c r="B84" s="98" t="s">
        <v>136</v>
      </c>
      <c r="C84" s="98"/>
      <c r="D84" s="98"/>
      <c r="E84" s="98"/>
      <c r="F84" s="98"/>
      <c r="G84" s="19"/>
    </row>
    <row r="85" spans="1:8" ht="17.100000000000001" customHeight="1" x14ac:dyDescent="0.2">
      <c r="A85" s="17"/>
      <c r="B85" s="98" t="s">
        <v>137</v>
      </c>
      <c r="C85" s="98"/>
      <c r="D85" s="98"/>
      <c r="E85" s="98"/>
      <c r="F85" s="98"/>
      <c r="G85" s="19"/>
    </row>
    <row r="86" spans="1:8" ht="14.1" customHeight="1" x14ac:dyDescent="0.2">
      <c r="A86" s="17"/>
      <c r="B86" s="98" t="s">
        <v>12</v>
      </c>
      <c r="C86" s="98"/>
      <c r="D86" s="98"/>
      <c r="E86" s="98"/>
      <c r="F86" s="98"/>
      <c r="G86" s="19"/>
    </row>
    <row r="87" spans="1:8" ht="14.1" customHeight="1" x14ac:dyDescent="0.2">
      <c r="A87" s="17"/>
      <c r="B87" s="17"/>
      <c r="C87" s="17"/>
      <c r="D87" s="19"/>
      <c r="E87" s="19"/>
      <c r="F87" s="19"/>
      <c r="G87" s="19"/>
    </row>
    <row r="88" spans="1:8" ht="14.1" customHeight="1" x14ac:dyDescent="0.2">
      <c r="A88" s="17"/>
      <c r="B88" s="99" t="s">
        <v>138</v>
      </c>
      <c r="C88" s="100"/>
      <c r="D88" s="101"/>
      <c r="E88" s="20"/>
      <c r="F88" s="19"/>
      <c r="G88" s="19"/>
    </row>
    <row r="89" spans="1:8" ht="29.1" customHeight="1" x14ac:dyDescent="0.2">
      <c r="A89" s="17"/>
      <c r="B89" s="95" t="s">
        <v>139</v>
      </c>
      <c r="C89" s="96"/>
      <c r="D89" s="2" t="s">
        <v>140</v>
      </c>
      <c r="E89" s="20"/>
      <c r="F89" s="19"/>
      <c r="G89" s="19"/>
    </row>
    <row r="90" spans="1:8" ht="17.100000000000001" customHeight="1" x14ac:dyDescent="0.2">
      <c r="A90" s="17"/>
      <c r="B90" s="95" t="s">
        <v>141</v>
      </c>
      <c r="C90" s="96"/>
      <c r="D90" s="2" t="s">
        <v>140</v>
      </c>
      <c r="E90" s="20"/>
      <c r="F90" s="19"/>
      <c r="G90" s="19"/>
    </row>
    <row r="91" spans="1:8" ht="17.100000000000001" customHeight="1" x14ac:dyDescent="0.2">
      <c r="A91" s="17"/>
      <c r="B91" s="95" t="s">
        <v>142</v>
      </c>
      <c r="C91" s="96"/>
      <c r="D91" s="6" t="s">
        <v>12</v>
      </c>
      <c r="E91" s="20"/>
      <c r="F91" s="19"/>
      <c r="G91" s="19"/>
    </row>
    <row r="92" spans="1:8" ht="24" customHeight="1" x14ac:dyDescent="0.2">
      <c r="A92" s="21"/>
      <c r="B92" s="22" t="s">
        <v>12</v>
      </c>
      <c r="C92" s="22" t="s">
        <v>143</v>
      </c>
      <c r="D92" s="22" t="s">
        <v>144</v>
      </c>
      <c r="E92" s="21"/>
      <c r="F92" s="21"/>
      <c r="G92" s="21"/>
    </row>
    <row r="93" spans="1:8" ht="18" customHeight="1" x14ac:dyDescent="0.2">
      <c r="A93" s="21"/>
      <c r="B93" s="23" t="s">
        <v>145</v>
      </c>
      <c r="C93" s="22" t="s">
        <v>146</v>
      </c>
      <c r="D93" s="22" t="s">
        <v>147</v>
      </c>
      <c r="E93" s="21"/>
      <c r="F93" s="21"/>
      <c r="G93" s="21"/>
    </row>
    <row r="94" spans="1:8" ht="17.100000000000001" customHeight="1" x14ac:dyDescent="0.2">
      <c r="A94" s="21"/>
      <c r="B94" s="10" t="s">
        <v>148</v>
      </c>
      <c r="C94" s="24">
        <v>12.4855</v>
      </c>
      <c r="D94" s="24">
        <v>12.521800000000001</v>
      </c>
      <c r="E94" s="21"/>
      <c r="F94" s="18"/>
      <c r="G94" s="25"/>
    </row>
    <row r="95" spans="1:8" ht="17.100000000000001" customHeight="1" x14ac:dyDescent="0.2">
      <c r="A95" s="21"/>
      <c r="B95" s="10" t="s">
        <v>149</v>
      </c>
      <c r="C95" s="24">
        <v>12.442500000000001</v>
      </c>
      <c r="D95" s="24">
        <v>12.477499999999999</v>
      </c>
      <c r="E95" s="21"/>
      <c r="F95" s="18"/>
      <c r="G95" s="25"/>
    </row>
    <row r="96" spans="1:8" ht="17.100000000000001" customHeight="1" x14ac:dyDescent="0.2">
      <c r="A96" s="21"/>
      <c r="B96" s="10" t="s">
        <v>613</v>
      </c>
      <c r="C96" s="24">
        <v>12.442399999999999</v>
      </c>
      <c r="D96" s="24">
        <v>12.477499999999999</v>
      </c>
      <c r="E96" s="21"/>
      <c r="F96" s="18"/>
      <c r="G96" s="25"/>
    </row>
    <row r="97" spans="1:16" ht="14.1" customHeight="1" x14ac:dyDescent="0.2">
      <c r="A97" s="21"/>
      <c r="B97" s="21"/>
      <c r="C97" s="21"/>
      <c r="D97" s="21"/>
      <c r="E97" s="21"/>
      <c r="F97" s="21"/>
      <c r="G97" s="21"/>
    </row>
    <row r="98" spans="1:16" ht="17.100000000000001" customHeight="1" x14ac:dyDescent="0.2">
      <c r="A98" s="21"/>
      <c r="B98" s="95" t="s">
        <v>608</v>
      </c>
      <c r="C98" s="96"/>
      <c r="D98" s="2" t="s">
        <v>12</v>
      </c>
      <c r="E98" s="21"/>
      <c r="F98" s="21"/>
      <c r="G98" s="21"/>
    </row>
    <row r="99" spans="1:16" ht="18" customHeight="1" x14ac:dyDescent="0.2">
      <c r="A99" s="21"/>
      <c r="B99" s="33"/>
      <c r="C99" s="33"/>
      <c r="D99" s="33"/>
      <c r="E99" s="21"/>
      <c r="F99" s="21"/>
      <c r="G99" s="21"/>
    </row>
    <row r="100" spans="1:16" x14ac:dyDescent="0.2">
      <c r="A100" s="82"/>
      <c r="B100" s="104" t="s">
        <v>619</v>
      </c>
      <c r="C100" s="104"/>
      <c r="D100" s="104"/>
      <c r="E100" s="104"/>
      <c r="F100" s="104"/>
      <c r="G100" s="82"/>
      <c r="I100" s="58"/>
      <c r="P100" s="58"/>
    </row>
    <row r="101" spans="1:16" ht="14.1" customHeight="1" x14ac:dyDescent="0.2">
      <c r="A101" s="21"/>
      <c r="B101" s="18"/>
      <c r="C101" s="18"/>
      <c r="D101" s="21"/>
      <c r="E101" s="21"/>
      <c r="F101" s="21"/>
      <c r="G101" s="21"/>
      <c r="J101"/>
      <c r="K101"/>
      <c r="L101"/>
      <c r="M101"/>
      <c r="N101"/>
      <c r="O101"/>
    </row>
    <row r="102" spans="1:16" ht="29.1" customHeight="1" x14ac:dyDescent="0.2">
      <c r="A102" s="21"/>
      <c r="B102" s="95" t="s">
        <v>153</v>
      </c>
      <c r="C102" s="96"/>
      <c r="D102" s="2" t="s">
        <v>140</v>
      </c>
      <c r="E102" s="31"/>
      <c r="F102" s="21"/>
      <c r="G102" s="21"/>
    </row>
    <row r="103" spans="1:16" ht="29.1" customHeight="1" x14ac:dyDescent="0.2">
      <c r="A103" s="21"/>
      <c r="B103" s="95" t="s">
        <v>154</v>
      </c>
      <c r="C103" s="96"/>
      <c r="D103" s="2" t="s">
        <v>140</v>
      </c>
      <c r="E103" s="31"/>
      <c r="F103" s="21"/>
      <c r="G103" s="21"/>
    </row>
    <row r="104" spans="1:16" ht="17.100000000000001" customHeight="1" x14ac:dyDescent="0.2">
      <c r="A104" s="21"/>
      <c r="B104" s="95" t="s">
        <v>155</v>
      </c>
      <c r="C104" s="96"/>
      <c r="D104" s="32">
        <v>7.4360738532077669E-2</v>
      </c>
      <c r="E104" s="31"/>
      <c r="F104" s="21"/>
      <c r="G104" s="21"/>
    </row>
    <row r="105" spans="1:16" ht="17.100000000000001" customHeight="1" x14ac:dyDescent="0.2">
      <c r="A105" s="21"/>
      <c r="B105" s="95" t="s">
        <v>156</v>
      </c>
      <c r="C105" s="96"/>
      <c r="D105" s="32">
        <v>7.3364563833206248E-2</v>
      </c>
      <c r="E105" s="31"/>
      <c r="F105" s="21"/>
      <c r="G105" s="21"/>
    </row>
    <row r="106" spans="1:16" ht="17.100000000000001" customHeight="1" x14ac:dyDescent="0.2">
      <c r="A106" s="21"/>
      <c r="B106" s="95" t="s">
        <v>157</v>
      </c>
      <c r="C106" s="96"/>
      <c r="D106" s="2" t="s">
        <v>140</v>
      </c>
      <c r="E106" s="31"/>
      <c r="F106" s="21"/>
      <c r="G106" s="21"/>
    </row>
    <row r="107" spans="1:16" ht="14.1" customHeight="1" x14ac:dyDescent="0.2">
      <c r="A107" s="21"/>
      <c r="B107" s="97"/>
      <c r="C107" s="97"/>
      <c r="D107" s="30"/>
      <c r="E107" s="21"/>
      <c r="F107" s="18"/>
      <c r="G107" s="25"/>
    </row>
  </sheetData>
  <mergeCells count="19">
    <mergeCell ref="J2:N2"/>
    <mergeCell ref="A1:H1"/>
    <mergeCell ref="A2:H2"/>
    <mergeCell ref="A3:H3"/>
    <mergeCell ref="B100:F100"/>
    <mergeCell ref="B102:C102"/>
    <mergeCell ref="B84:F84"/>
    <mergeCell ref="B85:F85"/>
    <mergeCell ref="B86:F86"/>
    <mergeCell ref="B88:D88"/>
    <mergeCell ref="B89:C89"/>
    <mergeCell ref="B90:C90"/>
    <mergeCell ref="B91:C91"/>
    <mergeCell ref="B98:C98"/>
    <mergeCell ref="B103:C103"/>
    <mergeCell ref="B104:C104"/>
    <mergeCell ref="B105:C105"/>
    <mergeCell ref="B106:C106"/>
    <mergeCell ref="B107:C107"/>
  </mergeCell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1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58"/>
  </cols>
  <sheetData>
    <row r="1" spans="1:15" ht="18" customHeight="1" x14ac:dyDescent="0.2">
      <c r="A1" s="103" t="s">
        <v>0</v>
      </c>
      <c r="B1" s="103"/>
      <c r="C1" s="103"/>
      <c r="D1" s="103"/>
      <c r="E1" s="103"/>
      <c r="F1" s="103"/>
      <c r="G1" s="103"/>
      <c r="H1" s="103"/>
    </row>
    <row r="2" spans="1:15" ht="17.100000000000001" customHeight="1" x14ac:dyDescent="0.2">
      <c r="A2" s="103" t="s">
        <v>226</v>
      </c>
      <c r="B2" s="103"/>
      <c r="C2" s="103"/>
      <c r="D2" s="103"/>
      <c r="E2" s="103"/>
      <c r="F2" s="103"/>
      <c r="G2" s="103"/>
      <c r="H2" s="103"/>
      <c r="J2" s="102" t="s">
        <v>627</v>
      </c>
      <c r="K2" s="102"/>
      <c r="L2" s="102"/>
      <c r="M2" s="102"/>
      <c r="N2" s="10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9" t="s">
        <v>641</v>
      </c>
      <c r="K16" s="90"/>
      <c r="L16" s="90"/>
      <c r="M16" s="90"/>
      <c r="N16" s="90"/>
      <c r="O16" s="90"/>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14.1" customHeight="1" x14ac:dyDescent="0.2">
      <c r="A28" s="1"/>
      <c r="B28" s="1"/>
      <c r="C28" s="2" t="s">
        <v>11</v>
      </c>
      <c r="D28" s="1"/>
      <c r="E28" s="1" t="s">
        <v>12</v>
      </c>
      <c r="F28" s="3">
        <v>0</v>
      </c>
      <c r="G28" s="4">
        <v>0</v>
      </c>
      <c r="H28" s="12"/>
    </row>
    <row r="29" spans="1:15" ht="14.1" customHeight="1" x14ac:dyDescent="0.2">
      <c r="A29" s="1"/>
      <c r="B29" s="1"/>
      <c r="C29" s="5"/>
      <c r="D29" s="1"/>
      <c r="E29" s="1"/>
      <c r="F29" s="6"/>
      <c r="G29" s="6"/>
      <c r="H29" s="12"/>
    </row>
    <row r="30" spans="1:15" ht="14.1" customHeight="1" x14ac:dyDescent="0.2">
      <c r="A30" s="1"/>
      <c r="B30" s="1"/>
      <c r="C30" s="2" t="s">
        <v>102</v>
      </c>
      <c r="D30" s="1"/>
      <c r="E30" s="1"/>
      <c r="F30" s="1"/>
      <c r="G30" s="1"/>
      <c r="H30" s="12"/>
    </row>
    <row r="31" spans="1:15" ht="14.1" customHeight="1" x14ac:dyDescent="0.25">
      <c r="A31" s="1"/>
      <c r="B31" s="1"/>
      <c r="C31" s="2" t="s">
        <v>11</v>
      </c>
      <c r="D31" s="1"/>
      <c r="E31" s="1" t="s">
        <v>12</v>
      </c>
      <c r="F31" s="3">
        <v>0</v>
      </c>
      <c r="G31" s="4">
        <v>0</v>
      </c>
      <c r="H31" s="12"/>
      <c r="J31" s="89" t="s">
        <v>642</v>
      </c>
      <c r="K31" s="90"/>
      <c r="L31" s="90"/>
      <c r="M31" s="90"/>
      <c r="N31" s="90"/>
      <c r="O31"/>
    </row>
    <row r="32" spans="1:15" ht="14.1" customHeight="1" x14ac:dyDescent="0.2">
      <c r="A32" s="1"/>
      <c r="B32" s="1"/>
      <c r="C32" s="5"/>
      <c r="D32" s="1"/>
      <c r="E32" s="1"/>
      <c r="F32" s="6"/>
      <c r="G32" s="6"/>
      <c r="H32" s="12"/>
      <c r="O32"/>
    </row>
    <row r="33" spans="1:15" ht="14.1" customHeight="1" x14ac:dyDescent="0.2">
      <c r="A33" s="1"/>
      <c r="B33" s="1"/>
      <c r="C33" s="2" t="s">
        <v>103</v>
      </c>
      <c r="D33" s="1"/>
      <c r="E33" s="1"/>
      <c r="F33" s="1"/>
      <c r="G33" s="1"/>
      <c r="H33" s="12"/>
      <c r="O33"/>
    </row>
    <row r="34" spans="1:15" ht="14.1" customHeight="1" x14ac:dyDescent="0.2">
      <c r="A34" s="1"/>
      <c r="B34" s="1"/>
      <c r="C34" s="2" t="s">
        <v>11</v>
      </c>
      <c r="D34" s="1"/>
      <c r="E34" s="1" t="s">
        <v>12</v>
      </c>
      <c r="F34" s="3">
        <v>0</v>
      </c>
      <c r="G34" s="4">
        <v>0</v>
      </c>
      <c r="H34" s="12"/>
      <c r="O34"/>
    </row>
    <row r="35" spans="1:15" ht="14.1" customHeight="1" x14ac:dyDescent="0.2">
      <c r="A35" s="1"/>
      <c r="B35" s="1"/>
      <c r="C35" s="5"/>
      <c r="D35" s="1"/>
      <c r="E35" s="1"/>
      <c r="F35" s="6"/>
      <c r="G35" s="6"/>
      <c r="H35" s="12"/>
      <c r="O35"/>
    </row>
    <row r="36" spans="1:15" ht="14.1" customHeight="1" x14ac:dyDescent="0.2">
      <c r="A36" s="1"/>
      <c r="B36" s="1"/>
      <c r="C36" s="2" t="s">
        <v>119</v>
      </c>
      <c r="D36" s="1"/>
      <c r="E36" s="1"/>
      <c r="F36" s="6"/>
      <c r="G36" s="6"/>
      <c r="H36" s="12"/>
      <c r="O36"/>
    </row>
    <row r="37" spans="1:15" ht="14.1" customHeight="1" x14ac:dyDescent="0.2">
      <c r="A37" s="1"/>
      <c r="B37" s="1"/>
      <c r="C37" s="2" t="s">
        <v>11</v>
      </c>
      <c r="D37" s="1"/>
      <c r="E37" s="1" t="s">
        <v>12</v>
      </c>
      <c r="F37" s="3">
        <v>0</v>
      </c>
      <c r="G37" s="4">
        <v>0</v>
      </c>
      <c r="H37" s="12"/>
      <c r="O37"/>
    </row>
    <row r="38" spans="1:15" ht="14.1" customHeight="1" x14ac:dyDescent="0.2">
      <c r="A38" s="1"/>
      <c r="B38" s="1"/>
      <c r="C38" s="5"/>
      <c r="D38" s="1"/>
      <c r="E38" s="1"/>
      <c r="F38" s="6"/>
      <c r="G38" s="6"/>
      <c r="H38" s="12"/>
      <c r="O38"/>
    </row>
    <row r="39" spans="1:15" ht="14.1" customHeight="1" x14ac:dyDescent="0.2">
      <c r="A39" s="1"/>
      <c r="B39" s="1"/>
      <c r="C39" s="2" t="s">
        <v>120</v>
      </c>
      <c r="D39" s="1"/>
      <c r="E39" s="1"/>
      <c r="F39" s="7">
        <v>0</v>
      </c>
      <c r="G39" s="8">
        <v>0</v>
      </c>
      <c r="H39" s="12"/>
      <c r="O39"/>
    </row>
    <row r="40" spans="1:15" ht="14.1" customHeight="1" x14ac:dyDescent="0.2">
      <c r="A40" s="1"/>
      <c r="B40" s="1"/>
      <c r="C40" s="5"/>
      <c r="D40" s="1"/>
      <c r="E40" s="1"/>
      <c r="F40" s="6"/>
      <c r="G40" s="6"/>
      <c r="H40" s="12"/>
      <c r="O40"/>
    </row>
    <row r="41" spans="1:15" ht="14.1" customHeight="1" x14ac:dyDescent="0.2">
      <c r="A41" s="1"/>
      <c r="B41" s="1"/>
      <c r="C41" s="2" t="s">
        <v>121</v>
      </c>
      <c r="D41" s="1"/>
      <c r="E41" s="1"/>
      <c r="F41" s="6"/>
      <c r="G41" s="6"/>
      <c r="H41" s="12"/>
      <c r="O41"/>
    </row>
    <row r="42" spans="1:15" ht="14.1" customHeight="1" x14ac:dyDescent="0.2">
      <c r="A42" s="1"/>
      <c r="B42" s="1"/>
      <c r="C42" s="2" t="s">
        <v>122</v>
      </c>
      <c r="D42" s="1"/>
      <c r="E42" s="1"/>
      <c r="F42" s="6"/>
      <c r="G42" s="6"/>
      <c r="H42" s="12"/>
      <c r="O42"/>
    </row>
    <row r="43" spans="1:15" ht="14.1" customHeight="1" x14ac:dyDescent="0.2">
      <c r="A43" s="1"/>
      <c r="B43" s="1"/>
      <c r="C43" s="2" t="s">
        <v>11</v>
      </c>
      <c r="D43" s="1"/>
      <c r="E43" s="1" t="s">
        <v>12</v>
      </c>
      <c r="F43" s="3">
        <v>0</v>
      </c>
      <c r="G43" s="4">
        <v>0</v>
      </c>
      <c r="H43" s="12"/>
      <c r="O43"/>
    </row>
    <row r="44" spans="1:15" ht="14.1" customHeight="1" x14ac:dyDescent="0.2">
      <c r="A44" s="1"/>
      <c r="B44" s="1"/>
      <c r="C44" s="5"/>
      <c r="D44" s="1"/>
      <c r="E44" s="1"/>
      <c r="F44" s="6"/>
      <c r="G44" s="6"/>
      <c r="H44" s="12"/>
      <c r="O44"/>
    </row>
    <row r="45" spans="1:15" ht="14.1" customHeight="1" x14ac:dyDescent="0.2">
      <c r="A45" s="1"/>
      <c r="B45" s="1"/>
      <c r="C45" s="2" t="s">
        <v>123</v>
      </c>
      <c r="D45" s="1"/>
      <c r="E45" s="1"/>
      <c r="F45" s="6"/>
      <c r="G45" s="6"/>
      <c r="H45" s="12"/>
      <c r="O45"/>
    </row>
    <row r="46" spans="1:15" ht="14.1" customHeight="1" x14ac:dyDescent="0.2">
      <c r="A46" s="1"/>
      <c r="B46" s="1"/>
      <c r="C46" s="2" t="s">
        <v>11</v>
      </c>
      <c r="D46" s="1"/>
      <c r="E46" s="1" t="s">
        <v>12</v>
      </c>
      <c r="F46" s="3">
        <v>0</v>
      </c>
      <c r="G46" s="4">
        <v>0</v>
      </c>
      <c r="H46" s="12"/>
      <c r="O46"/>
    </row>
    <row r="47" spans="1:15" ht="14.1" customHeight="1" x14ac:dyDescent="0.2">
      <c r="A47" s="1"/>
      <c r="B47" s="1"/>
      <c r="C47" s="5"/>
      <c r="D47" s="1"/>
      <c r="E47" s="1"/>
      <c r="F47" s="6"/>
      <c r="G47" s="6"/>
      <c r="H47" s="12"/>
    </row>
    <row r="48" spans="1:15" ht="14.1" customHeight="1" x14ac:dyDescent="0.2">
      <c r="A48" s="1"/>
      <c r="B48" s="1"/>
      <c r="C48" s="2" t="s">
        <v>124</v>
      </c>
      <c r="D48" s="1"/>
      <c r="E48" s="1"/>
      <c r="F48" s="6"/>
      <c r="G48" s="6"/>
      <c r="H48" s="12"/>
    </row>
    <row r="49" spans="1:8" ht="17.100000000000001" customHeight="1" x14ac:dyDescent="0.2">
      <c r="A49" s="9">
        <v>1</v>
      </c>
      <c r="B49" s="10" t="s">
        <v>227</v>
      </c>
      <c r="C49" s="10" t="s">
        <v>517</v>
      </c>
      <c r="D49" s="10" t="s">
        <v>106</v>
      </c>
      <c r="E49" s="11">
        <v>2000000</v>
      </c>
      <c r="F49" s="12">
        <v>1971.856</v>
      </c>
      <c r="G49" s="13">
        <v>0.45078639500000001</v>
      </c>
      <c r="H49" s="12">
        <v>4.07</v>
      </c>
    </row>
    <row r="50" spans="1:8" ht="14.1" customHeight="1" x14ac:dyDescent="0.2">
      <c r="A50" s="1"/>
      <c r="B50" s="1"/>
      <c r="C50" s="2" t="s">
        <v>11</v>
      </c>
      <c r="D50" s="1"/>
      <c r="E50" s="1" t="s">
        <v>12</v>
      </c>
      <c r="F50" s="7">
        <v>1971.856</v>
      </c>
      <c r="G50" s="8">
        <v>0.45078639500000001</v>
      </c>
      <c r="H50" s="12"/>
    </row>
    <row r="51" spans="1:8" ht="14.1" customHeight="1" x14ac:dyDescent="0.2">
      <c r="A51" s="1"/>
      <c r="B51" s="1"/>
      <c r="C51" s="5"/>
      <c r="D51" s="1"/>
      <c r="E51" s="1"/>
      <c r="F51" s="6"/>
      <c r="G51" s="6"/>
      <c r="H51" s="12"/>
    </row>
    <row r="52" spans="1:8" ht="14.1" customHeight="1" x14ac:dyDescent="0.2">
      <c r="A52" s="1"/>
      <c r="B52" s="1"/>
      <c r="C52" s="2" t="s">
        <v>125</v>
      </c>
      <c r="D52" s="1"/>
      <c r="E52" s="1"/>
      <c r="F52" s="6"/>
      <c r="G52" s="6"/>
      <c r="H52" s="12"/>
    </row>
    <row r="53" spans="1:8" ht="17.100000000000001" customHeight="1" x14ac:dyDescent="0.2">
      <c r="A53" s="9">
        <v>1</v>
      </c>
      <c r="B53" s="10"/>
      <c r="C53" s="10" t="s">
        <v>126</v>
      </c>
      <c r="D53" s="10"/>
      <c r="E53" s="14"/>
      <c r="F53" s="12">
        <v>1652.0183493</v>
      </c>
      <c r="G53" s="13">
        <v>0.37766824599999999</v>
      </c>
      <c r="H53" s="12">
        <v>3.2903893505936708</v>
      </c>
    </row>
    <row r="54" spans="1:8" ht="17.100000000000001" customHeight="1" x14ac:dyDescent="0.2">
      <c r="A54" s="9">
        <v>2</v>
      </c>
      <c r="B54" s="10"/>
      <c r="C54" s="10" t="s">
        <v>127</v>
      </c>
      <c r="D54" s="10"/>
      <c r="E54" s="14"/>
      <c r="F54" s="12">
        <v>732.01650979999999</v>
      </c>
      <c r="G54" s="13">
        <v>0.16734644100000001</v>
      </c>
      <c r="H54" s="12">
        <v>3.2766870282233538</v>
      </c>
    </row>
    <row r="55" spans="1:8" ht="14.1" customHeight="1" x14ac:dyDescent="0.2">
      <c r="A55" s="1"/>
      <c r="B55" s="1"/>
      <c r="C55" s="2" t="s">
        <v>11</v>
      </c>
      <c r="D55" s="1"/>
      <c r="E55" s="1" t="s">
        <v>12</v>
      </c>
      <c r="F55" s="7">
        <v>2384.0348591000002</v>
      </c>
      <c r="G55" s="8">
        <v>0.545014687</v>
      </c>
      <c r="H55" s="12"/>
    </row>
    <row r="56" spans="1:8" ht="14.1" customHeight="1" x14ac:dyDescent="0.2">
      <c r="A56" s="1"/>
      <c r="B56" s="1"/>
      <c r="C56" s="5"/>
      <c r="D56" s="1"/>
      <c r="E56" s="1"/>
      <c r="F56" s="6"/>
      <c r="G56" s="6"/>
      <c r="H56" s="12"/>
    </row>
    <row r="57" spans="1:8" ht="14.1" customHeight="1" x14ac:dyDescent="0.2">
      <c r="A57" s="1"/>
      <c r="B57" s="1"/>
      <c r="C57" s="2" t="s">
        <v>128</v>
      </c>
      <c r="D57" s="1"/>
      <c r="E57" s="1"/>
      <c r="F57" s="7">
        <v>4355.8908590999999</v>
      </c>
      <c r="G57" s="8">
        <v>0.99580108199999995</v>
      </c>
      <c r="H57" s="12"/>
    </row>
    <row r="58" spans="1:8" ht="14.1" customHeight="1" x14ac:dyDescent="0.2">
      <c r="A58" s="1"/>
      <c r="B58" s="1"/>
      <c r="C58" s="6"/>
      <c r="D58" s="1"/>
      <c r="E58" s="1"/>
      <c r="F58" s="1"/>
      <c r="G58" s="1"/>
      <c r="H58" s="12"/>
    </row>
    <row r="59" spans="1:8" ht="14.1" customHeight="1" x14ac:dyDescent="0.2">
      <c r="A59" s="1"/>
      <c r="B59" s="1"/>
      <c r="C59" s="2" t="s">
        <v>129</v>
      </c>
      <c r="D59" s="1"/>
      <c r="E59" s="1"/>
      <c r="F59" s="1"/>
      <c r="G59" s="1"/>
      <c r="H59" s="12"/>
    </row>
    <row r="60" spans="1:8" ht="14.1" customHeight="1" x14ac:dyDescent="0.2">
      <c r="A60" s="1"/>
      <c r="B60" s="1"/>
      <c r="C60" s="2" t="s">
        <v>130</v>
      </c>
      <c r="D60" s="1"/>
      <c r="E60" s="1"/>
      <c r="F60" s="1"/>
      <c r="G60" s="1"/>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131</v>
      </c>
      <c r="D63" s="1"/>
      <c r="E63" s="1"/>
      <c r="F63" s="1"/>
      <c r="G63" s="1"/>
      <c r="H63" s="12"/>
    </row>
    <row r="64" spans="1:8" ht="14.1" customHeight="1" x14ac:dyDescent="0.2">
      <c r="A64" s="1"/>
      <c r="B64" s="1"/>
      <c r="C64" s="2" t="s">
        <v>132</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24" customHeight="1" x14ac:dyDescent="0.2">
      <c r="A67" s="1"/>
      <c r="B67" s="1"/>
      <c r="C67" s="2" t="s">
        <v>133</v>
      </c>
      <c r="D67" s="1"/>
      <c r="E67" s="1"/>
      <c r="F67" s="6"/>
      <c r="G67" s="6"/>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0"/>
      <c r="C70" s="10"/>
      <c r="D70" s="2"/>
      <c r="E70" s="1"/>
      <c r="F70" s="10"/>
      <c r="G70" s="14"/>
      <c r="H70" s="12"/>
    </row>
    <row r="71" spans="1:8" ht="18" customHeight="1" x14ac:dyDescent="0.2">
      <c r="A71" s="14"/>
      <c r="B71" s="10"/>
      <c r="C71" s="10" t="s">
        <v>134</v>
      </c>
      <c r="D71" s="10"/>
      <c r="E71" s="14"/>
      <c r="F71" s="12">
        <v>18.367151329999999</v>
      </c>
      <c r="G71" s="13">
        <v>4.1989180000000003E-3</v>
      </c>
      <c r="H71" s="12"/>
    </row>
    <row r="72" spans="1:8" ht="14.1" customHeight="1" x14ac:dyDescent="0.2">
      <c r="A72" s="5"/>
      <c r="B72" s="5"/>
      <c r="C72" s="2" t="s">
        <v>135</v>
      </c>
      <c r="D72" s="6"/>
      <c r="E72" s="6"/>
      <c r="F72" s="7">
        <v>4374.2580104299996</v>
      </c>
      <c r="G72" s="8">
        <v>1</v>
      </c>
      <c r="H72" s="12"/>
    </row>
    <row r="73" spans="1:8" ht="14.1" customHeight="1" x14ac:dyDescent="0.2">
      <c r="A73" s="15"/>
      <c r="B73" s="15"/>
      <c r="C73" s="15"/>
      <c r="D73" s="16"/>
      <c r="E73" s="16"/>
      <c r="F73" s="16"/>
      <c r="G73" s="16"/>
    </row>
    <row r="74" spans="1:8" ht="17.100000000000001" customHeight="1" x14ac:dyDescent="0.2">
      <c r="A74" s="17"/>
      <c r="B74" s="98" t="s">
        <v>136</v>
      </c>
      <c r="C74" s="98"/>
      <c r="D74" s="98"/>
      <c r="E74" s="98"/>
      <c r="F74" s="98"/>
      <c r="G74" s="19"/>
    </row>
    <row r="75" spans="1:8" ht="17.100000000000001" customHeight="1" x14ac:dyDescent="0.2">
      <c r="A75" s="17"/>
      <c r="B75" s="98" t="s">
        <v>137</v>
      </c>
      <c r="C75" s="98"/>
      <c r="D75" s="98"/>
      <c r="E75" s="98"/>
      <c r="F75" s="98"/>
      <c r="G75" s="19"/>
    </row>
    <row r="76" spans="1:8" ht="14.1" customHeight="1" x14ac:dyDescent="0.2">
      <c r="A76" s="17"/>
      <c r="B76" s="98" t="s">
        <v>12</v>
      </c>
      <c r="C76" s="98"/>
      <c r="D76" s="98"/>
      <c r="E76" s="98"/>
      <c r="F76" s="98"/>
      <c r="G76" s="19"/>
    </row>
    <row r="77" spans="1:8" ht="14.1" customHeight="1" x14ac:dyDescent="0.2">
      <c r="A77" s="17"/>
      <c r="B77" s="17"/>
      <c r="C77" s="17"/>
      <c r="D77" s="19"/>
      <c r="E77" s="19"/>
      <c r="F77" s="19"/>
      <c r="G77" s="19"/>
    </row>
    <row r="78" spans="1:8" ht="14.1" customHeight="1" x14ac:dyDescent="0.2">
      <c r="A78" s="17"/>
      <c r="B78" s="99" t="s">
        <v>138</v>
      </c>
      <c r="C78" s="100"/>
      <c r="D78" s="101"/>
      <c r="E78" s="20"/>
      <c r="F78" s="19"/>
      <c r="G78" s="19"/>
    </row>
    <row r="79" spans="1:8" ht="29.1" customHeight="1" x14ac:dyDescent="0.2">
      <c r="A79" s="17"/>
      <c r="B79" s="95" t="s">
        <v>139</v>
      </c>
      <c r="C79" s="96"/>
      <c r="D79" s="2" t="s">
        <v>140</v>
      </c>
      <c r="E79" s="20"/>
      <c r="F79" s="19"/>
      <c r="G79" s="19"/>
    </row>
    <row r="80" spans="1:8" ht="17.100000000000001" customHeight="1" x14ac:dyDescent="0.2">
      <c r="A80" s="17"/>
      <c r="B80" s="95" t="s">
        <v>141</v>
      </c>
      <c r="C80" s="96"/>
      <c r="D80" s="2" t="s">
        <v>140</v>
      </c>
      <c r="E80" s="20"/>
      <c r="F80" s="19"/>
      <c r="G80" s="19"/>
    </row>
    <row r="81" spans="1:7" ht="17.100000000000001" customHeight="1" x14ac:dyDescent="0.2">
      <c r="A81" s="17"/>
      <c r="B81" s="95" t="s">
        <v>142</v>
      </c>
      <c r="C81" s="96"/>
      <c r="D81" s="6" t="s">
        <v>12</v>
      </c>
      <c r="E81" s="20"/>
      <c r="F81" s="19"/>
      <c r="G81" s="19"/>
    </row>
    <row r="82" spans="1:7" ht="24" customHeight="1" x14ac:dyDescent="0.2">
      <c r="A82" s="21"/>
      <c r="B82" s="22" t="s">
        <v>12</v>
      </c>
      <c r="C82" s="22" t="s">
        <v>143</v>
      </c>
      <c r="D82" s="22" t="s">
        <v>144</v>
      </c>
      <c r="E82" s="21"/>
      <c r="F82" s="21"/>
      <c r="G82" s="21"/>
    </row>
    <row r="83" spans="1:7" ht="18" customHeight="1" x14ac:dyDescent="0.2">
      <c r="A83" s="21"/>
      <c r="B83" s="23" t="s">
        <v>145</v>
      </c>
      <c r="C83" s="22" t="s">
        <v>146</v>
      </c>
      <c r="D83" s="22" t="s">
        <v>147</v>
      </c>
      <c r="E83" s="21"/>
      <c r="F83" s="21"/>
      <c r="G83" s="21"/>
    </row>
    <row r="84" spans="1:7" ht="17.100000000000001" customHeight="1" x14ac:dyDescent="0.2">
      <c r="A84" s="21"/>
      <c r="B84" s="10" t="s">
        <v>148</v>
      </c>
      <c r="C84" s="24">
        <v>12.046200000000001</v>
      </c>
      <c r="D84" s="24">
        <v>12.079499999999999</v>
      </c>
      <c r="E84" s="21"/>
      <c r="F84" s="18"/>
      <c r="G84" s="25"/>
    </row>
    <row r="85" spans="1:7" ht="29.1" customHeight="1" x14ac:dyDescent="0.2">
      <c r="A85" s="21"/>
      <c r="B85" s="10" t="s">
        <v>609</v>
      </c>
      <c r="C85" s="24">
        <v>10.061999999999999</v>
      </c>
      <c r="D85" s="24">
        <v>10.061999999999999</v>
      </c>
      <c r="E85" s="21"/>
      <c r="F85" s="18"/>
      <c r="G85" s="25"/>
    </row>
    <row r="86" spans="1:7" ht="29.1" customHeight="1" x14ac:dyDescent="0.2">
      <c r="A86" s="21"/>
      <c r="B86" s="10" t="s">
        <v>614</v>
      </c>
      <c r="C86" s="24">
        <v>10.485099999999999</v>
      </c>
      <c r="D86" s="24">
        <v>10.4857</v>
      </c>
      <c r="E86" s="21"/>
      <c r="F86" s="18"/>
      <c r="G86" s="25"/>
    </row>
    <row r="87" spans="1:7" ht="29.1" customHeight="1" x14ac:dyDescent="0.2">
      <c r="A87" s="21"/>
      <c r="B87" s="10" t="s">
        <v>600</v>
      </c>
      <c r="C87" s="24">
        <v>11.1625</v>
      </c>
      <c r="D87" s="24">
        <v>11.1624</v>
      </c>
      <c r="E87" s="21"/>
      <c r="F87" s="18"/>
      <c r="G87" s="25"/>
    </row>
    <row r="88" spans="1:7" ht="29.1" customHeight="1" x14ac:dyDescent="0.2">
      <c r="A88" s="21"/>
      <c r="B88" s="10" t="s">
        <v>601</v>
      </c>
      <c r="C88" s="24">
        <v>11.194900000000001</v>
      </c>
      <c r="D88" s="24">
        <v>11.2258</v>
      </c>
      <c r="E88" s="21"/>
      <c r="F88" s="18"/>
      <c r="G88" s="25"/>
    </row>
    <row r="89" spans="1:7" ht="17.100000000000001" customHeight="1" x14ac:dyDescent="0.2">
      <c r="A89" s="21"/>
      <c r="B89" s="10" t="s">
        <v>149</v>
      </c>
      <c r="C89" s="24">
        <v>12.0078</v>
      </c>
      <c r="D89" s="24">
        <v>12.040100000000001</v>
      </c>
      <c r="E89" s="21"/>
      <c r="F89" s="18"/>
      <c r="G89" s="25"/>
    </row>
    <row r="90" spans="1:7" ht="29.1" customHeight="1" x14ac:dyDescent="0.2">
      <c r="A90" s="21"/>
      <c r="B90" s="10" t="s">
        <v>611</v>
      </c>
      <c r="C90" s="24">
        <v>10.061999999999999</v>
      </c>
      <c r="D90" s="24">
        <v>10.061999999999999</v>
      </c>
      <c r="E90" s="21"/>
      <c r="F90" s="18"/>
      <c r="G90" s="25"/>
    </row>
    <row r="91" spans="1:7" ht="29.1" customHeight="1" x14ac:dyDescent="0.2">
      <c r="A91" s="21"/>
      <c r="B91" s="10" t="s">
        <v>612</v>
      </c>
      <c r="C91" s="24">
        <v>10.482799999999999</v>
      </c>
      <c r="D91" s="24">
        <v>10.4834</v>
      </c>
      <c r="E91" s="21"/>
      <c r="F91" s="18"/>
      <c r="G91" s="25"/>
    </row>
    <row r="92" spans="1:7" ht="29.1" customHeight="1" x14ac:dyDescent="0.2">
      <c r="A92" s="21"/>
      <c r="B92" s="10" t="s">
        <v>604</v>
      </c>
      <c r="C92" s="24">
        <v>11.1416</v>
      </c>
      <c r="D92" s="24">
        <v>11.1418</v>
      </c>
      <c r="E92" s="21"/>
      <c r="F92" s="18"/>
      <c r="G92" s="25"/>
    </row>
    <row r="93" spans="1:7" ht="29.1" customHeight="1" x14ac:dyDescent="0.2">
      <c r="A93" s="21"/>
      <c r="B93" s="10" t="s">
        <v>605</v>
      </c>
      <c r="C93" s="24">
        <v>11.1585</v>
      </c>
      <c r="D93" s="24">
        <v>11.188499999999999</v>
      </c>
      <c r="E93" s="21"/>
      <c r="F93" s="18"/>
      <c r="G93" s="25"/>
    </row>
    <row r="94" spans="1:7" ht="14.1" customHeight="1" x14ac:dyDescent="0.2">
      <c r="A94" s="21"/>
      <c r="B94" s="21"/>
      <c r="C94" s="21"/>
      <c r="D94" s="21"/>
      <c r="E94" s="21"/>
      <c r="F94" s="21"/>
      <c r="G94" s="21"/>
    </row>
    <row r="95" spans="1:7" ht="17.100000000000001" customHeight="1" x14ac:dyDescent="0.2">
      <c r="A95" s="21"/>
      <c r="B95" s="95" t="s">
        <v>608</v>
      </c>
      <c r="C95" s="96"/>
      <c r="D95" s="2" t="s">
        <v>12</v>
      </c>
      <c r="E95" s="21"/>
      <c r="F95" s="21"/>
      <c r="G95" s="21"/>
    </row>
    <row r="96" spans="1:7" ht="18" customHeight="1" x14ac:dyDescent="0.2">
      <c r="A96" s="21"/>
      <c r="B96" s="26" t="s">
        <v>145</v>
      </c>
      <c r="C96" s="27" t="s">
        <v>150</v>
      </c>
      <c r="D96" s="27" t="s">
        <v>151</v>
      </c>
      <c r="E96" s="21"/>
      <c r="F96" s="21"/>
      <c r="G96" s="21"/>
    </row>
    <row r="97" spans="1:16" ht="29.1" customHeight="1" x14ac:dyDescent="0.2">
      <c r="A97" s="21"/>
      <c r="B97" s="10" t="s">
        <v>609</v>
      </c>
      <c r="C97" s="28">
        <v>2.7713000000000002E-2</v>
      </c>
      <c r="D97" s="14" t="s">
        <v>152</v>
      </c>
      <c r="E97" s="21"/>
      <c r="F97" s="18"/>
      <c r="G97" s="25"/>
    </row>
    <row r="98" spans="1:16" ht="29.1" customHeight="1" x14ac:dyDescent="0.2">
      <c r="A98" s="21"/>
      <c r="B98" s="10" t="s">
        <v>614</v>
      </c>
      <c r="C98" s="28">
        <v>2.8299999999999999E-2</v>
      </c>
      <c r="D98" s="14" t="s">
        <v>152</v>
      </c>
      <c r="E98" s="21"/>
      <c r="F98" s="18"/>
      <c r="G98" s="25"/>
    </row>
    <row r="99" spans="1:16" ht="29.1" customHeight="1" x14ac:dyDescent="0.2">
      <c r="A99" s="21"/>
      <c r="B99" s="10" t="s">
        <v>600</v>
      </c>
      <c r="C99" s="28">
        <v>3.0499999999999999E-2</v>
      </c>
      <c r="D99" s="14" t="s">
        <v>152</v>
      </c>
      <c r="E99" s="21"/>
      <c r="F99" s="18"/>
      <c r="G99" s="25"/>
    </row>
    <row r="100" spans="1:16" ht="29.1" customHeight="1" x14ac:dyDescent="0.2">
      <c r="A100" s="21"/>
      <c r="B100" s="10" t="s">
        <v>611</v>
      </c>
      <c r="C100" s="28">
        <v>2.7074000000000001E-2</v>
      </c>
      <c r="D100" s="14" t="s">
        <v>152</v>
      </c>
      <c r="E100" s="21"/>
      <c r="F100" s="18"/>
      <c r="G100" s="25"/>
    </row>
    <row r="101" spans="1:16" ht="29.1" customHeight="1" x14ac:dyDescent="0.2">
      <c r="A101" s="21"/>
      <c r="B101" s="10" t="s">
        <v>612</v>
      </c>
      <c r="C101" s="28">
        <v>2.76E-2</v>
      </c>
      <c r="D101" s="14" t="s">
        <v>152</v>
      </c>
      <c r="E101" s="21"/>
      <c r="F101" s="18"/>
      <c r="G101" s="25"/>
    </row>
    <row r="102" spans="1:16" ht="29.1" customHeight="1" x14ac:dyDescent="0.2">
      <c r="A102" s="21"/>
      <c r="B102" s="10" t="s">
        <v>604</v>
      </c>
      <c r="C102" s="28">
        <v>2.98E-2</v>
      </c>
      <c r="D102" s="14" t="s">
        <v>152</v>
      </c>
      <c r="E102" s="21"/>
      <c r="F102" s="18"/>
      <c r="G102" s="25"/>
    </row>
    <row r="103" spans="1:16" ht="14.1" customHeight="1" x14ac:dyDescent="0.2">
      <c r="A103" s="21"/>
      <c r="B103" s="29"/>
      <c r="C103" s="29"/>
      <c r="D103" s="30"/>
      <c r="E103" s="21"/>
      <c r="F103" s="18"/>
      <c r="G103" s="25"/>
    </row>
    <row r="104" spans="1:16" x14ac:dyDescent="0.2">
      <c r="A104" s="82"/>
      <c r="B104" s="104" t="s">
        <v>619</v>
      </c>
      <c r="C104" s="104"/>
      <c r="D104" s="104"/>
      <c r="E104" s="104"/>
      <c r="F104" s="104"/>
      <c r="G104" s="82"/>
      <c r="I104" s="58"/>
      <c r="P104" s="58"/>
    </row>
    <row r="105" spans="1:16" ht="14.1" customHeight="1" x14ac:dyDescent="0.2">
      <c r="A105" s="21"/>
      <c r="B105" s="18"/>
      <c r="C105" s="18"/>
      <c r="D105" s="21"/>
      <c r="E105" s="21"/>
      <c r="F105" s="21"/>
      <c r="G105" s="21"/>
    </row>
    <row r="106" spans="1:16" ht="29.1" customHeight="1" x14ac:dyDescent="0.2">
      <c r="A106" s="21"/>
      <c r="B106" s="95" t="s">
        <v>153</v>
      </c>
      <c r="C106" s="96"/>
      <c r="D106" s="2" t="s">
        <v>140</v>
      </c>
      <c r="E106" s="31"/>
      <c r="F106" s="21"/>
      <c r="G106" s="21"/>
    </row>
    <row r="107" spans="1:16" ht="29.1" customHeight="1" x14ac:dyDescent="0.2">
      <c r="A107" s="21"/>
      <c r="B107" s="95" t="s">
        <v>154</v>
      </c>
      <c r="C107" s="96"/>
      <c r="D107" s="2" t="s">
        <v>140</v>
      </c>
      <c r="E107" s="31"/>
      <c r="F107" s="21"/>
      <c r="G107" s="21"/>
    </row>
    <row r="108" spans="1:16" ht="17.100000000000001" customHeight="1" x14ac:dyDescent="0.2">
      <c r="A108" s="21"/>
      <c r="B108" s="95" t="s">
        <v>155</v>
      </c>
      <c r="C108" s="96"/>
      <c r="D108" s="32">
        <v>0.1577752383053623</v>
      </c>
      <c r="E108" s="31"/>
      <c r="F108" s="21"/>
      <c r="G108" s="21"/>
    </row>
    <row r="109" spans="1:16" ht="17.100000000000001" customHeight="1" x14ac:dyDescent="0.2">
      <c r="A109" s="21"/>
      <c r="B109" s="95" t="s">
        <v>156</v>
      </c>
      <c r="C109" s="96"/>
      <c r="D109" s="32">
        <v>0.1577752383053623</v>
      </c>
      <c r="E109" s="31"/>
      <c r="F109" s="21"/>
      <c r="G109" s="21"/>
      <c r="J109"/>
      <c r="K109"/>
      <c r="L109"/>
      <c r="M109"/>
      <c r="N109"/>
      <c r="O109"/>
    </row>
    <row r="110" spans="1:16" ht="17.100000000000001" customHeight="1" x14ac:dyDescent="0.2">
      <c r="A110" s="21"/>
      <c r="B110" s="95" t="s">
        <v>157</v>
      </c>
      <c r="C110" s="96"/>
      <c r="D110" s="2" t="s">
        <v>140</v>
      </c>
      <c r="E110" s="31"/>
      <c r="F110" s="21"/>
      <c r="G110" s="21"/>
    </row>
    <row r="111" spans="1:16" ht="14.1" customHeight="1" x14ac:dyDescent="0.2">
      <c r="A111" s="21"/>
      <c r="B111" s="97"/>
      <c r="C111" s="97"/>
      <c r="D111" s="30"/>
      <c r="E111" s="21"/>
      <c r="F111" s="18"/>
      <c r="G111" s="25"/>
    </row>
  </sheetData>
  <mergeCells count="19">
    <mergeCell ref="J2:N2"/>
    <mergeCell ref="A1:H1"/>
    <mergeCell ref="A2:H2"/>
    <mergeCell ref="A3:H3"/>
    <mergeCell ref="B104:F104"/>
    <mergeCell ref="B106:C106"/>
    <mergeCell ref="B74:F74"/>
    <mergeCell ref="B75:F75"/>
    <mergeCell ref="B76:F76"/>
    <mergeCell ref="B78:D78"/>
    <mergeCell ref="B79:C79"/>
    <mergeCell ref="B80:C80"/>
    <mergeCell ref="B81:C81"/>
    <mergeCell ref="B95:C95"/>
    <mergeCell ref="B107:C107"/>
    <mergeCell ref="B108:C108"/>
    <mergeCell ref="B109:C109"/>
    <mergeCell ref="B110:C110"/>
    <mergeCell ref="B111:C11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8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58"/>
  </cols>
  <sheetData>
    <row r="1" spans="1:15" ht="18" customHeight="1" x14ac:dyDescent="0.2">
      <c r="A1" s="103" t="s">
        <v>0</v>
      </c>
      <c r="B1" s="103"/>
      <c r="C1" s="103"/>
      <c r="D1" s="103"/>
      <c r="E1" s="103"/>
      <c r="F1" s="103"/>
      <c r="G1" s="103"/>
      <c r="H1" s="103"/>
    </row>
    <row r="2" spans="1:15" ht="17.100000000000001" customHeight="1" x14ac:dyDescent="0.2">
      <c r="A2" s="103" t="s">
        <v>621</v>
      </c>
      <c r="B2" s="103"/>
      <c r="C2" s="103"/>
      <c r="D2" s="103"/>
      <c r="E2" s="103"/>
      <c r="F2" s="103"/>
      <c r="G2" s="103"/>
      <c r="H2" s="103"/>
      <c r="J2" s="102" t="s">
        <v>627</v>
      </c>
      <c r="K2" s="102"/>
      <c r="L2" s="102"/>
      <c r="M2" s="102"/>
      <c r="N2" s="10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9" t="s">
        <v>639</v>
      </c>
      <c r="K16" s="90"/>
      <c r="L16" s="90"/>
      <c r="M16" s="90"/>
      <c r="N16" s="90"/>
      <c r="O16" s="90"/>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229</v>
      </c>
      <c r="C28" s="10" t="s">
        <v>230</v>
      </c>
      <c r="D28" s="10" t="s">
        <v>591</v>
      </c>
      <c r="E28" s="11">
        <v>300</v>
      </c>
      <c r="F28" s="12">
        <v>2998.1190000000001</v>
      </c>
      <c r="G28" s="13">
        <v>5.7046632E-2</v>
      </c>
      <c r="H28" s="12">
        <v>4.63</v>
      </c>
    </row>
    <row r="29" spans="1:15" ht="29.1" customHeight="1" x14ac:dyDescent="0.25">
      <c r="A29" s="9">
        <v>2</v>
      </c>
      <c r="B29" s="10" t="s">
        <v>231</v>
      </c>
      <c r="C29" s="10" t="s">
        <v>232</v>
      </c>
      <c r="D29" s="10" t="s">
        <v>22</v>
      </c>
      <c r="E29" s="11">
        <v>250</v>
      </c>
      <c r="F29" s="12">
        <v>2504.2424999999998</v>
      </c>
      <c r="G29" s="13">
        <v>4.7649410000000003E-2</v>
      </c>
      <c r="H29" s="12">
        <v>3.6850000000000001</v>
      </c>
      <c r="J29" s="89" t="s">
        <v>640</v>
      </c>
      <c r="K29" s="90"/>
      <c r="L29" s="90"/>
      <c r="M29" s="90"/>
      <c r="N29" s="90"/>
      <c r="O29"/>
    </row>
    <row r="30" spans="1:15" ht="51" x14ac:dyDescent="0.2">
      <c r="A30" s="9">
        <v>3</v>
      </c>
      <c r="B30" s="10" t="s">
        <v>233</v>
      </c>
      <c r="C30" s="10" t="s">
        <v>625</v>
      </c>
      <c r="D30" s="10" t="s">
        <v>592</v>
      </c>
      <c r="E30" s="11">
        <v>200</v>
      </c>
      <c r="F30" s="12">
        <v>2007.52</v>
      </c>
      <c r="G30" s="13">
        <v>3.8198034999999998E-2</v>
      </c>
      <c r="H30" s="12">
        <v>4.3650000000000002</v>
      </c>
      <c r="O30"/>
    </row>
    <row r="31" spans="1:15" ht="29.1" customHeight="1" x14ac:dyDescent="0.2">
      <c r="A31" s="9">
        <v>4</v>
      </c>
      <c r="B31" s="10" t="s">
        <v>234</v>
      </c>
      <c r="C31" s="10" t="s">
        <v>235</v>
      </c>
      <c r="D31" s="10" t="s">
        <v>593</v>
      </c>
      <c r="E31" s="11">
        <v>225558</v>
      </c>
      <c r="F31" s="12">
        <v>1906.4320050599999</v>
      </c>
      <c r="G31" s="13">
        <v>3.6274585999999998E-2</v>
      </c>
      <c r="H31" s="12">
        <v>10.68</v>
      </c>
      <c r="O31"/>
    </row>
    <row r="32" spans="1:15" ht="17.100000000000001" customHeight="1" x14ac:dyDescent="0.2">
      <c r="A32" s="9">
        <v>5</v>
      </c>
      <c r="B32" s="10" t="s">
        <v>236</v>
      </c>
      <c r="C32" s="10" t="s">
        <v>237</v>
      </c>
      <c r="D32" s="10" t="s">
        <v>238</v>
      </c>
      <c r="E32" s="11">
        <v>100</v>
      </c>
      <c r="F32" s="12">
        <v>1841.84</v>
      </c>
      <c r="G32" s="13">
        <v>3.5045563000000002E-2</v>
      </c>
      <c r="H32" s="12">
        <v>4.21</v>
      </c>
      <c r="O32"/>
    </row>
    <row r="33" spans="1:15" ht="29.1" customHeight="1" x14ac:dyDescent="0.2">
      <c r="A33" s="9">
        <v>6</v>
      </c>
      <c r="B33" s="10" t="s">
        <v>211</v>
      </c>
      <c r="C33" s="10" t="s">
        <v>212</v>
      </c>
      <c r="D33" s="10" t="s">
        <v>22</v>
      </c>
      <c r="E33" s="11">
        <v>150</v>
      </c>
      <c r="F33" s="12">
        <v>1503.1079999999999</v>
      </c>
      <c r="G33" s="13">
        <v>2.8600349000000001E-2</v>
      </c>
      <c r="H33" s="12">
        <v>3.6850000000000001</v>
      </c>
      <c r="O33"/>
    </row>
    <row r="34" spans="1:15" ht="29.1" customHeight="1" x14ac:dyDescent="0.2">
      <c r="A34" s="9">
        <v>7</v>
      </c>
      <c r="B34" s="10" t="s">
        <v>41</v>
      </c>
      <c r="C34" s="10" t="s">
        <v>42</v>
      </c>
      <c r="D34" s="10" t="s">
        <v>22</v>
      </c>
      <c r="E34" s="11">
        <v>100</v>
      </c>
      <c r="F34" s="12">
        <v>1038.8969999999999</v>
      </c>
      <c r="G34" s="13">
        <v>1.9767586E-2</v>
      </c>
      <c r="H34" s="12">
        <v>5.2</v>
      </c>
      <c r="O34"/>
    </row>
    <row r="35" spans="1:15" ht="29.1" customHeight="1" x14ac:dyDescent="0.2">
      <c r="A35" s="9">
        <v>8</v>
      </c>
      <c r="B35" s="10" t="s">
        <v>239</v>
      </c>
      <c r="C35" s="10" t="s">
        <v>240</v>
      </c>
      <c r="D35" s="10" t="s">
        <v>22</v>
      </c>
      <c r="E35" s="11">
        <v>100</v>
      </c>
      <c r="F35" s="12">
        <v>1017.622</v>
      </c>
      <c r="G35" s="13">
        <v>1.9362776000000002E-2</v>
      </c>
      <c r="H35" s="12">
        <v>4.9474999999999998</v>
      </c>
      <c r="O35"/>
    </row>
    <row r="36" spans="1:15" ht="29.1" customHeight="1" x14ac:dyDescent="0.2">
      <c r="A36" s="9">
        <v>9</v>
      </c>
      <c r="B36" s="10" t="s">
        <v>241</v>
      </c>
      <c r="C36" s="10" t="s">
        <v>242</v>
      </c>
      <c r="D36" s="10" t="s">
        <v>22</v>
      </c>
      <c r="E36" s="11">
        <v>100</v>
      </c>
      <c r="F36" s="12">
        <v>1013.76</v>
      </c>
      <c r="G36" s="13">
        <v>1.9289292E-2</v>
      </c>
      <c r="H36" s="12">
        <v>4.0449999999999999</v>
      </c>
      <c r="O36"/>
    </row>
    <row r="37" spans="1:15" ht="29.1" customHeight="1" x14ac:dyDescent="0.2">
      <c r="A37" s="9">
        <v>10</v>
      </c>
      <c r="B37" s="10" t="s">
        <v>31</v>
      </c>
      <c r="C37" s="10" t="s">
        <v>32</v>
      </c>
      <c r="D37" s="10" t="s">
        <v>22</v>
      </c>
      <c r="E37" s="11">
        <v>100</v>
      </c>
      <c r="F37" s="12">
        <v>1006.204</v>
      </c>
      <c r="G37" s="13">
        <v>1.9145520999999999E-2</v>
      </c>
      <c r="H37" s="12">
        <v>5.3289</v>
      </c>
      <c r="O37"/>
    </row>
    <row r="38" spans="1:15" ht="29.1" customHeight="1" x14ac:dyDescent="0.2">
      <c r="A38" s="9">
        <v>11</v>
      </c>
      <c r="B38" s="10" t="s">
        <v>243</v>
      </c>
      <c r="C38" s="10" t="s">
        <v>244</v>
      </c>
      <c r="D38" s="10" t="s">
        <v>22</v>
      </c>
      <c r="E38" s="11">
        <v>100</v>
      </c>
      <c r="F38" s="12">
        <v>1001.679</v>
      </c>
      <c r="G38" s="13">
        <v>1.9059421E-2</v>
      </c>
      <c r="H38" s="12">
        <v>5.4089</v>
      </c>
    </row>
    <row r="39" spans="1:15" ht="29.1" customHeight="1" x14ac:dyDescent="0.2">
      <c r="A39" s="9">
        <v>12</v>
      </c>
      <c r="B39" s="10" t="s">
        <v>245</v>
      </c>
      <c r="C39" s="10" t="s">
        <v>246</v>
      </c>
      <c r="D39" s="10" t="s">
        <v>591</v>
      </c>
      <c r="E39" s="11">
        <v>50</v>
      </c>
      <c r="F39" s="12">
        <v>505.32299999999998</v>
      </c>
      <c r="G39" s="13">
        <v>9.6150200000000002E-3</v>
      </c>
      <c r="H39" s="12">
        <v>4.5</v>
      </c>
    </row>
    <row r="40" spans="1:15" ht="17.100000000000001" customHeight="1" x14ac:dyDescent="0.2">
      <c r="A40" s="9">
        <v>13</v>
      </c>
      <c r="B40" s="10" t="s">
        <v>247</v>
      </c>
      <c r="C40" s="10" t="s">
        <v>248</v>
      </c>
      <c r="D40" s="10" t="s">
        <v>22</v>
      </c>
      <c r="E40" s="11">
        <v>50</v>
      </c>
      <c r="F40" s="12">
        <v>500.60550000000001</v>
      </c>
      <c r="G40" s="13">
        <v>9.525258E-3</v>
      </c>
      <c r="H40" s="12">
        <v>3.6349999999999998</v>
      </c>
    </row>
    <row r="41" spans="1:15" ht="29.1" customHeight="1" x14ac:dyDescent="0.2">
      <c r="A41" s="9">
        <v>14</v>
      </c>
      <c r="B41" s="10" t="s">
        <v>69</v>
      </c>
      <c r="C41" s="10" t="s">
        <v>70</v>
      </c>
      <c r="D41" s="10" t="s">
        <v>22</v>
      </c>
      <c r="E41" s="11">
        <v>30</v>
      </c>
      <c r="F41" s="12">
        <v>305.17469999999997</v>
      </c>
      <c r="G41" s="13">
        <v>5.8067040000000002E-3</v>
      </c>
      <c r="H41" s="12">
        <v>4.9249999999999998</v>
      </c>
    </row>
    <row r="42" spans="1:15" ht="29.1" customHeight="1" x14ac:dyDescent="0.2">
      <c r="A42" s="9">
        <v>15</v>
      </c>
      <c r="B42" s="10" t="s">
        <v>163</v>
      </c>
      <c r="C42" s="10" t="s">
        <v>164</v>
      </c>
      <c r="D42" s="10" t="s">
        <v>22</v>
      </c>
      <c r="E42" s="11">
        <v>30</v>
      </c>
      <c r="F42" s="12">
        <v>300.96660000000003</v>
      </c>
      <c r="G42" s="13">
        <v>5.7266340000000004E-3</v>
      </c>
      <c r="H42" s="12">
        <v>4.6050000000000004</v>
      </c>
    </row>
    <row r="43" spans="1:15" ht="17.100000000000001" customHeight="1" x14ac:dyDescent="0.2">
      <c r="A43" s="9">
        <v>16</v>
      </c>
      <c r="B43" s="10" t="s">
        <v>249</v>
      </c>
      <c r="C43" s="10" t="s">
        <v>250</v>
      </c>
      <c r="D43" s="10" t="s">
        <v>22</v>
      </c>
      <c r="E43" s="11">
        <v>25</v>
      </c>
      <c r="F43" s="12">
        <v>260.13400000000001</v>
      </c>
      <c r="G43" s="13">
        <v>4.9496929999999998E-3</v>
      </c>
      <c r="H43" s="12">
        <v>4.8849999999999998</v>
      </c>
    </row>
    <row r="44" spans="1:15" ht="17.100000000000001" customHeight="1" x14ac:dyDescent="0.2">
      <c r="A44" s="9">
        <v>17</v>
      </c>
      <c r="B44" s="10" t="s">
        <v>251</v>
      </c>
      <c r="C44" s="10" t="s">
        <v>252</v>
      </c>
      <c r="D44" s="10" t="s">
        <v>22</v>
      </c>
      <c r="E44" s="11">
        <v>20</v>
      </c>
      <c r="F44" s="12">
        <v>202.04900000000001</v>
      </c>
      <c r="G44" s="13">
        <v>3.8444820000000002E-3</v>
      </c>
      <c r="H44" s="12">
        <v>4.16</v>
      </c>
    </row>
    <row r="45" spans="1:15" ht="29.1" customHeight="1" x14ac:dyDescent="0.2">
      <c r="A45" s="9">
        <v>18</v>
      </c>
      <c r="B45" s="10" t="s">
        <v>183</v>
      </c>
      <c r="C45" s="10" t="s">
        <v>184</v>
      </c>
      <c r="D45" s="10" t="s">
        <v>185</v>
      </c>
      <c r="E45" s="11">
        <v>20</v>
      </c>
      <c r="F45" s="12">
        <v>201.99799999999999</v>
      </c>
      <c r="G45" s="13">
        <v>3.8435119999999999E-3</v>
      </c>
      <c r="H45" s="12">
        <v>4.49</v>
      </c>
    </row>
    <row r="46" spans="1:15" ht="29.1" customHeight="1" x14ac:dyDescent="0.2">
      <c r="A46" s="9">
        <v>19</v>
      </c>
      <c r="B46" s="10" t="s">
        <v>253</v>
      </c>
      <c r="C46" s="10" t="s">
        <v>254</v>
      </c>
      <c r="D46" s="10" t="s">
        <v>22</v>
      </c>
      <c r="E46" s="11">
        <v>20</v>
      </c>
      <c r="F46" s="12">
        <v>201.47739999999999</v>
      </c>
      <c r="G46" s="13">
        <v>3.8336059999999998E-3</v>
      </c>
      <c r="H46" s="12">
        <v>4.2450000000000001</v>
      </c>
    </row>
    <row r="47" spans="1:15" ht="29.1" customHeight="1" x14ac:dyDescent="0.2">
      <c r="A47" s="9">
        <v>20</v>
      </c>
      <c r="B47" s="10" t="s">
        <v>255</v>
      </c>
      <c r="C47" s="10" t="s">
        <v>256</v>
      </c>
      <c r="D47" s="10" t="s">
        <v>22</v>
      </c>
      <c r="E47" s="11">
        <v>10</v>
      </c>
      <c r="F47" s="12">
        <v>100.4847</v>
      </c>
      <c r="G47" s="13">
        <v>1.91197E-3</v>
      </c>
      <c r="H47" s="12">
        <v>3.9</v>
      </c>
    </row>
    <row r="48" spans="1:15" ht="14.1" customHeight="1" x14ac:dyDescent="0.2">
      <c r="A48" s="1"/>
      <c r="B48" s="1"/>
      <c r="C48" s="2" t="s">
        <v>11</v>
      </c>
      <c r="D48" s="1"/>
      <c r="E48" s="1" t="s">
        <v>12</v>
      </c>
      <c r="F48" s="7">
        <v>20417.636405059999</v>
      </c>
      <c r="G48" s="8">
        <v>0.38849604999999998</v>
      </c>
      <c r="H48" s="12"/>
    </row>
    <row r="49" spans="1:8" ht="14.1" customHeight="1" x14ac:dyDescent="0.2">
      <c r="A49" s="1"/>
      <c r="B49" s="1"/>
      <c r="C49" s="5"/>
      <c r="D49" s="1"/>
      <c r="E49" s="1"/>
      <c r="F49" s="6"/>
      <c r="G49" s="6"/>
      <c r="H49" s="12"/>
    </row>
    <row r="50" spans="1:8" ht="14.1" customHeight="1" x14ac:dyDescent="0.2">
      <c r="A50" s="1"/>
      <c r="B50" s="1"/>
      <c r="C50" s="2" t="s">
        <v>102</v>
      </c>
      <c r="D50" s="1"/>
      <c r="E50" s="1"/>
      <c r="F50" s="1"/>
      <c r="G50" s="1"/>
      <c r="H50" s="12"/>
    </row>
    <row r="51" spans="1:8" ht="14.1" customHeight="1" x14ac:dyDescent="0.2">
      <c r="A51" s="1"/>
      <c r="B51" s="1"/>
      <c r="C51" s="2" t="s">
        <v>11</v>
      </c>
      <c r="D51" s="1"/>
      <c r="E51" s="1" t="s">
        <v>12</v>
      </c>
      <c r="F51" s="3">
        <v>0</v>
      </c>
      <c r="G51" s="4">
        <v>0</v>
      </c>
      <c r="H51" s="12"/>
    </row>
    <row r="52" spans="1:8" ht="14.1" customHeight="1" x14ac:dyDescent="0.2">
      <c r="A52" s="1"/>
      <c r="B52" s="1"/>
      <c r="C52" s="5"/>
      <c r="D52" s="1"/>
      <c r="E52" s="1"/>
      <c r="F52" s="6"/>
      <c r="G52" s="6"/>
      <c r="H52" s="12"/>
    </row>
    <row r="53" spans="1:8" ht="14.1" customHeight="1" x14ac:dyDescent="0.2">
      <c r="A53" s="1"/>
      <c r="B53" s="1"/>
      <c r="C53" s="2" t="s">
        <v>103</v>
      </c>
      <c r="D53" s="1"/>
      <c r="E53" s="1"/>
      <c r="F53" s="1"/>
      <c r="G53" s="1"/>
      <c r="H53" s="12"/>
    </row>
    <row r="54" spans="1:8" ht="29.1" customHeight="1" x14ac:dyDescent="0.2">
      <c r="A54" s="9">
        <v>1</v>
      </c>
      <c r="B54" s="10" t="s">
        <v>257</v>
      </c>
      <c r="C54" s="10" t="s">
        <v>258</v>
      </c>
      <c r="D54" s="10" t="s">
        <v>106</v>
      </c>
      <c r="E54" s="11">
        <v>1200000</v>
      </c>
      <c r="F54" s="12">
        <v>1214.4744000000001</v>
      </c>
      <c r="G54" s="13">
        <v>2.3108380000000001E-2</v>
      </c>
      <c r="H54" s="12">
        <v>4.258</v>
      </c>
    </row>
    <row r="55" spans="1:8" ht="29.1" customHeight="1" x14ac:dyDescent="0.2">
      <c r="A55" s="9">
        <v>2</v>
      </c>
      <c r="B55" s="10" t="s">
        <v>259</v>
      </c>
      <c r="C55" s="10" t="s">
        <v>260</v>
      </c>
      <c r="D55" s="10" t="s">
        <v>106</v>
      </c>
      <c r="E55" s="11">
        <v>750000</v>
      </c>
      <c r="F55" s="12">
        <v>772.32375000000002</v>
      </c>
      <c r="G55" s="13">
        <v>1.4695369999999999E-2</v>
      </c>
      <c r="H55" s="12">
        <v>4.6173000000000002</v>
      </c>
    </row>
    <row r="56" spans="1:8" ht="29.1" customHeight="1" x14ac:dyDescent="0.2">
      <c r="A56" s="9">
        <v>3</v>
      </c>
      <c r="B56" s="10" t="s">
        <v>261</v>
      </c>
      <c r="C56" s="10" t="s">
        <v>262</v>
      </c>
      <c r="D56" s="10" t="s">
        <v>106</v>
      </c>
      <c r="E56" s="11">
        <v>300000</v>
      </c>
      <c r="F56" s="12">
        <v>305.66699999999997</v>
      </c>
      <c r="G56" s="13">
        <v>5.8160709999999999E-3</v>
      </c>
      <c r="H56" s="12">
        <v>4.3996000000000004</v>
      </c>
    </row>
    <row r="57" spans="1:8" ht="29.1" customHeight="1" x14ac:dyDescent="0.2">
      <c r="A57" s="9">
        <v>4</v>
      </c>
      <c r="B57" s="10" t="s">
        <v>263</v>
      </c>
      <c r="C57" s="10" t="s">
        <v>264</v>
      </c>
      <c r="D57" s="10" t="s">
        <v>106</v>
      </c>
      <c r="E57" s="11">
        <v>300000</v>
      </c>
      <c r="F57" s="12">
        <v>304.3374</v>
      </c>
      <c r="G57" s="13">
        <v>5.7907719999999996E-3</v>
      </c>
      <c r="H57" s="12">
        <v>4.4249999999999998</v>
      </c>
    </row>
    <row r="58" spans="1:8" ht="29.1" customHeight="1" x14ac:dyDescent="0.2">
      <c r="A58" s="9">
        <v>5</v>
      </c>
      <c r="B58" s="10" t="s">
        <v>265</v>
      </c>
      <c r="C58" s="10" t="s">
        <v>266</v>
      </c>
      <c r="D58" s="10" t="s">
        <v>106</v>
      </c>
      <c r="E58" s="11">
        <v>281000</v>
      </c>
      <c r="F58" s="12">
        <v>285.65841799999998</v>
      </c>
      <c r="G58" s="13">
        <v>5.4353580000000004E-3</v>
      </c>
      <c r="H58" s="12">
        <v>4.43</v>
      </c>
    </row>
    <row r="59" spans="1:8" ht="29.1" customHeight="1" x14ac:dyDescent="0.2">
      <c r="A59" s="9">
        <v>6</v>
      </c>
      <c r="B59" s="10" t="s">
        <v>111</v>
      </c>
      <c r="C59" s="10" t="s">
        <v>112</v>
      </c>
      <c r="D59" s="10" t="s">
        <v>106</v>
      </c>
      <c r="E59" s="11">
        <v>250000</v>
      </c>
      <c r="F59" s="12">
        <v>257.18099999999998</v>
      </c>
      <c r="G59" s="13">
        <v>4.8935050000000003E-3</v>
      </c>
      <c r="H59" s="12">
        <v>4.7000999999999999</v>
      </c>
    </row>
    <row r="60" spans="1:8" ht="29.1" customHeight="1" x14ac:dyDescent="0.2">
      <c r="A60" s="9">
        <v>7</v>
      </c>
      <c r="B60" s="10" t="s">
        <v>267</v>
      </c>
      <c r="C60" s="10" t="s">
        <v>268</v>
      </c>
      <c r="D60" s="10" t="s">
        <v>106</v>
      </c>
      <c r="E60" s="11">
        <v>200000</v>
      </c>
      <c r="F60" s="12">
        <v>204.16560000000001</v>
      </c>
      <c r="G60" s="13">
        <v>3.8847560000000001E-3</v>
      </c>
      <c r="H60" s="12">
        <v>4.4074</v>
      </c>
    </row>
    <row r="61" spans="1:8" ht="29.1" customHeight="1" x14ac:dyDescent="0.2">
      <c r="A61" s="9">
        <v>8</v>
      </c>
      <c r="B61" s="10" t="s">
        <v>269</v>
      </c>
      <c r="C61" s="10" t="s">
        <v>270</v>
      </c>
      <c r="D61" s="10" t="s">
        <v>106</v>
      </c>
      <c r="E61" s="11">
        <v>200000</v>
      </c>
      <c r="F61" s="12">
        <v>202.26480000000001</v>
      </c>
      <c r="G61" s="13">
        <v>3.848588E-3</v>
      </c>
      <c r="H61" s="12">
        <v>3.9333</v>
      </c>
    </row>
    <row r="62" spans="1:8" ht="29.1" customHeight="1" x14ac:dyDescent="0.2">
      <c r="A62" s="9">
        <v>9</v>
      </c>
      <c r="B62" s="10" t="s">
        <v>271</v>
      </c>
      <c r="C62" s="10" t="s">
        <v>272</v>
      </c>
      <c r="D62" s="10" t="s">
        <v>106</v>
      </c>
      <c r="E62" s="11">
        <v>150000</v>
      </c>
      <c r="F62" s="12">
        <v>151.36154999999999</v>
      </c>
      <c r="G62" s="13">
        <v>2.8800280000000002E-3</v>
      </c>
      <c r="H62" s="12">
        <v>3.7475999999999998</v>
      </c>
    </row>
    <row r="63" spans="1:8" ht="29.1" customHeight="1" x14ac:dyDescent="0.2">
      <c r="A63" s="9">
        <v>10</v>
      </c>
      <c r="B63" s="10" t="s">
        <v>273</v>
      </c>
      <c r="C63" s="10" t="s">
        <v>274</v>
      </c>
      <c r="D63" s="10" t="s">
        <v>106</v>
      </c>
      <c r="E63" s="11">
        <v>100000</v>
      </c>
      <c r="F63" s="12">
        <v>102.0652</v>
      </c>
      <c r="G63" s="13">
        <v>1.9420430000000001E-3</v>
      </c>
      <c r="H63" s="12">
        <v>4.32</v>
      </c>
    </row>
    <row r="64" spans="1:8" ht="14.1" customHeight="1" x14ac:dyDescent="0.2">
      <c r="A64" s="1"/>
      <c r="B64" s="1"/>
      <c r="C64" s="2" t="s">
        <v>11</v>
      </c>
      <c r="D64" s="1"/>
      <c r="E64" s="1" t="s">
        <v>12</v>
      </c>
      <c r="F64" s="7">
        <v>3799.4991180000002</v>
      </c>
      <c r="G64" s="8">
        <v>7.2294870999999997E-2</v>
      </c>
      <c r="H64" s="12"/>
    </row>
    <row r="65" spans="1:8" ht="14.1" customHeight="1" x14ac:dyDescent="0.2">
      <c r="A65" s="1"/>
      <c r="B65" s="1"/>
      <c r="C65" s="5"/>
      <c r="D65" s="1"/>
      <c r="E65" s="1"/>
      <c r="F65" s="6"/>
      <c r="G65" s="6"/>
      <c r="H65" s="12"/>
    </row>
    <row r="66" spans="1:8" ht="14.1" customHeight="1" x14ac:dyDescent="0.2">
      <c r="A66" s="1"/>
      <c r="B66" s="1"/>
      <c r="C66" s="2" t="s">
        <v>119</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120</v>
      </c>
      <c r="D69" s="1"/>
      <c r="E69" s="1"/>
      <c r="F69" s="7">
        <v>24217.135523059998</v>
      </c>
      <c r="G69" s="8">
        <v>0.46079092100000002</v>
      </c>
      <c r="H69" s="12"/>
    </row>
    <row r="70" spans="1:8" ht="14.1" customHeight="1" x14ac:dyDescent="0.2">
      <c r="A70" s="1"/>
      <c r="B70" s="1"/>
      <c r="C70" s="5"/>
      <c r="D70" s="1"/>
      <c r="E70" s="1"/>
      <c r="F70" s="6"/>
      <c r="G70" s="6"/>
      <c r="H70" s="12"/>
    </row>
    <row r="71" spans="1:8" ht="14.1" customHeight="1" x14ac:dyDescent="0.2">
      <c r="A71" s="1"/>
      <c r="B71" s="1"/>
      <c r="C71" s="2" t="s">
        <v>121</v>
      </c>
      <c r="D71" s="1"/>
      <c r="E71" s="1"/>
      <c r="F71" s="6"/>
      <c r="G71" s="6"/>
      <c r="H71" s="12"/>
    </row>
    <row r="72" spans="1:8" ht="14.1" customHeight="1" x14ac:dyDescent="0.2">
      <c r="A72" s="1"/>
      <c r="B72" s="1"/>
      <c r="C72" s="2" t="s">
        <v>122</v>
      </c>
      <c r="D72" s="1"/>
      <c r="E72" s="1"/>
      <c r="F72" s="6"/>
      <c r="G72" s="6"/>
      <c r="H72" s="12"/>
    </row>
    <row r="73" spans="1:8" ht="17.100000000000001" customHeight="1" x14ac:dyDescent="0.2">
      <c r="A73" s="9">
        <v>1</v>
      </c>
      <c r="B73" s="10" t="s">
        <v>200</v>
      </c>
      <c r="C73" s="10" t="s">
        <v>201</v>
      </c>
      <c r="D73" s="10" t="s">
        <v>202</v>
      </c>
      <c r="E73" s="11">
        <v>500</v>
      </c>
      <c r="F73" s="12">
        <v>2450.4749999999999</v>
      </c>
      <c r="G73" s="13">
        <v>4.6626349999999997E-2</v>
      </c>
      <c r="H73" s="12">
        <v>4.3650000000000002</v>
      </c>
    </row>
    <row r="74" spans="1:8" ht="17.100000000000001" customHeight="1" x14ac:dyDescent="0.2">
      <c r="A74" s="9">
        <v>2</v>
      </c>
      <c r="B74" s="10" t="s">
        <v>275</v>
      </c>
      <c r="C74" s="10" t="s">
        <v>276</v>
      </c>
      <c r="D74" s="10" t="s">
        <v>277</v>
      </c>
      <c r="E74" s="11">
        <v>500</v>
      </c>
      <c r="F74" s="12">
        <v>2449.04</v>
      </c>
      <c r="G74" s="13">
        <v>4.6599044999999999E-2</v>
      </c>
      <c r="H74" s="12">
        <v>4.3650000000000002</v>
      </c>
    </row>
    <row r="75" spans="1:8" ht="17.100000000000001" customHeight="1" x14ac:dyDescent="0.2">
      <c r="A75" s="9">
        <v>3</v>
      </c>
      <c r="B75" s="10" t="s">
        <v>278</v>
      </c>
      <c r="C75" s="10" t="s">
        <v>279</v>
      </c>
      <c r="D75" s="10" t="s">
        <v>277</v>
      </c>
      <c r="E75" s="11">
        <v>1500</v>
      </c>
      <c r="F75" s="12">
        <v>1488.6465000000001</v>
      </c>
      <c r="G75" s="13">
        <v>2.8325183E-2</v>
      </c>
      <c r="H75" s="12">
        <v>3.9207999999999998</v>
      </c>
    </row>
    <row r="76" spans="1:8" ht="14.1" customHeight="1" x14ac:dyDescent="0.2">
      <c r="A76" s="1"/>
      <c r="B76" s="1"/>
      <c r="C76" s="2" t="s">
        <v>11</v>
      </c>
      <c r="D76" s="1"/>
      <c r="E76" s="1" t="s">
        <v>12</v>
      </c>
      <c r="F76" s="7">
        <v>6388.1615000000002</v>
      </c>
      <c r="G76" s="8">
        <v>0.12155057800000001</v>
      </c>
      <c r="H76" s="12"/>
    </row>
    <row r="77" spans="1:8" ht="14.1" customHeight="1" x14ac:dyDescent="0.2">
      <c r="A77" s="1"/>
      <c r="B77" s="1"/>
      <c r="C77" s="5"/>
      <c r="D77" s="1"/>
      <c r="E77" s="1"/>
      <c r="F77" s="6"/>
      <c r="G77" s="6"/>
      <c r="H77" s="12"/>
    </row>
    <row r="78" spans="1:8" ht="14.1" customHeight="1" x14ac:dyDescent="0.2">
      <c r="A78" s="1"/>
      <c r="B78" s="1"/>
      <c r="C78" s="2" t="s">
        <v>123</v>
      </c>
      <c r="D78" s="1"/>
      <c r="E78" s="1"/>
      <c r="F78" s="6"/>
      <c r="G78" s="6"/>
      <c r="H78" s="12"/>
    </row>
    <row r="79" spans="1:8" ht="29.1" customHeight="1" x14ac:dyDescent="0.2">
      <c r="A79" s="9">
        <v>1</v>
      </c>
      <c r="B79" s="10" t="s">
        <v>280</v>
      </c>
      <c r="C79" s="10" t="s">
        <v>281</v>
      </c>
      <c r="D79" s="10" t="s">
        <v>277</v>
      </c>
      <c r="E79" s="11">
        <v>500</v>
      </c>
      <c r="F79" s="12">
        <v>2468.0650000000001</v>
      </c>
      <c r="G79" s="13">
        <v>4.6961043000000001E-2</v>
      </c>
      <c r="H79" s="12">
        <v>4.2550999999999997</v>
      </c>
    </row>
    <row r="80" spans="1:8" ht="29.1" customHeight="1" x14ac:dyDescent="0.2">
      <c r="A80" s="9">
        <v>2</v>
      </c>
      <c r="B80" s="10" t="s">
        <v>282</v>
      </c>
      <c r="C80" s="10" t="s">
        <v>283</v>
      </c>
      <c r="D80" s="10" t="s">
        <v>277</v>
      </c>
      <c r="E80" s="11">
        <v>400</v>
      </c>
      <c r="F80" s="12">
        <v>1997.8019999999999</v>
      </c>
      <c r="G80" s="13">
        <v>3.8013126000000001E-2</v>
      </c>
      <c r="H80" s="12">
        <v>4.4649999999999999</v>
      </c>
    </row>
    <row r="81" spans="1:8" ht="29.1" customHeight="1" x14ac:dyDescent="0.2">
      <c r="A81" s="9">
        <v>3</v>
      </c>
      <c r="B81" s="10" t="s">
        <v>284</v>
      </c>
      <c r="C81" s="10" t="s">
        <v>285</v>
      </c>
      <c r="D81" s="10" t="s">
        <v>277</v>
      </c>
      <c r="E81" s="11">
        <v>400</v>
      </c>
      <c r="F81" s="12">
        <v>1903.8979999999999</v>
      </c>
      <c r="G81" s="13">
        <v>3.6226370000000001E-2</v>
      </c>
      <c r="H81" s="12">
        <v>5.6</v>
      </c>
    </row>
    <row r="82" spans="1:8" ht="29.1" customHeight="1" x14ac:dyDescent="0.2">
      <c r="A82" s="9">
        <v>4</v>
      </c>
      <c r="B82" s="10" t="s">
        <v>286</v>
      </c>
      <c r="C82" s="10" t="s">
        <v>287</v>
      </c>
      <c r="D82" s="10" t="s">
        <v>277</v>
      </c>
      <c r="E82" s="11">
        <v>300</v>
      </c>
      <c r="F82" s="12">
        <v>1495.989</v>
      </c>
      <c r="G82" s="13">
        <v>2.8464891999999999E-2</v>
      </c>
      <c r="H82" s="12">
        <v>4.2549999999999999</v>
      </c>
    </row>
    <row r="83" spans="1:8" ht="17.100000000000001" customHeight="1" x14ac:dyDescent="0.2">
      <c r="A83" s="9">
        <v>5</v>
      </c>
      <c r="B83" s="10" t="s">
        <v>288</v>
      </c>
      <c r="C83" s="10" t="s">
        <v>289</v>
      </c>
      <c r="D83" s="10" t="s">
        <v>594</v>
      </c>
      <c r="E83" s="11">
        <v>200</v>
      </c>
      <c r="F83" s="12">
        <v>989.58799999999997</v>
      </c>
      <c r="G83" s="13">
        <v>1.882936E-2</v>
      </c>
      <c r="H83" s="12">
        <v>4.22</v>
      </c>
    </row>
    <row r="84" spans="1:8" ht="29.1" customHeight="1" x14ac:dyDescent="0.2">
      <c r="A84" s="9">
        <v>6</v>
      </c>
      <c r="B84" s="10" t="s">
        <v>290</v>
      </c>
      <c r="C84" s="10" t="s">
        <v>511</v>
      </c>
      <c r="D84" s="10" t="s">
        <v>277</v>
      </c>
      <c r="E84" s="11">
        <v>200</v>
      </c>
      <c r="F84" s="12">
        <v>987.11</v>
      </c>
      <c r="G84" s="13">
        <v>1.8782210000000001E-2</v>
      </c>
      <c r="H84" s="12">
        <v>5.125</v>
      </c>
    </row>
    <row r="85" spans="1:8" ht="17.100000000000001" customHeight="1" x14ac:dyDescent="0.2">
      <c r="A85" s="9">
        <v>7</v>
      </c>
      <c r="B85" s="10" t="s">
        <v>291</v>
      </c>
      <c r="C85" s="10" t="s">
        <v>292</v>
      </c>
      <c r="D85" s="10" t="s">
        <v>277</v>
      </c>
      <c r="E85" s="11">
        <v>200</v>
      </c>
      <c r="F85" s="12">
        <v>984.38</v>
      </c>
      <c r="G85" s="13">
        <v>1.8730264999999999E-2</v>
      </c>
      <c r="H85" s="12">
        <v>4.5250000000000004</v>
      </c>
    </row>
    <row r="86" spans="1:8" ht="17.100000000000001" customHeight="1" x14ac:dyDescent="0.2">
      <c r="A86" s="9">
        <v>8</v>
      </c>
      <c r="B86" s="10" t="s">
        <v>293</v>
      </c>
      <c r="C86" s="10" t="s">
        <v>294</v>
      </c>
      <c r="D86" s="10" t="s">
        <v>595</v>
      </c>
      <c r="E86" s="11">
        <v>100</v>
      </c>
      <c r="F86" s="12">
        <v>494.93549999999999</v>
      </c>
      <c r="G86" s="13">
        <v>9.4173720000000002E-3</v>
      </c>
      <c r="H86" s="12">
        <v>4.5</v>
      </c>
    </row>
    <row r="87" spans="1:8" ht="14.1" customHeight="1" x14ac:dyDescent="0.2">
      <c r="A87" s="1"/>
      <c r="B87" s="1"/>
      <c r="C87" s="2" t="s">
        <v>11</v>
      </c>
      <c r="D87" s="1"/>
      <c r="E87" s="1" t="s">
        <v>12</v>
      </c>
      <c r="F87" s="7">
        <v>11321.7675</v>
      </c>
      <c r="G87" s="8">
        <v>0.215424638</v>
      </c>
      <c r="H87" s="12"/>
    </row>
    <row r="88" spans="1:8" ht="14.1" customHeight="1" x14ac:dyDescent="0.2">
      <c r="A88" s="1"/>
      <c r="B88" s="1"/>
      <c r="C88" s="5"/>
      <c r="D88" s="1"/>
      <c r="E88" s="1"/>
      <c r="F88" s="6"/>
      <c r="G88" s="6"/>
      <c r="H88" s="12"/>
    </row>
    <row r="89" spans="1:8" ht="14.1" customHeight="1" x14ac:dyDescent="0.2">
      <c r="A89" s="1"/>
      <c r="B89" s="1"/>
      <c r="C89" s="2" t="s">
        <v>124</v>
      </c>
      <c r="D89" s="1"/>
      <c r="E89" s="1"/>
      <c r="F89" s="6"/>
      <c r="G89" s="6"/>
      <c r="H89" s="12"/>
    </row>
    <row r="90" spans="1:8" ht="17.100000000000001" customHeight="1" x14ac:dyDescent="0.2">
      <c r="A90" s="9">
        <v>1</v>
      </c>
      <c r="B90" s="10" t="s">
        <v>295</v>
      </c>
      <c r="C90" s="10" t="s">
        <v>518</v>
      </c>
      <c r="D90" s="10" t="s">
        <v>106</v>
      </c>
      <c r="E90" s="11">
        <v>2500000</v>
      </c>
      <c r="F90" s="12">
        <v>2481.8850000000002</v>
      </c>
      <c r="G90" s="13">
        <v>4.7224003000000001E-2</v>
      </c>
      <c r="H90" s="12">
        <v>3.7</v>
      </c>
    </row>
    <row r="91" spans="1:8" ht="17.100000000000001" customHeight="1" x14ac:dyDescent="0.2">
      <c r="A91" s="9">
        <v>2</v>
      </c>
      <c r="B91" s="10" t="s">
        <v>296</v>
      </c>
      <c r="C91" s="10" t="s">
        <v>516</v>
      </c>
      <c r="D91" s="10" t="s">
        <v>106</v>
      </c>
      <c r="E91" s="11">
        <v>500000</v>
      </c>
      <c r="F91" s="12">
        <v>497.15600000000001</v>
      </c>
      <c r="G91" s="13">
        <v>9.4596230000000003E-3</v>
      </c>
      <c r="H91" s="12">
        <v>3.6</v>
      </c>
    </row>
    <row r="92" spans="1:8" ht="17.100000000000001" customHeight="1" x14ac:dyDescent="0.2">
      <c r="A92" s="9">
        <v>3</v>
      </c>
      <c r="B92" s="10" t="s">
        <v>297</v>
      </c>
      <c r="C92" s="10" t="s">
        <v>523</v>
      </c>
      <c r="D92" s="10" t="s">
        <v>106</v>
      </c>
      <c r="E92" s="11">
        <v>500000</v>
      </c>
      <c r="F92" s="12">
        <v>484.98349999999999</v>
      </c>
      <c r="G92" s="13">
        <v>9.2280109999999995E-3</v>
      </c>
      <c r="H92" s="12">
        <v>4.33</v>
      </c>
    </row>
    <row r="93" spans="1:8" ht="17.100000000000001" customHeight="1" x14ac:dyDescent="0.2">
      <c r="A93" s="9">
        <v>4</v>
      </c>
      <c r="B93" s="10" t="s">
        <v>298</v>
      </c>
      <c r="C93" s="10" t="s">
        <v>520</v>
      </c>
      <c r="D93" s="10" t="s">
        <v>106</v>
      </c>
      <c r="E93" s="11">
        <v>100000</v>
      </c>
      <c r="F93" s="12">
        <v>99.909000000000006</v>
      </c>
      <c r="G93" s="13">
        <v>1.9010159999999999E-3</v>
      </c>
      <c r="H93" s="12">
        <v>3.3250000000000002</v>
      </c>
    </row>
    <row r="94" spans="1:8" ht="17.100000000000001" customHeight="1" x14ac:dyDescent="0.2">
      <c r="A94" s="9">
        <v>5</v>
      </c>
      <c r="B94" s="10" t="s">
        <v>223</v>
      </c>
      <c r="C94" s="10" t="s">
        <v>525</v>
      </c>
      <c r="D94" s="10" t="s">
        <v>106</v>
      </c>
      <c r="E94" s="11">
        <v>100000</v>
      </c>
      <c r="F94" s="12">
        <v>99.645499999999998</v>
      </c>
      <c r="G94" s="13">
        <v>1.8960019999999999E-3</v>
      </c>
      <c r="H94" s="12">
        <v>3.51</v>
      </c>
    </row>
    <row r="95" spans="1:8" ht="14.1" customHeight="1" x14ac:dyDescent="0.2">
      <c r="A95" s="1"/>
      <c r="B95" s="1"/>
      <c r="C95" s="2" t="s">
        <v>11</v>
      </c>
      <c r="D95" s="1"/>
      <c r="E95" s="1" t="s">
        <v>12</v>
      </c>
      <c r="F95" s="7">
        <v>3663.5790000000002</v>
      </c>
      <c r="G95" s="8">
        <v>6.9708654999999994E-2</v>
      </c>
      <c r="H95" s="12"/>
    </row>
    <row r="96" spans="1:8" ht="14.1" customHeight="1" x14ac:dyDescent="0.2">
      <c r="A96" s="1"/>
      <c r="B96" s="1"/>
      <c r="C96" s="5"/>
      <c r="D96" s="1"/>
      <c r="E96" s="1"/>
      <c r="F96" s="6"/>
      <c r="G96" s="6"/>
      <c r="H96" s="12"/>
    </row>
    <row r="97" spans="1:8" ht="14.1" customHeight="1" x14ac:dyDescent="0.2">
      <c r="A97" s="1"/>
      <c r="B97" s="1"/>
      <c r="C97" s="2" t="s">
        <v>125</v>
      </c>
      <c r="D97" s="1"/>
      <c r="E97" s="1"/>
      <c r="F97" s="6"/>
      <c r="G97" s="6"/>
      <c r="H97" s="12"/>
    </row>
    <row r="98" spans="1:8" ht="17.100000000000001" customHeight="1" x14ac:dyDescent="0.2">
      <c r="A98" s="9">
        <v>1</v>
      </c>
      <c r="B98" s="10"/>
      <c r="C98" s="10" t="s">
        <v>126</v>
      </c>
      <c r="D98" s="10"/>
      <c r="E98" s="14"/>
      <c r="F98" s="12">
        <v>3477.9377448999999</v>
      </c>
      <c r="G98" s="13">
        <v>6.6176370999999998E-2</v>
      </c>
      <c r="H98" s="12">
        <v>3.2903893505936708</v>
      </c>
    </row>
    <row r="99" spans="1:8" ht="17.100000000000001" customHeight="1" x14ac:dyDescent="0.2">
      <c r="A99" s="9">
        <v>2</v>
      </c>
      <c r="B99" s="10"/>
      <c r="C99" s="10" t="s">
        <v>127</v>
      </c>
      <c r="D99" s="10"/>
      <c r="E99" s="14"/>
      <c r="F99" s="12">
        <v>1541.0892940000001</v>
      </c>
      <c r="G99" s="13">
        <v>2.9323037E-2</v>
      </c>
      <c r="H99" s="12">
        <v>3.2766870282233538</v>
      </c>
    </row>
    <row r="100" spans="1:8" ht="14.1" customHeight="1" x14ac:dyDescent="0.2">
      <c r="A100" s="1"/>
      <c r="B100" s="1"/>
      <c r="C100" s="2" t="s">
        <v>11</v>
      </c>
      <c r="D100" s="1"/>
      <c r="E100" s="1" t="s">
        <v>12</v>
      </c>
      <c r="F100" s="7">
        <v>5019.0270388999998</v>
      </c>
      <c r="G100" s="8">
        <v>9.5499407999999994E-2</v>
      </c>
      <c r="H100" s="12"/>
    </row>
    <row r="101" spans="1:8" ht="14.1" customHeight="1" x14ac:dyDescent="0.2">
      <c r="A101" s="1"/>
      <c r="B101" s="1"/>
      <c r="C101" s="5"/>
      <c r="D101" s="1"/>
      <c r="E101" s="1"/>
      <c r="F101" s="6"/>
      <c r="G101" s="6"/>
      <c r="H101" s="12"/>
    </row>
    <row r="102" spans="1:8" ht="14.1" customHeight="1" x14ac:dyDescent="0.2">
      <c r="A102" s="1"/>
      <c r="B102" s="1"/>
      <c r="C102" s="2" t="s">
        <v>128</v>
      </c>
      <c r="D102" s="1"/>
      <c r="E102" s="1"/>
      <c r="F102" s="7">
        <v>26392.535038900001</v>
      </c>
      <c r="G102" s="8">
        <v>0.50218327900000004</v>
      </c>
      <c r="H102" s="12"/>
    </row>
    <row r="103" spans="1:8" ht="14.1" customHeight="1" x14ac:dyDescent="0.2">
      <c r="A103" s="1"/>
      <c r="B103" s="1"/>
      <c r="C103" s="6"/>
      <c r="D103" s="1"/>
      <c r="E103" s="1"/>
      <c r="F103" s="1"/>
      <c r="G103" s="1"/>
      <c r="H103" s="12"/>
    </row>
    <row r="104" spans="1:8" ht="14.1" customHeight="1" x14ac:dyDescent="0.2">
      <c r="A104" s="1"/>
      <c r="B104" s="1"/>
      <c r="C104" s="2" t="s">
        <v>129</v>
      </c>
      <c r="D104" s="1"/>
      <c r="E104" s="1"/>
      <c r="F104" s="1"/>
      <c r="G104" s="1"/>
      <c r="H104" s="12"/>
    </row>
    <row r="105" spans="1:8" ht="14.1" customHeight="1" x14ac:dyDescent="0.2">
      <c r="A105" s="1"/>
      <c r="B105" s="1"/>
      <c r="C105" s="2" t="s">
        <v>130</v>
      </c>
      <c r="D105" s="1"/>
      <c r="E105" s="1"/>
      <c r="F105" s="1"/>
      <c r="G105" s="1"/>
      <c r="H105" s="12"/>
    </row>
    <row r="106" spans="1:8" ht="14.1" customHeight="1" x14ac:dyDescent="0.2">
      <c r="A106" s="1"/>
      <c r="B106" s="1"/>
      <c r="C106" s="2" t="s">
        <v>11</v>
      </c>
      <c r="D106" s="1"/>
      <c r="E106" s="1" t="s">
        <v>12</v>
      </c>
      <c r="F106" s="3">
        <v>0</v>
      </c>
      <c r="G106" s="4">
        <v>0</v>
      </c>
      <c r="H106" s="12"/>
    </row>
    <row r="107" spans="1:8" ht="14.1" customHeight="1" x14ac:dyDescent="0.2">
      <c r="A107" s="1"/>
      <c r="B107" s="1"/>
      <c r="C107" s="5"/>
      <c r="D107" s="1"/>
      <c r="E107" s="1"/>
      <c r="F107" s="6"/>
      <c r="G107" s="6"/>
      <c r="H107" s="12"/>
    </row>
    <row r="108" spans="1:8" ht="14.1" customHeight="1" x14ac:dyDescent="0.2">
      <c r="A108" s="1"/>
      <c r="B108" s="1"/>
      <c r="C108" s="2" t="s">
        <v>131</v>
      </c>
      <c r="D108" s="1"/>
      <c r="E108" s="1"/>
      <c r="F108" s="1"/>
      <c r="G108" s="1"/>
      <c r="H108" s="12"/>
    </row>
    <row r="109" spans="1:8" ht="14.1" customHeight="1" x14ac:dyDescent="0.2">
      <c r="A109" s="1"/>
      <c r="B109" s="1"/>
      <c r="C109" s="2" t="s">
        <v>132</v>
      </c>
      <c r="D109" s="1"/>
      <c r="E109" s="1"/>
      <c r="F109" s="1"/>
      <c r="G109" s="1"/>
      <c r="H109" s="12"/>
    </row>
    <row r="110" spans="1:8" ht="14.1" customHeight="1" x14ac:dyDescent="0.2">
      <c r="A110" s="1"/>
      <c r="B110" s="1"/>
      <c r="C110" s="2" t="s">
        <v>11</v>
      </c>
      <c r="D110" s="1"/>
      <c r="E110" s="1" t="s">
        <v>12</v>
      </c>
      <c r="F110" s="3">
        <v>0</v>
      </c>
      <c r="G110" s="4">
        <v>0</v>
      </c>
      <c r="H110" s="12"/>
    </row>
    <row r="111" spans="1:8" ht="14.1" customHeight="1" x14ac:dyDescent="0.2">
      <c r="A111" s="1"/>
      <c r="B111" s="1"/>
      <c r="C111" s="5"/>
      <c r="D111" s="1"/>
      <c r="E111" s="1"/>
      <c r="F111" s="6"/>
      <c r="G111" s="6"/>
      <c r="H111" s="12"/>
    </row>
    <row r="112" spans="1:8" ht="24" customHeight="1" x14ac:dyDescent="0.2">
      <c r="A112" s="1"/>
      <c r="B112" s="1"/>
      <c r="C112" s="2" t="s">
        <v>133</v>
      </c>
      <c r="D112" s="1"/>
      <c r="E112" s="1"/>
      <c r="F112" s="6"/>
      <c r="G112" s="6"/>
      <c r="H112" s="12"/>
    </row>
    <row r="113" spans="1:16" ht="14.1" customHeight="1" x14ac:dyDescent="0.2">
      <c r="A113" s="1"/>
      <c r="B113" s="1"/>
      <c r="C113" s="2" t="s">
        <v>11</v>
      </c>
      <c r="D113" s="1"/>
      <c r="E113" s="1" t="s">
        <v>12</v>
      </c>
      <c r="F113" s="3">
        <v>0</v>
      </c>
      <c r="G113" s="4">
        <v>0</v>
      </c>
      <c r="H113" s="12"/>
    </row>
    <row r="114" spans="1:16" ht="14.1" customHeight="1" x14ac:dyDescent="0.2">
      <c r="A114" s="1"/>
      <c r="B114" s="1"/>
      <c r="C114" s="5"/>
      <c r="D114" s="1"/>
      <c r="E114" s="1"/>
      <c r="F114" s="6"/>
      <c r="G114" s="6"/>
      <c r="H114" s="12"/>
    </row>
    <row r="115" spans="1:16" ht="14.1" customHeight="1" x14ac:dyDescent="0.2">
      <c r="A115" s="1"/>
      <c r="B115" s="10"/>
      <c r="C115" s="10"/>
      <c r="D115" s="2"/>
      <c r="E115" s="1"/>
      <c r="F115" s="10"/>
      <c r="G115" s="14"/>
      <c r="H115" s="12"/>
    </row>
    <row r="116" spans="1:16" ht="18" customHeight="1" x14ac:dyDescent="0.2">
      <c r="A116" s="14"/>
      <c r="B116" s="10"/>
      <c r="C116" s="10" t="s">
        <v>134</v>
      </c>
      <c r="D116" s="10"/>
      <c r="E116" s="14"/>
      <c r="F116" s="12">
        <v>1945.91250292</v>
      </c>
      <c r="G116" s="13">
        <v>3.7025799999999998E-2</v>
      </c>
      <c r="H116" s="12"/>
    </row>
    <row r="117" spans="1:16" ht="14.1" customHeight="1" x14ac:dyDescent="0.2">
      <c r="A117" s="5"/>
      <c r="B117" s="5"/>
      <c r="C117" s="2" t="s">
        <v>135</v>
      </c>
      <c r="D117" s="6"/>
      <c r="E117" s="6"/>
      <c r="F117" s="7">
        <v>52555.583064879997</v>
      </c>
      <c r="G117" s="8">
        <v>1</v>
      </c>
      <c r="H117" s="12"/>
    </row>
    <row r="118" spans="1:16" ht="14.1" customHeight="1" x14ac:dyDescent="0.2">
      <c r="A118" s="15"/>
      <c r="B118" s="15"/>
      <c r="C118" s="15"/>
      <c r="D118" s="16"/>
      <c r="E118" s="16"/>
      <c r="F118" s="16"/>
      <c r="G118" s="16"/>
    </row>
    <row r="119" spans="1:16" ht="17.100000000000001" customHeight="1" x14ac:dyDescent="0.2">
      <c r="A119" s="17"/>
      <c r="B119" s="98" t="s">
        <v>136</v>
      </c>
      <c r="C119" s="98"/>
      <c r="D119" s="98"/>
      <c r="E119" s="98"/>
      <c r="F119" s="98"/>
      <c r="G119" s="19"/>
    </row>
    <row r="120" spans="1:16" ht="17.100000000000001" customHeight="1" x14ac:dyDescent="0.2">
      <c r="A120" s="17"/>
      <c r="B120" s="98" t="s">
        <v>137</v>
      </c>
      <c r="C120" s="98"/>
      <c r="D120" s="98"/>
      <c r="E120" s="98"/>
      <c r="F120" s="98"/>
      <c r="G120" s="19"/>
    </row>
    <row r="121" spans="1:16" ht="14.1" customHeight="1" x14ac:dyDescent="0.2">
      <c r="A121" s="85"/>
      <c r="B121" s="86" t="s">
        <v>626</v>
      </c>
      <c r="C121" s="86"/>
      <c r="D121" s="86"/>
      <c r="E121" s="86"/>
      <c r="F121" s="86"/>
      <c r="G121" s="87"/>
      <c r="I121" s="58"/>
      <c r="P121" s="58"/>
    </row>
    <row r="122" spans="1:16" ht="14.1" customHeight="1" x14ac:dyDescent="0.2">
      <c r="A122" s="17"/>
      <c r="B122" s="17"/>
      <c r="C122" s="17"/>
      <c r="D122" s="19"/>
      <c r="E122" s="19"/>
      <c r="F122" s="19"/>
      <c r="G122" s="19"/>
    </row>
    <row r="123" spans="1:16" ht="14.1" customHeight="1" x14ac:dyDescent="0.2">
      <c r="A123" s="17"/>
      <c r="B123" s="99" t="s">
        <v>138</v>
      </c>
      <c r="C123" s="100"/>
      <c r="D123" s="101"/>
      <c r="E123" s="20"/>
      <c r="F123" s="19"/>
      <c r="G123" s="19"/>
    </row>
    <row r="124" spans="1:16" ht="29.1" customHeight="1" x14ac:dyDescent="0.2">
      <c r="A124" s="17"/>
      <c r="B124" s="95" t="s">
        <v>139</v>
      </c>
      <c r="C124" s="96"/>
      <c r="D124" s="2" t="s">
        <v>568</v>
      </c>
      <c r="E124" s="20"/>
      <c r="F124" s="19"/>
      <c r="G124" s="19"/>
    </row>
    <row r="125" spans="1:16" ht="17.100000000000001" customHeight="1" x14ac:dyDescent="0.2">
      <c r="A125" s="17"/>
      <c r="B125" s="95" t="s">
        <v>141</v>
      </c>
      <c r="C125" s="96"/>
      <c r="D125" s="2" t="s">
        <v>140</v>
      </c>
      <c r="E125" s="20"/>
      <c r="F125" s="19"/>
      <c r="G125" s="19"/>
    </row>
    <row r="126" spans="1:16" ht="17.100000000000001" customHeight="1" x14ac:dyDescent="0.2">
      <c r="A126" s="17"/>
      <c r="B126" s="95" t="s">
        <v>142</v>
      </c>
      <c r="C126" s="96"/>
      <c r="D126" s="6" t="s">
        <v>12</v>
      </c>
      <c r="E126" s="20"/>
      <c r="F126" s="19"/>
      <c r="G126" s="19"/>
    </row>
    <row r="127" spans="1:16" ht="24" customHeight="1" x14ac:dyDescent="0.2">
      <c r="A127" s="21"/>
      <c r="B127" s="22" t="s">
        <v>12</v>
      </c>
      <c r="C127" s="22" t="s">
        <v>143</v>
      </c>
      <c r="D127" s="22" t="s">
        <v>144</v>
      </c>
      <c r="E127" s="21"/>
      <c r="F127" s="21"/>
      <c r="G127" s="21"/>
    </row>
    <row r="128" spans="1:16" ht="18" customHeight="1" x14ac:dyDescent="0.2">
      <c r="A128" s="21"/>
      <c r="B128" s="23" t="s">
        <v>145</v>
      </c>
      <c r="C128" s="22" t="s">
        <v>146</v>
      </c>
      <c r="D128" s="22" t="s">
        <v>147</v>
      </c>
      <c r="E128" s="21"/>
      <c r="F128" s="21"/>
      <c r="G128" s="21"/>
    </row>
    <row r="129" spans="1:7" ht="17.100000000000001" customHeight="1" x14ac:dyDescent="0.2">
      <c r="A129" s="21"/>
      <c r="B129" s="10" t="s">
        <v>148</v>
      </c>
      <c r="C129" s="24">
        <v>2938.1707000000001</v>
      </c>
      <c r="D129" s="24">
        <v>2947.5886</v>
      </c>
      <c r="E129" s="21"/>
      <c r="F129" s="18"/>
      <c r="G129" s="25"/>
    </row>
    <row r="130" spans="1:7" ht="29.1" customHeight="1" x14ac:dyDescent="0.2">
      <c r="A130" s="21"/>
      <c r="B130" s="10" t="s">
        <v>609</v>
      </c>
      <c r="C130" s="24">
        <v>968.4778</v>
      </c>
      <c r="D130" s="24">
        <v>971.57640000000004</v>
      </c>
      <c r="E130" s="21"/>
      <c r="F130" s="18"/>
      <c r="G130" s="25"/>
    </row>
    <row r="131" spans="1:7" ht="29.1" customHeight="1" x14ac:dyDescent="0.2">
      <c r="A131" s="21"/>
      <c r="B131" s="10" t="s">
        <v>614</v>
      </c>
      <c r="C131" s="24">
        <v>967.02530000000002</v>
      </c>
      <c r="D131" s="24">
        <v>970.11919999999998</v>
      </c>
      <c r="E131" s="21"/>
      <c r="F131" s="18"/>
      <c r="G131" s="25"/>
    </row>
    <row r="132" spans="1:7" ht="29.1" customHeight="1" x14ac:dyDescent="0.2">
      <c r="A132" s="21"/>
      <c r="B132" s="10" t="s">
        <v>615</v>
      </c>
      <c r="C132" s="24">
        <v>1095.8685</v>
      </c>
      <c r="D132" s="24">
        <v>1095.7254</v>
      </c>
      <c r="E132" s="21"/>
      <c r="F132" s="18"/>
      <c r="G132" s="25"/>
    </row>
    <row r="133" spans="1:7" ht="29.1" customHeight="1" x14ac:dyDescent="0.2">
      <c r="A133" s="21"/>
      <c r="B133" s="10" t="s">
        <v>600</v>
      </c>
      <c r="C133" s="24">
        <v>1096.6219000000001</v>
      </c>
      <c r="D133" s="24">
        <v>1096.4172000000001</v>
      </c>
      <c r="E133" s="21"/>
      <c r="F133" s="18"/>
      <c r="G133" s="25"/>
    </row>
    <row r="134" spans="1:7" ht="29.1" customHeight="1" x14ac:dyDescent="0.2">
      <c r="A134" s="21"/>
      <c r="B134" s="10" t="s">
        <v>601</v>
      </c>
      <c r="C134" s="24">
        <v>1098.7365</v>
      </c>
      <c r="D134" s="24">
        <v>1102.2519</v>
      </c>
      <c r="E134" s="21"/>
      <c r="F134" s="18"/>
      <c r="G134" s="25"/>
    </row>
    <row r="135" spans="1:7" ht="17.100000000000001" customHeight="1" x14ac:dyDescent="0.2">
      <c r="A135" s="21"/>
      <c r="B135" s="10" t="s">
        <v>149</v>
      </c>
      <c r="C135" s="24">
        <v>2810.627</v>
      </c>
      <c r="D135" s="24">
        <v>2818.2116000000001</v>
      </c>
      <c r="E135" s="21"/>
      <c r="F135" s="18"/>
      <c r="G135" s="25"/>
    </row>
    <row r="136" spans="1:7" ht="17.100000000000001" customHeight="1" x14ac:dyDescent="0.2">
      <c r="A136" s="21"/>
      <c r="B136" s="10" t="s">
        <v>205</v>
      </c>
      <c r="C136" s="24">
        <v>1088.4815000000001</v>
      </c>
      <c r="D136" s="24">
        <v>1091.4195999999999</v>
      </c>
      <c r="E136" s="21"/>
      <c r="F136" s="18"/>
      <c r="G136" s="25"/>
    </row>
    <row r="137" spans="1:7" ht="29.1" customHeight="1" x14ac:dyDescent="0.2">
      <c r="A137" s="21"/>
      <c r="B137" s="10" t="s">
        <v>611</v>
      </c>
      <c r="C137" s="24">
        <v>959.60410000000002</v>
      </c>
      <c r="D137" s="24">
        <v>962.1943</v>
      </c>
      <c r="E137" s="21"/>
      <c r="F137" s="18"/>
      <c r="G137" s="25"/>
    </row>
    <row r="138" spans="1:7" ht="29.1" customHeight="1" x14ac:dyDescent="0.2">
      <c r="A138" s="21"/>
      <c r="B138" s="10" t="s">
        <v>612</v>
      </c>
      <c r="C138" s="24">
        <v>959.76250000000005</v>
      </c>
      <c r="D138" s="24">
        <v>962.35329999999999</v>
      </c>
      <c r="E138" s="21"/>
      <c r="F138" s="18"/>
      <c r="G138" s="25"/>
    </row>
    <row r="139" spans="1:7" ht="29.1" customHeight="1" x14ac:dyDescent="0.2">
      <c r="A139" s="21"/>
      <c r="B139" s="10" t="s">
        <v>616</v>
      </c>
      <c r="C139" s="24">
        <v>1086.1052</v>
      </c>
      <c r="D139" s="24">
        <v>1085.9697000000001</v>
      </c>
      <c r="E139" s="21"/>
      <c r="F139" s="18"/>
      <c r="G139" s="25"/>
    </row>
    <row r="140" spans="1:7" ht="29.1" customHeight="1" x14ac:dyDescent="0.2">
      <c r="A140" s="21"/>
      <c r="B140" s="10" t="s">
        <v>604</v>
      </c>
      <c r="C140" s="24">
        <v>1086.6376</v>
      </c>
      <c r="D140" s="24">
        <v>1086.4917</v>
      </c>
      <c r="E140" s="21"/>
      <c r="F140" s="18"/>
      <c r="G140" s="25"/>
    </row>
    <row r="141" spans="1:7" ht="29.1" customHeight="1" x14ac:dyDescent="0.2">
      <c r="A141" s="21"/>
      <c r="B141" s="10" t="s">
        <v>605</v>
      </c>
      <c r="C141" s="24">
        <v>1088.4828</v>
      </c>
      <c r="D141" s="24">
        <v>1091.4209000000001</v>
      </c>
      <c r="E141" s="21"/>
      <c r="F141" s="18"/>
      <c r="G141" s="25"/>
    </row>
    <row r="142" spans="1:7" ht="14.1" customHeight="1" x14ac:dyDescent="0.2">
      <c r="A142" s="21"/>
      <c r="B142" s="21"/>
      <c r="C142" s="21"/>
      <c r="D142" s="21"/>
      <c r="E142" s="21"/>
      <c r="F142" s="21"/>
      <c r="G142" s="21"/>
    </row>
    <row r="143" spans="1:7" ht="17.100000000000001" customHeight="1" x14ac:dyDescent="0.2">
      <c r="A143" s="21"/>
      <c r="B143" s="95" t="s">
        <v>608</v>
      </c>
      <c r="C143" s="96"/>
      <c r="D143" s="2" t="s">
        <v>12</v>
      </c>
      <c r="E143" s="21"/>
      <c r="F143" s="21"/>
      <c r="G143" s="21"/>
    </row>
    <row r="144" spans="1:7" ht="18" customHeight="1" x14ac:dyDescent="0.2">
      <c r="A144" s="21"/>
      <c r="B144" s="26" t="s">
        <v>145</v>
      </c>
      <c r="C144" s="27" t="s">
        <v>150</v>
      </c>
      <c r="D144" s="27" t="s">
        <v>151</v>
      </c>
      <c r="E144" s="21"/>
      <c r="F144" s="21"/>
      <c r="G144" s="21"/>
    </row>
    <row r="145" spans="1:16" ht="29.1" customHeight="1" x14ac:dyDescent="0.2">
      <c r="A145" s="21"/>
      <c r="B145" s="10" t="s">
        <v>615</v>
      </c>
      <c r="C145" s="28">
        <v>3.6442999999999999</v>
      </c>
      <c r="D145" s="14" t="s">
        <v>152</v>
      </c>
      <c r="E145" s="21"/>
      <c r="F145" s="18"/>
      <c r="G145" s="25"/>
    </row>
    <row r="146" spans="1:16" ht="29.1" customHeight="1" x14ac:dyDescent="0.2">
      <c r="A146" s="21"/>
      <c r="B146" s="10" t="s">
        <v>600</v>
      </c>
      <c r="C146" s="28">
        <v>3.7084999999999999</v>
      </c>
      <c r="D146" s="28">
        <v>3.7084999999999999</v>
      </c>
      <c r="E146" s="21"/>
      <c r="F146" s="18"/>
      <c r="G146" s="25"/>
    </row>
    <row r="147" spans="1:16" ht="29.1" customHeight="1" x14ac:dyDescent="0.2">
      <c r="A147" s="21"/>
      <c r="B147" s="10" t="s">
        <v>616</v>
      </c>
      <c r="C147" s="28">
        <v>3.0707</v>
      </c>
      <c r="D147" s="14" t="s">
        <v>152</v>
      </c>
      <c r="E147" s="21"/>
      <c r="F147" s="18"/>
      <c r="G147" s="25"/>
      <c r="J147"/>
      <c r="K147"/>
      <c r="L147"/>
      <c r="M147"/>
      <c r="N147"/>
      <c r="O147"/>
    </row>
    <row r="148" spans="1:16" ht="29.1" customHeight="1" x14ac:dyDescent="0.2">
      <c r="A148" s="21"/>
      <c r="B148" s="10" t="s">
        <v>604</v>
      </c>
      <c r="C148" s="28">
        <v>3.0754999999999999</v>
      </c>
      <c r="D148" s="28">
        <v>3.0754999999999999</v>
      </c>
      <c r="E148" s="21"/>
      <c r="F148" s="18"/>
      <c r="G148" s="25"/>
    </row>
    <row r="149" spans="1:16" ht="14.1" customHeight="1" x14ac:dyDescent="0.2">
      <c r="A149" s="21"/>
      <c r="B149" s="29"/>
      <c r="C149" s="29"/>
      <c r="D149" s="30"/>
      <c r="E149" s="21"/>
      <c r="F149" s="18"/>
      <c r="G149" s="25"/>
    </row>
    <row r="150" spans="1:16" x14ac:dyDescent="0.2">
      <c r="A150" s="82"/>
      <c r="B150" s="104" t="s">
        <v>619</v>
      </c>
      <c r="C150" s="104"/>
      <c r="D150" s="104"/>
      <c r="E150" s="104"/>
      <c r="F150" s="104"/>
      <c r="G150" s="82"/>
      <c r="I150" s="58"/>
      <c r="P150" s="58"/>
    </row>
    <row r="151" spans="1:16" ht="14.1" customHeight="1" x14ac:dyDescent="0.2">
      <c r="A151" s="21"/>
      <c r="B151" s="18"/>
      <c r="C151" s="18"/>
      <c r="D151" s="21"/>
      <c r="E151" s="21"/>
      <c r="F151" s="21"/>
      <c r="G151" s="21"/>
    </row>
    <row r="152" spans="1:16" ht="29.1" customHeight="1" x14ac:dyDescent="0.2">
      <c r="A152" s="21"/>
      <c r="B152" s="95" t="s">
        <v>153</v>
      </c>
      <c r="C152" s="96"/>
      <c r="D152" s="2" t="s">
        <v>140</v>
      </c>
      <c r="E152" s="31"/>
      <c r="F152" s="21"/>
      <c r="G152" s="21"/>
    </row>
    <row r="153" spans="1:16" ht="29.1" customHeight="1" x14ac:dyDescent="0.2">
      <c r="A153" s="21"/>
      <c r="B153" s="95" t="s">
        <v>154</v>
      </c>
      <c r="C153" s="96"/>
      <c r="D153" s="2" t="s">
        <v>140</v>
      </c>
      <c r="E153" s="31"/>
      <c r="F153" s="21"/>
      <c r="G153" s="21"/>
    </row>
    <row r="154" spans="1:16" ht="17.100000000000001" customHeight="1" x14ac:dyDescent="0.2">
      <c r="A154" s="21"/>
      <c r="B154" s="95" t="s">
        <v>155</v>
      </c>
      <c r="C154" s="96"/>
      <c r="D154" s="32">
        <v>0.7233388552293234</v>
      </c>
      <c r="E154" s="31"/>
      <c r="F154" s="21"/>
      <c r="G154" s="21"/>
    </row>
    <row r="155" spans="1:16" ht="17.100000000000001" customHeight="1" x14ac:dyDescent="0.2">
      <c r="A155" s="21"/>
      <c r="B155" s="95" t="s">
        <v>156</v>
      </c>
      <c r="C155" s="96"/>
      <c r="D155" s="32">
        <v>0.50793214318476088</v>
      </c>
      <c r="E155" s="31"/>
      <c r="F155" s="21"/>
      <c r="G155" s="21"/>
    </row>
    <row r="156" spans="1:16" ht="17.100000000000001" customHeight="1" x14ac:dyDescent="0.2">
      <c r="A156" s="21"/>
      <c r="B156" s="95" t="s">
        <v>157</v>
      </c>
      <c r="C156" s="96"/>
      <c r="D156" s="2" t="s">
        <v>140</v>
      </c>
      <c r="E156" s="31"/>
      <c r="F156" s="21"/>
      <c r="G156" s="21"/>
    </row>
    <row r="157" spans="1:16" ht="14.1" customHeight="1" x14ac:dyDescent="0.2">
      <c r="A157" s="21"/>
      <c r="B157" s="97"/>
      <c r="C157" s="97"/>
      <c r="D157" s="30"/>
      <c r="E157" s="21"/>
      <c r="F157" s="18"/>
      <c r="G157" s="25"/>
    </row>
    <row r="158" spans="1:16" x14ac:dyDescent="0.2">
      <c r="B158" s="60" t="s">
        <v>551</v>
      </c>
      <c r="C158" s="60"/>
      <c r="D158" s="60"/>
      <c r="E158" s="60"/>
      <c r="F158" s="60"/>
      <c r="G158" s="60"/>
      <c r="H158" s="60"/>
      <c r="I158" s="58"/>
      <c r="P158" s="58"/>
    </row>
    <row r="159" spans="1:16" x14ac:dyDescent="0.2">
      <c r="B159" s="61"/>
      <c r="C159" s="61"/>
      <c r="D159" s="61"/>
      <c r="E159" s="61"/>
      <c r="F159" s="61"/>
      <c r="G159" s="61"/>
      <c r="H159" s="61"/>
      <c r="I159" s="58"/>
      <c r="P159" s="58"/>
    </row>
    <row r="160" spans="1:16" ht="51" x14ac:dyDescent="0.2">
      <c r="A160" s="76"/>
      <c r="B160" s="62" t="s">
        <v>569</v>
      </c>
      <c r="C160" s="62" t="s">
        <v>570</v>
      </c>
      <c r="D160" s="62" t="s">
        <v>540</v>
      </c>
      <c r="E160" s="62" t="s">
        <v>541</v>
      </c>
      <c r="F160" s="62" t="s">
        <v>571</v>
      </c>
      <c r="G160" s="61"/>
      <c r="H160" s="61"/>
      <c r="I160" s="58"/>
      <c r="P160" s="58"/>
    </row>
    <row r="161" spans="1:16" x14ac:dyDescent="0.2">
      <c r="A161" s="77"/>
      <c r="B161" s="63" t="s">
        <v>572</v>
      </c>
      <c r="C161" s="63" t="s">
        <v>573</v>
      </c>
      <c r="D161" s="64">
        <v>0</v>
      </c>
      <c r="E161" s="65">
        <v>0</v>
      </c>
      <c r="F161" s="66">
        <v>300</v>
      </c>
      <c r="G161" s="61"/>
      <c r="H161" s="61"/>
      <c r="I161" s="58"/>
      <c r="P161" s="58"/>
    </row>
    <row r="162" spans="1:16" x14ac:dyDescent="0.2">
      <c r="A162" s="78"/>
      <c r="B162" s="78"/>
      <c r="C162" s="78"/>
      <c r="D162" s="78"/>
      <c r="E162" s="78"/>
      <c r="F162" s="78"/>
      <c r="G162" s="78"/>
      <c r="I162" s="58"/>
      <c r="P162" s="58"/>
    </row>
    <row r="163" spans="1:16" x14ac:dyDescent="0.2">
      <c r="B163" s="41" t="s">
        <v>538</v>
      </c>
      <c r="C163" s="41" t="s">
        <v>539</v>
      </c>
      <c r="D163" s="111" t="s">
        <v>540</v>
      </c>
      <c r="E163" s="111"/>
      <c r="F163" s="111"/>
      <c r="G163" s="110" t="s">
        <v>541</v>
      </c>
      <c r="H163" s="110"/>
      <c r="I163" s="58"/>
      <c r="P163" s="58"/>
    </row>
    <row r="164" spans="1:16" ht="25.5" x14ac:dyDescent="0.2">
      <c r="B164" s="42" t="s">
        <v>576</v>
      </c>
      <c r="C164" s="43" t="s">
        <v>587</v>
      </c>
      <c r="D164" s="108">
        <v>0</v>
      </c>
      <c r="E164" s="108"/>
      <c r="F164" s="108"/>
      <c r="G164" s="108">
        <v>0</v>
      </c>
      <c r="H164" s="108"/>
      <c r="I164" s="58"/>
      <c r="P164" s="58"/>
    </row>
    <row r="165" spans="1:16" ht="25.5" x14ac:dyDescent="0.2">
      <c r="B165" s="42" t="s">
        <v>579</v>
      </c>
      <c r="C165" s="43" t="s">
        <v>588</v>
      </c>
      <c r="D165" s="108">
        <v>0</v>
      </c>
      <c r="E165" s="108"/>
      <c r="F165" s="108"/>
      <c r="G165" s="108">
        <v>0</v>
      </c>
      <c r="H165" s="108"/>
      <c r="I165" s="58"/>
      <c r="P165" s="58"/>
    </row>
    <row r="166" spans="1:16" ht="25.5" x14ac:dyDescent="0.2">
      <c r="B166" s="42" t="s">
        <v>574</v>
      </c>
      <c r="C166" s="43" t="s">
        <v>589</v>
      </c>
      <c r="D166" s="108">
        <v>0</v>
      </c>
      <c r="E166" s="108"/>
      <c r="F166" s="108"/>
      <c r="G166" s="108">
        <v>0</v>
      </c>
      <c r="H166" s="108"/>
      <c r="I166" s="58"/>
      <c r="P166" s="58"/>
    </row>
    <row r="167" spans="1:16" x14ac:dyDescent="0.2">
      <c r="B167" s="42"/>
      <c r="C167" s="42"/>
      <c r="D167" s="109"/>
      <c r="E167" s="109"/>
      <c r="F167" s="109"/>
      <c r="G167" s="109"/>
      <c r="H167" s="109"/>
      <c r="I167" s="58"/>
      <c r="P167" s="58"/>
    </row>
    <row r="168" spans="1:16" x14ac:dyDescent="0.2">
      <c r="B168" s="110" t="s">
        <v>558</v>
      </c>
      <c r="C168" s="110"/>
      <c r="D168" s="110"/>
      <c r="E168" s="110"/>
      <c r="F168" s="110"/>
      <c r="G168" s="110"/>
      <c r="H168" s="110"/>
      <c r="I168" s="58"/>
      <c r="P168" s="58"/>
    </row>
    <row r="169" spans="1:16" x14ac:dyDescent="0.2">
      <c r="B169" s="105" t="s">
        <v>538</v>
      </c>
      <c r="C169" s="105" t="s">
        <v>539</v>
      </c>
      <c r="D169" s="105" t="s">
        <v>545</v>
      </c>
      <c r="E169" s="105"/>
      <c r="F169" s="105"/>
      <c r="G169" s="105"/>
      <c r="H169" s="106" t="s">
        <v>559</v>
      </c>
      <c r="I169" s="58"/>
      <c r="P169" s="58"/>
    </row>
    <row r="170" spans="1:16" ht="63.75" x14ac:dyDescent="0.2">
      <c r="B170" s="105"/>
      <c r="C170" s="105"/>
      <c r="D170" s="44" t="s">
        <v>546</v>
      </c>
      <c r="E170" s="44" t="s">
        <v>560</v>
      </c>
      <c r="F170" s="44" t="s">
        <v>561</v>
      </c>
      <c r="G170" s="44" t="s">
        <v>549</v>
      </c>
      <c r="H170" s="107"/>
      <c r="I170" s="58"/>
      <c r="P170" s="58"/>
    </row>
    <row r="171" spans="1:16" ht="25.5" x14ac:dyDescent="0.2">
      <c r="B171" s="42" t="s">
        <v>576</v>
      </c>
      <c r="C171" s="43" t="s">
        <v>587</v>
      </c>
      <c r="D171" s="54">
        <v>1500</v>
      </c>
      <c r="E171" s="54">
        <v>99.850684900000005</v>
      </c>
      <c r="F171" s="67">
        <v>36.275342200000004</v>
      </c>
      <c r="G171" s="68">
        <v>1636.1260271000001</v>
      </c>
      <c r="H171" s="56">
        <v>726.67232000000001</v>
      </c>
      <c r="I171" s="58"/>
      <c r="P171" s="58"/>
    </row>
    <row r="172" spans="1:16" ht="25.5" x14ac:dyDescent="0.2">
      <c r="B172" s="42" t="s">
        <v>579</v>
      </c>
      <c r="C172" s="43" t="s">
        <v>588</v>
      </c>
      <c r="D172" s="54">
        <v>2517.2199999999998</v>
      </c>
      <c r="E172" s="54">
        <v>183.25361600000002</v>
      </c>
      <c r="F172" s="67">
        <v>45.813405699999997</v>
      </c>
      <c r="G172" s="68">
        <v>2746.2870217</v>
      </c>
      <c r="H172" s="56">
        <v>1225.53333</v>
      </c>
      <c r="I172" s="58"/>
      <c r="P172" s="58"/>
    </row>
    <row r="173" spans="1:16" ht="25.5" x14ac:dyDescent="0.2">
      <c r="B173" s="42" t="s">
        <v>574</v>
      </c>
      <c r="C173" s="43" t="s">
        <v>589</v>
      </c>
      <c r="D173" s="54">
        <v>4882.25</v>
      </c>
      <c r="E173" s="54">
        <v>323.21163799999999</v>
      </c>
      <c r="F173" s="67">
        <v>117.42144879999999</v>
      </c>
      <c r="G173" s="68">
        <v>5322.8830868000005</v>
      </c>
      <c r="H173" s="56">
        <v>2364.0489899999998</v>
      </c>
      <c r="I173" s="58"/>
      <c r="P173" s="58"/>
    </row>
    <row r="174" spans="1:16" x14ac:dyDescent="0.2">
      <c r="I174" s="58"/>
      <c r="P174" s="58"/>
    </row>
    <row r="175" spans="1:16" x14ac:dyDescent="0.2">
      <c r="I175" s="58"/>
      <c r="P175" s="58"/>
    </row>
    <row r="176" spans="1:16" x14ac:dyDescent="0.2">
      <c r="B176" s="57" t="s">
        <v>563</v>
      </c>
      <c r="I176" s="58"/>
      <c r="P176" s="58"/>
    </row>
    <row r="177" spans="2:16" x14ac:dyDescent="0.2">
      <c r="B177" s="58"/>
      <c r="C177" s="58"/>
      <c r="D177" s="58"/>
      <c r="E177" s="58"/>
      <c r="F177" s="58"/>
      <c r="G177" s="58"/>
      <c r="H177" s="58"/>
      <c r="I177" s="58"/>
      <c r="P177" s="58"/>
    </row>
    <row r="178" spans="2:16" x14ac:dyDescent="0.2">
      <c r="B178" s="59" t="s">
        <v>564</v>
      </c>
      <c r="C178" s="58"/>
      <c r="D178" s="58"/>
      <c r="E178" s="58"/>
      <c r="F178" s="58"/>
      <c r="G178" s="58"/>
      <c r="H178" s="58"/>
      <c r="I178" s="58"/>
      <c r="P178" s="58"/>
    </row>
    <row r="179" spans="2:16" x14ac:dyDescent="0.2">
      <c r="B179" s="58"/>
      <c r="C179" s="58"/>
      <c r="D179" s="58"/>
      <c r="E179" s="58"/>
      <c r="F179" s="58"/>
      <c r="G179" s="58"/>
      <c r="H179" s="58"/>
      <c r="I179" s="58"/>
      <c r="P179" s="58"/>
    </row>
    <row r="180" spans="2:16" x14ac:dyDescent="0.2">
      <c r="B180" s="59" t="s">
        <v>565</v>
      </c>
      <c r="C180" s="58"/>
      <c r="D180" s="58"/>
      <c r="E180" s="58"/>
      <c r="F180" s="58"/>
      <c r="G180" s="58"/>
      <c r="H180" s="58"/>
      <c r="I180" s="58"/>
      <c r="P180" s="58"/>
    </row>
    <row r="181" spans="2:16" x14ac:dyDescent="0.2">
      <c r="I181" s="58"/>
      <c r="P181" s="58"/>
    </row>
  </sheetData>
  <mergeCells count="33">
    <mergeCell ref="J2:N2"/>
    <mergeCell ref="B152:C152"/>
    <mergeCell ref="B119:F119"/>
    <mergeCell ref="B120:F120"/>
    <mergeCell ref="B123:D123"/>
    <mergeCell ref="B124:C124"/>
    <mergeCell ref="B125:C125"/>
    <mergeCell ref="B126:C126"/>
    <mergeCell ref="B143:C143"/>
    <mergeCell ref="G164:H164"/>
    <mergeCell ref="D165:F165"/>
    <mergeCell ref="G165:H165"/>
    <mergeCell ref="B153:C153"/>
    <mergeCell ref="B154:C154"/>
    <mergeCell ref="B155:C155"/>
    <mergeCell ref="B156:C156"/>
    <mergeCell ref="B157:C157"/>
    <mergeCell ref="B169:B170"/>
    <mergeCell ref="C169:C170"/>
    <mergeCell ref="D169:G169"/>
    <mergeCell ref="H169:H170"/>
    <mergeCell ref="A1:H1"/>
    <mergeCell ref="A2:H2"/>
    <mergeCell ref="A3:H3"/>
    <mergeCell ref="B150:F150"/>
    <mergeCell ref="D166:F166"/>
    <mergeCell ref="G166:H166"/>
    <mergeCell ref="D167:F167"/>
    <mergeCell ref="G167:H167"/>
    <mergeCell ref="B168:H168"/>
    <mergeCell ref="D163:F163"/>
    <mergeCell ref="G163:H163"/>
    <mergeCell ref="D164:F164"/>
  </mergeCells>
  <hyperlinks>
    <hyperlink ref="B178" r:id="rId1" xr:uid="{90B9D67C-663B-49D9-A9E5-2E8A964C0F0F}"/>
    <hyperlink ref="B180" r:id="rId2" xr:uid="{18859328-B2BD-4BA9-ADD9-EA384E50510F}"/>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55"/>
  <sheetViews>
    <sheetView showGridLines="0" workbookViewId="0">
      <selection activeCell="J1" sqref="J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58"/>
  </cols>
  <sheetData>
    <row r="1" spans="1:15" ht="18" customHeight="1" x14ac:dyDescent="0.2">
      <c r="A1" s="103" t="s">
        <v>0</v>
      </c>
      <c r="B1" s="103"/>
      <c r="C1" s="103"/>
      <c r="D1" s="103"/>
      <c r="E1" s="103"/>
      <c r="F1" s="103"/>
      <c r="G1" s="103"/>
      <c r="H1" s="103"/>
    </row>
    <row r="2" spans="1:15" ht="17.100000000000001" customHeight="1" x14ac:dyDescent="0.2">
      <c r="A2" s="103" t="s">
        <v>622</v>
      </c>
      <c r="B2" s="103"/>
      <c r="C2" s="103"/>
      <c r="D2" s="103"/>
      <c r="E2" s="103"/>
      <c r="F2" s="103"/>
      <c r="G2" s="103"/>
      <c r="H2" s="103"/>
      <c r="J2" s="112" t="s">
        <v>627</v>
      </c>
      <c r="K2" s="112"/>
      <c r="L2" s="112"/>
      <c r="M2" s="112"/>
      <c r="N2" s="11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9" t="s">
        <v>637</v>
      </c>
      <c r="K16" s="90"/>
      <c r="L16" s="90"/>
      <c r="M16" s="90"/>
      <c r="N16" s="90"/>
      <c r="O16" s="90"/>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51" x14ac:dyDescent="0.2">
      <c r="A28" s="9">
        <v>1</v>
      </c>
      <c r="B28" s="10" t="s">
        <v>233</v>
      </c>
      <c r="C28" s="10" t="s">
        <v>625</v>
      </c>
      <c r="D28" s="10" t="s">
        <v>592</v>
      </c>
      <c r="E28" s="11">
        <v>500</v>
      </c>
      <c r="F28" s="12">
        <v>5018.8</v>
      </c>
      <c r="G28" s="13">
        <v>1.8560910999999999E-2</v>
      </c>
      <c r="H28" s="12">
        <v>4.3650000000000002</v>
      </c>
    </row>
    <row r="29" spans="1:15" ht="14.1" customHeight="1" x14ac:dyDescent="0.2">
      <c r="A29" s="1"/>
      <c r="B29" s="1"/>
      <c r="C29" s="2" t="s">
        <v>11</v>
      </c>
      <c r="D29" s="1"/>
      <c r="E29" s="1" t="s">
        <v>12</v>
      </c>
      <c r="F29" s="7">
        <v>5018.8</v>
      </c>
      <c r="G29" s="8">
        <v>1.8560910999999999E-2</v>
      </c>
      <c r="H29" s="12"/>
    </row>
    <row r="30" spans="1:15" ht="14.1" customHeight="1" x14ac:dyDescent="0.25">
      <c r="A30" s="1"/>
      <c r="B30" s="1"/>
      <c r="C30" s="5"/>
      <c r="D30" s="1"/>
      <c r="E30" s="1"/>
      <c r="F30" s="6"/>
      <c r="G30" s="6"/>
      <c r="H30" s="12"/>
      <c r="J30" s="89" t="s">
        <v>638</v>
      </c>
      <c r="K30" s="90"/>
      <c r="L30" s="90"/>
      <c r="M30" s="90"/>
      <c r="N30" s="90"/>
      <c r="O30"/>
    </row>
    <row r="31" spans="1:15" ht="14.1" customHeight="1" x14ac:dyDescent="0.2">
      <c r="A31" s="1"/>
      <c r="B31" s="1"/>
      <c r="C31" s="2" t="s">
        <v>102</v>
      </c>
      <c r="D31" s="1"/>
      <c r="E31" s="1"/>
      <c r="F31" s="1"/>
      <c r="G31" s="1"/>
      <c r="H31" s="12"/>
      <c r="O31"/>
    </row>
    <row r="32" spans="1:15" ht="14.1" customHeight="1" x14ac:dyDescent="0.2">
      <c r="A32" s="1"/>
      <c r="B32" s="1"/>
      <c r="C32" s="2" t="s">
        <v>11</v>
      </c>
      <c r="D32" s="1"/>
      <c r="E32" s="1" t="s">
        <v>12</v>
      </c>
      <c r="F32" s="3">
        <v>0</v>
      </c>
      <c r="G32" s="4">
        <v>0</v>
      </c>
      <c r="H32" s="12"/>
      <c r="O32"/>
    </row>
    <row r="33" spans="1:15" ht="14.1" customHeight="1" x14ac:dyDescent="0.2">
      <c r="A33" s="1"/>
      <c r="B33" s="1"/>
      <c r="C33" s="5"/>
      <c r="D33" s="1"/>
      <c r="E33" s="1"/>
      <c r="F33" s="6"/>
      <c r="G33" s="6"/>
      <c r="H33" s="12"/>
      <c r="O33"/>
    </row>
    <row r="34" spans="1:15" ht="14.1" customHeight="1" x14ac:dyDescent="0.2">
      <c r="A34" s="1"/>
      <c r="B34" s="1"/>
      <c r="C34" s="2" t="s">
        <v>103</v>
      </c>
      <c r="D34" s="1"/>
      <c r="E34" s="1"/>
      <c r="F34" s="1"/>
      <c r="G34" s="1"/>
      <c r="H34" s="12"/>
      <c r="O34"/>
    </row>
    <row r="35" spans="1:15" ht="14.1" customHeight="1" x14ac:dyDescent="0.2">
      <c r="A35" s="1"/>
      <c r="B35" s="1"/>
      <c r="C35" s="2" t="s">
        <v>11</v>
      </c>
      <c r="D35" s="1"/>
      <c r="E35" s="1" t="s">
        <v>12</v>
      </c>
      <c r="F35" s="3">
        <v>0</v>
      </c>
      <c r="G35" s="4">
        <v>0</v>
      </c>
      <c r="H35" s="12"/>
      <c r="O35"/>
    </row>
    <row r="36" spans="1:15" ht="14.1" customHeight="1" x14ac:dyDescent="0.2">
      <c r="A36" s="1"/>
      <c r="B36" s="1"/>
      <c r="C36" s="5"/>
      <c r="D36" s="1"/>
      <c r="E36" s="1"/>
      <c r="F36" s="6"/>
      <c r="G36" s="6"/>
      <c r="H36" s="12"/>
      <c r="O36"/>
    </row>
    <row r="37" spans="1:15" ht="14.1" customHeight="1" x14ac:dyDescent="0.2">
      <c r="A37" s="1"/>
      <c r="B37" s="1"/>
      <c r="C37" s="2" t="s">
        <v>119</v>
      </c>
      <c r="D37" s="1"/>
      <c r="E37" s="1"/>
      <c r="F37" s="6"/>
      <c r="G37" s="6"/>
      <c r="H37" s="12"/>
      <c r="O37"/>
    </row>
    <row r="38" spans="1:15" ht="14.1" customHeight="1" x14ac:dyDescent="0.2">
      <c r="A38" s="1"/>
      <c r="B38" s="1"/>
      <c r="C38" s="2" t="s">
        <v>11</v>
      </c>
      <c r="D38" s="1"/>
      <c r="E38" s="1" t="s">
        <v>12</v>
      </c>
      <c r="F38" s="3">
        <v>0</v>
      </c>
      <c r="G38" s="4">
        <v>0</v>
      </c>
      <c r="H38" s="12"/>
      <c r="O38"/>
    </row>
    <row r="39" spans="1:15" ht="14.1" customHeight="1" x14ac:dyDescent="0.2">
      <c r="A39" s="1"/>
      <c r="B39" s="1"/>
      <c r="C39" s="5"/>
      <c r="D39" s="1"/>
      <c r="E39" s="1"/>
      <c r="F39" s="6"/>
      <c r="G39" s="6"/>
      <c r="H39" s="12"/>
      <c r="O39"/>
    </row>
    <row r="40" spans="1:15" ht="14.1" customHeight="1" x14ac:dyDescent="0.2">
      <c r="A40" s="1"/>
      <c r="B40" s="1"/>
      <c r="C40" s="2" t="s">
        <v>120</v>
      </c>
      <c r="D40" s="1"/>
      <c r="E40" s="1"/>
      <c r="F40" s="7">
        <v>5018.8</v>
      </c>
      <c r="G40" s="8">
        <v>1.8560910999999999E-2</v>
      </c>
      <c r="H40" s="12"/>
      <c r="O40"/>
    </row>
    <row r="41" spans="1:15" ht="14.1" customHeight="1" x14ac:dyDescent="0.2">
      <c r="A41" s="1"/>
      <c r="B41" s="1"/>
      <c r="C41" s="5"/>
      <c r="D41" s="1"/>
      <c r="E41" s="1"/>
      <c r="F41" s="6"/>
      <c r="G41" s="6"/>
      <c r="H41" s="12"/>
      <c r="O41"/>
    </row>
    <row r="42" spans="1:15" ht="14.1" customHeight="1" x14ac:dyDescent="0.2">
      <c r="A42" s="1"/>
      <c r="B42" s="1"/>
      <c r="C42" s="2" t="s">
        <v>121</v>
      </c>
      <c r="D42" s="1"/>
      <c r="E42" s="1"/>
      <c r="F42" s="6"/>
      <c r="G42" s="6"/>
      <c r="H42" s="12"/>
      <c r="O42"/>
    </row>
    <row r="43" spans="1:15" ht="14.1" customHeight="1" x14ac:dyDescent="0.2">
      <c r="A43" s="1"/>
      <c r="B43" s="1"/>
      <c r="C43" s="2" t="s">
        <v>122</v>
      </c>
      <c r="D43" s="1"/>
      <c r="E43" s="1"/>
      <c r="F43" s="6"/>
      <c r="G43" s="6"/>
      <c r="H43" s="12"/>
      <c r="O43"/>
    </row>
    <row r="44" spans="1:15" ht="17.100000000000001" customHeight="1" x14ac:dyDescent="0.2">
      <c r="A44" s="9">
        <v>1</v>
      </c>
      <c r="B44" s="10" t="s">
        <v>300</v>
      </c>
      <c r="C44" s="10" t="s">
        <v>301</v>
      </c>
      <c r="D44" s="10" t="s">
        <v>202</v>
      </c>
      <c r="E44" s="11">
        <v>3500</v>
      </c>
      <c r="F44" s="12">
        <v>17465.262500000001</v>
      </c>
      <c r="G44" s="13">
        <v>6.4591373999999993E-2</v>
      </c>
      <c r="H44" s="12">
        <v>3.6297999999999999</v>
      </c>
    </row>
    <row r="45" spans="1:15" ht="17.100000000000001" customHeight="1" x14ac:dyDescent="0.2">
      <c r="A45" s="9">
        <v>2</v>
      </c>
      <c r="B45" s="10" t="s">
        <v>302</v>
      </c>
      <c r="C45" s="10" t="s">
        <v>303</v>
      </c>
      <c r="D45" s="10" t="s">
        <v>202</v>
      </c>
      <c r="E45" s="11">
        <v>1000</v>
      </c>
      <c r="F45" s="12">
        <v>4978.75</v>
      </c>
      <c r="G45" s="13">
        <v>1.8412794999999999E-2</v>
      </c>
      <c r="H45" s="12">
        <v>3.8</v>
      </c>
    </row>
    <row r="46" spans="1:15" ht="17.100000000000001" customHeight="1" x14ac:dyDescent="0.2">
      <c r="A46" s="9">
        <v>3</v>
      </c>
      <c r="B46" s="10" t="s">
        <v>304</v>
      </c>
      <c r="C46" s="10" t="s">
        <v>305</v>
      </c>
      <c r="D46" s="10" t="s">
        <v>277</v>
      </c>
      <c r="E46" s="11">
        <v>1000</v>
      </c>
      <c r="F46" s="12">
        <v>4964.8</v>
      </c>
      <c r="G46" s="13">
        <v>1.8361203999999999E-2</v>
      </c>
      <c r="H46" s="12">
        <v>3.9207999999999998</v>
      </c>
    </row>
    <row r="47" spans="1:15" ht="17.100000000000001" customHeight="1" x14ac:dyDescent="0.2">
      <c r="A47" s="9">
        <v>4</v>
      </c>
      <c r="B47" s="10" t="s">
        <v>306</v>
      </c>
      <c r="C47" s="10" t="s">
        <v>307</v>
      </c>
      <c r="D47" s="10" t="s">
        <v>277</v>
      </c>
      <c r="E47" s="11">
        <v>5000</v>
      </c>
      <c r="F47" s="12">
        <v>4961.1000000000004</v>
      </c>
      <c r="G47" s="13">
        <v>1.8347520999999999E-2</v>
      </c>
      <c r="H47" s="12">
        <v>3.9207999999999998</v>
      </c>
    </row>
    <row r="48" spans="1:15" ht="29.1" customHeight="1" x14ac:dyDescent="0.2">
      <c r="A48" s="9">
        <v>5</v>
      </c>
      <c r="B48" s="10" t="s">
        <v>308</v>
      </c>
      <c r="C48" s="10" t="s">
        <v>309</v>
      </c>
      <c r="D48" s="10" t="s">
        <v>277</v>
      </c>
      <c r="E48" s="11">
        <v>2500</v>
      </c>
      <c r="F48" s="12">
        <v>2494.0650000000001</v>
      </c>
      <c r="G48" s="13">
        <v>9.2237429999999995E-3</v>
      </c>
      <c r="H48" s="12">
        <v>3.6194999999999999</v>
      </c>
    </row>
    <row r="49" spans="1:8" ht="14.1" customHeight="1" x14ac:dyDescent="0.2">
      <c r="A49" s="1"/>
      <c r="B49" s="1"/>
      <c r="C49" s="2" t="s">
        <v>11</v>
      </c>
      <c r="D49" s="1"/>
      <c r="E49" s="1" t="s">
        <v>12</v>
      </c>
      <c r="F49" s="7">
        <v>34863.977500000001</v>
      </c>
      <c r="G49" s="8">
        <v>0.12893663699999999</v>
      </c>
      <c r="H49" s="12"/>
    </row>
    <row r="50" spans="1:8" ht="14.1" customHeight="1" x14ac:dyDescent="0.2">
      <c r="A50" s="1"/>
      <c r="B50" s="1"/>
      <c r="C50" s="5"/>
      <c r="D50" s="1"/>
      <c r="E50" s="1"/>
      <c r="F50" s="6"/>
      <c r="G50" s="6"/>
      <c r="H50" s="12"/>
    </row>
    <row r="51" spans="1:8" ht="14.1" customHeight="1" x14ac:dyDescent="0.2">
      <c r="A51" s="1"/>
      <c r="B51" s="1"/>
      <c r="C51" s="2" t="s">
        <v>123</v>
      </c>
      <c r="D51" s="1"/>
      <c r="E51" s="1"/>
      <c r="F51" s="6"/>
      <c r="G51" s="6"/>
      <c r="H51" s="12"/>
    </row>
    <row r="52" spans="1:8" ht="29.1" customHeight="1" x14ac:dyDescent="0.2">
      <c r="A52" s="9">
        <v>1</v>
      </c>
      <c r="B52" s="10" t="s">
        <v>310</v>
      </c>
      <c r="C52" s="10" t="s">
        <v>311</v>
      </c>
      <c r="D52" s="10" t="s">
        <v>277</v>
      </c>
      <c r="E52" s="11">
        <v>3000</v>
      </c>
      <c r="F52" s="12">
        <v>14967.66</v>
      </c>
      <c r="G52" s="13">
        <v>5.5354549000000003E-2</v>
      </c>
      <c r="H52" s="12">
        <v>3.5851999999999999</v>
      </c>
    </row>
    <row r="53" spans="1:8" ht="29.1" customHeight="1" x14ac:dyDescent="0.2">
      <c r="A53" s="9">
        <v>2</v>
      </c>
      <c r="B53" s="10" t="s">
        <v>312</v>
      </c>
      <c r="C53" s="10" t="s">
        <v>313</v>
      </c>
      <c r="D53" s="10" t="s">
        <v>277</v>
      </c>
      <c r="E53" s="11">
        <v>3000</v>
      </c>
      <c r="F53" s="12">
        <v>14956.92</v>
      </c>
      <c r="G53" s="13">
        <v>5.5314829000000003E-2</v>
      </c>
      <c r="H53" s="12">
        <v>3.625</v>
      </c>
    </row>
    <row r="54" spans="1:8" ht="17.100000000000001" customHeight="1" x14ac:dyDescent="0.2">
      <c r="A54" s="9">
        <v>3</v>
      </c>
      <c r="B54" s="10" t="s">
        <v>314</v>
      </c>
      <c r="C54" s="10" t="s">
        <v>315</v>
      </c>
      <c r="D54" s="10" t="s">
        <v>202</v>
      </c>
      <c r="E54" s="11">
        <v>2000</v>
      </c>
      <c r="F54" s="12">
        <v>9993.98</v>
      </c>
      <c r="G54" s="13">
        <v>3.6960503999999998E-2</v>
      </c>
      <c r="H54" s="12">
        <v>3.665</v>
      </c>
    </row>
    <row r="55" spans="1:8" ht="17.100000000000001" customHeight="1" x14ac:dyDescent="0.2">
      <c r="A55" s="9">
        <v>4</v>
      </c>
      <c r="B55" s="10" t="s">
        <v>316</v>
      </c>
      <c r="C55" s="10" t="s">
        <v>317</v>
      </c>
      <c r="D55" s="10" t="s">
        <v>277</v>
      </c>
      <c r="E55" s="11">
        <v>2000</v>
      </c>
      <c r="F55" s="12">
        <v>9979.4699999999993</v>
      </c>
      <c r="G55" s="13">
        <v>3.6906842000000002E-2</v>
      </c>
      <c r="H55" s="12">
        <v>3.7549999999999999</v>
      </c>
    </row>
    <row r="56" spans="1:8" ht="29.1" customHeight="1" x14ac:dyDescent="0.2">
      <c r="A56" s="9">
        <v>5</v>
      </c>
      <c r="B56" s="10" t="s">
        <v>318</v>
      </c>
      <c r="C56" s="10" t="s">
        <v>319</v>
      </c>
      <c r="D56" s="10" t="s">
        <v>277</v>
      </c>
      <c r="E56" s="11">
        <v>2000</v>
      </c>
      <c r="F56" s="12">
        <v>9952.1299999999992</v>
      </c>
      <c r="G56" s="13">
        <v>3.6805731000000001E-2</v>
      </c>
      <c r="H56" s="12">
        <v>4.62</v>
      </c>
    </row>
    <row r="57" spans="1:8" ht="29.1" customHeight="1" x14ac:dyDescent="0.2">
      <c r="A57" s="9">
        <v>6</v>
      </c>
      <c r="B57" s="10" t="s">
        <v>320</v>
      </c>
      <c r="C57" s="10" t="s">
        <v>321</v>
      </c>
      <c r="D57" s="10" t="s">
        <v>277</v>
      </c>
      <c r="E57" s="11">
        <v>1500</v>
      </c>
      <c r="F57" s="12">
        <v>7477.6575000000003</v>
      </c>
      <c r="G57" s="13">
        <v>2.7654446999999999E-2</v>
      </c>
      <c r="H57" s="12">
        <v>3.6355</v>
      </c>
    </row>
    <row r="58" spans="1:8" ht="17.100000000000001" customHeight="1" x14ac:dyDescent="0.2">
      <c r="A58" s="9">
        <v>7</v>
      </c>
      <c r="B58" s="10" t="s">
        <v>322</v>
      </c>
      <c r="C58" s="10" t="s">
        <v>323</v>
      </c>
      <c r="D58" s="10" t="s">
        <v>595</v>
      </c>
      <c r="E58" s="11">
        <v>1500</v>
      </c>
      <c r="F58" s="12">
        <v>7467.78</v>
      </c>
      <c r="G58" s="13">
        <v>2.7617916999999999E-2</v>
      </c>
      <c r="H58" s="12">
        <v>4.375</v>
      </c>
    </row>
    <row r="59" spans="1:8" ht="17.100000000000001" customHeight="1" x14ac:dyDescent="0.2">
      <c r="A59" s="9">
        <v>8</v>
      </c>
      <c r="B59" s="10" t="s">
        <v>324</v>
      </c>
      <c r="C59" s="10" t="s">
        <v>325</v>
      </c>
      <c r="D59" s="10" t="s">
        <v>277</v>
      </c>
      <c r="E59" s="11">
        <v>1300</v>
      </c>
      <c r="F59" s="12">
        <v>6465.3095000000003</v>
      </c>
      <c r="G59" s="13">
        <v>2.3910503999999999E-2</v>
      </c>
      <c r="H59" s="12">
        <v>4.5549999999999997</v>
      </c>
    </row>
    <row r="60" spans="1:8" ht="17.100000000000001" customHeight="1" x14ac:dyDescent="0.2">
      <c r="A60" s="9">
        <v>9</v>
      </c>
      <c r="B60" s="10" t="s">
        <v>326</v>
      </c>
      <c r="C60" s="10" t="s">
        <v>327</v>
      </c>
      <c r="D60" s="10" t="s">
        <v>277</v>
      </c>
      <c r="E60" s="11">
        <v>1000</v>
      </c>
      <c r="F60" s="12">
        <v>4998.9250000000002</v>
      </c>
      <c r="G60" s="13">
        <v>1.8487408E-2</v>
      </c>
      <c r="H60" s="12">
        <v>3.9249999999999998</v>
      </c>
    </row>
    <row r="61" spans="1:8" ht="17.100000000000001" customHeight="1" x14ac:dyDescent="0.2">
      <c r="A61" s="9">
        <v>10</v>
      </c>
      <c r="B61" s="10" t="s">
        <v>328</v>
      </c>
      <c r="C61" s="10" t="s">
        <v>329</v>
      </c>
      <c r="D61" s="10" t="s">
        <v>277</v>
      </c>
      <c r="E61" s="11">
        <v>1000</v>
      </c>
      <c r="F61" s="12">
        <v>4996.335</v>
      </c>
      <c r="G61" s="13">
        <v>1.8477829000000001E-2</v>
      </c>
      <c r="H61" s="12">
        <v>4.4649999999999999</v>
      </c>
    </row>
    <row r="62" spans="1:8" ht="29.1" customHeight="1" x14ac:dyDescent="0.2">
      <c r="A62" s="9">
        <v>11</v>
      </c>
      <c r="B62" s="10" t="s">
        <v>330</v>
      </c>
      <c r="C62" s="10" t="s">
        <v>514</v>
      </c>
      <c r="D62" s="10" t="s">
        <v>277</v>
      </c>
      <c r="E62" s="11">
        <v>1000</v>
      </c>
      <c r="F62" s="12">
        <v>4994.7299999999996</v>
      </c>
      <c r="G62" s="13">
        <v>1.8471893999999999E-2</v>
      </c>
      <c r="H62" s="12">
        <v>4.28</v>
      </c>
    </row>
    <row r="63" spans="1:8" ht="17.100000000000001" customHeight="1" x14ac:dyDescent="0.2">
      <c r="A63" s="9">
        <v>12</v>
      </c>
      <c r="B63" s="10" t="s">
        <v>331</v>
      </c>
      <c r="C63" s="10" t="s">
        <v>332</v>
      </c>
      <c r="D63" s="10" t="s">
        <v>594</v>
      </c>
      <c r="E63" s="11">
        <v>1000</v>
      </c>
      <c r="F63" s="12">
        <v>4992.08</v>
      </c>
      <c r="G63" s="13">
        <v>1.8462092999999999E-2</v>
      </c>
      <c r="H63" s="12">
        <v>3.6204999999999998</v>
      </c>
    </row>
    <row r="64" spans="1:8" ht="29.1" customHeight="1" x14ac:dyDescent="0.2">
      <c r="A64" s="9">
        <v>13</v>
      </c>
      <c r="B64" s="10" t="s">
        <v>333</v>
      </c>
      <c r="C64" s="10" t="s">
        <v>334</v>
      </c>
      <c r="D64" s="10" t="s">
        <v>277</v>
      </c>
      <c r="E64" s="11">
        <v>1000</v>
      </c>
      <c r="F64" s="12">
        <v>4987.915</v>
      </c>
      <c r="G64" s="13">
        <v>1.8446690000000002E-2</v>
      </c>
      <c r="H64" s="12">
        <v>3.6850000000000001</v>
      </c>
    </row>
    <row r="65" spans="1:8" ht="29.1" customHeight="1" x14ac:dyDescent="0.2">
      <c r="A65" s="9">
        <v>14</v>
      </c>
      <c r="B65" s="10" t="s">
        <v>335</v>
      </c>
      <c r="C65" s="10" t="s">
        <v>336</v>
      </c>
      <c r="D65" s="10" t="s">
        <v>277</v>
      </c>
      <c r="E65" s="11">
        <v>1000</v>
      </c>
      <c r="F65" s="12">
        <v>4987.21</v>
      </c>
      <c r="G65" s="13">
        <v>1.8444083E-2</v>
      </c>
      <c r="H65" s="12">
        <v>4.2549999999999999</v>
      </c>
    </row>
    <row r="66" spans="1:8" ht="17.100000000000001" customHeight="1" x14ac:dyDescent="0.2">
      <c r="A66" s="9">
        <v>15</v>
      </c>
      <c r="B66" s="10" t="s">
        <v>337</v>
      </c>
      <c r="C66" s="10" t="s">
        <v>338</v>
      </c>
      <c r="D66" s="10" t="s">
        <v>277</v>
      </c>
      <c r="E66" s="11">
        <v>1000</v>
      </c>
      <c r="F66" s="12">
        <v>4974.26</v>
      </c>
      <c r="G66" s="13">
        <v>1.839619E-2</v>
      </c>
      <c r="H66" s="12">
        <v>3.9350000000000001</v>
      </c>
    </row>
    <row r="67" spans="1:8" ht="29.1" customHeight="1" x14ac:dyDescent="0.2">
      <c r="A67" s="9">
        <v>16</v>
      </c>
      <c r="B67" s="10" t="s">
        <v>339</v>
      </c>
      <c r="C67" s="10" t="s">
        <v>340</v>
      </c>
      <c r="D67" s="10" t="s">
        <v>277</v>
      </c>
      <c r="E67" s="11">
        <v>1000</v>
      </c>
      <c r="F67" s="12">
        <v>4954.2</v>
      </c>
      <c r="G67" s="13">
        <v>1.8322003E-2</v>
      </c>
      <c r="H67" s="12">
        <v>3.97</v>
      </c>
    </row>
    <row r="68" spans="1:8" ht="29.1" customHeight="1" x14ac:dyDescent="0.2">
      <c r="A68" s="9">
        <v>17</v>
      </c>
      <c r="B68" s="10" t="s">
        <v>341</v>
      </c>
      <c r="C68" s="10" t="s">
        <v>342</v>
      </c>
      <c r="D68" s="10" t="s">
        <v>277</v>
      </c>
      <c r="E68" s="11">
        <v>1000</v>
      </c>
      <c r="F68" s="12">
        <v>4951.17</v>
      </c>
      <c r="G68" s="13">
        <v>1.8310797E-2</v>
      </c>
      <c r="H68" s="12">
        <v>4</v>
      </c>
    </row>
    <row r="69" spans="1:8" ht="29.1" customHeight="1" x14ac:dyDescent="0.2">
      <c r="A69" s="9">
        <v>18</v>
      </c>
      <c r="B69" s="10" t="s">
        <v>343</v>
      </c>
      <c r="C69" s="10" t="s">
        <v>512</v>
      </c>
      <c r="D69" s="10" t="s">
        <v>277</v>
      </c>
      <c r="E69" s="11">
        <v>800</v>
      </c>
      <c r="F69" s="12">
        <v>3951.4319999999998</v>
      </c>
      <c r="G69" s="13">
        <v>1.4613489E-2</v>
      </c>
      <c r="H69" s="12">
        <v>4.9850000000000003</v>
      </c>
    </row>
    <row r="70" spans="1:8" ht="29.1" customHeight="1" x14ac:dyDescent="0.2">
      <c r="A70" s="9">
        <v>19</v>
      </c>
      <c r="B70" s="10" t="s">
        <v>282</v>
      </c>
      <c r="C70" s="10" t="s">
        <v>283</v>
      </c>
      <c r="D70" s="10" t="s">
        <v>277</v>
      </c>
      <c r="E70" s="11">
        <v>600</v>
      </c>
      <c r="F70" s="12">
        <v>2996.703</v>
      </c>
      <c r="G70" s="13">
        <v>1.1082636999999999E-2</v>
      </c>
      <c r="H70" s="12">
        <v>4.4649999999999999</v>
      </c>
    </row>
    <row r="71" spans="1:8" ht="17.100000000000001" customHeight="1" x14ac:dyDescent="0.2">
      <c r="A71" s="9">
        <v>20</v>
      </c>
      <c r="B71" s="10" t="s">
        <v>344</v>
      </c>
      <c r="C71" s="10" t="s">
        <v>345</v>
      </c>
      <c r="D71" s="10" t="s">
        <v>277</v>
      </c>
      <c r="E71" s="11">
        <v>500</v>
      </c>
      <c r="F71" s="12">
        <v>2496.5700000000002</v>
      </c>
      <c r="G71" s="13">
        <v>9.2330069999999997E-3</v>
      </c>
      <c r="H71" s="12">
        <v>3.86</v>
      </c>
    </row>
    <row r="72" spans="1:8" ht="17.100000000000001" customHeight="1" x14ac:dyDescent="0.2">
      <c r="A72" s="9">
        <v>21</v>
      </c>
      <c r="B72" s="10" t="s">
        <v>346</v>
      </c>
      <c r="C72" s="10" t="s">
        <v>347</v>
      </c>
      <c r="D72" s="10" t="s">
        <v>277</v>
      </c>
      <c r="E72" s="11">
        <v>500</v>
      </c>
      <c r="F72" s="12">
        <v>2495.8474999999999</v>
      </c>
      <c r="G72" s="13">
        <v>9.2303349999999992E-3</v>
      </c>
      <c r="H72" s="12">
        <v>4.0503999999999998</v>
      </c>
    </row>
    <row r="73" spans="1:8" ht="29.1" customHeight="1" x14ac:dyDescent="0.2">
      <c r="A73" s="9">
        <v>22</v>
      </c>
      <c r="B73" s="10" t="s">
        <v>348</v>
      </c>
      <c r="C73" s="10" t="s">
        <v>513</v>
      </c>
      <c r="D73" s="10" t="s">
        <v>277</v>
      </c>
      <c r="E73" s="11">
        <v>500</v>
      </c>
      <c r="F73" s="12">
        <v>2492.915</v>
      </c>
      <c r="G73" s="13">
        <v>9.2194900000000003E-3</v>
      </c>
      <c r="H73" s="12">
        <v>4.5101000000000004</v>
      </c>
    </row>
    <row r="74" spans="1:8" ht="17.100000000000001" customHeight="1" x14ac:dyDescent="0.2">
      <c r="A74" s="9">
        <v>23</v>
      </c>
      <c r="B74" s="10" t="s">
        <v>349</v>
      </c>
      <c r="C74" s="10" t="s">
        <v>350</v>
      </c>
      <c r="D74" s="10" t="s">
        <v>595</v>
      </c>
      <c r="E74" s="11">
        <v>500</v>
      </c>
      <c r="F74" s="12">
        <v>2492.3775000000001</v>
      </c>
      <c r="G74" s="13">
        <v>9.2175020000000007E-3</v>
      </c>
      <c r="H74" s="12">
        <v>4.1349999999999998</v>
      </c>
    </row>
    <row r="75" spans="1:8" ht="17.100000000000001" customHeight="1" x14ac:dyDescent="0.2">
      <c r="A75" s="9">
        <v>24</v>
      </c>
      <c r="B75" s="10" t="s">
        <v>351</v>
      </c>
      <c r="C75" s="10" t="s">
        <v>352</v>
      </c>
      <c r="D75" s="10" t="s">
        <v>595</v>
      </c>
      <c r="E75" s="11">
        <v>500</v>
      </c>
      <c r="F75" s="12">
        <v>2488.13</v>
      </c>
      <c r="G75" s="13">
        <v>9.2017929999999998E-3</v>
      </c>
      <c r="H75" s="12">
        <v>4.0499000000000001</v>
      </c>
    </row>
    <row r="76" spans="1:8" ht="17.100000000000001" customHeight="1" x14ac:dyDescent="0.2">
      <c r="A76" s="9">
        <v>25</v>
      </c>
      <c r="B76" s="10" t="s">
        <v>353</v>
      </c>
      <c r="C76" s="10" t="s">
        <v>354</v>
      </c>
      <c r="D76" s="10" t="s">
        <v>595</v>
      </c>
      <c r="E76" s="11">
        <v>500</v>
      </c>
      <c r="F76" s="12">
        <v>2487.0949999999998</v>
      </c>
      <c r="G76" s="13">
        <v>9.1979660000000001E-3</v>
      </c>
      <c r="H76" s="12">
        <v>4.4050000000000002</v>
      </c>
    </row>
    <row r="77" spans="1:8" ht="14.1" customHeight="1" x14ac:dyDescent="0.2">
      <c r="A77" s="1"/>
      <c r="B77" s="1"/>
      <c r="C77" s="2" t="s">
        <v>11</v>
      </c>
      <c r="D77" s="1"/>
      <c r="E77" s="1" t="s">
        <v>12</v>
      </c>
      <c r="F77" s="7">
        <v>147998.802</v>
      </c>
      <c r="G77" s="8">
        <v>0.54734052899999996</v>
      </c>
      <c r="H77" s="12"/>
    </row>
    <row r="78" spans="1:8" ht="14.1" customHeight="1" x14ac:dyDescent="0.2">
      <c r="A78" s="1"/>
      <c r="B78" s="1"/>
      <c r="C78" s="5"/>
      <c r="D78" s="1"/>
      <c r="E78" s="1"/>
      <c r="F78" s="6"/>
      <c r="G78" s="6"/>
      <c r="H78" s="12"/>
    </row>
    <row r="79" spans="1:8" ht="14.1" customHeight="1" x14ac:dyDescent="0.2">
      <c r="A79" s="1"/>
      <c r="B79" s="1"/>
      <c r="C79" s="2" t="s">
        <v>124</v>
      </c>
      <c r="D79" s="1"/>
      <c r="E79" s="1"/>
      <c r="F79" s="6"/>
      <c r="G79" s="6"/>
      <c r="H79" s="12"/>
    </row>
    <row r="80" spans="1:8" ht="17.100000000000001" customHeight="1" x14ac:dyDescent="0.2">
      <c r="A80" s="9">
        <v>1</v>
      </c>
      <c r="B80" s="10" t="s">
        <v>355</v>
      </c>
      <c r="C80" s="10" t="s">
        <v>526</v>
      </c>
      <c r="D80" s="10" t="s">
        <v>106</v>
      </c>
      <c r="E80" s="11">
        <v>12500000</v>
      </c>
      <c r="F80" s="12">
        <v>12418.174999999999</v>
      </c>
      <c r="G80" s="13">
        <v>4.5925847999999998E-2</v>
      </c>
      <c r="H80" s="12">
        <v>3.7</v>
      </c>
    </row>
    <row r="81" spans="1:8" ht="17.100000000000001" customHeight="1" x14ac:dyDescent="0.2">
      <c r="A81" s="9">
        <v>2</v>
      </c>
      <c r="B81" s="10" t="s">
        <v>356</v>
      </c>
      <c r="C81" s="10" t="s">
        <v>527</v>
      </c>
      <c r="D81" s="10" t="s">
        <v>106</v>
      </c>
      <c r="E81" s="11">
        <v>10000000</v>
      </c>
      <c r="F81" s="12">
        <v>9957.99</v>
      </c>
      <c r="G81" s="13">
        <v>3.6827403000000002E-2</v>
      </c>
      <c r="H81" s="12">
        <v>3.5</v>
      </c>
    </row>
    <row r="82" spans="1:8" ht="17.100000000000001" customHeight="1" x14ac:dyDescent="0.2">
      <c r="A82" s="9">
        <v>3</v>
      </c>
      <c r="B82" s="10" t="s">
        <v>357</v>
      </c>
      <c r="C82" s="10" t="s">
        <v>528</v>
      </c>
      <c r="D82" s="10" t="s">
        <v>106</v>
      </c>
      <c r="E82" s="11">
        <v>10000000</v>
      </c>
      <c r="F82" s="12">
        <v>9950.23</v>
      </c>
      <c r="G82" s="13">
        <v>3.6798704000000002E-2</v>
      </c>
      <c r="H82" s="12">
        <v>3.58</v>
      </c>
    </row>
    <row r="83" spans="1:8" ht="17.100000000000001" customHeight="1" x14ac:dyDescent="0.2">
      <c r="A83" s="9">
        <v>4</v>
      </c>
      <c r="B83" s="10" t="s">
        <v>358</v>
      </c>
      <c r="C83" s="10" t="s">
        <v>524</v>
      </c>
      <c r="D83" s="10" t="s">
        <v>106</v>
      </c>
      <c r="E83" s="11">
        <v>2980000</v>
      </c>
      <c r="F83" s="12">
        <v>2979.4516800000001</v>
      </c>
      <c r="G83" s="13">
        <v>1.1018837E-2</v>
      </c>
      <c r="H83" s="12">
        <v>3.35</v>
      </c>
    </row>
    <row r="84" spans="1:8" ht="17.100000000000001" customHeight="1" x14ac:dyDescent="0.2">
      <c r="A84" s="9">
        <v>5</v>
      </c>
      <c r="B84" s="10" t="s">
        <v>359</v>
      </c>
      <c r="C84" s="10" t="s">
        <v>529</v>
      </c>
      <c r="D84" s="10" t="s">
        <v>106</v>
      </c>
      <c r="E84" s="11">
        <v>1000000</v>
      </c>
      <c r="F84" s="12">
        <v>997.26499999999999</v>
      </c>
      <c r="G84" s="13">
        <v>3.688162E-3</v>
      </c>
      <c r="H84" s="12">
        <v>3.3374999999999999</v>
      </c>
    </row>
    <row r="85" spans="1:8" ht="14.1" customHeight="1" x14ac:dyDescent="0.2">
      <c r="A85" s="1"/>
      <c r="B85" s="1"/>
      <c r="C85" s="2" t="s">
        <v>11</v>
      </c>
      <c r="D85" s="1"/>
      <c r="E85" s="1" t="s">
        <v>12</v>
      </c>
      <c r="F85" s="7">
        <v>36303.111680000002</v>
      </c>
      <c r="G85" s="8">
        <v>0.13425895400000001</v>
      </c>
      <c r="H85" s="12"/>
    </row>
    <row r="86" spans="1:8" ht="14.1" customHeight="1" x14ac:dyDescent="0.2">
      <c r="A86" s="1"/>
      <c r="B86" s="1"/>
      <c r="C86" s="5"/>
      <c r="D86" s="1"/>
      <c r="E86" s="1"/>
      <c r="F86" s="6"/>
      <c r="G86" s="6"/>
      <c r="H86" s="12"/>
    </row>
    <row r="87" spans="1:8" ht="14.1" customHeight="1" x14ac:dyDescent="0.2">
      <c r="A87" s="1"/>
      <c r="B87" s="1"/>
      <c r="C87" s="2" t="s">
        <v>125</v>
      </c>
      <c r="D87" s="1"/>
      <c r="E87" s="1"/>
      <c r="F87" s="6"/>
      <c r="G87" s="6"/>
      <c r="H87" s="12"/>
    </row>
    <row r="88" spans="1:8" ht="17.100000000000001" customHeight="1" x14ac:dyDescent="0.2">
      <c r="A88" s="9">
        <v>1</v>
      </c>
      <c r="B88" s="10"/>
      <c r="C88" s="10" t="s">
        <v>126</v>
      </c>
      <c r="D88" s="10"/>
      <c r="E88" s="14"/>
      <c r="F88" s="12">
        <v>31576.935232799999</v>
      </c>
      <c r="G88" s="13">
        <v>0.116780245</v>
      </c>
      <c r="H88" s="12">
        <v>3.2903893505936708</v>
      </c>
    </row>
    <row r="89" spans="1:8" ht="17.100000000000001" customHeight="1" x14ac:dyDescent="0.2">
      <c r="A89" s="9">
        <v>2</v>
      </c>
      <c r="B89" s="10"/>
      <c r="C89" s="10" t="s">
        <v>127</v>
      </c>
      <c r="D89" s="10"/>
      <c r="E89" s="14"/>
      <c r="F89" s="12">
        <v>13991.8768</v>
      </c>
      <c r="G89" s="13">
        <v>5.1745831999999999E-2</v>
      </c>
      <c r="H89" s="12">
        <v>3.2766870282233538</v>
      </c>
    </row>
    <row r="90" spans="1:8" ht="14.1" customHeight="1" x14ac:dyDescent="0.2">
      <c r="A90" s="1"/>
      <c r="B90" s="1"/>
      <c r="C90" s="2" t="s">
        <v>11</v>
      </c>
      <c r="D90" s="1"/>
      <c r="E90" s="1" t="s">
        <v>12</v>
      </c>
      <c r="F90" s="7">
        <v>45568.8120328</v>
      </c>
      <c r="G90" s="8">
        <v>0.168526077</v>
      </c>
      <c r="H90" s="12"/>
    </row>
    <row r="91" spans="1:8" ht="14.1" customHeight="1" x14ac:dyDescent="0.2">
      <c r="A91" s="1"/>
      <c r="B91" s="1"/>
      <c r="C91" s="5"/>
      <c r="D91" s="1"/>
      <c r="E91" s="1"/>
      <c r="F91" s="6"/>
      <c r="G91" s="6"/>
      <c r="H91" s="12"/>
    </row>
    <row r="92" spans="1:8" ht="14.1" customHeight="1" x14ac:dyDescent="0.2">
      <c r="A92" s="1"/>
      <c r="B92" s="1"/>
      <c r="C92" s="2" t="s">
        <v>128</v>
      </c>
      <c r="D92" s="1"/>
      <c r="E92" s="1"/>
      <c r="F92" s="7">
        <v>264734.70321280003</v>
      </c>
      <c r="G92" s="8">
        <v>0.97906219699999997</v>
      </c>
      <c r="H92" s="12"/>
    </row>
    <row r="93" spans="1:8" ht="14.1" customHeight="1" x14ac:dyDescent="0.2">
      <c r="A93" s="1"/>
      <c r="B93" s="1"/>
      <c r="C93" s="6"/>
      <c r="D93" s="1"/>
      <c r="E93" s="1"/>
      <c r="F93" s="1"/>
      <c r="G93" s="1"/>
      <c r="H93" s="12"/>
    </row>
    <row r="94" spans="1:8" ht="14.1" customHeight="1" x14ac:dyDescent="0.2">
      <c r="A94" s="1"/>
      <c r="B94" s="1"/>
      <c r="C94" s="2" t="s">
        <v>129</v>
      </c>
      <c r="D94" s="1"/>
      <c r="E94" s="1"/>
      <c r="F94" s="1"/>
      <c r="G94" s="1"/>
      <c r="H94" s="12"/>
    </row>
    <row r="95" spans="1:8" ht="14.1" customHeight="1" x14ac:dyDescent="0.2">
      <c r="A95" s="1"/>
      <c r="B95" s="1"/>
      <c r="C95" s="2" t="s">
        <v>130</v>
      </c>
      <c r="D95" s="1"/>
      <c r="E95" s="1"/>
      <c r="F95" s="1"/>
      <c r="G95" s="1"/>
      <c r="H95" s="12"/>
    </row>
    <row r="96" spans="1:8" ht="14.1" customHeight="1" x14ac:dyDescent="0.2">
      <c r="A96" s="1"/>
      <c r="B96" s="1"/>
      <c r="C96" s="2" t="s">
        <v>11</v>
      </c>
      <c r="D96" s="1"/>
      <c r="E96" s="1" t="s">
        <v>12</v>
      </c>
      <c r="F96" s="3">
        <v>0</v>
      </c>
      <c r="G96" s="4">
        <v>0</v>
      </c>
      <c r="H96" s="12"/>
    </row>
    <row r="97" spans="1:16" ht="14.1" customHeight="1" x14ac:dyDescent="0.2">
      <c r="A97" s="1"/>
      <c r="B97" s="1"/>
      <c r="C97" s="5"/>
      <c r="D97" s="1"/>
      <c r="E97" s="1"/>
      <c r="F97" s="6"/>
      <c r="G97" s="6"/>
      <c r="H97" s="12"/>
    </row>
    <row r="98" spans="1:16" ht="14.1" customHeight="1" x14ac:dyDescent="0.2">
      <c r="A98" s="1"/>
      <c r="B98" s="1"/>
      <c r="C98" s="2" t="s">
        <v>131</v>
      </c>
      <c r="D98" s="1"/>
      <c r="E98" s="1"/>
      <c r="F98" s="1"/>
      <c r="G98" s="1"/>
      <c r="H98" s="12"/>
    </row>
    <row r="99" spans="1:16" ht="14.1" customHeight="1" x14ac:dyDescent="0.2">
      <c r="A99" s="1"/>
      <c r="B99" s="1"/>
      <c r="C99" s="2" t="s">
        <v>132</v>
      </c>
      <c r="D99" s="1"/>
      <c r="E99" s="1"/>
      <c r="F99" s="1"/>
      <c r="G99" s="1"/>
      <c r="H99" s="12"/>
    </row>
    <row r="100" spans="1:16" ht="14.1" customHeight="1" x14ac:dyDescent="0.2">
      <c r="A100" s="1"/>
      <c r="B100" s="1"/>
      <c r="C100" s="2" t="s">
        <v>11</v>
      </c>
      <c r="D100" s="1"/>
      <c r="E100" s="1" t="s">
        <v>12</v>
      </c>
      <c r="F100" s="3">
        <v>0</v>
      </c>
      <c r="G100" s="4">
        <v>0</v>
      </c>
      <c r="H100" s="12"/>
    </row>
    <row r="101" spans="1:16" ht="14.1" customHeight="1" x14ac:dyDescent="0.2">
      <c r="A101" s="1"/>
      <c r="B101" s="1"/>
      <c r="C101" s="5"/>
      <c r="D101" s="1"/>
      <c r="E101" s="1"/>
      <c r="F101" s="6"/>
      <c r="G101" s="6"/>
      <c r="H101" s="12"/>
    </row>
    <row r="102" spans="1:16" ht="24" customHeight="1" x14ac:dyDescent="0.2">
      <c r="A102" s="1"/>
      <c r="B102" s="1"/>
      <c r="C102" s="2" t="s">
        <v>133</v>
      </c>
      <c r="D102" s="1"/>
      <c r="E102" s="1"/>
      <c r="F102" s="6"/>
      <c r="G102" s="6"/>
      <c r="H102" s="12"/>
    </row>
    <row r="103" spans="1:16" ht="14.1" customHeight="1" x14ac:dyDescent="0.2">
      <c r="A103" s="1"/>
      <c r="B103" s="1"/>
      <c r="C103" s="2" t="s">
        <v>11</v>
      </c>
      <c r="D103" s="1"/>
      <c r="E103" s="1" t="s">
        <v>12</v>
      </c>
      <c r="F103" s="3">
        <v>0</v>
      </c>
      <c r="G103" s="4">
        <v>0</v>
      </c>
      <c r="H103" s="12"/>
    </row>
    <row r="104" spans="1:16" ht="14.1" customHeight="1" x14ac:dyDescent="0.2">
      <c r="A104" s="1"/>
      <c r="B104" s="1"/>
      <c r="C104" s="5"/>
      <c r="D104" s="1"/>
      <c r="E104" s="1"/>
      <c r="F104" s="6"/>
      <c r="G104" s="6"/>
      <c r="H104" s="12"/>
    </row>
    <row r="105" spans="1:16" ht="14.1" customHeight="1" x14ac:dyDescent="0.2">
      <c r="A105" s="1"/>
      <c r="B105" s="10"/>
      <c r="C105" s="10"/>
      <c r="D105" s="2"/>
      <c r="E105" s="1"/>
      <c r="F105" s="10"/>
      <c r="G105" s="14"/>
      <c r="H105" s="12"/>
    </row>
    <row r="106" spans="1:16" ht="18" customHeight="1" x14ac:dyDescent="0.2">
      <c r="A106" s="14"/>
      <c r="B106" s="10"/>
      <c r="C106" s="10" t="s">
        <v>134</v>
      </c>
      <c r="D106" s="10"/>
      <c r="E106" s="14"/>
      <c r="F106" s="12">
        <v>642.70426912000005</v>
      </c>
      <c r="G106" s="13">
        <v>2.3768980000000001E-3</v>
      </c>
      <c r="H106" s="12"/>
    </row>
    <row r="107" spans="1:16" ht="14.1" customHeight="1" x14ac:dyDescent="0.2">
      <c r="A107" s="5"/>
      <c r="B107" s="5"/>
      <c r="C107" s="2" t="s">
        <v>135</v>
      </c>
      <c r="D107" s="6"/>
      <c r="E107" s="6"/>
      <c r="F107" s="7">
        <v>270396.20748192002</v>
      </c>
      <c r="G107" s="8">
        <v>1.0000000060000001</v>
      </c>
      <c r="H107" s="12"/>
    </row>
    <row r="108" spans="1:16" ht="14.1" customHeight="1" x14ac:dyDescent="0.2">
      <c r="A108" s="15"/>
      <c r="B108" s="15"/>
      <c r="C108" s="15"/>
      <c r="D108" s="16"/>
      <c r="E108" s="16"/>
      <c r="F108" s="16"/>
      <c r="G108" s="16"/>
    </row>
    <row r="109" spans="1:16" ht="17.100000000000001" customHeight="1" x14ac:dyDescent="0.2">
      <c r="A109" s="17"/>
      <c r="B109" s="98" t="s">
        <v>136</v>
      </c>
      <c r="C109" s="98"/>
      <c r="D109" s="98"/>
      <c r="E109" s="98"/>
      <c r="F109" s="98"/>
      <c r="G109" s="19"/>
    </row>
    <row r="110" spans="1:16" ht="17.100000000000001" customHeight="1" x14ac:dyDescent="0.2">
      <c r="A110" s="17"/>
      <c r="B110" s="98" t="s">
        <v>137</v>
      </c>
      <c r="C110" s="98"/>
      <c r="D110" s="98"/>
      <c r="E110" s="98"/>
      <c r="F110" s="98"/>
      <c r="G110" s="19"/>
    </row>
    <row r="111" spans="1:16" ht="14.1" customHeight="1" x14ac:dyDescent="0.2">
      <c r="A111" s="85"/>
      <c r="B111" s="86" t="s">
        <v>626</v>
      </c>
      <c r="C111" s="86"/>
      <c r="D111" s="86"/>
      <c r="E111" s="86"/>
      <c r="F111" s="86"/>
      <c r="G111" s="87"/>
      <c r="I111" s="58"/>
      <c r="P111" s="58"/>
    </row>
    <row r="112" spans="1:16" ht="14.1" customHeight="1" x14ac:dyDescent="0.2">
      <c r="A112" s="17"/>
      <c r="B112" s="17"/>
      <c r="C112" s="17"/>
      <c r="D112" s="19"/>
      <c r="E112" s="19"/>
      <c r="F112" s="19"/>
      <c r="G112" s="19"/>
    </row>
    <row r="113" spans="1:7" ht="14.1" customHeight="1" x14ac:dyDescent="0.2">
      <c r="A113" s="17"/>
      <c r="B113" s="99" t="s">
        <v>138</v>
      </c>
      <c r="C113" s="100"/>
      <c r="D113" s="101"/>
      <c r="E113" s="20"/>
      <c r="F113" s="19"/>
      <c r="G113" s="19"/>
    </row>
    <row r="114" spans="1:7" ht="29.1" customHeight="1" x14ac:dyDescent="0.2">
      <c r="A114" s="17"/>
      <c r="B114" s="95" t="s">
        <v>139</v>
      </c>
      <c r="C114" s="96"/>
      <c r="D114" s="2" t="s">
        <v>567</v>
      </c>
      <c r="E114" s="20"/>
      <c r="F114" s="19"/>
      <c r="G114" s="19"/>
    </row>
    <row r="115" spans="1:7" ht="17.100000000000001" customHeight="1" x14ac:dyDescent="0.2">
      <c r="A115" s="17"/>
      <c r="B115" s="95" t="s">
        <v>141</v>
      </c>
      <c r="C115" s="96"/>
      <c r="D115" s="2" t="s">
        <v>140</v>
      </c>
      <c r="E115" s="20"/>
      <c r="F115" s="19"/>
      <c r="G115" s="19"/>
    </row>
    <row r="116" spans="1:7" ht="17.100000000000001" customHeight="1" x14ac:dyDescent="0.2">
      <c r="A116" s="17"/>
      <c r="B116" s="95" t="s">
        <v>142</v>
      </c>
      <c r="C116" s="96"/>
      <c r="D116" s="6" t="s">
        <v>12</v>
      </c>
      <c r="E116" s="20"/>
      <c r="F116" s="19"/>
      <c r="G116" s="19"/>
    </row>
    <row r="117" spans="1:7" ht="24" customHeight="1" x14ac:dyDescent="0.2">
      <c r="A117" s="21"/>
      <c r="B117" s="22" t="s">
        <v>12</v>
      </c>
      <c r="C117" s="22" t="s">
        <v>143</v>
      </c>
      <c r="D117" s="22" t="s">
        <v>144</v>
      </c>
      <c r="E117" s="21"/>
      <c r="F117" s="21"/>
      <c r="G117" s="21"/>
    </row>
    <row r="118" spans="1:7" ht="18" customHeight="1" x14ac:dyDescent="0.2">
      <c r="A118" s="21"/>
      <c r="B118" s="23" t="s">
        <v>145</v>
      </c>
      <c r="C118" s="22" t="s">
        <v>146</v>
      </c>
      <c r="D118" s="22" t="s">
        <v>147</v>
      </c>
      <c r="E118" s="21"/>
      <c r="F118" s="21"/>
      <c r="G118" s="21"/>
    </row>
    <row r="119" spans="1:7" ht="17.100000000000001" customHeight="1" x14ac:dyDescent="0.2">
      <c r="A119" s="21"/>
      <c r="B119" s="10" t="s">
        <v>148</v>
      </c>
      <c r="C119" s="24">
        <v>1867.6751999999999</v>
      </c>
      <c r="D119" s="24">
        <v>1872.9404999999999</v>
      </c>
      <c r="E119" s="21"/>
      <c r="F119" s="18"/>
      <c r="G119" s="25"/>
    </row>
    <row r="120" spans="1:7" ht="17.100000000000001" customHeight="1" x14ac:dyDescent="0.2">
      <c r="A120" s="21"/>
      <c r="B120" s="10" t="s">
        <v>203</v>
      </c>
      <c r="C120" s="24">
        <v>1027.0581</v>
      </c>
      <c r="D120" s="24">
        <v>1029.9532999999999</v>
      </c>
      <c r="E120" s="21"/>
      <c r="F120" s="18"/>
      <c r="G120" s="25"/>
    </row>
    <row r="121" spans="1:7" ht="29.1" customHeight="1" x14ac:dyDescent="0.2">
      <c r="A121" s="21"/>
      <c r="B121" s="10" t="s">
        <v>609</v>
      </c>
      <c r="C121" s="24">
        <v>1000.6367</v>
      </c>
      <c r="D121" s="24">
        <v>1000.6367</v>
      </c>
      <c r="E121" s="21"/>
      <c r="F121" s="18"/>
      <c r="G121" s="25"/>
    </row>
    <row r="122" spans="1:7" ht="29.1" customHeight="1" x14ac:dyDescent="0.2">
      <c r="A122" s="21"/>
      <c r="B122" s="10" t="s">
        <v>614</v>
      </c>
      <c r="C122" s="24">
        <v>1007.3544000000001</v>
      </c>
      <c r="D122" s="24">
        <v>1007.3294</v>
      </c>
      <c r="E122" s="21"/>
      <c r="F122" s="18"/>
      <c r="G122" s="25"/>
    </row>
    <row r="123" spans="1:7" ht="29.1" customHeight="1" x14ac:dyDescent="0.2">
      <c r="A123" s="21"/>
      <c r="B123" s="10" t="s">
        <v>615</v>
      </c>
      <c r="C123" s="24">
        <v>1024.5045</v>
      </c>
      <c r="D123" s="24">
        <v>1024.4816000000001</v>
      </c>
      <c r="E123" s="21"/>
      <c r="F123" s="18"/>
      <c r="G123" s="25"/>
    </row>
    <row r="124" spans="1:7" ht="29.1" customHeight="1" x14ac:dyDescent="0.2">
      <c r="A124" s="21"/>
      <c r="B124" s="10" t="s">
        <v>600</v>
      </c>
      <c r="C124" s="24">
        <v>1025.4563000000001</v>
      </c>
      <c r="D124" s="24">
        <v>1025.2668000000001</v>
      </c>
      <c r="E124" s="21"/>
      <c r="F124" s="18"/>
      <c r="G124" s="25"/>
    </row>
    <row r="125" spans="1:7" ht="29.1" customHeight="1" x14ac:dyDescent="0.2">
      <c r="A125" s="21"/>
      <c r="B125" s="10" t="s">
        <v>601</v>
      </c>
      <c r="C125" s="24">
        <v>1027.0615</v>
      </c>
      <c r="D125" s="24">
        <v>1029.9568999999999</v>
      </c>
      <c r="E125" s="21"/>
      <c r="F125" s="18"/>
      <c r="G125" s="25"/>
    </row>
    <row r="126" spans="1:7" ht="17.100000000000001" customHeight="1" x14ac:dyDescent="0.2">
      <c r="A126" s="21"/>
      <c r="B126" s="10" t="s">
        <v>149</v>
      </c>
      <c r="C126" s="24">
        <v>1855.1968999999999</v>
      </c>
      <c r="D126" s="24">
        <v>1860.27</v>
      </c>
      <c r="E126" s="21"/>
      <c r="F126" s="18"/>
      <c r="G126" s="25"/>
    </row>
    <row r="127" spans="1:7" ht="17.100000000000001" customHeight="1" x14ac:dyDescent="0.2">
      <c r="A127" s="21"/>
      <c r="B127" s="10" t="s">
        <v>205</v>
      </c>
      <c r="C127" s="24">
        <v>1026.9106999999999</v>
      </c>
      <c r="D127" s="24">
        <v>1029.7186999999999</v>
      </c>
      <c r="E127" s="21"/>
      <c r="F127" s="18"/>
      <c r="G127" s="25"/>
    </row>
    <row r="128" spans="1:7" ht="29.1" customHeight="1" x14ac:dyDescent="0.2">
      <c r="A128" s="21"/>
      <c r="B128" s="10" t="s">
        <v>611</v>
      </c>
      <c r="C128" s="24">
        <v>1000.8893</v>
      </c>
      <c r="D128" s="24">
        <v>1000.8893</v>
      </c>
      <c r="E128" s="21"/>
      <c r="F128" s="18"/>
      <c r="G128" s="25"/>
    </row>
    <row r="129" spans="1:7" ht="29.1" customHeight="1" x14ac:dyDescent="0.2">
      <c r="A129" s="21"/>
      <c r="B129" s="10" t="s">
        <v>612</v>
      </c>
      <c r="C129" s="24">
        <v>1006.8848</v>
      </c>
      <c r="D129" s="24">
        <v>1006.8617</v>
      </c>
      <c r="E129" s="21"/>
      <c r="F129" s="18"/>
      <c r="G129" s="25"/>
    </row>
    <row r="130" spans="1:7" ht="29.1" customHeight="1" x14ac:dyDescent="0.2">
      <c r="A130" s="21"/>
      <c r="B130" s="10" t="s">
        <v>616</v>
      </c>
      <c r="C130" s="24">
        <v>1024.4417000000001</v>
      </c>
      <c r="D130" s="24">
        <v>1024.4169999999999</v>
      </c>
      <c r="E130" s="21"/>
      <c r="F130" s="18"/>
      <c r="G130" s="25"/>
    </row>
    <row r="131" spans="1:7" ht="29.1" customHeight="1" x14ac:dyDescent="0.2">
      <c r="A131" s="21"/>
      <c r="B131" s="10" t="s">
        <v>604</v>
      </c>
      <c r="C131" s="24">
        <v>1025.3574000000001</v>
      </c>
      <c r="D131" s="24">
        <v>1025.1776</v>
      </c>
      <c r="E131" s="21"/>
      <c r="F131" s="18"/>
      <c r="G131" s="25"/>
    </row>
    <row r="132" spans="1:7" ht="29.1" customHeight="1" x14ac:dyDescent="0.2">
      <c r="A132" s="21"/>
      <c r="B132" s="10" t="s">
        <v>605</v>
      </c>
      <c r="C132" s="24">
        <v>1026.9112</v>
      </c>
      <c r="D132" s="24">
        <v>1029.7188000000001</v>
      </c>
      <c r="E132" s="21"/>
      <c r="F132" s="18"/>
      <c r="G132" s="25"/>
    </row>
    <row r="133" spans="1:7" ht="14.1" customHeight="1" x14ac:dyDescent="0.2">
      <c r="A133" s="21"/>
      <c r="B133" s="21"/>
      <c r="C133" s="21"/>
      <c r="D133" s="21"/>
      <c r="E133" s="21"/>
      <c r="F133" s="21"/>
      <c r="G133" s="21"/>
    </row>
    <row r="134" spans="1:7" ht="17.100000000000001" customHeight="1" x14ac:dyDescent="0.2">
      <c r="A134" s="21"/>
      <c r="B134" s="95" t="s">
        <v>608</v>
      </c>
      <c r="C134" s="96"/>
      <c r="D134" s="2" t="s">
        <v>12</v>
      </c>
      <c r="E134" s="21"/>
      <c r="F134" s="21"/>
      <c r="G134" s="21"/>
    </row>
    <row r="135" spans="1:7" ht="18" customHeight="1" x14ac:dyDescent="0.2">
      <c r="A135" s="21"/>
      <c r="B135" s="26" t="s">
        <v>145</v>
      </c>
      <c r="C135" s="27" t="s">
        <v>150</v>
      </c>
      <c r="D135" s="27" t="s">
        <v>151</v>
      </c>
      <c r="E135" s="21"/>
      <c r="F135" s="21"/>
      <c r="G135" s="21"/>
    </row>
    <row r="136" spans="1:7" ht="29.1" customHeight="1" x14ac:dyDescent="0.2">
      <c r="A136" s="21"/>
      <c r="B136" s="10" t="s">
        <v>609</v>
      </c>
      <c r="C136" s="28">
        <v>2.8263790000000002</v>
      </c>
      <c r="D136" s="28">
        <v>2.8263790000000002</v>
      </c>
      <c r="E136" s="21"/>
      <c r="F136" s="18"/>
      <c r="G136" s="25"/>
    </row>
    <row r="137" spans="1:7" ht="29.1" customHeight="1" x14ac:dyDescent="0.2">
      <c r="A137" s="21"/>
      <c r="B137" s="10" t="s">
        <v>614</v>
      </c>
      <c r="C137" s="28">
        <v>2.8595000000000002</v>
      </c>
      <c r="D137" s="14" t="s">
        <v>152</v>
      </c>
      <c r="E137" s="21"/>
      <c r="F137" s="18"/>
      <c r="G137" s="25"/>
    </row>
    <row r="138" spans="1:7" ht="29.1" customHeight="1" x14ac:dyDescent="0.2">
      <c r="A138" s="21"/>
      <c r="B138" s="10" t="s">
        <v>615</v>
      </c>
      <c r="C138" s="28">
        <v>2.9087999999999998</v>
      </c>
      <c r="D138" s="14" t="s">
        <v>152</v>
      </c>
      <c r="E138" s="21"/>
      <c r="F138" s="18"/>
      <c r="G138" s="25"/>
    </row>
    <row r="139" spans="1:7" ht="29.1" customHeight="1" x14ac:dyDescent="0.2">
      <c r="A139" s="21"/>
      <c r="B139" s="10" t="s">
        <v>600</v>
      </c>
      <c r="C139" s="28">
        <v>3.0773999999999999</v>
      </c>
      <c r="D139" s="14" t="s">
        <v>152</v>
      </c>
      <c r="E139" s="21"/>
      <c r="F139" s="18"/>
      <c r="G139" s="25"/>
    </row>
    <row r="140" spans="1:7" ht="29.1" customHeight="1" x14ac:dyDescent="0.2">
      <c r="A140" s="21"/>
      <c r="B140" s="10" t="s">
        <v>611</v>
      </c>
      <c r="C140" s="28">
        <v>2.754378</v>
      </c>
      <c r="D140" s="28">
        <v>2.754378</v>
      </c>
      <c r="E140" s="21"/>
      <c r="F140" s="18"/>
      <c r="G140" s="25"/>
    </row>
    <row r="141" spans="1:7" ht="29.1" customHeight="1" x14ac:dyDescent="0.2">
      <c r="A141" s="21"/>
      <c r="B141" s="10" t="s">
        <v>612</v>
      </c>
      <c r="C141" s="28">
        <v>2.7722000000000002</v>
      </c>
      <c r="D141" s="28">
        <v>2.7722000000000002</v>
      </c>
      <c r="E141" s="21"/>
      <c r="F141" s="18"/>
      <c r="G141" s="25"/>
    </row>
    <row r="142" spans="1:7" ht="29.1" customHeight="1" x14ac:dyDescent="0.2">
      <c r="A142" s="21"/>
      <c r="B142" s="10" t="s">
        <v>616</v>
      </c>
      <c r="C142" s="28">
        <v>2.8231999999999999</v>
      </c>
      <c r="D142" s="14" t="s">
        <v>152</v>
      </c>
      <c r="E142" s="21"/>
      <c r="F142" s="18"/>
      <c r="G142" s="25"/>
    </row>
    <row r="143" spans="1:7" ht="29.1" customHeight="1" x14ac:dyDescent="0.2">
      <c r="A143" s="21"/>
      <c r="B143" s="10" t="s">
        <v>604</v>
      </c>
      <c r="C143" s="28">
        <v>2.9811999999999999</v>
      </c>
      <c r="D143" s="14" t="s">
        <v>152</v>
      </c>
      <c r="E143" s="21"/>
      <c r="F143" s="18"/>
      <c r="G143" s="25"/>
    </row>
    <row r="144" spans="1:7" ht="14.1" customHeight="1" x14ac:dyDescent="0.2">
      <c r="A144" s="21"/>
      <c r="B144" s="29"/>
      <c r="C144" s="29"/>
      <c r="D144" s="30"/>
      <c r="E144" s="21"/>
      <c r="F144" s="18"/>
      <c r="G144" s="25"/>
    </row>
    <row r="145" spans="1:16" x14ac:dyDescent="0.2">
      <c r="A145" s="82"/>
      <c r="B145" s="104" t="s">
        <v>619</v>
      </c>
      <c r="C145" s="104"/>
      <c r="D145" s="104"/>
      <c r="E145" s="104"/>
      <c r="F145" s="104"/>
      <c r="G145" s="82"/>
      <c r="I145" s="58"/>
      <c r="P145" s="58"/>
    </row>
    <row r="146" spans="1:16" ht="14.1" customHeight="1" x14ac:dyDescent="0.2">
      <c r="A146" s="21"/>
      <c r="B146" s="18"/>
      <c r="C146" s="18"/>
      <c r="D146" s="21"/>
      <c r="E146" s="21"/>
      <c r="F146" s="21"/>
      <c r="G146" s="21"/>
    </row>
    <row r="147" spans="1:16" ht="29.1" customHeight="1" x14ac:dyDescent="0.2">
      <c r="A147" s="21"/>
      <c r="B147" s="95" t="s">
        <v>153</v>
      </c>
      <c r="C147" s="96"/>
      <c r="D147" s="2" t="s">
        <v>140</v>
      </c>
      <c r="E147" s="31"/>
      <c r="F147" s="21"/>
      <c r="G147" s="21"/>
    </row>
    <row r="148" spans="1:16" ht="29.1" customHeight="1" x14ac:dyDescent="0.2">
      <c r="A148" s="21"/>
      <c r="B148" s="95" t="s">
        <v>154</v>
      </c>
      <c r="C148" s="96"/>
      <c r="D148" s="2" t="s">
        <v>140</v>
      </c>
      <c r="E148" s="31"/>
      <c r="F148" s="21"/>
      <c r="G148" s="21"/>
    </row>
    <row r="149" spans="1:16" ht="17.100000000000001" customHeight="1" x14ac:dyDescent="0.2">
      <c r="A149" s="21"/>
      <c r="B149" s="95" t="s">
        <v>155</v>
      </c>
      <c r="C149" s="96"/>
      <c r="D149" s="32">
        <v>8.1415497343244422E-2</v>
      </c>
      <c r="E149" s="31"/>
      <c r="F149" s="21"/>
      <c r="G149" s="21"/>
    </row>
    <row r="150" spans="1:16" ht="17.100000000000001" customHeight="1" x14ac:dyDescent="0.2">
      <c r="A150" s="21"/>
      <c r="B150" s="95" t="s">
        <v>156</v>
      </c>
      <c r="C150" s="96"/>
      <c r="D150" s="32">
        <v>8.1415497343244422E-2</v>
      </c>
      <c r="E150" s="31"/>
      <c r="F150" s="21"/>
      <c r="G150" s="21"/>
    </row>
    <row r="151" spans="1:16" ht="17.100000000000001" customHeight="1" x14ac:dyDescent="0.2">
      <c r="A151" s="21"/>
      <c r="B151" s="95" t="s">
        <v>157</v>
      </c>
      <c r="C151" s="96"/>
      <c r="D151" s="2" t="s">
        <v>140</v>
      </c>
      <c r="E151" s="31"/>
      <c r="F151" s="21"/>
      <c r="G151" s="21"/>
    </row>
    <row r="152" spans="1:16" ht="14.1" customHeight="1" x14ac:dyDescent="0.2">
      <c r="A152" s="21"/>
      <c r="B152" s="97"/>
      <c r="C152" s="97"/>
      <c r="D152" s="30"/>
      <c r="E152" s="21"/>
      <c r="F152" s="18"/>
      <c r="G152" s="25"/>
      <c r="J152"/>
      <c r="K152"/>
      <c r="L152"/>
      <c r="M152"/>
      <c r="N152"/>
      <c r="O152"/>
    </row>
    <row r="153" spans="1:16" x14ac:dyDescent="0.2">
      <c r="B153" s="60" t="s">
        <v>566</v>
      </c>
      <c r="C153" s="60"/>
      <c r="D153" s="60"/>
      <c r="E153" s="60"/>
      <c r="F153" s="60"/>
      <c r="G153" s="60"/>
      <c r="H153" s="60"/>
      <c r="I153" s="58"/>
    </row>
    <row r="154" spans="1:16" ht="38.25" x14ac:dyDescent="0.2">
      <c r="B154" s="69" t="s">
        <v>570</v>
      </c>
      <c r="C154" s="69" t="s">
        <v>569</v>
      </c>
      <c r="D154" s="69" t="s">
        <v>585</v>
      </c>
      <c r="E154" s="69" t="s">
        <v>586</v>
      </c>
      <c r="F154" s="69" t="s">
        <v>571</v>
      </c>
      <c r="I154" s="58"/>
    </row>
    <row r="155" spans="1:16" s="70" customFormat="1" ht="25.5" x14ac:dyDescent="0.2">
      <c r="B155" s="71" t="s">
        <v>573</v>
      </c>
      <c r="C155" s="72" t="s">
        <v>572</v>
      </c>
      <c r="D155" s="73">
        <v>0</v>
      </c>
      <c r="E155" s="74">
        <v>0</v>
      </c>
      <c r="F155" s="75">
        <v>5650</v>
      </c>
      <c r="I155" s="58"/>
      <c r="J155" s="58"/>
      <c r="K155" s="58"/>
      <c r="L155" s="58"/>
      <c r="M155" s="58"/>
      <c r="N155" s="58"/>
      <c r="O155" s="58"/>
      <c r="P155"/>
    </row>
  </sheetData>
  <mergeCells count="18">
    <mergeCell ref="J2:N2"/>
    <mergeCell ref="A1:H1"/>
    <mergeCell ref="A2:H2"/>
    <mergeCell ref="A3:H3"/>
    <mergeCell ref="B145:F145"/>
    <mergeCell ref="B147:C147"/>
    <mergeCell ref="B109:F109"/>
    <mergeCell ref="B110:F110"/>
    <mergeCell ref="B113:D113"/>
    <mergeCell ref="B114:C114"/>
    <mergeCell ref="B115:C115"/>
    <mergeCell ref="B116:C116"/>
    <mergeCell ref="B134:C134"/>
    <mergeCell ref="B148:C148"/>
    <mergeCell ref="B149:C149"/>
    <mergeCell ref="B150:C150"/>
    <mergeCell ref="B151:C151"/>
    <mergeCell ref="B152:C152"/>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6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58"/>
  </cols>
  <sheetData>
    <row r="1" spans="1:15" ht="18" customHeight="1" x14ac:dyDescent="0.2">
      <c r="A1" s="103" t="s">
        <v>0</v>
      </c>
      <c r="B1" s="103"/>
      <c r="C1" s="103"/>
      <c r="D1" s="103"/>
      <c r="E1" s="103"/>
      <c r="F1" s="103"/>
      <c r="G1" s="103"/>
      <c r="H1" s="103"/>
    </row>
    <row r="2" spans="1:15" ht="17.100000000000001" customHeight="1" x14ac:dyDescent="0.2">
      <c r="A2" s="103" t="s">
        <v>623</v>
      </c>
      <c r="B2" s="103"/>
      <c r="C2" s="103"/>
      <c r="D2" s="103"/>
      <c r="E2" s="103"/>
      <c r="F2" s="103"/>
      <c r="G2" s="103"/>
      <c r="H2" s="103"/>
      <c r="J2" s="102" t="s">
        <v>627</v>
      </c>
      <c r="K2" s="102"/>
      <c r="L2" s="102"/>
      <c r="M2" s="102"/>
      <c r="N2" s="10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9" t="s">
        <v>635</v>
      </c>
      <c r="K16" s="93"/>
      <c r="L16" s="93"/>
      <c r="M16" s="93"/>
      <c r="N16" s="93"/>
      <c r="O16" s="93"/>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41</v>
      </c>
      <c r="C28" s="10" t="s">
        <v>42</v>
      </c>
      <c r="D28" s="10" t="s">
        <v>22</v>
      </c>
      <c r="E28" s="11">
        <v>150</v>
      </c>
      <c r="F28" s="12">
        <v>1558.3454999999999</v>
      </c>
      <c r="G28" s="13">
        <v>5.6576156000000002E-2</v>
      </c>
      <c r="H28" s="12">
        <v>5.2</v>
      </c>
    </row>
    <row r="29" spans="1:10" ht="29.1" customHeight="1" x14ac:dyDescent="0.25">
      <c r="A29" s="9">
        <v>2</v>
      </c>
      <c r="B29" s="10" t="s">
        <v>241</v>
      </c>
      <c r="C29" s="10" t="s">
        <v>242</v>
      </c>
      <c r="D29" s="10" t="s">
        <v>22</v>
      </c>
      <c r="E29" s="11">
        <v>150</v>
      </c>
      <c r="F29" s="12">
        <v>1520.64</v>
      </c>
      <c r="G29" s="13">
        <v>5.5207248E-2</v>
      </c>
      <c r="H29" s="12">
        <v>4.0449999999999999</v>
      </c>
      <c r="J29" s="89" t="s">
        <v>636</v>
      </c>
    </row>
    <row r="30" spans="1:10" ht="29.1" customHeight="1" x14ac:dyDescent="0.2">
      <c r="A30" s="9">
        <v>3</v>
      </c>
      <c r="B30" s="10" t="s">
        <v>234</v>
      </c>
      <c r="C30" s="10" t="s">
        <v>235</v>
      </c>
      <c r="D30" s="10" t="s">
        <v>593</v>
      </c>
      <c r="E30" s="11">
        <v>151476</v>
      </c>
      <c r="F30" s="12">
        <v>1280.2857553199999</v>
      </c>
      <c r="G30" s="13">
        <v>4.6481122E-2</v>
      </c>
      <c r="H30" s="12">
        <v>10.68</v>
      </c>
      <c r="J30"/>
    </row>
    <row r="31" spans="1:10" ht="29.1" customHeight="1" x14ac:dyDescent="0.2">
      <c r="A31" s="9">
        <v>4</v>
      </c>
      <c r="B31" s="10" t="s">
        <v>243</v>
      </c>
      <c r="C31" s="10" t="s">
        <v>244</v>
      </c>
      <c r="D31" s="10" t="s">
        <v>22</v>
      </c>
      <c r="E31" s="11">
        <v>120</v>
      </c>
      <c r="F31" s="12">
        <v>1202.0147999999999</v>
      </c>
      <c r="G31" s="13">
        <v>4.3639473999999998E-2</v>
      </c>
      <c r="H31" s="12">
        <v>5.4089</v>
      </c>
      <c r="J31"/>
    </row>
    <row r="32" spans="1:10" ht="29.1" customHeight="1" x14ac:dyDescent="0.2">
      <c r="A32" s="9">
        <v>5</v>
      </c>
      <c r="B32" s="10" t="s">
        <v>361</v>
      </c>
      <c r="C32" s="10" t="s">
        <v>362</v>
      </c>
      <c r="D32" s="10" t="s">
        <v>22</v>
      </c>
      <c r="E32" s="11">
        <v>100</v>
      </c>
      <c r="F32" s="12">
        <v>1017.741</v>
      </c>
      <c r="G32" s="13">
        <v>3.6949362999999999E-2</v>
      </c>
      <c r="H32" s="12">
        <v>5.03</v>
      </c>
      <c r="J32"/>
    </row>
    <row r="33" spans="1:10" ht="29.1" customHeight="1" x14ac:dyDescent="0.2">
      <c r="A33" s="9">
        <v>6</v>
      </c>
      <c r="B33" s="10" t="s">
        <v>245</v>
      </c>
      <c r="C33" s="10" t="s">
        <v>246</v>
      </c>
      <c r="D33" s="10" t="s">
        <v>591</v>
      </c>
      <c r="E33" s="11">
        <v>100</v>
      </c>
      <c r="F33" s="12">
        <v>1010.646</v>
      </c>
      <c r="G33" s="13">
        <v>3.6691777000000002E-2</v>
      </c>
      <c r="H33" s="12">
        <v>4.5</v>
      </c>
      <c r="J33"/>
    </row>
    <row r="34" spans="1:10" ht="29.1" customHeight="1" x14ac:dyDescent="0.2">
      <c r="A34" s="9">
        <v>7</v>
      </c>
      <c r="B34" s="10" t="s">
        <v>192</v>
      </c>
      <c r="C34" s="10" t="s">
        <v>193</v>
      </c>
      <c r="D34" s="10" t="s">
        <v>22</v>
      </c>
      <c r="E34" s="11">
        <v>100</v>
      </c>
      <c r="F34" s="12">
        <v>993.96699999999998</v>
      </c>
      <c r="G34" s="13">
        <v>3.6086241999999998E-2</v>
      </c>
      <c r="H34" s="12">
        <v>5.71</v>
      </c>
      <c r="J34"/>
    </row>
    <row r="35" spans="1:10" ht="17.100000000000001" customHeight="1" x14ac:dyDescent="0.2">
      <c r="A35" s="9">
        <v>8</v>
      </c>
      <c r="B35" s="10" t="s">
        <v>236</v>
      </c>
      <c r="C35" s="10" t="s">
        <v>237</v>
      </c>
      <c r="D35" s="10" t="s">
        <v>238</v>
      </c>
      <c r="E35" s="11">
        <v>50</v>
      </c>
      <c r="F35" s="12">
        <v>920.92</v>
      </c>
      <c r="G35" s="13">
        <v>3.3434250999999998E-2</v>
      </c>
      <c r="H35" s="12">
        <v>4.21</v>
      </c>
      <c r="J35"/>
    </row>
    <row r="36" spans="1:10" ht="17.100000000000001" customHeight="1" x14ac:dyDescent="0.2">
      <c r="A36" s="9">
        <v>9</v>
      </c>
      <c r="B36" s="10" t="s">
        <v>363</v>
      </c>
      <c r="C36" s="10" t="s">
        <v>364</v>
      </c>
      <c r="D36" s="10" t="s">
        <v>22</v>
      </c>
      <c r="E36" s="11">
        <v>90</v>
      </c>
      <c r="F36" s="12">
        <v>917.04330000000004</v>
      </c>
      <c r="G36" s="13">
        <v>3.3293506E-2</v>
      </c>
      <c r="H36" s="12">
        <v>4.8250000000000002</v>
      </c>
      <c r="J36"/>
    </row>
    <row r="37" spans="1:10" ht="29.1" customHeight="1" x14ac:dyDescent="0.2">
      <c r="A37" s="9">
        <v>10</v>
      </c>
      <c r="B37" s="10" t="s">
        <v>365</v>
      </c>
      <c r="C37" s="10" t="s">
        <v>366</v>
      </c>
      <c r="D37" s="10" t="s">
        <v>22</v>
      </c>
      <c r="E37" s="11">
        <v>50</v>
      </c>
      <c r="F37" s="12">
        <v>518.51350000000002</v>
      </c>
      <c r="G37" s="13">
        <v>1.8824773E-2</v>
      </c>
      <c r="H37" s="12">
        <v>5.94</v>
      </c>
    </row>
    <row r="38" spans="1:10" ht="17.100000000000001" customHeight="1" x14ac:dyDescent="0.2">
      <c r="A38" s="9">
        <v>11</v>
      </c>
      <c r="B38" s="10" t="s">
        <v>367</v>
      </c>
      <c r="C38" s="10" t="s">
        <v>368</v>
      </c>
      <c r="D38" s="10" t="s">
        <v>591</v>
      </c>
      <c r="E38" s="11">
        <v>50</v>
      </c>
      <c r="F38" s="12">
        <v>516.6925</v>
      </c>
      <c r="G38" s="13">
        <v>1.8758660999999999E-2</v>
      </c>
      <c r="H38" s="12">
        <v>5.34</v>
      </c>
    </row>
    <row r="39" spans="1:10" ht="29.1" customHeight="1" x14ac:dyDescent="0.2">
      <c r="A39" s="9">
        <v>12</v>
      </c>
      <c r="B39" s="10" t="s">
        <v>369</v>
      </c>
      <c r="C39" s="10" t="s">
        <v>370</v>
      </c>
      <c r="D39" s="10" t="s">
        <v>22</v>
      </c>
      <c r="E39" s="11">
        <v>50</v>
      </c>
      <c r="F39" s="12">
        <v>512.70450000000005</v>
      </c>
      <c r="G39" s="13">
        <v>1.8613876000000001E-2</v>
      </c>
      <c r="H39" s="12">
        <v>5.2549999999999999</v>
      </c>
    </row>
    <row r="40" spans="1:10" ht="29.1" customHeight="1" x14ac:dyDescent="0.2">
      <c r="A40" s="9">
        <v>13</v>
      </c>
      <c r="B40" s="10" t="s">
        <v>371</v>
      </c>
      <c r="C40" s="10" t="s">
        <v>372</v>
      </c>
      <c r="D40" s="10" t="s">
        <v>22</v>
      </c>
      <c r="E40" s="11">
        <v>50</v>
      </c>
      <c r="F40" s="12">
        <v>510.67450000000002</v>
      </c>
      <c r="G40" s="13">
        <v>1.8540175999999998E-2</v>
      </c>
      <c r="H40" s="12">
        <v>5.07</v>
      </c>
    </row>
    <row r="41" spans="1:10" ht="29.1" customHeight="1" x14ac:dyDescent="0.2">
      <c r="A41" s="9">
        <v>14</v>
      </c>
      <c r="B41" s="10" t="s">
        <v>179</v>
      </c>
      <c r="C41" s="10" t="s">
        <v>180</v>
      </c>
      <c r="D41" s="10" t="s">
        <v>591</v>
      </c>
      <c r="E41" s="11">
        <v>50</v>
      </c>
      <c r="F41" s="12">
        <v>508.20499999999998</v>
      </c>
      <c r="G41" s="13">
        <v>1.8450520000000002E-2</v>
      </c>
      <c r="H41" s="12">
        <v>5.14</v>
      </c>
    </row>
    <row r="42" spans="1:10" ht="29.1" customHeight="1" x14ac:dyDescent="0.2">
      <c r="A42" s="9">
        <v>15</v>
      </c>
      <c r="B42" s="10" t="s">
        <v>373</v>
      </c>
      <c r="C42" s="10" t="s">
        <v>374</v>
      </c>
      <c r="D42" s="10" t="s">
        <v>22</v>
      </c>
      <c r="E42" s="11">
        <v>50</v>
      </c>
      <c r="F42" s="12">
        <v>507.58449999999999</v>
      </c>
      <c r="G42" s="13">
        <v>1.8427993E-2</v>
      </c>
      <c r="H42" s="12">
        <v>4.7450000000000001</v>
      </c>
    </row>
    <row r="43" spans="1:10" ht="29.1" customHeight="1" x14ac:dyDescent="0.2">
      <c r="A43" s="9">
        <v>16</v>
      </c>
      <c r="B43" s="10" t="s">
        <v>229</v>
      </c>
      <c r="C43" s="10" t="s">
        <v>230</v>
      </c>
      <c r="D43" s="10" t="s">
        <v>591</v>
      </c>
      <c r="E43" s="11">
        <v>50</v>
      </c>
      <c r="F43" s="12">
        <v>499.68650000000002</v>
      </c>
      <c r="G43" s="13">
        <v>1.8141253999999999E-2</v>
      </c>
      <c r="H43" s="12">
        <v>4.63</v>
      </c>
    </row>
    <row r="44" spans="1:10" ht="29.1" customHeight="1" x14ac:dyDescent="0.2">
      <c r="A44" s="9">
        <v>17</v>
      </c>
      <c r="B44" s="10" t="s">
        <v>375</v>
      </c>
      <c r="C44" s="10" t="s">
        <v>376</v>
      </c>
      <c r="D44" s="10" t="s">
        <v>22</v>
      </c>
      <c r="E44" s="11">
        <v>35</v>
      </c>
      <c r="F44" s="12">
        <v>369.68295000000001</v>
      </c>
      <c r="G44" s="13">
        <v>1.342144E-2</v>
      </c>
      <c r="H44" s="12">
        <v>5.21</v>
      </c>
    </row>
    <row r="45" spans="1:10" ht="17.100000000000001" customHeight="1" x14ac:dyDescent="0.2">
      <c r="A45" s="9">
        <v>18</v>
      </c>
      <c r="B45" s="10" t="s">
        <v>249</v>
      </c>
      <c r="C45" s="10" t="s">
        <v>250</v>
      </c>
      <c r="D45" s="10" t="s">
        <v>22</v>
      </c>
      <c r="E45" s="11">
        <v>10</v>
      </c>
      <c r="F45" s="12">
        <v>104.0536</v>
      </c>
      <c r="G45" s="13">
        <v>3.7776939999999998E-3</v>
      </c>
      <c r="H45" s="12">
        <v>4.8849999999999998</v>
      </c>
    </row>
    <row r="46" spans="1:10" ht="29.1" customHeight="1" x14ac:dyDescent="0.2">
      <c r="A46" s="9">
        <v>19</v>
      </c>
      <c r="B46" s="10" t="s">
        <v>377</v>
      </c>
      <c r="C46" s="10" t="s">
        <v>378</v>
      </c>
      <c r="D46" s="10" t="s">
        <v>22</v>
      </c>
      <c r="E46" s="11">
        <v>10</v>
      </c>
      <c r="F46" s="12">
        <v>103.1281</v>
      </c>
      <c r="G46" s="13">
        <v>3.7440939999999999E-3</v>
      </c>
      <c r="H46" s="12">
        <v>4.915</v>
      </c>
    </row>
    <row r="47" spans="1:10" ht="29.1" customHeight="1" x14ac:dyDescent="0.2">
      <c r="A47" s="9">
        <v>20</v>
      </c>
      <c r="B47" s="10" t="s">
        <v>163</v>
      </c>
      <c r="C47" s="10" t="s">
        <v>164</v>
      </c>
      <c r="D47" s="10" t="s">
        <v>22</v>
      </c>
      <c r="E47" s="11">
        <v>10</v>
      </c>
      <c r="F47" s="12">
        <v>100.3222</v>
      </c>
      <c r="G47" s="13">
        <v>3.6422249999999998E-3</v>
      </c>
      <c r="H47" s="12">
        <v>4.6050000000000004</v>
      </c>
    </row>
    <row r="48" spans="1:10" ht="14.1" customHeight="1" x14ac:dyDescent="0.2">
      <c r="A48" s="1"/>
      <c r="B48" s="1"/>
      <c r="C48" s="2" t="s">
        <v>11</v>
      </c>
      <c r="D48" s="1"/>
      <c r="E48" s="1" t="s">
        <v>12</v>
      </c>
      <c r="F48" s="7">
        <v>14672.851205319999</v>
      </c>
      <c r="G48" s="8">
        <v>0.53270184499999995</v>
      </c>
      <c r="H48" s="12"/>
    </row>
    <row r="49" spans="1:8" ht="14.1" customHeight="1" x14ac:dyDescent="0.2">
      <c r="A49" s="1"/>
      <c r="B49" s="1"/>
      <c r="C49" s="5"/>
      <c r="D49" s="1"/>
      <c r="E49" s="1"/>
      <c r="F49" s="6"/>
      <c r="G49" s="6"/>
      <c r="H49" s="12"/>
    </row>
    <row r="50" spans="1:8" ht="14.1" customHeight="1" x14ac:dyDescent="0.2">
      <c r="A50" s="1"/>
      <c r="B50" s="1"/>
      <c r="C50" s="2" t="s">
        <v>102</v>
      </c>
      <c r="D50" s="1"/>
      <c r="E50" s="1"/>
      <c r="F50" s="1"/>
      <c r="G50" s="1"/>
      <c r="H50" s="12"/>
    </row>
    <row r="51" spans="1:8" ht="14.1" customHeight="1" x14ac:dyDescent="0.2">
      <c r="A51" s="1"/>
      <c r="B51" s="1"/>
      <c r="C51" s="2" t="s">
        <v>11</v>
      </c>
      <c r="D51" s="1"/>
      <c r="E51" s="1" t="s">
        <v>12</v>
      </c>
      <c r="F51" s="3">
        <v>0</v>
      </c>
      <c r="G51" s="4">
        <v>0</v>
      </c>
      <c r="H51" s="12"/>
    </row>
    <row r="52" spans="1:8" ht="14.1" customHeight="1" x14ac:dyDescent="0.2">
      <c r="A52" s="1"/>
      <c r="B52" s="1"/>
      <c r="C52" s="5"/>
      <c r="D52" s="1"/>
      <c r="E52" s="1"/>
      <c r="F52" s="6"/>
      <c r="G52" s="6"/>
      <c r="H52" s="12"/>
    </row>
    <row r="53" spans="1:8" ht="14.1" customHeight="1" x14ac:dyDescent="0.2">
      <c r="A53" s="1"/>
      <c r="B53" s="1"/>
      <c r="C53" s="2" t="s">
        <v>103</v>
      </c>
      <c r="D53" s="1"/>
      <c r="E53" s="1"/>
      <c r="F53" s="1"/>
      <c r="G53" s="1"/>
      <c r="H53" s="12"/>
    </row>
    <row r="54" spans="1:8" ht="29.1" customHeight="1" x14ac:dyDescent="0.2">
      <c r="A54" s="9">
        <v>1</v>
      </c>
      <c r="B54" s="10" t="s">
        <v>198</v>
      </c>
      <c r="C54" s="10" t="s">
        <v>199</v>
      </c>
      <c r="D54" s="10" t="s">
        <v>106</v>
      </c>
      <c r="E54" s="11">
        <v>2000000</v>
      </c>
      <c r="F54" s="12">
        <v>1978.2840000000001</v>
      </c>
      <c r="G54" s="13">
        <v>7.1822136999999994E-2</v>
      </c>
      <c r="H54" s="12">
        <v>5.5830000000000002</v>
      </c>
    </row>
    <row r="55" spans="1:8" ht="29.1" customHeight="1" x14ac:dyDescent="0.2">
      <c r="A55" s="9">
        <v>2</v>
      </c>
      <c r="B55" s="10" t="s">
        <v>259</v>
      </c>
      <c r="C55" s="10" t="s">
        <v>260</v>
      </c>
      <c r="D55" s="10" t="s">
        <v>106</v>
      </c>
      <c r="E55" s="11">
        <v>750000</v>
      </c>
      <c r="F55" s="12">
        <v>772.32375000000002</v>
      </c>
      <c r="G55" s="13">
        <v>2.8039423000000001E-2</v>
      </c>
      <c r="H55" s="12">
        <v>4.6173000000000002</v>
      </c>
    </row>
    <row r="56" spans="1:8" ht="29.1" customHeight="1" x14ac:dyDescent="0.2">
      <c r="A56" s="9">
        <v>3</v>
      </c>
      <c r="B56" s="10" t="s">
        <v>111</v>
      </c>
      <c r="C56" s="10" t="s">
        <v>112</v>
      </c>
      <c r="D56" s="10" t="s">
        <v>106</v>
      </c>
      <c r="E56" s="11">
        <v>750000</v>
      </c>
      <c r="F56" s="12">
        <v>771.54300000000001</v>
      </c>
      <c r="G56" s="13">
        <v>2.8011077999999998E-2</v>
      </c>
      <c r="H56" s="12">
        <v>4.7000999999999999</v>
      </c>
    </row>
    <row r="57" spans="1:8" ht="29.1" customHeight="1" x14ac:dyDescent="0.2">
      <c r="A57" s="9">
        <v>4</v>
      </c>
      <c r="B57" s="10" t="s">
        <v>379</v>
      </c>
      <c r="C57" s="10" t="s">
        <v>380</v>
      </c>
      <c r="D57" s="10" t="s">
        <v>106</v>
      </c>
      <c r="E57" s="11">
        <v>500000</v>
      </c>
      <c r="F57" s="12">
        <v>497.947</v>
      </c>
      <c r="G57" s="13">
        <v>1.8078100999999999E-2</v>
      </c>
      <c r="H57" s="12">
        <v>4.8041</v>
      </c>
    </row>
    <row r="58" spans="1:8" ht="29.1" customHeight="1" x14ac:dyDescent="0.2">
      <c r="A58" s="9">
        <v>5</v>
      </c>
      <c r="B58" s="10" t="s">
        <v>381</v>
      </c>
      <c r="C58" s="10" t="s">
        <v>382</v>
      </c>
      <c r="D58" s="10" t="s">
        <v>106</v>
      </c>
      <c r="E58" s="11">
        <v>400000</v>
      </c>
      <c r="F58" s="12">
        <v>427.58760000000001</v>
      </c>
      <c r="G58" s="13">
        <v>1.5523683999999999E-2</v>
      </c>
      <c r="H58" s="12">
        <v>5.77</v>
      </c>
    </row>
    <row r="59" spans="1:8" ht="29.1" customHeight="1" x14ac:dyDescent="0.2">
      <c r="A59" s="9">
        <v>6</v>
      </c>
      <c r="B59" s="10" t="s">
        <v>261</v>
      </c>
      <c r="C59" s="10" t="s">
        <v>262</v>
      </c>
      <c r="D59" s="10" t="s">
        <v>106</v>
      </c>
      <c r="E59" s="11">
        <v>395300</v>
      </c>
      <c r="F59" s="12">
        <v>402.76721700000002</v>
      </c>
      <c r="G59" s="13">
        <v>1.4622573E-2</v>
      </c>
      <c r="H59" s="12">
        <v>4.3996000000000004</v>
      </c>
    </row>
    <row r="60" spans="1:8" ht="29.1" customHeight="1" x14ac:dyDescent="0.2">
      <c r="A60" s="9">
        <v>7</v>
      </c>
      <c r="B60" s="10" t="s">
        <v>383</v>
      </c>
      <c r="C60" s="10" t="s">
        <v>384</v>
      </c>
      <c r="D60" s="10" t="s">
        <v>106</v>
      </c>
      <c r="E60" s="11">
        <v>100000</v>
      </c>
      <c r="F60" s="12">
        <v>104.4564</v>
      </c>
      <c r="G60" s="13">
        <v>3.7923179999999998E-3</v>
      </c>
      <c r="H60" s="12">
        <v>4.8433999999999999</v>
      </c>
    </row>
    <row r="61" spans="1:8" ht="14.1" customHeight="1" x14ac:dyDescent="0.2">
      <c r="A61" s="1"/>
      <c r="B61" s="1"/>
      <c r="C61" s="2" t="s">
        <v>11</v>
      </c>
      <c r="D61" s="1"/>
      <c r="E61" s="1" t="s">
        <v>12</v>
      </c>
      <c r="F61" s="7">
        <v>4954.9089670000003</v>
      </c>
      <c r="G61" s="8">
        <v>0.17988931399999999</v>
      </c>
      <c r="H61" s="12"/>
    </row>
    <row r="62" spans="1:8" ht="14.1" customHeight="1" x14ac:dyDescent="0.2">
      <c r="A62" s="1"/>
      <c r="B62" s="1"/>
      <c r="C62" s="5"/>
      <c r="D62" s="1"/>
      <c r="E62" s="1"/>
      <c r="F62" s="6"/>
      <c r="G62" s="6"/>
      <c r="H62" s="12"/>
    </row>
    <row r="63" spans="1:8" ht="14.1" customHeight="1" x14ac:dyDescent="0.2">
      <c r="A63" s="1"/>
      <c r="B63" s="1"/>
      <c r="C63" s="2" t="s">
        <v>119</v>
      </c>
      <c r="D63" s="1"/>
      <c r="E63" s="1"/>
      <c r="F63" s="6"/>
      <c r="G63" s="6"/>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14.1" customHeight="1" x14ac:dyDescent="0.2">
      <c r="A66" s="1"/>
      <c r="B66" s="1"/>
      <c r="C66" s="2" t="s">
        <v>120</v>
      </c>
      <c r="D66" s="1"/>
      <c r="E66" s="1"/>
      <c r="F66" s="7">
        <v>19627.760172319999</v>
      </c>
      <c r="G66" s="8">
        <v>0.71259115900000003</v>
      </c>
      <c r="H66" s="12"/>
    </row>
    <row r="67" spans="1:8" ht="14.1" customHeight="1" x14ac:dyDescent="0.2">
      <c r="A67" s="1"/>
      <c r="B67" s="1"/>
      <c r="C67" s="5"/>
      <c r="D67" s="1"/>
      <c r="E67" s="1"/>
      <c r="F67" s="6"/>
      <c r="G67" s="6"/>
      <c r="H67" s="12"/>
    </row>
    <row r="68" spans="1:8" ht="14.1" customHeight="1" x14ac:dyDescent="0.2">
      <c r="A68" s="1"/>
      <c r="B68" s="1"/>
      <c r="C68" s="2" t="s">
        <v>121</v>
      </c>
      <c r="D68" s="1"/>
      <c r="E68" s="1"/>
      <c r="F68" s="6"/>
      <c r="G68" s="6"/>
      <c r="H68" s="12"/>
    </row>
    <row r="69" spans="1:8" ht="14.1" customHeight="1" x14ac:dyDescent="0.2">
      <c r="A69" s="1"/>
      <c r="B69" s="1"/>
      <c r="C69" s="2" t="s">
        <v>122</v>
      </c>
      <c r="D69" s="1"/>
      <c r="E69" s="1"/>
      <c r="F69" s="6"/>
      <c r="G69" s="6"/>
      <c r="H69" s="12"/>
    </row>
    <row r="70" spans="1:8" ht="17.100000000000001" customHeight="1" x14ac:dyDescent="0.2">
      <c r="A70" s="9">
        <v>1</v>
      </c>
      <c r="B70" s="10" t="s">
        <v>275</v>
      </c>
      <c r="C70" s="10" t="s">
        <v>276</v>
      </c>
      <c r="D70" s="10" t="s">
        <v>277</v>
      </c>
      <c r="E70" s="11">
        <v>500</v>
      </c>
      <c r="F70" s="12">
        <v>2449.04</v>
      </c>
      <c r="G70" s="13">
        <v>8.8913062000000001E-2</v>
      </c>
      <c r="H70" s="12">
        <v>4.3650000000000002</v>
      </c>
    </row>
    <row r="71" spans="1:8" ht="17.100000000000001" customHeight="1" x14ac:dyDescent="0.2">
      <c r="A71" s="9">
        <v>2</v>
      </c>
      <c r="B71" s="10" t="s">
        <v>278</v>
      </c>
      <c r="C71" s="10" t="s">
        <v>279</v>
      </c>
      <c r="D71" s="10" t="s">
        <v>277</v>
      </c>
      <c r="E71" s="11">
        <v>1000</v>
      </c>
      <c r="F71" s="12">
        <v>992.43100000000004</v>
      </c>
      <c r="G71" s="13">
        <v>3.6030476999999998E-2</v>
      </c>
      <c r="H71" s="12">
        <v>3.9207999999999998</v>
      </c>
    </row>
    <row r="72" spans="1:8" ht="14.1" customHeight="1" x14ac:dyDescent="0.2">
      <c r="A72" s="1"/>
      <c r="B72" s="1"/>
      <c r="C72" s="2" t="s">
        <v>11</v>
      </c>
      <c r="D72" s="1"/>
      <c r="E72" s="1" t="s">
        <v>12</v>
      </c>
      <c r="F72" s="7">
        <v>3441.471</v>
      </c>
      <c r="G72" s="8">
        <v>0.12494353900000001</v>
      </c>
      <c r="H72" s="12"/>
    </row>
    <row r="73" spans="1:8" ht="14.1" customHeight="1" x14ac:dyDescent="0.2">
      <c r="A73" s="1"/>
      <c r="B73" s="1"/>
      <c r="C73" s="5"/>
      <c r="D73" s="1"/>
      <c r="E73" s="1"/>
      <c r="F73" s="6"/>
      <c r="G73" s="6"/>
      <c r="H73" s="12"/>
    </row>
    <row r="74" spans="1:8" ht="14.1" customHeight="1" x14ac:dyDescent="0.2">
      <c r="A74" s="1"/>
      <c r="B74" s="1"/>
      <c r="C74" s="2" t="s">
        <v>123</v>
      </c>
      <c r="D74" s="1"/>
      <c r="E74" s="1"/>
      <c r="F74" s="6"/>
      <c r="G74" s="6"/>
      <c r="H74" s="12"/>
    </row>
    <row r="75" spans="1:8" ht="17.100000000000001" customHeight="1" x14ac:dyDescent="0.2">
      <c r="A75" s="9">
        <v>1</v>
      </c>
      <c r="B75" s="10" t="s">
        <v>291</v>
      </c>
      <c r="C75" s="10" t="s">
        <v>292</v>
      </c>
      <c r="D75" s="10" t="s">
        <v>277</v>
      </c>
      <c r="E75" s="11">
        <v>300</v>
      </c>
      <c r="F75" s="12">
        <v>1476.57</v>
      </c>
      <c r="G75" s="13">
        <v>5.3607275000000003E-2</v>
      </c>
      <c r="H75" s="12">
        <v>4.5250000000000004</v>
      </c>
    </row>
    <row r="76" spans="1:8" ht="29.1" customHeight="1" x14ac:dyDescent="0.2">
      <c r="A76" s="9">
        <v>2</v>
      </c>
      <c r="B76" s="10" t="s">
        <v>284</v>
      </c>
      <c r="C76" s="10" t="s">
        <v>285</v>
      </c>
      <c r="D76" s="10" t="s">
        <v>277</v>
      </c>
      <c r="E76" s="11">
        <v>100</v>
      </c>
      <c r="F76" s="12">
        <v>475.97449999999998</v>
      </c>
      <c r="G76" s="13">
        <v>1.7280383E-2</v>
      </c>
      <c r="H76" s="12">
        <v>5.6</v>
      </c>
    </row>
    <row r="77" spans="1:8" ht="14.1" customHeight="1" x14ac:dyDescent="0.2">
      <c r="A77" s="1"/>
      <c r="B77" s="1"/>
      <c r="C77" s="2" t="s">
        <v>11</v>
      </c>
      <c r="D77" s="1"/>
      <c r="E77" s="1" t="s">
        <v>12</v>
      </c>
      <c r="F77" s="7">
        <v>1952.5445</v>
      </c>
      <c r="G77" s="8">
        <v>7.0887658000000006E-2</v>
      </c>
      <c r="H77" s="12"/>
    </row>
    <row r="78" spans="1:8" ht="14.1" customHeight="1" x14ac:dyDescent="0.2">
      <c r="A78" s="1"/>
      <c r="B78" s="1"/>
      <c r="C78" s="5"/>
      <c r="D78" s="1"/>
      <c r="E78" s="1"/>
      <c r="F78" s="6"/>
      <c r="G78" s="6"/>
      <c r="H78" s="12"/>
    </row>
    <row r="79" spans="1:8" ht="14.1" customHeight="1" x14ac:dyDescent="0.2">
      <c r="A79" s="1"/>
      <c r="B79" s="1"/>
      <c r="C79" s="2" t="s">
        <v>124</v>
      </c>
      <c r="D79" s="1"/>
      <c r="E79" s="1"/>
      <c r="F79" s="6"/>
      <c r="G79" s="6"/>
      <c r="H79" s="12"/>
    </row>
    <row r="80" spans="1:8" ht="14.1" customHeight="1" x14ac:dyDescent="0.2">
      <c r="A80" s="1"/>
      <c r="B80" s="1"/>
      <c r="C80" s="2" t="s">
        <v>11</v>
      </c>
      <c r="D80" s="1"/>
      <c r="E80" s="1" t="s">
        <v>12</v>
      </c>
      <c r="F80" s="3">
        <v>0</v>
      </c>
      <c r="G80" s="4">
        <v>0</v>
      </c>
      <c r="H80" s="12"/>
    </row>
    <row r="81" spans="1:8" ht="14.1" customHeight="1" x14ac:dyDescent="0.2">
      <c r="A81" s="1"/>
      <c r="B81" s="1"/>
      <c r="C81" s="5"/>
      <c r="D81" s="1"/>
      <c r="E81" s="1"/>
      <c r="F81" s="6"/>
      <c r="G81" s="6"/>
      <c r="H81" s="12"/>
    </row>
    <row r="82" spans="1:8" ht="14.1" customHeight="1" x14ac:dyDescent="0.2">
      <c r="A82" s="1"/>
      <c r="B82" s="1"/>
      <c r="C82" s="2" t="s">
        <v>125</v>
      </c>
      <c r="D82" s="1"/>
      <c r="E82" s="1"/>
      <c r="F82" s="6"/>
      <c r="G82" s="6"/>
      <c r="H82" s="12"/>
    </row>
    <row r="83" spans="1:8" ht="17.100000000000001" customHeight="1" x14ac:dyDescent="0.2">
      <c r="A83" s="9">
        <v>1</v>
      </c>
      <c r="B83" s="10"/>
      <c r="C83" s="10" t="s">
        <v>126</v>
      </c>
      <c r="D83" s="10"/>
      <c r="E83" s="14"/>
      <c r="F83" s="12">
        <v>0.99792020000000003</v>
      </c>
      <c r="G83" s="14" t="s">
        <v>385</v>
      </c>
      <c r="H83" s="12">
        <v>3.2903893505936708</v>
      </c>
    </row>
    <row r="84" spans="1:8" ht="17.100000000000001" customHeight="1" x14ac:dyDescent="0.2">
      <c r="A84" s="9">
        <v>2</v>
      </c>
      <c r="B84" s="10"/>
      <c r="C84" s="10" t="s">
        <v>127</v>
      </c>
      <c r="D84" s="10"/>
      <c r="E84" s="14"/>
      <c r="F84" s="12">
        <v>0.4421773</v>
      </c>
      <c r="G84" s="14" t="s">
        <v>385</v>
      </c>
      <c r="H84" s="12">
        <v>3.2766870282233538</v>
      </c>
    </row>
    <row r="85" spans="1:8" ht="14.1" customHeight="1" x14ac:dyDescent="0.2">
      <c r="A85" s="1"/>
      <c r="B85" s="1"/>
      <c r="C85" s="2" t="s">
        <v>11</v>
      </c>
      <c r="D85" s="1"/>
      <c r="E85" s="1" t="s">
        <v>12</v>
      </c>
      <c r="F85" s="7">
        <v>1.4400975</v>
      </c>
      <c r="G85" s="8">
        <v>5.2283000000000001E-5</v>
      </c>
      <c r="H85" s="12"/>
    </row>
    <row r="86" spans="1:8" ht="14.1" customHeight="1" x14ac:dyDescent="0.2">
      <c r="A86" s="1"/>
      <c r="B86" s="1"/>
      <c r="C86" s="5"/>
      <c r="D86" s="1"/>
      <c r="E86" s="1"/>
      <c r="F86" s="6"/>
      <c r="G86" s="6"/>
      <c r="H86" s="12"/>
    </row>
    <row r="87" spans="1:8" ht="14.1" customHeight="1" x14ac:dyDescent="0.2">
      <c r="A87" s="1"/>
      <c r="B87" s="1"/>
      <c r="C87" s="2" t="s">
        <v>128</v>
      </c>
      <c r="D87" s="1"/>
      <c r="E87" s="1"/>
      <c r="F87" s="7">
        <v>5395.4555975000003</v>
      </c>
      <c r="G87" s="8">
        <v>0.19588348</v>
      </c>
      <c r="H87" s="12"/>
    </row>
    <row r="88" spans="1:8" ht="14.1" customHeight="1" x14ac:dyDescent="0.2">
      <c r="A88" s="1"/>
      <c r="B88" s="1"/>
      <c r="C88" s="6"/>
      <c r="D88" s="1"/>
      <c r="E88" s="1"/>
      <c r="F88" s="1"/>
      <c r="G88" s="1"/>
      <c r="H88" s="12"/>
    </row>
    <row r="89" spans="1:8" ht="14.1" customHeight="1" x14ac:dyDescent="0.2">
      <c r="A89" s="1"/>
      <c r="B89" s="1"/>
      <c r="C89" s="2" t="s">
        <v>129</v>
      </c>
      <c r="D89" s="1"/>
      <c r="E89" s="1"/>
      <c r="F89" s="1"/>
      <c r="G89" s="1"/>
      <c r="H89" s="12"/>
    </row>
    <row r="90" spans="1:8" ht="14.1" customHeight="1" x14ac:dyDescent="0.2">
      <c r="A90" s="1"/>
      <c r="B90" s="1"/>
      <c r="C90" s="2" t="s">
        <v>130</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
      <c r="C93" s="2" t="s">
        <v>131</v>
      </c>
      <c r="D93" s="1"/>
      <c r="E93" s="1"/>
      <c r="F93" s="1"/>
      <c r="G93" s="1"/>
      <c r="H93" s="12"/>
    </row>
    <row r="94" spans="1:8" ht="14.1" customHeight="1" x14ac:dyDescent="0.2">
      <c r="A94" s="1"/>
      <c r="B94" s="1"/>
      <c r="C94" s="2" t="s">
        <v>132</v>
      </c>
      <c r="D94" s="1"/>
      <c r="E94" s="1"/>
      <c r="F94" s="1"/>
      <c r="G94" s="1"/>
      <c r="H94" s="12"/>
    </row>
    <row r="95" spans="1:8" ht="14.1" customHeight="1" x14ac:dyDescent="0.2">
      <c r="A95" s="1"/>
      <c r="B95" s="1"/>
      <c r="C95" s="2" t="s">
        <v>11</v>
      </c>
      <c r="D95" s="1"/>
      <c r="E95" s="1" t="s">
        <v>12</v>
      </c>
      <c r="F95" s="3">
        <v>0</v>
      </c>
      <c r="G95" s="4">
        <v>0</v>
      </c>
      <c r="H95" s="12"/>
    </row>
    <row r="96" spans="1:8" ht="14.1" customHeight="1" x14ac:dyDescent="0.2">
      <c r="A96" s="1"/>
      <c r="B96" s="1"/>
      <c r="C96" s="5"/>
      <c r="D96" s="1"/>
      <c r="E96" s="1"/>
      <c r="F96" s="6"/>
      <c r="G96" s="6"/>
      <c r="H96" s="12"/>
    </row>
    <row r="97" spans="1:8" ht="24" customHeight="1" x14ac:dyDescent="0.2">
      <c r="A97" s="1"/>
      <c r="B97" s="1"/>
      <c r="C97" s="2" t="s">
        <v>133</v>
      </c>
      <c r="D97" s="1"/>
      <c r="E97" s="1"/>
      <c r="F97" s="6"/>
      <c r="G97" s="6"/>
      <c r="H97" s="12"/>
    </row>
    <row r="98" spans="1:8" ht="14.1" customHeight="1" x14ac:dyDescent="0.2">
      <c r="A98" s="1"/>
      <c r="B98" s="1"/>
      <c r="C98" s="2" t="s">
        <v>11</v>
      </c>
      <c r="D98" s="1"/>
      <c r="E98" s="1" t="s">
        <v>12</v>
      </c>
      <c r="F98" s="3">
        <v>0</v>
      </c>
      <c r="G98" s="4">
        <v>0</v>
      </c>
      <c r="H98" s="12"/>
    </row>
    <row r="99" spans="1:8" ht="14.1" customHeight="1" x14ac:dyDescent="0.2">
      <c r="A99" s="1"/>
      <c r="B99" s="1"/>
      <c r="C99" s="5"/>
      <c r="D99" s="1"/>
      <c r="E99" s="1"/>
      <c r="F99" s="6"/>
      <c r="G99" s="6"/>
      <c r="H99" s="12"/>
    </row>
    <row r="100" spans="1:8" ht="14.1" customHeight="1" x14ac:dyDescent="0.2">
      <c r="A100" s="1"/>
      <c r="B100" s="10"/>
      <c r="C100" s="10"/>
      <c r="D100" s="2"/>
      <c r="E100" s="1"/>
      <c r="F100" s="10"/>
      <c r="G100" s="14"/>
      <c r="H100" s="12"/>
    </row>
    <row r="101" spans="1:8" ht="18" customHeight="1" x14ac:dyDescent="0.2">
      <c r="A101" s="14"/>
      <c r="B101" s="10"/>
      <c r="C101" s="10" t="s">
        <v>134</v>
      </c>
      <c r="D101" s="10"/>
      <c r="E101" s="14"/>
      <c r="F101" s="12">
        <v>2520.9937156599999</v>
      </c>
      <c r="G101" s="13">
        <v>9.1525361E-2</v>
      </c>
      <c r="H101" s="12"/>
    </row>
    <row r="102" spans="1:8" ht="14.1" customHeight="1" x14ac:dyDescent="0.2">
      <c r="A102" s="5"/>
      <c r="B102" s="5"/>
      <c r="C102" s="2" t="s">
        <v>135</v>
      </c>
      <c r="D102" s="6"/>
      <c r="E102" s="6"/>
      <c r="F102" s="7">
        <v>27544.209485480002</v>
      </c>
      <c r="G102" s="8">
        <v>1</v>
      </c>
      <c r="H102" s="12"/>
    </row>
    <row r="103" spans="1:8" ht="14.1" customHeight="1" x14ac:dyDescent="0.2">
      <c r="A103" s="15"/>
      <c r="B103" s="15"/>
      <c r="C103" s="15"/>
      <c r="D103" s="16"/>
      <c r="E103" s="16"/>
      <c r="F103" s="16"/>
      <c r="G103" s="16"/>
    </row>
    <row r="104" spans="1:8" ht="17.100000000000001" customHeight="1" x14ac:dyDescent="0.2">
      <c r="A104" s="17"/>
      <c r="B104" s="98" t="s">
        <v>136</v>
      </c>
      <c r="C104" s="98"/>
      <c r="D104" s="98"/>
      <c r="E104" s="98"/>
      <c r="F104" s="98"/>
      <c r="G104" s="19"/>
    </row>
    <row r="105" spans="1:8" ht="17.100000000000001" customHeight="1" x14ac:dyDescent="0.2">
      <c r="A105" s="17"/>
      <c r="B105" s="98" t="s">
        <v>137</v>
      </c>
      <c r="C105" s="98"/>
      <c r="D105" s="98"/>
      <c r="E105" s="98"/>
      <c r="F105" s="98"/>
      <c r="G105" s="19"/>
    </row>
    <row r="106" spans="1:8" ht="17.100000000000001" customHeight="1" x14ac:dyDescent="0.2">
      <c r="A106" s="17"/>
      <c r="B106" s="98" t="s">
        <v>386</v>
      </c>
      <c r="C106" s="98"/>
      <c r="D106" s="98"/>
      <c r="E106" s="98"/>
      <c r="F106" s="98"/>
      <c r="G106" s="19"/>
    </row>
    <row r="107" spans="1:8" ht="14.1" customHeight="1" x14ac:dyDescent="0.2">
      <c r="A107" s="17"/>
      <c r="B107" s="17"/>
      <c r="C107" s="17"/>
      <c r="D107" s="19"/>
      <c r="E107" s="19"/>
      <c r="F107" s="19"/>
      <c r="G107" s="19"/>
    </row>
    <row r="108" spans="1:8" ht="14.1" customHeight="1" x14ac:dyDescent="0.2">
      <c r="A108" s="17"/>
      <c r="B108" s="99" t="s">
        <v>138</v>
      </c>
      <c r="C108" s="100"/>
      <c r="D108" s="101"/>
      <c r="E108" s="20"/>
      <c r="F108" s="19"/>
      <c r="G108" s="19"/>
    </row>
    <row r="109" spans="1:8" ht="29.1" customHeight="1" x14ac:dyDescent="0.2">
      <c r="A109" s="17"/>
      <c r="B109" s="95" t="s">
        <v>139</v>
      </c>
      <c r="C109" s="96"/>
      <c r="D109" s="2" t="s">
        <v>567</v>
      </c>
      <c r="E109" s="20"/>
      <c r="F109" s="19"/>
      <c r="G109" s="19"/>
    </row>
    <row r="110" spans="1:8" ht="17.100000000000001" customHeight="1" x14ac:dyDescent="0.2">
      <c r="A110" s="17"/>
      <c r="B110" s="95" t="s">
        <v>141</v>
      </c>
      <c r="C110" s="96"/>
      <c r="D110" s="2" t="s">
        <v>140</v>
      </c>
      <c r="E110" s="20"/>
      <c r="F110" s="19"/>
      <c r="G110" s="19"/>
    </row>
    <row r="111" spans="1:8" ht="17.100000000000001" customHeight="1" x14ac:dyDescent="0.2">
      <c r="A111" s="17"/>
      <c r="B111" s="95" t="s">
        <v>142</v>
      </c>
      <c r="C111" s="96"/>
      <c r="D111" s="6" t="s">
        <v>12</v>
      </c>
      <c r="E111" s="20"/>
      <c r="F111" s="19"/>
      <c r="G111" s="19"/>
    </row>
    <row r="112" spans="1:8" ht="24" customHeight="1" x14ac:dyDescent="0.2">
      <c r="A112" s="21"/>
      <c r="B112" s="22" t="s">
        <v>12</v>
      </c>
      <c r="C112" s="22" t="s">
        <v>143</v>
      </c>
      <c r="D112" s="22" t="s">
        <v>144</v>
      </c>
      <c r="E112" s="21"/>
      <c r="F112" s="21"/>
      <c r="G112" s="21"/>
    </row>
    <row r="113" spans="1:7" ht="18" customHeight="1" x14ac:dyDescent="0.2">
      <c r="A113" s="21"/>
      <c r="B113" s="23" t="s">
        <v>145</v>
      </c>
      <c r="C113" s="22" t="s">
        <v>146</v>
      </c>
      <c r="D113" s="22" t="s">
        <v>147</v>
      </c>
      <c r="E113" s="21"/>
      <c r="F113" s="21"/>
      <c r="G113" s="21"/>
    </row>
    <row r="114" spans="1:7" ht="17.100000000000001" customHeight="1" x14ac:dyDescent="0.2">
      <c r="A114" s="21"/>
      <c r="B114" s="10" t="s">
        <v>148</v>
      </c>
      <c r="C114" s="24">
        <v>37.826999999999998</v>
      </c>
      <c r="D114" s="24">
        <v>37.9617</v>
      </c>
      <c r="E114" s="21"/>
      <c r="F114" s="18"/>
      <c r="G114" s="25"/>
    </row>
    <row r="115" spans="1:7" ht="29.1" customHeight="1" x14ac:dyDescent="0.2">
      <c r="A115" s="21"/>
      <c r="B115" s="10" t="s">
        <v>614</v>
      </c>
      <c r="C115" s="24">
        <v>12.9</v>
      </c>
      <c r="D115" s="24">
        <v>12.894299999999999</v>
      </c>
      <c r="E115" s="21"/>
      <c r="F115" s="18"/>
      <c r="G115" s="25"/>
    </row>
    <row r="116" spans="1:7" ht="29.1" customHeight="1" x14ac:dyDescent="0.2">
      <c r="A116" s="21"/>
      <c r="B116" s="10" t="s">
        <v>615</v>
      </c>
      <c r="C116" s="24">
        <v>12.9</v>
      </c>
      <c r="D116" s="24">
        <v>12.894299999999999</v>
      </c>
      <c r="E116" s="21"/>
      <c r="F116" s="18"/>
      <c r="G116" s="25"/>
    </row>
    <row r="117" spans="1:7" ht="29.1" customHeight="1" x14ac:dyDescent="0.2">
      <c r="A117" s="21"/>
      <c r="B117" s="10" t="s">
        <v>600</v>
      </c>
      <c r="C117" s="24">
        <v>12.908200000000001</v>
      </c>
      <c r="D117" s="24">
        <v>12.9008</v>
      </c>
      <c r="E117" s="21"/>
      <c r="F117" s="18"/>
      <c r="G117" s="25"/>
    </row>
    <row r="118" spans="1:7" ht="29.1" customHeight="1" x14ac:dyDescent="0.2">
      <c r="A118" s="21"/>
      <c r="B118" s="10" t="s">
        <v>601</v>
      </c>
      <c r="C118" s="24">
        <v>12.9194</v>
      </c>
      <c r="D118" s="24">
        <v>12.965400000000001</v>
      </c>
      <c r="E118" s="21"/>
      <c r="F118" s="18"/>
      <c r="G118" s="25"/>
    </row>
    <row r="119" spans="1:7" ht="29.1" customHeight="1" x14ac:dyDescent="0.2">
      <c r="A119" s="21"/>
      <c r="B119" s="10" t="s">
        <v>602</v>
      </c>
      <c r="C119" s="24">
        <v>12.9194</v>
      </c>
      <c r="D119" s="24">
        <v>12.9655</v>
      </c>
      <c r="E119" s="21"/>
      <c r="F119" s="18"/>
      <c r="G119" s="25"/>
    </row>
    <row r="120" spans="1:7" ht="29.1" customHeight="1" x14ac:dyDescent="0.2">
      <c r="A120" s="21"/>
      <c r="B120" s="10" t="s">
        <v>603</v>
      </c>
      <c r="C120" s="24">
        <v>12.9194</v>
      </c>
      <c r="D120" s="24">
        <v>12.965400000000001</v>
      </c>
      <c r="E120" s="21"/>
      <c r="F120" s="18"/>
      <c r="G120" s="25"/>
    </row>
    <row r="121" spans="1:7" ht="17.100000000000001" customHeight="1" x14ac:dyDescent="0.2">
      <c r="A121" s="21"/>
      <c r="B121" s="10" t="s">
        <v>149</v>
      </c>
      <c r="C121" s="24">
        <v>35.651299999999999</v>
      </c>
      <c r="D121" s="24">
        <v>35.760399999999997</v>
      </c>
      <c r="E121" s="21"/>
      <c r="F121" s="18"/>
      <c r="G121" s="25"/>
    </row>
    <row r="122" spans="1:7" ht="17.100000000000001" customHeight="1" x14ac:dyDescent="0.2">
      <c r="A122" s="21"/>
      <c r="B122" s="10" t="s">
        <v>205</v>
      </c>
      <c r="C122" s="24">
        <v>12.8782</v>
      </c>
      <c r="D122" s="24">
        <v>12.9176</v>
      </c>
      <c r="E122" s="21"/>
      <c r="F122" s="18"/>
      <c r="G122" s="25"/>
    </row>
    <row r="123" spans="1:7" ht="29.1" customHeight="1" x14ac:dyDescent="0.2">
      <c r="A123" s="21"/>
      <c r="B123" s="10" t="s">
        <v>612</v>
      </c>
      <c r="C123" s="24">
        <v>12.864599999999999</v>
      </c>
      <c r="D123" s="24">
        <v>12.8589</v>
      </c>
      <c r="E123" s="21"/>
      <c r="F123" s="18"/>
      <c r="G123" s="25"/>
    </row>
    <row r="124" spans="1:7" ht="29.1" customHeight="1" x14ac:dyDescent="0.2">
      <c r="A124" s="21"/>
      <c r="B124" s="10" t="s">
        <v>616</v>
      </c>
      <c r="C124" s="24">
        <v>12.864599999999999</v>
      </c>
      <c r="D124" s="24">
        <v>12.859</v>
      </c>
      <c r="E124" s="21"/>
      <c r="F124" s="18"/>
      <c r="G124" s="25"/>
    </row>
    <row r="125" spans="1:7" ht="29.1" customHeight="1" x14ac:dyDescent="0.2">
      <c r="A125" s="21"/>
      <c r="B125" s="10" t="s">
        <v>604</v>
      </c>
      <c r="C125" s="24">
        <v>12.870200000000001</v>
      </c>
      <c r="D125" s="24">
        <v>12.8635</v>
      </c>
      <c r="E125" s="21"/>
      <c r="F125" s="18"/>
      <c r="G125" s="25"/>
    </row>
    <row r="126" spans="1:7" ht="29.1" customHeight="1" x14ac:dyDescent="0.2">
      <c r="A126" s="21"/>
      <c r="B126" s="10" t="s">
        <v>605</v>
      </c>
      <c r="C126" s="24">
        <v>12.8786</v>
      </c>
      <c r="D126" s="24">
        <v>12.917999999999999</v>
      </c>
      <c r="E126" s="21"/>
      <c r="F126" s="18"/>
      <c r="G126" s="25"/>
    </row>
    <row r="127" spans="1:7" ht="29.1" customHeight="1" x14ac:dyDescent="0.2">
      <c r="A127" s="21"/>
      <c r="B127" s="10" t="s">
        <v>606</v>
      </c>
      <c r="C127" s="24">
        <v>12.8782</v>
      </c>
      <c r="D127" s="24">
        <v>12.9176</v>
      </c>
      <c r="E127" s="21"/>
      <c r="F127" s="18"/>
      <c r="G127" s="25"/>
    </row>
    <row r="128" spans="1:7" ht="29.1" customHeight="1" x14ac:dyDescent="0.2">
      <c r="A128" s="21"/>
      <c r="B128" s="10" t="s">
        <v>607</v>
      </c>
      <c r="C128" s="24">
        <v>12.8782</v>
      </c>
      <c r="D128" s="24">
        <v>12.9176</v>
      </c>
      <c r="E128" s="21"/>
      <c r="F128" s="18"/>
      <c r="G128" s="25"/>
    </row>
    <row r="129" spans="1:16" ht="14.1" customHeight="1" x14ac:dyDescent="0.2">
      <c r="A129" s="21"/>
      <c r="B129" s="21"/>
      <c r="C129" s="21"/>
      <c r="D129" s="21"/>
      <c r="E129" s="21"/>
      <c r="F129" s="21"/>
      <c r="G129" s="21"/>
    </row>
    <row r="130" spans="1:16" ht="17.100000000000001" customHeight="1" x14ac:dyDescent="0.2">
      <c r="A130" s="21"/>
      <c r="B130" s="95" t="s">
        <v>608</v>
      </c>
      <c r="C130" s="96"/>
      <c r="D130" s="2" t="s">
        <v>12</v>
      </c>
      <c r="E130" s="21"/>
      <c r="F130" s="21"/>
      <c r="G130" s="21"/>
      <c r="J130"/>
      <c r="K130"/>
      <c r="L130"/>
      <c r="M130"/>
      <c r="N130"/>
      <c r="O130"/>
    </row>
    <row r="131" spans="1:16" ht="18" customHeight="1" x14ac:dyDescent="0.2">
      <c r="A131" s="21"/>
      <c r="B131" s="26" t="s">
        <v>145</v>
      </c>
      <c r="C131" s="27" t="s">
        <v>150</v>
      </c>
      <c r="D131" s="27" t="s">
        <v>151</v>
      </c>
      <c r="E131" s="21"/>
      <c r="F131" s="21"/>
      <c r="G131" s="21"/>
    </row>
    <row r="132" spans="1:16" ht="29.1" customHeight="1" x14ac:dyDescent="0.2">
      <c r="A132" s="21"/>
      <c r="B132" s="10" t="s">
        <v>614</v>
      </c>
      <c r="C132" s="28">
        <v>5.16E-2</v>
      </c>
      <c r="D132" s="14" t="s">
        <v>152</v>
      </c>
      <c r="E132" s="21"/>
      <c r="F132" s="18"/>
      <c r="G132" s="25"/>
      <c r="J132"/>
      <c r="K132"/>
      <c r="L132"/>
      <c r="M132"/>
      <c r="N132"/>
      <c r="O132"/>
    </row>
    <row r="133" spans="1:16" ht="29.1" customHeight="1" x14ac:dyDescent="0.2">
      <c r="A133" s="21"/>
      <c r="B133" s="10" t="s">
        <v>615</v>
      </c>
      <c r="C133" s="28">
        <v>5.16E-2</v>
      </c>
      <c r="D133" s="14" t="s">
        <v>152</v>
      </c>
      <c r="E133" s="21"/>
      <c r="F133" s="18"/>
      <c r="G133" s="25"/>
    </row>
    <row r="134" spans="1:16" ht="29.1" customHeight="1" x14ac:dyDescent="0.2">
      <c r="A134" s="21"/>
      <c r="B134" s="10" t="s">
        <v>600</v>
      </c>
      <c r="C134" s="28">
        <v>5.33E-2</v>
      </c>
      <c r="D134" s="28">
        <v>5.33E-2</v>
      </c>
      <c r="E134" s="21"/>
      <c r="F134" s="18"/>
      <c r="G134" s="25"/>
    </row>
    <row r="135" spans="1:16" ht="29.1" customHeight="1" x14ac:dyDescent="0.2">
      <c r="A135" s="21"/>
      <c r="B135" s="10" t="s">
        <v>612</v>
      </c>
      <c r="C135" s="28">
        <v>4.4999999999999998E-2</v>
      </c>
      <c r="D135" s="28">
        <v>4.4999999999999998E-2</v>
      </c>
      <c r="E135" s="21"/>
      <c r="F135" s="18"/>
      <c r="G135" s="25"/>
    </row>
    <row r="136" spans="1:16" ht="29.1" customHeight="1" x14ac:dyDescent="0.2">
      <c r="A136" s="21"/>
      <c r="B136" s="10" t="s">
        <v>616</v>
      </c>
      <c r="C136" s="28">
        <v>4.5499999999999999E-2</v>
      </c>
      <c r="D136" s="14" t="s">
        <v>152</v>
      </c>
      <c r="E136" s="21"/>
      <c r="F136" s="18"/>
      <c r="G136" s="25"/>
    </row>
    <row r="137" spans="1:16" ht="29.1" customHeight="1" x14ac:dyDescent="0.2">
      <c r="A137" s="21"/>
      <c r="B137" s="10" t="s">
        <v>604</v>
      </c>
      <c r="C137" s="28">
        <v>4.5999999999999999E-2</v>
      </c>
      <c r="D137" s="28">
        <v>4.5999999999999999E-2</v>
      </c>
      <c r="E137" s="21"/>
      <c r="F137" s="18"/>
      <c r="G137" s="25"/>
    </row>
    <row r="138" spans="1:16" ht="14.1" customHeight="1" x14ac:dyDescent="0.2">
      <c r="A138" s="21"/>
      <c r="B138" s="29"/>
      <c r="C138" s="29"/>
      <c r="D138" s="30"/>
      <c r="E138" s="21"/>
      <c r="F138" s="18"/>
      <c r="G138" s="25"/>
    </row>
    <row r="139" spans="1:16" x14ac:dyDescent="0.2">
      <c r="A139" s="82"/>
      <c r="B139" s="104" t="s">
        <v>619</v>
      </c>
      <c r="C139" s="104"/>
      <c r="D139" s="104"/>
      <c r="E139" s="104"/>
      <c r="F139" s="104"/>
      <c r="G139" s="82"/>
      <c r="I139" s="58"/>
      <c r="P139" s="58"/>
    </row>
    <row r="140" spans="1:16" ht="14.1" customHeight="1" x14ac:dyDescent="0.2">
      <c r="A140" s="21"/>
      <c r="B140" s="18"/>
      <c r="C140" s="18"/>
      <c r="D140" s="21"/>
      <c r="E140" s="21"/>
      <c r="F140" s="21"/>
      <c r="G140" s="21"/>
    </row>
    <row r="141" spans="1:16" ht="29.1" customHeight="1" x14ac:dyDescent="0.2">
      <c r="A141" s="21"/>
      <c r="B141" s="95" t="s">
        <v>153</v>
      </c>
      <c r="C141" s="96"/>
      <c r="D141" s="2" t="s">
        <v>140</v>
      </c>
      <c r="E141" s="31"/>
      <c r="F141" s="21"/>
      <c r="G141" s="21"/>
    </row>
    <row r="142" spans="1:16" ht="29.1" customHeight="1" x14ac:dyDescent="0.2">
      <c r="A142" s="21"/>
      <c r="B142" s="95" t="s">
        <v>154</v>
      </c>
      <c r="C142" s="96"/>
      <c r="D142" s="2" t="s">
        <v>140</v>
      </c>
      <c r="E142" s="31"/>
      <c r="F142" s="21"/>
      <c r="G142" s="21"/>
    </row>
    <row r="143" spans="1:16" ht="17.100000000000001" customHeight="1" x14ac:dyDescent="0.2">
      <c r="A143" s="21"/>
      <c r="B143" s="95" t="s">
        <v>155</v>
      </c>
      <c r="C143" s="96"/>
      <c r="D143" s="32">
        <v>1.5781783946583994</v>
      </c>
      <c r="E143" s="31"/>
      <c r="F143" s="21"/>
      <c r="G143" s="21"/>
    </row>
    <row r="144" spans="1:16" ht="17.100000000000001" customHeight="1" x14ac:dyDescent="0.2">
      <c r="A144" s="21"/>
      <c r="B144" s="95" t="s">
        <v>156</v>
      </c>
      <c r="C144" s="96"/>
      <c r="D144" s="32">
        <v>1.2374844004491246</v>
      </c>
      <c r="E144" s="31"/>
      <c r="F144" s="21"/>
      <c r="G144" s="21"/>
    </row>
    <row r="145" spans="1:9" ht="17.100000000000001" customHeight="1" x14ac:dyDescent="0.2">
      <c r="A145" s="21"/>
      <c r="B145" s="95" t="s">
        <v>157</v>
      </c>
      <c r="C145" s="96"/>
      <c r="D145" s="2" t="s">
        <v>140</v>
      </c>
      <c r="E145" s="31"/>
      <c r="F145" s="21"/>
      <c r="G145" s="21"/>
    </row>
    <row r="146" spans="1:9" ht="14.1" customHeight="1" x14ac:dyDescent="0.2">
      <c r="A146" s="21"/>
      <c r="B146" s="97"/>
      <c r="C146" s="97"/>
      <c r="D146" s="30"/>
      <c r="E146" s="21"/>
      <c r="F146" s="18"/>
      <c r="G146" s="25"/>
    </row>
    <row r="147" spans="1:9" x14ac:dyDescent="0.2">
      <c r="B147" s="117" t="s">
        <v>566</v>
      </c>
      <c r="C147" s="117"/>
      <c r="D147" s="117"/>
      <c r="E147" s="117"/>
      <c r="F147" s="117"/>
      <c r="G147" s="117"/>
      <c r="H147" s="117"/>
      <c r="I147" s="58"/>
    </row>
    <row r="148" spans="1:9" x14ac:dyDescent="0.2">
      <c r="B148" s="61"/>
      <c r="C148" s="61"/>
      <c r="D148" s="61"/>
      <c r="E148" s="61"/>
      <c r="F148" s="61"/>
      <c r="G148" s="61"/>
      <c r="H148" s="61"/>
      <c r="I148" s="58"/>
    </row>
    <row r="149" spans="1:9" x14ac:dyDescent="0.2">
      <c r="B149" s="41" t="s">
        <v>538</v>
      </c>
      <c r="C149" s="41" t="s">
        <v>539</v>
      </c>
      <c r="D149" s="118" t="s">
        <v>540</v>
      </c>
      <c r="E149" s="119"/>
      <c r="F149" s="120"/>
      <c r="G149" s="121" t="s">
        <v>541</v>
      </c>
      <c r="H149" s="122"/>
      <c r="I149" s="58"/>
    </row>
    <row r="150" spans="1:9" ht="25.5" x14ac:dyDescent="0.2">
      <c r="B150" s="42" t="s">
        <v>574</v>
      </c>
      <c r="C150" s="43" t="s">
        <v>575</v>
      </c>
      <c r="D150" s="114">
        <v>0</v>
      </c>
      <c r="E150" s="115"/>
      <c r="F150" s="116"/>
      <c r="G150" s="114">
        <v>0</v>
      </c>
      <c r="H150" s="116"/>
      <c r="I150" s="58"/>
    </row>
    <row r="151" spans="1:9" ht="25.5" x14ac:dyDescent="0.2">
      <c r="B151" s="42" t="s">
        <v>576</v>
      </c>
      <c r="C151" s="43" t="s">
        <v>577</v>
      </c>
      <c r="D151" s="114">
        <v>0</v>
      </c>
      <c r="E151" s="115"/>
      <c r="F151" s="116"/>
      <c r="G151" s="114">
        <v>0</v>
      </c>
      <c r="H151" s="116"/>
      <c r="I151" s="58"/>
    </row>
    <row r="152" spans="1:9" ht="25.5" x14ac:dyDescent="0.2">
      <c r="B152" s="42" t="s">
        <v>556</v>
      </c>
      <c r="C152" s="43" t="s">
        <v>578</v>
      </c>
      <c r="D152" s="114">
        <v>0</v>
      </c>
      <c r="E152" s="115"/>
      <c r="F152" s="116"/>
      <c r="G152" s="114">
        <v>0</v>
      </c>
      <c r="H152" s="116"/>
      <c r="I152" s="58"/>
    </row>
    <row r="153" spans="1:9" ht="25.5" x14ac:dyDescent="0.2">
      <c r="B153" s="42" t="s">
        <v>579</v>
      </c>
      <c r="C153" s="43" t="s">
        <v>580</v>
      </c>
      <c r="D153" s="114">
        <v>0</v>
      </c>
      <c r="E153" s="115"/>
      <c r="F153" s="116"/>
      <c r="G153" s="114">
        <v>0</v>
      </c>
      <c r="H153" s="116"/>
      <c r="I153" s="58"/>
    </row>
    <row r="154" spans="1:9" x14ac:dyDescent="0.2">
      <c r="B154" s="42"/>
      <c r="C154" s="42"/>
      <c r="D154" s="109"/>
      <c r="E154" s="109"/>
      <c r="F154" s="109"/>
      <c r="G154" s="109"/>
      <c r="H154" s="109"/>
      <c r="I154" s="58"/>
    </row>
    <row r="155" spans="1:9" x14ac:dyDescent="0.2">
      <c r="B155" s="110" t="s">
        <v>558</v>
      </c>
      <c r="C155" s="110"/>
      <c r="D155" s="110"/>
      <c r="E155" s="110"/>
      <c r="F155" s="110"/>
      <c r="G155" s="110"/>
      <c r="H155" s="110"/>
      <c r="I155" s="58"/>
    </row>
    <row r="156" spans="1:9" x14ac:dyDescent="0.2">
      <c r="B156" s="105" t="s">
        <v>538</v>
      </c>
      <c r="C156" s="105" t="s">
        <v>539</v>
      </c>
      <c r="D156" s="105" t="s">
        <v>545</v>
      </c>
      <c r="E156" s="105"/>
      <c r="F156" s="105"/>
      <c r="G156" s="105"/>
      <c r="H156" s="106" t="s">
        <v>581</v>
      </c>
      <c r="I156" s="58"/>
    </row>
    <row r="157" spans="1:9" ht="63.75" x14ac:dyDescent="0.2">
      <c r="B157" s="105"/>
      <c r="C157" s="105"/>
      <c r="D157" s="44" t="s">
        <v>546</v>
      </c>
      <c r="E157" s="44" t="s">
        <v>560</v>
      </c>
      <c r="F157" s="44" t="s">
        <v>561</v>
      </c>
      <c r="G157" s="44" t="s">
        <v>582</v>
      </c>
      <c r="H157" s="107"/>
      <c r="I157" s="58"/>
    </row>
    <row r="158" spans="1:9" ht="25.5" x14ac:dyDescent="0.2">
      <c r="B158" s="42" t="s">
        <v>574</v>
      </c>
      <c r="C158" s="43" t="s">
        <v>575</v>
      </c>
      <c r="D158" s="54">
        <v>3000</v>
      </c>
      <c r="E158" s="54">
        <v>198.60410960000002</v>
      </c>
      <c r="F158" s="67">
        <v>72.152053199999997</v>
      </c>
      <c r="G158" s="68">
        <v>3270.7561627999999</v>
      </c>
      <c r="H158" s="56">
        <v>1452.6372699999999</v>
      </c>
      <c r="I158" s="58"/>
    </row>
    <row r="159" spans="1:9" ht="25.5" x14ac:dyDescent="0.2">
      <c r="B159" s="42" t="s">
        <v>576</v>
      </c>
      <c r="C159" s="43" t="s">
        <v>577</v>
      </c>
      <c r="D159" s="54">
        <v>500</v>
      </c>
      <c r="E159" s="54">
        <v>33.283561599999999</v>
      </c>
      <c r="F159" s="67">
        <v>12.091777499999999</v>
      </c>
      <c r="G159" s="68">
        <f>D159+E159+F159</f>
        <v>545.37533910000002</v>
      </c>
      <c r="H159" s="56">
        <v>242.22076999999999</v>
      </c>
      <c r="I159" s="58"/>
    </row>
    <row r="160" spans="1:9" ht="25.5" x14ac:dyDescent="0.2">
      <c r="B160" s="42" t="s">
        <v>556</v>
      </c>
      <c r="C160" s="43" t="s">
        <v>583</v>
      </c>
      <c r="D160" s="54">
        <v>2000</v>
      </c>
      <c r="E160" s="54">
        <v>39.762295099999996</v>
      </c>
      <c r="F160" s="67">
        <v>64.029485721917808</v>
      </c>
      <c r="G160" s="68">
        <v>2103.7917808219199</v>
      </c>
      <c r="H160" s="56">
        <v>933.64715000000001</v>
      </c>
      <c r="I160" s="58"/>
    </row>
    <row r="161" spans="2:9" ht="25.5" x14ac:dyDescent="0.2">
      <c r="B161" s="42" t="s">
        <v>579</v>
      </c>
      <c r="C161" s="43" t="s">
        <v>580</v>
      </c>
      <c r="D161" s="54">
        <v>1882.78</v>
      </c>
      <c r="E161" s="54">
        <v>137.066384</v>
      </c>
      <c r="F161" s="67">
        <v>34.266601500000007</v>
      </c>
      <c r="G161" s="68">
        <v>2054.1129854999999</v>
      </c>
      <c r="H161" s="56">
        <v>916.65184999999997</v>
      </c>
      <c r="I161" s="58"/>
    </row>
    <row r="162" spans="2:9" x14ac:dyDescent="0.2">
      <c r="B162" s="42"/>
      <c r="C162" s="42"/>
      <c r="D162" s="42"/>
      <c r="E162" s="42"/>
      <c r="F162" s="68"/>
      <c r="G162" s="68"/>
      <c r="H162" s="42"/>
      <c r="I162" s="58"/>
    </row>
    <row r="163" spans="2:9" ht="43.5" customHeight="1" x14ac:dyDescent="0.2">
      <c r="B163" s="113" t="s">
        <v>584</v>
      </c>
      <c r="C163" s="113"/>
      <c r="D163" s="113"/>
      <c r="E163" s="113"/>
      <c r="F163" s="113"/>
      <c r="G163" s="113"/>
      <c r="H163" s="113"/>
      <c r="I163" s="58"/>
    </row>
    <row r="164" spans="2:9" x14ac:dyDescent="0.2">
      <c r="B164" s="58"/>
      <c r="C164" s="58"/>
      <c r="D164" s="58"/>
      <c r="E164" s="58"/>
      <c r="F164" s="58"/>
      <c r="G164" s="58"/>
      <c r="H164" s="58"/>
      <c r="I164" s="58"/>
    </row>
    <row r="165" spans="2:9" x14ac:dyDescent="0.2">
      <c r="B165" s="57" t="s">
        <v>563</v>
      </c>
      <c r="C165" s="58"/>
      <c r="D165" s="58"/>
      <c r="E165" s="58"/>
      <c r="F165" s="58"/>
      <c r="G165" s="58"/>
      <c r="H165" s="58"/>
      <c r="I165" s="58"/>
    </row>
    <row r="166" spans="2:9" x14ac:dyDescent="0.2">
      <c r="B166" s="58"/>
      <c r="C166" s="58"/>
      <c r="D166" s="58"/>
      <c r="E166" s="58"/>
      <c r="F166" s="58"/>
      <c r="G166" s="58"/>
      <c r="H166" s="58"/>
      <c r="I166" s="58"/>
    </row>
    <row r="167" spans="2:9" x14ac:dyDescent="0.2">
      <c r="B167" s="59" t="s">
        <v>564</v>
      </c>
      <c r="C167" s="58"/>
      <c r="D167" s="58"/>
      <c r="E167" s="58"/>
      <c r="F167" s="58"/>
      <c r="G167" s="58"/>
      <c r="H167" s="58"/>
      <c r="I167" s="58"/>
    </row>
    <row r="168" spans="2:9" x14ac:dyDescent="0.2">
      <c r="B168" s="58"/>
      <c r="C168" s="58"/>
      <c r="D168" s="58"/>
      <c r="E168" s="58"/>
      <c r="F168" s="58"/>
      <c r="G168" s="58"/>
      <c r="H168" s="58"/>
      <c r="I168" s="58"/>
    </row>
    <row r="169" spans="2:9" x14ac:dyDescent="0.2">
      <c r="B169" s="59" t="s">
        <v>565</v>
      </c>
      <c r="C169" s="58"/>
      <c r="D169" s="58"/>
      <c r="E169" s="58"/>
      <c r="F169" s="58"/>
      <c r="G169" s="58"/>
      <c r="H169" s="58"/>
      <c r="I169" s="58"/>
    </row>
  </sheetData>
  <mergeCells count="38">
    <mergeCell ref="J2:N2"/>
    <mergeCell ref="B141:C141"/>
    <mergeCell ref="B104:F104"/>
    <mergeCell ref="B105:F105"/>
    <mergeCell ref="B106:F106"/>
    <mergeCell ref="B108:D108"/>
    <mergeCell ref="B109:C109"/>
    <mergeCell ref="B110:C110"/>
    <mergeCell ref="B111:C111"/>
    <mergeCell ref="B130:C130"/>
    <mergeCell ref="B142:C142"/>
    <mergeCell ref="B143:C143"/>
    <mergeCell ref="B144:C144"/>
    <mergeCell ref="B145:C145"/>
    <mergeCell ref="B146:C146"/>
    <mergeCell ref="D153:F153"/>
    <mergeCell ref="G153:H153"/>
    <mergeCell ref="B147:H147"/>
    <mergeCell ref="D149:F149"/>
    <mergeCell ref="G149:H149"/>
    <mergeCell ref="D150:F150"/>
    <mergeCell ref="G150:H150"/>
    <mergeCell ref="B163:H163"/>
    <mergeCell ref="A1:H1"/>
    <mergeCell ref="A2:H2"/>
    <mergeCell ref="A3:H3"/>
    <mergeCell ref="B139:F139"/>
    <mergeCell ref="D154:F154"/>
    <mergeCell ref="G154:H154"/>
    <mergeCell ref="B155:H155"/>
    <mergeCell ref="B156:B157"/>
    <mergeCell ref="C156:C157"/>
    <mergeCell ref="D156:G156"/>
    <mergeCell ref="H156:H157"/>
    <mergeCell ref="D151:F151"/>
    <mergeCell ref="G151:H151"/>
    <mergeCell ref="D152:F152"/>
    <mergeCell ref="G152:H152"/>
  </mergeCells>
  <hyperlinks>
    <hyperlink ref="B167" r:id="rId1" xr:uid="{7B17D09D-E134-4689-B782-9126BBFDEB2F}"/>
    <hyperlink ref="B169" r:id="rId2" xr:uid="{9C783158-2263-4E3E-8AD3-BA36F2C056B6}"/>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58"/>
  </cols>
  <sheetData>
    <row r="1" spans="1:15" ht="18" customHeight="1" x14ac:dyDescent="0.2">
      <c r="A1" s="103" t="s">
        <v>0</v>
      </c>
      <c r="B1" s="103"/>
      <c r="C1" s="103"/>
      <c r="D1" s="103"/>
      <c r="E1" s="103"/>
      <c r="F1" s="103"/>
      <c r="G1" s="103"/>
      <c r="H1" s="103"/>
    </row>
    <row r="2" spans="1:15" ht="17.100000000000001" customHeight="1" x14ac:dyDescent="0.2">
      <c r="A2" s="103" t="s">
        <v>624</v>
      </c>
      <c r="B2" s="103"/>
      <c r="C2" s="103"/>
      <c r="D2" s="103"/>
      <c r="E2" s="103"/>
      <c r="F2" s="103"/>
      <c r="G2" s="103"/>
      <c r="H2" s="103"/>
      <c r="J2" s="102" t="s">
        <v>627</v>
      </c>
      <c r="K2" s="102"/>
      <c r="L2" s="102"/>
      <c r="M2" s="102"/>
      <c r="N2" s="10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9" t="s">
        <v>633</v>
      </c>
      <c r="K16" s="92"/>
      <c r="L16" s="92"/>
      <c r="M16" s="92"/>
      <c r="N16" s="92"/>
      <c r="O16" s="92"/>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229</v>
      </c>
      <c r="C28" s="10" t="s">
        <v>230</v>
      </c>
      <c r="D28" s="10" t="s">
        <v>591</v>
      </c>
      <c r="E28" s="11">
        <v>750</v>
      </c>
      <c r="F28" s="12">
        <v>7495.2974999999997</v>
      </c>
      <c r="G28" s="13">
        <v>5.2384356E-2</v>
      </c>
      <c r="H28" s="12">
        <v>4.63</v>
      </c>
    </row>
    <row r="29" spans="1:15" ht="17.100000000000001" customHeight="1" x14ac:dyDescent="0.25">
      <c r="A29" s="9">
        <v>2</v>
      </c>
      <c r="B29" s="10" t="s">
        <v>236</v>
      </c>
      <c r="C29" s="10" t="s">
        <v>237</v>
      </c>
      <c r="D29" s="10" t="s">
        <v>238</v>
      </c>
      <c r="E29" s="11">
        <v>350</v>
      </c>
      <c r="F29" s="12">
        <v>6446.44</v>
      </c>
      <c r="G29" s="13">
        <v>4.5053929999999999E-2</v>
      </c>
      <c r="H29" s="12">
        <v>4.21</v>
      </c>
      <c r="J29" s="89" t="s">
        <v>634</v>
      </c>
      <c r="K29" s="92"/>
      <c r="L29" s="92"/>
      <c r="M29" s="92"/>
      <c r="N29" s="92"/>
      <c r="O29"/>
    </row>
    <row r="30" spans="1:15" ht="29.1" customHeight="1" x14ac:dyDescent="0.2">
      <c r="A30" s="9">
        <v>3</v>
      </c>
      <c r="B30" s="10" t="s">
        <v>211</v>
      </c>
      <c r="C30" s="10" t="s">
        <v>212</v>
      </c>
      <c r="D30" s="10" t="s">
        <v>22</v>
      </c>
      <c r="E30" s="11">
        <v>350</v>
      </c>
      <c r="F30" s="12">
        <v>3507.252</v>
      </c>
      <c r="G30" s="13">
        <v>2.4512053999999998E-2</v>
      </c>
      <c r="H30" s="12">
        <v>3.6850000000000001</v>
      </c>
      <c r="O30"/>
    </row>
    <row r="31" spans="1:15" ht="51" x14ac:dyDescent="0.2">
      <c r="A31" s="9">
        <v>4</v>
      </c>
      <c r="B31" s="10" t="s">
        <v>233</v>
      </c>
      <c r="C31" s="10" t="s">
        <v>625</v>
      </c>
      <c r="D31" s="10" t="s">
        <v>592</v>
      </c>
      <c r="E31" s="11">
        <v>300</v>
      </c>
      <c r="F31" s="12">
        <v>3011.28</v>
      </c>
      <c r="G31" s="13">
        <v>2.1045723999999998E-2</v>
      </c>
      <c r="H31" s="12">
        <v>4.3650000000000002</v>
      </c>
      <c r="O31"/>
    </row>
    <row r="32" spans="1:15" ht="29.1" customHeight="1" x14ac:dyDescent="0.2">
      <c r="A32" s="9">
        <v>5</v>
      </c>
      <c r="B32" s="10" t="s">
        <v>239</v>
      </c>
      <c r="C32" s="10" t="s">
        <v>240</v>
      </c>
      <c r="D32" s="10" t="s">
        <v>22</v>
      </c>
      <c r="E32" s="11">
        <v>250</v>
      </c>
      <c r="F32" s="12">
        <v>2544.0549999999998</v>
      </c>
      <c r="G32" s="13">
        <v>1.7780305999999999E-2</v>
      </c>
      <c r="H32" s="12">
        <v>4.9474999999999998</v>
      </c>
      <c r="O32"/>
    </row>
    <row r="33" spans="1:15" ht="29.1" customHeight="1" x14ac:dyDescent="0.2">
      <c r="A33" s="9">
        <v>6</v>
      </c>
      <c r="B33" s="10" t="s">
        <v>388</v>
      </c>
      <c r="C33" s="10" t="s">
        <v>389</v>
      </c>
      <c r="D33" s="10" t="s">
        <v>22</v>
      </c>
      <c r="E33" s="11">
        <v>250</v>
      </c>
      <c r="F33" s="12">
        <v>2525.1750000000002</v>
      </c>
      <c r="G33" s="13">
        <v>1.7648354000000002E-2</v>
      </c>
      <c r="H33" s="12">
        <v>4.4450000000000003</v>
      </c>
      <c r="O33"/>
    </row>
    <row r="34" spans="1:15" ht="29.1" customHeight="1" x14ac:dyDescent="0.2">
      <c r="A34" s="9">
        <v>7</v>
      </c>
      <c r="B34" s="10" t="s">
        <v>31</v>
      </c>
      <c r="C34" s="10" t="s">
        <v>32</v>
      </c>
      <c r="D34" s="10" t="s">
        <v>22</v>
      </c>
      <c r="E34" s="11">
        <v>250</v>
      </c>
      <c r="F34" s="12">
        <v>2515.5100000000002</v>
      </c>
      <c r="G34" s="13">
        <v>1.7580806000000001E-2</v>
      </c>
      <c r="H34" s="12">
        <v>5.3289</v>
      </c>
      <c r="O34"/>
    </row>
    <row r="35" spans="1:15" ht="29.1" customHeight="1" x14ac:dyDescent="0.2">
      <c r="A35" s="9">
        <v>8</v>
      </c>
      <c r="B35" s="10" t="s">
        <v>243</v>
      </c>
      <c r="C35" s="10" t="s">
        <v>244</v>
      </c>
      <c r="D35" s="10" t="s">
        <v>22</v>
      </c>
      <c r="E35" s="11">
        <v>250</v>
      </c>
      <c r="F35" s="12">
        <v>2504.1975000000002</v>
      </c>
      <c r="G35" s="13">
        <v>1.7501744E-2</v>
      </c>
      <c r="H35" s="12">
        <v>5.4089</v>
      </c>
      <c r="O35"/>
    </row>
    <row r="36" spans="1:15" ht="29.1" customHeight="1" x14ac:dyDescent="0.2">
      <c r="A36" s="9">
        <v>9</v>
      </c>
      <c r="B36" s="10" t="s">
        <v>390</v>
      </c>
      <c r="C36" s="10" t="s">
        <v>391</v>
      </c>
      <c r="D36" s="10" t="s">
        <v>22</v>
      </c>
      <c r="E36" s="11">
        <v>100</v>
      </c>
      <c r="F36" s="12">
        <v>1017.197</v>
      </c>
      <c r="G36" s="13">
        <v>7.1091519999999997E-3</v>
      </c>
      <c r="H36" s="12">
        <v>4.5650000000000004</v>
      </c>
      <c r="O36"/>
    </row>
    <row r="37" spans="1:15" ht="29.1" customHeight="1" x14ac:dyDescent="0.2">
      <c r="A37" s="9">
        <v>10</v>
      </c>
      <c r="B37" s="10" t="s">
        <v>392</v>
      </c>
      <c r="C37" s="10" t="s">
        <v>393</v>
      </c>
      <c r="D37" s="10" t="s">
        <v>22</v>
      </c>
      <c r="E37" s="11">
        <v>50</v>
      </c>
      <c r="F37" s="12">
        <v>505.05599999999998</v>
      </c>
      <c r="G37" s="13">
        <v>3.5298180000000001E-3</v>
      </c>
      <c r="H37" s="12">
        <v>4.5650000000000004</v>
      </c>
    </row>
    <row r="38" spans="1:15" ht="29.1" customHeight="1" x14ac:dyDescent="0.2">
      <c r="A38" s="9">
        <v>11</v>
      </c>
      <c r="B38" s="10" t="s">
        <v>183</v>
      </c>
      <c r="C38" s="10" t="s">
        <v>184</v>
      </c>
      <c r="D38" s="10" t="s">
        <v>185</v>
      </c>
      <c r="E38" s="11">
        <v>50</v>
      </c>
      <c r="F38" s="12">
        <v>504.995</v>
      </c>
      <c r="G38" s="13">
        <v>3.5293910000000002E-3</v>
      </c>
      <c r="H38" s="12">
        <v>4.49</v>
      </c>
    </row>
    <row r="39" spans="1:15" ht="29.1" customHeight="1" x14ac:dyDescent="0.2">
      <c r="A39" s="9">
        <v>12</v>
      </c>
      <c r="B39" s="10" t="s">
        <v>394</v>
      </c>
      <c r="C39" s="10" t="s">
        <v>395</v>
      </c>
      <c r="D39" s="10" t="s">
        <v>22</v>
      </c>
      <c r="E39" s="11">
        <v>50</v>
      </c>
      <c r="F39" s="12">
        <v>504.91149999999999</v>
      </c>
      <c r="G39" s="13">
        <v>3.528808E-3</v>
      </c>
      <c r="H39" s="12">
        <v>3.9849999999999999</v>
      </c>
    </row>
    <row r="40" spans="1:15" ht="29.1" customHeight="1" x14ac:dyDescent="0.2">
      <c r="A40" s="9">
        <v>13</v>
      </c>
      <c r="B40" s="10" t="s">
        <v>396</v>
      </c>
      <c r="C40" s="10" t="s">
        <v>397</v>
      </c>
      <c r="D40" s="10" t="s">
        <v>22</v>
      </c>
      <c r="E40" s="11">
        <v>50</v>
      </c>
      <c r="F40" s="12">
        <v>504.04050000000001</v>
      </c>
      <c r="G40" s="13">
        <v>3.52272E-3</v>
      </c>
      <c r="H40" s="12">
        <v>4.0199999999999996</v>
      </c>
    </row>
    <row r="41" spans="1:15" ht="17.100000000000001" customHeight="1" x14ac:dyDescent="0.2">
      <c r="A41" s="9">
        <v>14</v>
      </c>
      <c r="B41" s="10" t="s">
        <v>247</v>
      </c>
      <c r="C41" s="10" t="s">
        <v>248</v>
      </c>
      <c r="D41" s="10" t="s">
        <v>22</v>
      </c>
      <c r="E41" s="11">
        <v>50</v>
      </c>
      <c r="F41" s="12">
        <v>500.60550000000001</v>
      </c>
      <c r="G41" s="13">
        <v>3.4987130000000001E-3</v>
      </c>
      <c r="H41" s="12">
        <v>3.6349999999999998</v>
      </c>
    </row>
    <row r="42" spans="1:15" ht="29.1" customHeight="1" x14ac:dyDescent="0.2">
      <c r="A42" s="9">
        <v>15</v>
      </c>
      <c r="B42" s="10" t="s">
        <v>213</v>
      </c>
      <c r="C42" s="10" t="s">
        <v>214</v>
      </c>
      <c r="D42" s="10" t="s">
        <v>22</v>
      </c>
      <c r="E42" s="11">
        <v>50</v>
      </c>
      <c r="F42" s="12">
        <v>500.41500000000002</v>
      </c>
      <c r="G42" s="13">
        <v>3.4973819999999998E-3</v>
      </c>
      <c r="H42" s="12">
        <v>3.67</v>
      </c>
    </row>
    <row r="43" spans="1:15" ht="29.1" customHeight="1" x14ac:dyDescent="0.2">
      <c r="A43" s="9">
        <v>16</v>
      </c>
      <c r="B43" s="10" t="s">
        <v>253</v>
      </c>
      <c r="C43" s="10" t="s">
        <v>254</v>
      </c>
      <c r="D43" s="10" t="s">
        <v>22</v>
      </c>
      <c r="E43" s="11">
        <v>30</v>
      </c>
      <c r="F43" s="12">
        <v>302.21609999999998</v>
      </c>
      <c r="G43" s="13">
        <v>2.1121769999999998E-3</v>
      </c>
      <c r="H43" s="12">
        <v>4.2450000000000001</v>
      </c>
    </row>
    <row r="44" spans="1:15" ht="29.1" customHeight="1" x14ac:dyDescent="0.2">
      <c r="A44" s="9">
        <v>17</v>
      </c>
      <c r="B44" s="10" t="s">
        <v>255</v>
      </c>
      <c r="C44" s="10" t="s">
        <v>256</v>
      </c>
      <c r="D44" s="10" t="s">
        <v>22</v>
      </c>
      <c r="E44" s="11">
        <v>30</v>
      </c>
      <c r="F44" s="12">
        <v>301.45409999999998</v>
      </c>
      <c r="G44" s="13">
        <v>2.1068520000000002E-3</v>
      </c>
      <c r="H44" s="12">
        <v>3.9</v>
      </c>
    </row>
    <row r="45" spans="1:15" ht="29.1" customHeight="1" x14ac:dyDescent="0.2">
      <c r="A45" s="9">
        <v>18</v>
      </c>
      <c r="B45" s="10" t="s">
        <v>398</v>
      </c>
      <c r="C45" s="10" t="s">
        <v>399</v>
      </c>
      <c r="D45" s="10" t="s">
        <v>22</v>
      </c>
      <c r="E45" s="11">
        <v>30</v>
      </c>
      <c r="F45" s="12">
        <v>301.28219999999999</v>
      </c>
      <c r="G45" s="13">
        <v>2.1056500000000001E-3</v>
      </c>
      <c r="H45" s="12">
        <v>3.9049999999999998</v>
      </c>
    </row>
    <row r="46" spans="1:15" ht="14.1" customHeight="1" x14ac:dyDescent="0.2">
      <c r="A46" s="1"/>
      <c r="B46" s="1"/>
      <c r="C46" s="2" t="s">
        <v>11</v>
      </c>
      <c r="D46" s="1"/>
      <c r="E46" s="1" t="s">
        <v>12</v>
      </c>
      <c r="F46" s="7">
        <v>35491.3799</v>
      </c>
      <c r="G46" s="8">
        <v>0.248047937</v>
      </c>
      <c r="H46" s="12"/>
    </row>
    <row r="47" spans="1:15" ht="14.1" customHeight="1" x14ac:dyDescent="0.2">
      <c r="A47" s="1"/>
      <c r="B47" s="1"/>
      <c r="C47" s="5"/>
      <c r="D47" s="1"/>
      <c r="E47" s="1"/>
      <c r="F47" s="6"/>
      <c r="G47" s="6"/>
      <c r="H47" s="12"/>
    </row>
    <row r="48" spans="1:15" ht="14.1" customHeight="1" x14ac:dyDescent="0.2">
      <c r="A48" s="1"/>
      <c r="B48" s="1"/>
      <c r="C48" s="2" t="s">
        <v>102</v>
      </c>
      <c r="D48" s="1"/>
      <c r="E48" s="1"/>
      <c r="F48" s="1"/>
      <c r="G48" s="1"/>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103</v>
      </c>
      <c r="D51" s="1"/>
      <c r="E51" s="1"/>
      <c r="F51" s="1"/>
      <c r="G51" s="1"/>
      <c r="H51" s="12"/>
    </row>
    <row r="52" spans="1:8" ht="29.1" customHeight="1" x14ac:dyDescent="0.2">
      <c r="A52" s="9">
        <v>1</v>
      </c>
      <c r="B52" s="10" t="s">
        <v>400</v>
      </c>
      <c r="C52" s="10" t="s">
        <v>401</v>
      </c>
      <c r="D52" s="10" t="s">
        <v>106</v>
      </c>
      <c r="E52" s="11">
        <v>500000</v>
      </c>
      <c r="F52" s="12">
        <v>500.435</v>
      </c>
      <c r="G52" s="13">
        <v>3.4975219999999999E-3</v>
      </c>
      <c r="H52" s="12">
        <v>3.6150000000000002</v>
      </c>
    </row>
    <row r="53" spans="1:8" ht="29.1" customHeight="1" x14ac:dyDescent="0.2">
      <c r="A53" s="9">
        <v>2</v>
      </c>
      <c r="B53" s="10" t="s">
        <v>267</v>
      </c>
      <c r="C53" s="10" t="s">
        <v>268</v>
      </c>
      <c r="D53" s="10" t="s">
        <v>106</v>
      </c>
      <c r="E53" s="11">
        <v>300000</v>
      </c>
      <c r="F53" s="12">
        <v>306.2484</v>
      </c>
      <c r="G53" s="13">
        <v>2.1403590000000001E-3</v>
      </c>
      <c r="H53" s="12">
        <v>4.4074</v>
      </c>
    </row>
    <row r="54" spans="1:8" ht="29.1" customHeight="1" x14ac:dyDescent="0.2">
      <c r="A54" s="9">
        <v>3</v>
      </c>
      <c r="B54" s="10" t="s">
        <v>273</v>
      </c>
      <c r="C54" s="10" t="s">
        <v>274</v>
      </c>
      <c r="D54" s="10" t="s">
        <v>106</v>
      </c>
      <c r="E54" s="11">
        <v>300000</v>
      </c>
      <c r="F54" s="12">
        <v>306.19560000000001</v>
      </c>
      <c r="G54" s="13">
        <v>2.13999E-3</v>
      </c>
      <c r="H54" s="12">
        <v>4.32</v>
      </c>
    </row>
    <row r="55" spans="1:8" ht="29.1" customHeight="1" x14ac:dyDescent="0.2">
      <c r="A55" s="9">
        <v>4</v>
      </c>
      <c r="B55" s="10" t="s">
        <v>269</v>
      </c>
      <c r="C55" s="10" t="s">
        <v>270</v>
      </c>
      <c r="D55" s="10" t="s">
        <v>106</v>
      </c>
      <c r="E55" s="11">
        <v>200000</v>
      </c>
      <c r="F55" s="12">
        <v>202.26480000000001</v>
      </c>
      <c r="G55" s="13">
        <v>1.4136210000000001E-3</v>
      </c>
      <c r="H55" s="12">
        <v>3.9333</v>
      </c>
    </row>
    <row r="56" spans="1:8" ht="29.1" customHeight="1" x14ac:dyDescent="0.2">
      <c r="A56" s="9">
        <v>5</v>
      </c>
      <c r="B56" s="10" t="s">
        <v>271</v>
      </c>
      <c r="C56" s="10" t="s">
        <v>272</v>
      </c>
      <c r="D56" s="10" t="s">
        <v>106</v>
      </c>
      <c r="E56" s="11">
        <v>150000</v>
      </c>
      <c r="F56" s="12">
        <v>151.36154999999999</v>
      </c>
      <c r="G56" s="13">
        <v>1.0578600000000001E-3</v>
      </c>
      <c r="H56" s="12">
        <v>3.7475999999999998</v>
      </c>
    </row>
    <row r="57" spans="1:8" ht="29.1" customHeight="1" x14ac:dyDescent="0.2">
      <c r="A57" s="9">
        <v>6</v>
      </c>
      <c r="B57" s="10" t="s">
        <v>263</v>
      </c>
      <c r="C57" s="10" t="s">
        <v>264</v>
      </c>
      <c r="D57" s="10" t="s">
        <v>106</v>
      </c>
      <c r="E57" s="11">
        <v>100000</v>
      </c>
      <c r="F57" s="12">
        <v>101.44580000000001</v>
      </c>
      <c r="G57" s="13">
        <v>7.0900100000000001E-4</v>
      </c>
      <c r="H57" s="12">
        <v>4.4249999999999998</v>
      </c>
    </row>
    <row r="58" spans="1:8" ht="14.1" customHeight="1" x14ac:dyDescent="0.2">
      <c r="A58" s="1"/>
      <c r="B58" s="1"/>
      <c r="C58" s="2" t="s">
        <v>11</v>
      </c>
      <c r="D58" s="1"/>
      <c r="E58" s="1" t="s">
        <v>12</v>
      </c>
      <c r="F58" s="7">
        <v>1567.9511500000001</v>
      </c>
      <c r="G58" s="8">
        <v>1.0958353000000001E-2</v>
      </c>
      <c r="H58" s="12"/>
    </row>
    <row r="59" spans="1:8" ht="14.1" customHeight="1" x14ac:dyDescent="0.2">
      <c r="A59" s="1"/>
      <c r="B59" s="1"/>
      <c r="C59" s="5"/>
      <c r="D59" s="1"/>
      <c r="E59" s="1"/>
      <c r="F59" s="6"/>
      <c r="G59" s="6"/>
      <c r="H59" s="12"/>
    </row>
    <row r="60" spans="1:8" ht="14.1" customHeight="1" x14ac:dyDescent="0.2">
      <c r="A60" s="1"/>
      <c r="B60" s="1"/>
      <c r="C60" s="2" t="s">
        <v>119</v>
      </c>
      <c r="D60" s="1"/>
      <c r="E60" s="1"/>
      <c r="F60" s="6"/>
      <c r="G60" s="6"/>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120</v>
      </c>
      <c r="D63" s="1"/>
      <c r="E63" s="1"/>
      <c r="F63" s="7">
        <v>37059.331050000001</v>
      </c>
      <c r="G63" s="8">
        <v>0.25900628999999997</v>
      </c>
      <c r="H63" s="12"/>
    </row>
    <row r="64" spans="1:8" ht="14.1" customHeight="1" x14ac:dyDescent="0.2">
      <c r="A64" s="1"/>
      <c r="B64" s="1"/>
      <c r="C64" s="5"/>
      <c r="D64" s="1"/>
      <c r="E64" s="1"/>
      <c r="F64" s="6"/>
      <c r="G64" s="6"/>
      <c r="H64" s="12"/>
    </row>
    <row r="65" spans="1:8" ht="14.1" customHeight="1" x14ac:dyDescent="0.2">
      <c r="A65" s="1"/>
      <c r="B65" s="1"/>
      <c r="C65" s="2" t="s">
        <v>121</v>
      </c>
      <c r="D65" s="1"/>
      <c r="E65" s="1"/>
      <c r="F65" s="6"/>
      <c r="G65" s="6"/>
      <c r="H65" s="12"/>
    </row>
    <row r="66" spans="1:8" ht="14.1" customHeight="1" x14ac:dyDescent="0.2">
      <c r="A66" s="1"/>
      <c r="B66" s="1"/>
      <c r="C66" s="2" t="s">
        <v>122</v>
      </c>
      <c r="D66" s="1"/>
      <c r="E66" s="1"/>
      <c r="F66" s="6"/>
      <c r="G66" s="6"/>
      <c r="H66" s="12"/>
    </row>
    <row r="67" spans="1:8" ht="17.100000000000001" customHeight="1" x14ac:dyDescent="0.2">
      <c r="A67" s="9">
        <v>1</v>
      </c>
      <c r="B67" s="10" t="s">
        <v>200</v>
      </c>
      <c r="C67" s="10" t="s">
        <v>201</v>
      </c>
      <c r="D67" s="10" t="s">
        <v>202</v>
      </c>
      <c r="E67" s="11">
        <v>1500</v>
      </c>
      <c r="F67" s="12">
        <v>7351.4250000000002</v>
      </c>
      <c r="G67" s="13">
        <v>5.1378836999999997E-2</v>
      </c>
      <c r="H67" s="12">
        <v>4.3650000000000002</v>
      </c>
    </row>
    <row r="68" spans="1:8" ht="17.100000000000001" customHeight="1" x14ac:dyDescent="0.2">
      <c r="A68" s="9">
        <v>2</v>
      </c>
      <c r="B68" s="10" t="s">
        <v>402</v>
      </c>
      <c r="C68" s="10" t="s">
        <v>403</v>
      </c>
      <c r="D68" s="10" t="s">
        <v>277</v>
      </c>
      <c r="E68" s="11">
        <v>1000</v>
      </c>
      <c r="F68" s="12">
        <v>4963.2150000000001</v>
      </c>
      <c r="G68" s="13">
        <v>3.4687726000000002E-2</v>
      </c>
      <c r="H68" s="12">
        <v>3.9207999999999998</v>
      </c>
    </row>
    <row r="69" spans="1:8" ht="17.100000000000001" customHeight="1" x14ac:dyDescent="0.2">
      <c r="A69" s="9">
        <v>3</v>
      </c>
      <c r="B69" s="10" t="s">
        <v>404</v>
      </c>
      <c r="C69" s="10" t="s">
        <v>405</v>
      </c>
      <c r="D69" s="10" t="s">
        <v>277</v>
      </c>
      <c r="E69" s="11">
        <v>1000</v>
      </c>
      <c r="F69" s="12">
        <v>4943.01</v>
      </c>
      <c r="G69" s="13">
        <v>3.4546514E-2</v>
      </c>
      <c r="H69" s="12">
        <v>3.97</v>
      </c>
    </row>
    <row r="70" spans="1:8" ht="17.100000000000001" customHeight="1" x14ac:dyDescent="0.2">
      <c r="A70" s="9">
        <v>4</v>
      </c>
      <c r="B70" s="10" t="s">
        <v>406</v>
      </c>
      <c r="C70" s="10" t="s">
        <v>407</v>
      </c>
      <c r="D70" s="10" t="s">
        <v>277</v>
      </c>
      <c r="E70" s="11">
        <v>500</v>
      </c>
      <c r="F70" s="12">
        <v>2484.7199999999998</v>
      </c>
      <c r="G70" s="13">
        <v>1.7365616E-2</v>
      </c>
      <c r="H70" s="12">
        <v>3.87</v>
      </c>
    </row>
    <row r="71" spans="1:8" ht="17.100000000000001" customHeight="1" x14ac:dyDescent="0.2">
      <c r="A71" s="9">
        <v>5</v>
      </c>
      <c r="B71" s="10" t="s">
        <v>408</v>
      </c>
      <c r="C71" s="10" t="s">
        <v>409</v>
      </c>
      <c r="D71" s="10" t="s">
        <v>202</v>
      </c>
      <c r="E71" s="11">
        <v>500</v>
      </c>
      <c r="F71" s="12">
        <v>2481.56</v>
      </c>
      <c r="G71" s="13">
        <v>1.7343530999999999E-2</v>
      </c>
      <c r="H71" s="12">
        <v>3.875</v>
      </c>
    </row>
    <row r="72" spans="1:8" ht="17.100000000000001" customHeight="1" x14ac:dyDescent="0.2">
      <c r="A72" s="9">
        <v>6</v>
      </c>
      <c r="B72" s="10" t="s">
        <v>275</v>
      </c>
      <c r="C72" s="10" t="s">
        <v>276</v>
      </c>
      <c r="D72" s="10" t="s">
        <v>277</v>
      </c>
      <c r="E72" s="11">
        <v>500</v>
      </c>
      <c r="F72" s="12">
        <v>2449.04</v>
      </c>
      <c r="G72" s="13">
        <v>1.711625E-2</v>
      </c>
      <c r="H72" s="12">
        <v>4.3650000000000002</v>
      </c>
    </row>
    <row r="73" spans="1:8" ht="14.1" customHeight="1" x14ac:dyDescent="0.2">
      <c r="A73" s="1"/>
      <c r="B73" s="1"/>
      <c r="C73" s="2" t="s">
        <v>11</v>
      </c>
      <c r="D73" s="1"/>
      <c r="E73" s="1" t="s">
        <v>12</v>
      </c>
      <c r="F73" s="7">
        <v>24672.97</v>
      </c>
      <c r="G73" s="8">
        <v>0.17243847400000001</v>
      </c>
      <c r="H73" s="12"/>
    </row>
    <row r="74" spans="1:8" ht="14.1" customHeight="1" x14ac:dyDescent="0.2">
      <c r="A74" s="1"/>
      <c r="B74" s="1"/>
      <c r="C74" s="5"/>
      <c r="D74" s="1"/>
      <c r="E74" s="1"/>
      <c r="F74" s="6"/>
      <c r="G74" s="6"/>
      <c r="H74" s="12"/>
    </row>
    <row r="75" spans="1:8" ht="14.1" customHeight="1" x14ac:dyDescent="0.2">
      <c r="A75" s="1"/>
      <c r="B75" s="1"/>
      <c r="C75" s="2" t="s">
        <v>123</v>
      </c>
      <c r="D75" s="1"/>
      <c r="E75" s="1"/>
      <c r="F75" s="6"/>
      <c r="G75" s="6"/>
      <c r="H75" s="12"/>
    </row>
    <row r="76" spans="1:8" ht="17.100000000000001" customHeight="1" x14ac:dyDescent="0.2">
      <c r="A76" s="9">
        <v>1</v>
      </c>
      <c r="B76" s="10" t="s">
        <v>331</v>
      </c>
      <c r="C76" s="10" t="s">
        <v>332</v>
      </c>
      <c r="D76" s="10" t="s">
        <v>594</v>
      </c>
      <c r="E76" s="11">
        <v>1000</v>
      </c>
      <c r="F76" s="12">
        <v>4992.08</v>
      </c>
      <c r="G76" s="13">
        <v>3.4889462000000003E-2</v>
      </c>
      <c r="H76" s="12">
        <v>3.6204999999999998</v>
      </c>
    </row>
    <row r="77" spans="1:8" ht="17.100000000000001" customHeight="1" x14ac:dyDescent="0.2">
      <c r="A77" s="9">
        <v>2</v>
      </c>
      <c r="B77" s="10" t="s">
        <v>410</v>
      </c>
      <c r="C77" s="10" t="s">
        <v>411</v>
      </c>
      <c r="D77" s="10" t="s">
        <v>277</v>
      </c>
      <c r="E77" s="11">
        <v>1000</v>
      </c>
      <c r="F77" s="12">
        <v>4989.2250000000004</v>
      </c>
      <c r="G77" s="13">
        <v>3.4869509E-2</v>
      </c>
      <c r="H77" s="12">
        <v>3.7549999999999999</v>
      </c>
    </row>
    <row r="78" spans="1:8" ht="17.100000000000001" customHeight="1" x14ac:dyDescent="0.2">
      <c r="A78" s="9">
        <v>3</v>
      </c>
      <c r="B78" s="10" t="s">
        <v>412</v>
      </c>
      <c r="C78" s="10" t="s">
        <v>413</v>
      </c>
      <c r="D78" s="10" t="s">
        <v>277</v>
      </c>
      <c r="E78" s="11">
        <v>1000</v>
      </c>
      <c r="F78" s="12">
        <v>4978</v>
      </c>
      <c r="G78" s="13">
        <v>3.4791058E-2</v>
      </c>
      <c r="H78" s="12">
        <v>3.9350000000000001</v>
      </c>
    </row>
    <row r="79" spans="1:8" ht="29.1" customHeight="1" x14ac:dyDescent="0.2">
      <c r="A79" s="9">
        <v>4</v>
      </c>
      <c r="B79" s="10" t="s">
        <v>414</v>
      </c>
      <c r="C79" s="10" t="s">
        <v>415</v>
      </c>
      <c r="D79" s="10" t="s">
        <v>277</v>
      </c>
      <c r="E79" s="11">
        <v>1000</v>
      </c>
      <c r="F79" s="12">
        <v>4949.8599999999997</v>
      </c>
      <c r="G79" s="13">
        <v>3.4594387999999997E-2</v>
      </c>
      <c r="H79" s="12">
        <v>4.74</v>
      </c>
    </row>
    <row r="80" spans="1:8" ht="29.1" customHeight="1" x14ac:dyDescent="0.2">
      <c r="A80" s="9">
        <v>5</v>
      </c>
      <c r="B80" s="10" t="s">
        <v>280</v>
      </c>
      <c r="C80" s="10" t="s">
        <v>281</v>
      </c>
      <c r="D80" s="10" t="s">
        <v>277</v>
      </c>
      <c r="E80" s="11">
        <v>1000</v>
      </c>
      <c r="F80" s="12">
        <v>4936.13</v>
      </c>
      <c r="G80" s="13">
        <v>3.4498429999999997E-2</v>
      </c>
      <c r="H80" s="12">
        <v>4.2550999999999997</v>
      </c>
    </row>
    <row r="81" spans="1:8" ht="17.100000000000001" customHeight="1" x14ac:dyDescent="0.2">
      <c r="A81" s="9">
        <v>6</v>
      </c>
      <c r="B81" s="10" t="s">
        <v>288</v>
      </c>
      <c r="C81" s="10" t="s">
        <v>289</v>
      </c>
      <c r="D81" s="10" t="s">
        <v>594</v>
      </c>
      <c r="E81" s="11">
        <v>800</v>
      </c>
      <c r="F81" s="12">
        <v>3958.3519999999999</v>
      </c>
      <c r="G81" s="13">
        <v>2.7664774999999999E-2</v>
      </c>
      <c r="H81" s="12">
        <v>4.22</v>
      </c>
    </row>
    <row r="82" spans="1:8" ht="29.1" customHeight="1" x14ac:dyDescent="0.2">
      <c r="A82" s="9">
        <v>7</v>
      </c>
      <c r="B82" s="10" t="s">
        <v>286</v>
      </c>
      <c r="C82" s="10" t="s">
        <v>287</v>
      </c>
      <c r="D82" s="10" t="s">
        <v>277</v>
      </c>
      <c r="E82" s="11">
        <v>700</v>
      </c>
      <c r="F82" s="12">
        <v>3490.6410000000001</v>
      </c>
      <c r="G82" s="13">
        <v>2.4395961000000001E-2</v>
      </c>
      <c r="H82" s="12">
        <v>4.2549999999999999</v>
      </c>
    </row>
    <row r="83" spans="1:8" ht="29.1" customHeight="1" x14ac:dyDescent="0.2">
      <c r="A83" s="9">
        <v>8</v>
      </c>
      <c r="B83" s="10" t="s">
        <v>290</v>
      </c>
      <c r="C83" s="10" t="s">
        <v>511</v>
      </c>
      <c r="D83" s="10" t="s">
        <v>277</v>
      </c>
      <c r="E83" s="11">
        <v>500</v>
      </c>
      <c r="F83" s="12">
        <v>2467.7750000000001</v>
      </c>
      <c r="G83" s="13">
        <v>1.7247188E-2</v>
      </c>
      <c r="H83" s="12">
        <v>5.125</v>
      </c>
    </row>
    <row r="84" spans="1:8" ht="29.1" customHeight="1" x14ac:dyDescent="0.2">
      <c r="A84" s="9">
        <v>9</v>
      </c>
      <c r="B84" s="10" t="s">
        <v>416</v>
      </c>
      <c r="C84" s="10" t="s">
        <v>417</v>
      </c>
      <c r="D84" s="10" t="s">
        <v>277</v>
      </c>
      <c r="E84" s="11">
        <v>500</v>
      </c>
      <c r="F84" s="12">
        <v>2429.3049999999998</v>
      </c>
      <c r="G84" s="13">
        <v>1.6978323E-2</v>
      </c>
      <c r="H84" s="12">
        <v>5.65</v>
      </c>
    </row>
    <row r="85" spans="1:8" ht="17.100000000000001" customHeight="1" x14ac:dyDescent="0.2">
      <c r="A85" s="9">
        <v>10</v>
      </c>
      <c r="B85" s="10" t="s">
        <v>418</v>
      </c>
      <c r="C85" s="10" t="s">
        <v>419</v>
      </c>
      <c r="D85" s="10" t="s">
        <v>277</v>
      </c>
      <c r="E85" s="11">
        <v>500</v>
      </c>
      <c r="F85" s="12">
        <v>2429.3049999999998</v>
      </c>
      <c r="G85" s="13">
        <v>1.6978323E-2</v>
      </c>
      <c r="H85" s="12">
        <v>5.65</v>
      </c>
    </row>
    <row r="86" spans="1:8" ht="29.1" customHeight="1" x14ac:dyDescent="0.2">
      <c r="A86" s="9">
        <v>11</v>
      </c>
      <c r="B86" s="10" t="s">
        <v>284</v>
      </c>
      <c r="C86" s="10" t="s">
        <v>285</v>
      </c>
      <c r="D86" s="10" t="s">
        <v>277</v>
      </c>
      <c r="E86" s="11">
        <v>500</v>
      </c>
      <c r="F86" s="12">
        <v>2379.8724999999999</v>
      </c>
      <c r="G86" s="13">
        <v>1.6632840999999999E-2</v>
      </c>
      <c r="H86" s="12">
        <v>5.6</v>
      </c>
    </row>
    <row r="87" spans="1:8" ht="17.100000000000001" customHeight="1" x14ac:dyDescent="0.2">
      <c r="A87" s="9">
        <v>12</v>
      </c>
      <c r="B87" s="10" t="s">
        <v>293</v>
      </c>
      <c r="C87" s="10" t="s">
        <v>294</v>
      </c>
      <c r="D87" s="10" t="s">
        <v>595</v>
      </c>
      <c r="E87" s="11">
        <v>400</v>
      </c>
      <c r="F87" s="12">
        <v>1979.742</v>
      </c>
      <c r="G87" s="13">
        <v>1.3836342999999999E-2</v>
      </c>
      <c r="H87" s="12">
        <v>4.5</v>
      </c>
    </row>
    <row r="88" spans="1:8" ht="29.1" customHeight="1" x14ac:dyDescent="0.2">
      <c r="A88" s="9">
        <v>13</v>
      </c>
      <c r="B88" s="10" t="s">
        <v>343</v>
      </c>
      <c r="C88" s="10" t="s">
        <v>512</v>
      </c>
      <c r="D88" s="10" t="s">
        <v>277</v>
      </c>
      <c r="E88" s="11">
        <v>200</v>
      </c>
      <c r="F88" s="12">
        <v>987.85799999999995</v>
      </c>
      <c r="G88" s="13">
        <v>6.904103E-3</v>
      </c>
      <c r="H88" s="12">
        <v>4.9850000000000003</v>
      </c>
    </row>
    <row r="89" spans="1:8" ht="14.1" customHeight="1" x14ac:dyDescent="0.2">
      <c r="A89" s="1"/>
      <c r="B89" s="1"/>
      <c r="C89" s="2" t="s">
        <v>11</v>
      </c>
      <c r="D89" s="1"/>
      <c r="E89" s="1" t="s">
        <v>12</v>
      </c>
      <c r="F89" s="7">
        <v>44968.145499999999</v>
      </c>
      <c r="G89" s="8">
        <v>0.31428070400000002</v>
      </c>
      <c r="H89" s="12"/>
    </row>
    <row r="90" spans="1:8" ht="14.1" customHeight="1" x14ac:dyDescent="0.2">
      <c r="A90" s="1"/>
      <c r="B90" s="1"/>
      <c r="C90" s="5"/>
      <c r="D90" s="1"/>
      <c r="E90" s="1"/>
      <c r="F90" s="6"/>
      <c r="G90" s="6"/>
      <c r="H90" s="12"/>
    </row>
    <row r="91" spans="1:8" ht="14.1" customHeight="1" x14ac:dyDescent="0.2">
      <c r="A91" s="1"/>
      <c r="B91" s="1"/>
      <c r="C91" s="2" t="s">
        <v>124</v>
      </c>
      <c r="D91" s="1"/>
      <c r="E91" s="1"/>
      <c r="F91" s="6"/>
      <c r="G91" s="6"/>
      <c r="H91" s="12"/>
    </row>
    <row r="92" spans="1:8" ht="17.100000000000001" customHeight="1" x14ac:dyDescent="0.2">
      <c r="A92" s="9">
        <v>1</v>
      </c>
      <c r="B92" s="10" t="s">
        <v>295</v>
      </c>
      <c r="C92" s="10" t="s">
        <v>518</v>
      </c>
      <c r="D92" s="10" t="s">
        <v>106</v>
      </c>
      <c r="E92" s="11">
        <v>10000000</v>
      </c>
      <c r="F92" s="12">
        <v>9927.5400000000009</v>
      </c>
      <c r="G92" s="13">
        <v>6.9383209000000001E-2</v>
      </c>
      <c r="H92" s="12">
        <v>3.7</v>
      </c>
    </row>
    <row r="93" spans="1:8" ht="17.100000000000001" customHeight="1" x14ac:dyDescent="0.2">
      <c r="A93" s="9">
        <v>2</v>
      </c>
      <c r="B93" s="10" t="s">
        <v>420</v>
      </c>
      <c r="C93" s="10" t="s">
        <v>519</v>
      </c>
      <c r="D93" s="10" t="s">
        <v>106</v>
      </c>
      <c r="E93" s="11">
        <v>5000000</v>
      </c>
      <c r="F93" s="12">
        <v>4922.0649999999996</v>
      </c>
      <c r="G93" s="13">
        <v>3.4400130000000001E-2</v>
      </c>
      <c r="H93" s="12">
        <v>4.07</v>
      </c>
    </row>
    <row r="94" spans="1:8" ht="17.100000000000001" customHeight="1" x14ac:dyDescent="0.2">
      <c r="A94" s="9">
        <v>3</v>
      </c>
      <c r="B94" s="10" t="s">
        <v>421</v>
      </c>
      <c r="C94" s="10" t="s">
        <v>515</v>
      </c>
      <c r="D94" s="10" t="s">
        <v>106</v>
      </c>
      <c r="E94" s="11">
        <v>500000</v>
      </c>
      <c r="F94" s="12">
        <v>497.51150000000001</v>
      </c>
      <c r="G94" s="13">
        <v>3.477089E-3</v>
      </c>
      <c r="H94" s="12">
        <v>3.58</v>
      </c>
    </row>
    <row r="95" spans="1:8" ht="17.100000000000001" customHeight="1" x14ac:dyDescent="0.2">
      <c r="A95" s="9">
        <v>4</v>
      </c>
      <c r="B95" s="10" t="s">
        <v>227</v>
      </c>
      <c r="C95" s="10" t="s">
        <v>517</v>
      </c>
      <c r="D95" s="10" t="s">
        <v>106</v>
      </c>
      <c r="E95" s="11">
        <v>500000</v>
      </c>
      <c r="F95" s="12">
        <v>492.964</v>
      </c>
      <c r="G95" s="13">
        <v>3.4453069999999999E-3</v>
      </c>
      <c r="H95" s="12">
        <v>4.07</v>
      </c>
    </row>
    <row r="96" spans="1:8" ht="17.100000000000001" customHeight="1" x14ac:dyDescent="0.2">
      <c r="A96" s="9">
        <v>5</v>
      </c>
      <c r="B96" s="10" t="s">
        <v>298</v>
      </c>
      <c r="C96" s="10" t="s">
        <v>520</v>
      </c>
      <c r="D96" s="10" t="s">
        <v>106</v>
      </c>
      <c r="E96" s="11">
        <v>400000</v>
      </c>
      <c r="F96" s="12">
        <v>399.63600000000002</v>
      </c>
      <c r="G96" s="13">
        <v>2.793041E-3</v>
      </c>
      <c r="H96" s="12">
        <v>3.3250000000000002</v>
      </c>
    </row>
    <row r="97" spans="1:8" ht="14.1" customHeight="1" x14ac:dyDescent="0.2">
      <c r="A97" s="1"/>
      <c r="B97" s="1"/>
      <c r="C97" s="2" t="s">
        <v>11</v>
      </c>
      <c r="D97" s="1"/>
      <c r="E97" s="1" t="s">
        <v>12</v>
      </c>
      <c r="F97" s="7">
        <v>16239.7165</v>
      </c>
      <c r="G97" s="8">
        <v>0.113498776</v>
      </c>
      <c r="H97" s="12"/>
    </row>
    <row r="98" spans="1:8" ht="14.1" customHeight="1" x14ac:dyDescent="0.2">
      <c r="A98" s="1"/>
      <c r="B98" s="1"/>
      <c r="C98" s="5"/>
      <c r="D98" s="1"/>
      <c r="E98" s="1"/>
      <c r="F98" s="6"/>
      <c r="G98" s="6"/>
      <c r="H98" s="12"/>
    </row>
    <row r="99" spans="1:8" ht="14.1" customHeight="1" x14ac:dyDescent="0.2">
      <c r="A99" s="1"/>
      <c r="B99" s="1"/>
      <c r="C99" s="2" t="s">
        <v>125</v>
      </c>
      <c r="D99" s="1"/>
      <c r="E99" s="1"/>
      <c r="F99" s="6"/>
      <c r="G99" s="6"/>
      <c r="H99" s="12"/>
    </row>
    <row r="100" spans="1:8" ht="17.100000000000001" customHeight="1" x14ac:dyDescent="0.2">
      <c r="A100" s="9">
        <v>1</v>
      </c>
      <c r="B100" s="10"/>
      <c r="C100" s="10" t="s">
        <v>126</v>
      </c>
      <c r="D100" s="10"/>
      <c r="E100" s="14"/>
      <c r="F100" s="12">
        <v>11271.8103477</v>
      </c>
      <c r="G100" s="13">
        <v>7.8778265E-2</v>
      </c>
      <c r="H100" s="12">
        <v>3.2903893505936708</v>
      </c>
    </row>
    <row r="101" spans="1:8" ht="17.100000000000001" customHeight="1" x14ac:dyDescent="0.2">
      <c r="A101" s="9">
        <v>2</v>
      </c>
      <c r="B101" s="10"/>
      <c r="C101" s="10" t="s">
        <v>127</v>
      </c>
      <c r="D101" s="10"/>
      <c r="E101" s="14"/>
      <c r="F101" s="12">
        <v>4994.5878916000001</v>
      </c>
      <c r="G101" s="13">
        <v>3.4906989999999999E-2</v>
      </c>
      <c r="H101" s="12">
        <v>3.2766870282233538</v>
      </c>
    </row>
    <row r="102" spans="1:8" ht="14.1" customHeight="1" x14ac:dyDescent="0.2">
      <c r="A102" s="1"/>
      <c r="B102" s="1"/>
      <c r="C102" s="2" t="s">
        <v>11</v>
      </c>
      <c r="D102" s="1"/>
      <c r="E102" s="1" t="s">
        <v>12</v>
      </c>
      <c r="F102" s="7">
        <v>16266.398239300001</v>
      </c>
      <c r="G102" s="8">
        <v>0.113685255</v>
      </c>
      <c r="H102" s="12"/>
    </row>
    <row r="103" spans="1:8" ht="14.1" customHeight="1" x14ac:dyDescent="0.2">
      <c r="A103" s="1"/>
      <c r="B103" s="1"/>
      <c r="C103" s="5"/>
      <c r="D103" s="1"/>
      <c r="E103" s="1"/>
      <c r="F103" s="6"/>
      <c r="G103" s="6"/>
      <c r="H103" s="12"/>
    </row>
    <row r="104" spans="1:8" ht="14.1" customHeight="1" x14ac:dyDescent="0.2">
      <c r="A104" s="1"/>
      <c r="B104" s="1"/>
      <c r="C104" s="2" t="s">
        <v>128</v>
      </c>
      <c r="D104" s="1"/>
      <c r="E104" s="1"/>
      <c r="F104" s="7">
        <v>102147.2302393</v>
      </c>
      <c r="G104" s="8">
        <v>0.71390320900000004</v>
      </c>
      <c r="H104" s="12"/>
    </row>
    <row r="105" spans="1:8" ht="14.1" customHeight="1" x14ac:dyDescent="0.2">
      <c r="A105" s="1"/>
      <c r="B105" s="1"/>
      <c r="C105" s="6"/>
      <c r="D105" s="1"/>
      <c r="E105" s="1"/>
      <c r="F105" s="1"/>
      <c r="G105" s="1"/>
      <c r="H105" s="12"/>
    </row>
    <row r="106" spans="1:8" ht="14.1" customHeight="1" x14ac:dyDescent="0.2">
      <c r="A106" s="1"/>
      <c r="B106" s="1"/>
      <c r="C106" s="2" t="s">
        <v>129</v>
      </c>
      <c r="D106" s="1"/>
      <c r="E106" s="1"/>
      <c r="F106" s="1"/>
      <c r="G106" s="1"/>
      <c r="H106" s="12"/>
    </row>
    <row r="107" spans="1:8" ht="14.1" customHeight="1" x14ac:dyDescent="0.2">
      <c r="A107" s="1"/>
      <c r="B107" s="1"/>
      <c r="C107" s="2" t="s">
        <v>130</v>
      </c>
      <c r="D107" s="1"/>
      <c r="E107" s="1"/>
      <c r="F107" s="1"/>
      <c r="G107" s="1"/>
      <c r="H107" s="12"/>
    </row>
    <row r="108" spans="1:8" ht="14.1" customHeight="1" x14ac:dyDescent="0.2">
      <c r="A108" s="1"/>
      <c r="B108" s="1"/>
      <c r="C108" s="2" t="s">
        <v>11</v>
      </c>
      <c r="D108" s="1"/>
      <c r="E108" s="1" t="s">
        <v>12</v>
      </c>
      <c r="F108" s="3">
        <v>0</v>
      </c>
      <c r="G108" s="4">
        <v>0</v>
      </c>
      <c r="H108" s="12"/>
    </row>
    <row r="109" spans="1:8" ht="14.1" customHeight="1" x14ac:dyDescent="0.2">
      <c r="A109" s="1"/>
      <c r="B109" s="1"/>
      <c r="C109" s="5"/>
      <c r="D109" s="1"/>
      <c r="E109" s="1"/>
      <c r="F109" s="6"/>
      <c r="G109" s="6"/>
      <c r="H109" s="12"/>
    </row>
    <row r="110" spans="1:8" ht="14.1" customHeight="1" x14ac:dyDescent="0.2">
      <c r="A110" s="1"/>
      <c r="B110" s="1"/>
      <c r="C110" s="2" t="s">
        <v>131</v>
      </c>
      <c r="D110" s="1"/>
      <c r="E110" s="1"/>
      <c r="F110" s="1"/>
      <c r="G110" s="1"/>
      <c r="H110" s="12"/>
    </row>
    <row r="111" spans="1:8" ht="14.1" customHeight="1" x14ac:dyDescent="0.2">
      <c r="A111" s="1"/>
      <c r="B111" s="1"/>
      <c r="C111" s="2" t="s">
        <v>132</v>
      </c>
      <c r="D111" s="1"/>
      <c r="E111" s="1"/>
      <c r="F111" s="1"/>
      <c r="G111" s="1"/>
      <c r="H111" s="12"/>
    </row>
    <row r="112" spans="1:8" ht="14.1" customHeight="1" x14ac:dyDescent="0.2">
      <c r="A112" s="1"/>
      <c r="B112" s="1"/>
      <c r="C112" s="2" t="s">
        <v>11</v>
      </c>
      <c r="D112" s="1"/>
      <c r="E112" s="1" t="s">
        <v>12</v>
      </c>
      <c r="F112" s="3">
        <v>0</v>
      </c>
      <c r="G112" s="4">
        <v>0</v>
      </c>
      <c r="H112" s="12"/>
    </row>
    <row r="113" spans="1:9" ht="14.1" customHeight="1" x14ac:dyDescent="0.2">
      <c r="A113" s="1"/>
      <c r="B113" s="1"/>
      <c r="C113" s="5"/>
      <c r="D113" s="1"/>
      <c r="E113" s="1"/>
      <c r="F113" s="6"/>
      <c r="G113" s="6"/>
      <c r="H113" s="12"/>
    </row>
    <row r="114" spans="1:9" ht="24" customHeight="1" x14ac:dyDescent="0.2">
      <c r="A114" s="1"/>
      <c r="B114" s="1"/>
      <c r="C114" s="2" t="s">
        <v>133</v>
      </c>
      <c r="D114" s="1"/>
      <c r="E114" s="1"/>
      <c r="F114" s="6"/>
      <c r="G114" s="6"/>
      <c r="H114" s="12"/>
    </row>
    <row r="115" spans="1:9" ht="14.1" customHeight="1" x14ac:dyDescent="0.2">
      <c r="A115" s="1"/>
      <c r="B115" s="1"/>
      <c r="C115" s="2" t="s">
        <v>11</v>
      </c>
      <c r="D115" s="1"/>
      <c r="E115" s="1" t="s">
        <v>12</v>
      </c>
      <c r="F115" s="3">
        <v>0</v>
      </c>
      <c r="G115" s="4">
        <v>0</v>
      </c>
      <c r="H115" s="12"/>
    </row>
    <row r="116" spans="1:9" ht="14.1" customHeight="1" x14ac:dyDescent="0.2">
      <c r="A116" s="1"/>
      <c r="B116" s="1"/>
      <c r="C116" s="5"/>
      <c r="D116" s="1"/>
      <c r="E116" s="1"/>
      <c r="F116" s="6"/>
      <c r="G116" s="6"/>
      <c r="H116" s="12"/>
    </row>
    <row r="117" spans="1:9" ht="14.1" customHeight="1" x14ac:dyDescent="0.2">
      <c r="A117" s="1"/>
      <c r="B117" s="10"/>
      <c r="C117" s="10"/>
      <c r="D117" s="2"/>
      <c r="E117" s="1"/>
      <c r="F117" s="10"/>
      <c r="G117" s="14"/>
      <c r="H117" s="12"/>
    </row>
    <row r="118" spans="1:9" ht="18" customHeight="1" x14ac:dyDescent="0.2">
      <c r="A118" s="14"/>
      <c r="B118" s="10"/>
      <c r="C118" s="10" t="s">
        <v>134</v>
      </c>
      <c r="D118" s="10"/>
      <c r="E118" s="14"/>
      <c r="F118" s="12">
        <v>3876.1834112299998</v>
      </c>
      <c r="G118" s="13">
        <v>2.7090501999999999E-2</v>
      </c>
      <c r="H118" s="12"/>
    </row>
    <row r="119" spans="1:9" ht="14.1" customHeight="1" x14ac:dyDescent="0.2">
      <c r="A119" s="5"/>
      <c r="B119" s="5"/>
      <c r="C119" s="2" t="s">
        <v>135</v>
      </c>
      <c r="D119" s="6"/>
      <c r="E119" s="6"/>
      <c r="F119" s="7">
        <v>143082.74470052999</v>
      </c>
      <c r="G119" s="8">
        <v>1.0000000010000001</v>
      </c>
      <c r="H119" s="12"/>
    </row>
    <row r="120" spans="1:9" ht="14.1" customHeight="1" x14ac:dyDescent="0.2">
      <c r="A120" s="15"/>
      <c r="B120" s="15"/>
      <c r="C120" s="15"/>
      <c r="D120" s="16"/>
      <c r="E120" s="16"/>
      <c r="F120" s="16"/>
      <c r="G120" s="16"/>
    </row>
    <row r="121" spans="1:9" ht="17.100000000000001" customHeight="1" x14ac:dyDescent="0.2">
      <c r="A121" s="17"/>
      <c r="B121" s="98" t="s">
        <v>136</v>
      </c>
      <c r="C121" s="98"/>
      <c r="D121" s="98"/>
      <c r="E121" s="98"/>
      <c r="F121" s="98"/>
      <c r="G121" s="19"/>
    </row>
    <row r="122" spans="1:9" ht="17.100000000000001" customHeight="1" x14ac:dyDescent="0.2">
      <c r="A122" s="17"/>
      <c r="B122" s="98" t="s">
        <v>137</v>
      </c>
      <c r="C122" s="98"/>
      <c r="D122" s="98"/>
      <c r="E122" s="98"/>
      <c r="F122" s="98"/>
      <c r="G122" s="19"/>
    </row>
    <row r="123" spans="1:9" ht="14.1" customHeight="1" x14ac:dyDescent="0.2">
      <c r="A123" s="85"/>
      <c r="B123" s="86" t="s">
        <v>626</v>
      </c>
      <c r="C123" s="86"/>
      <c r="D123" s="86"/>
      <c r="E123" s="86"/>
      <c r="F123" s="86"/>
      <c r="G123" s="87"/>
      <c r="I123" s="58"/>
    </row>
    <row r="124" spans="1:9" ht="14.1" customHeight="1" x14ac:dyDescent="0.2">
      <c r="A124" s="17"/>
      <c r="B124" s="17"/>
      <c r="C124" s="17"/>
      <c r="D124" s="19"/>
      <c r="E124" s="19"/>
      <c r="F124" s="19"/>
      <c r="G124" s="19"/>
    </row>
    <row r="125" spans="1:9" ht="14.1" customHeight="1" x14ac:dyDescent="0.2">
      <c r="A125" s="17"/>
      <c r="B125" s="99" t="s">
        <v>138</v>
      </c>
      <c r="C125" s="100"/>
      <c r="D125" s="101"/>
      <c r="E125" s="20"/>
      <c r="F125" s="19"/>
      <c r="G125" s="19"/>
    </row>
    <row r="126" spans="1:9" ht="29.1" customHeight="1" x14ac:dyDescent="0.2">
      <c r="A126" s="17"/>
      <c r="B126" s="95" t="s">
        <v>139</v>
      </c>
      <c r="C126" s="96"/>
      <c r="D126" s="2" t="s">
        <v>567</v>
      </c>
      <c r="E126" s="20"/>
      <c r="F126" s="19"/>
      <c r="G126" s="19"/>
    </row>
    <row r="127" spans="1:9" ht="17.100000000000001" customHeight="1" x14ac:dyDescent="0.2">
      <c r="A127" s="17"/>
      <c r="B127" s="95" t="s">
        <v>141</v>
      </c>
      <c r="C127" s="96"/>
      <c r="D127" s="2" t="s">
        <v>140</v>
      </c>
      <c r="E127" s="20"/>
      <c r="F127" s="19"/>
      <c r="G127" s="19"/>
    </row>
    <row r="128" spans="1:9" ht="17.100000000000001" customHeight="1" x14ac:dyDescent="0.2">
      <c r="A128" s="17"/>
      <c r="B128" s="95" t="s">
        <v>142</v>
      </c>
      <c r="C128" s="96"/>
      <c r="D128" s="6" t="s">
        <v>12</v>
      </c>
      <c r="E128" s="20"/>
      <c r="F128" s="19"/>
      <c r="G128" s="19"/>
    </row>
    <row r="129" spans="1:15" ht="24" customHeight="1" x14ac:dyDescent="0.2">
      <c r="A129" s="21"/>
      <c r="B129" s="22" t="s">
        <v>12</v>
      </c>
      <c r="C129" s="22" t="s">
        <v>143</v>
      </c>
      <c r="D129" s="22" t="s">
        <v>144</v>
      </c>
      <c r="E129" s="21"/>
      <c r="F129" s="21"/>
      <c r="G129" s="21"/>
    </row>
    <row r="130" spans="1:15" ht="18" customHeight="1" x14ac:dyDescent="0.2">
      <c r="A130" s="21"/>
      <c r="B130" s="23" t="s">
        <v>145</v>
      </c>
      <c r="C130" s="22" t="s">
        <v>146</v>
      </c>
      <c r="D130" s="22" t="s">
        <v>147</v>
      </c>
      <c r="E130" s="21"/>
      <c r="F130" s="21"/>
      <c r="G130" s="21"/>
    </row>
    <row r="131" spans="1:15" ht="17.100000000000001" customHeight="1" x14ac:dyDescent="0.2">
      <c r="A131" s="21"/>
      <c r="B131" s="10" t="s">
        <v>148</v>
      </c>
      <c r="C131" s="24">
        <v>2327.8130999999998</v>
      </c>
      <c r="D131" s="24">
        <v>2334.9449</v>
      </c>
      <c r="E131" s="21"/>
      <c r="F131" s="18"/>
      <c r="G131" s="25"/>
      <c r="J131"/>
      <c r="K131"/>
      <c r="L131"/>
      <c r="M131"/>
      <c r="N131"/>
      <c r="O131"/>
    </row>
    <row r="132" spans="1:15" ht="29.1" customHeight="1" x14ac:dyDescent="0.2">
      <c r="A132" s="21"/>
      <c r="B132" s="10" t="s">
        <v>609</v>
      </c>
      <c r="C132" s="24">
        <v>1006.1763</v>
      </c>
      <c r="D132" s="24">
        <v>1006.1763</v>
      </c>
      <c r="E132" s="21"/>
      <c r="F132" s="18"/>
      <c r="G132" s="25"/>
    </row>
    <row r="133" spans="1:15" ht="29.1" customHeight="1" x14ac:dyDescent="0.2">
      <c r="A133" s="21"/>
      <c r="B133" s="10" t="s">
        <v>614</v>
      </c>
      <c r="C133" s="24">
        <v>1019.4899</v>
      </c>
      <c r="D133" s="24">
        <v>1019.4785000000001</v>
      </c>
      <c r="E133" s="21"/>
      <c r="F133" s="18"/>
      <c r="G133" s="25"/>
    </row>
    <row r="134" spans="1:15" ht="29.1" customHeight="1" x14ac:dyDescent="0.2">
      <c r="A134" s="21"/>
      <c r="B134" s="10" t="s">
        <v>615</v>
      </c>
      <c r="C134" s="24">
        <v>1060.6496</v>
      </c>
      <c r="D134" s="24">
        <v>1060.7308</v>
      </c>
      <c r="E134" s="21"/>
      <c r="F134" s="18"/>
      <c r="G134" s="25"/>
    </row>
    <row r="135" spans="1:15" ht="29.1" customHeight="1" x14ac:dyDescent="0.2">
      <c r="A135" s="21"/>
      <c r="B135" s="10" t="s">
        <v>600</v>
      </c>
      <c r="C135" s="24">
        <v>1061.6472000000001</v>
      </c>
      <c r="D135" s="24">
        <v>1061.4626000000001</v>
      </c>
      <c r="E135" s="21"/>
      <c r="F135" s="18"/>
      <c r="G135" s="25"/>
    </row>
    <row r="136" spans="1:15" ht="29.1" customHeight="1" x14ac:dyDescent="0.2">
      <c r="A136" s="21"/>
      <c r="B136" s="10" t="s">
        <v>601</v>
      </c>
      <c r="C136" s="24">
        <v>1063.6377</v>
      </c>
      <c r="D136" s="24">
        <v>1066.8928000000001</v>
      </c>
      <c r="E136" s="21"/>
      <c r="F136" s="18"/>
      <c r="G136" s="25"/>
    </row>
    <row r="137" spans="1:15" ht="17.100000000000001" customHeight="1" x14ac:dyDescent="0.2">
      <c r="A137" s="21"/>
      <c r="B137" s="10" t="s">
        <v>149</v>
      </c>
      <c r="C137" s="24">
        <v>2225.5927999999999</v>
      </c>
      <c r="D137" s="24">
        <v>2230.2532000000001</v>
      </c>
      <c r="E137" s="21"/>
      <c r="F137" s="18"/>
      <c r="G137" s="25"/>
    </row>
    <row r="138" spans="1:15" ht="29.1" customHeight="1" x14ac:dyDescent="0.2">
      <c r="A138" s="21"/>
      <c r="B138" s="10" t="s">
        <v>611</v>
      </c>
      <c r="C138" s="24">
        <v>1005.43</v>
      </c>
      <c r="D138" s="24">
        <v>1005.43</v>
      </c>
      <c r="E138" s="21"/>
      <c r="F138" s="18"/>
      <c r="G138" s="25"/>
    </row>
    <row r="139" spans="1:15" ht="29.1" customHeight="1" x14ac:dyDescent="0.2">
      <c r="A139" s="21"/>
      <c r="B139" s="10" t="s">
        <v>612</v>
      </c>
      <c r="C139" s="24">
        <v>1019.3609</v>
      </c>
      <c r="D139" s="24">
        <v>1019.3501</v>
      </c>
      <c r="E139" s="21"/>
      <c r="F139" s="18"/>
      <c r="G139" s="25"/>
    </row>
    <row r="140" spans="1:15" ht="29.1" customHeight="1" x14ac:dyDescent="0.2">
      <c r="A140" s="21"/>
      <c r="B140" s="10" t="s">
        <v>616</v>
      </c>
      <c r="C140" s="24">
        <v>1060.1905999999999</v>
      </c>
      <c r="D140" s="24">
        <v>1060.1950999999999</v>
      </c>
      <c r="E140" s="21"/>
      <c r="F140" s="18"/>
      <c r="G140" s="25"/>
    </row>
    <row r="141" spans="1:15" ht="29.1" customHeight="1" x14ac:dyDescent="0.2">
      <c r="A141" s="21"/>
      <c r="B141" s="10" t="s">
        <v>604</v>
      </c>
      <c r="C141" s="24">
        <v>1060.7372</v>
      </c>
      <c r="D141" s="24">
        <v>1060.6622</v>
      </c>
      <c r="E141" s="21"/>
      <c r="F141" s="18"/>
      <c r="G141" s="25"/>
    </row>
    <row r="142" spans="1:15" ht="29.1" customHeight="1" x14ac:dyDescent="0.2">
      <c r="A142" s="21"/>
      <c r="B142" s="10" t="s">
        <v>605</v>
      </c>
      <c r="C142" s="24">
        <v>1062.2114999999999</v>
      </c>
      <c r="D142" s="24">
        <v>1064.4328</v>
      </c>
      <c r="E142" s="21"/>
      <c r="F142" s="18"/>
      <c r="G142" s="25"/>
    </row>
    <row r="143" spans="1:15" ht="14.1" customHeight="1" x14ac:dyDescent="0.2">
      <c r="A143" s="21"/>
      <c r="B143" s="21"/>
      <c r="C143" s="21"/>
      <c r="D143" s="21"/>
      <c r="E143" s="21"/>
      <c r="F143" s="21"/>
      <c r="G143" s="21"/>
    </row>
    <row r="144" spans="1:15" ht="17.100000000000001" customHeight="1" x14ac:dyDescent="0.2">
      <c r="A144" s="21"/>
      <c r="B144" s="95" t="s">
        <v>608</v>
      </c>
      <c r="C144" s="96"/>
      <c r="D144" s="2" t="s">
        <v>12</v>
      </c>
      <c r="E144" s="21"/>
      <c r="F144" s="21"/>
      <c r="G144" s="21"/>
    </row>
    <row r="145" spans="1:9" ht="18" customHeight="1" x14ac:dyDescent="0.2">
      <c r="A145" s="21"/>
      <c r="B145" s="26" t="s">
        <v>145</v>
      </c>
      <c r="C145" s="27" t="s">
        <v>150</v>
      </c>
      <c r="D145" s="27" t="s">
        <v>151</v>
      </c>
      <c r="E145" s="21"/>
      <c r="F145" s="21"/>
      <c r="G145" s="21"/>
    </row>
    <row r="146" spans="1:9" ht="29.1" customHeight="1" x14ac:dyDescent="0.2">
      <c r="A146" s="21"/>
      <c r="B146" s="10" t="s">
        <v>609</v>
      </c>
      <c r="C146" s="28">
        <v>3.0629940000000002</v>
      </c>
      <c r="D146" s="14" t="s">
        <v>152</v>
      </c>
      <c r="E146" s="21"/>
      <c r="F146" s="18"/>
      <c r="G146" s="25"/>
    </row>
    <row r="147" spans="1:9" ht="29.1" customHeight="1" x14ac:dyDescent="0.2">
      <c r="A147" s="21"/>
      <c r="B147" s="10" t="s">
        <v>614</v>
      </c>
      <c r="C147" s="28">
        <v>3.1263999999999998</v>
      </c>
      <c r="D147" s="14" t="s">
        <v>152</v>
      </c>
      <c r="E147" s="21"/>
      <c r="F147" s="18"/>
      <c r="G147" s="25"/>
    </row>
    <row r="148" spans="1:9" ht="29.1" customHeight="1" x14ac:dyDescent="0.2">
      <c r="A148" s="21"/>
      <c r="B148" s="10" t="s">
        <v>615</v>
      </c>
      <c r="C148" s="28">
        <v>3.3866000000000001</v>
      </c>
      <c r="D148" s="14" t="s">
        <v>152</v>
      </c>
      <c r="E148" s="21"/>
      <c r="F148" s="18"/>
      <c r="G148" s="25"/>
    </row>
    <row r="149" spans="1:9" ht="29.1" customHeight="1" x14ac:dyDescent="0.2">
      <c r="A149" s="21"/>
      <c r="B149" s="10" t="s">
        <v>600</v>
      </c>
      <c r="C149" s="28">
        <v>3.4291999999999998</v>
      </c>
      <c r="D149" s="14" t="s">
        <v>152</v>
      </c>
      <c r="E149" s="21"/>
      <c r="F149" s="18"/>
      <c r="G149" s="25"/>
    </row>
    <row r="150" spans="1:9" ht="29.1" customHeight="1" x14ac:dyDescent="0.2">
      <c r="A150" s="21"/>
      <c r="B150" s="10" t="s">
        <v>611</v>
      </c>
      <c r="C150" s="28">
        <v>2.1031300000000002</v>
      </c>
      <c r="D150" s="28">
        <v>2.1031300000000002</v>
      </c>
      <c r="E150" s="21"/>
      <c r="F150" s="18"/>
      <c r="G150" s="25"/>
    </row>
    <row r="151" spans="1:9" ht="29.1" customHeight="1" x14ac:dyDescent="0.2">
      <c r="A151" s="21"/>
      <c r="B151" s="10" t="s">
        <v>612</v>
      </c>
      <c r="C151" s="28">
        <v>2.1433</v>
      </c>
      <c r="D151" s="28">
        <v>2.1433</v>
      </c>
      <c r="E151" s="21"/>
      <c r="F151" s="18"/>
      <c r="G151" s="25"/>
    </row>
    <row r="152" spans="1:9" ht="29.1" customHeight="1" x14ac:dyDescent="0.2">
      <c r="A152" s="21"/>
      <c r="B152" s="10" t="s">
        <v>616</v>
      </c>
      <c r="C152" s="28">
        <v>2.2435999999999998</v>
      </c>
      <c r="D152" s="14" t="s">
        <v>152</v>
      </c>
      <c r="E152" s="21"/>
      <c r="F152" s="18"/>
      <c r="G152" s="25"/>
    </row>
    <row r="153" spans="1:9" ht="29.1" customHeight="1" x14ac:dyDescent="0.2">
      <c r="A153" s="21"/>
      <c r="B153" s="10" t="s">
        <v>604</v>
      </c>
      <c r="C153" s="28">
        <v>2.2947000000000002</v>
      </c>
      <c r="D153" s="14" t="s">
        <v>152</v>
      </c>
      <c r="E153" s="21"/>
      <c r="F153" s="18"/>
      <c r="G153" s="25"/>
    </row>
    <row r="154" spans="1:9" ht="14.1" customHeight="1" x14ac:dyDescent="0.2">
      <c r="A154" s="21"/>
      <c r="B154" s="29"/>
      <c r="C154" s="29"/>
      <c r="D154" s="30"/>
      <c r="E154" s="21"/>
      <c r="F154" s="18"/>
      <c r="G154" s="25"/>
    </row>
    <row r="155" spans="1:9" x14ac:dyDescent="0.2">
      <c r="A155" s="82"/>
      <c r="B155" s="104" t="s">
        <v>619</v>
      </c>
      <c r="C155" s="104"/>
      <c r="D155" s="104"/>
      <c r="E155" s="104"/>
      <c r="F155" s="104"/>
      <c r="G155" s="82"/>
      <c r="I155" s="58"/>
    </row>
    <row r="156" spans="1:9" ht="14.1" customHeight="1" x14ac:dyDescent="0.2">
      <c r="A156" s="21"/>
      <c r="B156" s="18"/>
      <c r="C156" s="18"/>
      <c r="D156" s="21"/>
      <c r="E156" s="21"/>
      <c r="F156" s="21"/>
      <c r="G156" s="21"/>
    </row>
    <row r="157" spans="1:9" ht="29.1" customHeight="1" x14ac:dyDescent="0.2">
      <c r="A157" s="21"/>
      <c r="B157" s="95" t="s">
        <v>153</v>
      </c>
      <c r="C157" s="96"/>
      <c r="D157" s="2" t="s">
        <v>140</v>
      </c>
      <c r="E157" s="31"/>
      <c r="F157" s="21"/>
      <c r="G157" s="21"/>
    </row>
    <row r="158" spans="1:9" ht="29.1" customHeight="1" x14ac:dyDescent="0.2">
      <c r="A158" s="21"/>
      <c r="B158" s="95" t="s">
        <v>154</v>
      </c>
      <c r="C158" s="96"/>
      <c r="D158" s="2" t="s">
        <v>140</v>
      </c>
      <c r="E158" s="31"/>
      <c r="F158" s="21"/>
      <c r="G158" s="21"/>
    </row>
    <row r="159" spans="1:9" ht="17.100000000000001" customHeight="1" x14ac:dyDescent="0.2">
      <c r="A159" s="21"/>
      <c r="B159" s="95" t="s">
        <v>155</v>
      </c>
      <c r="C159" s="96"/>
      <c r="D159" s="32">
        <v>0.29115809963335748</v>
      </c>
      <c r="E159" s="31"/>
      <c r="F159" s="21"/>
      <c r="G159" s="21"/>
    </row>
    <row r="160" spans="1:9" ht="17.100000000000001" customHeight="1" x14ac:dyDescent="0.2">
      <c r="A160" s="21"/>
      <c r="B160" s="95" t="s">
        <v>156</v>
      </c>
      <c r="C160" s="96"/>
      <c r="D160" s="32">
        <v>0.27167795541131096</v>
      </c>
      <c r="E160" s="31"/>
      <c r="F160" s="21"/>
      <c r="G160" s="21"/>
    </row>
    <row r="161" spans="1:9" ht="17.100000000000001" customHeight="1" x14ac:dyDescent="0.2">
      <c r="A161" s="21"/>
      <c r="B161" s="95" t="s">
        <v>157</v>
      </c>
      <c r="C161" s="96"/>
      <c r="D161" s="2" t="s">
        <v>140</v>
      </c>
      <c r="E161" s="31"/>
      <c r="F161" s="21"/>
      <c r="G161" s="21"/>
    </row>
    <row r="162" spans="1:9" ht="14.1" customHeight="1" x14ac:dyDescent="0.2">
      <c r="A162" s="21"/>
      <c r="B162" s="97"/>
      <c r="C162" s="97"/>
      <c r="D162" s="30"/>
      <c r="E162" s="21"/>
      <c r="F162" s="18"/>
      <c r="G162" s="25"/>
    </row>
    <row r="163" spans="1:9" x14ac:dyDescent="0.2">
      <c r="B163" s="60" t="s">
        <v>566</v>
      </c>
      <c r="C163" s="60"/>
      <c r="D163" s="60"/>
      <c r="E163" s="60"/>
      <c r="F163" s="60"/>
      <c r="G163" s="60"/>
      <c r="H163" s="60"/>
      <c r="I163" s="58"/>
    </row>
    <row r="164" spans="1:9" x14ac:dyDescent="0.2">
      <c r="B164" s="61"/>
      <c r="C164" s="61"/>
      <c r="D164" s="61"/>
      <c r="E164" s="61"/>
      <c r="F164" s="61"/>
      <c r="G164" s="61"/>
      <c r="H164" s="61"/>
      <c r="I164" s="58"/>
    </row>
    <row r="165" spans="1:9" ht="51" x14ac:dyDescent="0.2">
      <c r="B165" s="62" t="s">
        <v>569</v>
      </c>
      <c r="C165" s="62" t="s">
        <v>570</v>
      </c>
      <c r="D165" s="62" t="s">
        <v>540</v>
      </c>
      <c r="E165" s="62" t="s">
        <v>541</v>
      </c>
      <c r="F165" s="62" t="s">
        <v>571</v>
      </c>
      <c r="G165" s="61"/>
      <c r="H165" s="61"/>
      <c r="I165" s="58"/>
    </row>
    <row r="166" spans="1:9" x14ac:dyDescent="0.2">
      <c r="B166" s="63" t="s">
        <v>572</v>
      </c>
      <c r="C166" s="63" t="s">
        <v>573</v>
      </c>
      <c r="D166" s="64">
        <v>0</v>
      </c>
      <c r="E166" s="65">
        <v>0</v>
      </c>
      <c r="F166" s="66">
        <v>500</v>
      </c>
      <c r="G166" s="61"/>
      <c r="H166" s="61"/>
      <c r="I166" s="58"/>
    </row>
  </sheetData>
  <mergeCells count="18">
    <mergeCell ref="J2:N2"/>
    <mergeCell ref="A1:H1"/>
    <mergeCell ref="A2:H2"/>
    <mergeCell ref="A3:H3"/>
    <mergeCell ref="B155:F155"/>
    <mergeCell ref="B157:C157"/>
    <mergeCell ref="B121:F121"/>
    <mergeCell ref="B122:F122"/>
    <mergeCell ref="B125:D125"/>
    <mergeCell ref="B126:C126"/>
    <mergeCell ref="B127:C127"/>
    <mergeCell ref="B128:C128"/>
    <mergeCell ref="B144:C144"/>
    <mergeCell ref="B158:C158"/>
    <mergeCell ref="B159:C159"/>
    <mergeCell ref="B160:C160"/>
    <mergeCell ref="B161:C161"/>
    <mergeCell ref="B162:C162"/>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22"/>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85546875" customWidth="1"/>
    <col min="9" max="9" width="14.42578125" bestFit="1" customWidth="1"/>
    <col min="10" max="10" width="16" bestFit="1" customWidth="1"/>
  </cols>
  <sheetData>
    <row r="1" spans="1:16" ht="18" customHeight="1" x14ac:dyDescent="0.2">
      <c r="A1" s="103" t="s">
        <v>0</v>
      </c>
      <c r="B1" s="103"/>
      <c r="C1" s="103"/>
      <c r="D1" s="103"/>
      <c r="E1" s="103"/>
      <c r="F1" s="103"/>
      <c r="G1" s="103"/>
      <c r="H1" s="103"/>
      <c r="I1" s="103"/>
      <c r="K1" s="58"/>
      <c r="L1" s="58"/>
      <c r="M1" s="58"/>
      <c r="N1" s="58"/>
      <c r="O1" s="58"/>
      <c r="P1" s="58"/>
    </row>
    <row r="2" spans="1:16" ht="17.100000000000001" customHeight="1" x14ac:dyDescent="0.2">
      <c r="A2" s="103" t="s">
        <v>422</v>
      </c>
      <c r="B2" s="103"/>
      <c r="C2" s="103"/>
      <c r="D2" s="103"/>
      <c r="E2" s="103"/>
      <c r="F2" s="103"/>
      <c r="G2" s="103"/>
      <c r="H2" s="103"/>
      <c r="I2" s="103"/>
      <c r="K2" s="102" t="s">
        <v>627</v>
      </c>
      <c r="L2" s="102"/>
      <c r="M2" s="102"/>
      <c r="N2" s="102"/>
      <c r="O2" s="102"/>
      <c r="P2" s="58"/>
    </row>
    <row r="3" spans="1:16" ht="21" customHeight="1" x14ac:dyDescent="0.2">
      <c r="A3" s="103" t="s">
        <v>620</v>
      </c>
      <c r="B3" s="103"/>
      <c r="C3" s="103"/>
      <c r="D3" s="103"/>
      <c r="E3" s="103"/>
      <c r="F3" s="103"/>
      <c r="G3" s="103"/>
      <c r="H3" s="103"/>
      <c r="I3" s="103"/>
      <c r="K3" s="58"/>
      <c r="L3" s="58"/>
      <c r="M3" s="58"/>
      <c r="N3" s="58"/>
      <c r="O3" s="58"/>
      <c r="P3" s="58"/>
    </row>
    <row r="4" spans="1:16" s="84" customFormat="1" ht="30" x14ac:dyDescent="0.2">
      <c r="A4" s="83" t="s">
        <v>2</v>
      </c>
      <c r="B4" s="83" t="s">
        <v>3</v>
      </c>
      <c r="C4" s="83" t="s">
        <v>4</v>
      </c>
      <c r="D4" s="83" t="s">
        <v>5</v>
      </c>
      <c r="E4" s="83" t="s">
        <v>6</v>
      </c>
      <c r="F4" s="83" t="s">
        <v>7</v>
      </c>
      <c r="G4" s="83" t="s">
        <v>8</v>
      </c>
      <c r="H4" s="80" t="s">
        <v>596</v>
      </c>
      <c r="I4" s="80" t="s">
        <v>599</v>
      </c>
      <c r="K4" s="88"/>
      <c r="L4" s="88"/>
      <c r="M4" s="88"/>
      <c r="N4" s="88"/>
      <c r="O4" s="88"/>
      <c r="P4" s="88"/>
    </row>
    <row r="5" spans="1:16" ht="14.1" customHeight="1" x14ac:dyDescent="0.2">
      <c r="A5" s="1"/>
      <c r="B5" s="1"/>
      <c r="C5" s="2" t="s">
        <v>9</v>
      </c>
      <c r="D5" s="1"/>
      <c r="E5" s="1"/>
      <c r="F5" s="1"/>
      <c r="G5" s="1"/>
      <c r="H5" s="12"/>
      <c r="I5" s="81"/>
      <c r="K5" s="58"/>
      <c r="L5" s="58"/>
      <c r="M5" s="58"/>
      <c r="N5" s="58"/>
      <c r="O5" s="58"/>
      <c r="P5" s="58"/>
    </row>
    <row r="6" spans="1:16" ht="24" customHeight="1" x14ac:dyDescent="0.2">
      <c r="A6" s="1"/>
      <c r="B6" s="1"/>
      <c r="C6" s="2" t="s">
        <v>10</v>
      </c>
      <c r="D6" s="1"/>
      <c r="E6" s="1"/>
      <c r="F6" s="1"/>
      <c r="G6" s="1"/>
      <c r="H6" s="12"/>
      <c r="I6" s="81"/>
      <c r="K6" s="58"/>
      <c r="L6" s="58"/>
      <c r="M6" s="58"/>
      <c r="N6" s="58"/>
      <c r="O6" s="58"/>
      <c r="P6" s="58"/>
    </row>
    <row r="7" spans="1:16" ht="14.1" customHeight="1" x14ac:dyDescent="0.2">
      <c r="A7" s="1"/>
      <c r="B7" s="1"/>
      <c r="C7" s="2" t="s">
        <v>11</v>
      </c>
      <c r="D7" s="1"/>
      <c r="E7" s="1" t="s">
        <v>12</v>
      </c>
      <c r="F7" s="3">
        <v>0</v>
      </c>
      <c r="G7" s="4">
        <v>0</v>
      </c>
      <c r="H7" s="12"/>
      <c r="I7" s="81"/>
      <c r="K7" s="58"/>
      <c r="L7" s="58"/>
      <c r="M7" s="58"/>
      <c r="N7" s="58"/>
      <c r="O7" s="58"/>
      <c r="P7" s="58"/>
    </row>
    <row r="8" spans="1:16" ht="14.1" customHeight="1" x14ac:dyDescent="0.2">
      <c r="A8" s="1"/>
      <c r="B8" s="1"/>
      <c r="C8" s="5"/>
      <c r="D8" s="1"/>
      <c r="E8" s="1"/>
      <c r="F8" s="6"/>
      <c r="G8" s="6"/>
      <c r="H8" s="12"/>
      <c r="I8" s="81"/>
      <c r="K8" s="58"/>
      <c r="L8" s="58"/>
      <c r="M8" s="58"/>
      <c r="N8" s="58"/>
      <c r="O8" s="58"/>
      <c r="P8" s="58"/>
    </row>
    <row r="9" spans="1:16" ht="14.1" customHeight="1" x14ac:dyDescent="0.2">
      <c r="A9" s="1"/>
      <c r="B9" s="1"/>
      <c r="C9" s="2" t="s">
        <v>13</v>
      </c>
      <c r="D9" s="1"/>
      <c r="E9" s="1"/>
      <c r="F9" s="1"/>
      <c r="G9" s="1"/>
      <c r="H9" s="12"/>
      <c r="I9" s="81"/>
      <c r="K9" s="58"/>
      <c r="L9" s="58"/>
      <c r="M9" s="58"/>
      <c r="N9" s="58"/>
      <c r="O9" s="58"/>
      <c r="P9" s="58"/>
    </row>
    <row r="10" spans="1:16" ht="14.1" customHeight="1" x14ac:dyDescent="0.2">
      <c r="A10" s="1"/>
      <c r="B10" s="1"/>
      <c r="C10" s="2" t="s">
        <v>11</v>
      </c>
      <c r="D10" s="1"/>
      <c r="E10" s="1" t="s">
        <v>12</v>
      </c>
      <c r="F10" s="3">
        <v>0</v>
      </c>
      <c r="G10" s="4">
        <v>0</v>
      </c>
      <c r="H10" s="12"/>
      <c r="I10" s="81"/>
      <c r="K10" s="58"/>
      <c r="L10" s="58"/>
      <c r="M10" s="58"/>
      <c r="N10" s="58"/>
      <c r="O10" s="58"/>
      <c r="P10" s="58"/>
    </row>
    <row r="11" spans="1:16" ht="14.1" customHeight="1" x14ac:dyDescent="0.2">
      <c r="A11" s="1"/>
      <c r="B11" s="1"/>
      <c r="C11" s="5"/>
      <c r="D11" s="1"/>
      <c r="E11" s="1"/>
      <c r="F11" s="6"/>
      <c r="G11" s="6"/>
      <c r="H11" s="12"/>
      <c r="I11" s="81"/>
      <c r="K11" s="58"/>
      <c r="L11" s="58"/>
      <c r="M11" s="58"/>
      <c r="N11" s="58"/>
      <c r="O11" s="58"/>
      <c r="P11" s="58"/>
    </row>
    <row r="12" spans="1:16" ht="14.1" customHeight="1" x14ac:dyDescent="0.2">
      <c r="A12" s="1"/>
      <c r="B12" s="1"/>
      <c r="C12" s="2" t="s">
        <v>14</v>
      </c>
      <c r="D12" s="1"/>
      <c r="E12" s="1"/>
      <c r="F12" s="1"/>
      <c r="G12" s="1"/>
      <c r="H12" s="12"/>
      <c r="I12" s="81"/>
      <c r="K12" s="58"/>
      <c r="L12" s="58"/>
      <c r="M12" s="58"/>
      <c r="N12" s="58"/>
      <c r="O12" s="58"/>
      <c r="P12" s="58"/>
    </row>
    <row r="13" spans="1:16" ht="14.1" customHeight="1" x14ac:dyDescent="0.2">
      <c r="A13" s="1"/>
      <c r="B13" s="1"/>
      <c r="C13" s="2" t="s">
        <v>11</v>
      </c>
      <c r="D13" s="1"/>
      <c r="E13" s="1" t="s">
        <v>12</v>
      </c>
      <c r="F13" s="3">
        <v>0</v>
      </c>
      <c r="G13" s="4">
        <v>0</v>
      </c>
      <c r="H13" s="12"/>
      <c r="I13" s="81"/>
      <c r="K13" s="58"/>
      <c r="L13" s="58"/>
      <c r="M13" s="58"/>
      <c r="N13" s="58"/>
      <c r="O13" s="58"/>
      <c r="P13" s="58"/>
    </row>
    <row r="14" spans="1:16" ht="14.1" customHeight="1" x14ac:dyDescent="0.2">
      <c r="A14" s="1"/>
      <c r="B14" s="1"/>
      <c r="C14" s="5"/>
      <c r="D14" s="1"/>
      <c r="E14" s="1"/>
      <c r="F14" s="6"/>
      <c r="G14" s="6"/>
      <c r="H14" s="12"/>
      <c r="I14" s="81"/>
      <c r="K14" s="58"/>
      <c r="L14" s="58"/>
      <c r="M14" s="58"/>
      <c r="N14" s="58"/>
      <c r="O14" s="58"/>
      <c r="P14" s="58"/>
    </row>
    <row r="15" spans="1:16" ht="14.1" customHeight="1" x14ac:dyDescent="0.2">
      <c r="A15" s="1"/>
      <c r="B15" s="1"/>
      <c r="C15" s="2" t="s">
        <v>15</v>
      </c>
      <c r="D15" s="1"/>
      <c r="E15" s="1"/>
      <c r="F15" s="1"/>
      <c r="G15" s="1"/>
      <c r="H15" s="12"/>
      <c r="I15" s="81"/>
      <c r="K15" s="58"/>
      <c r="L15" s="58"/>
      <c r="M15" s="58"/>
      <c r="N15" s="58"/>
      <c r="O15" s="58"/>
      <c r="P15" s="58"/>
    </row>
    <row r="16" spans="1:16" ht="14.1" customHeight="1" x14ac:dyDescent="0.25">
      <c r="A16" s="1"/>
      <c r="B16" s="1"/>
      <c r="C16" s="2" t="s">
        <v>11</v>
      </c>
      <c r="D16" s="1"/>
      <c r="E16" s="1" t="s">
        <v>12</v>
      </c>
      <c r="F16" s="3">
        <v>0</v>
      </c>
      <c r="G16" s="4">
        <v>0</v>
      </c>
      <c r="H16" s="12"/>
      <c r="I16" s="81"/>
      <c r="K16" s="89" t="s">
        <v>631</v>
      </c>
      <c r="L16" s="90"/>
      <c r="M16" s="90"/>
      <c r="N16" s="90"/>
      <c r="O16" s="90"/>
      <c r="P16" s="58"/>
    </row>
    <row r="17" spans="1:16" ht="14.1" customHeight="1" x14ac:dyDescent="0.2">
      <c r="A17" s="1"/>
      <c r="B17" s="1"/>
      <c r="C17" s="5"/>
      <c r="D17" s="1"/>
      <c r="E17" s="1"/>
      <c r="F17" s="6"/>
      <c r="G17" s="6"/>
      <c r="H17" s="12"/>
      <c r="I17" s="81"/>
      <c r="K17" s="58"/>
      <c r="L17" s="58"/>
      <c r="M17" s="58"/>
      <c r="N17" s="58"/>
      <c r="O17" s="58"/>
      <c r="P17" s="58"/>
    </row>
    <row r="18" spans="1:16" ht="14.1" customHeight="1" x14ac:dyDescent="0.2">
      <c r="A18" s="1"/>
      <c r="B18" s="1"/>
      <c r="C18" s="2" t="s">
        <v>16</v>
      </c>
      <c r="D18" s="1"/>
      <c r="E18" s="1"/>
      <c r="F18" s="6"/>
      <c r="G18" s="6"/>
      <c r="H18" s="12"/>
      <c r="I18" s="81"/>
      <c r="K18" s="58"/>
      <c r="L18" s="58"/>
      <c r="M18" s="58"/>
      <c r="N18" s="58"/>
      <c r="O18" s="58"/>
      <c r="P18" s="58"/>
    </row>
    <row r="19" spans="1:16" ht="14.1" customHeight="1" x14ac:dyDescent="0.2">
      <c r="A19" s="1"/>
      <c r="B19" s="1"/>
      <c r="C19" s="2" t="s">
        <v>11</v>
      </c>
      <c r="D19" s="1"/>
      <c r="E19" s="1" t="s">
        <v>12</v>
      </c>
      <c r="F19" s="3">
        <v>0</v>
      </c>
      <c r="G19" s="4">
        <v>0</v>
      </c>
      <c r="H19" s="12"/>
      <c r="I19" s="81"/>
      <c r="K19" s="58"/>
      <c r="L19" s="58"/>
      <c r="M19" s="58"/>
      <c r="N19" s="58"/>
      <c r="O19" s="58"/>
      <c r="P19" s="58"/>
    </row>
    <row r="20" spans="1:16" ht="14.1" customHeight="1" x14ac:dyDescent="0.2">
      <c r="A20" s="1"/>
      <c r="B20" s="1"/>
      <c r="C20" s="5"/>
      <c r="D20" s="1"/>
      <c r="E20" s="1"/>
      <c r="F20" s="6"/>
      <c r="G20" s="6"/>
      <c r="H20" s="12"/>
      <c r="I20" s="81"/>
      <c r="K20" s="58"/>
      <c r="L20" s="58"/>
      <c r="M20" s="58"/>
      <c r="N20" s="58"/>
      <c r="O20" s="58"/>
      <c r="P20" s="58"/>
    </row>
    <row r="21" spans="1:16" ht="14.1" customHeight="1" x14ac:dyDescent="0.2">
      <c r="A21" s="1"/>
      <c r="B21" s="1"/>
      <c r="C21" s="2" t="s">
        <v>17</v>
      </c>
      <c r="D21" s="1"/>
      <c r="E21" s="1"/>
      <c r="F21" s="6"/>
      <c r="G21" s="6"/>
      <c r="H21" s="12"/>
      <c r="I21" s="81"/>
      <c r="K21" s="58"/>
      <c r="L21" s="58"/>
      <c r="M21" s="58"/>
      <c r="N21" s="58"/>
      <c r="O21" s="58"/>
      <c r="P21" s="58"/>
    </row>
    <row r="22" spans="1:16" ht="14.1" customHeight="1" x14ac:dyDescent="0.2">
      <c r="A22" s="1"/>
      <c r="B22" s="1"/>
      <c r="C22" s="2" t="s">
        <v>11</v>
      </c>
      <c r="D22" s="1"/>
      <c r="E22" s="1" t="s">
        <v>12</v>
      </c>
      <c r="F22" s="3">
        <v>0</v>
      </c>
      <c r="G22" s="4">
        <v>0</v>
      </c>
      <c r="H22" s="12"/>
      <c r="I22" s="81"/>
      <c r="K22" s="58"/>
      <c r="L22" s="58"/>
      <c r="M22" s="58"/>
      <c r="N22" s="58"/>
      <c r="O22" s="58"/>
      <c r="P22" s="58"/>
    </row>
    <row r="23" spans="1:16" ht="14.1" customHeight="1" x14ac:dyDescent="0.2">
      <c r="A23" s="1"/>
      <c r="B23" s="1"/>
      <c r="C23" s="5"/>
      <c r="D23" s="1"/>
      <c r="E23" s="1"/>
      <c r="F23" s="6"/>
      <c r="G23" s="6"/>
      <c r="H23" s="12"/>
      <c r="I23" s="81"/>
      <c r="K23" s="58"/>
      <c r="L23" s="58"/>
      <c r="M23" s="58"/>
      <c r="N23" s="58"/>
      <c r="O23" s="58"/>
      <c r="P23" s="58"/>
    </row>
    <row r="24" spans="1:16" ht="18" customHeight="1" x14ac:dyDescent="0.2">
      <c r="A24" s="1"/>
      <c r="B24" s="1"/>
      <c r="C24" s="2" t="s">
        <v>18</v>
      </c>
      <c r="D24" s="1"/>
      <c r="E24" s="1"/>
      <c r="F24" s="7">
        <v>0</v>
      </c>
      <c r="G24" s="8">
        <v>0</v>
      </c>
      <c r="H24" s="12"/>
      <c r="I24" s="81"/>
      <c r="K24" s="58"/>
      <c r="L24" s="58"/>
      <c r="M24" s="58"/>
      <c r="N24" s="58"/>
      <c r="O24" s="58"/>
      <c r="P24" s="58"/>
    </row>
    <row r="25" spans="1:16" ht="14.1" customHeight="1" x14ac:dyDescent="0.2">
      <c r="A25" s="1"/>
      <c r="B25" s="1"/>
      <c r="C25" s="5"/>
      <c r="D25" s="1"/>
      <c r="E25" s="1"/>
      <c r="F25" s="6"/>
      <c r="G25" s="6"/>
      <c r="H25" s="12"/>
      <c r="I25" s="81"/>
      <c r="K25" s="58"/>
      <c r="L25" s="58"/>
      <c r="M25" s="58"/>
      <c r="N25" s="58"/>
      <c r="O25" s="58"/>
      <c r="P25" s="58"/>
    </row>
    <row r="26" spans="1:16" ht="14.1" customHeight="1" x14ac:dyDescent="0.2">
      <c r="A26" s="1"/>
      <c r="B26" s="1"/>
      <c r="C26" s="2" t="s">
        <v>19</v>
      </c>
      <c r="D26" s="1"/>
      <c r="E26" s="1"/>
      <c r="F26" s="6"/>
      <c r="G26" s="6"/>
      <c r="H26" s="12"/>
      <c r="I26" s="81"/>
      <c r="K26" s="58"/>
      <c r="L26" s="58"/>
      <c r="M26" s="58"/>
      <c r="N26" s="58"/>
      <c r="O26" s="58"/>
      <c r="P26" s="58"/>
    </row>
    <row r="27" spans="1:16" ht="24" customHeight="1" x14ac:dyDescent="0.2">
      <c r="A27" s="1"/>
      <c r="B27" s="1"/>
      <c r="C27" s="2" t="s">
        <v>10</v>
      </c>
      <c r="D27" s="1"/>
      <c r="E27" s="1"/>
      <c r="F27" s="6"/>
      <c r="G27" s="6"/>
      <c r="H27" s="12"/>
      <c r="I27" s="81"/>
      <c r="K27" s="58"/>
      <c r="L27" s="58"/>
      <c r="M27" s="58"/>
      <c r="N27" s="58"/>
      <c r="O27" s="58"/>
      <c r="P27" s="58"/>
    </row>
    <row r="28" spans="1:16" ht="25.5" x14ac:dyDescent="0.2">
      <c r="A28" s="9">
        <v>1</v>
      </c>
      <c r="B28" s="10" t="s">
        <v>423</v>
      </c>
      <c r="C28" s="10" t="s">
        <v>597</v>
      </c>
      <c r="D28" s="10" t="s">
        <v>77</v>
      </c>
      <c r="E28" s="11">
        <v>50</v>
      </c>
      <c r="F28" s="12">
        <v>524.803</v>
      </c>
      <c r="G28" s="13">
        <v>8.5922029999999996E-2</v>
      </c>
      <c r="H28" s="12">
        <v>7.6036000000000001</v>
      </c>
      <c r="I28" s="81">
        <v>5.79</v>
      </c>
      <c r="K28" s="58"/>
      <c r="L28" s="58"/>
      <c r="M28" s="58"/>
      <c r="N28" s="58"/>
      <c r="O28" s="58"/>
      <c r="P28" s="58"/>
    </row>
    <row r="29" spans="1:16" ht="17.100000000000001" customHeight="1" x14ac:dyDescent="0.2">
      <c r="A29" s="9">
        <v>2</v>
      </c>
      <c r="B29" s="10" t="s">
        <v>175</v>
      </c>
      <c r="C29" s="10" t="s">
        <v>176</v>
      </c>
      <c r="D29" s="10" t="s">
        <v>22</v>
      </c>
      <c r="E29" s="11">
        <v>50</v>
      </c>
      <c r="F29" s="12">
        <v>523.95000000000005</v>
      </c>
      <c r="G29" s="13">
        <v>8.5782374999999994E-2</v>
      </c>
      <c r="H29" s="12">
        <v>6.3</v>
      </c>
      <c r="I29" s="81"/>
      <c r="K29" s="58"/>
      <c r="L29" s="58"/>
      <c r="M29" s="58"/>
      <c r="N29" s="58"/>
      <c r="O29" s="58"/>
      <c r="P29" s="58"/>
    </row>
    <row r="30" spans="1:16" ht="29.1" customHeight="1" x14ac:dyDescent="0.25">
      <c r="A30" s="9">
        <v>3</v>
      </c>
      <c r="B30" s="10" t="s">
        <v>98</v>
      </c>
      <c r="C30" s="10" t="s">
        <v>99</v>
      </c>
      <c r="D30" s="10" t="s">
        <v>22</v>
      </c>
      <c r="E30" s="11">
        <v>50</v>
      </c>
      <c r="F30" s="12">
        <v>511.97949999999997</v>
      </c>
      <c r="G30" s="13">
        <v>8.3822535000000004E-2</v>
      </c>
      <c r="H30" s="12">
        <v>4.8250000000000002</v>
      </c>
      <c r="I30" s="81"/>
      <c r="K30" s="89" t="s">
        <v>632</v>
      </c>
      <c r="L30" s="90"/>
      <c r="M30" s="90"/>
      <c r="N30" s="90"/>
      <c r="O30" s="90"/>
    </row>
    <row r="31" spans="1:16" ht="29.1" customHeight="1" x14ac:dyDescent="0.2">
      <c r="A31" s="9">
        <v>4</v>
      </c>
      <c r="B31" s="10" t="s">
        <v>27</v>
      </c>
      <c r="C31" s="10" t="s">
        <v>28</v>
      </c>
      <c r="D31" s="10" t="s">
        <v>591</v>
      </c>
      <c r="E31" s="11">
        <v>50</v>
      </c>
      <c r="F31" s="12">
        <v>509.52600000000001</v>
      </c>
      <c r="G31" s="13">
        <v>8.3420841999999995E-2</v>
      </c>
      <c r="H31" s="12">
        <v>5.01</v>
      </c>
      <c r="I31" s="81"/>
      <c r="K31" s="58"/>
      <c r="L31" s="58"/>
      <c r="M31" s="58"/>
      <c r="N31" s="58"/>
      <c r="O31" s="58"/>
    </row>
    <row r="32" spans="1:16" ht="29.1" customHeight="1" x14ac:dyDescent="0.2">
      <c r="A32" s="9">
        <v>5</v>
      </c>
      <c r="B32" s="10" t="s">
        <v>192</v>
      </c>
      <c r="C32" s="10" t="s">
        <v>193</v>
      </c>
      <c r="D32" s="10" t="s">
        <v>22</v>
      </c>
      <c r="E32" s="11">
        <v>50</v>
      </c>
      <c r="F32" s="12">
        <v>496.98349999999999</v>
      </c>
      <c r="G32" s="13">
        <v>8.1367353000000003E-2</v>
      </c>
      <c r="H32" s="12">
        <v>5.71</v>
      </c>
      <c r="I32" s="81"/>
      <c r="K32" s="58"/>
      <c r="L32" s="58"/>
      <c r="M32" s="58"/>
      <c r="N32" s="58"/>
      <c r="O32" s="58"/>
    </row>
    <row r="33" spans="1:16" ht="29.1" customHeight="1" x14ac:dyDescent="0.2">
      <c r="A33" s="9">
        <v>6</v>
      </c>
      <c r="B33" s="10" t="s">
        <v>243</v>
      </c>
      <c r="C33" s="10" t="s">
        <v>244</v>
      </c>
      <c r="D33" s="10" t="s">
        <v>22</v>
      </c>
      <c r="E33" s="11">
        <v>30</v>
      </c>
      <c r="F33" s="12">
        <v>300.50369999999998</v>
      </c>
      <c r="G33" s="13">
        <v>4.9199199999999998E-2</v>
      </c>
      <c r="H33" s="12">
        <v>5.4089</v>
      </c>
      <c r="I33" s="81"/>
      <c r="K33" s="58"/>
      <c r="L33" s="58"/>
      <c r="M33" s="58"/>
      <c r="N33" s="58"/>
      <c r="O33" s="58"/>
    </row>
    <row r="34" spans="1:16" ht="14.1" customHeight="1" x14ac:dyDescent="0.2">
      <c r="A34" s="1"/>
      <c r="B34" s="1"/>
      <c r="C34" s="2" t="s">
        <v>11</v>
      </c>
      <c r="D34" s="1"/>
      <c r="E34" s="1" t="s">
        <v>12</v>
      </c>
      <c r="F34" s="7">
        <v>2867.7456999999999</v>
      </c>
      <c r="G34" s="8">
        <v>0.469514335</v>
      </c>
      <c r="H34" s="12"/>
      <c r="I34" s="81"/>
      <c r="K34" s="58"/>
      <c r="L34" s="58"/>
      <c r="M34" s="58"/>
      <c r="N34" s="58"/>
      <c r="O34" s="58"/>
    </row>
    <row r="35" spans="1:16" ht="14.1" customHeight="1" x14ac:dyDescent="0.2">
      <c r="A35" s="1"/>
      <c r="B35" s="1"/>
      <c r="C35" s="5"/>
      <c r="D35" s="1"/>
      <c r="E35" s="1"/>
      <c r="F35" s="6"/>
      <c r="G35" s="6"/>
      <c r="H35" s="12"/>
      <c r="I35" s="81"/>
      <c r="K35" s="58"/>
      <c r="L35" s="58"/>
      <c r="M35" s="58"/>
      <c r="N35" s="58"/>
      <c r="O35" s="58"/>
    </row>
    <row r="36" spans="1:16" ht="14.1" customHeight="1" x14ac:dyDescent="0.2">
      <c r="A36" s="1"/>
      <c r="B36" s="1"/>
      <c r="C36" s="2" t="s">
        <v>102</v>
      </c>
      <c r="D36" s="1"/>
      <c r="E36" s="1"/>
      <c r="F36" s="1"/>
      <c r="G36" s="1"/>
      <c r="H36" s="12"/>
      <c r="I36" s="81"/>
      <c r="K36" s="58"/>
      <c r="L36" s="58"/>
      <c r="M36" s="58"/>
      <c r="N36" s="58"/>
      <c r="O36" s="58"/>
    </row>
    <row r="37" spans="1:16" ht="14.1" customHeight="1" x14ac:dyDescent="0.2">
      <c r="A37" s="1"/>
      <c r="B37" s="1"/>
      <c r="C37" s="2" t="s">
        <v>11</v>
      </c>
      <c r="D37" s="1"/>
      <c r="E37" s="1" t="s">
        <v>12</v>
      </c>
      <c r="F37" s="3">
        <v>0</v>
      </c>
      <c r="G37" s="4">
        <v>0</v>
      </c>
      <c r="H37" s="12"/>
      <c r="I37" s="81"/>
      <c r="K37" s="58"/>
      <c r="L37" s="58"/>
      <c r="M37" s="58"/>
      <c r="N37" s="58"/>
      <c r="O37" s="58"/>
    </row>
    <row r="38" spans="1:16" ht="14.1" customHeight="1" x14ac:dyDescent="0.2">
      <c r="A38" s="1"/>
      <c r="B38" s="1"/>
      <c r="C38" s="5"/>
      <c r="D38" s="1"/>
      <c r="E38" s="1"/>
      <c r="F38" s="6"/>
      <c r="G38" s="6"/>
      <c r="H38" s="12"/>
      <c r="I38" s="81"/>
      <c r="K38" s="58"/>
      <c r="L38" s="58"/>
      <c r="M38" s="58"/>
      <c r="N38" s="58"/>
      <c r="O38" s="58"/>
    </row>
    <row r="39" spans="1:16" ht="14.1" customHeight="1" x14ac:dyDescent="0.2">
      <c r="A39" s="1"/>
      <c r="B39" s="1"/>
      <c r="C39" s="2" t="s">
        <v>103</v>
      </c>
      <c r="D39" s="1"/>
      <c r="E39" s="1"/>
      <c r="F39" s="1"/>
      <c r="G39" s="1"/>
      <c r="H39" s="12"/>
      <c r="I39" s="81"/>
      <c r="K39" s="58"/>
      <c r="L39" s="58"/>
      <c r="M39" s="58"/>
      <c r="N39" s="58"/>
      <c r="O39" s="58"/>
    </row>
    <row r="40" spans="1:16" ht="29.1" customHeight="1" x14ac:dyDescent="0.2">
      <c r="A40" s="9">
        <v>1</v>
      </c>
      <c r="B40" s="10" t="s">
        <v>198</v>
      </c>
      <c r="C40" s="10" t="s">
        <v>199</v>
      </c>
      <c r="D40" s="10" t="s">
        <v>106</v>
      </c>
      <c r="E40" s="11">
        <v>1000000</v>
      </c>
      <c r="F40" s="12">
        <v>989.14200000000005</v>
      </c>
      <c r="G40" s="13">
        <v>0.161944746</v>
      </c>
      <c r="H40" s="12">
        <v>5.5830000000000002</v>
      </c>
      <c r="I40" s="81"/>
      <c r="K40" s="58"/>
      <c r="L40" s="58"/>
      <c r="M40" s="58"/>
      <c r="N40" s="58"/>
      <c r="O40" s="58"/>
    </row>
    <row r="41" spans="1:16" ht="29.1" customHeight="1" x14ac:dyDescent="0.2">
      <c r="A41" s="9">
        <v>2</v>
      </c>
      <c r="B41" s="10" t="s">
        <v>424</v>
      </c>
      <c r="C41" s="10" t="s">
        <v>425</v>
      </c>
      <c r="D41" s="10" t="s">
        <v>106</v>
      </c>
      <c r="E41" s="11">
        <v>898700</v>
      </c>
      <c r="F41" s="12">
        <v>884.31900259999998</v>
      </c>
      <c r="G41" s="13">
        <v>0.14478286900000001</v>
      </c>
      <c r="H41" s="12">
        <v>6.7633000000000001</v>
      </c>
      <c r="I41" s="81"/>
      <c r="K41" s="58"/>
      <c r="L41" s="58"/>
      <c r="M41" s="58"/>
      <c r="N41" s="58"/>
      <c r="O41" s="58"/>
    </row>
    <row r="42" spans="1:16" ht="29.1" customHeight="1" x14ac:dyDescent="0.2">
      <c r="A42" s="9">
        <v>3</v>
      </c>
      <c r="B42" s="10" t="s">
        <v>426</v>
      </c>
      <c r="C42" s="10" t="s">
        <v>427</v>
      </c>
      <c r="D42" s="10" t="s">
        <v>106</v>
      </c>
      <c r="E42" s="11">
        <v>500000</v>
      </c>
      <c r="F42" s="12">
        <v>489.78100000000001</v>
      </c>
      <c r="G42" s="13">
        <v>8.0188143000000003E-2</v>
      </c>
      <c r="H42" s="12">
        <v>5.7704000000000004</v>
      </c>
      <c r="I42" s="81"/>
      <c r="K42" s="58"/>
      <c r="L42" s="58"/>
      <c r="M42" s="58"/>
      <c r="N42" s="58"/>
      <c r="O42" s="58"/>
    </row>
    <row r="43" spans="1:16" ht="14.1" customHeight="1" x14ac:dyDescent="0.2">
      <c r="A43" s="1"/>
      <c r="B43" s="1"/>
      <c r="C43" s="2" t="s">
        <v>11</v>
      </c>
      <c r="D43" s="1"/>
      <c r="E43" s="1" t="s">
        <v>12</v>
      </c>
      <c r="F43" s="7">
        <v>2363.2420026</v>
      </c>
      <c r="G43" s="8">
        <v>0.386915758</v>
      </c>
      <c r="H43" s="12"/>
      <c r="I43" s="81"/>
      <c r="K43" s="58"/>
      <c r="L43" s="58"/>
      <c r="M43" s="58"/>
      <c r="N43" s="58"/>
      <c r="O43" s="58"/>
      <c r="P43" s="58"/>
    </row>
    <row r="44" spans="1:16" ht="14.1" customHeight="1" x14ac:dyDescent="0.2">
      <c r="A44" s="1"/>
      <c r="B44" s="1"/>
      <c r="C44" s="5"/>
      <c r="D44" s="1"/>
      <c r="E44" s="1"/>
      <c r="F44" s="6"/>
      <c r="G44" s="6"/>
      <c r="H44" s="12"/>
      <c r="I44" s="81"/>
    </row>
    <row r="45" spans="1:16" ht="14.1" customHeight="1" x14ac:dyDescent="0.2">
      <c r="A45" s="1"/>
      <c r="B45" s="1"/>
      <c r="C45" s="2" t="s">
        <v>119</v>
      </c>
      <c r="D45" s="1"/>
      <c r="E45" s="1"/>
      <c r="F45" s="6"/>
      <c r="G45" s="6"/>
      <c r="H45" s="12"/>
      <c r="I45" s="81"/>
    </row>
    <row r="46" spans="1:16" ht="14.1" customHeight="1" x14ac:dyDescent="0.2">
      <c r="A46" s="1"/>
      <c r="B46" s="1"/>
      <c r="C46" s="2" t="s">
        <v>11</v>
      </c>
      <c r="D46" s="1"/>
      <c r="E46" s="1" t="s">
        <v>12</v>
      </c>
      <c r="F46" s="3">
        <v>0</v>
      </c>
      <c r="G46" s="4">
        <v>0</v>
      </c>
      <c r="H46" s="12"/>
      <c r="I46" s="81"/>
    </row>
    <row r="47" spans="1:16" ht="14.1" customHeight="1" x14ac:dyDescent="0.2">
      <c r="A47" s="1"/>
      <c r="B47" s="1"/>
      <c r="C47" s="5"/>
      <c r="D47" s="1"/>
      <c r="E47" s="1"/>
      <c r="F47" s="6"/>
      <c r="G47" s="6"/>
      <c r="H47" s="12"/>
      <c r="I47" s="81"/>
    </row>
    <row r="48" spans="1:16" ht="14.1" customHeight="1" x14ac:dyDescent="0.2">
      <c r="A48" s="1"/>
      <c r="B48" s="1"/>
      <c r="C48" s="2" t="s">
        <v>120</v>
      </c>
      <c r="D48" s="1"/>
      <c r="E48" s="1"/>
      <c r="F48" s="7">
        <v>5230.9877026000004</v>
      </c>
      <c r="G48" s="8">
        <v>0.85643009299999995</v>
      </c>
      <c r="H48" s="12"/>
      <c r="I48" s="81"/>
    </row>
    <row r="49" spans="1:9" ht="14.1" customHeight="1" x14ac:dyDescent="0.2">
      <c r="A49" s="1"/>
      <c r="B49" s="1"/>
      <c r="C49" s="5"/>
      <c r="D49" s="1"/>
      <c r="E49" s="1"/>
      <c r="F49" s="6"/>
      <c r="G49" s="6"/>
      <c r="H49" s="12"/>
      <c r="I49" s="81"/>
    </row>
    <row r="50" spans="1:9" ht="14.1" customHeight="1" x14ac:dyDescent="0.2">
      <c r="A50" s="1"/>
      <c r="B50" s="1"/>
      <c r="C50" s="2" t="s">
        <v>121</v>
      </c>
      <c r="D50" s="1"/>
      <c r="E50" s="1"/>
      <c r="F50" s="6"/>
      <c r="G50" s="6"/>
      <c r="H50" s="12"/>
      <c r="I50" s="81"/>
    </row>
    <row r="51" spans="1:9" ht="14.1" customHeight="1" x14ac:dyDescent="0.2">
      <c r="A51" s="1"/>
      <c r="B51" s="1"/>
      <c r="C51" s="2" t="s">
        <v>122</v>
      </c>
      <c r="D51" s="1"/>
      <c r="E51" s="1"/>
      <c r="F51" s="6"/>
      <c r="G51" s="6"/>
      <c r="H51" s="12"/>
      <c r="I51" s="81"/>
    </row>
    <row r="52" spans="1:9" ht="14.1" customHeight="1" x14ac:dyDescent="0.2">
      <c r="A52" s="1"/>
      <c r="B52" s="1"/>
      <c r="C52" s="2" t="s">
        <v>11</v>
      </c>
      <c r="D52" s="1"/>
      <c r="E52" s="1" t="s">
        <v>12</v>
      </c>
      <c r="F52" s="3">
        <v>0</v>
      </c>
      <c r="G52" s="4">
        <v>0</v>
      </c>
      <c r="H52" s="12"/>
      <c r="I52" s="81"/>
    </row>
    <row r="53" spans="1:9" ht="14.1" customHeight="1" x14ac:dyDescent="0.2">
      <c r="A53" s="1"/>
      <c r="B53" s="1"/>
      <c r="C53" s="5"/>
      <c r="D53" s="1"/>
      <c r="E53" s="1"/>
      <c r="F53" s="6"/>
      <c r="G53" s="6"/>
      <c r="H53" s="12"/>
      <c r="I53" s="81"/>
    </row>
    <row r="54" spans="1:9" ht="14.1" customHeight="1" x14ac:dyDescent="0.2">
      <c r="A54" s="1"/>
      <c r="B54" s="1"/>
      <c r="C54" s="2" t="s">
        <v>123</v>
      </c>
      <c r="D54" s="1"/>
      <c r="E54" s="1"/>
      <c r="F54" s="6"/>
      <c r="G54" s="6"/>
      <c r="H54" s="12"/>
      <c r="I54" s="81"/>
    </row>
    <row r="55" spans="1:9" ht="14.1" customHeight="1" x14ac:dyDescent="0.2">
      <c r="A55" s="1"/>
      <c r="B55" s="1"/>
      <c r="C55" s="2" t="s">
        <v>11</v>
      </c>
      <c r="D55" s="1"/>
      <c r="E55" s="1" t="s">
        <v>12</v>
      </c>
      <c r="F55" s="3">
        <v>0</v>
      </c>
      <c r="G55" s="4">
        <v>0</v>
      </c>
      <c r="H55" s="12"/>
      <c r="I55" s="81"/>
    </row>
    <row r="56" spans="1:9" ht="14.1" customHeight="1" x14ac:dyDescent="0.2">
      <c r="A56" s="1"/>
      <c r="B56" s="1"/>
      <c r="C56" s="5"/>
      <c r="D56" s="1"/>
      <c r="E56" s="1"/>
      <c r="F56" s="6"/>
      <c r="G56" s="6"/>
      <c r="H56" s="12"/>
      <c r="I56" s="81"/>
    </row>
    <row r="57" spans="1:9" ht="14.1" customHeight="1" x14ac:dyDescent="0.2">
      <c r="A57" s="1"/>
      <c r="B57" s="1"/>
      <c r="C57" s="2" t="s">
        <v>124</v>
      </c>
      <c r="D57" s="1"/>
      <c r="E57" s="1"/>
      <c r="F57" s="6"/>
      <c r="G57" s="6"/>
      <c r="H57" s="12"/>
      <c r="I57" s="81"/>
    </row>
    <row r="58" spans="1:9" ht="14.1" customHeight="1" x14ac:dyDescent="0.2">
      <c r="A58" s="1"/>
      <c r="B58" s="1"/>
      <c r="C58" s="2" t="s">
        <v>11</v>
      </c>
      <c r="D58" s="1"/>
      <c r="E58" s="1" t="s">
        <v>12</v>
      </c>
      <c r="F58" s="3">
        <v>0</v>
      </c>
      <c r="G58" s="4">
        <v>0</v>
      </c>
      <c r="H58" s="12"/>
      <c r="I58" s="81"/>
    </row>
    <row r="59" spans="1:9" ht="14.1" customHeight="1" x14ac:dyDescent="0.2">
      <c r="A59" s="1"/>
      <c r="B59" s="1"/>
      <c r="C59" s="5"/>
      <c r="D59" s="1"/>
      <c r="E59" s="1"/>
      <c r="F59" s="6"/>
      <c r="G59" s="6"/>
      <c r="H59" s="12"/>
      <c r="I59" s="81"/>
    </row>
    <row r="60" spans="1:9" ht="14.1" customHeight="1" x14ac:dyDescent="0.2">
      <c r="A60" s="1"/>
      <c r="B60" s="1"/>
      <c r="C60" s="2" t="s">
        <v>125</v>
      </c>
      <c r="D60" s="1"/>
      <c r="E60" s="1"/>
      <c r="F60" s="6"/>
      <c r="G60" s="6"/>
      <c r="H60" s="12"/>
      <c r="I60" s="81"/>
    </row>
    <row r="61" spans="1:9" ht="17.100000000000001" customHeight="1" x14ac:dyDescent="0.2">
      <c r="A61" s="9">
        <v>1</v>
      </c>
      <c r="B61" s="10"/>
      <c r="C61" s="10" t="s">
        <v>126</v>
      </c>
      <c r="D61" s="10"/>
      <c r="E61" s="14"/>
      <c r="F61" s="12">
        <v>220.0936183</v>
      </c>
      <c r="G61" s="13">
        <v>3.6034265000000003E-2</v>
      </c>
      <c r="H61" s="12">
        <v>3.2903893505936708</v>
      </c>
      <c r="I61" s="81"/>
    </row>
    <row r="62" spans="1:9" ht="17.100000000000001" customHeight="1" x14ac:dyDescent="0.2">
      <c r="A62" s="9">
        <v>2</v>
      </c>
      <c r="B62" s="10"/>
      <c r="C62" s="10" t="s">
        <v>127</v>
      </c>
      <c r="D62" s="10"/>
      <c r="E62" s="14"/>
      <c r="F62" s="12">
        <v>97.524362600000003</v>
      </c>
      <c r="G62" s="13">
        <v>1.5966926999999999E-2</v>
      </c>
      <c r="H62" s="12">
        <v>3.2766870282233538</v>
      </c>
      <c r="I62" s="81"/>
    </row>
    <row r="63" spans="1:9" ht="14.1" customHeight="1" x14ac:dyDescent="0.2">
      <c r="A63" s="1"/>
      <c r="B63" s="1"/>
      <c r="C63" s="2" t="s">
        <v>11</v>
      </c>
      <c r="D63" s="1"/>
      <c r="E63" s="1" t="s">
        <v>12</v>
      </c>
      <c r="F63" s="7">
        <v>317.61798090000002</v>
      </c>
      <c r="G63" s="8">
        <v>5.2001192000000002E-2</v>
      </c>
      <c r="H63" s="12"/>
      <c r="I63" s="81"/>
    </row>
    <row r="64" spans="1:9" ht="14.1" customHeight="1" x14ac:dyDescent="0.2">
      <c r="A64" s="1"/>
      <c r="B64" s="1"/>
      <c r="C64" s="5"/>
      <c r="D64" s="1"/>
      <c r="E64" s="1"/>
      <c r="F64" s="6"/>
      <c r="G64" s="6"/>
      <c r="H64" s="12"/>
      <c r="I64" s="81"/>
    </row>
    <row r="65" spans="1:9" ht="14.1" customHeight="1" x14ac:dyDescent="0.2">
      <c r="A65" s="1"/>
      <c r="B65" s="1"/>
      <c r="C65" s="2" t="s">
        <v>128</v>
      </c>
      <c r="D65" s="1"/>
      <c r="E65" s="1"/>
      <c r="F65" s="7">
        <v>317.61798090000002</v>
      </c>
      <c r="G65" s="8">
        <v>5.2001192000000002E-2</v>
      </c>
      <c r="H65" s="12"/>
      <c r="I65" s="81"/>
    </row>
    <row r="66" spans="1:9" ht="14.1" customHeight="1" x14ac:dyDescent="0.2">
      <c r="A66" s="1"/>
      <c r="B66" s="1"/>
      <c r="C66" s="6"/>
      <c r="D66" s="1"/>
      <c r="E66" s="1"/>
      <c r="F66" s="1"/>
      <c r="G66" s="1"/>
      <c r="H66" s="12"/>
      <c r="I66" s="81"/>
    </row>
    <row r="67" spans="1:9" ht="14.1" customHeight="1" x14ac:dyDescent="0.2">
      <c r="A67" s="1"/>
      <c r="B67" s="1"/>
      <c r="C67" s="2" t="s">
        <v>129</v>
      </c>
      <c r="D67" s="1"/>
      <c r="E67" s="1"/>
      <c r="F67" s="1"/>
      <c r="G67" s="1"/>
      <c r="H67" s="12"/>
      <c r="I67" s="81"/>
    </row>
    <row r="68" spans="1:9" ht="14.1" customHeight="1" x14ac:dyDescent="0.2">
      <c r="A68" s="1"/>
      <c r="B68" s="1"/>
      <c r="C68" s="2" t="s">
        <v>130</v>
      </c>
      <c r="D68" s="1"/>
      <c r="E68" s="1"/>
      <c r="F68" s="1"/>
      <c r="G68" s="1"/>
      <c r="H68" s="12"/>
      <c r="I68" s="81"/>
    </row>
    <row r="69" spans="1:9" ht="14.1" customHeight="1" x14ac:dyDescent="0.2">
      <c r="A69" s="1"/>
      <c r="B69" s="1"/>
      <c r="C69" s="2" t="s">
        <v>11</v>
      </c>
      <c r="D69" s="1"/>
      <c r="E69" s="1" t="s">
        <v>12</v>
      </c>
      <c r="F69" s="3">
        <v>0</v>
      </c>
      <c r="G69" s="4">
        <v>0</v>
      </c>
      <c r="H69" s="12"/>
      <c r="I69" s="81"/>
    </row>
    <row r="70" spans="1:9" ht="14.1" customHeight="1" x14ac:dyDescent="0.2">
      <c r="A70" s="1"/>
      <c r="B70" s="1"/>
      <c r="C70" s="5"/>
      <c r="D70" s="1"/>
      <c r="E70" s="1"/>
      <c r="F70" s="6"/>
      <c r="G70" s="6"/>
      <c r="H70" s="12"/>
      <c r="I70" s="81"/>
    </row>
    <row r="71" spans="1:9" ht="14.1" customHeight="1" x14ac:dyDescent="0.2">
      <c r="A71" s="1"/>
      <c r="B71" s="1"/>
      <c r="C71" s="2" t="s">
        <v>131</v>
      </c>
      <c r="D71" s="1"/>
      <c r="E71" s="1"/>
      <c r="F71" s="1"/>
      <c r="G71" s="1"/>
      <c r="H71" s="12"/>
      <c r="I71" s="81"/>
    </row>
    <row r="72" spans="1:9" ht="14.1" customHeight="1" x14ac:dyDescent="0.2">
      <c r="A72" s="1"/>
      <c r="B72" s="1"/>
      <c r="C72" s="2" t="s">
        <v>132</v>
      </c>
      <c r="D72" s="1"/>
      <c r="E72" s="1"/>
      <c r="F72" s="1"/>
      <c r="G72" s="1"/>
      <c r="H72" s="12"/>
      <c r="I72" s="81"/>
    </row>
    <row r="73" spans="1:9" ht="14.1" customHeight="1" x14ac:dyDescent="0.2">
      <c r="A73" s="1"/>
      <c r="B73" s="1"/>
      <c r="C73" s="2" t="s">
        <v>11</v>
      </c>
      <c r="D73" s="1"/>
      <c r="E73" s="1" t="s">
        <v>12</v>
      </c>
      <c r="F73" s="3">
        <v>0</v>
      </c>
      <c r="G73" s="4">
        <v>0</v>
      </c>
      <c r="H73" s="12"/>
      <c r="I73" s="81"/>
    </row>
    <row r="74" spans="1:9" ht="14.1" customHeight="1" x14ac:dyDescent="0.2">
      <c r="A74" s="1"/>
      <c r="B74" s="1"/>
      <c r="C74" s="5"/>
      <c r="D74" s="1"/>
      <c r="E74" s="1"/>
      <c r="F74" s="6"/>
      <c r="G74" s="6"/>
      <c r="H74" s="12"/>
      <c r="I74" s="81"/>
    </row>
    <row r="75" spans="1:9" ht="24" customHeight="1" x14ac:dyDescent="0.2">
      <c r="A75" s="1"/>
      <c r="B75" s="1"/>
      <c r="C75" s="2" t="s">
        <v>133</v>
      </c>
      <c r="D75" s="1"/>
      <c r="E75" s="1"/>
      <c r="F75" s="6"/>
      <c r="G75" s="6"/>
      <c r="H75" s="12"/>
      <c r="I75" s="81"/>
    </row>
    <row r="76" spans="1:9" ht="14.1" customHeight="1" x14ac:dyDescent="0.2">
      <c r="A76" s="1"/>
      <c r="B76" s="1"/>
      <c r="C76" s="2" t="s">
        <v>11</v>
      </c>
      <c r="D76" s="1"/>
      <c r="E76" s="1" t="s">
        <v>12</v>
      </c>
      <c r="F76" s="3">
        <v>0</v>
      </c>
      <c r="G76" s="4">
        <v>0</v>
      </c>
      <c r="H76" s="12"/>
      <c r="I76" s="81"/>
    </row>
    <row r="77" spans="1:9" ht="14.1" customHeight="1" x14ac:dyDescent="0.2">
      <c r="A77" s="1"/>
      <c r="B77" s="1"/>
      <c r="C77" s="5"/>
      <c r="D77" s="1"/>
      <c r="E77" s="1"/>
      <c r="F77" s="6"/>
      <c r="G77" s="6"/>
      <c r="H77" s="12"/>
      <c r="I77" s="81"/>
    </row>
    <row r="78" spans="1:9" ht="14.1" customHeight="1" x14ac:dyDescent="0.2">
      <c r="A78" s="1"/>
      <c r="B78" s="10"/>
      <c r="C78" s="10"/>
      <c r="D78" s="2"/>
      <c r="E78" s="1"/>
      <c r="F78" s="10"/>
      <c r="G78" s="14"/>
      <c r="H78" s="12"/>
      <c r="I78" s="81"/>
    </row>
    <row r="79" spans="1:9" ht="18" customHeight="1" x14ac:dyDescent="0.2">
      <c r="A79" s="14"/>
      <c r="B79" s="10"/>
      <c r="C79" s="10" t="s">
        <v>134</v>
      </c>
      <c r="D79" s="10"/>
      <c r="E79" s="14"/>
      <c r="F79" s="12">
        <v>559.29237468999997</v>
      </c>
      <c r="G79" s="13">
        <v>9.1568714999999995E-2</v>
      </c>
      <c r="H79" s="12"/>
      <c r="I79" s="81"/>
    </row>
    <row r="80" spans="1:9" ht="14.1" customHeight="1" x14ac:dyDescent="0.2">
      <c r="A80" s="5"/>
      <c r="B80" s="5"/>
      <c r="C80" s="2" t="s">
        <v>135</v>
      </c>
      <c r="D80" s="6"/>
      <c r="E80" s="6"/>
      <c r="F80" s="7">
        <v>6107.8980581899996</v>
      </c>
      <c r="G80" s="8">
        <v>1</v>
      </c>
      <c r="H80" s="12"/>
      <c r="I80" s="81"/>
    </row>
    <row r="81" spans="1:7" ht="14.1" customHeight="1" x14ac:dyDescent="0.2">
      <c r="A81" s="15"/>
      <c r="B81" s="15"/>
      <c r="C81" s="15"/>
      <c r="D81" s="16"/>
      <c r="E81" s="16"/>
      <c r="F81" s="16"/>
      <c r="G81" s="16"/>
    </row>
    <row r="82" spans="1:7" ht="17.100000000000001" customHeight="1" x14ac:dyDescent="0.2">
      <c r="A82" s="17"/>
      <c r="B82" s="98" t="s">
        <v>136</v>
      </c>
      <c r="C82" s="98"/>
      <c r="D82" s="98"/>
      <c r="E82" s="98"/>
      <c r="F82" s="98"/>
      <c r="G82" s="19"/>
    </row>
    <row r="83" spans="1:7" ht="17.100000000000001" customHeight="1" x14ac:dyDescent="0.2">
      <c r="A83" s="17"/>
      <c r="B83" s="98" t="s">
        <v>137</v>
      </c>
      <c r="C83" s="98"/>
      <c r="D83" s="98"/>
      <c r="E83" s="98"/>
      <c r="F83" s="98"/>
      <c r="G83" s="19"/>
    </row>
    <row r="84" spans="1:7" ht="14.1" customHeight="1" x14ac:dyDescent="0.2">
      <c r="A84" s="17"/>
      <c r="B84" s="98" t="s">
        <v>12</v>
      </c>
      <c r="C84" s="98"/>
      <c r="D84" s="98"/>
      <c r="E84" s="98"/>
      <c r="F84" s="98"/>
      <c r="G84" s="19"/>
    </row>
    <row r="85" spans="1:7" ht="14.1" customHeight="1" x14ac:dyDescent="0.2">
      <c r="A85" s="17"/>
      <c r="B85" s="17"/>
      <c r="C85" s="17"/>
      <c r="D85" s="19"/>
      <c r="E85" s="19"/>
      <c r="F85" s="19"/>
      <c r="G85" s="19"/>
    </row>
    <row r="86" spans="1:7" ht="14.1" customHeight="1" x14ac:dyDescent="0.2">
      <c r="A86" s="17"/>
      <c r="B86" s="99" t="s">
        <v>138</v>
      </c>
      <c r="C86" s="100"/>
      <c r="D86" s="101"/>
      <c r="E86" s="20"/>
      <c r="F86" s="19"/>
      <c r="G86" s="19"/>
    </row>
    <row r="87" spans="1:7" ht="29.1" customHeight="1" x14ac:dyDescent="0.2">
      <c r="A87" s="17"/>
      <c r="B87" s="95" t="s">
        <v>139</v>
      </c>
      <c r="C87" s="96"/>
      <c r="D87" s="2" t="s">
        <v>568</v>
      </c>
      <c r="E87" s="20"/>
      <c r="F87" s="19"/>
      <c r="G87" s="19"/>
    </row>
    <row r="88" spans="1:7" ht="17.100000000000001" customHeight="1" x14ac:dyDescent="0.2">
      <c r="A88" s="17"/>
      <c r="B88" s="95" t="s">
        <v>141</v>
      </c>
      <c r="C88" s="96"/>
      <c r="D88" s="2" t="s">
        <v>140</v>
      </c>
      <c r="E88" s="20"/>
      <c r="F88" s="19"/>
      <c r="G88" s="19"/>
    </row>
    <row r="89" spans="1:7" ht="17.100000000000001" customHeight="1" x14ac:dyDescent="0.2">
      <c r="A89" s="17"/>
      <c r="B89" s="95" t="s">
        <v>142</v>
      </c>
      <c r="C89" s="96"/>
      <c r="D89" s="6" t="s">
        <v>12</v>
      </c>
      <c r="E89" s="20"/>
      <c r="F89" s="19"/>
      <c r="G89" s="19"/>
    </row>
    <row r="90" spans="1:7" ht="24" customHeight="1" x14ac:dyDescent="0.2">
      <c r="A90" s="21"/>
      <c r="B90" s="22" t="s">
        <v>12</v>
      </c>
      <c r="C90" s="22" t="s">
        <v>143</v>
      </c>
      <c r="D90" s="22" t="s">
        <v>144</v>
      </c>
      <c r="E90" s="21"/>
      <c r="F90" s="21"/>
      <c r="G90" s="21"/>
    </row>
    <row r="91" spans="1:7" ht="18" customHeight="1" x14ac:dyDescent="0.2">
      <c r="A91" s="21"/>
      <c r="B91" s="23" t="s">
        <v>145</v>
      </c>
      <c r="C91" s="22" t="s">
        <v>146</v>
      </c>
      <c r="D91" s="22" t="s">
        <v>147</v>
      </c>
      <c r="E91" s="21"/>
      <c r="F91" s="21"/>
      <c r="G91" s="21"/>
    </row>
    <row r="92" spans="1:7" ht="17.100000000000001" customHeight="1" x14ac:dyDescent="0.2">
      <c r="A92" s="21"/>
      <c r="B92" s="10" t="s">
        <v>148</v>
      </c>
      <c r="C92" s="24">
        <v>63.773600000000002</v>
      </c>
      <c r="D92" s="24">
        <v>64.009200000000007</v>
      </c>
      <c r="E92" s="21"/>
      <c r="F92" s="18"/>
      <c r="G92" s="25"/>
    </row>
    <row r="93" spans="1:7" ht="29.1" customHeight="1" x14ac:dyDescent="0.2">
      <c r="A93" s="21"/>
      <c r="B93" s="10" t="s">
        <v>601</v>
      </c>
      <c r="C93" s="24">
        <v>23.4603</v>
      </c>
      <c r="D93" s="24">
        <v>23.547000000000001</v>
      </c>
      <c r="E93" s="21"/>
      <c r="F93" s="18"/>
      <c r="G93" s="25"/>
    </row>
    <row r="94" spans="1:7" ht="29.1" customHeight="1" x14ac:dyDescent="0.2">
      <c r="A94" s="21"/>
      <c r="B94" s="10" t="s">
        <v>603</v>
      </c>
      <c r="C94" s="24">
        <v>13.449400000000001</v>
      </c>
      <c r="D94" s="24">
        <v>13.4991</v>
      </c>
      <c r="E94" s="21"/>
      <c r="F94" s="18"/>
      <c r="G94" s="25"/>
    </row>
    <row r="95" spans="1:7" ht="29.1" customHeight="1" x14ac:dyDescent="0.2">
      <c r="A95" s="21"/>
      <c r="B95" s="10" t="s">
        <v>428</v>
      </c>
      <c r="C95" s="24">
        <v>66.566400000000002</v>
      </c>
      <c r="D95" s="24">
        <v>66.760800000000003</v>
      </c>
      <c r="E95" s="21"/>
      <c r="F95" s="18"/>
      <c r="G95" s="25"/>
    </row>
    <row r="96" spans="1:7" ht="17.100000000000001" customHeight="1" x14ac:dyDescent="0.2">
      <c r="A96" s="21"/>
      <c r="B96" s="10" t="s">
        <v>149</v>
      </c>
      <c r="C96" s="24">
        <v>58.892000000000003</v>
      </c>
      <c r="D96" s="24">
        <v>59.063899999999997</v>
      </c>
      <c r="E96" s="21"/>
      <c r="F96" s="18"/>
      <c r="G96" s="25"/>
    </row>
    <row r="97" spans="1:16" ht="17.100000000000001" customHeight="1" x14ac:dyDescent="0.2">
      <c r="A97" s="21"/>
      <c r="B97" s="10" t="s">
        <v>205</v>
      </c>
      <c r="C97" s="24">
        <v>20.1143</v>
      </c>
      <c r="D97" s="24">
        <v>20.172999999999998</v>
      </c>
      <c r="E97" s="21"/>
      <c r="F97" s="18"/>
      <c r="G97" s="25"/>
    </row>
    <row r="98" spans="1:16" ht="25.5" x14ac:dyDescent="0.2">
      <c r="A98" s="21"/>
      <c r="B98" s="10" t="s">
        <v>605</v>
      </c>
      <c r="C98" s="24">
        <v>12.242000000000001</v>
      </c>
      <c r="D98" s="24">
        <v>12.277699999999999</v>
      </c>
      <c r="E98" s="21"/>
      <c r="F98" s="18"/>
      <c r="G98" s="25"/>
    </row>
    <row r="99" spans="1:16" ht="29.1" customHeight="1" x14ac:dyDescent="0.2">
      <c r="A99" s="21"/>
      <c r="B99" s="10" t="s">
        <v>606</v>
      </c>
      <c r="C99" s="24">
        <v>12.4969</v>
      </c>
      <c r="D99" s="24">
        <v>12.533300000000001</v>
      </c>
      <c r="E99" s="21"/>
      <c r="F99" s="18"/>
      <c r="G99" s="25"/>
    </row>
    <row r="100" spans="1:16" ht="29.1" customHeight="1" x14ac:dyDescent="0.2">
      <c r="A100" s="21"/>
      <c r="B100" s="10" t="s">
        <v>607</v>
      </c>
      <c r="C100" s="24">
        <v>12.2681</v>
      </c>
      <c r="D100" s="24">
        <v>12.303900000000001</v>
      </c>
      <c r="E100" s="21"/>
      <c r="F100" s="18"/>
      <c r="G100" s="25"/>
    </row>
    <row r="101" spans="1:16" ht="14.1" customHeight="1" x14ac:dyDescent="0.2">
      <c r="A101" s="21"/>
      <c r="B101" s="21"/>
      <c r="C101" s="21"/>
      <c r="D101" s="21"/>
      <c r="E101" s="21"/>
      <c r="F101" s="21"/>
      <c r="G101" s="21"/>
    </row>
    <row r="102" spans="1:16" ht="17.100000000000001" customHeight="1" x14ac:dyDescent="0.2">
      <c r="A102" s="21"/>
      <c r="B102" s="95" t="s">
        <v>608</v>
      </c>
      <c r="C102" s="96"/>
      <c r="D102" s="2" t="s">
        <v>12</v>
      </c>
      <c r="E102" s="21"/>
      <c r="F102" s="21"/>
      <c r="G102" s="21"/>
    </row>
    <row r="103" spans="1:16" ht="18" customHeight="1" x14ac:dyDescent="0.2">
      <c r="A103" s="21"/>
      <c r="B103" s="33"/>
      <c r="C103" s="33"/>
      <c r="D103" s="33"/>
      <c r="E103" s="21"/>
      <c r="F103" s="21"/>
      <c r="G103" s="21"/>
    </row>
    <row r="104" spans="1:16" x14ac:dyDescent="0.2">
      <c r="A104" s="82"/>
      <c r="B104" s="104" t="s">
        <v>619</v>
      </c>
      <c r="C104" s="104"/>
      <c r="D104" s="104"/>
      <c r="E104" s="104"/>
      <c r="F104" s="104"/>
      <c r="G104" s="82"/>
      <c r="I104" s="58"/>
      <c r="J104" s="58"/>
    </row>
    <row r="105" spans="1:16" ht="14.1" customHeight="1" x14ac:dyDescent="0.2">
      <c r="A105" s="21"/>
      <c r="B105" s="18"/>
      <c r="C105" s="18"/>
      <c r="D105" s="21"/>
      <c r="E105" s="21"/>
      <c r="F105" s="21"/>
      <c r="G105" s="21"/>
      <c r="K105" s="58"/>
      <c r="L105" s="58"/>
      <c r="M105" s="58"/>
      <c r="N105" s="58"/>
      <c r="O105" s="58"/>
      <c r="P105" s="58"/>
    </row>
    <row r="106" spans="1:16" ht="17.100000000000001" customHeight="1" x14ac:dyDescent="0.2">
      <c r="A106" s="21"/>
      <c r="B106" s="95" t="s">
        <v>532</v>
      </c>
      <c r="C106" s="96"/>
      <c r="D106" s="2" t="s">
        <v>140</v>
      </c>
      <c r="E106" s="21"/>
      <c r="F106" s="18"/>
      <c r="G106" s="25"/>
    </row>
    <row r="107" spans="1:16" ht="29.1" customHeight="1" x14ac:dyDescent="0.2">
      <c r="A107" s="21"/>
      <c r="B107" s="95" t="s">
        <v>533</v>
      </c>
      <c r="C107" s="96"/>
      <c r="D107" s="2" t="s">
        <v>140</v>
      </c>
      <c r="E107" s="31"/>
      <c r="F107" s="21"/>
      <c r="G107" s="21"/>
    </row>
    <row r="108" spans="1:16" ht="29.1" customHeight="1" x14ac:dyDescent="0.2">
      <c r="A108" s="21"/>
      <c r="B108" s="95" t="s">
        <v>534</v>
      </c>
      <c r="C108" s="96"/>
      <c r="D108" s="2" t="s">
        <v>140</v>
      </c>
      <c r="E108" s="31"/>
      <c r="F108" s="21"/>
      <c r="G108" s="21"/>
    </row>
    <row r="109" spans="1:16" ht="17.100000000000001" customHeight="1" x14ac:dyDescent="0.2">
      <c r="A109" s="21"/>
      <c r="B109" s="95" t="s">
        <v>535</v>
      </c>
      <c r="C109" s="96"/>
      <c r="D109" s="32">
        <v>4.551507827670215</v>
      </c>
      <c r="E109" s="31"/>
      <c r="F109" s="21"/>
      <c r="G109" s="21"/>
    </row>
    <row r="110" spans="1:16" ht="17.100000000000001" customHeight="1" x14ac:dyDescent="0.2">
      <c r="A110" s="21"/>
      <c r="B110" s="95" t="s">
        <v>536</v>
      </c>
      <c r="C110" s="96"/>
      <c r="D110" s="32">
        <v>3.6605034235404235</v>
      </c>
      <c r="E110" s="31"/>
      <c r="F110" s="21"/>
      <c r="G110" s="21"/>
    </row>
    <row r="111" spans="1:16" ht="17.100000000000001" customHeight="1" x14ac:dyDescent="0.2">
      <c r="A111" s="21"/>
      <c r="B111" s="95" t="s">
        <v>537</v>
      </c>
      <c r="C111" s="96"/>
      <c r="D111" s="2" t="s">
        <v>140</v>
      </c>
      <c r="E111" s="31"/>
      <c r="F111" s="21"/>
      <c r="G111" s="21"/>
    </row>
    <row r="112" spans="1:16" ht="11.1" customHeight="1" x14ac:dyDescent="0.2">
      <c r="A112" s="33"/>
      <c r="B112" s="33"/>
      <c r="C112" s="33"/>
      <c r="D112" s="33"/>
      <c r="E112" s="33"/>
      <c r="F112" s="33"/>
      <c r="G112" s="33"/>
    </row>
    <row r="113" spans="2:16" x14ac:dyDescent="0.2">
      <c r="B113" s="123" t="s">
        <v>551</v>
      </c>
      <c r="C113" s="123"/>
      <c r="D113" s="123"/>
      <c r="E113" s="123"/>
      <c r="F113" s="123"/>
      <c r="G113" s="123"/>
      <c r="H113" s="123"/>
    </row>
    <row r="114" spans="2:16" x14ac:dyDescent="0.2">
      <c r="B114" s="40" t="s">
        <v>538</v>
      </c>
      <c r="C114" s="40" t="s">
        <v>539</v>
      </c>
      <c r="D114" s="111" t="s">
        <v>540</v>
      </c>
      <c r="E114" s="111"/>
      <c r="F114" s="111"/>
      <c r="G114" s="110" t="s">
        <v>541</v>
      </c>
      <c r="H114" s="110"/>
      <c r="K114" s="58"/>
      <c r="L114" s="58"/>
      <c r="M114" s="58"/>
      <c r="N114" s="58"/>
      <c r="O114" s="58"/>
      <c r="P114" s="58"/>
    </row>
    <row r="115" spans="2:16" ht="25.5" x14ac:dyDescent="0.2">
      <c r="B115" s="42" t="s">
        <v>542</v>
      </c>
      <c r="C115" s="43" t="s">
        <v>543</v>
      </c>
      <c r="D115" s="124">
        <v>0</v>
      </c>
      <c r="E115" s="124"/>
      <c r="F115" s="124"/>
      <c r="G115" s="124">
        <v>0</v>
      </c>
      <c r="H115" s="124"/>
      <c r="K115" s="58"/>
      <c r="L115" s="58"/>
      <c r="M115" s="58"/>
      <c r="N115" s="58"/>
      <c r="O115" s="58"/>
      <c r="P115" s="58"/>
    </row>
    <row r="116" spans="2:16" x14ac:dyDescent="0.2">
      <c r="B116" s="42"/>
      <c r="C116" s="42"/>
      <c r="D116" s="128"/>
      <c r="E116" s="129"/>
      <c r="F116" s="130"/>
      <c r="G116" s="128"/>
      <c r="H116" s="130"/>
      <c r="K116" s="58"/>
      <c r="L116" s="58"/>
      <c r="M116" s="58"/>
      <c r="N116" s="58"/>
      <c r="O116" s="58"/>
      <c r="P116" s="58"/>
    </row>
    <row r="117" spans="2:16" x14ac:dyDescent="0.2">
      <c r="B117" s="121" t="s">
        <v>544</v>
      </c>
      <c r="C117" s="131"/>
      <c r="D117" s="131"/>
      <c r="E117" s="131"/>
      <c r="F117" s="131"/>
      <c r="G117" s="131"/>
      <c r="H117" s="122"/>
      <c r="K117" s="58"/>
      <c r="L117" s="58"/>
      <c r="M117" s="58"/>
      <c r="N117" s="58"/>
      <c r="O117" s="58"/>
      <c r="P117" s="58"/>
    </row>
    <row r="118" spans="2:16" x14ac:dyDescent="0.2">
      <c r="B118" s="132" t="s">
        <v>538</v>
      </c>
      <c r="C118" s="132" t="s">
        <v>539</v>
      </c>
      <c r="D118" s="133" t="s">
        <v>545</v>
      </c>
      <c r="E118" s="134"/>
      <c r="F118" s="134"/>
      <c r="G118" s="134"/>
      <c r="H118" s="42"/>
      <c r="K118" s="58"/>
      <c r="L118" s="58"/>
      <c r="M118" s="58"/>
      <c r="N118" s="58"/>
      <c r="O118" s="58"/>
      <c r="P118" s="58"/>
    </row>
    <row r="119" spans="2:16" ht="51" x14ac:dyDescent="0.2">
      <c r="B119" s="105"/>
      <c r="C119" s="105"/>
      <c r="D119" s="44" t="s">
        <v>546</v>
      </c>
      <c r="E119" s="44" t="s">
        <v>547</v>
      </c>
      <c r="F119" s="44" t="s">
        <v>548</v>
      </c>
      <c r="G119" s="44" t="s">
        <v>549</v>
      </c>
      <c r="H119" s="44" t="s">
        <v>552</v>
      </c>
      <c r="I119" s="50" t="s">
        <v>553</v>
      </c>
      <c r="J119" s="50" t="s">
        <v>554</v>
      </c>
      <c r="K119" s="58"/>
      <c r="L119" s="58"/>
      <c r="M119" s="58"/>
      <c r="N119" s="58"/>
      <c r="O119" s="58"/>
      <c r="P119" s="58"/>
    </row>
    <row r="120" spans="2:16" ht="25.5" x14ac:dyDescent="0.25">
      <c r="B120" s="45" t="s">
        <v>542</v>
      </c>
      <c r="C120" s="46" t="s">
        <v>543</v>
      </c>
      <c r="D120" s="47">
        <v>200</v>
      </c>
      <c r="E120" s="47">
        <v>6.8852450999999997</v>
      </c>
      <c r="F120" s="48">
        <v>0</v>
      </c>
      <c r="G120" s="47">
        <v>206.88524509999999</v>
      </c>
      <c r="H120" s="49">
        <v>3.39E-2</v>
      </c>
      <c r="I120" s="51">
        <v>610789805.81599987</v>
      </c>
      <c r="J120" s="51">
        <f>G120*10^7</f>
        <v>2068852451</v>
      </c>
      <c r="K120" s="50" t="s">
        <v>555</v>
      </c>
      <c r="L120" s="91"/>
      <c r="M120" s="91"/>
      <c r="N120" s="58"/>
      <c r="O120" s="58"/>
      <c r="P120" s="58"/>
    </row>
    <row r="121" spans="2:16" ht="29.25" customHeight="1" x14ac:dyDescent="0.25">
      <c r="B121" s="125" t="s">
        <v>550</v>
      </c>
      <c r="C121" s="126"/>
      <c r="D121" s="126"/>
      <c r="E121" s="126"/>
      <c r="F121" s="126"/>
      <c r="G121" s="126"/>
      <c r="H121" s="127"/>
      <c r="I121" s="52"/>
      <c r="J121" s="53"/>
      <c r="K121" s="51" t="e">
        <f>J121/I121</f>
        <v>#DIV/0!</v>
      </c>
      <c r="L121" s="91"/>
      <c r="M121" s="91"/>
      <c r="N121" s="58"/>
      <c r="O121" s="58"/>
      <c r="P121" s="58"/>
    </row>
    <row r="122" spans="2:16" x14ac:dyDescent="0.2">
      <c r="K122" s="58"/>
      <c r="L122" s="58"/>
      <c r="M122" s="58"/>
      <c r="N122" s="58"/>
      <c r="O122" s="58"/>
      <c r="P122" s="58"/>
    </row>
  </sheetData>
  <mergeCells count="31">
    <mergeCell ref="K2:O2"/>
    <mergeCell ref="B121:H121"/>
    <mergeCell ref="D116:F116"/>
    <mergeCell ref="G116:H116"/>
    <mergeCell ref="B117:H117"/>
    <mergeCell ref="B118:B119"/>
    <mergeCell ref="C118:C119"/>
    <mergeCell ref="D118:G118"/>
    <mergeCell ref="B108:C108"/>
    <mergeCell ref="B109:C109"/>
    <mergeCell ref="B89:C89"/>
    <mergeCell ref="B102:C102"/>
    <mergeCell ref="A2:I2"/>
    <mergeCell ref="A3:I3"/>
    <mergeCell ref="B104:F104"/>
    <mergeCell ref="A1:I1"/>
    <mergeCell ref="B113:H113"/>
    <mergeCell ref="D114:F114"/>
    <mergeCell ref="G114:H114"/>
    <mergeCell ref="D115:F115"/>
    <mergeCell ref="G115:H115"/>
    <mergeCell ref="B110:C110"/>
    <mergeCell ref="B111:C111"/>
    <mergeCell ref="B106:C106"/>
    <mergeCell ref="B107:C107"/>
    <mergeCell ref="B82:F82"/>
    <mergeCell ref="B83:F83"/>
    <mergeCell ref="B84:F84"/>
    <mergeCell ref="B86:D86"/>
    <mergeCell ref="B87:C87"/>
    <mergeCell ref="B88:C8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49"/>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7109375" customWidth="1"/>
    <col min="11" max="11" width="14.42578125" style="58" bestFit="1" customWidth="1"/>
    <col min="12" max="16" width="9.140625" style="58"/>
  </cols>
  <sheetData>
    <row r="1" spans="1:16" ht="18" customHeight="1" x14ac:dyDescent="0.2">
      <c r="A1" s="103" t="s">
        <v>0</v>
      </c>
      <c r="B1" s="103"/>
      <c r="C1" s="103"/>
      <c r="D1" s="103"/>
      <c r="E1" s="103"/>
      <c r="F1" s="103"/>
      <c r="G1" s="103"/>
      <c r="H1" s="103"/>
      <c r="I1" s="103"/>
    </row>
    <row r="2" spans="1:16" ht="17.100000000000001" customHeight="1" x14ac:dyDescent="0.2">
      <c r="A2" s="103" t="s">
        <v>429</v>
      </c>
      <c r="B2" s="103"/>
      <c r="C2" s="103"/>
      <c r="D2" s="103"/>
      <c r="E2" s="103"/>
      <c r="F2" s="103"/>
      <c r="G2" s="103"/>
      <c r="H2" s="103"/>
      <c r="I2" s="103"/>
      <c r="K2" s="102" t="s">
        <v>627</v>
      </c>
      <c r="L2" s="102"/>
      <c r="M2" s="102"/>
      <c r="N2" s="102"/>
      <c r="O2" s="102"/>
    </row>
    <row r="3" spans="1:16" ht="21" customHeight="1" x14ac:dyDescent="0.2">
      <c r="A3" s="103" t="s">
        <v>620</v>
      </c>
      <c r="B3" s="103"/>
      <c r="C3" s="103"/>
      <c r="D3" s="103"/>
      <c r="E3" s="103"/>
      <c r="F3" s="103"/>
      <c r="G3" s="103"/>
      <c r="H3" s="103"/>
      <c r="I3" s="103"/>
    </row>
    <row r="4" spans="1:16" s="84" customFormat="1" ht="30" x14ac:dyDescent="0.2">
      <c r="A4" s="83" t="s">
        <v>2</v>
      </c>
      <c r="B4" s="83" t="s">
        <v>3</v>
      </c>
      <c r="C4" s="83" t="s">
        <v>4</v>
      </c>
      <c r="D4" s="83" t="s">
        <v>5</v>
      </c>
      <c r="E4" s="83" t="s">
        <v>6</v>
      </c>
      <c r="F4" s="83" t="s">
        <v>7</v>
      </c>
      <c r="G4" s="83" t="s">
        <v>8</v>
      </c>
      <c r="H4" s="80" t="s">
        <v>596</v>
      </c>
      <c r="I4" s="80" t="s">
        <v>599</v>
      </c>
      <c r="K4" s="88"/>
      <c r="L4" s="88"/>
      <c r="M4" s="88"/>
      <c r="N4" s="88"/>
      <c r="O4" s="88"/>
      <c r="P4" s="88"/>
    </row>
    <row r="5" spans="1:16" ht="14.1" customHeight="1" x14ac:dyDescent="0.2">
      <c r="A5" s="1"/>
      <c r="B5" s="1"/>
      <c r="C5" s="2" t="s">
        <v>9</v>
      </c>
      <c r="D5" s="1"/>
      <c r="E5" s="1"/>
      <c r="F5" s="1"/>
      <c r="G5" s="1"/>
      <c r="H5" s="12"/>
      <c r="I5" s="81"/>
    </row>
    <row r="6" spans="1:16" ht="24" customHeight="1" x14ac:dyDescent="0.2">
      <c r="A6" s="1"/>
      <c r="B6" s="1"/>
      <c r="C6" s="2" t="s">
        <v>10</v>
      </c>
      <c r="D6" s="1"/>
      <c r="E6" s="1"/>
      <c r="F6" s="1"/>
      <c r="G6" s="1"/>
      <c r="H6" s="12"/>
      <c r="I6" s="81"/>
    </row>
    <row r="7" spans="1:16" ht="17.100000000000001" customHeight="1" x14ac:dyDescent="0.2">
      <c r="A7" s="9">
        <v>1</v>
      </c>
      <c r="B7" s="10" t="s">
        <v>430</v>
      </c>
      <c r="C7" s="10" t="s">
        <v>431</v>
      </c>
      <c r="D7" s="10" t="s">
        <v>432</v>
      </c>
      <c r="E7" s="11">
        <v>12672</v>
      </c>
      <c r="F7" s="12">
        <v>94.114943999999994</v>
      </c>
      <c r="G7" s="13">
        <v>2.9200546000000001E-2</v>
      </c>
      <c r="H7" s="12"/>
      <c r="I7" s="81"/>
    </row>
    <row r="8" spans="1:16" ht="17.100000000000001" customHeight="1" x14ac:dyDescent="0.2">
      <c r="A8" s="9">
        <v>2</v>
      </c>
      <c r="B8" s="10" t="s">
        <v>433</v>
      </c>
      <c r="C8" s="10" t="s">
        <v>434</v>
      </c>
      <c r="D8" s="10" t="s">
        <v>432</v>
      </c>
      <c r="E8" s="11">
        <v>4914</v>
      </c>
      <c r="F8" s="12">
        <v>70.085925000000003</v>
      </c>
      <c r="G8" s="13">
        <v>2.1745190000000001E-2</v>
      </c>
      <c r="H8" s="12"/>
      <c r="I8" s="81"/>
    </row>
    <row r="9" spans="1:16" ht="17.100000000000001" customHeight="1" x14ac:dyDescent="0.2">
      <c r="A9" s="9">
        <v>3</v>
      </c>
      <c r="B9" s="10" t="s">
        <v>435</v>
      </c>
      <c r="C9" s="10" t="s">
        <v>436</v>
      </c>
      <c r="D9" s="10" t="s">
        <v>437</v>
      </c>
      <c r="E9" s="11">
        <v>2941</v>
      </c>
      <c r="F9" s="12">
        <v>53.430617499999997</v>
      </c>
      <c r="G9" s="13">
        <v>1.6577635E-2</v>
      </c>
      <c r="H9" s="12"/>
      <c r="I9" s="81"/>
    </row>
    <row r="10" spans="1:16" ht="17.100000000000001" customHeight="1" x14ac:dyDescent="0.2">
      <c r="A10" s="9">
        <v>4</v>
      </c>
      <c r="B10" s="10" t="s">
        <v>438</v>
      </c>
      <c r="C10" s="10" t="s">
        <v>439</v>
      </c>
      <c r="D10" s="10" t="s">
        <v>440</v>
      </c>
      <c r="E10" s="11">
        <v>2151</v>
      </c>
      <c r="F10" s="12">
        <v>50.7539205</v>
      </c>
      <c r="G10" s="13">
        <v>1.5747151000000001E-2</v>
      </c>
      <c r="H10" s="12"/>
      <c r="I10" s="81"/>
    </row>
    <row r="11" spans="1:16" ht="29.1" customHeight="1" x14ac:dyDescent="0.2">
      <c r="A11" s="9">
        <v>5</v>
      </c>
      <c r="B11" s="10" t="s">
        <v>441</v>
      </c>
      <c r="C11" s="10" t="s">
        <v>442</v>
      </c>
      <c r="D11" s="10" t="s">
        <v>443</v>
      </c>
      <c r="E11" s="11">
        <v>260</v>
      </c>
      <c r="F11" s="12">
        <v>40.275689999999997</v>
      </c>
      <c r="G11" s="13">
        <v>1.2496125E-2</v>
      </c>
      <c r="H11" s="12"/>
      <c r="I11" s="81"/>
    </row>
    <row r="12" spans="1:16" ht="17.100000000000001" customHeight="1" x14ac:dyDescent="0.25">
      <c r="A12" s="9">
        <v>6</v>
      </c>
      <c r="B12" s="10" t="s">
        <v>444</v>
      </c>
      <c r="C12" s="10" t="s">
        <v>445</v>
      </c>
      <c r="D12" s="10" t="s">
        <v>432</v>
      </c>
      <c r="E12" s="11">
        <v>5120</v>
      </c>
      <c r="F12" s="12">
        <v>38.01088</v>
      </c>
      <c r="G12" s="13">
        <v>1.1793435E-2</v>
      </c>
      <c r="H12" s="12"/>
      <c r="I12" s="81"/>
      <c r="K12" s="89" t="s">
        <v>630</v>
      </c>
      <c r="L12" s="90"/>
      <c r="M12" s="90"/>
      <c r="N12" s="90"/>
      <c r="O12" s="90"/>
    </row>
    <row r="13" spans="1:16" ht="17.100000000000001" customHeight="1" x14ac:dyDescent="0.2">
      <c r="A13" s="9">
        <v>7</v>
      </c>
      <c r="B13" s="10" t="s">
        <v>446</v>
      </c>
      <c r="C13" s="10" t="s">
        <v>447</v>
      </c>
      <c r="D13" s="10" t="s">
        <v>448</v>
      </c>
      <c r="E13" s="11">
        <v>1855</v>
      </c>
      <c r="F13" s="12">
        <v>31.824380000000001</v>
      </c>
      <c r="G13" s="13">
        <v>9.8739819999999999E-3</v>
      </c>
      <c r="H13" s="12"/>
      <c r="I13" s="81"/>
    </row>
    <row r="14" spans="1:16" ht="17.100000000000001" customHeight="1" x14ac:dyDescent="0.2">
      <c r="A14" s="9">
        <v>8</v>
      </c>
      <c r="B14" s="10" t="s">
        <v>449</v>
      </c>
      <c r="C14" s="10" t="s">
        <v>450</v>
      </c>
      <c r="D14" s="10" t="s">
        <v>451</v>
      </c>
      <c r="E14" s="11">
        <v>3116</v>
      </c>
      <c r="F14" s="12">
        <v>26.295923999999999</v>
      </c>
      <c r="G14" s="13">
        <v>8.1586969999999995E-3</v>
      </c>
      <c r="H14" s="12"/>
      <c r="I14" s="81"/>
    </row>
    <row r="15" spans="1:16" ht="17.100000000000001" customHeight="1" x14ac:dyDescent="0.2">
      <c r="A15" s="9">
        <v>9</v>
      </c>
      <c r="B15" s="10" t="s">
        <v>452</v>
      </c>
      <c r="C15" s="10" t="s">
        <v>453</v>
      </c>
      <c r="D15" s="10" t="s">
        <v>454</v>
      </c>
      <c r="E15" s="11">
        <v>3065</v>
      </c>
      <c r="F15" s="12">
        <v>21.041225000000001</v>
      </c>
      <c r="G15" s="13">
        <v>6.5283499999999996E-3</v>
      </c>
      <c r="H15" s="12"/>
      <c r="I15" s="81"/>
    </row>
    <row r="16" spans="1:16" ht="17.100000000000001" customHeight="1" x14ac:dyDescent="0.2">
      <c r="A16" s="9">
        <v>10</v>
      </c>
      <c r="B16" s="10" t="s">
        <v>455</v>
      </c>
      <c r="C16" s="10" t="s">
        <v>456</v>
      </c>
      <c r="D16" s="10" t="s">
        <v>448</v>
      </c>
      <c r="E16" s="11">
        <v>1848</v>
      </c>
      <c r="F16" s="12">
        <v>20.826035999999998</v>
      </c>
      <c r="G16" s="13">
        <v>6.4615840000000003E-3</v>
      </c>
      <c r="H16" s="12"/>
      <c r="I16" s="81"/>
    </row>
    <row r="17" spans="1:16" ht="17.100000000000001" customHeight="1" x14ac:dyDescent="0.2">
      <c r="A17" s="9">
        <v>11</v>
      </c>
      <c r="B17" s="10" t="s">
        <v>457</v>
      </c>
      <c r="C17" s="10" t="s">
        <v>458</v>
      </c>
      <c r="D17" s="10" t="s">
        <v>432</v>
      </c>
      <c r="E17" s="11">
        <v>3845</v>
      </c>
      <c r="F17" s="12">
        <v>18.579039999999999</v>
      </c>
      <c r="G17" s="13">
        <v>5.7644209999999996E-3</v>
      </c>
      <c r="H17" s="12"/>
      <c r="I17" s="81"/>
    </row>
    <row r="18" spans="1:16" ht="29.1" customHeight="1" x14ac:dyDescent="0.2">
      <c r="A18" s="9">
        <v>12</v>
      </c>
      <c r="B18" s="10" t="s">
        <v>459</v>
      </c>
      <c r="C18" s="10" t="s">
        <v>460</v>
      </c>
      <c r="D18" s="10" t="s">
        <v>443</v>
      </c>
      <c r="E18" s="11">
        <v>1812</v>
      </c>
      <c r="F18" s="12">
        <v>17.132459999999998</v>
      </c>
      <c r="G18" s="13">
        <v>5.3155980000000004E-3</v>
      </c>
      <c r="H18" s="12"/>
      <c r="I18" s="81"/>
    </row>
    <row r="19" spans="1:16" ht="17.100000000000001" customHeight="1" x14ac:dyDescent="0.2">
      <c r="A19" s="9">
        <v>13</v>
      </c>
      <c r="B19" s="10" t="s">
        <v>461</v>
      </c>
      <c r="C19" s="10" t="s">
        <v>462</v>
      </c>
      <c r="D19" s="10" t="s">
        <v>463</v>
      </c>
      <c r="E19" s="11">
        <v>881</v>
      </c>
      <c r="F19" s="12">
        <v>17.106817499999998</v>
      </c>
      <c r="G19" s="13">
        <v>5.3076419999999996E-3</v>
      </c>
      <c r="H19" s="12"/>
      <c r="I19" s="81"/>
    </row>
    <row r="20" spans="1:16" ht="17.100000000000001" customHeight="1" x14ac:dyDescent="0.2">
      <c r="A20" s="9">
        <v>14</v>
      </c>
      <c r="B20" s="10" t="s">
        <v>464</v>
      </c>
      <c r="C20" s="10" t="s">
        <v>465</v>
      </c>
      <c r="D20" s="10" t="s">
        <v>451</v>
      </c>
      <c r="E20" s="11">
        <v>1813</v>
      </c>
      <c r="F20" s="12">
        <v>16.7711565</v>
      </c>
      <c r="G20" s="13">
        <v>5.203498E-3</v>
      </c>
      <c r="H20" s="12"/>
      <c r="I20" s="81"/>
    </row>
    <row r="21" spans="1:16" ht="17.100000000000001" customHeight="1" x14ac:dyDescent="0.2">
      <c r="A21" s="9">
        <v>15</v>
      </c>
      <c r="B21" s="10" t="s">
        <v>466</v>
      </c>
      <c r="C21" s="10" t="s">
        <v>467</v>
      </c>
      <c r="D21" s="10" t="s">
        <v>468</v>
      </c>
      <c r="E21" s="11">
        <v>12950</v>
      </c>
      <c r="F21" s="12">
        <v>15.365175000000001</v>
      </c>
      <c r="G21" s="13">
        <v>4.7672720000000003E-3</v>
      </c>
      <c r="H21" s="12"/>
      <c r="I21" s="81"/>
    </row>
    <row r="22" spans="1:16" ht="17.100000000000001" customHeight="1" x14ac:dyDescent="0.2">
      <c r="A22" s="9">
        <v>16</v>
      </c>
      <c r="B22" s="10" t="s">
        <v>469</v>
      </c>
      <c r="C22" s="10" t="s">
        <v>470</v>
      </c>
      <c r="D22" s="79" t="s">
        <v>451</v>
      </c>
      <c r="E22" s="11">
        <v>406</v>
      </c>
      <c r="F22" s="12">
        <v>13.248592</v>
      </c>
      <c r="G22" s="13">
        <v>4.1105710000000004E-3</v>
      </c>
      <c r="H22" s="12"/>
      <c r="I22" s="81"/>
    </row>
    <row r="23" spans="1:16" ht="17.100000000000001" customHeight="1" x14ac:dyDescent="0.2">
      <c r="A23" s="9">
        <v>17</v>
      </c>
      <c r="B23" s="10" t="s">
        <v>471</v>
      </c>
      <c r="C23" s="10" t="s">
        <v>472</v>
      </c>
      <c r="D23" s="10" t="s">
        <v>468</v>
      </c>
      <c r="E23" s="11">
        <v>372</v>
      </c>
      <c r="F23" s="12">
        <v>13.132902</v>
      </c>
      <c r="G23" s="13">
        <v>4.0746760000000002E-3</v>
      </c>
      <c r="H23" s="12"/>
      <c r="I23" s="81"/>
    </row>
    <row r="24" spans="1:16" ht="17.100000000000001" customHeight="1" x14ac:dyDescent="0.2">
      <c r="A24" s="9">
        <v>18</v>
      </c>
      <c r="B24" s="10" t="s">
        <v>473</v>
      </c>
      <c r="C24" s="10" t="s">
        <v>474</v>
      </c>
      <c r="D24" s="10" t="s">
        <v>475</v>
      </c>
      <c r="E24" s="11">
        <v>515</v>
      </c>
      <c r="F24" s="12">
        <v>12.712002500000001</v>
      </c>
      <c r="G24" s="13">
        <v>3.9440860000000003E-3</v>
      </c>
      <c r="H24" s="12"/>
      <c r="I24" s="81"/>
    </row>
    <row r="25" spans="1:16" ht="17.100000000000001" customHeight="1" x14ac:dyDescent="0.2">
      <c r="A25" s="9">
        <v>19</v>
      </c>
      <c r="B25" s="10" t="s">
        <v>476</v>
      </c>
      <c r="C25" s="10" t="s">
        <v>477</v>
      </c>
      <c r="D25" s="10" t="s">
        <v>448</v>
      </c>
      <c r="E25" s="11">
        <v>305</v>
      </c>
      <c r="F25" s="12">
        <v>11.83766</v>
      </c>
      <c r="G25" s="13">
        <v>3.6728080000000001E-3</v>
      </c>
      <c r="H25" s="12"/>
      <c r="I25" s="81"/>
    </row>
    <row r="26" spans="1:16" ht="17.100000000000001" customHeight="1" x14ac:dyDescent="0.2">
      <c r="A26" s="9">
        <v>20</v>
      </c>
      <c r="B26" s="10" t="s">
        <v>478</v>
      </c>
      <c r="C26" s="10" t="s">
        <v>479</v>
      </c>
      <c r="D26" s="10" t="s">
        <v>432</v>
      </c>
      <c r="E26" s="11">
        <v>5313</v>
      </c>
      <c r="F26" s="12">
        <v>11.6009355</v>
      </c>
      <c r="G26" s="13">
        <v>3.5993610000000001E-3</v>
      </c>
      <c r="H26" s="12"/>
      <c r="I26" s="81"/>
    </row>
    <row r="27" spans="1:16" ht="29.1" customHeight="1" x14ac:dyDescent="0.2">
      <c r="A27" s="9">
        <v>21</v>
      </c>
      <c r="B27" s="10" t="s">
        <v>480</v>
      </c>
      <c r="C27" s="10" t="s">
        <v>481</v>
      </c>
      <c r="D27" s="10" t="s">
        <v>443</v>
      </c>
      <c r="E27" s="11">
        <v>1145</v>
      </c>
      <c r="F27" s="12">
        <v>10.1349675</v>
      </c>
      <c r="G27" s="13">
        <v>3.1445230000000002E-3</v>
      </c>
      <c r="H27" s="12"/>
      <c r="I27" s="81"/>
    </row>
    <row r="28" spans="1:16" ht="17.100000000000001" customHeight="1" x14ac:dyDescent="0.2">
      <c r="A28" s="9">
        <v>22</v>
      </c>
      <c r="B28" s="10" t="s">
        <v>482</v>
      </c>
      <c r="C28" s="10" t="s">
        <v>483</v>
      </c>
      <c r="D28" s="10" t="s">
        <v>484</v>
      </c>
      <c r="E28" s="11">
        <v>125</v>
      </c>
      <c r="F28" s="12">
        <v>8.2098750000000003</v>
      </c>
      <c r="G28" s="13">
        <v>2.5472350000000001E-3</v>
      </c>
      <c r="H28" s="12"/>
      <c r="I28" s="81"/>
    </row>
    <row r="29" spans="1:16" ht="17.100000000000001" customHeight="1" x14ac:dyDescent="0.25">
      <c r="A29" s="9">
        <v>23</v>
      </c>
      <c r="B29" s="10" t="s">
        <v>485</v>
      </c>
      <c r="C29" s="10" t="s">
        <v>486</v>
      </c>
      <c r="D29" s="10" t="s">
        <v>487</v>
      </c>
      <c r="E29" s="11">
        <v>1429</v>
      </c>
      <c r="F29" s="12">
        <v>4.9564864999999996</v>
      </c>
      <c r="G29" s="13">
        <v>1.537823E-3</v>
      </c>
      <c r="H29" s="12"/>
      <c r="I29" s="81"/>
      <c r="K29" s="89"/>
      <c r="L29" s="90"/>
      <c r="M29" s="90"/>
      <c r="N29" s="90"/>
      <c r="O29" s="90"/>
      <c r="P29"/>
    </row>
    <row r="30" spans="1:16" ht="17.100000000000001" customHeight="1" x14ac:dyDescent="0.2">
      <c r="A30" s="9">
        <v>24</v>
      </c>
      <c r="B30" s="10" t="s">
        <v>488</v>
      </c>
      <c r="C30" s="10" t="s">
        <v>590</v>
      </c>
      <c r="D30" s="79" t="s">
        <v>454</v>
      </c>
      <c r="E30" s="11">
        <v>218</v>
      </c>
      <c r="F30" s="12">
        <v>0.71558500000000003</v>
      </c>
      <c r="G30" s="13">
        <v>2.2202100000000001E-4</v>
      </c>
      <c r="H30" s="12"/>
      <c r="I30" s="81"/>
      <c r="P30"/>
    </row>
    <row r="31" spans="1:16" ht="14.1" customHeight="1" x14ac:dyDescent="0.2">
      <c r="A31" s="1"/>
      <c r="B31" s="1"/>
      <c r="C31" s="2" t="s">
        <v>11</v>
      </c>
      <c r="D31" s="1"/>
      <c r="E31" s="1" t="s">
        <v>12</v>
      </c>
      <c r="F31" s="7">
        <f>SUM(F7:F30)</f>
        <v>618.16319700000008</v>
      </c>
      <c r="G31" s="8">
        <f>SUM(G7:G30)</f>
        <v>0.19179422999999998</v>
      </c>
      <c r="H31" s="12"/>
      <c r="I31" s="81"/>
      <c r="P31"/>
    </row>
    <row r="32" spans="1:16" ht="14.1" customHeight="1" x14ac:dyDescent="0.2">
      <c r="A32" s="1"/>
      <c r="B32" s="1"/>
      <c r="C32" s="5"/>
      <c r="D32" s="1"/>
      <c r="E32" s="1"/>
      <c r="F32" s="6"/>
      <c r="G32" s="6"/>
      <c r="H32" s="12"/>
      <c r="I32" s="81"/>
      <c r="P32"/>
    </row>
    <row r="33" spans="1:16" ht="14.1" customHeight="1" x14ac:dyDescent="0.2">
      <c r="A33" s="1"/>
      <c r="B33" s="1"/>
      <c r="C33" s="2" t="s">
        <v>13</v>
      </c>
      <c r="D33" s="1"/>
      <c r="E33" s="1"/>
      <c r="F33" s="1"/>
      <c r="G33" s="1"/>
      <c r="H33" s="12"/>
      <c r="I33" s="81"/>
      <c r="P33"/>
    </row>
    <row r="34" spans="1:16" ht="14.1" customHeight="1" x14ac:dyDescent="0.2">
      <c r="A34" s="1"/>
      <c r="B34" s="1"/>
      <c r="C34" s="2" t="s">
        <v>11</v>
      </c>
      <c r="D34" s="1"/>
      <c r="E34" s="1" t="s">
        <v>12</v>
      </c>
      <c r="F34" s="3">
        <v>0</v>
      </c>
      <c r="G34" s="4">
        <v>0</v>
      </c>
      <c r="H34" s="12"/>
      <c r="I34" s="81"/>
      <c r="P34"/>
    </row>
    <row r="35" spans="1:16" ht="14.1" customHeight="1" x14ac:dyDescent="0.2">
      <c r="A35" s="1"/>
      <c r="B35" s="1"/>
      <c r="C35" s="5"/>
      <c r="D35" s="1"/>
      <c r="E35" s="1"/>
      <c r="F35" s="6"/>
      <c r="G35" s="6"/>
      <c r="H35" s="12"/>
      <c r="I35" s="81"/>
      <c r="P35"/>
    </row>
    <row r="36" spans="1:16" ht="14.1" customHeight="1" x14ac:dyDescent="0.2">
      <c r="A36" s="1"/>
      <c r="B36" s="1"/>
      <c r="C36" s="2" t="s">
        <v>14</v>
      </c>
      <c r="D36" s="1"/>
      <c r="E36" s="1"/>
      <c r="F36" s="1"/>
      <c r="G36" s="1"/>
      <c r="H36" s="12"/>
      <c r="I36" s="81"/>
      <c r="P36"/>
    </row>
    <row r="37" spans="1:16" ht="14.1" customHeight="1" x14ac:dyDescent="0.2">
      <c r="A37" s="1"/>
      <c r="B37" s="1"/>
      <c r="C37" s="2" t="s">
        <v>11</v>
      </c>
      <c r="D37" s="1"/>
      <c r="E37" s="1" t="s">
        <v>12</v>
      </c>
      <c r="F37" s="3">
        <v>0</v>
      </c>
      <c r="G37" s="4">
        <v>0</v>
      </c>
      <c r="H37" s="12"/>
      <c r="I37" s="81"/>
      <c r="P37"/>
    </row>
    <row r="38" spans="1:16" ht="14.1" customHeight="1" x14ac:dyDescent="0.2">
      <c r="A38" s="1"/>
      <c r="B38" s="1"/>
      <c r="C38" s="5"/>
      <c r="D38" s="1"/>
      <c r="E38" s="1"/>
      <c r="F38" s="6"/>
      <c r="G38" s="6"/>
      <c r="H38" s="12"/>
      <c r="I38" s="81"/>
      <c r="P38"/>
    </row>
    <row r="39" spans="1:16" ht="14.1" customHeight="1" x14ac:dyDescent="0.2">
      <c r="A39" s="1"/>
      <c r="B39" s="1"/>
      <c r="C39" s="2" t="s">
        <v>15</v>
      </c>
      <c r="D39" s="1"/>
      <c r="E39" s="1"/>
      <c r="F39" s="1"/>
      <c r="G39" s="1"/>
      <c r="H39" s="12"/>
      <c r="I39" s="81"/>
      <c r="P39"/>
    </row>
    <row r="40" spans="1:16" ht="14.1" customHeight="1" x14ac:dyDescent="0.2">
      <c r="A40" s="1"/>
      <c r="B40" s="1"/>
      <c r="C40" s="2" t="s">
        <v>11</v>
      </c>
      <c r="D40" s="1"/>
      <c r="E40" s="1" t="s">
        <v>12</v>
      </c>
      <c r="F40" s="7">
        <v>0</v>
      </c>
      <c r="G40" s="8">
        <v>0</v>
      </c>
      <c r="H40" s="12"/>
      <c r="I40" s="81"/>
      <c r="P40"/>
    </row>
    <row r="41" spans="1:16" ht="14.1" customHeight="1" x14ac:dyDescent="0.2">
      <c r="A41" s="1"/>
      <c r="B41" s="1"/>
      <c r="C41" s="5"/>
      <c r="D41" s="1"/>
      <c r="E41" s="1"/>
      <c r="F41" s="6"/>
      <c r="G41" s="6"/>
      <c r="H41" s="12"/>
      <c r="I41" s="81"/>
      <c r="P41"/>
    </row>
    <row r="42" spans="1:16" ht="14.1" customHeight="1" x14ac:dyDescent="0.2">
      <c r="A42" s="1"/>
      <c r="B42" s="1"/>
      <c r="C42" s="2" t="s">
        <v>16</v>
      </c>
      <c r="D42" s="1"/>
      <c r="E42" s="1"/>
      <c r="F42" s="6"/>
      <c r="G42" s="6"/>
      <c r="H42" s="12"/>
      <c r="I42" s="81"/>
      <c r="P42"/>
    </row>
    <row r="43" spans="1:16" ht="14.1" customHeight="1" x14ac:dyDescent="0.2">
      <c r="A43" s="1"/>
      <c r="B43" s="1"/>
      <c r="C43" s="2" t="s">
        <v>11</v>
      </c>
      <c r="D43" s="1"/>
      <c r="E43" s="1" t="s">
        <v>12</v>
      </c>
      <c r="F43" s="3">
        <v>0</v>
      </c>
      <c r="G43" s="4">
        <v>0</v>
      </c>
      <c r="H43" s="12"/>
      <c r="I43" s="81"/>
      <c r="P43"/>
    </row>
    <row r="44" spans="1:16" ht="14.1" customHeight="1" x14ac:dyDescent="0.2">
      <c r="A44" s="1"/>
      <c r="B44" s="1"/>
      <c r="C44" s="5"/>
      <c r="D44" s="1"/>
      <c r="E44" s="1"/>
      <c r="F44" s="6"/>
      <c r="G44" s="6"/>
      <c r="H44" s="12"/>
      <c r="I44" s="81"/>
      <c r="P44"/>
    </row>
    <row r="45" spans="1:16" ht="14.1" customHeight="1" x14ac:dyDescent="0.2">
      <c r="A45" s="1"/>
      <c r="B45" s="1"/>
      <c r="C45" s="2" t="s">
        <v>17</v>
      </c>
      <c r="D45" s="1"/>
      <c r="E45" s="1"/>
      <c r="F45" s="6"/>
      <c r="G45" s="6"/>
      <c r="H45" s="12"/>
      <c r="I45" s="81"/>
    </row>
    <row r="46" spans="1:16" ht="14.1" customHeight="1" x14ac:dyDescent="0.2">
      <c r="A46" s="1"/>
      <c r="B46" s="1"/>
      <c r="C46" s="2" t="s">
        <v>11</v>
      </c>
      <c r="D46" s="1"/>
      <c r="E46" s="1" t="s">
        <v>12</v>
      </c>
      <c r="F46" s="3">
        <v>0</v>
      </c>
      <c r="G46" s="4">
        <v>0</v>
      </c>
      <c r="H46" s="12"/>
      <c r="I46" s="81"/>
    </row>
    <row r="47" spans="1:16" ht="14.1" customHeight="1" x14ac:dyDescent="0.2">
      <c r="A47" s="1"/>
      <c r="B47" s="1"/>
      <c r="C47" s="5"/>
      <c r="D47" s="1"/>
      <c r="E47" s="1"/>
      <c r="F47" s="6"/>
      <c r="G47" s="6"/>
      <c r="H47" s="12"/>
      <c r="I47" s="81"/>
    </row>
    <row r="48" spans="1:16" ht="18" customHeight="1" x14ac:dyDescent="0.2">
      <c r="A48" s="1"/>
      <c r="B48" s="1"/>
      <c r="C48" s="2" t="s">
        <v>18</v>
      </c>
      <c r="D48" s="1"/>
      <c r="E48" s="1"/>
      <c r="F48" s="7">
        <v>618.16319699999997</v>
      </c>
      <c r="G48" s="8">
        <v>0.19179423000000001</v>
      </c>
      <c r="H48" s="12"/>
      <c r="I48" s="81"/>
    </row>
    <row r="49" spans="1:9" ht="14.1" customHeight="1" x14ac:dyDescent="0.2">
      <c r="A49" s="1"/>
      <c r="B49" s="1"/>
      <c r="C49" s="5"/>
      <c r="D49" s="1"/>
      <c r="E49" s="1"/>
      <c r="F49" s="6"/>
      <c r="G49" s="6"/>
      <c r="H49" s="12"/>
      <c r="I49" s="81"/>
    </row>
    <row r="50" spans="1:9" ht="14.1" customHeight="1" x14ac:dyDescent="0.2">
      <c r="A50" s="1"/>
      <c r="B50" s="1"/>
      <c r="C50" s="2" t="s">
        <v>19</v>
      </c>
      <c r="D50" s="1"/>
      <c r="E50" s="1"/>
      <c r="F50" s="6"/>
      <c r="G50" s="6"/>
      <c r="H50" s="12"/>
      <c r="I50" s="81"/>
    </row>
    <row r="51" spans="1:9" ht="24" customHeight="1" x14ac:dyDescent="0.2">
      <c r="A51" s="1"/>
      <c r="B51" s="1"/>
      <c r="C51" s="2" t="s">
        <v>10</v>
      </c>
      <c r="D51" s="1"/>
      <c r="E51" s="1"/>
      <c r="F51" s="6"/>
      <c r="G51" s="6"/>
      <c r="H51" s="12"/>
      <c r="I51" s="81"/>
    </row>
    <row r="52" spans="1:9" ht="17.100000000000001" customHeight="1" x14ac:dyDescent="0.2">
      <c r="A52" s="9">
        <v>1</v>
      </c>
      <c r="B52" s="10" t="s">
        <v>215</v>
      </c>
      <c r="C52" s="10" t="s">
        <v>216</v>
      </c>
      <c r="D52" s="10" t="s">
        <v>22</v>
      </c>
      <c r="E52" s="11">
        <v>22</v>
      </c>
      <c r="F52" s="12">
        <v>220.58256</v>
      </c>
      <c r="G52" s="13">
        <v>6.8438984999999994E-2</v>
      </c>
      <c r="H52" s="12">
        <v>3.6999</v>
      </c>
      <c r="I52" s="81"/>
    </row>
    <row r="53" spans="1:9" ht="38.25" x14ac:dyDescent="0.2">
      <c r="A53" s="9">
        <v>2</v>
      </c>
      <c r="B53" s="10" t="s">
        <v>489</v>
      </c>
      <c r="C53" s="10" t="s">
        <v>598</v>
      </c>
      <c r="D53" s="10" t="s">
        <v>490</v>
      </c>
      <c r="E53" s="11">
        <v>20</v>
      </c>
      <c r="F53" s="12">
        <v>201.6096</v>
      </c>
      <c r="G53" s="13">
        <v>6.2552344999999995E-2</v>
      </c>
      <c r="H53" s="12">
        <v>8.7202999999999999</v>
      </c>
      <c r="I53" s="81">
        <v>4.42</v>
      </c>
    </row>
    <row r="54" spans="1:9" ht="29.1" customHeight="1" x14ac:dyDescent="0.2">
      <c r="A54" s="9">
        <v>3</v>
      </c>
      <c r="B54" s="10" t="s">
        <v>209</v>
      </c>
      <c r="C54" s="10" t="s">
        <v>210</v>
      </c>
      <c r="D54" s="10" t="s">
        <v>591</v>
      </c>
      <c r="E54" s="11">
        <v>20</v>
      </c>
      <c r="F54" s="12">
        <v>200.9768</v>
      </c>
      <c r="G54" s="13">
        <v>6.2356010000000003E-2</v>
      </c>
      <c r="H54" s="12">
        <v>3.96</v>
      </c>
      <c r="I54" s="81"/>
    </row>
    <row r="55" spans="1:9" ht="29.1" customHeight="1" x14ac:dyDescent="0.2">
      <c r="A55" s="9">
        <v>4</v>
      </c>
      <c r="B55" s="10" t="s">
        <v>221</v>
      </c>
      <c r="C55" s="10" t="s">
        <v>222</v>
      </c>
      <c r="D55" s="10" t="s">
        <v>22</v>
      </c>
      <c r="E55" s="11">
        <v>20</v>
      </c>
      <c r="F55" s="12">
        <v>200.42420000000001</v>
      </c>
      <c r="G55" s="13">
        <v>6.2184557000000001E-2</v>
      </c>
      <c r="H55" s="12">
        <v>3.7147000000000001</v>
      </c>
      <c r="I55" s="81"/>
    </row>
    <row r="56" spans="1:9" ht="29.1" customHeight="1" x14ac:dyDescent="0.2">
      <c r="A56" s="9">
        <v>5</v>
      </c>
      <c r="B56" s="10" t="s">
        <v>213</v>
      </c>
      <c r="C56" s="10" t="s">
        <v>214</v>
      </c>
      <c r="D56" s="10" t="s">
        <v>22</v>
      </c>
      <c r="E56" s="11">
        <v>20</v>
      </c>
      <c r="F56" s="12">
        <v>200.166</v>
      </c>
      <c r="G56" s="13">
        <v>6.2104447E-2</v>
      </c>
      <c r="H56" s="12">
        <v>3.67</v>
      </c>
      <c r="I56" s="81"/>
    </row>
    <row r="57" spans="1:9" ht="29.1" customHeight="1" x14ac:dyDescent="0.2">
      <c r="A57" s="9">
        <v>6</v>
      </c>
      <c r="B57" s="10" t="s">
        <v>211</v>
      </c>
      <c r="C57" s="10" t="s">
        <v>212</v>
      </c>
      <c r="D57" s="10" t="s">
        <v>22</v>
      </c>
      <c r="E57" s="11">
        <v>13</v>
      </c>
      <c r="F57" s="12">
        <v>130.26936000000001</v>
      </c>
      <c r="G57" s="13">
        <v>4.0417986000000003E-2</v>
      </c>
      <c r="H57" s="12">
        <v>3.6850000000000001</v>
      </c>
      <c r="I57" s="81"/>
    </row>
    <row r="58" spans="1:9" ht="29.1" customHeight="1" x14ac:dyDescent="0.2">
      <c r="A58" s="9">
        <v>7</v>
      </c>
      <c r="B58" s="10" t="s">
        <v>234</v>
      </c>
      <c r="C58" s="10" t="s">
        <v>235</v>
      </c>
      <c r="D58" s="10" t="s">
        <v>593</v>
      </c>
      <c r="E58" s="11">
        <v>12738</v>
      </c>
      <c r="F58" s="12">
        <v>107.66246766</v>
      </c>
      <c r="G58" s="13">
        <v>3.3403864999999998E-2</v>
      </c>
      <c r="H58" s="12">
        <v>10.68</v>
      </c>
      <c r="I58" s="81"/>
    </row>
    <row r="59" spans="1:9" ht="14.1" customHeight="1" x14ac:dyDescent="0.2">
      <c r="A59" s="1"/>
      <c r="B59" s="1"/>
      <c r="C59" s="2" t="s">
        <v>11</v>
      </c>
      <c r="D59" s="1"/>
      <c r="E59" s="1" t="s">
        <v>12</v>
      </c>
      <c r="F59" s="7">
        <v>1261.69098766</v>
      </c>
      <c r="G59" s="8">
        <v>0.39145819500000001</v>
      </c>
      <c r="H59" s="12"/>
      <c r="I59" s="81"/>
    </row>
    <row r="60" spans="1:9" ht="14.1" customHeight="1" x14ac:dyDescent="0.2">
      <c r="A60" s="1"/>
      <c r="B60" s="1"/>
      <c r="C60" s="5"/>
      <c r="D60" s="1"/>
      <c r="E60" s="1"/>
      <c r="F60" s="6"/>
      <c r="G60" s="6"/>
      <c r="H60" s="12"/>
      <c r="I60" s="81"/>
    </row>
    <row r="61" spans="1:9" ht="14.1" customHeight="1" x14ac:dyDescent="0.2">
      <c r="A61" s="1"/>
      <c r="B61" s="1"/>
      <c r="C61" s="2" t="s">
        <v>102</v>
      </c>
      <c r="D61" s="1"/>
      <c r="E61" s="1"/>
      <c r="F61" s="1"/>
      <c r="G61" s="1"/>
      <c r="H61" s="12"/>
      <c r="I61" s="81"/>
    </row>
    <row r="62" spans="1:9" ht="14.1" customHeight="1" x14ac:dyDescent="0.2">
      <c r="A62" s="1"/>
      <c r="B62" s="1"/>
      <c r="C62" s="2" t="s">
        <v>11</v>
      </c>
      <c r="D62" s="1"/>
      <c r="E62" s="1" t="s">
        <v>12</v>
      </c>
      <c r="F62" s="3">
        <v>0</v>
      </c>
      <c r="G62" s="4">
        <v>0</v>
      </c>
      <c r="H62" s="12"/>
      <c r="I62" s="81"/>
    </row>
    <row r="63" spans="1:9" ht="14.1" customHeight="1" x14ac:dyDescent="0.2">
      <c r="A63" s="1"/>
      <c r="B63" s="1"/>
      <c r="C63" s="5"/>
      <c r="D63" s="1"/>
      <c r="E63" s="1"/>
      <c r="F63" s="6"/>
      <c r="G63" s="6"/>
      <c r="H63" s="12"/>
      <c r="I63" s="81"/>
    </row>
    <row r="64" spans="1:9" ht="14.1" customHeight="1" x14ac:dyDescent="0.2">
      <c r="A64" s="1"/>
      <c r="B64" s="1"/>
      <c r="C64" s="2" t="s">
        <v>103</v>
      </c>
      <c r="D64" s="1"/>
      <c r="E64" s="1"/>
      <c r="F64" s="1"/>
      <c r="G64" s="1"/>
      <c r="H64" s="12"/>
      <c r="I64" s="81"/>
    </row>
    <row r="65" spans="1:9" ht="29.1" customHeight="1" x14ac:dyDescent="0.2">
      <c r="A65" s="9">
        <v>1</v>
      </c>
      <c r="B65" s="10" t="s">
        <v>198</v>
      </c>
      <c r="C65" s="10" t="s">
        <v>199</v>
      </c>
      <c r="D65" s="10" t="s">
        <v>106</v>
      </c>
      <c r="E65" s="11">
        <v>500000</v>
      </c>
      <c r="F65" s="12">
        <v>494.57100000000003</v>
      </c>
      <c r="G65" s="13">
        <v>0.15344793100000001</v>
      </c>
      <c r="H65" s="12">
        <v>5.5830000000000002</v>
      </c>
      <c r="I65" s="81"/>
    </row>
    <row r="66" spans="1:9" ht="29.1" customHeight="1" x14ac:dyDescent="0.2">
      <c r="A66" s="9">
        <v>2</v>
      </c>
      <c r="B66" s="10" t="s">
        <v>491</v>
      </c>
      <c r="C66" s="10" t="s">
        <v>492</v>
      </c>
      <c r="D66" s="10" t="s">
        <v>106</v>
      </c>
      <c r="E66" s="11">
        <v>500000</v>
      </c>
      <c r="F66" s="12">
        <v>476.92500000000001</v>
      </c>
      <c r="G66" s="13">
        <v>0.14797299899999999</v>
      </c>
      <c r="H66" s="12">
        <v>6.7721</v>
      </c>
      <c r="I66" s="81"/>
    </row>
    <row r="67" spans="1:9" ht="14.1" customHeight="1" x14ac:dyDescent="0.2">
      <c r="A67" s="1"/>
      <c r="B67" s="1"/>
      <c r="C67" s="2" t="s">
        <v>11</v>
      </c>
      <c r="D67" s="1"/>
      <c r="E67" s="1" t="s">
        <v>12</v>
      </c>
      <c r="F67" s="7">
        <v>971.49599999999998</v>
      </c>
      <c r="G67" s="8">
        <v>0.30142092999999998</v>
      </c>
      <c r="H67" s="12"/>
      <c r="I67" s="81"/>
    </row>
    <row r="68" spans="1:9" ht="14.1" customHeight="1" x14ac:dyDescent="0.2">
      <c r="A68" s="1"/>
      <c r="B68" s="1"/>
      <c r="C68" s="5"/>
      <c r="D68" s="1"/>
      <c r="E68" s="1"/>
      <c r="F68" s="6"/>
      <c r="G68" s="6"/>
      <c r="H68" s="12"/>
      <c r="I68" s="81"/>
    </row>
    <row r="69" spans="1:9" ht="14.1" customHeight="1" x14ac:dyDescent="0.2">
      <c r="A69" s="1"/>
      <c r="B69" s="1"/>
      <c r="C69" s="2" t="s">
        <v>119</v>
      </c>
      <c r="D69" s="1"/>
      <c r="E69" s="1"/>
      <c r="F69" s="6"/>
      <c r="G69" s="6"/>
      <c r="H69" s="12"/>
      <c r="I69" s="81"/>
    </row>
    <row r="70" spans="1:9" ht="14.1" customHeight="1" x14ac:dyDescent="0.2">
      <c r="A70" s="1"/>
      <c r="B70" s="1"/>
      <c r="C70" s="2" t="s">
        <v>11</v>
      </c>
      <c r="D70" s="1"/>
      <c r="E70" s="1" t="s">
        <v>12</v>
      </c>
      <c r="F70" s="3">
        <v>0</v>
      </c>
      <c r="G70" s="4">
        <v>0</v>
      </c>
      <c r="H70" s="12"/>
      <c r="I70" s="81"/>
    </row>
    <row r="71" spans="1:9" ht="14.1" customHeight="1" x14ac:dyDescent="0.2">
      <c r="A71" s="1"/>
      <c r="B71" s="1"/>
      <c r="C71" s="5"/>
      <c r="D71" s="1"/>
      <c r="E71" s="1"/>
      <c r="F71" s="6"/>
      <c r="G71" s="6"/>
      <c r="H71" s="12"/>
      <c r="I71" s="81"/>
    </row>
    <row r="72" spans="1:9" ht="14.1" customHeight="1" x14ac:dyDescent="0.2">
      <c r="A72" s="1"/>
      <c r="B72" s="1"/>
      <c r="C72" s="2" t="s">
        <v>120</v>
      </c>
      <c r="D72" s="1"/>
      <c r="E72" s="1"/>
      <c r="F72" s="7">
        <v>2233.1869876599999</v>
      </c>
      <c r="G72" s="8">
        <v>0.69287912500000004</v>
      </c>
      <c r="H72" s="12"/>
      <c r="I72" s="81"/>
    </row>
    <row r="73" spans="1:9" ht="14.1" customHeight="1" x14ac:dyDescent="0.2">
      <c r="A73" s="1"/>
      <c r="B73" s="1"/>
      <c r="C73" s="5"/>
      <c r="D73" s="1"/>
      <c r="E73" s="1"/>
      <c r="F73" s="6"/>
      <c r="G73" s="6"/>
      <c r="H73" s="12"/>
      <c r="I73" s="81"/>
    </row>
    <row r="74" spans="1:9" ht="14.1" customHeight="1" x14ac:dyDescent="0.2">
      <c r="A74" s="1"/>
      <c r="B74" s="1"/>
      <c r="C74" s="2" t="s">
        <v>121</v>
      </c>
      <c r="D74" s="1"/>
      <c r="E74" s="1"/>
      <c r="F74" s="6"/>
      <c r="G74" s="6"/>
      <c r="H74" s="12"/>
      <c r="I74" s="81"/>
    </row>
    <row r="75" spans="1:9" ht="14.1" customHeight="1" x14ac:dyDescent="0.2">
      <c r="A75" s="1"/>
      <c r="B75" s="1"/>
      <c r="C75" s="2" t="s">
        <v>122</v>
      </c>
      <c r="D75" s="1"/>
      <c r="E75" s="1"/>
      <c r="F75" s="6"/>
      <c r="G75" s="6"/>
      <c r="H75" s="12"/>
      <c r="I75" s="81"/>
    </row>
    <row r="76" spans="1:9" ht="14.1" customHeight="1" x14ac:dyDescent="0.2">
      <c r="A76" s="1"/>
      <c r="B76" s="1"/>
      <c r="C76" s="2" t="s">
        <v>11</v>
      </c>
      <c r="D76" s="1"/>
      <c r="E76" s="1" t="s">
        <v>12</v>
      </c>
      <c r="F76" s="3">
        <v>0</v>
      </c>
      <c r="G76" s="4">
        <v>0</v>
      </c>
      <c r="H76" s="12"/>
      <c r="I76" s="81"/>
    </row>
    <row r="77" spans="1:9" ht="14.1" customHeight="1" x14ac:dyDescent="0.2">
      <c r="A77" s="1"/>
      <c r="B77" s="1"/>
      <c r="C77" s="5"/>
      <c r="D77" s="1"/>
      <c r="E77" s="1"/>
      <c r="F77" s="6"/>
      <c r="G77" s="6"/>
      <c r="H77" s="12"/>
      <c r="I77" s="81"/>
    </row>
    <row r="78" spans="1:9" ht="14.1" customHeight="1" x14ac:dyDescent="0.2">
      <c r="A78" s="1"/>
      <c r="B78" s="1"/>
      <c r="C78" s="2" t="s">
        <v>123</v>
      </c>
      <c r="D78" s="1"/>
      <c r="E78" s="1"/>
      <c r="F78" s="6"/>
      <c r="G78" s="6"/>
      <c r="H78" s="12"/>
      <c r="I78" s="81"/>
    </row>
    <row r="79" spans="1:9" ht="14.1" customHeight="1" x14ac:dyDescent="0.2">
      <c r="A79" s="1"/>
      <c r="B79" s="1"/>
      <c r="C79" s="2" t="s">
        <v>11</v>
      </c>
      <c r="D79" s="1"/>
      <c r="E79" s="1" t="s">
        <v>12</v>
      </c>
      <c r="F79" s="3">
        <v>0</v>
      </c>
      <c r="G79" s="4">
        <v>0</v>
      </c>
      <c r="H79" s="12"/>
      <c r="I79" s="81"/>
    </row>
    <row r="80" spans="1:9" ht="14.1" customHeight="1" x14ac:dyDescent="0.2">
      <c r="A80" s="1"/>
      <c r="B80" s="1"/>
      <c r="C80" s="5"/>
      <c r="D80" s="1"/>
      <c r="E80" s="1"/>
      <c r="F80" s="6"/>
      <c r="G80" s="6"/>
      <c r="H80" s="12"/>
      <c r="I80" s="81"/>
    </row>
    <row r="81" spans="1:9" ht="14.1" customHeight="1" x14ac:dyDescent="0.2">
      <c r="A81" s="1"/>
      <c r="B81" s="1"/>
      <c r="C81" s="2" t="s">
        <v>124</v>
      </c>
      <c r="D81" s="1"/>
      <c r="E81" s="1"/>
      <c r="F81" s="6"/>
      <c r="G81" s="6"/>
      <c r="H81" s="12"/>
      <c r="I81" s="81"/>
    </row>
    <row r="82" spans="1:9" ht="14.1" customHeight="1" x14ac:dyDescent="0.2">
      <c r="A82" s="1"/>
      <c r="B82" s="1"/>
      <c r="C82" s="2" t="s">
        <v>11</v>
      </c>
      <c r="D82" s="1"/>
      <c r="E82" s="1" t="s">
        <v>12</v>
      </c>
      <c r="F82" s="3">
        <v>0</v>
      </c>
      <c r="G82" s="4">
        <v>0</v>
      </c>
      <c r="H82" s="12"/>
      <c r="I82" s="81"/>
    </row>
    <row r="83" spans="1:9" ht="14.1" customHeight="1" x14ac:dyDescent="0.2">
      <c r="A83" s="1"/>
      <c r="B83" s="1"/>
      <c r="C83" s="5"/>
      <c r="D83" s="1"/>
      <c r="E83" s="1"/>
      <c r="F83" s="6"/>
      <c r="G83" s="6"/>
      <c r="H83" s="12"/>
      <c r="I83" s="81"/>
    </row>
    <row r="84" spans="1:9" ht="14.1" customHeight="1" x14ac:dyDescent="0.2">
      <c r="A84" s="1"/>
      <c r="B84" s="1"/>
      <c r="C84" s="2" t="s">
        <v>125</v>
      </c>
      <c r="D84" s="1"/>
      <c r="E84" s="1"/>
      <c r="F84" s="6"/>
      <c r="G84" s="6"/>
      <c r="H84" s="12"/>
      <c r="I84" s="81"/>
    </row>
    <row r="85" spans="1:9" ht="17.100000000000001" customHeight="1" x14ac:dyDescent="0.2">
      <c r="A85" s="9">
        <v>1</v>
      </c>
      <c r="B85" s="10"/>
      <c r="C85" s="10" t="s">
        <v>126</v>
      </c>
      <c r="D85" s="10"/>
      <c r="E85" s="14"/>
      <c r="F85" s="12">
        <v>212.9554053</v>
      </c>
      <c r="G85" s="13">
        <v>6.6072547999999995E-2</v>
      </c>
      <c r="H85" s="12">
        <v>3.2903893505936708</v>
      </c>
      <c r="I85" s="81"/>
    </row>
    <row r="86" spans="1:9" ht="17.100000000000001" customHeight="1" x14ac:dyDescent="0.2">
      <c r="A86" s="9">
        <v>2</v>
      </c>
      <c r="B86" s="10"/>
      <c r="C86" s="10" t="s">
        <v>127</v>
      </c>
      <c r="D86" s="10"/>
      <c r="E86" s="14"/>
      <c r="F86" s="12">
        <v>94.361485400000007</v>
      </c>
      <c r="G86" s="13">
        <v>2.9277039000000001E-2</v>
      </c>
      <c r="H86" s="12">
        <v>3.2766870282233538</v>
      </c>
      <c r="I86" s="81"/>
    </row>
    <row r="87" spans="1:9" ht="14.1" customHeight="1" x14ac:dyDescent="0.2">
      <c r="A87" s="1"/>
      <c r="B87" s="1"/>
      <c r="C87" s="2" t="s">
        <v>11</v>
      </c>
      <c r="D87" s="1"/>
      <c r="E87" s="1" t="s">
        <v>12</v>
      </c>
      <c r="F87" s="7">
        <v>307.31689069999999</v>
      </c>
      <c r="G87" s="8">
        <v>9.5349587E-2</v>
      </c>
      <c r="H87" s="12"/>
      <c r="I87" s="81"/>
    </row>
    <row r="88" spans="1:9" ht="14.1" customHeight="1" x14ac:dyDescent="0.2">
      <c r="A88" s="1"/>
      <c r="B88" s="1"/>
      <c r="C88" s="5"/>
      <c r="D88" s="1"/>
      <c r="E88" s="1"/>
      <c r="F88" s="6"/>
      <c r="G88" s="6"/>
      <c r="H88" s="12"/>
      <c r="I88" s="81"/>
    </row>
    <row r="89" spans="1:9" ht="14.1" customHeight="1" x14ac:dyDescent="0.2">
      <c r="A89" s="1"/>
      <c r="B89" s="1"/>
      <c r="C89" s="2" t="s">
        <v>128</v>
      </c>
      <c r="D89" s="1"/>
      <c r="E89" s="1"/>
      <c r="F89" s="7">
        <v>307.31689069999999</v>
      </c>
      <c r="G89" s="8">
        <v>9.5349587E-2</v>
      </c>
      <c r="H89" s="12"/>
      <c r="I89" s="81"/>
    </row>
    <row r="90" spans="1:9" ht="14.1" customHeight="1" x14ac:dyDescent="0.2">
      <c r="A90" s="1"/>
      <c r="B90" s="1"/>
      <c r="C90" s="6"/>
      <c r="D90" s="1"/>
      <c r="E90" s="1"/>
      <c r="F90" s="1"/>
      <c r="G90" s="1"/>
      <c r="H90" s="12"/>
      <c r="I90" s="81"/>
    </row>
    <row r="91" spans="1:9" ht="14.1" customHeight="1" x14ac:dyDescent="0.2">
      <c r="A91" s="1"/>
      <c r="B91" s="1"/>
      <c r="C91" s="2" t="s">
        <v>129</v>
      </c>
      <c r="D91" s="1"/>
      <c r="E91" s="1"/>
      <c r="F91" s="1"/>
      <c r="G91" s="1"/>
      <c r="H91" s="12"/>
      <c r="I91" s="81"/>
    </row>
    <row r="92" spans="1:9" ht="14.1" customHeight="1" x14ac:dyDescent="0.2">
      <c r="A92" s="1"/>
      <c r="B92" s="1"/>
      <c r="C92" s="2" t="s">
        <v>130</v>
      </c>
      <c r="D92" s="1"/>
      <c r="E92" s="1"/>
      <c r="F92" s="1"/>
      <c r="G92" s="1"/>
      <c r="H92" s="12"/>
      <c r="I92" s="81"/>
    </row>
    <row r="93" spans="1:9" ht="14.1" customHeight="1" x14ac:dyDescent="0.2">
      <c r="A93" s="1"/>
      <c r="B93" s="1"/>
      <c r="C93" s="2" t="s">
        <v>11</v>
      </c>
      <c r="D93" s="1"/>
      <c r="E93" s="1" t="s">
        <v>12</v>
      </c>
      <c r="F93" s="3">
        <v>0</v>
      </c>
      <c r="G93" s="4">
        <v>0</v>
      </c>
      <c r="H93" s="12"/>
      <c r="I93" s="81"/>
    </row>
    <row r="94" spans="1:9" ht="14.1" customHeight="1" x14ac:dyDescent="0.2">
      <c r="A94" s="1"/>
      <c r="B94" s="1"/>
      <c r="C94" s="5"/>
      <c r="D94" s="1"/>
      <c r="E94" s="1"/>
      <c r="F94" s="6"/>
      <c r="G94" s="6"/>
      <c r="H94" s="12"/>
      <c r="I94" s="81"/>
    </row>
    <row r="95" spans="1:9" ht="14.1" customHeight="1" x14ac:dyDescent="0.2">
      <c r="A95" s="1"/>
      <c r="B95" s="1"/>
      <c r="C95" s="2" t="s">
        <v>131</v>
      </c>
      <c r="D95" s="1"/>
      <c r="E95" s="1"/>
      <c r="F95" s="1"/>
      <c r="G95" s="1"/>
      <c r="H95" s="12"/>
      <c r="I95" s="81"/>
    </row>
    <row r="96" spans="1:9" ht="14.1" customHeight="1" x14ac:dyDescent="0.2">
      <c r="A96" s="1"/>
      <c r="B96" s="1"/>
      <c r="C96" s="2" t="s">
        <v>132</v>
      </c>
      <c r="D96" s="1"/>
      <c r="E96" s="1"/>
      <c r="F96" s="1"/>
      <c r="G96" s="1"/>
      <c r="H96" s="12"/>
      <c r="I96" s="81"/>
    </row>
    <row r="97" spans="1:9" ht="14.1" customHeight="1" x14ac:dyDescent="0.2">
      <c r="A97" s="1"/>
      <c r="B97" s="1"/>
      <c r="C97" s="2" t="s">
        <v>11</v>
      </c>
      <c r="D97" s="1"/>
      <c r="E97" s="1" t="s">
        <v>12</v>
      </c>
      <c r="F97" s="3">
        <v>0</v>
      </c>
      <c r="G97" s="4">
        <v>0</v>
      </c>
      <c r="H97" s="12"/>
      <c r="I97" s="81"/>
    </row>
    <row r="98" spans="1:9" ht="14.1" customHeight="1" x14ac:dyDescent="0.2">
      <c r="A98" s="1"/>
      <c r="B98" s="1"/>
      <c r="C98" s="5"/>
      <c r="D98" s="1"/>
      <c r="E98" s="1"/>
      <c r="F98" s="6"/>
      <c r="G98" s="6"/>
      <c r="H98" s="12"/>
      <c r="I98" s="81"/>
    </row>
    <row r="99" spans="1:9" ht="24" customHeight="1" x14ac:dyDescent="0.2">
      <c r="A99" s="1"/>
      <c r="B99" s="1"/>
      <c r="C99" s="2" t="s">
        <v>133</v>
      </c>
      <c r="D99" s="1"/>
      <c r="E99" s="1"/>
      <c r="F99" s="6"/>
      <c r="G99" s="6"/>
      <c r="H99" s="12"/>
      <c r="I99" s="81"/>
    </row>
    <row r="100" spans="1:9" ht="14.1" customHeight="1" x14ac:dyDescent="0.2">
      <c r="A100" s="1"/>
      <c r="B100" s="1"/>
      <c r="C100" s="2" t="s">
        <v>11</v>
      </c>
      <c r="D100" s="1"/>
      <c r="E100" s="1" t="s">
        <v>12</v>
      </c>
      <c r="F100" s="3">
        <v>0</v>
      </c>
      <c r="G100" s="4">
        <v>0</v>
      </c>
      <c r="H100" s="12"/>
      <c r="I100" s="81"/>
    </row>
    <row r="101" spans="1:9" ht="14.1" customHeight="1" x14ac:dyDescent="0.2">
      <c r="A101" s="1"/>
      <c r="B101" s="1"/>
      <c r="C101" s="5"/>
      <c r="D101" s="1"/>
      <c r="E101" s="1"/>
      <c r="F101" s="6"/>
      <c r="G101" s="6"/>
      <c r="H101" s="12"/>
      <c r="I101" s="81"/>
    </row>
    <row r="102" spans="1:9" ht="14.1" customHeight="1" x14ac:dyDescent="0.2">
      <c r="A102" s="1"/>
      <c r="B102" s="10"/>
      <c r="C102" s="10"/>
      <c r="D102" s="2"/>
      <c r="E102" s="1"/>
      <c r="F102" s="10"/>
      <c r="G102" s="14"/>
      <c r="H102" s="12"/>
      <c r="I102" s="81"/>
    </row>
    <row r="103" spans="1:9" ht="18" customHeight="1" x14ac:dyDescent="0.2">
      <c r="A103" s="14"/>
      <c r="B103" s="10"/>
      <c r="C103" s="10" t="s">
        <v>134</v>
      </c>
      <c r="D103" s="10"/>
      <c r="E103" s="14"/>
      <c r="F103" s="12">
        <v>64.387143199999997</v>
      </c>
      <c r="G103" s="13">
        <v>1.9977058999999998E-2</v>
      </c>
      <c r="H103" s="12"/>
      <c r="I103" s="81"/>
    </row>
    <row r="104" spans="1:9" ht="14.1" customHeight="1" x14ac:dyDescent="0.2">
      <c r="A104" s="5"/>
      <c r="B104" s="5"/>
      <c r="C104" s="2" t="s">
        <v>135</v>
      </c>
      <c r="D104" s="6"/>
      <c r="E104" s="6"/>
      <c r="F104" s="7">
        <v>3223.0542185600002</v>
      </c>
      <c r="G104" s="8">
        <v>1.0000000010000001</v>
      </c>
      <c r="H104" s="12"/>
      <c r="I104" s="81"/>
    </row>
    <row r="105" spans="1:9" ht="14.1" customHeight="1" x14ac:dyDescent="0.2">
      <c r="A105" s="15"/>
      <c r="B105" s="15"/>
      <c r="C105" s="15"/>
      <c r="D105" s="16"/>
      <c r="E105" s="16"/>
      <c r="F105" s="16"/>
      <c r="G105" s="16"/>
    </row>
    <row r="106" spans="1:9" ht="17.100000000000001" customHeight="1" x14ac:dyDescent="0.2">
      <c r="A106" s="17"/>
      <c r="B106" s="98" t="s">
        <v>136</v>
      </c>
      <c r="C106" s="98"/>
      <c r="D106" s="98"/>
      <c r="E106" s="98"/>
      <c r="F106" s="98"/>
      <c r="G106" s="19"/>
    </row>
    <row r="107" spans="1:9" ht="17.100000000000001" customHeight="1" x14ac:dyDescent="0.2">
      <c r="A107" s="17"/>
      <c r="B107" s="98" t="s">
        <v>137</v>
      </c>
      <c r="C107" s="98"/>
      <c r="D107" s="98"/>
      <c r="E107" s="98"/>
      <c r="F107" s="98"/>
      <c r="G107" s="19"/>
    </row>
    <row r="108" spans="1:9" ht="14.1" customHeight="1" x14ac:dyDescent="0.2">
      <c r="A108" s="17"/>
      <c r="B108" s="98" t="s">
        <v>12</v>
      </c>
      <c r="C108" s="98"/>
      <c r="D108" s="98"/>
      <c r="E108" s="98"/>
      <c r="F108" s="98"/>
      <c r="G108" s="19"/>
    </row>
    <row r="109" spans="1:9" ht="14.1" customHeight="1" x14ac:dyDescent="0.2">
      <c r="A109" s="17"/>
      <c r="B109" s="17"/>
      <c r="C109" s="17"/>
      <c r="D109" s="19"/>
      <c r="E109" s="19"/>
      <c r="F109" s="19"/>
      <c r="G109" s="19"/>
    </row>
    <row r="110" spans="1:9" ht="14.1" customHeight="1" x14ac:dyDescent="0.2">
      <c r="A110" s="17"/>
      <c r="B110" s="99" t="s">
        <v>138</v>
      </c>
      <c r="C110" s="100"/>
      <c r="D110" s="101"/>
      <c r="E110" s="20"/>
      <c r="F110" s="19"/>
      <c r="G110" s="19"/>
    </row>
    <row r="111" spans="1:9" ht="29.1" customHeight="1" x14ac:dyDescent="0.2">
      <c r="A111" s="17"/>
      <c r="B111" s="95" t="s">
        <v>139</v>
      </c>
      <c r="C111" s="96"/>
      <c r="D111" s="2" t="s">
        <v>567</v>
      </c>
      <c r="E111" s="20"/>
      <c r="F111" s="19"/>
      <c r="G111" s="19"/>
    </row>
    <row r="112" spans="1:9" ht="17.100000000000001" customHeight="1" x14ac:dyDescent="0.2">
      <c r="A112" s="17"/>
      <c r="B112" s="95" t="s">
        <v>141</v>
      </c>
      <c r="C112" s="96"/>
      <c r="D112" s="2" t="s">
        <v>140</v>
      </c>
      <c r="E112" s="20"/>
      <c r="F112" s="19"/>
      <c r="G112" s="19"/>
    </row>
    <row r="113" spans="1:10" ht="17.100000000000001" customHeight="1" x14ac:dyDescent="0.2">
      <c r="A113" s="17"/>
      <c r="B113" s="95" t="s">
        <v>142</v>
      </c>
      <c r="C113" s="96"/>
      <c r="D113" s="6" t="s">
        <v>12</v>
      </c>
      <c r="E113" s="20"/>
      <c r="F113" s="19"/>
      <c r="G113" s="19"/>
    </row>
    <row r="114" spans="1:10" ht="24" customHeight="1" x14ac:dyDescent="0.2">
      <c r="A114" s="21"/>
      <c r="B114" s="22" t="s">
        <v>12</v>
      </c>
      <c r="C114" s="22" t="s">
        <v>143</v>
      </c>
      <c r="D114" s="22" t="s">
        <v>144</v>
      </c>
      <c r="E114" s="21"/>
      <c r="F114" s="21"/>
      <c r="G114" s="21"/>
    </row>
    <row r="115" spans="1:10" ht="18" customHeight="1" x14ac:dyDescent="0.2">
      <c r="A115" s="21"/>
      <c r="B115" s="23" t="s">
        <v>145</v>
      </c>
      <c r="C115" s="22" t="s">
        <v>146</v>
      </c>
      <c r="D115" s="22" t="s">
        <v>147</v>
      </c>
      <c r="E115" s="21"/>
      <c r="F115" s="21"/>
      <c r="G115" s="21"/>
    </row>
    <row r="116" spans="1:10" ht="17.100000000000001" customHeight="1" x14ac:dyDescent="0.2">
      <c r="A116" s="21"/>
      <c r="B116" s="10" t="s">
        <v>148</v>
      </c>
      <c r="C116" s="24">
        <v>25.224299999999999</v>
      </c>
      <c r="D116" s="24">
        <v>25.103100000000001</v>
      </c>
      <c r="E116" s="21"/>
      <c r="F116" s="18"/>
      <c r="G116" s="25"/>
    </row>
    <row r="117" spans="1:10" ht="29.1" customHeight="1" x14ac:dyDescent="0.2">
      <c r="A117" s="21"/>
      <c r="B117" s="10" t="s">
        <v>600</v>
      </c>
      <c r="C117" s="24">
        <v>13.366199999999999</v>
      </c>
      <c r="D117" s="24">
        <v>13.302</v>
      </c>
      <c r="E117" s="21"/>
      <c r="F117" s="18"/>
      <c r="G117" s="25"/>
    </row>
    <row r="118" spans="1:10" ht="29.1" customHeight="1" x14ac:dyDescent="0.2">
      <c r="A118" s="21"/>
      <c r="B118" s="10" t="s">
        <v>601</v>
      </c>
      <c r="C118" s="24">
        <v>16.935300000000002</v>
      </c>
      <c r="D118" s="24">
        <v>16.853899999999999</v>
      </c>
      <c r="E118" s="21"/>
      <c r="F118" s="18"/>
      <c r="G118" s="25"/>
    </row>
    <row r="119" spans="1:10" ht="29.1" customHeight="1" x14ac:dyDescent="0.2">
      <c r="A119" s="21"/>
      <c r="B119" s="10" t="s">
        <v>602</v>
      </c>
      <c r="C119" s="24">
        <v>17.078399999999998</v>
      </c>
      <c r="D119" s="24">
        <v>16.996400000000001</v>
      </c>
      <c r="E119" s="21"/>
      <c r="F119" s="18"/>
      <c r="G119" s="25"/>
    </row>
    <row r="120" spans="1:10" ht="17.100000000000001" customHeight="1" x14ac:dyDescent="0.2">
      <c r="A120" s="21"/>
      <c r="B120" s="10" t="s">
        <v>149</v>
      </c>
      <c r="C120" s="24">
        <v>23.630700000000001</v>
      </c>
      <c r="D120" s="24">
        <v>23.4999</v>
      </c>
      <c r="E120" s="21"/>
      <c r="F120" s="18"/>
      <c r="G120" s="25"/>
    </row>
    <row r="121" spans="1:10" ht="29.1" customHeight="1" x14ac:dyDescent="0.2">
      <c r="A121" s="21"/>
      <c r="B121" s="10" t="s">
        <v>604</v>
      </c>
      <c r="C121" s="24">
        <v>13.2613</v>
      </c>
      <c r="D121" s="24">
        <v>13.187900000000001</v>
      </c>
      <c r="E121" s="21"/>
      <c r="F121" s="18"/>
      <c r="G121" s="25"/>
    </row>
    <row r="122" spans="1:10" ht="29.1" customHeight="1" x14ac:dyDescent="0.2">
      <c r="A122" s="21"/>
      <c r="B122" s="10" t="s">
        <v>605</v>
      </c>
      <c r="C122" s="24">
        <v>15.798400000000001</v>
      </c>
      <c r="D122" s="24">
        <v>15.710900000000001</v>
      </c>
      <c r="E122" s="21"/>
      <c r="F122" s="18"/>
      <c r="G122" s="25"/>
    </row>
    <row r="123" spans="1:10" ht="29.1" customHeight="1" x14ac:dyDescent="0.2">
      <c r="A123" s="21"/>
      <c r="B123" s="10" t="s">
        <v>606</v>
      </c>
      <c r="C123" s="24">
        <v>15.8827</v>
      </c>
      <c r="D123" s="24">
        <v>15.7948</v>
      </c>
      <c r="E123" s="21"/>
      <c r="F123" s="18"/>
      <c r="G123" s="25"/>
    </row>
    <row r="124" spans="1:10" ht="14.1" customHeight="1" x14ac:dyDescent="0.2">
      <c r="A124" s="21"/>
      <c r="B124" s="21"/>
      <c r="C124" s="21"/>
      <c r="D124" s="21"/>
      <c r="E124" s="21"/>
      <c r="F124" s="21"/>
      <c r="G124" s="21"/>
    </row>
    <row r="125" spans="1:10" ht="17.100000000000001" customHeight="1" x14ac:dyDescent="0.2">
      <c r="A125" s="21"/>
      <c r="B125" s="95" t="s">
        <v>608</v>
      </c>
      <c r="C125" s="96"/>
      <c r="D125" s="2" t="s">
        <v>12</v>
      </c>
      <c r="E125" s="21"/>
      <c r="F125" s="21"/>
      <c r="G125" s="21"/>
    </row>
    <row r="126" spans="1:10" ht="18" customHeight="1" x14ac:dyDescent="0.2">
      <c r="A126" s="21"/>
      <c r="B126" s="33"/>
      <c r="C126" s="33"/>
      <c r="D126" s="33"/>
      <c r="E126" s="21"/>
      <c r="F126" s="21"/>
      <c r="G126" s="21"/>
    </row>
    <row r="127" spans="1:10" x14ac:dyDescent="0.2">
      <c r="A127" s="82"/>
      <c r="B127" s="104" t="s">
        <v>619</v>
      </c>
      <c r="C127" s="104"/>
      <c r="D127" s="104"/>
      <c r="E127" s="104"/>
      <c r="F127" s="104"/>
      <c r="G127" s="82"/>
      <c r="I127" s="58"/>
      <c r="J127" s="58"/>
    </row>
    <row r="128" spans="1:10" ht="14.1" customHeight="1" x14ac:dyDescent="0.2">
      <c r="A128" s="21"/>
      <c r="B128" s="18"/>
      <c r="C128" s="18"/>
      <c r="D128" s="21"/>
      <c r="E128" s="21"/>
      <c r="F128" s="21"/>
      <c r="G128" s="21"/>
    </row>
    <row r="129" spans="1:16" ht="29.1" customHeight="1" x14ac:dyDescent="0.2">
      <c r="A129" s="21"/>
      <c r="B129" s="95" t="s">
        <v>153</v>
      </c>
      <c r="C129" s="96"/>
      <c r="D129" s="2" t="s">
        <v>140</v>
      </c>
      <c r="E129" s="31"/>
      <c r="F129" s="21"/>
      <c r="G129" s="21"/>
    </row>
    <row r="130" spans="1:16" ht="29.1" customHeight="1" x14ac:dyDescent="0.2">
      <c r="A130" s="21"/>
      <c r="B130" s="95" t="s">
        <v>154</v>
      </c>
      <c r="C130" s="96"/>
      <c r="D130" s="2" t="s">
        <v>140</v>
      </c>
      <c r="E130" s="31"/>
      <c r="F130" s="21"/>
      <c r="G130" s="21"/>
    </row>
    <row r="131" spans="1:16" ht="17.100000000000001" customHeight="1" x14ac:dyDescent="0.2">
      <c r="A131" s="21"/>
      <c r="B131" s="95" t="s">
        <v>530</v>
      </c>
      <c r="C131" s="96"/>
      <c r="D131" s="32">
        <v>3.6334757948278531</v>
      </c>
      <c r="E131" s="31"/>
      <c r="F131" s="21"/>
      <c r="G131" s="21"/>
    </row>
    <row r="132" spans="1:16" ht="17.100000000000001" customHeight="1" x14ac:dyDescent="0.2">
      <c r="A132" s="21"/>
      <c r="B132" s="95" t="s">
        <v>531</v>
      </c>
      <c r="C132" s="96"/>
      <c r="D132" s="32">
        <v>2.6670779145335124</v>
      </c>
      <c r="E132" s="31"/>
      <c r="F132" s="21"/>
      <c r="G132" s="21"/>
    </row>
    <row r="133" spans="1:16" ht="17.100000000000001" customHeight="1" x14ac:dyDescent="0.2">
      <c r="A133" s="21"/>
      <c r="B133" s="95" t="s">
        <v>157</v>
      </c>
      <c r="C133" s="96"/>
      <c r="D133" s="2" t="s">
        <v>140</v>
      </c>
      <c r="E133" s="31"/>
      <c r="F133" s="21"/>
      <c r="G133" s="21"/>
    </row>
    <row r="134" spans="1:16" ht="14.1" customHeight="1" x14ac:dyDescent="0.2">
      <c r="A134" s="21"/>
      <c r="B134" s="97"/>
      <c r="C134" s="97"/>
      <c r="D134" s="30"/>
      <c r="E134" s="21"/>
      <c r="F134" s="18"/>
      <c r="G134" s="25"/>
      <c r="K134"/>
      <c r="L134"/>
      <c r="M134"/>
      <c r="N134"/>
      <c r="O134"/>
      <c r="P134"/>
    </row>
    <row r="135" spans="1:16" x14ac:dyDescent="0.2">
      <c r="B135" s="123" t="s">
        <v>566</v>
      </c>
      <c r="C135" s="123"/>
      <c r="D135" s="123"/>
      <c r="E135" s="123"/>
      <c r="F135" s="123"/>
      <c r="G135" s="123"/>
      <c r="H135" s="123"/>
    </row>
    <row r="136" spans="1:16" x14ac:dyDescent="0.2">
      <c r="B136" s="41" t="s">
        <v>538</v>
      </c>
      <c r="C136" s="41" t="s">
        <v>539</v>
      </c>
      <c r="D136" s="111" t="s">
        <v>540</v>
      </c>
      <c r="E136" s="111"/>
      <c r="F136" s="111"/>
      <c r="G136" s="110" t="s">
        <v>541</v>
      </c>
      <c r="H136" s="110"/>
    </row>
    <row r="137" spans="1:16" ht="25.5" x14ac:dyDescent="0.2">
      <c r="B137" s="42" t="s">
        <v>556</v>
      </c>
      <c r="C137" s="43" t="s">
        <v>557</v>
      </c>
      <c r="D137" s="108">
        <v>0</v>
      </c>
      <c r="E137" s="108"/>
      <c r="F137" s="108"/>
      <c r="G137" s="108">
        <v>0</v>
      </c>
      <c r="H137" s="108"/>
    </row>
    <row r="138" spans="1:16" x14ac:dyDescent="0.2">
      <c r="B138" s="42"/>
      <c r="C138" s="42"/>
      <c r="D138" s="109"/>
      <c r="E138" s="109"/>
      <c r="F138" s="109"/>
      <c r="G138" s="109"/>
      <c r="H138" s="109"/>
    </row>
    <row r="139" spans="1:16" x14ac:dyDescent="0.2">
      <c r="B139" s="110" t="s">
        <v>558</v>
      </c>
      <c r="C139" s="110"/>
      <c r="D139" s="110"/>
      <c r="E139" s="110"/>
      <c r="F139" s="110"/>
      <c r="G139" s="110"/>
      <c r="H139" s="110"/>
    </row>
    <row r="140" spans="1:16" x14ac:dyDescent="0.2">
      <c r="B140" s="105" t="s">
        <v>538</v>
      </c>
      <c r="C140" s="105" t="s">
        <v>539</v>
      </c>
      <c r="D140" s="105" t="s">
        <v>545</v>
      </c>
      <c r="E140" s="105"/>
      <c r="F140" s="105"/>
      <c r="G140" s="105"/>
      <c r="H140" s="106" t="s">
        <v>559</v>
      </c>
    </row>
    <row r="141" spans="1:16" ht="63.75" x14ac:dyDescent="0.2">
      <c r="B141" s="105"/>
      <c r="C141" s="105"/>
      <c r="D141" s="44" t="s">
        <v>546</v>
      </c>
      <c r="E141" s="44" t="s">
        <v>560</v>
      </c>
      <c r="F141" s="44" t="s">
        <v>561</v>
      </c>
      <c r="G141" s="44" t="s">
        <v>549</v>
      </c>
      <c r="H141" s="107"/>
    </row>
    <row r="142" spans="1:16" ht="25.5" x14ac:dyDescent="0.2">
      <c r="B142" s="42" t="s">
        <v>556</v>
      </c>
      <c r="C142" s="43" t="s">
        <v>562</v>
      </c>
      <c r="D142" s="54">
        <v>500</v>
      </c>
      <c r="E142" s="54">
        <v>9.9405737999999992</v>
      </c>
      <c r="F142" s="55">
        <v>16.00737140547945</v>
      </c>
      <c r="G142" s="54">
        <v>525.94794520547941</v>
      </c>
      <c r="H142" s="56">
        <v>233.40679</v>
      </c>
    </row>
    <row r="145" spans="2:8" x14ac:dyDescent="0.2">
      <c r="B145" s="57" t="s">
        <v>563</v>
      </c>
    </row>
    <row r="146" spans="2:8" x14ac:dyDescent="0.2">
      <c r="B146" s="58"/>
      <c r="C146" s="58"/>
      <c r="D146" s="58"/>
      <c r="E146" s="58"/>
      <c r="F146" s="58"/>
      <c r="G146" s="58"/>
      <c r="H146" s="58"/>
    </row>
    <row r="147" spans="2:8" x14ac:dyDescent="0.2">
      <c r="B147" s="59" t="s">
        <v>564</v>
      </c>
      <c r="C147" s="58"/>
      <c r="D147" s="58"/>
      <c r="E147" s="58"/>
      <c r="F147" s="58"/>
      <c r="G147" s="58"/>
      <c r="H147" s="58"/>
    </row>
    <row r="148" spans="2:8" x14ac:dyDescent="0.2">
      <c r="B148" s="58"/>
      <c r="C148" s="58"/>
      <c r="D148" s="58"/>
      <c r="E148" s="58"/>
      <c r="F148" s="58"/>
      <c r="G148" s="58"/>
      <c r="H148" s="58"/>
    </row>
    <row r="149" spans="2:8" x14ac:dyDescent="0.2">
      <c r="B149" s="59" t="s">
        <v>565</v>
      </c>
      <c r="C149" s="58"/>
      <c r="D149" s="58"/>
      <c r="E149" s="58"/>
      <c r="F149" s="58"/>
      <c r="G149" s="58"/>
      <c r="H149" s="58"/>
    </row>
  </sheetData>
  <mergeCells count="31">
    <mergeCell ref="K2:O2"/>
    <mergeCell ref="B112:C112"/>
    <mergeCell ref="B113:C113"/>
    <mergeCell ref="B125:C125"/>
    <mergeCell ref="A1:I1"/>
    <mergeCell ref="B106:F106"/>
    <mergeCell ref="B107:F107"/>
    <mergeCell ref="B108:F108"/>
    <mergeCell ref="B110:D110"/>
    <mergeCell ref="B111:C111"/>
    <mergeCell ref="A2:I2"/>
    <mergeCell ref="A3:I3"/>
    <mergeCell ref="B139:H139"/>
    <mergeCell ref="B140:B141"/>
    <mergeCell ref="C140:C141"/>
    <mergeCell ref="D140:G140"/>
    <mergeCell ref="H140:H141"/>
    <mergeCell ref="B127:F127"/>
    <mergeCell ref="D138:F138"/>
    <mergeCell ref="G138:H138"/>
    <mergeCell ref="B135:H135"/>
    <mergeCell ref="D136:F136"/>
    <mergeCell ref="G136:H136"/>
    <mergeCell ref="D137:F137"/>
    <mergeCell ref="G137:H137"/>
    <mergeCell ref="B130:C130"/>
    <mergeCell ref="B131:C131"/>
    <mergeCell ref="B132:C132"/>
    <mergeCell ref="B133:C133"/>
    <mergeCell ref="B134:C134"/>
    <mergeCell ref="B129:C129"/>
  </mergeCells>
  <hyperlinks>
    <hyperlink ref="B147" r:id="rId1" xr:uid="{974E12F3-F9F3-4550-9486-1D9CC587349D}"/>
    <hyperlink ref="B149" r:id="rId2" xr:uid="{F71A76FE-D214-4C71-BACA-ECB700C983AC}"/>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58"/>
  </cols>
  <sheetData>
    <row r="1" spans="1:15" ht="18" customHeight="1" x14ac:dyDescent="0.2">
      <c r="A1" s="103" t="s">
        <v>0</v>
      </c>
      <c r="B1" s="103"/>
      <c r="C1" s="103"/>
      <c r="D1" s="103"/>
      <c r="E1" s="103"/>
      <c r="F1" s="103"/>
      <c r="G1" s="103"/>
      <c r="H1" s="103"/>
    </row>
    <row r="2" spans="1:15" ht="17.100000000000001" customHeight="1" x14ac:dyDescent="0.2">
      <c r="A2" s="103" t="s">
        <v>493</v>
      </c>
      <c r="B2" s="103"/>
      <c r="C2" s="103"/>
      <c r="D2" s="103"/>
      <c r="E2" s="103"/>
      <c r="F2" s="103"/>
      <c r="G2" s="103"/>
      <c r="H2" s="103"/>
      <c r="J2" s="102" t="s">
        <v>627</v>
      </c>
      <c r="K2" s="102"/>
      <c r="L2" s="102"/>
      <c r="M2" s="102"/>
      <c r="N2" s="102"/>
    </row>
    <row r="3" spans="1:15" ht="21" customHeight="1" x14ac:dyDescent="0.2">
      <c r="A3" s="103" t="s">
        <v>620</v>
      </c>
      <c r="B3" s="103"/>
      <c r="C3" s="103"/>
      <c r="D3" s="103"/>
      <c r="E3" s="103"/>
      <c r="F3" s="103"/>
      <c r="G3" s="103"/>
      <c r="H3" s="103"/>
    </row>
    <row r="4" spans="1:15" s="84" customFormat="1" ht="30" x14ac:dyDescent="0.2">
      <c r="A4" s="83" t="s">
        <v>2</v>
      </c>
      <c r="B4" s="83" t="s">
        <v>3</v>
      </c>
      <c r="C4" s="83" t="s">
        <v>4</v>
      </c>
      <c r="D4" s="83" t="s">
        <v>5</v>
      </c>
      <c r="E4" s="83" t="s">
        <v>6</v>
      </c>
      <c r="F4" s="83" t="s">
        <v>7</v>
      </c>
      <c r="G4" s="83" t="s">
        <v>8</v>
      </c>
      <c r="H4" s="80" t="s">
        <v>596</v>
      </c>
      <c r="I4" s="88"/>
      <c r="J4" s="88"/>
      <c r="K4" s="88"/>
      <c r="L4" s="88"/>
      <c r="M4" s="88"/>
      <c r="N4" s="88"/>
      <c r="O4" s="88"/>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89" t="s">
        <v>628</v>
      </c>
      <c r="K16" s="90"/>
      <c r="L16" s="90"/>
      <c r="M16" s="90"/>
      <c r="N16" s="90"/>
      <c r="O16" s="90"/>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14.1" customHeight="1" x14ac:dyDescent="0.2">
      <c r="A28" s="1"/>
      <c r="B28" s="1"/>
      <c r="C28" s="2" t="s">
        <v>11</v>
      </c>
      <c r="D28" s="1"/>
      <c r="E28" s="1" t="s">
        <v>12</v>
      </c>
      <c r="F28" s="3">
        <v>0</v>
      </c>
      <c r="G28" s="4">
        <v>0</v>
      </c>
      <c r="H28" s="12"/>
    </row>
    <row r="29" spans="1:15" ht="14.1" customHeight="1" x14ac:dyDescent="0.2">
      <c r="A29" s="1"/>
      <c r="B29" s="1"/>
      <c r="C29" s="5"/>
      <c r="D29" s="1"/>
      <c r="E29" s="1"/>
      <c r="F29" s="6"/>
      <c r="G29" s="6"/>
      <c r="H29" s="12"/>
    </row>
    <row r="30" spans="1:15" ht="14.1" customHeight="1" x14ac:dyDescent="0.2">
      <c r="A30" s="1"/>
      <c r="B30" s="1"/>
      <c r="C30" s="2" t="s">
        <v>102</v>
      </c>
      <c r="D30" s="1"/>
      <c r="E30" s="1"/>
      <c r="F30" s="1"/>
      <c r="G30" s="1"/>
      <c r="H30" s="12"/>
    </row>
    <row r="31" spans="1:15" ht="14.1" customHeight="1" x14ac:dyDescent="0.25">
      <c r="A31" s="1"/>
      <c r="B31" s="1"/>
      <c r="C31" s="2" t="s">
        <v>11</v>
      </c>
      <c r="D31" s="1"/>
      <c r="E31" s="1" t="s">
        <v>12</v>
      </c>
      <c r="F31" s="3">
        <v>0</v>
      </c>
      <c r="G31" s="4">
        <v>0</v>
      </c>
      <c r="H31" s="12"/>
      <c r="J31" s="89" t="s">
        <v>629</v>
      </c>
      <c r="K31" s="90"/>
      <c r="L31" s="90"/>
      <c r="M31" s="90"/>
      <c r="N31" s="90"/>
      <c r="O31"/>
    </row>
    <row r="32" spans="1:15" ht="14.1" customHeight="1" x14ac:dyDescent="0.2">
      <c r="A32" s="1"/>
      <c r="B32" s="1"/>
      <c r="C32" s="5"/>
      <c r="D32" s="1"/>
      <c r="E32" s="1"/>
      <c r="F32" s="6"/>
      <c r="G32" s="6"/>
      <c r="H32" s="12"/>
      <c r="O32"/>
    </row>
    <row r="33" spans="1:15" ht="14.1" customHeight="1" x14ac:dyDescent="0.2">
      <c r="A33" s="1"/>
      <c r="B33" s="1"/>
      <c r="C33" s="2" t="s">
        <v>103</v>
      </c>
      <c r="D33" s="1"/>
      <c r="E33" s="1"/>
      <c r="F33" s="1"/>
      <c r="G33" s="1"/>
      <c r="H33" s="12"/>
      <c r="O33"/>
    </row>
    <row r="34" spans="1:15" ht="14.1" customHeight="1" x14ac:dyDescent="0.2">
      <c r="A34" s="1"/>
      <c r="B34" s="1"/>
      <c r="C34" s="2" t="s">
        <v>11</v>
      </c>
      <c r="D34" s="1"/>
      <c r="E34" s="1" t="s">
        <v>12</v>
      </c>
      <c r="F34" s="3">
        <v>0</v>
      </c>
      <c r="G34" s="4">
        <v>0</v>
      </c>
      <c r="H34" s="12"/>
      <c r="O34"/>
    </row>
    <row r="35" spans="1:15" ht="14.1" customHeight="1" x14ac:dyDescent="0.2">
      <c r="A35" s="1"/>
      <c r="B35" s="1"/>
      <c r="C35" s="5"/>
      <c r="D35" s="1"/>
      <c r="E35" s="1"/>
      <c r="F35" s="6"/>
      <c r="G35" s="6"/>
      <c r="H35" s="12"/>
      <c r="O35"/>
    </row>
    <row r="36" spans="1:15" ht="14.1" customHeight="1" x14ac:dyDescent="0.2">
      <c r="A36" s="1"/>
      <c r="B36" s="1"/>
      <c r="C36" s="2" t="s">
        <v>119</v>
      </c>
      <c r="D36" s="1"/>
      <c r="E36" s="1"/>
      <c r="F36" s="6"/>
      <c r="G36" s="6"/>
      <c r="H36" s="12"/>
      <c r="O36"/>
    </row>
    <row r="37" spans="1:15" ht="14.1" customHeight="1" x14ac:dyDescent="0.2">
      <c r="A37" s="1"/>
      <c r="B37" s="1"/>
      <c r="C37" s="2" t="s">
        <v>11</v>
      </c>
      <c r="D37" s="1"/>
      <c r="E37" s="1" t="s">
        <v>12</v>
      </c>
      <c r="F37" s="3">
        <v>0</v>
      </c>
      <c r="G37" s="4">
        <v>0</v>
      </c>
      <c r="H37" s="12"/>
      <c r="O37"/>
    </row>
    <row r="38" spans="1:15" ht="14.1" customHeight="1" x14ac:dyDescent="0.2">
      <c r="A38" s="1"/>
      <c r="B38" s="1"/>
      <c r="C38" s="5"/>
      <c r="D38" s="1"/>
      <c r="E38" s="1"/>
      <c r="F38" s="6"/>
      <c r="G38" s="6"/>
      <c r="H38" s="12"/>
      <c r="O38"/>
    </row>
    <row r="39" spans="1:15" ht="14.1" customHeight="1" x14ac:dyDescent="0.2">
      <c r="A39" s="1"/>
      <c r="B39" s="1"/>
      <c r="C39" s="2" t="s">
        <v>120</v>
      </c>
      <c r="D39" s="1"/>
      <c r="E39" s="1"/>
      <c r="F39" s="7">
        <v>0</v>
      </c>
      <c r="G39" s="8">
        <v>0</v>
      </c>
      <c r="H39" s="12"/>
      <c r="O39"/>
    </row>
    <row r="40" spans="1:15" ht="14.1" customHeight="1" x14ac:dyDescent="0.2">
      <c r="A40" s="1"/>
      <c r="B40" s="1"/>
      <c r="C40" s="5"/>
      <c r="D40" s="1"/>
      <c r="E40" s="1"/>
      <c r="F40" s="6"/>
      <c r="G40" s="6"/>
      <c r="H40" s="12"/>
      <c r="O40"/>
    </row>
    <row r="41" spans="1:15" ht="14.1" customHeight="1" x14ac:dyDescent="0.2">
      <c r="A41" s="1"/>
      <c r="B41" s="1"/>
      <c r="C41" s="2" t="s">
        <v>121</v>
      </c>
      <c r="D41" s="1"/>
      <c r="E41" s="1"/>
      <c r="F41" s="6"/>
      <c r="G41" s="6"/>
      <c r="H41" s="12"/>
      <c r="O41"/>
    </row>
    <row r="42" spans="1:15" ht="14.1" customHeight="1" x14ac:dyDescent="0.2">
      <c r="A42" s="1"/>
      <c r="B42" s="1"/>
      <c r="C42" s="2" t="s">
        <v>122</v>
      </c>
      <c r="D42" s="1"/>
      <c r="E42" s="1"/>
      <c r="F42" s="6"/>
      <c r="G42" s="6"/>
      <c r="H42" s="12"/>
      <c r="O42"/>
    </row>
    <row r="43" spans="1:15" ht="14.1" customHeight="1" x14ac:dyDescent="0.2">
      <c r="A43" s="1"/>
      <c r="B43" s="1"/>
      <c r="C43" s="2" t="s">
        <v>11</v>
      </c>
      <c r="D43" s="1"/>
      <c r="E43" s="1" t="s">
        <v>12</v>
      </c>
      <c r="F43" s="3">
        <v>0</v>
      </c>
      <c r="G43" s="4">
        <v>0</v>
      </c>
      <c r="H43" s="12"/>
      <c r="O43"/>
    </row>
    <row r="44" spans="1:15" ht="14.1" customHeight="1" x14ac:dyDescent="0.2">
      <c r="A44" s="1"/>
      <c r="B44" s="1"/>
      <c r="C44" s="5"/>
      <c r="D44" s="1"/>
      <c r="E44" s="1"/>
      <c r="F44" s="6"/>
      <c r="G44" s="6"/>
      <c r="H44" s="12"/>
      <c r="O44"/>
    </row>
    <row r="45" spans="1:15" ht="14.1" customHeight="1" x14ac:dyDescent="0.2">
      <c r="A45" s="1"/>
      <c r="B45" s="1"/>
      <c r="C45" s="2" t="s">
        <v>123</v>
      </c>
      <c r="D45" s="1"/>
      <c r="E45" s="1"/>
      <c r="F45" s="6"/>
      <c r="G45" s="6"/>
      <c r="H45" s="12"/>
      <c r="O45"/>
    </row>
    <row r="46" spans="1:15" ht="14.1" customHeight="1" x14ac:dyDescent="0.2">
      <c r="A46" s="1"/>
      <c r="B46" s="1"/>
      <c r="C46" s="2" t="s">
        <v>11</v>
      </c>
      <c r="D46" s="1"/>
      <c r="E46" s="1" t="s">
        <v>12</v>
      </c>
      <c r="F46" s="3">
        <v>0</v>
      </c>
      <c r="G46" s="4">
        <v>0</v>
      </c>
      <c r="H46" s="12"/>
      <c r="O46"/>
    </row>
    <row r="47" spans="1:15" ht="14.1" customHeight="1" x14ac:dyDescent="0.2">
      <c r="A47" s="1"/>
      <c r="B47" s="1"/>
      <c r="C47" s="5"/>
      <c r="D47" s="1"/>
      <c r="E47" s="1"/>
      <c r="F47" s="6"/>
      <c r="G47" s="6"/>
      <c r="H47" s="12"/>
    </row>
    <row r="48" spans="1:15" ht="14.1" customHeight="1" x14ac:dyDescent="0.2">
      <c r="A48" s="1"/>
      <c r="B48" s="1"/>
      <c r="C48" s="2" t="s">
        <v>124</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125</v>
      </c>
      <c r="D51" s="1"/>
      <c r="E51" s="1"/>
      <c r="F51" s="6"/>
      <c r="G51" s="6"/>
      <c r="H51" s="12"/>
    </row>
    <row r="52" spans="1:8" ht="17.100000000000001" customHeight="1" x14ac:dyDescent="0.2">
      <c r="A52" s="9">
        <v>1</v>
      </c>
      <c r="B52" s="10"/>
      <c r="C52" s="10" t="s">
        <v>126</v>
      </c>
      <c r="D52" s="10"/>
      <c r="E52" s="14"/>
      <c r="F52" s="12">
        <v>78584.914224199994</v>
      </c>
      <c r="G52" s="13">
        <v>0.68826731799999996</v>
      </c>
      <c r="H52" s="12">
        <v>3.2903893505936708</v>
      </c>
    </row>
    <row r="53" spans="1:8" ht="17.100000000000001" customHeight="1" x14ac:dyDescent="0.2">
      <c r="A53" s="9">
        <v>2</v>
      </c>
      <c r="B53" s="10"/>
      <c r="C53" s="10" t="s">
        <v>127</v>
      </c>
      <c r="D53" s="10"/>
      <c r="E53" s="14"/>
      <c r="F53" s="12">
        <v>34821.315943200003</v>
      </c>
      <c r="G53" s="13">
        <v>0.30497423000000001</v>
      </c>
      <c r="H53" s="12">
        <v>3.2766870282233538</v>
      </c>
    </row>
    <row r="54" spans="1:8" ht="14.1" customHeight="1" x14ac:dyDescent="0.2">
      <c r="A54" s="1"/>
      <c r="B54" s="1"/>
      <c r="C54" s="2" t="s">
        <v>11</v>
      </c>
      <c r="D54" s="1"/>
      <c r="E54" s="1" t="s">
        <v>12</v>
      </c>
      <c r="F54" s="7">
        <v>113406.2301674</v>
      </c>
      <c r="G54" s="8">
        <v>0.99324154799999997</v>
      </c>
      <c r="H54" s="12"/>
    </row>
    <row r="55" spans="1:8" ht="14.1" customHeight="1" x14ac:dyDescent="0.2">
      <c r="A55" s="1"/>
      <c r="B55" s="1"/>
      <c r="C55" s="5"/>
      <c r="D55" s="1"/>
      <c r="E55" s="1"/>
      <c r="F55" s="6"/>
      <c r="G55" s="6"/>
      <c r="H55" s="12"/>
    </row>
    <row r="56" spans="1:8" ht="14.1" customHeight="1" x14ac:dyDescent="0.2">
      <c r="A56" s="1"/>
      <c r="B56" s="1"/>
      <c r="C56" s="2" t="s">
        <v>128</v>
      </c>
      <c r="D56" s="1"/>
      <c r="E56" s="1"/>
      <c r="F56" s="7">
        <v>113406.2301674</v>
      </c>
      <c r="G56" s="8">
        <v>0.99324154799999997</v>
      </c>
      <c r="H56" s="12"/>
    </row>
    <row r="57" spans="1:8" ht="14.1" customHeight="1" x14ac:dyDescent="0.2">
      <c r="A57" s="1"/>
      <c r="B57" s="1"/>
      <c r="C57" s="6"/>
      <c r="D57" s="1"/>
      <c r="E57" s="1"/>
      <c r="F57" s="1"/>
      <c r="G57" s="1"/>
      <c r="H57" s="12"/>
    </row>
    <row r="58" spans="1:8" ht="14.1" customHeight="1" x14ac:dyDescent="0.2">
      <c r="A58" s="1"/>
      <c r="B58" s="1"/>
      <c r="C58" s="2" t="s">
        <v>129</v>
      </c>
      <c r="D58" s="1"/>
      <c r="E58" s="1"/>
      <c r="F58" s="1"/>
      <c r="G58" s="1"/>
      <c r="H58" s="12"/>
    </row>
    <row r="59" spans="1:8" ht="14.1" customHeight="1" x14ac:dyDescent="0.2">
      <c r="A59" s="1"/>
      <c r="B59" s="1"/>
      <c r="C59" s="2" t="s">
        <v>130</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131</v>
      </c>
      <c r="D62" s="1"/>
      <c r="E62" s="1"/>
      <c r="F62" s="1"/>
      <c r="G62" s="1"/>
      <c r="H62" s="12"/>
    </row>
    <row r="63" spans="1:8" ht="14.1" customHeight="1" x14ac:dyDescent="0.2">
      <c r="A63" s="1"/>
      <c r="B63" s="1"/>
      <c r="C63" s="2" t="s">
        <v>132</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133</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134</v>
      </c>
      <c r="D70" s="10"/>
      <c r="E70" s="14"/>
      <c r="F70" s="12">
        <v>771.66586718999997</v>
      </c>
      <c r="G70" s="13">
        <v>6.7584519999999999E-3</v>
      </c>
      <c r="H70" s="12"/>
    </row>
    <row r="71" spans="1:8" ht="14.1" customHeight="1" x14ac:dyDescent="0.2">
      <c r="A71" s="5"/>
      <c r="B71" s="5"/>
      <c r="C71" s="2" t="s">
        <v>135</v>
      </c>
      <c r="D71" s="6"/>
      <c r="E71" s="6"/>
      <c r="F71" s="7">
        <v>114177.89603459</v>
      </c>
      <c r="G71" s="8">
        <v>1</v>
      </c>
      <c r="H71" s="12"/>
    </row>
    <row r="72" spans="1:8" ht="14.1" customHeight="1" x14ac:dyDescent="0.2">
      <c r="A72" s="15"/>
      <c r="B72" s="15"/>
      <c r="C72" s="15"/>
      <c r="D72" s="16"/>
      <c r="E72" s="16"/>
      <c r="F72" s="16"/>
      <c r="G72" s="16"/>
    </row>
    <row r="73" spans="1:8" ht="17.100000000000001" customHeight="1" x14ac:dyDescent="0.2">
      <c r="A73" s="17"/>
      <c r="B73" s="98" t="s">
        <v>136</v>
      </c>
      <c r="C73" s="98"/>
      <c r="D73" s="98"/>
      <c r="E73" s="98"/>
      <c r="F73" s="98"/>
      <c r="G73" s="19"/>
    </row>
    <row r="74" spans="1:8" ht="17.100000000000001" customHeight="1" x14ac:dyDescent="0.2">
      <c r="A74" s="17"/>
      <c r="B74" s="98" t="s">
        <v>137</v>
      </c>
      <c r="C74" s="98"/>
      <c r="D74" s="98"/>
      <c r="E74" s="98"/>
      <c r="F74" s="98"/>
      <c r="G74" s="19"/>
    </row>
    <row r="75" spans="1:8" ht="14.1" customHeight="1" x14ac:dyDescent="0.2">
      <c r="A75" s="17"/>
      <c r="B75" s="98" t="s">
        <v>12</v>
      </c>
      <c r="C75" s="98"/>
      <c r="D75" s="98"/>
      <c r="E75" s="98"/>
      <c r="F75" s="98"/>
      <c r="G75" s="19"/>
    </row>
    <row r="76" spans="1:8" ht="14.1" customHeight="1" x14ac:dyDescent="0.2">
      <c r="A76" s="17"/>
      <c r="B76" s="17"/>
      <c r="C76" s="17"/>
      <c r="D76" s="19"/>
      <c r="E76" s="19"/>
      <c r="F76" s="19"/>
      <c r="G76" s="19"/>
    </row>
    <row r="77" spans="1:8" ht="14.1" customHeight="1" x14ac:dyDescent="0.2">
      <c r="A77" s="17"/>
      <c r="B77" s="99" t="s">
        <v>138</v>
      </c>
      <c r="C77" s="100"/>
      <c r="D77" s="101"/>
      <c r="E77" s="20"/>
      <c r="F77" s="19"/>
      <c r="G77" s="19"/>
    </row>
    <row r="78" spans="1:8" ht="29.1" customHeight="1" x14ac:dyDescent="0.2">
      <c r="A78" s="17"/>
      <c r="B78" s="95" t="s">
        <v>139</v>
      </c>
      <c r="C78" s="96"/>
      <c r="D78" s="2" t="s">
        <v>140</v>
      </c>
      <c r="E78" s="20"/>
      <c r="F78" s="19"/>
      <c r="G78" s="19"/>
    </row>
    <row r="79" spans="1:8" ht="17.100000000000001" customHeight="1" x14ac:dyDescent="0.2">
      <c r="A79" s="17"/>
      <c r="B79" s="95" t="s">
        <v>141</v>
      </c>
      <c r="C79" s="96"/>
      <c r="D79" s="2" t="s">
        <v>140</v>
      </c>
      <c r="E79" s="20"/>
      <c r="F79" s="19"/>
      <c r="G79" s="19"/>
    </row>
    <row r="80" spans="1:8" ht="17.100000000000001" customHeight="1" x14ac:dyDescent="0.2">
      <c r="A80" s="17"/>
      <c r="B80" s="95" t="s">
        <v>142</v>
      </c>
      <c r="C80" s="96"/>
      <c r="D80" s="6" t="s">
        <v>12</v>
      </c>
      <c r="E80" s="20"/>
      <c r="F80" s="19"/>
      <c r="G80" s="19"/>
    </row>
    <row r="81" spans="1:7" ht="24" customHeight="1" x14ac:dyDescent="0.2">
      <c r="A81" s="21"/>
      <c r="B81" s="22" t="s">
        <v>12</v>
      </c>
      <c r="C81" s="22" t="s">
        <v>143</v>
      </c>
      <c r="D81" s="22" t="s">
        <v>144</v>
      </c>
      <c r="E81" s="21"/>
      <c r="F81" s="21"/>
      <c r="G81" s="21"/>
    </row>
    <row r="82" spans="1:7" ht="18" customHeight="1" x14ac:dyDescent="0.2">
      <c r="A82" s="21"/>
      <c r="B82" s="23" t="s">
        <v>145</v>
      </c>
      <c r="C82" s="22" t="s">
        <v>146</v>
      </c>
      <c r="D82" s="22" t="s">
        <v>147</v>
      </c>
      <c r="E82" s="21"/>
      <c r="F82" s="21"/>
      <c r="G82" s="21"/>
    </row>
    <row r="83" spans="1:7" ht="17.100000000000001" customHeight="1" x14ac:dyDescent="0.2">
      <c r="A83" s="21"/>
      <c r="B83" s="10" t="s">
        <v>148</v>
      </c>
      <c r="C83" s="24">
        <v>1123.8632</v>
      </c>
      <c r="D83" s="24">
        <v>1126.6747</v>
      </c>
      <c r="E83" s="21"/>
      <c r="F83" s="18"/>
      <c r="G83" s="25"/>
    </row>
    <row r="84" spans="1:7" ht="29.1" customHeight="1" x14ac:dyDescent="0.2">
      <c r="A84" s="21"/>
      <c r="B84" s="10" t="s">
        <v>609</v>
      </c>
      <c r="C84" s="24">
        <v>1000.03</v>
      </c>
      <c r="D84" s="24">
        <v>1000.03</v>
      </c>
      <c r="E84" s="21"/>
      <c r="F84" s="18"/>
      <c r="G84" s="25"/>
    </row>
    <row r="85" spans="1:7" ht="29.1" customHeight="1" x14ac:dyDescent="0.2">
      <c r="A85" s="21"/>
      <c r="B85" s="10" t="s">
        <v>614</v>
      </c>
      <c r="C85" s="24">
        <v>1048.6021000000001</v>
      </c>
      <c r="D85" s="24">
        <v>1048.5814</v>
      </c>
      <c r="E85" s="21"/>
      <c r="F85" s="18"/>
      <c r="G85" s="25"/>
    </row>
    <row r="86" spans="1:7" ht="29.1" customHeight="1" x14ac:dyDescent="0.2">
      <c r="A86" s="21"/>
      <c r="B86" s="10" t="s">
        <v>615</v>
      </c>
      <c r="C86" s="24">
        <v>1063.8506</v>
      </c>
      <c r="D86" s="24">
        <v>1063.8293000000001</v>
      </c>
      <c r="E86" s="21"/>
      <c r="F86" s="18"/>
      <c r="G86" s="25"/>
    </row>
    <row r="87" spans="1:7" ht="29.1" customHeight="1" x14ac:dyDescent="0.2">
      <c r="A87" s="21"/>
      <c r="B87" s="10" t="s">
        <v>600</v>
      </c>
      <c r="C87" s="24">
        <v>1043.8086000000001</v>
      </c>
      <c r="D87" s="24">
        <v>1043.3226</v>
      </c>
      <c r="E87" s="21"/>
      <c r="F87" s="18"/>
      <c r="G87" s="25"/>
    </row>
    <row r="88" spans="1:7" ht="17.100000000000001" customHeight="1" x14ac:dyDescent="0.2">
      <c r="A88" s="21"/>
      <c r="B88" s="10" t="s">
        <v>149</v>
      </c>
      <c r="C88" s="24">
        <v>1120.4265</v>
      </c>
      <c r="D88" s="24">
        <v>1123.1320000000001</v>
      </c>
      <c r="E88" s="21"/>
      <c r="F88" s="18"/>
      <c r="G88" s="25"/>
    </row>
    <row r="89" spans="1:7" ht="29.1" customHeight="1" x14ac:dyDescent="0.2">
      <c r="A89" s="21"/>
      <c r="B89" s="10" t="s">
        <v>611</v>
      </c>
      <c r="C89" s="24">
        <v>1000.03</v>
      </c>
      <c r="D89" s="24">
        <v>1000.03</v>
      </c>
      <c r="E89" s="21"/>
      <c r="F89" s="18"/>
      <c r="G89" s="25"/>
    </row>
    <row r="90" spans="1:7" ht="29.1" customHeight="1" x14ac:dyDescent="0.2">
      <c r="A90" s="21"/>
      <c r="B90" s="10" t="s">
        <v>612</v>
      </c>
      <c r="C90" s="24">
        <v>1047.4713999999999</v>
      </c>
      <c r="D90" s="24">
        <v>1047.4845</v>
      </c>
      <c r="E90" s="21"/>
      <c r="F90" s="18"/>
      <c r="G90" s="25"/>
    </row>
    <row r="91" spans="1:7" ht="29.1" customHeight="1" x14ac:dyDescent="0.2">
      <c r="A91" s="21"/>
      <c r="B91" s="10" t="s">
        <v>616</v>
      </c>
      <c r="C91" s="24">
        <v>1065.2936</v>
      </c>
      <c r="D91" s="24">
        <v>1065.2630999999999</v>
      </c>
      <c r="E91" s="21"/>
      <c r="F91" s="18"/>
      <c r="G91" s="25"/>
    </row>
    <row r="92" spans="1:7" ht="29.1" customHeight="1" x14ac:dyDescent="0.2">
      <c r="A92" s="21"/>
      <c r="B92" s="10" t="s">
        <v>604</v>
      </c>
      <c r="C92" s="24">
        <v>1040.0793000000001</v>
      </c>
      <c r="D92" s="24">
        <v>1039.6133</v>
      </c>
      <c r="E92" s="21"/>
      <c r="F92" s="18"/>
      <c r="G92" s="25"/>
    </row>
    <row r="93" spans="1:7" ht="41.1" customHeight="1" x14ac:dyDescent="0.2">
      <c r="A93" s="21"/>
      <c r="B93" s="10" t="s">
        <v>617</v>
      </c>
      <c r="C93" s="24">
        <v>1000</v>
      </c>
      <c r="D93" s="24">
        <v>1000</v>
      </c>
      <c r="E93" s="21"/>
      <c r="F93" s="18"/>
      <c r="G93" s="25"/>
    </row>
    <row r="94" spans="1:7" ht="41.1" customHeight="1" x14ac:dyDescent="0.2">
      <c r="A94" s="21"/>
      <c r="B94" s="10" t="s">
        <v>618</v>
      </c>
      <c r="C94" s="24">
        <v>1001.0227</v>
      </c>
      <c r="D94" s="24">
        <v>1003.5269</v>
      </c>
      <c r="E94" s="21"/>
      <c r="F94" s="18"/>
      <c r="G94" s="25"/>
    </row>
    <row r="95" spans="1:7" ht="41.1" customHeight="1" x14ac:dyDescent="0.2">
      <c r="A95" s="21"/>
      <c r="B95" s="10" t="s">
        <v>494</v>
      </c>
      <c r="C95" s="24">
        <v>1001.0155</v>
      </c>
      <c r="D95" s="24">
        <v>1003.5196999999999</v>
      </c>
      <c r="E95" s="21"/>
      <c r="F95" s="18"/>
      <c r="G95" s="25"/>
    </row>
    <row r="96" spans="1:7" ht="41.1" customHeight="1" x14ac:dyDescent="0.2">
      <c r="A96" s="21"/>
      <c r="B96" s="10" t="s">
        <v>495</v>
      </c>
      <c r="C96" s="24">
        <v>1000</v>
      </c>
      <c r="D96" s="24">
        <v>1000</v>
      </c>
      <c r="E96" s="21"/>
      <c r="F96" s="18"/>
      <c r="G96" s="25"/>
    </row>
    <row r="97" spans="1:15" ht="14.1" customHeight="1" x14ac:dyDescent="0.2">
      <c r="A97" s="21"/>
      <c r="B97" s="21"/>
      <c r="C97" s="21"/>
      <c r="D97" s="21"/>
      <c r="E97" s="21"/>
      <c r="F97" s="21"/>
      <c r="G97" s="21"/>
    </row>
    <row r="98" spans="1:15" ht="17.100000000000001" customHeight="1" x14ac:dyDescent="0.2">
      <c r="A98" s="21"/>
      <c r="B98" s="95" t="s">
        <v>608</v>
      </c>
      <c r="C98" s="96"/>
      <c r="D98" s="2" t="s">
        <v>12</v>
      </c>
      <c r="E98" s="21"/>
      <c r="F98" s="21"/>
      <c r="G98" s="21"/>
    </row>
    <row r="99" spans="1:15" ht="18" customHeight="1" x14ac:dyDescent="0.2">
      <c r="A99" s="21"/>
      <c r="B99" s="26" t="s">
        <v>145</v>
      </c>
      <c r="C99" s="27" t="s">
        <v>150</v>
      </c>
      <c r="D99" s="27" t="s">
        <v>151</v>
      </c>
      <c r="E99" s="21"/>
      <c r="F99" s="21"/>
      <c r="G99" s="21"/>
    </row>
    <row r="100" spans="1:15" ht="29.1" customHeight="1" x14ac:dyDescent="0.2">
      <c r="A100" s="21"/>
      <c r="B100" s="10" t="s">
        <v>609</v>
      </c>
      <c r="C100" s="28">
        <v>2.479314</v>
      </c>
      <c r="D100" s="14" t="s">
        <v>152</v>
      </c>
      <c r="E100" s="21"/>
      <c r="F100" s="18"/>
      <c r="G100" s="25"/>
    </row>
    <row r="101" spans="1:15" ht="29.1" customHeight="1" x14ac:dyDescent="0.2">
      <c r="A101" s="21"/>
      <c r="B101" s="10" t="s">
        <v>614</v>
      </c>
      <c r="C101" s="28">
        <v>2.6412</v>
      </c>
      <c r="D101" s="14" t="s">
        <v>152</v>
      </c>
      <c r="E101" s="21"/>
      <c r="F101" s="18"/>
      <c r="G101" s="25"/>
    </row>
    <row r="102" spans="1:15" ht="29.1" customHeight="1" x14ac:dyDescent="0.2">
      <c r="A102" s="21"/>
      <c r="B102" s="10" t="s">
        <v>615</v>
      </c>
      <c r="C102" s="28">
        <v>2.6758999999999999</v>
      </c>
      <c r="D102" s="14" t="s">
        <v>152</v>
      </c>
      <c r="E102" s="21"/>
      <c r="F102" s="18"/>
      <c r="G102" s="25"/>
    </row>
    <row r="103" spans="1:15" ht="29.1" customHeight="1" x14ac:dyDescent="0.2">
      <c r="A103" s="21"/>
      <c r="B103" s="10" t="s">
        <v>600</v>
      </c>
      <c r="C103" s="28">
        <v>3.0769000000000002</v>
      </c>
      <c r="D103" s="14" t="s">
        <v>152</v>
      </c>
      <c r="E103" s="21"/>
      <c r="F103" s="18"/>
      <c r="G103" s="25"/>
    </row>
    <row r="104" spans="1:15" ht="29.1" customHeight="1" x14ac:dyDescent="0.2">
      <c r="A104" s="21"/>
      <c r="B104" s="10" t="s">
        <v>611</v>
      </c>
      <c r="C104" s="28">
        <v>2.4030649999999998</v>
      </c>
      <c r="D104" s="14" t="s">
        <v>152</v>
      </c>
      <c r="E104" s="21"/>
      <c r="F104" s="18"/>
      <c r="G104" s="25"/>
      <c r="I104"/>
      <c r="J104"/>
      <c r="K104"/>
      <c r="L104"/>
      <c r="M104"/>
      <c r="N104"/>
      <c r="O104"/>
    </row>
    <row r="105" spans="1:15" ht="29.1" customHeight="1" x14ac:dyDescent="0.2">
      <c r="A105" s="21"/>
      <c r="B105" s="10" t="s">
        <v>612</v>
      </c>
      <c r="C105" s="28">
        <v>2.5790999999999999</v>
      </c>
      <c r="D105" s="14" t="s">
        <v>152</v>
      </c>
      <c r="E105" s="21"/>
      <c r="F105" s="18"/>
      <c r="G105" s="25"/>
    </row>
    <row r="106" spans="1:15" ht="29.1" customHeight="1" x14ac:dyDescent="0.2">
      <c r="A106" s="21"/>
      <c r="B106" s="10" t="s">
        <v>616</v>
      </c>
      <c r="C106" s="28">
        <v>2.5878000000000001</v>
      </c>
      <c r="D106" s="14" t="s">
        <v>152</v>
      </c>
      <c r="E106" s="21"/>
      <c r="F106" s="18"/>
      <c r="G106" s="25"/>
    </row>
    <row r="107" spans="1:15" ht="29.1" customHeight="1" x14ac:dyDescent="0.2">
      <c r="A107" s="21"/>
      <c r="B107" s="10" t="s">
        <v>604</v>
      </c>
      <c r="C107" s="28">
        <v>2.9752999999999998</v>
      </c>
      <c r="D107" s="14" t="s">
        <v>152</v>
      </c>
      <c r="E107" s="21"/>
      <c r="F107" s="18"/>
      <c r="G107" s="25"/>
    </row>
    <row r="108" spans="1:15" ht="14.1" customHeight="1" x14ac:dyDescent="0.2">
      <c r="A108" s="21"/>
      <c r="B108" s="29"/>
      <c r="C108" s="29"/>
      <c r="D108" s="30"/>
      <c r="E108" s="21"/>
      <c r="F108" s="18"/>
      <c r="G108" s="25"/>
    </row>
    <row r="109" spans="1:15" x14ac:dyDescent="0.2">
      <c r="A109" s="82"/>
      <c r="B109" s="104" t="s">
        <v>619</v>
      </c>
      <c r="C109" s="104"/>
      <c r="D109" s="104"/>
      <c r="E109" s="104"/>
      <c r="F109" s="104"/>
      <c r="G109" s="82"/>
    </row>
    <row r="110" spans="1:15" ht="14.1" customHeight="1" x14ac:dyDescent="0.2">
      <c r="A110" s="21"/>
      <c r="B110" s="18"/>
      <c r="C110" s="18"/>
      <c r="D110" s="21"/>
      <c r="E110" s="21"/>
      <c r="F110" s="21"/>
      <c r="G110" s="21"/>
    </row>
    <row r="111" spans="1:15" ht="29.1" customHeight="1" x14ac:dyDescent="0.2">
      <c r="A111" s="21"/>
      <c r="B111" s="95" t="s">
        <v>153</v>
      </c>
      <c r="C111" s="96"/>
      <c r="D111" s="2" t="s">
        <v>140</v>
      </c>
      <c r="E111" s="31"/>
      <c r="F111" s="21"/>
      <c r="G111" s="21"/>
    </row>
    <row r="112" spans="1:15" ht="29.1" customHeight="1" x14ac:dyDescent="0.2">
      <c r="A112" s="21"/>
      <c r="B112" s="95" t="s">
        <v>154</v>
      </c>
      <c r="C112" s="96"/>
      <c r="D112" s="2" t="s">
        <v>140</v>
      </c>
      <c r="E112" s="31"/>
      <c r="F112" s="21"/>
      <c r="G112" s="21"/>
    </row>
    <row r="113" spans="1:7" ht="17.100000000000001" customHeight="1" x14ac:dyDescent="0.2">
      <c r="A113" s="21"/>
      <c r="B113" s="95" t="s">
        <v>155</v>
      </c>
      <c r="C113" s="96"/>
      <c r="D113" s="32">
        <v>2</v>
      </c>
      <c r="E113" s="31"/>
      <c r="F113" s="21"/>
      <c r="G113" s="21"/>
    </row>
    <row r="114" spans="1:7" ht="17.100000000000001" customHeight="1" x14ac:dyDescent="0.2">
      <c r="A114" s="21"/>
      <c r="B114" s="95" t="s">
        <v>156</v>
      </c>
      <c r="C114" s="96"/>
      <c r="D114" s="32">
        <v>2</v>
      </c>
      <c r="E114" s="31"/>
      <c r="F114" s="21"/>
      <c r="G114" s="21"/>
    </row>
    <row r="115" spans="1:7" ht="17.100000000000001" customHeight="1" x14ac:dyDescent="0.2">
      <c r="A115" s="21"/>
      <c r="B115" s="95" t="s">
        <v>157</v>
      </c>
      <c r="C115" s="96"/>
      <c r="D115" s="2" t="s">
        <v>140</v>
      </c>
      <c r="E115" s="31"/>
      <c r="F115" s="21"/>
      <c r="G115" s="21"/>
    </row>
    <row r="116" spans="1:7" ht="14.1" customHeight="1" x14ac:dyDescent="0.2">
      <c r="A116" s="21"/>
      <c r="B116" s="97"/>
      <c r="C116" s="97"/>
      <c r="D116" s="30"/>
      <c r="E116" s="21"/>
      <c r="F116" s="18"/>
      <c r="G116" s="25"/>
    </row>
  </sheetData>
  <mergeCells count="19">
    <mergeCell ref="J2:N2"/>
    <mergeCell ref="A1:H1"/>
    <mergeCell ref="A2:H2"/>
    <mergeCell ref="A3:H3"/>
    <mergeCell ref="B109:F109"/>
    <mergeCell ref="B111:C111"/>
    <mergeCell ref="B73:F73"/>
    <mergeCell ref="B74:F74"/>
    <mergeCell ref="B75:F75"/>
    <mergeCell ref="B77:D77"/>
    <mergeCell ref="B78:C78"/>
    <mergeCell ref="B79:C79"/>
    <mergeCell ref="B80:C80"/>
    <mergeCell ref="B98:C98"/>
    <mergeCell ref="B112:C112"/>
    <mergeCell ref="B113:C113"/>
    <mergeCell ref="B114:C114"/>
    <mergeCell ref="B115:C115"/>
    <mergeCell ref="B116:C116"/>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SFRLTP</vt:lpstr>
      <vt:lpstr>SFRSTP</vt:lpstr>
      <vt:lpstr>SFTPIS</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2022-03-01T14:21:51Z</dcterms:created>
  <dcterms:modified xsi:type="dcterms:W3CDTF">2022-03-10T13:28:34Z</dcterms:modified>
</cp:coreProperties>
</file>