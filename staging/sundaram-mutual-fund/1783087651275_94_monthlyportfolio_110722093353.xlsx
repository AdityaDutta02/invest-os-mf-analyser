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SAMCWEB_V2.0\uploaddir\MonthlyPortfolio\"/>
    </mc:Choice>
  </mc:AlternateContent>
  <xr:revisionPtr revIDLastSave="0" documentId="13_ncr:1_{0BAB0BCE-B631-4386-889F-49F0B44723EF}" xr6:coauthVersionLast="47" xr6:coauthVersionMax="47" xr10:uidLastSave="{00000000-0000-0000-0000-000000000000}"/>
  <bookViews>
    <workbookView xWindow="-120" yWindow="-120" windowWidth="29040" windowHeight="15720" tabRatio="938" xr2:uid="{00000000-000D-0000-FFFF-FFFF00000000}"/>
  </bookViews>
  <sheets>
    <sheet name="Index" sheetId="38" r:id="rId1"/>
    <sheet name="CAPEXG" sheetId="1" r:id="rId2"/>
    <sheet name="MICAP16" sheetId="2" r:id="rId3"/>
    <sheet name="MICAP17" sheetId="3" r:id="rId4"/>
    <sheet name="MIDCAP" sheetId="4" r:id="rId5"/>
    <sheet name="MULTI1" sheetId="5" r:id="rId6"/>
    <sheet name="MULTI2" sheetId="6" r:id="rId7"/>
    <sheet name="MULTIP" sheetId="7" r:id="rId8"/>
    <sheet name="SESCAP1" sheetId="8" r:id="rId9"/>
    <sheet name="SESCAP2" sheetId="9" r:id="rId10"/>
    <sheet name="SESCAP3" sheetId="10" r:id="rId11"/>
    <sheet name="SESCAP4" sheetId="11" r:id="rId12"/>
    <sheet name="SESCAP5" sheetId="12" r:id="rId13"/>
    <sheet name="SESCAP6" sheetId="13" r:id="rId14"/>
    <sheet name="SESCAP7" sheetId="14" r:id="rId15"/>
    <sheet name="SLTADV3" sheetId="15" r:id="rId16"/>
    <sheet name="SLTADV4" sheetId="16" r:id="rId17"/>
    <sheet name="SLTAX1" sheetId="17" r:id="rId18"/>
    <sheet name="SLTAX2" sheetId="18" r:id="rId19"/>
    <sheet name="SLTAX3" sheetId="19" r:id="rId20"/>
    <sheet name="SLTAX4" sheetId="20" r:id="rId21"/>
    <sheet name="SLTAX5" sheetId="21" r:id="rId22"/>
    <sheet name="SLTAX6" sheetId="22" r:id="rId23"/>
    <sheet name="SMILE" sheetId="23" r:id="rId24"/>
    <sheet name="SPAHF" sheetId="36" r:id="rId25"/>
    <sheet name="SPARF" sheetId="24" r:id="rId26"/>
    <sheet name="SPBAF" sheetId="37" r:id="rId27"/>
    <sheet name="SPDYF" sheetId="25" r:id="rId28"/>
    <sheet name="SPESF" sheetId="26" r:id="rId29"/>
    <sheet name="SPFOCUS" sheetId="27" r:id="rId30"/>
    <sheet name="SPMUCF" sheetId="28" r:id="rId31"/>
    <sheet name="SPSN100" sheetId="29" r:id="rId32"/>
    <sheet name="SPTAX" sheetId="30" r:id="rId33"/>
    <sheet name="SRURAL" sheetId="31" r:id="rId34"/>
    <sheet name="SSFUND" sheetId="32" r:id="rId35"/>
    <sheet name="STAX" sheetId="33" r:id="rId36"/>
    <sheet name="SUNBCF" sheetId="34" r:id="rId37"/>
    <sheet name="SUNFOP" sheetId="35" r:id="rId38"/>
    <sheet name="GLOB" sheetId="39" r:id="rId39"/>
    <sheet name="Annexure A" sheetId="40" r:id="rId40"/>
  </sheets>
  <definedNames>
    <definedName name="_xlnm._FilterDatabase" localSheetId="0" hidden="1">Index!$B$1:$C$39</definedName>
    <definedName name="_xlnm._FilterDatabase" localSheetId="37" hidden="1">SUNFOP!$A$4:$H$4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46" i="40" l="1"/>
  <c r="G129" i="40"/>
  <c r="G128" i="40"/>
  <c r="G127" i="40"/>
  <c r="G126" i="40"/>
  <c r="G102" i="40"/>
  <c r="G101" i="40"/>
  <c r="G85" i="28"/>
  <c r="F85" i="28"/>
  <c r="G71" i="28"/>
  <c r="F71" i="28"/>
  <c r="F62" i="36"/>
  <c r="G175" i="26" l="1"/>
  <c r="G143" i="7" l="1"/>
  <c r="F143" i="7"/>
  <c r="G97" i="28"/>
  <c r="F97" i="28"/>
  <c r="G74" i="34"/>
  <c r="F74" i="34"/>
</calcChain>
</file>

<file path=xl/sharedStrings.xml><?xml version="1.0" encoding="utf-8"?>
<sst xmlns="http://schemas.openxmlformats.org/spreadsheetml/2006/main" count="11170" uniqueCount="1205">
  <si>
    <t>SUNDARAM MUTUAL FUND</t>
  </si>
  <si>
    <t>Sundaram Infrastructure Advantage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</si>
  <si>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</si>
  <si>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</si>
  <si>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</si>
  <si>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</si>
  <si>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</si>
  <si>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</si>
  <si>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</si>
  <si>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</si>
  <si>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</si>
  <si>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INE018A01030</t>
  </si>
  <si>
    <t>Larsen &amp; Toubro Ltd</t>
  </si>
  <si>
    <t>Construction</t>
  </si>
  <si>
    <t>INE002A01018</t>
  </si>
  <si>
    <t>Reliance Industries Ltd</t>
  </si>
  <si>
    <t>Petroleum Products</t>
  </si>
  <si>
    <t>INE090A01021</t>
  </si>
  <si>
    <t>ICICI Bank Ltd</t>
  </si>
  <si>
    <t>Banks</t>
  </si>
  <si>
    <t>INE397D01024</t>
  </si>
  <si>
    <t>Bharti Airtel Ltd</t>
  </si>
  <si>
    <t>Telecom - Services</t>
  </si>
  <si>
    <t>INE481G01011</t>
  </si>
  <si>
    <t>Ultratech Cement Ltd</t>
  </si>
  <si>
    <t>Cement &amp; Cement Products</t>
  </si>
  <si>
    <t>INE536A01023</t>
  </si>
  <si>
    <t>Grindwell Norton Ltd</t>
  </si>
  <si>
    <t>Industrial Products</t>
  </si>
  <si>
    <t>INE733E01010</t>
  </si>
  <si>
    <t>NTPC Ltd</t>
  </si>
  <si>
    <t>Power</t>
  </si>
  <si>
    <t>INE284A01012</t>
  </si>
  <si>
    <t>ESAB India Ltd</t>
  </si>
  <si>
    <t>INE999A01015</t>
  </si>
  <si>
    <t>KSB Ltd</t>
  </si>
  <si>
    <t>INE455K01017</t>
  </si>
  <si>
    <t>Polycab India Ltd</t>
  </si>
  <si>
    <t>INE671A01010</t>
  </si>
  <si>
    <t>Honeywell Automation India Ltd</t>
  </si>
  <si>
    <t>Industrial Manufacturing</t>
  </si>
  <si>
    <t>INE245A01021</t>
  </si>
  <si>
    <t>Tata Power Company Ltd</t>
  </si>
  <si>
    <t>INE111A01025</t>
  </si>
  <si>
    <t>Container Corporation of India Ltd</t>
  </si>
  <si>
    <t>Transport Services</t>
  </si>
  <si>
    <t>INE062A01020</t>
  </si>
  <si>
    <t>State Bank of India</t>
  </si>
  <si>
    <t>INE752E01010</t>
  </si>
  <si>
    <t>Power Grid Corporation of India Ltd</t>
  </si>
  <si>
    <t>INE541A01023</t>
  </si>
  <si>
    <t>GMM Pfaudler Ltd</t>
  </si>
  <si>
    <t>INE823G01014</t>
  </si>
  <si>
    <t>JK Cement Ltd</t>
  </si>
  <si>
    <t>INE213A01029</t>
  </si>
  <si>
    <t>Oil &amp; Natural Gas Corporation Ltd</t>
  </si>
  <si>
    <t>Oil</t>
  </si>
  <si>
    <t>INE742F01042</t>
  </si>
  <si>
    <t>Adani Ports and Special Economic Zone Ltd</t>
  </si>
  <si>
    <t>Transport Infrastructure</t>
  </si>
  <si>
    <t>INE208A01029</t>
  </si>
  <si>
    <t>Ashok Leyland Ltd</t>
  </si>
  <si>
    <t>Agricultural, Commercial &amp; Construction Vehicles</t>
  </si>
  <si>
    <t>INE195J01029</t>
  </si>
  <si>
    <t>PNC Infratech Ltd</t>
  </si>
  <si>
    <t>INE868B01028</t>
  </si>
  <si>
    <t>NCC Ltd</t>
  </si>
  <si>
    <t>INE331A01037</t>
  </si>
  <si>
    <t>The Ramco Cements Ltd</t>
  </si>
  <si>
    <t>INE029A01011</t>
  </si>
  <si>
    <t>Bharat Petroleum Corporation Ltd</t>
  </si>
  <si>
    <t>INE766P01016</t>
  </si>
  <si>
    <t>Mahindra Logistics Ltd</t>
  </si>
  <si>
    <t>INE129A01019</t>
  </si>
  <si>
    <t>GAIL (India) Ltd</t>
  </si>
  <si>
    <t>Gas</t>
  </si>
  <si>
    <t>INE702C01027</t>
  </si>
  <si>
    <t>APL Apollo Tubes Ltd</t>
  </si>
  <si>
    <t>INE117A01022</t>
  </si>
  <si>
    <t>ABB India Ltd</t>
  </si>
  <si>
    <t>Electrical Equipment</t>
  </si>
  <si>
    <t>INE242A01010</t>
  </si>
  <si>
    <t>Indian Oil Corporation Ltd</t>
  </si>
  <si>
    <t>INE585B01010</t>
  </si>
  <si>
    <t>Maruti Suzuki India Ltd</t>
  </si>
  <si>
    <t>Automobiles</t>
  </si>
  <si>
    <t>INE08ZM01014</t>
  </si>
  <si>
    <t>Green Panel Industries Ltd</t>
  </si>
  <si>
    <t>Consumer Durables</t>
  </si>
  <si>
    <t>INE121A01024</t>
  </si>
  <si>
    <t>Cholamandalam Investment and Finance Company Ltd</t>
  </si>
  <si>
    <t>Finance</t>
  </si>
  <si>
    <t>INE513A01022</t>
  </si>
  <si>
    <t>Schaeffler India Ltd</t>
  </si>
  <si>
    <t>Auto Components</t>
  </si>
  <si>
    <t>INE791I01019</t>
  </si>
  <si>
    <t>Brigade Enterprises Ltd</t>
  </si>
  <si>
    <t>Realty</t>
  </si>
  <si>
    <t>INE093I01010</t>
  </si>
  <si>
    <t>Oberoi Realty Ltd</t>
  </si>
  <si>
    <t>INE258A01016</t>
  </si>
  <si>
    <t>BEML Ltd</t>
  </si>
  <si>
    <t>INE121J01017</t>
  </si>
  <si>
    <t>Indus Towers Ltd (Prev Bharti Infratel Ltd)</t>
  </si>
  <si>
    <t>INE201P01022</t>
  </si>
  <si>
    <t>GR Infraprojects Ltd</t>
  </si>
  <si>
    <t>INE371P01015</t>
  </si>
  <si>
    <t>Amber Enterprises India Ltd</t>
  </si>
  <si>
    <t>INE811K01011</t>
  </si>
  <si>
    <t>Prestige Estates Projects Ltd</t>
  </si>
  <si>
    <t>INE264T01014</t>
  </si>
  <si>
    <t>Capacite Infraprojects Ltd</t>
  </si>
  <si>
    <t>INE114A01011</t>
  </si>
  <si>
    <t>Steel Authority of India Ltd</t>
  </si>
  <si>
    <t>Ferrous Metals</t>
  </si>
  <si>
    <t>INE203G01027</t>
  </si>
  <si>
    <t>Indraprastha Gas Ltd</t>
  </si>
  <si>
    <t>INE246F01010</t>
  </si>
  <si>
    <t>Gujarat State Petronet Ltd</t>
  </si>
  <si>
    <t>INE551A01022</t>
  </si>
  <si>
    <t>Engineering Services</t>
  </si>
  <si>
    <t>#</t>
  </si>
  <si>
    <t>Sub Total</t>
  </si>
  <si>
    <t/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</si>
  <si>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</si>
  <si>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</si>
  <si>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</si>
  <si>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</si>
  <si>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</si>
  <si>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</si>
  <si>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</si>
  <si>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</si>
  <si>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</si>
  <si>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</si>
  <si>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</si>
  <si>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</si>
  <si>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</si>
  <si>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</si>
  <si>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</si>
  <si>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</si>
  <si>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</si>
  <si>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</si>
  <si>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</si>
  <si>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</si>
  <si>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</si>
  <si>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</si>
  <si>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</si>
  <si>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</si>
  <si>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</si>
  <si>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</si>
  <si>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</si>
  <si>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</si>
  <si>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</si>
  <si>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</si>
  <si>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</si>
  <si>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</si>
  <si>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</si>
  <si>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</si>
  <si>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31/05/2022</t>
  </si>
  <si>
    <t>30/06/2022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</si>
  <si>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</si>
  <si>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</si>
  <si>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</si>
  <si>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</si>
  <si>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</si>
  <si>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</si>
  <si>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Sundaram Select Micro Cap Series XVI</t>
  </si>
  <si>
    <t>INE079A01024</t>
  </si>
  <si>
    <t>Ambuja Cements Ltd</t>
  </si>
  <si>
    <t>INE00WC01027</t>
  </si>
  <si>
    <t>Affle (India) Ltd</t>
  </si>
  <si>
    <t>It - Services</t>
  </si>
  <si>
    <t>INE806T01012</t>
  </si>
  <si>
    <t>Sapphire Foods India Ltd</t>
  </si>
  <si>
    <t>Leisure Services</t>
  </si>
  <si>
    <t>INE299U01018</t>
  </si>
  <si>
    <t>Crompton Greaves Consumer Electricals Ltd</t>
  </si>
  <si>
    <t>INE988K01017</t>
  </si>
  <si>
    <t>Equitas Holdings Ltd</t>
  </si>
  <si>
    <t>INE615P01015</t>
  </si>
  <si>
    <t>Quess Corp Ltd</t>
  </si>
  <si>
    <t>Commercial Services &amp; Supplies</t>
  </si>
  <si>
    <t>INE745G01035</t>
  </si>
  <si>
    <t>Multi Commodity Exchange of India Ltd</t>
  </si>
  <si>
    <t>Capital Markets</t>
  </si>
  <si>
    <t>INE348B01021</t>
  </si>
  <si>
    <t>Century Plyboards (India) Ltd</t>
  </si>
  <si>
    <t>INE477A01020</t>
  </si>
  <si>
    <t>Can Fin Homes Ltd</t>
  </si>
  <si>
    <t>INE04I401011</t>
  </si>
  <si>
    <t>KPIT Technologies Ltd</t>
  </si>
  <si>
    <t>It - Software</t>
  </si>
  <si>
    <t>INE732I01013</t>
  </si>
  <si>
    <t>Angel One Ltd</t>
  </si>
  <si>
    <t>INE274F01020</t>
  </si>
  <si>
    <t>Westlife Development Ltd</t>
  </si>
  <si>
    <t>INE864I01014</t>
  </si>
  <si>
    <t>MTAR Technologies Ltd</t>
  </si>
  <si>
    <t>Aerospace &amp; Defense</t>
  </si>
  <si>
    <t>INE048G01026</t>
  </si>
  <si>
    <t>Navin Fluorine International Ltd</t>
  </si>
  <si>
    <t>Chemicals &amp; Petrochemicals</t>
  </si>
  <si>
    <t>INE947Q01028</t>
  </si>
  <si>
    <t>Laurus Labs Ltd</t>
  </si>
  <si>
    <t>Pharmaceuticals &amp; Biotechnology</t>
  </si>
  <si>
    <t>INE572A01028</t>
  </si>
  <si>
    <t>JB Chemicals &amp; Pharmaceuticals Ltd</t>
  </si>
  <si>
    <t>INE075I01017</t>
  </si>
  <si>
    <t>Healthcare Global Enterprises Ltd</t>
  </si>
  <si>
    <t>Healthcare Services</t>
  </si>
  <si>
    <t>INE094A01015</t>
  </si>
  <si>
    <t>Hindustan Petroleum Corporation Ltd</t>
  </si>
  <si>
    <t>INE060A01024</t>
  </si>
  <si>
    <t>Navneet Education Ltd</t>
  </si>
  <si>
    <t>Printing &amp; Publication</t>
  </si>
  <si>
    <t>INE978A01027</t>
  </si>
  <si>
    <t>Heritage Foods Ltd</t>
  </si>
  <si>
    <t>Food Products</t>
  </si>
  <si>
    <t>INE02A801020</t>
  </si>
  <si>
    <t>Rossari Biotech Ltd</t>
  </si>
  <si>
    <t>INE481N01025</t>
  </si>
  <si>
    <t>Home First Finance Company Ltd</t>
  </si>
  <si>
    <t>INE220B01022</t>
  </si>
  <si>
    <t>Kalpataru Power Transmission Ltd</t>
  </si>
  <si>
    <t>INE285J01028</t>
  </si>
  <si>
    <t>SIS Ltd</t>
  </si>
  <si>
    <t>INE442H01029</t>
  </si>
  <si>
    <t>Ashoka Buildcon Ltd</t>
  </si>
  <si>
    <t>INE262H01013</t>
  </si>
  <si>
    <t>Persistent Systems Ltd</t>
  </si>
  <si>
    <t>INE873D01024</t>
  </si>
  <si>
    <t>Indoco Remedies Ltd</t>
  </si>
  <si>
    <t>INE386C01029</t>
  </si>
  <si>
    <t>Astra Microwave Products Ltd</t>
  </si>
  <si>
    <t>INE056C01010</t>
  </si>
  <si>
    <t>Tata Metaliks Ltd</t>
  </si>
  <si>
    <t>INE421D01022</t>
  </si>
  <si>
    <t>CCL Products (India) Ltd</t>
  </si>
  <si>
    <t>Agricultural Food &amp; Other Products</t>
  </si>
  <si>
    <t>INE00IN01015</t>
  </si>
  <si>
    <t>Stove Kraft Ltd</t>
  </si>
  <si>
    <t>INE312H01016</t>
  </si>
  <si>
    <t>INOX Leisure Ltd</t>
  </si>
  <si>
    <t>Entertainment</t>
  </si>
  <si>
    <t>INE834I01025</t>
  </si>
  <si>
    <t>Khadim India Ltd</t>
  </si>
  <si>
    <t>INE934S01014</t>
  </si>
  <si>
    <t>GNA Axles Ltd</t>
  </si>
  <si>
    <t>INE586B01026</t>
  </si>
  <si>
    <t>Taj GVK Hotels &amp; Resorts Ltd</t>
  </si>
  <si>
    <t>INE199A01012</t>
  </si>
  <si>
    <t>Procter &amp; Gamble Health Ltd</t>
  </si>
  <si>
    <t>INE217L01019</t>
  </si>
  <si>
    <t>Shriram Properties Ltd</t>
  </si>
  <si>
    <t>INE878B01027</t>
  </si>
  <si>
    <t>KEI Industries Ltd</t>
  </si>
  <si>
    <t>INE782A01015</t>
  </si>
  <si>
    <t>Johnson Controls-Hitachi AirConditioning India Ltd</t>
  </si>
  <si>
    <t>INE565V01010</t>
  </si>
  <si>
    <t>Valiant Organics Ltd</t>
  </si>
  <si>
    <t>Sundaram Select Micro Cap Series XVII</t>
  </si>
  <si>
    <t>INE067A01029</t>
  </si>
  <si>
    <t>CG Power and Industrial Solutions Ltd</t>
  </si>
  <si>
    <t>INE227C01017</t>
  </si>
  <si>
    <t>MM Forgings Ltd</t>
  </si>
  <si>
    <t>INE211B01039</t>
  </si>
  <si>
    <t>The Phoenix Mills Ltd</t>
  </si>
  <si>
    <t>INE136B01020</t>
  </si>
  <si>
    <t>Cyient Ltd</t>
  </si>
  <si>
    <t>INE043D01016</t>
  </si>
  <si>
    <t>IDFC Ltd</t>
  </si>
  <si>
    <t>INE974X01010</t>
  </si>
  <si>
    <t>Tube Investments of India Ltd</t>
  </si>
  <si>
    <t>INE884B01025</t>
  </si>
  <si>
    <t>Kirloskar Ferrous Ind Ltd</t>
  </si>
  <si>
    <t>INE126A01031</t>
  </si>
  <si>
    <t>EID Parry India Ltd</t>
  </si>
  <si>
    <t>INE488A01050</t>
  </si>
  <si>
    <t>Chemplast Sanmar Ltd</t>
  </si>
  <si>
    <t>INE877F01012</t>
  </si>
  <si>
    <t>PTC India Ltd</t>
  </si>
  <si>
    <t>INE384A01010</t>
  </si>
  <si>
    <t>Rane Holdings Ltd</t>
  </si>
  <si>
    <t>INE144Z01023</t>
  </si>
  <si>
    <t>Tarsons Products Ltd</t>
  </si>
  <si>
    <t>Healthcare Equipment &amp; Supplies</t>
  </si>
  <si>
    <t>INE0H5O01029</t>
  </si>
  <si>
    <t>Windlas Biotech Ltd</t>
  </si>
  <si>
    <t>INE679A01013</t>
  </si>
  <si>
    <t>CSB Bank Ltd</t>
  </si>
  <si>
    <t>INE435A01028</t>
  </si>
  <si>
    <t>International Paper APPM Ltd</t>
  </si>
  <si>
    <t>Paper, Forest &amp; Jute Products</t>
  </si>
  <si>
    <t>Sundaram Mid Cap Fund</t>
  </si>
  <si>
    <t>INE200M01013</t>
  </si>
  <si>
    <t>Varun Beverages Ltd</t>
  </si>
  <si>
    <t>Beverages</t>
  </si>
  <si>
    <t>INE647A01010</t>
  </si>
  <si>
    <t>SRF Ltd</t>
  </si>
  <si>
    <t>INE171A01029</t>
  </si>
  <si>
    <t>The Federal Bank  Ltd</t>
  </si>
  <si>
    <t>INE761H01022</t>
  </si>
  <si>
    <t>Page Industries Ltd</t>
  </si>
  <si>
    <t>Textiles &amp; Apparels</t>
  </si>
  <si>
    <t>INE238A01034</t>
  </si>
  <si>
    <t>Axis Bank Ltd</t>
  </si>
  <si>
    <t>INE028A01039</t>
  </si>
  <si>
    <t>Bank of Baroda</t>
  </si>
  <si>
    <t>INE263A01024</t>
  </si>
  <si>
    <t>Bharat Electronics Ltd</t>
  </si>
  <si>
    <t>INE849A01020</t>
  </si>
  <si>
    <t>Trent Ltd</t>
  </si>
  <si>
    <t>Retailing</t>
  </si>
  <si>
    <t>INE437A01024</t>
  </si>
  <si>
    <t>Apollo Hospitals Enterprise Ltd</t>
  </si>
  <si>
    <t>INE721A01013</t>
  </si>
  <si>
    <t>Shriram Transport Finance Company Ltd</t>
  </si>
  <si>
    <t>INE018I01017</t>
  </si>
  <si>
    <t>MindTree Ltd</t>
  </si>
  <si>
    <t>INE180A01020</t>
  </si>
  <si>
    <t>Max Financial Services Ltd</t>
  </si>
  <si>
    <t>Insurance</t>
  </si>
  <si>
    <t>INE949L01017</t>
  </si>
  <si>
    <t>AU Small Finance Bank Ltd</t>
  </si>
  <si>
    <t>INE298A01020</t>
  </si>
  <si>
    <t>Cummins India Ltd</t>
  </si>
  <si>
    <t>INE226A01021</t>
  </si>
  <si>
    <t>Voltas Ltd</t>
  </si>
  <si>
    <t>INE571A01038</t>
  </si>
  <si>
    <t>IPCA Laboratories Ltd</t>
  </si>
  <si>
    <t>INE068V01023</t>
  </si>
  <si>
    <t>Gland Pharma Ltd</t>
  </si>
  <si>
    <t>INE465A01025</t>
  </si>
  <si>
    <t>Bharat Forge Ltd</t>
  </si>
  <si>
    <t>INE105A01035</t>
  </si>
  <si>
    <t>Sundaram Clayton Ltd</t>
  </si>
  <si>
    <t>INE356A01018</t>
  </si>
  <si>
    <t>MphasiS Ltd</t>
  </si>
  <si>
    <t>INE749A01030</t>
  </si>
  <si>
    <t>Jindal Steel &amp; Power Ltd</t>
  </si>
  <si>
    <t>INE169A01031</t>
  </si>
  <si>
    <t>Coromandel International Ltd</t>
  </si>
  <si>
    <t>Fertilizers &amp; Agrochemicals</t>
  </si>
  <si>
    <t>INE149A01033</t>
  </si>
  <si>
    <t>Cholamandalam Financial Holdings Ltd</t>
  </si>
  <si>
    <t>INE797F01020</t>
  </si>
  <si>
    <t>Jubilant Foodworks Ltd</t>
  </si>
  <si>
    <t>INE603J01030</t>
  </si>
  <si>
    <t>PI Industries Ltd</t>
  </si>
  <si>
    <t>INE548C01032</t>
  </si>
  <si>
    <t>Emami Ltd</t>
  </si>
  <si>
    <t>Personal Products</t>
  </si>
  <si>
    <t>INE303R01014</t>
  </si>
  <si>
    <t>Kalyan Jewellers India Ltd</t>
  </si>
  <si>
    <t>INE010V01017</t>
  </si>
  <si>
    <t>L&amp;T Technology Services Ltd</t>
  </si>
  <si>
    <t>INE256A01028</t>
  </si>
  <si>
    <t>Zee Entertainment Enterprises Ltd</t>
  </si>
  <si>
    <t>INE040A01034</t>
  </si>
  <si>
    <t>HDFC Bank Ltd</t>
  </si>
  <si>
    <t>INE115A01026</t>
  </si>
  <si>
    <t>LIC Housing Finance Ltd</t>
  </si>
  <si>
    <t>INE342J01019</t>
  </si>
  <si>
    <t>ZF Commercial Vehicle Control Systems I Ltd</t>
  </si>
  <si>
    <t>INE918I01018</t>
  </si>
  <si>
    <t>Bajaj Finserv Ltd</t>
  </si>
  <si>
    <t>INE061F01013</t>
  </si>
  <si>
    <t>Fortis Health Care Ltd</t>
  </si>
  <si>
    <t>INE987B01026</t>
  </si>
  <si>
    <t>Natco Pharma Ltd</t>
  </si>
  <si>
    <t>INE192A01025</t>
  </si>
  <si>
    <t>TATA Consumer Products Ltd</t>
  </si>
  <si>
    <t>INE006I01046</t>
  </si>
  <si>
    <t>Astral Ltd</t>
  </si>
  <si>
    <t>INE405E01023</t>
  </si>
  <si>
    <t>Minda Industries Ltd</t>
  </si>
  <si>
    <t>INE317I01021</t>
  </si>
  <si>
    <t>Metro Brands Ltd</t>
  </si>
  <si>
    <t>INE494B01023</t>
  </si>
  <si>
    <t>TVS Motor Company Ltd</t>
  </si>
  <si>
    <t>INE935N01020</t>
  </si>
  <si>
    <t>Dixon Technologies (India) Ltd</t>
  </si>
  <si>
    <t>INE763G01038</t>
  </si>
  <si>
    <t>ICICI Securities Ltd</t>
  </si>
  <si>
    <t>INE217B01036</t>
  </si>
  <si>
    <t>Kajaria Ceramics Ltd</t>
  </si>
  <si>
    <t>INE787D01026</t>
  </si>
  <si>
    <t>Balkrishna Industries Ltd</t>
  </si>
  <si>
    <t>INE00R701025</t>
  </si>
  <si>
    <t>Dalmia Cement (Bharat) Ltd.</t>
  </si>
  <si>
    <t>INE930P01018</t>
  </si>
  <si>
    <t>Anupam Rasayan India Ltd</t>
  </si>
  <si>
    <t>Sundaram Multi Cap Fund Series I</t>
  </si>
  <si>
    <t>INE009A01021</t>
  </si>
  <si>
    <t>Infosys Ltd</t>
  </si>
  <si>
    <t>INE001A01036</t>
  </si>
  <si>
    <t>Housing Development Finance Corporation Ltd</t>
  </si>
  <si>
    <t>INE467B01029</t>
  </si>
  <si>
    <t>Tata Consultancy Services Ltd</t>
  </si>
  <si>
    <t>INE123W01016</t>
  </si>
  <si>
    <t>SBI Life Insurance Company Ltd</t>
  </si>
  <si>
    <t>INE044A01036</t>
  </si>
  <si>
    <t>Sun Pharmaceutical Industries Ltd</t>
  </si>
  <si>
    <t>INE030A01027</t>
  </si>
  <si>
    <t>Hindustan UniLever Ltd</t>
  </si>
  <si>
    <t>Diversified Fmcg</t>
  </si>
  <si>
    <t>INE101A01026</t>
  </si>
  <si>
    <t>Mahindra &amp; Mahindra Ltd</t>
  </si>
  <si>
    <t>INE860A01027</t>
  </si>
  <si>
    <t>HCL Technologies Ltd</t>
  </si>
  <si>
    <t>INE075A01022</t>
  </si>
  <si>
    <t>Wipro Ltd</t>
  </si>
  <si>
    <t>INE154A01025</t>
  </si>
  <si>
    <t>ITC Ltd</t>
  </si>
  <si>
    <t>INE669C01036</t>
  </si>
  <si>
    <t>Tech Mahindra Ltd</t>
  </si>
  <si>
    <t>INE095A01012</t>
  </si>
  <si>
    <t>IndusInd Bank Ltd</t>
  </si>
  <si>
    <t>INE722A01011</t>
  </si>
  <si>
    <t>Shriram City Union Finance Ltd</t>
  </si>
  <si>
    <t>INE237A01028</t>
  </si>
  <si>
    <t>Kotak Mahindra Bank Ltd</t>
  </si>
  <si>
    <t>INE731H01025</t>
  </si>
  <si>
    <t>ACTION CONSTRUCTION EQUIPMENTS LTD</t>
  </si>
  <si>
    <t>INE081A01012</t>
  </si>
  <si>
    <t>Tata Steel Ltd</t>
  </si>
  <si>
    <t>INE038A01020</t>
  </si>
  <si>
    <t>Hindalco Industries Ltd</t>
  </si>
  <si>
    <t>Non - Ferrous Metals</t>
  </si>
  <si>
    <t>IN9397D01014</t>
  </si>
  <si>
    <t>Sundaram Multi Cap Fund -Series II</t>
  </si>
  <si>
    <t>Sundaram Large and Mid Cap Fund</t>
  </si>
  <si>
    <t>INE073K01018</t>
  </si>
  <si>
    <t>Sona BLW Precision Forgings Ltd</t>
  </si>
  <si>
    <t>INE476A01014</t>
  </si>
  <si>
    <t>Canara Bank</t>
  </si>
  <si>
    <t>INE361B01024</t>
  </si>
  <si>
    <t>Divis Laboratories Ltd</t>
  </si>
  <si>
    <t>INE893J01029</t>
  </si>
  <si>
    <t>Mold-Tek Packaging Ltd</t>
  </si>
  <si>
    <t>INE296A01024</t>
  </si>
  <si>
    <t>Bajaj Finance Ltd</t>
  </si>
  <si>
    <t>INE155A01022</t>
  </si>
  <si>
    <t>Tata Motors Ltd</t>
  </si>
  <si>
    <t>INE586V01016</t>
  </si>
  <si>
    <t>TCI Express Ltd</t>
  </si>
  <si>
    <t>INE192R01011</t>
  </si>
  <si>
    <t>Avenue Supermarts Ltd</t>
  </si>
  <si>
    <t>INE100A01010</t>
  </si>
  <si>
    <t>Atul Ltd</t>
  </si>
  <si>
    <t>INE131B01039</t>
  </si>
  <si>
    <t>Relaxo Footwears Ltd</t>
  </si>
  <si>
    <t>INE070A01015</t>
  </si>
  <si>
    <t>Shree Cement Ltd</t>
  </si>
  <si>
    <t>INE844O01030</t>
  </si>
  <si>
    <t>Gujarat Gas Co Ltd</t>
  </si>
  <si>
    <t>INE388Y01029</t>
  </si>
  <si>
    <t>FSN E–Commerce Ventures Ltd(NYKAA)</t>
  </si>
  <si>
    <t>INE775A01035</t>
  </si>
  <si>
    <t>Samvardhana Motherson International Ltd</t>
  </si>
  <si>
    <t>INE387A01021</t>
  </si>
  <si>
    <t>Sundram Fasteners Ltd</t>
  </si>
  <si>
    <t>INE280A01028</t>
  </si>
  <si>
    <t>Titan Company Ltd</t>
  </si>
  <si>
    <t>INE0J1Y01017</t>
  </si>
  <si>
    <t>LIC of India Ltd</t>
  </si>
  <si>
    <t>Sundaram Emerging Small Cap Series I</t>
  </si>
  <si>
    <t>INE045A01017</t>
  </si>
  <si>
    <t>Ador Welding Ltd</t>
  </si>
  <si>
    <t>INE717A01029</t>
  </si>
  <si>
    <t>Kennametal India Ltd</t>
  </si>
  <si>
    <t>INE429E01023</t>
  </si>
  <si>
    <t>Safari Industries (India) Ltd</t>
  </si>
  <si>
    <t>INE688A01022</t>
  </si>
  <si>
    <t>Transport Corporation of India Ltd</t>
  </si>
  <si>
    <t>INE120A01034</t>
  </si>
  <si>
    <t>Carborundum Universal Ltd</t>
  </si>
  <si>
    <t>INE741K01010</t>
  </si>
  <si>
    <t>Creditaccess Grameen Ltd</t>
  </si>
  <si>
    <t>INE472A01039</t>
  </si>
  <si>
    <t>Blue Star Ltd</t>
  </si>
  <si>
    <t>INE743M01012</t>
  </si>
  <si>
    <t>RHI Magnesita India Ltd</t>
  </si>
  <si>
    <t>INE296E01026</t>
  </si>
  <si>
    <t>Rajapalayam Mills Ltd</t>
  </si>
  <si>
    <t>INE750A01020</t>
  </si>
  <si>
    <t>Oriental Hotels Ltd</t>
  </si>
  <si>
    <t>INE325A01013</t>
  </si>
  <si>
    <t>Timken India Ltd</t>
  </si>
  <si>
    <t>INE290S01011</t>
  </si>
  <si>
    <t>CarTrade Tech Ltd</t>
  </si>
  <si>
    <t>Sundaram Emerging Small Cap Series II</t>
  </si>
  <si>
    <t>Sundaram Emerging Small Cap Series III</t>
  </si>
  <si>
    <t>INE386A01015</t>
  </si>
  <si>
    <t>Vesuvius India Ltd</t>
  </si>
  <si>
    <t>Sundaram Emerging Small Cap Series IV</t>
  </si>
  <si>
    <t>Sundaram Emerging Small Cap Series V</t>
  </si>
  <si>
    <t>Sundaram Emerging Small Cap Series VI</t>
  </si>
  <si>
    <t>Sundaram Emerging Small Cap Series VII</t>
  </si>
  <si>
    <t>INE058A01010</t>
  </si>
  <si>
    <t>Sanofi India Ltd</t>
  </si>
  <si>
    <t>INE716A01013</t>
  </si>
  <si>
    <t>Whirlpool of India Ltd</t>
  </si>
  <si>
    <t>INE182A01018</t>
  </si>
  <si>
    <t>Pfizer Ltd</t>
  </si>
  <si>
    <t>INE517F01014</t>
  </si>
  <si>
    <t>Gujarat Pipavav Port Ltd</t>
  </si>
  <si>
    <t>Sundaram Long Term Tax Advantage Fund Series III</t>
  </si>
  <si>
    <t>Sundaram Long Term Tax Advantage Fund Series IV</t>
  </si>
  <si>
    <t>Sundaram Long Term Tax Advantage Fund Series-I</t>
  </si>
  <si>
    <t>INE059A01026</t>
  </si>
  <si>
    <t>Cipla Ltd</t>
  </si>
  <si>
    <t>INE647O01011</t>
  </si>
  <si>
    <t>Aditya Birla Fashion and Retail Ltd</t>
  </si>
  <si>
    <t>INE340A01012</t>
  </si>
  <si>
    <t>Birla Corporation Ltd</t>
  </si>
  <si>
    <t>Sundaram Long Term Tax Advantage Fund Series-II</t>
  </si>
  <si>
    <t>Sundaram Long Term Micro Cap Tax Advantage Fund Series III</t>
  </si>
  <si>
    <t>Sundaram Long Term Micro Cap Tax Advantage Fund Series IV</t>
  </si>
  <si>
    <t>Sundaram Long Term Micro Cap Tax Advantage Fund Series V</t>
  </si>
  <si>
    <t>Sundaram Long Term Micro Cap Tax Advantage Fund Series VI</t>
  </si>
  <si>
    <t>Sundaram Small Cap Fund</t>
  </si>
  <si>
    <t>INE098F01031</t>
  </si>
  <si>
    <t>Amrutanjan Health Care Ltd</t>
  </si>
  <si>
    <t>INE596I01012</t>
  </si>
  <si>
    <t>Computer Age Management Services Ltd</t>
  </si>
  <si>
    <t>INE136S01016</t>
  </si>
  <si>
    <t>Neogen Chemicals Ltd</t>
  </si>
  <si>
    <t>INE944F01028</t>
  </si>
  <si>
    <t>Radico Khaitan Ltd</t>
  </si>
  <si>
    <t>INE836A01035</t>
  </si>
  <si>
    <t>Birlasoft Ltd</t>
  </si>
  <si>
    <t>INE0BV301023</t>
  </si>
  <si>
    <t>CE Info Systems Private Limited</t>
  </si>
  <si>
    <t>INE725G01011</t>
  </si>
  <si>
    <t>ICRA Ltd</t>
  </si>
  <si>
    <t>INE094J01016</t>
  </si>
  <si>
    <t>UTI Asset Management Co Ltd</t>
  </si>
  <si>
    <t>IN9155A01020</t>
  </si>
  <si>
    <t>INE03QK01018</t>
  </si>
  <si>
    <t>Suven Pharmaceuticals Ltd</t>
  </si>
  <si>
    <t>INE142Z01019</t>
  </si>
  <si>
    <t>Orient Electric Ltd</t>
  </si>
  <si>
    <t>INE768C01010</t>
  </si>
  <si>
    <t>Zydus Wellness Ltd</t>
  </si>
  <si>
    <t>INE736A01011</t>
  </si>
  <si>
    <t>Central Depository Services (India) Ltd</t>
  </si>
  <si>
    <t>INE287B01021</t>
  </si>
  <si>
    <t>Subros Ltd</t>
  </si>
  <si>
    <t>INE451A01017</t>
  </si>
  <si>
    <t>Force Motors Ltd</t>
  </si>
  <si>
    <t>INE119A01028</t>
  </si>
  <si>
    <t>Balrampur Chini Mills Ltd</t>
  </si>
  <si>
    <t>INE177F01017</t>
  </si>
  <si>
    <t>Kovai Medical Center &amp; Hospital Ltd</t>
  </si>
  <si>
    <t>INE634I01029</t>
  </si>
  <si>
    <t>KNR Construction Ltd</t>
  </si>
  <si>
    <t>INE670A01012</t>
  </si>
  <si>
    <t>Tata Elxsi Ltd</t>
  </si>
  <si>
    <t>INE930H01031</t>
  </si>
  <si>
    <t>K.P.R. Mill Ltd</t>
  </si>
  <si>
    <t>INE739E01017</t>
  </si>
  <si>
    <t>Cera Sanitaryware Ltd</t>
  </si>
  <si>
    <t>INE054A01027</t>
  </si>
  <si>
    <t>VIP Industries Ltd</t>
  </si>
  <si>
    <t>INE450U01017</t>
  </si>
  <si>
    <t>Route Mobile Ltd</t>
  </si>
  <si>
    <t>INE544R01021</t>
  </si>
  <si>
    <t>Greenlam Industries Ltd</t>
  </si>
  <si>
    <t>INE0BJS01011</t>
  </si>
  <si>
    <t>Go Fashion (India ) Ltd</t>
  </si>
  <si>
    <t>INE600K01018</t>
  </si>
  <si>
    <t>Galaxy Surfactants Ltd</t>
  </si>
  <si>
    <t>INE825V01034</t>
  </si>
  <si>
    <t>Vedant Fashions Ltd</t>
  </si>
  <si>
    <t>INE112L01020</t>
  </si>
  <si>
    <t>Metropolis Healthcare Ltd</t>
  </si>
  <si>
    <t>INE049A01027</t>
  </si>
  <si>
    <t>Himatsingka Seide Ltd</t>
  </si>
  <si>
    <t>INE021A01026</t>
  </si>
  <si>
    <t>Asian Paints Ltd</t>
  </si>
  <si>
    <t>INE158A01026</t>
  </si>
  <si>
    <t>Hero MotoCorp Ltd</t>
  </si>
  <si>
    <t>INE016A01026</t>
  </si>
  <si>
    <t>Dabur India Ltd</t>
  </si>
  <si>
    <t>INE795G01014</t>
  </si>
  <si>
    <t>HDFC Life Insurance Company Ltd</t>
  </si>
  <si>
    <t>INE406A01037</t>
  </si>
  <si>
    <t>Aurobindo Pharma Ltd</t>
  </si>
  <si>
    <t>Stock Future</t>
  </si>
  <si>
    <t>IN002021Y445</t>
  </si>
  <si>
    <t>Sovereign</t>
  </si>
  <si>
    <t>INF173K01GU0</t>
  </si>
  <si>
    <t>Margin Money For Derivatives</t>
  </si>
  <si>
    <t>Sundaram Dividend Yield Fund</t>
  </si>
  <si>
    <t>INE917I01010</t>
  </si>
  <si>
    <t>Bajaj Auto Ltd</t>
  </si>
  <si>
    <t>INE212H01026</t>
  </si>
  <si>
    <t>AIA Engineering Ltd</t>
  </si>
  <si>
    <t>INE916U01025</t>
  </si>
  <si>
    <t>Sheela Foam Ltd</t>
  </si>
  <si>
    <t>INE710A01016</t>
  </si>
  <si>
    <t>VST Industries Ltd</t>
  </si>
  <si>
    <t>Cigarettes &amp; Tobacco Products</t>
  </si>
  <si>
    <t>INE216A01030</t>
  </si>
  <si>
    <t>Britannia Industries Ltd</t>
  </si>
  <si>
    <t>INE267A01025</t>
  </si>
  <si>
    <t>Hindustan Zinc Ltd</t>
  </si>
  <si>
    <t>INE066A01021</t>
  </si>
  <si>
    <t>Eicher Motors Ltd</t>
  </si>
  <si>
    <t>INE482A01020</t>
  </si>
  <si>
    <t>Ceat Ltd</t>
  </si>
  <si>
    <t>INE02CF01010</t>
  </si>
  <si>
    <t>INE759J01022</t>
  </si>
  <si>
    <t>IDIA00069480</t>
  </si>
  <si>
    <t>IDIA00069477</t>
  </si>
  <si>
    <t>INE216A08027</t>
  </si>
  <si>
    <t>Britannia Industries Ltd - 5.5% - 03/06/2024**</t>
  </si>
  <si>
    <t>CRISIL AAA</t>
  </si>
  <si>
    <t>** Thinly traded / Non Traded Securities</t>
  </si>
  <si>
    <t>Sundaram Equity Savings Fund</t>
  </si>
  <si>
    <t>INE214T01019</t>
  </si>
  <si>
    <t>Larsen &amp; Toubro Infotech Ltd</t>
  </si>
  <si>
    <t>INE854D01024</t>
  </si>
  <si>
    <t>United Spirits Ltd</t>
  </si>
  <si>
    <t>INE227W01023</t>
  </si>
  <si>
    <t>Clean Science &amp; Technology Ltd</t>
  </si>
  <si>
    <t>INE774D01024</t>
  </si>
  <si>
    <t>Mahindra &amp; Mahindra Financial Services Ltd</t>
  </si>
  <si>
    <t>INE562A01011</t>
  </si>
  <si>
    <t>Indian Bank</t>
  </si>
  <si>
    <t>INE765G01017</t>
  </si>
  <si>
    <t>ICICI Lombard General Insurance Company Ltd</t>
  </si>
  <si>
    <t>INE591G01017</t>
  </si>
  <si>
    <t>Coforge Ltd</t>
  </si>
  <si>
    <t>INE115A07OV2</t>
  </si>
  <si>
    <t>LIC Housing Finance Ltd - 5.45% - 25/08/2023**</t>
  </si>
  <si>
    <t>CARE AAA</t>
  </si>
  <si>
    <t>INE020B08AT3</t>
  </si>
  <si>
    <t>REC Ltd - 7.99% - 23/02/2023**</t>
  </si>
  <si>
    <t>INE053F07BB3</t>
  </si>
  <si>
    <t>Indian Railway Finance Corporation Ltd - 8.25% - 28/02/2024**</t>
  </si>
  <si>
    <t>INE733E07JD2</t>
  </si>
  <si>
    <t>NTPC Ltd - 8.8% - 04/04/2023**</t>
  </si>
  <si>
    <t>INE020B08CG6</t>
  </si>
  <si>
    <t>REC Ltd - 7.24% - 31/12/2022**</t>
  </si>
  <si>
    <t>INE261F08CA0</t>
  </si>
  <si>
    <t>National Bank for Agricultural &amp; Rural Development - 6.4% - 31/07/2023</t>
  </si>
  <si>
    <t>ICRA AAA</t>
  </si>
  <si>
    <t>IN0020200112</t>
  </si>
  <si>
    <t>5.22% Central Government Securities 15/06/2025</t>
  </si>
  <si>
    <t>IN0020200278</t>
  </si>
  <si>
    <t>5.15% Central Government Securities 09/11/2025</t>
  </si>
  <si>
    <t>IN2220150022</t>
  </si>
  <si>
    <t>8.14% Maharashtra State Development Loan 27/05/2025</t>
  </si>
  <si>
    <t>IN0020190396</t>
  </si>
  <si>
    <t>6.18% Central Government Securities 04/11/2024</t>
  </si>
  <si>
    <t>IN002021Y510</t>
  </si>
  <si>
    <t>IN002021Y528</t>
  </si>
  <si>
    <t>Sundaram Multi Cap Fund</t>
  </si>
  <si>
    <t>INE470A01017</t>
  </si>
  <si>
    <t>3M India Ltd</t>
  </si>
  <si>
    <t>Diversified</t>
  </si>
  <si>
    <t>INE852S01026</t>
  </si>
  <si>
    <t>INE147E01013</t>
  </si>
  <si>
    <t>INE431E01011</t>
  </si>
  <si>
    <t>INE406B01019</t>
  </si>
  <si>
    <t>INE604A01011</t>
  </si>
  <si>
    <t>IDIA00069359</t>
  </si>
  <si>
    <t>IDIA00069356</t>
  </si>
  <si>
    <t>INE348C01011</t>
  </si>
  <si>
    <t>INE982J01020</t>
  </si>
  <si>
    <t>One 97 Communications Ltd</t>
  </si>
  <si>
    <t>Financial Technology (Fintech)</t>
  </si>
  <si>
    <t>INE423A01024</t>
  </si>
  <si>
    <t>Adani Enterprises</t>
  </si>
  <si>
    <t>Metals &amp; Minerals Trading</t>
  </si>
  <si>
    <t>INE102D01028</t>
  </si>
  <si>
    <t>Godrej Consumer Products Ltd</t>
  </si>
  <si>
    <t>INE323A01026</t>
  </si>
  <si>
    <t>Bosch Ltd</t>
  </si>
  <si>
    <t>INE003A01024</t>
  </si>
  <si>
    <t>Siemens Ltd</t>
  </si>
  <si>
    <t>INE685A01028</t>
  </si>
  <si>
    <t>Torrent Pharmaceuticals Ltd</t>
  </si>
  <si>
    <t>INE239A01016</t>
  </si>
  <si>
    <t>Nestle India Ltd</t>
  </si>
  <si>
    <t>INE012A01025</t>
  </si>
  <si>
    <t>ACC Ltd</t>
  </si>
  <si>
    <t>INE726G01019</t>
  </si>
  <si>
    <t>ICICI Prudential Life Insurance Company Ltd</t>
  </si>
  <si>
    <t>INE089A01023</t>
  </si>
  <si>
    <t>Dr. Reddys Laboratories Ltd</t>
  </si>
  <si>
    <t>INE931S01010</t>
  </si>
  <si>
    <t>Adani Transmission Ltd</t>
  </si>
  <si>
    <t>INE364U01010</t>
  </si>
  <si>
    <t>Adani Green Energy Ltd</t>
  </si>
  <si>
    <t>INE010B01027</t>
  </si>
  <si>
    <t>Zydus Lifesciences Ltd</t>
  </si>
  <si>
    <t>INE196A01026</t>
  </si>
  <si>
    <t>Marico Ltd</t>
  </si>
  <si>
    <t>INE259A01022</t>
  </si>
  <si>
    <t>Colgate Palmolive (India) Ltd</t>
  </si>
  <si>
    <t>INE522F01014</t>
  </si>
  <si>
    <t>Coal India Ltd</t>
  </si>
  <si>
    <t>Consumable Fuels</t>
  </si>
  <si>
    <t>INE176B01034</t>
  </si>
  <si>
    <t>Havells India Ltd</t>
  </si>
  <si>
    <t>INE179A01014</t>
  </si>
  <si>
    <t>Procter &amp; Gamble Hygiene and Health Care Ltd</t>
  </si>
  <si>
    <t>INE118A01012</t>
  </si>
  <si>
    <t>Bajaj Holdings &amp; Investment Ltd</t>
  </si>
  <si>
    <t>INE018E01016</t>
  </si>
  <si>
    <t>SBI Cards and Payment Services Ltd</t>
  </si>
  <si>
    <t>INE376G01013</t>
  </si>
  <si>
    <t>Biocon Ltd</t>
  </si>
  <si>
    <t>INE545U01014</t>
  </si>
  <si>
    <t>Bandhan Bank Ltd</t>
  </si>
  <si>
    <t>INE318A01026</t>
  </si>
  <si>
    <t>Pidilite Industries Ltd</t>
  </si>
  <si>
    <t>INE271C01023</t>
  </si>
  <si>
    <t>DLF Ltd</t>
  </si>
  <si>
    <t>INE663F01024</t>
  </si>
  <si>
    <t>Info Edge (India) Ltd</t>
  </si>
  <si>
    <t>INE127D01025</t>
  </si>
  <si>
    <t>HDFC Asset Management Company Ltd</t>
  </si>
  <si>
    <t>INE463A01038</t>
  </si>
  <si>
    <t>Berger Paints (I) Ltd</t>
  </si>
  <si>
    <t>INE646L01027</t>
  </si>
  <si>
    <t>Interglobe Aviation Ltd</t>
  </si>
  <si>
    <t>INE047A01021</t>
  </si>
  <si>
    <t>Grasim Industries Ltd</t>
  </si>
  <si>
    <t>INE160A01022</t>
  </si>
  <si>
    <t>Punjab National Bank</t>
  </si>
  <si>
    <t>INE628A01036</t>
  </si>
  <si>
    <t>UPL Ltd</t>
  </si>
  <si>
    <t>INE326A01037</t>
  </si>
  <si>
    <t>Lupin Ltd</t>
  </si>
  <si>
    <t>INE019A01038</t>
  </si>
  <si>
    <t>JSW Steel Ltd</t>
  </si>
  <si>
    <t>INE414G01012</t>
  </si>
  <si>
    <t>Muthoot Finance Ltd</t>
  </si>
  <si>
    <t>INE140A01024</t>
  </si>
  <si>
    <t>Piramal Enterprises Ltd</t>
  </si>
  <si>
    <t>INE758T01015</t>
  </si>
  <si>
    <t>Zomato Ltd</t>
  </si>
  <si>
    <t>INE584A01023</t>
  </si>
  <si>
    <t>NMDC Ltd</t>
  </si>
  <si>
    <t>Minerals &amp; Mining</t>
  </si>
  <si>
    <t>INE205A01025</t>
  </si>
  <si>
    <t>Vedanta Ltd</t>
  </si>
  <si>
    <t>Diversified Metals</t>
  </si>
  <si>
    <t>INEDUMMYYESB</t>
  </si>
  <si>
    <t>Sundaram Rural and Consumption Fund</t>
  </si>
  <si>
    <t>INE872J01023</t>
  </si>
  <si>
    <t>Devyani international limited</t>
  </si>
  <si>
    <t>INE355A01028</t>
  </si>
  <si>
    <t>Somany Ceramics Ltd</t>
  </si>
  <si>
    <t>INE418L01021</t>
  </si>
  <si>
    <t>Nazara Technologies Ltd</t>
  </si>
  <si>
    <t>Sundaram Services Fund</t>
  </si>
  <si>
    <t>INE191H01014</t>
  </si>
  <si>
    <t>PVR Ltd</t>
  </si>
  <si>
    <t>INE970X01018</t>
  </si>
  <si>
    <t>Lemon Tree Hotels Ltd</t>
  </si>
  <si>
    <t>INE419U01012</t>
  </si>
  <si>
    <t>Happiest Minds Technologies Limited</t>
  </si>
  <si>
    <t>INE0CLI01024</t>
  </si>
  <si>
    <t>Rate Gain Travel Technologies Ltd</t>
  </si>
  <si>
    <t>INE07T201019</t>
  </si>
  <si>
    <t>Restaurant Brands Asia Ltd</t>
  </si>
  <si>
    <t>MU0295S00016</t>
  </si>
  <si>
    <t>Make My Trip Ltd (USD)</t>
  </si>
  <si>
    <t>Sundaram Diversified Equity</t>
  </si>
  <si>
    <t>Sundaram Large Cap Fund</t>
  </si>
  <si>
    <t>Sundaram Financial Services Opportunities Fund</t>
  </si>
  <si>
    <t>Institutional Plan - Growth</t>
  </si>
  <si>
    <t>Sundaram Aggressive Hybrid Fund</t>
  </si>
  <si>
    <t>INE261F08CS2</t>
  </si>
  <si>
    <t>National Bank for Agricultural &amp; Rural Development - 4.6% - 29/07/2022**</t>
  </si>
  <si>
    <t>INE556F08JO9</t>
  </si>
  <si>
    <t>Small Industries Development Bank of India - 6.8% - 29/09/2022**</t>
  </si>
  <si>
    <t>INE134E08KO6</t>
  </si>
  <si>
    <t>Power Finance Corporation Ltd - 6.83% - 24/04/2023**</t>
  </si>
  <si>
    <t>INE062A08157</t>
  </si>
  <si>
    <t>CRISIL AA+</t>
  </si>
  <si>
    <t>INE020B08DR1</t>
  </si>
  <si>
    <t>REC Ltd - 5.74% - 20/06/2024**</t>
  </si>
  <si>
    <t>INE115A07OZ3</t>
  </si>
  <si>
    <t>LIC Housing Finance Ltd - 4.96% - 14/09/2023**</t>
  </si>
  <si>
    <t>INE028A08158</t>
  </si>
  <si>
    <t>IND AAA</t>
  </si>
  <si>
    <t>INE557F08FG1</t>
  </si>
  <si>
    <t>National Housing Bank  - 7.05% - 18/12/2024**</t>
  </si>
  <si>
    <t>INE001A07SG6</t>
  </si>
  <si>
    <t>Housing Development Finance Corporation Ltd - 7.35% - 10/02/2025**</t>
  </si>
  <si>
    <t>INE028A08117</t>
  </si>
  <si>
    <t>INE134E08KD9</t>
  </si>
  <si>
    <t>Power Finance Corporation Ltd - 8.1% - 04/06/2024**</t>
  </si>
  <si>
    <t>INE261F08BK1</t>
  </si>
  <si>
    <t>National Bank for Agricultural &amp; Rural Development - 7.69% - 29/05/2024</t>
  </si>
  <si>
    <t>INE018A08BA7</t>
  </si>
  <si>
    <t>Larsen &amp; Toubro Ltd - 7.7% - 28/04/2025**</t>
  </si>
  <si>
    <t>INE115A07OJ7</t>
  </si>
  <si>
    <t>LIC Housing Finance Ltd - 7.445% - 13/01/2023**</t>
  </si>
  <si>
    <t>INE115A07PC9</t>
  </si>
  <si>
    <t>LIC Housing Finance Ltd - 5.35% - 20/03/2023**</t>
  </si>
  <si>
    <t>INE261F08DI1</t>
  </si>
  <si>
    <t>National Bank for Agricultural &amp; Rural Development - 5.23% - 31/01/2025**</t>
  </si>
  <si>
    <t>INE090A08TU6</t>
  </si>
  <si>
    <t>ICICI Bank Ltd - 7.6% - 07/10/2023**</t>
  </si>
  <si>
    <t>INE261F08AT4</t>
  </si>
  <si>
    <t>National Bank for Agricultural &amp; Rural Development - 8.5% - 31/01/2023**</t>
  </si>
  <si>
    <t>INE556F08JN1</t>
  </si>
  <si>
    <t>Small Industries Development Bank of India - 6.99% - 08/08/2022**</t>
  </si>
  <si>
    <t>INE557F08FI7</t>
  </si>
  <si>
    <t>National Housing Bank  - 6.55% - 17/04/2023**</t>
  </si>
  <si>
    <t>INE528G08246</t>
  </si>
  <si>
    <t>ICRA BBB</t>
  </si>
  <si>
    <t>INE261F08DF7</t>
  </si>
  <si>
    <t>National Bank for Agricultural &amp; Rural Development - 5.27% - 23/07/2024</t>
  </si>
  <si>
    <t>INE895D07487</t>
  </si>
  <si>
    <t>Tata Sons Pvt Ltd - 9.3% - 19/06/2024**</t>
  </si>
  <si>
    <t>IN0020220052</t>
  </si>
  <si>
    <t xml:space="preserve">6.69% Government Securities 27/06/2024 </t>
  </si>
  <si>
    <t>IN0020130012</t>
  </si>
  <si>
    <t>7.16% Central Government Securities 20/05/2023</t>
  </si>
  <si>
    <t>IN0020160050</t>
  </si>
  <si>
    <t xml:space="preserve">6.84% Central Government Securities 19/12/2022 </t>
  </si>
  <si>
    <t>IN2220150030</t>
  </si>
  <si>
    <t>8.25% Maharashtra State Development Loan 10/06/2025</t>
  </si>
  <si>
    <t>IN1920140119</t>
  </si>
  <si>
    <t>8.08% Karnataka State Development Loan 11/03/2025</t>
  </si>
  <si>
    <t>IN2220140205</t>
  </si>
  <si>
    <t>8.06% Maharashtra State Development Loan 11/02/2025</t>
  </si>
  <si>
    <t>IN0020070051</t>
  </si>
  <si>
    <t>8.13% Central Government Securities 21/09/2022</t>
  </si>
  <si>
    <t>INE160A16MG4</t>
  </si>
  <si>
    <t>Punjab National Bank - 06/09/2022**</t>
  </si>
  <si>
    <t>CRISIL A1+</t>
  </si>
  <si>
    <t>INE476A16ST4</t>
  </si>
  <si>
    <t>Canara Bank - 22/08/2022**</t>
  </si>
  <si>
    <t>INE514E16BX2</t>
  </si>
  <si>
    <t>Export Import Bank of India - 14/09/2022**</t>
  </si>
  <si>
    <t>INE028A16CO8</t>
  </si>
  <si>
    <t>Bank of Baroda - 14/02/2023**</t>
  </si>
  <si>
    <t>IND A1+</t>
  </si>
  <si>
    <t>INE040A16DA0</t>
  </si>
  <si>
    <t>HDFC Bank Ltd - 06/10/2022**</t>
  </si>
  <si>
    <t>INE514E14QH8</t>
  </si>
  <si>
    <t>Export Import Bank of India - 30/09/2022**</t>
  </si>
  <si>
    <t>INE001A14YV9</t>
  </si>
  <si>
    <t>Housing Development Finance Corporation Ltd - 17/05/2023**</t>
  </si>
  <si>
    <t>IN002022X106</t>
  </si>
  <si>
    <t>91 Days - T Bill - 08/09/2022</t>
  </si>
  <si>
    <t>IN002021Y536</t>
  </si>
  <si>
    <t>IN002021Z426</t>
  </si>
  <si>
    <t>IN002021Z368</t>
  </si>
  <si>
    <t>Cash and Other Net Current Assets^</t>
  </si>
  <si>
    <t>**Non Traded Securities</t>
  </si>
  <si>
    <t>^ Net current assets includes interest accrued on fixed income securities</t>
  </si>
  <si>
    <t>Individual &amp; HUF</t>
  </si>
  <si>
    <t>Others</t>
  </si>
  <si>
    <t>Sundaram Balanced Advantage Fund</t>
  </si>
  <si>
    <t>INE092A01019</t>
  </si>
  <si>
    <t>Tata Chemicals Ltd</t>
  </si>
  <si>
    <t>Index Future</t>
  </si>
  <si>
    <t>INE094A08085</t>
  </si>
  <si>
    <t>Hindustan Petroleum Corporation Ltd - 4.79% - 23/10/2023**</t>
  </si>
  <si>
    <t>INE115A07OH1</t>
  </si>
  <si>
    <t>LIC Housing Finance Ltd - 7.6% - 22/11/2022**</t>
  </si>
  <si>
    <t>INE001A07SH4</t>
  </si>
  <si>
    <t>Housing Development Finance Corporation Ltd - 6.99% - 13/02/2023</t>
  </si>
  <si>
    <t>INE020B08CN2</t>
  </si>
  <si>
    <t>REC Ltd - 6.8% - 30/06/2023**</t>
  </si>
  <si>
    <t>INE261F08BW6</t>
  </si>
  <si>
    <t>National Bank for Agricultural &amp; Rural Development - 6.72% - 14/04/2023**</t>
  </si>
  <si>
    <t>INE001A07SQ5</t>
  </si>
  <si>
    <t>Housing Development Finance Corporation Ltd - 4.95% - 09/09/2022**</t>
  </si>
  <si>
    <t>INE020B08DC3</t>
  </si>
  <si>
    <t>REC Ltd - 5.69% - 30/09/2023</t>
  </si>
  <si>
    <t>INE115A07CY1</t>
  </si>
  <si>
    <t>LIC Housing Finance Ltd - 9.3% - 14/09/2022**</t>
  </si>
  <si>
    <t>INE134E08KJ6</t>
  </si>
  <si>
    <t>Power Finance Corporation Ltd - 7.04% - 14/04/2023**</t>
  </si>
  <si>
    <t>INE031A08731</t>
  </si>
  <si>
    <t>Housing and Urban Development Corp. Ltd - 7.34% - 16/09/2022**</t>
  </si>
  <si>
    <t>INE053F07BZ2</t>
  </si>
  <si>
    <t>Indian Railway Finance Corporation Ltd - 6.59% - 14/04/2023**</t>
  </si>
  <si>
    <t>INE242A08460</t>
  </si>
  <si>
    <t>Indian Oil Corporation Ltd - 5.05% - 25/11/2022**</t>
  </si>
  <si>
    <t>IN0020210046</t>
  </si>
  <si>
    <t>4.26% Central Government Securities 17/05/2023</t>
  </si>
  <si>
    <t>IN2220170111</t>
  </si>
  <si>
    <t>7.02% Maharashtra State Development Loan 27/09/2022</t>
  </si>
  <si>
    <t>-</t>
  </si>
  <si>
    <t>S.NO.</t>
  </si>
  <si>
    <t>ACRONYM</t>
  </si>
  <si>
    <t>SCHEME NAME</t>
  </si>
  <si>
    <t>CAPEXG</t>
  </si>
  <si>
    <t>MICAP16</t>
  </si>
  <si>
    <t>MICAP17</t>
  </si>
  <si>
    <t>MIDCAP</t>
  </si>
  <si>
    <t>MULTI1</t>
  </si>
  <si>
    <t>MULTI2</t>
  </si>
  <si>
    <t>Sundaram Multi Cap Fund Series II</t>
  </si>
  <si>
    <t>MULTIP</t>
  </si>
  <si>
    <t>Sundaram  Large And Mid Cap Fund</t>
  </si>
  <si>
    <t>SESCAP1</t>
  </si>
  <si>
    <t>SESCAP2</t>
  </si>
  <si>
    <t>SESCAP3</t>
  </si>
  <si>
    <t>SESCAP4</t>
  </si>
  <si>
    <t>SESCAP5</t>
  </si>
  <si>
    <t>SESCAP6</t>
  </si>
  <si>
    <t>SESCAP7</t>
  </si>
  <si>
    <t>SLTADV3</t>
  </si>
  <si>
    <t>Sundaram Long Term Advantage Fund Series III</t>
  </si>
  <si>
    <t>SLTADV4</t>
  </si>
  <si>
    <t>Sundaram Long Term Advantage Fund Series IV</t>
  </si>
  <si>
    <t>SLTAX1</t>
  </si>
  <si>
    <t>Sundaram Long Term Tax Advantage Fund Series I</t>
  </si>
  <si>
    <t>SLTAX2</t>
  </si>
  <si>
    <t>Sundaram Long Term Tax Advantage Fund Series II</t>
  </si>
  <si>
    <t>SLTAX3</t>
  </si>
  <si>
    <t>SLTAX4</t>
  </si>
  <si>
    <t>SLTAX5</t>
  </si>
  <si>
    <t>SLTAX6</t>
  </si>
  <si>
    <t>SMILE</t>
  </si>
  <si>
    <t>SPAHF</t>
  </si>
  <si>
    <t>SPARF</t>
  </si>
  <si>
    <t xml:space="preserve">Sundaram Arbitrage Fund </t>
  </si>
  <si>
    <t>SPBAF</t>
  </si>
  <si>
    <t>SPDYF</t>
  </si>
  <si>
    <t>SPESF</t>
  </si>
  <si>
    <t>SPFOCUS</t>
  </si>
  <si>
    <t>Sundaram Focused  Fund</t>
  </si>
  <si>
    <t>SPMUCF</t>
  </si>
  <si>
    <t>SPSN100</t>
  </si>
  <si>
    <t xml:space="preserve">Sundaram Smart Nifty 100 Equal Weight Fund </t>
  </si>
  <si>
    <t>SPTAX</t>
  </si>
  <si>
    <t>Sundaram Tax Savings Fund (Elss)</t>
  </si>
  <si>
    <t>SRURAL</t>
  </si>
  <si>
    <t>Sundaram Rural And Consumption Fund</t>
  </si>
  <si>
    <t>SSFUND</t>
  </si>
  <si>
    <t>Sundaram Service Fund</t>
  </si>
  <si>
    <t>STAX</t>
  </si>
  <si>
    <t>SUNBCF</t>
  </si>
  <si>
    <t>SUNFOP</t>
  </si>
  <si>
    <t>GLOB</t>
  </si>
  <si>
    <t>Sundaram Global Brand Fund</t>
  </si>
  <si>
    <t>182 Days - T Bill - 01/09/2022</t>
  </si>
  <si>
    <t>182 Days - T Bill - 08/09/2022</t>
  </si>
  <si>
    <t>182 Days - T Bill - 14/07/2022</t>
  </si>
  <si>
    <t>182 Days - T Bill - 15/09/2022</t>
  </si>
  <si>
    <t>364 Days - T Bill - 01/12/2022</t>
  </si>
  <si>
    <t>364 Days - T Bill - 05/01/2023</t>
  </si>
  <si>
    <t>Titan Company Limited July 2022</t>
  </si>
  <si>
    <t>Tech Mahindra Ltd July 2022</t>
  </si>
  <si>
    <t>Aurobindo Pharma Limited July 2022</t>
  </si>
  <si>
    <t>HDFC Life Insurance Company Ltd July 2022</t>
  </si>
  <si>
    <t>Maruti Suzuki India Ltd July 2022</t>
  </si>
  <si>
    <t>Dabur India Limited July 2022</t>
  </si>
  <si>
    <t>Sun Pharmaceutical Industries Limited July 2022</t>
  </si>
  <si>
    <t>Tata Steel Limited July 2022</t>
  </si>
  <si>
    <t>ICICI Bank Ltd July 2022</t>
  </si>
  <si>
    <t>LIC Housing Finance Ltd July 2022</t>
  </si>
  <si>
    <t>Infosys Limited July 2022</t>
  </si>
  <si>
    <t>Hero MotoCorp Ltd July 2022</t>
  </si>
  <si>
    <t>Asian Paints Limited July 2022</t>
  </si>
  <si>
    <t>Bajaj Finserv Limited July 2022</t>
  </si>
  <si>
    <t xml:space="preserve">
Zee Entertainment Enterprises Limited July 2022</t>
  </si>
  <si>
    <t>Adani Ports &amp; SEZ Ltd July 2022</t>
  </si>
  <si>
    <t>Larsen &amp; Toubro Ltd July 2022</t>
  </si>
  <si>
    <t>Axis Bank Ltd July 2022</t>
  </si>
  <si>
    <t>Bajaj Finance Limited July 2022</t>
  </si>
  <si>
    <t>HDFC Bank Limited July 2022</t>
  </si>
  <si>
    <t>AU Small Finance Bank Limited July 2022</t>
  </si>
  <si>
    <t>Shriram Transport Finance Company Limited July 2022</t>
  </si>
  <si>
    <t>Divis Labarotories Ltd July 2022</t>
  </si>
  <si>
    <t>Ambuja Cements Limited July 2022</t>
  </si>
  <si>
    <t>Mahindra &amp; Mahindra Ltd July 2022</t>
  </si>
  <si>
    <t>JSW Steel Limited July 2022</t>
  </si>
  <si>
    <t>DLF Limited July 2022</t>
  </si>
  <si>
    <t>Apollo Hospitals Enterprise Limited July 2022</t>
  </si>
  <si>
    <t>Tata Chemicals Limited July 2022</t>
  </si>
  <si>
    <t>Vedanta Limited July 2022</t>
  </si>
  <si>
    <t>SBI Life Insurance Company Ltd July 2022</t>
  </si>
  <si>
    <t>Grasim Industries Limited July 2022</t>
  </si>
  <si>
    <t>Jindal Steel &amp; Power Ltd July 2022</t>
  </si>
  <si>
    <t>L&amp;T Technology Services Limited July 2022</t>
  </si>
  <si>
    <t>Dr.Reddys Laboratories Ltd July 2022</t>
  </si>
  <si>
    <t>Hindalco Industries Ltd July 2022</t>
  </si>
  <si>
    <t>State Bank of India July 2022</t>
  </si>
  <si>
    <t>Hindustan Unilever Ltd July 2022</t>
  </si>
  <si>
    <t>United Spirits Ltd July 2022</t>
  </si>
  <si>
    <t>Nifty July 2022</t>
  </si>
  <si>
    <t>Hindustan Petroleum Corporation Ltd July 2022</t>
  </si>
  <si>
    <t>Kotak Mahindra Bank Ltd July 2022</t>
  </si>
  <si>
    <t>Bank of Baroda July 2022</t>
  </si>
  <si>
    <t>TATA Consumer Products Ltd July 2022</t>
  </si>
  <si>
    <t>Mahindra &amp; Mahindra Financial Services Limited July 2022</t>
  </si>
  <si>
    <t>Housing Development Fin Corp Ltd July 2022</t>
  </si>
  <si>
    <t>Ashok Leyland Ltd July 2022</t>
  </si>
  <si>
    <t>Larsen &amp; Toubro Infotech Limited July 2022</t>
  </si>
  <si>
    <t>INE041025011</t>
  </si>
  <si>
    <t>Embassy Office Parks(REIT)</t>
  </si>
  <si>
    <t>INE0GGX23010</t>
  </si>
  <si>
    <t>Power Grid Infrastructure Investment Trust(InvIT)</t>
  </si>
  <si>
    <t>INE001A13049</t>
  </si>
  <si>
    <t>Housing Development Finance Corporation Ltd.</t>
  </si>
  <si>
    <t>Sundaram Liquid Fund - Direct Growth @@</t>
  </si>
  <si>
    <t xml:space="preserve"> @@ Placed as margin for derivatives</t>
  </si>
  <si>
    <t>Bharti Airtel Ltd - Partly Paid Right Shares</t>
  </si>
  <si>
    <t>Hindustan Dorr-Oliver Ltd @</t>
  </si>
  <si>
    <t>SUNDARAM GLOBAL BRAND FUND</t>
  </si>
  <si>
    <t>Monthly Portfolio Statement for the period ended 30 June 2022</t>
  </si>
  <si>
    <t>S.NO</t>
  </si>
  <si>
    <t>ISIN CODE</t>
  </si>
  <si>
    <t>Name of the Instrument</t>
  </si>
  <si>
    <t>Industry/ Rating</t>
  </si>
  <si>
    <t>YTM (%)</t>
  </si>
  <si>
    <t>A) Investments in Foreign Securities - Units of Mutual Funds</t>
  </si>
  <si>
    <t>SG9999013908</t>
  </si>
  <si>
    <t>SUNDARAM GLOBAL BRAND FUND -MASTER CLASS (Singapore)</t>
  </si>
  <si>
    <t>Mutual Funds</t>
  </si>
  <si>
    <t>Total for Investments in Foreign Securities - Units of Mutual Funds</t>
  </si>
  <si>
    <t>B) Money Market Investments</t>
  </si>
  <si>
    <t>ReverseRepo / TREPS</t>
  </si>
  <si>
    <t>Cash and Other Net Curent Assets</t>
  </si>
  <si>
    <t>a) Total securities below investment grade or default  - Nil</t>
  </si>
  <si>
    <t>b) Total value and percentage of illiquid equity shares - Nil</t>
  </si>
  <si>
    <t xml:space="preserve"> </t>
  </si>
  <si>
    <t>Options</t>
  </si>
  <si>
    <t>Direct Plan - IDCW ^^</t>
  </si>
  <si>
    <t>Regular Plan - IDCW ^^</t>
  </si>
  <si>
    <t>d) IDCW declared during the period (Rupees per unit) - Nil</t>
  </si>
  <si>
    <t>e) Total outstanding exposure in derivative instrumentsat the end of the period - Nil</t>
  </si>
  <si>
    <t>f) Total investments in foreign securities /ADR'S/GDR'S  at the end of the period - Rs. 10873.31 lacs</t>
  </si>
  <si>
    <t>g) Repo in Corporate Debt - Nil</t>
  </si>
  <si>
    <t>b) Total value and percentage of illiquid equity shares @</t>
  </si>
  <si>
    <t>0.00 / #</t>
  </si>
  <si>
    <t>Rs. 1.91 lacs/0.00%</t>
  </si>
  <si>
    <t>Chennai Super Kings Ltd @</t>
  </si>
  <si>
    <t>Sandur Laminates Ltd @</t>
  </si>
  <si>
    <t>Crystal Cable Industries Ltd @</t>
  </si>
  <si>
    <t>Tirrihannah Company Ltd @</t>
  </si>
  <si>
    <t>Minerava Holdings Ltd @</t>
  </si>
  <si>
    <t>b) Total value and percentage of illiquid equity shares@</t>
  </si>
  <si>
    <t>Crescent Finstock Ltd @</t>
  </si>
  <si>
    <t>Sangam Health Care Products Ltd @</t>
  </si>
  <si>
    <t>Virtual Dynamics Software Ltd @</t>
  </si>
  <si>
    <t>Precision Fasteners Ltd @</t>
  </si>
  <si>
    <t>Noble Brothers Impex Ltd @</t>
  </si>
  <si>
    <t>Balmer Lawrie Freight Containers Ltd @</t>
  </si>
  <si>
    <t>Mukerian Papers Ltd @</t>
  </si>
  <si>
    <t>Rs. 53.88 lacs / 0.03%</t>
  </si>
  <si>
    <t>Yes Bank Ltd ~</t>
  </si>
  <si>
    <t>~ Any realization beyond the carrying value shall be distributed to the investors existed as on March 13, 2020.</t>
  </si>
  <si>
    <t>Rs. 23.41 lacs / 0.03%</t>
  </si>
  <si>
    <t>753.15 Lacs</t>
  </si>
  <si>
    <t>Annexure-A</t>
  </si>
  <si>
    <t>g) Average Maturity - only for Debt portion (years)</t>
  </si>
  <si>
    <t>h) Macaulay Duration - only for Debt portion (years)</t>
  </si>
  <si>
    <t>i) Portfolio Turnover Ratio</t>
  </si>
  <si>
    <t>j) Repo in corporate debt</t>
  </si>
  <si>
    <t>Tata Motors Ltd - DVR</t>
  </si>
  <si>
    <t>Cash and Other Net Current Assets ^</t>
  </si>
  <si>
    <t>Name of The security</t>
  </si>
  <si>
    <t xml:space="preserve">ISIN </t>
  </si>
  <si>
    <t>Net receivable/Market value  (Rs. Lakh)</t>
  </si>
  <si>
    <t>% to NAV</t>
  </si>
  <si>
    <t>Total Amount(Principal &amp; Interest)  (Rs. Lakh)</t>
  </si>
  <si>
    <t xml:space="preserve">IL&amp;FS Financial Services Ltd. 24SEP18 CP </t>
  </si>
  <si>
    <t>INE121H14JU3</t>
  </si>
  <si>
    <t>ISIN</t>
  </si>
  <si>
    <t>NAME OF THE SECURITY</t>
  </si>
  <si>
    <t>VALUE OF THE SECURITY CONSIDERED UNDER NET RECEIVABLES</t>
  </si>
  <si>
    <t>% TO AUM</t>
  </si>
  <si>
    <t>INE528G08394</t>
  </si>
  <si>
    <t>9%-YES BANK LTD-NCD-Call opt-18/10/2022-Perpetual Bond $</t>
  </si>
  <si>
    <t>TOTAL AMOUNT INCLUDING INTEREST DUE TO THE SCHEME</t>
  </si>
  <si>
    <t>TOTAL AMOUNT DUE</t>
  </si>
  <si>
    <t>PRINCIPAL (Rs. in Lacs)</t>
  </si>
  <si>
    <t>Interest Accrued till 05 Mar 2020
(Rs. in Lacs)</t>
  </si>
  <si>
    <t>Total 
(Rs. in Lacs)</t>
  </si>
  <si>
    <t>$ Yes Bank Limited Reconstruction Scheme 2020” was notified in the Official Gazette on March 13, 2020. Based on that, the Basel III Additional Tier I Bonds (ISIN - INE528G08394) were written down in the scheme along with the Interest accrued.</t>
  </si>
  <si>
    <t>% to AUM as on 30/06/2022</t>
  </si>
  <si>
    <t>Refer below point k)</t>
  </si>
  <si>
    <t>21.50% Dewan Rubber Ltd</t>
  </si>
  <si>
    <t>Not Available</t>
  </si>
  <si>
    <t>Chemox Chemicals Industries</t>
  </si>
  <si>
    <t>Refer below point i)</t>
  </si>
  <si>
    <t>15% Premier Vinyl Ltd</t>
  </si>
  <si>
    <t>18% Jord Engineering Ltd</t>
  </si>
  <si>
    <t>k) Exposure to securities classified as below investment grade or default as on June 30, 2022:-</t>
  </si>
  <si>
    <t>i) Exposure to securities classified as below investment grade or default as on June 30, 2022:-</t>
  </si>
  <si>
    <t>Yield to call date %</t>
  </si>
  <si>
    <t>Bank of Baroda - 8.65% - Call Dt 11/08/2022**  (Perpetual Bond under Basel III)</t>
  </si>
  <si>
    <t>State Bank of India - 8.15% - Call Dt 02/08/2022** (Perpetual Bond under Basel III)</t>
  </si>
  <si>
    <t>Bank of Baroda - 8.55% - Call Dt 14/02/2024 (Tier II Bond under Basel III)**</t>
  </si>
  <si>
    <t>Yes Bank Ltd - 9.9% - 31/10/2022** (Tier II bond under Basel II)</t>
  </si>
  <si>
    <t>Direct Plan - IDCW</t>
  </si>
  <si>
    <t>Regular Plan - IDCW</t>
  </si>
  <si>
    <t>d) IDCW declared during the period (Rupees per unit)</t>
  </si>
  <si>
    <t>Direct Plan - Halfyearly IDCW</t>
  </si>
  <si>
    <t>Regular Plan - Halfyearly IDCW</t>
  </si>
  <si>
    <t>Direct Plan - Monthly IDCW</t>
  </si>
  <si>
    <t>Direct Plan - Quarterly IDCW</t>
  </si>
  <si>
    <t>Regular Plan - Monthly IDCW</t>
  </si>
  <si>
    <t>Regular Plan - Quarterly IDCW</t>
  </si>
  <si>
    <t>Institutional Plan - IDCW</t>
  </si>
  <si>
    <t>Monthly Portfolio Statement for the month ended 30 June 2022</t>
  </si>
  <si>
    <t>Scheme Riskometer</t>
  </si>
  <si>
    <t>Benchmark Riskometer - NIFTY Infrastructure TRI</t>
  </si>
  <si>
    <t>Benchmark Riskometer - S&amp;P BSE Small Cap INDEX</t>
  </si>
  <si>
    <t>Tier I Benchmark Riskometer - Nifty Mid Cap 150 TRI</t>
  </si>
  <si>
    <t>Tier II Benchmark Riskometer - Nifty Mid Cap 100 TRI</t>
  </si>
  <si>
    <t>Benchmark Riskometer - S&amp;P BSE 500 INDEX</t>
  </si>
  <si>
    <t>Tier I Benchmark Riskometer - Nifty Large Mid Cap 250 INDEX</t>
  </si>
  <si>
    <t>Tier II Benchmark Riskometer - Nifty Large Mid Cap 250 INDEX</t>
  </si>
  <si>
    <t>Benchmark Riskometer - S&amp;P BSE 250 SmallCap</t>
  </si>
  <si>
    <t>Benchmark Riskometer - Nifty Small Cap 100</t>
  </si>
  <si>
    <t>Tier I Benchmark Riskometer - Nifty Small Cap 250 TRI</t>
  </si>
  <si>
    <t>Tier II Benchmark Riskometer - Nifty Small Cap 100 TRI</t>
  </si>
  <si>
    <t>Benchmark Riskometer - CRISIL Hybrid 35+65 - Aggressive Index</t>
  </si>
  <si>
    <t>Benchmark Riskometer - NIFTY 50 Arbitrage INDEX</t>
  </si>
  <si>
    <t>Benchmark Riskometer - NIFTY 50 Hybrid Composite Debt 50 : 50 INDEX</t>
  </si>
  <si>
    <t>Tier I Benchmark Riskometer - NIFTY 500</t>
  </si>
  <si>
    <t>Tier II Benchmark Riskometer - NIFTY 500</t>
  </si>
  <si>
    <t>Benchmark Riskometer - Nifty Equity Savings INDEX</t>
  </si>
  <si>
    <t>Tier I Benchmark Riskometer - Nifty 500 TRI</t>
  </si>
  <si>
    <t>Tier II Benchmark Riskometer - Nifty 500 TRI</t>
  </si>
  <si>
    <t>Tier I Benchmark Riskometer - Nifty 500 MultiCap 50:25:25</t>
  </si>
  <si>
    <t>Tier II Benchmark Riskometer - Nifty 500 MultiCap 50:25:25</t>
  </si>
  <si>
    <t>Benchmark Riskometer - Nifty 100 Equal Weight TRI</t>
  </si>
  <si>
    <t>Benchmark Riskometer - Nifty India Consumption TRI</t>
  </si>
  <si>
    <t>Tier I Benchmark Riskometer - NIFTY Services Sector Index</t>
  </si>
  <si>
    <t>Tier II Benchmark Riskometer - NIFTY 500 MULTICAP 50:25:25</t>
  </si>
  <si>
    <t>Tier II Benchmark Riskometer - S&amp;P BSE 200</t>
  </si>
  <si>
    <t>Tier I Benchmark Riskometer - Nifty 100 TRI INDEX</t>
  </si>
  <si>
    <t>Tier II Benchmark Riskometer - Nifty 100 TRI INDEX</t>
  </si>
  <si>
    <t>Benchmark Riskometer - Nifty Financial Services</t>
  </si>
  <si>
    <t>Benchmark Riskometer - MSCI ACWI TRI</t>
  </si>
  <si>
    <t>Sundaram Aggressive Hybrid Fund (Formerly Known As Principal Hybrid Equity Fund)</t>
  </si>
  <si>
    <t>Sundaram Arbitrage Fund (Formerly Known As Principal Arbitrage Fund)</t>
  </si>
  <si>
    <t>Sundaram Balanced Advantage Fund (Formerly Known As Principal Balanced Advantage Fund)</t>
  </si>
  <si>
    <t>Sundaram Dividend Yield Fund (Formerly Known As Principal Dividend Yield Fund)</t>
  </si>
  <si>
    <t>Sundaram Equity Savings Fund (Formerly Known As Principal Equity Savings Fund)</t>
  </si>
  <si>
    <t>Sundaram Focused Fund (Formerly Known As Principal Focused Multicap Fund)</t>
  </si>
  <si>
    <t>Sundaram Multi Cap Fund (Formerly Known As Principal Multi Cap Growth Fund)</t>
  </si>
  <si>
    <t>Sundaram Nifty 100 Equal Weight Fund (Formerly Known As Principal Nifty 100 Equal Weight Fund)</t>
  </si>
  <si>
    <t>Sundaram Tax Savings Fund (ELSS) (Formerly Known As Principal Tax Savings Fund)</t>
  </si>
  <si>
    <t>Sundaram Large Cap Fund (Formerly Known As Sundaram Bluechip Fund)</t>
  </si>
  <si>
    <t>DERIVATIVES DISCLOSURE</t>
  </si>
  <si>
    <t>Disclosure regarding Derivative positions pursuant to SEBI Circular no CIR/IMD/DF/11/2010 dated August18,2010</t>
  </si>
  <si>
    <t>DETAILS OF INVESTMENTS IN DERIVATIVE INSTRUMENTS</t>
  </si>
  <si>
    <t>A. Hedging Positions through Futures as on June 30,2022 :</t>
  </si>
  <si>
    <t>Scheme Name</t>
  </si>
  <si>
    <t>Underlying</t>
  </si>
  <si>
    <t>Long/Short</t>
  </si>
  <si>
    <t>Futures Price When Purchased</t>
  </si>
  <si>
    <t>Current Price of the contract</t>
  </si>
  <si>
    <t>Margin maintained in       (Rs in Lakhs)*</t>
  </si>
  <si>
    <t>Sundaram Arbitrage Fund</t>
  </si>
  <si>
    <t>Short</t>
  </si>
  <si>
    <t xml:space="preserve">Total percentage of existing assets hedged through futures as a percentage of net assets </t>
  </si>
  <si>
    <t>%</t>
  </si>
  <si>
    <t>For the period ended June 30,2022 following were the hedging transactions through futures which have been squared off/ expired</t>
  </si>
  <si>
    <t>Total Number of contracts where futures were Bought</t>
  </si>
  <si>
    <t>Total Number of contracts where futures were Sold</t>
  </si>
  <si>
    <t>Gross Notional value of contracts where futures were bought                      (Rs. in Lakhs)</t>
  </si>
  <si>
    <t>Gross Notional value of contracts where futures were sold        (Rs. in Lakhs)</t>
  </si>
  <si>
    <t>Net Profit / (Loss) value on all contracts combined       (Rs. in lakhs)</t>
  </si>
  <si>
    <t>B. Other than hedging positions through futures as on June 30,2022:</t>
  </si>
  <si>
    <t>Margin maintained in       (Rs. in Lakhs) *</t>
  </si>
  <si>
    <t>LONG</t>
  </si>
  <si>
    <t>Total percentage of existing assets due to non-hedging positions as a percentage of net assets</t>
  </si>
  <si>
    <t>For the period ended June 30,2022 following were the non-hedging transactions through futures which have been squared off / expired</t>
  </si>
  <si>
    <t>Gross Notional value of contracts where futures were sold      ( Rs. in Lakhs)</t>
  </si>
  <si>
    <t>Net Profit / (Loss) value on all contracts combined      (Rs. in lakhs)</t>
  </si>
  <si>
    <t>C. Hedging Positions through Put Options as on June 30,2022:</t>
  </si>
  <si>
    <t>Call/Put</t>
  </si>
  <si>
    <t>Number of Contracts</t>
  </si>
  <si>
    <t>Option Price when purchased</t>
  </si>
  <si>
    <t>Current Option Price</t>
  </si>
  <si>
    <t>Total % of existing assets hedged through Put Options</t>
  </si>
  <si>
    <t>For the period ended  June 30,2022, the following hedging transactions through options which have been already exercised/expired</t>
  </si>
  <si>
    <t>Total Number of contracts entered into</t>
  </si>
  <si>
    <t>Gross Notional value of contracts bought                      (Rs. in Lakhs)</t>
  </si>
  <si>
    <t>Gross Notional value of contracts  sold  (Rs. in Lakhs)</t>
  </si>
  <si>
    <t>Net Profit/(Loss) on all contracts 
(Rs. in Lakhs)</t>
  </si>
  <si>
    <t>D. Other than Hedging Positions through options as on June 30,2022:</t>
  </si>
  <si>
    <t xml:space="preserve">Total Exposure through Options other than hedging as a percentage of net assets </t>
  </si>
  <si>
    <t>For the period ended June 30,2022, the following non hedging transactions through options which have been already exercised/expired</t>
  </si>
  <si>
    <t>Gross Notional value of contracts  bought(Rs. in Lakhs)</t>
  </si>
  <si>
    <t>Gross Notional value of contracts  sold (Rs. in Lakhs)</t>
  </si>
  <si>
    <t>E. Hedging Positions through Swaps as on June 30,2022- Nil</t>
  </si>
  <si>
    <t>F. Hedging Positions through Interest Rate Futures as on June 30,2022:</t>
  </si>
  <si>
    <t xml:space="preserve">Futures Price
When Purchased </t>
  </si>
  <si>
    <t>Current Price of
the contract</t>
  </si>
  <si>
    <t>Margin maintained
in (Rs. in Lakhs)</t>
  </si>
  <si>
    <t>Total percentage of existing assets hedged through Interest Rate Futures a Percentage of net assets</t>
  </si>
  <si>
    <t>For the period ended June 30,2022 following were the hedging transactions through Interest Rate Futures which have been squared off/ expired</t>
  </si>
  <si>
    <t>For the period ended June 30,2022 following were the Non Hedging transactions through Interest Rate Futures which have been squared off/ expired</t>
  </si>
  <si>
    <t>* Note: Margin maintained denotes security specific margin.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</si>
</sst>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(* #,##0.00_);_(* \(#,##0.00\);_(* &quot;-&quot;??_);_(@_)"/>
    <numFmt numFmtId="164" formatCode="_ * #,##0.00_ ;_ * \-#,##0.00_ ;_ * &quot;-&quot;??_ ;_ @_ "/>
    <numFmt numFmtId="165" formatCode="[$-1014009]General"/>
    <numFmt numFmtId="166" formatCode="[$-1014009]###0;\(###0\)"/>
    <numFmt numFmtId="167" formatCode="[$-1014009]###0.00;\(###0.00\)"/>
    <numFmt numFmtId="168" formatCode="[$-1014009]###0.00%;\(###0.00%\)"/>
    <numFmt numFmtId="169" formatCode="[$-1014009]#,##0.00;\-#,##0.00"/>
    <numFmt numFmtId="170" formatCode="[$-1014009]#,##0.00%"/>
    <numFmt numFmtId="171" formatCode="[$-1014009]#,##0.0000;\-#,##0.0000"/>
    <numFmt numFmtId="172" formatCode="[$-1014009]#,##0.000000;\-#,##0.000000"/>
    <numFmt numFmtId="173" formatCode="[$-1014009]#.0000"/>
    <numFmt numFmtId="174" formatCode="[$-1014009]#,##0.00;\(#,##0.00\)"/>
    <numFmt numFmtId="175" formatCode="0.000"/>
    <numFmt numFmtId="176" formatCode="#,##0.000"/>
    <numFmt numFmtId="177" formatCode="0.00000"/>
    <numFmt numFmtId="178" formatCode="dd\/mm\/yyyy"/>
    <numFmt numFmtId="179" formatCode="0.0000"/>
    <numFmt numFmtId="180" formatCode="0.00000000000000"/>
    <numFmt numFmtId="181" formatCode="_(* #,##0_);_(* \(#,##0\);_(* &quot;-&quot;??_);_(@_)"/>
    <numFmt numFmtId="182" formatCode="0.00000000000000%"/>
    <numFmt numFmtId="183" formatCode="0.00000000000"/>
    <numFmt numFmtId="184" formatCode="0.000000000"/>
    <numFmt numFmtId="185" formatCode="_(* #,##0.0000_);_(* \(#,##0.0000\);_(* &quot;-&quot;??_);_(@_)"/>
    <numFmt numFmtId="186" formatCode="#,##0.0000;\(#,##0.0000\)"/>
    <numFmt numFmtId="187" formatCode="_(* #,##0.000_);_(* \(#,##0.000\);_(* &quot;-&quot;??_);_(@_)"/>
  </numFmts>
  <fonts count="3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9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b/>
      <i/>
      <sz val="10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</borders>
  <cellStyleXfs count="17">
    <xf numFmtId="0" fontId="0" fillId="0" borderId="0">
      <alignment wrapText="1"/>
    </xf>
    <xf numFmtId="0" fontId="4" fillId="0" borderId="0"/>
    <xf numFmtId="0" fontId="12" fillId="0" borderId="0">
      <alignment wrapText="1"/>
    </xf>
    <xf numFmtId="0" fontId="14" fillId="0" borderId="0" applyNumberFormat="0" applyFill="0" applyBorder="0" applyAlignment="0" applyProtection="0">
      <alignment wrapText="1"/>
    </xf>
    <xf numFmtId="0" fontId="3" fillId="0" borderId="0"/>
    <xf numFmtId="0" fontId="12" fillId="0" borderId="0"/>
    <xf numFmtId="0" fontId="3" fillId="0" borderId="0"/>
    <xf numFmtId="164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164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" fillId="0" borderId="0"/>
    <xf numFmtId="9" fontId="32" fillId="0" borderId="0" applyFont="0" applyFill="0" applyBorder="0" applyAlignment="0" applyProtection="0"/>
    <xf numFmtId="0" fontId="12" fillId="0" borderId="0">
      <alignment wrapText="1"/>
    </xf>
    <xf numFmtId="0" fontId="1" fillId="0" borderId="0"/>
  </cellStyleXfs>
  <cellXfs count="307">
    <xf numFmtId="0" fontId="0" fillId="0" borderId="0" xfId="0">
      <alignment wrapText="1"/>
    </xf>
    <xf numFmtId="0" fontId="6" fillId="2" borderId="1" xfId="0" applyFont="1" applyFill="1" applyBorder="1" applyAlignment="1">
      <alignment horizontal="right" vertical="top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165" fontId="6" fillId="2" borderId="1" xfId="0" applyNumberFormat="1" applyFont="1" applyFill="1" applyBorder="1" applyAlignment="1">
      <alignment horizontal="right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166" fontId="6" fillId="2" borderId="1" xfId="0" applyNumberFormat="1" applyFont="1" applyFill="1" applyBorder="1" applyAlignment="1">
      <alignment horizontal="right" vertical="center" wrapText="1" readingOrder="1"/>
    </xf>
    <xf numFmtId="167" fontId="6" fillId="2" borderId="1" xfId="0" applyNumberFormat="1" applyFont="1" applyFill="1" applyBorder="1" applyAlignment="1">
      <alignment horizontal="right" vertical="center" wrapText="1" readingOrder="1"/>
    </xf>
    <xf numFmtId="168" fontId="6" fillId="2" borderId="1" xfId="0" applyNumberFormat="1" applyFont="1" applyFill="1" applyBorder="1" applyAlignment="1">
      <alignment horizontal="right" vertical="center" wrapText="1" readingOrder="1"/>
    </xf>
    <xf numFmtId="0" fontId="6" fillId="2" borderId="1" xfId="0" applyFont="1" applyFill="1" applyBorder="1" applyAlignment="1">
      <alignment horizontal="right" vertical="center" wrapText="1" readingOrder="1"/>
    </xf>
    <xf numFmtId="167" fontId="7" fillId="2" borderId="1" xfId="0" applyNumberFormat="1" applyFont="1" applyFill="1" applyBorder="1" applyAlignment="1">
      <alignment horizontal="right" vertical="center" wrapText="1" readingOrder="1"/>
    </xf>
    <xf numFmtId="168" fontId="7" fillId="2" borderId="1" xfId="0" applyNumberFormat="1" applyFont="1" applyFill="1" applyBorder="1" applyAlignment="1">
      <alignment horizontal="right" vertical="center" wrapText="1" readingOrder="1"/>
    </xf>
    <xf numFmtId="0" fontId="8" fillId="2" borderId="1" xfId="0" applyFont="1" applyFill="1" applyBorder="1" applyAlignment="1">
      <alignment horizontal="left" vertical="center" wrapText="1" readingOrder="1"/>
    </xf>
    <xf numFmtId="0" fontId="8" fillId="2" borderId="1" xfId="0" applyFont="1" applyFill="1" applyBorder="1" applyAlignment="1">
      <alignment horizontal="right" vertical="center" wrapText="1" readingOrder="1"/>
    </xf>
    <xf numFmtId="169" fontId="7" fillId="2" borderId="1" xfId="0" applyNumberFormat="1" applyFont="1" applyFill="1" applyBorder="1" applyAlignment="1">
      <alignment horizontal="right" vertical="center" wrapText="1" readingOrder="1"/>
    </xf>
    <xf numFmtId="170" fontId="7" fillId="2" borderId="1" xfId="0" applyNumberFormat="1" applyFont="1" applyFill="1" applyBorder="1" applyAlignment="1">
      <alignment horizontal="right" vertical="center" wrapText="1" readingOrder="1"/>
    </xf>
    <xf numFmtId="0" fontId="7" fillId="2" borderId="1" xfId="0" applyFont="1" applyFill="1" applyBorder="1" applyAlignment="1">
      <alignment horizontal="right" vertical="center" wrapText="1" readingOrder="1"/>
    </xf>
    <xf numFmtId="0" fontId="8" fillId="2" borderId="2" xfId="0" applyFont="1" applyFill="1" applyBorder="1" applyAlignment="1">
      <alignment horizontal="left" vertical="center" wrapText="1" readingOrder="1"/>
    </xf>
    <xf numFmtId="0" fontId="8" fillId="2" borderId="2" xfId="0" applyFont="1" applyFill="1" applyBorder="1" applyAlignment="1">
      <alignment horizontal="right" vertical="center" wrapText="1" readingOrder="1"/>
    </xf>
    <xf numFmtId="0" fontId="8" fillId="2" borderId="0" xfId="0" applyFont="1" applyFill="1" applyAlignment="1">
      <alignment horizontal="left" vertical="center" wrapText="1" readingOrder="1"/>
    </xf>
    <xf numFmtId="0" fontId="6" fillId="2" borderId="0" xfId="0" applyFont="1" applyFill="1" applyAlignment="1">
      <alignment horizontal="left" vertical="center" wrapText="1" readingOrder="1"/>
    </xf>
    <xf numFmtId="0" fontId="8" fillId="2" borderId="0" xfId="0" applyFont="1" applyFill="1" applyAlignment="1">
      <alignment horizontal="right" vertical="center" wrapText="1" readingOrder="1"/>
    </xf>
    <xf numFmtId="0" fontId="8" fillId="2" borderId="3" xfId="0" applyFont="1" applyFill="1" applyBorder="1" applyAlignment="1">
      <alignment horizontal="right" vertical="center" wrapText="1" readingOrder="1"/>
    </xf>
    <xf numFmtId="0" fontId="6" fillId="2" borderId="0" xfId="0" applyFont="1" applyFill="1" applyAlignment="1">
      <alignment horizontal="right" vertical="top" wrapText="1" readingOrder="1"/>
    </xf>
    <xf numFmtId="0" fontId="7" fillId="2" borderId="1" xfId="0" applyFont="1" applyFill="1" applyBorder="1" applyAlignment="1">
      <alignment horizontal="right" vertical="top" wrapText="1" readingOrder="1"/>
    </xf>
    <xf numFmtId="171" fontId="6" fillId="2" borderId="1" xfId="0" applyNumberFormat="1" applyFont="1" applyFill="1" applyBorder="1" applyAlignment="1">
      <alignment horizontal="right" vertical="center" wrapText="1" readingOrder="1"/>
    </xf>
    <xf numFmtId="0" fontId="6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6" fillId="2" borderId="2" xfId="0" applyFont="1" applyFill="1" applyBorder="1" applyAlignment="1">
      <alignment horizontal="right" vertical="top" wrapText="1" readingOrder="1"/>
    </xf>
    <xf numFmtId="170" fontId="7" fillId="2" borderId="1" xfId="0" applyNumberFormat="1" applyFont="1" applyFill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left" vertical="top" wrapText="1" readingOrder="1"/>
    </xf>
    <xf numFmtId="173" fontId="6" fillId="2" borderId="1" xfId="0" applyNumberFormat="1" applyFont="1" applyFill="1" applyBorder="1" applyAlignment="1">
      <alignment horizontal="right" vertical="center" wrapText="1" readingOrder="1"/>
    </xf>
    <xf numFmtId="0" fontId="9" fillId="2" borderId="1" xfId="0" applyFont="1" applyFill="1" applyBorder="1" applyAlignment="1">
      <alignment horizontal="left" vertical="center" wrapText="1" readingOrder="1"/>
    </xf>
    <xf numFmtId="0" fontId="9" fillId="2" borderId="1" xfId="0" applyFont="1" applyFill="1" applyBorder="1" applyAlignment="1">
      <alignment horizontal="right" vertical="center" wrapText="1" readingOrder="1"/>
    </xf>
    <xf numFmtId="172" fontId="6" fillId="2" borderId="1" xfId="0" applyNumberFormat="1" applyFont="1" applyFill="1" applyBorder="1" applyAlignment="1">
      <alignment horizontal="right" vertical="center" wrapText="1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7" fillId="2" borderId="2" xfId="0" applyFont="1" applyFill="1" applyBorder="1" applyAlignment="1">
      <alignment horizontal="left" vertical="center" wrapText="1" readingOrder="1"/>
    </xf>
    <xf numFmtId="0" fontId="6" fillId="2" borderId="3" xfId="0" applyFont="1" applyFill="1" applyBorder="1" applyAlignment="1">
      <alignment horizontal="right" vertical="top" wrapText="1" readingOrder="1"/>
    </xf>
    <xf numFmtId="174" fontId="7" fillId="2" borderId="1" xfId="0" applyNumberFormat="1" applyFont="1" applyFill="1" applyBorder="1" applyAlignment="1">
      <alignment horizontal="left" vertical="center" wrapText="1" readingOrder="1"/>
    </xf>
    <xf numFmtId="0" fontId="10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3" fillId="0" borderId="0" xfId="2" applyFont="1">
      <alignment wrapText="1"/>
    </xf>
    <xf numFmtId="0" fontId="13" fillId="0" borderId="7" xfId="2" applyFont="1" applyBorder="1">
      <alignment wrapText="1"/>
    </xf>
    <xf numFmtId="0" fontId="15" fillId="0" borderId="7" xfId="3" applyFont="1" applyBorder="1" applyAlignment="1"/>
    <xf numFmtId="0" fontId="13" fillId="0" borderId="7" xfId="2" applyFont="1" applyBorder="1" applyAlignment="1"/>
    <xf numFmtId="0" fontId="13" fillId="0" borderId="7" xfId="0" applyFont="1" applyBorder="1" applyAlignment="1"/>
    <xf numFmtId="0" fontId="16" fillId="2" borderId="1" xfId="0" applyFont="1" applyFill="1" applyBorder="1" applyAlignment="1">
      <alignment horizontal="left" vertical="center" wrapText="1" readingOrder="1"/>
    </xf>
    <xf numFmtId="166" fontId="16" fillId="2" borderId="1" xfId="0" applyNumberFormat="1" applyFont="1" applyFill="1" applyBorder="1" applyAlignment="1">
      <alignment horizontal="right" vertical="center" wrapText="1" readingOrder="1"/>
    </xf>
    <xf numFmtId="167" fontId="16" fillId="2" borderId="1" xfId="0" applyNumberFormat="1" applyFont="1" applyFill="1" applyBorder="1" applyAlignment="1">
      <alignment horizontal="right" vertical="center" wrapText="1" readingOrder="1"/>
    </xf>
    <xf numFmtId="168" fontId="16" fillId="2" borderId="1" xfId="0" applyNumberFormat="1" applyFont="1" applyFill="1" applyBorder="1" applyAlignment="1">
      <alignment horizontal="right" vertical="center" wrapText="1" readingOrder="1"/>
    </xf>
    <xf numFmtId="0" fontId="12" fillId="0" borderId="0" xfId="2">
      <alignment wrapText="1"/>
    </xf>
    <xf numFmtId="165" fontId="16" fillId="2" borderId="1" xfId="0" applyNumberFormat="1" applyFont="1" applyFill="1" applyBorder="1" applyAlignment="1">
      <alignment horizontal="right" vertical="center" wrapText="1" readingOrder="1"/>
    </xf>
    <xf numFmtId="0" fontId="17" fillId="2" borderId="0" xfId="0" applyFont="1" applyFill="1" applyAlignment="1">
      <alignment horizontal="left" vertical="center" wrapText="1" readingOrder="1"/>
    </xf>
    <xf numFmtId="0" fontId="17" fillId="2" borderId="0" xfId="0" applyFont="1" applyFill="1" applyAlignment="1">
      <alignment horizontal="right" vertical="center" wrapText="1" readingOrder="1"/>
    </xf>
    <xf numFmtId="0" fontId="18" fillId="0" borderId="0" xfId="0" applyFont="1" applyAlignment="1">
      <alignment vertical="center" wrapText="1"/>
    </xf>
    <xf numFmtId="0" fontId="16" fillId="2" borderId="1" xfId="0" applyFont="1" applyFill="1" applyBorder="1" applyAlignment="1">
      <alignment horizontal="right" vertical="center" wrapText="1" readingOrder="1"/>
    </xf>
    <xf numFmtId="0" fontId="3" fillId="0" borderId="0" xfId="4"/>
    <xf numFmtId="0" fontId="11" fillId="0" borderId="7" xfId="5" applyFont="1" applyBorder="1" applyAlignment="1">
      <alignment horizontal="center" vertical="center" wrapText="1"/>
    </xf>
    <xf numFmtId="0" fontId="19" fillId="0" borderId="7" xfId="4" applyFont="1" applyBorder="1" applyAlignment="1">
      <alignment horizontal="center" vertical="center" wrapText="1" readingOrder="1"/>
    </xf>
    <xf numFmtId="164" fontId="3" fillId="0" borderId="0" xfId="4" applyNumberFormat="1"/>
    <xf numFmtId="0" fontId="21" fillId="0" borderId="7" xfId="5" applyFont="1" applyBorder="1" applyAlignment="1">
      <alignment vertical="center" wrapText="1"/>
    </xf>
    <xf numFmtId="175" fontId="21" fillId="0" borderId="7" xfId="5" applyNumberFormat="1" applyFont="1" applyBorder="1" applyAlignment="1">
      <alignment vertical="center" wrapText="1"/>
    </xf>
    <xf numFmtId="43" fontId="21" fillId="0" borderId="7" xfId="8" applyFont="1" applyFill="1" applyBorder="1" applyAlignment="1">
      <alignment vertical="center" wrapText="1"/>
    </xf>
    <xf numFmtId="164" fontId="21" fillId="0" borderId="7" xfId="7" applyFont="1" applyBorder="1" applyAlignment="1">
      <alignment horizontal="right" vertical="center"/>
    </xf>
    <xf numFmtId="0" fontId="22" fillId="2" borderId="1" xfId="4" applyFont="1" applyFill="1" applyBorder="1" applyAlignment="1">
      <alignment horizontal="left" vertical="center" wrapText="1" readingOrder="1"/>
    </xf>
    <xf numFmtId="4" fontId="3" fillId="0" borderId="0" xfId="4" applyNumberFormat="1"/>
    <xf numFmtId="177" fontId="3" fillId="0" borderId="0" xfId="4" applyNumberFormat="1"/>
    <xf numFmtId="0" fontId="25" fillId="0" borderId="0" xfId="9" applyFont="1" applyAlignment="1">
      <alignment horizontal="left" vertical="center" wrapText="1"/>
    </xf>
    <xf numFmtId="0" fontId="26" fillId="0" borderId="0" xfId="9" applyFont="1" applyAlignment="1">
      <alignment vertical="center"/>
    </xf>
    <xf numFmtId="164" fontId="26" fillId="0" borderId="0" xfId="9" applyNumberFormat="1" applyFont="1" applyAlignment="1">
      <alignment vertical="center"/>
    </xf>
    <xf numFmtId="4" fontId="27" fillId="0" borderId="0" xfId="4" applyNumberFormat="1" applyFont="1"/>
    <xf numFmtId="2" fontId="26" fillId="0" borderId="0" xfId="9" applyNumberFormat="1" applyFont="1" applyAlignment="1">
      <alignment vertical="center"/>
    </xf>
    <xf numFmtId="0" fontId="20" fillId="0" borderId="0" xfId="10" applyFont="1" applyAlignment="1">
      <alignment vertical="center"/>
    </xf>
    <xf numFmtId="0" fontId="26" fillId="0" borderId="7" xfId="9" applyFont="1" applyBorder="1" applyAlignment="1">
      <alignment vertical="center"/>
    </xf>
    <xf numFmtId="0" fontId="21" fillId="0" borderId="7" xfId="10" applyFont="1" applyBorder="1" applyAlignment="1">
      <alignment horizontal="center" vertical="center"/>
    </xf>
    <xf numFmtId="0" fontId="25" fillId="0" borderId="0" xfId="9" applyFont="1" applyAlignment="1">
      <alignment vertical="center"/>
    </xf>
    <xf numFmtId="0" fontId="21" fillId="0" borderId="7" xfId="10" applyFont="1" applyBorder="1" applyAlignment="1">
      <alignment vertical="center"/>
    </xf>
    <xf numFmtId="178" fontId="25" fillId="0" borderId="7" xfId="9" applyNumberFormat="1" applyFont="1" applyBorder="1" applyAlignment="1">
      <alignment horizontal="center"/>
    </xf>
    <xf numFmtId="14" fontId="25" fillId="0" borderId="0" xfId="9" applyNumberFormat="1" applyFont="1" applyAlignment="1">
      <alignment horizontal="center"/>
    </xf>
    <xf numFmtId="0" fontId="23" fillId="0" borderId="0" xfId="4" applyFont="1"/>
    <xf numFmtId="0" fontId="26" fillId="0" borderId="7" xfId="9" applyFont="1" applyBorder="1" applyAlignment="1">
      <alignment horizontal="left" vertical="center"/>
    </xf>
    <xf numFmtId="179" fontId="23" fillId="0" borderId="7" xfId="4" applyNumberFormat="1" applyFont="1" applyBorder="1"/>
    <xf numFmtId="179" fontId="23" fillId="0" borderId="0" xfId="4" applyNumberFormat="1" applyFont="1"/>
    <xf numFmtId="0" fontId="16" fillId="0" borderId="1" xfId="4" applyFont="1" applyBorder="1" applyAlignment="1">
      <alignment horizontal="left" vertical="center" wrapText="1" readingOrder="1"/>
    </xf>
    <xf numFmtId="0" fontId="16" fillId="0" borderId="7" xfId="4" applyFont="1" applyBorder="1" applyAlignment="1">
      <alignment horizontal="left" vertical="center" wrapText="1" readingOrder="1"/>
    </xf>
    <xf numFmtId="0" fontId="16" fillId="0" borderId="0" xfId="4" applyFont="1" applyAlignment="1">
      <alignment vertical="center" readingOrder="1"/>
    </xf>
    <xf numFmtId="0" fontId="16" fillId="0" borderId="0" xfId="4" applyFont="1" applyAlignment="1">
      <alignment vertical="center" wrapText="1" readingOrder="1"/>
    </xf>
    <xf numFmtId="0" fontId="20" fillId="0" borderId="0" xfId="9" applyFont="1" applyAlignment="1">
      <alignment horizontal="center" vertical="center"/>
    </xf>
    <xf numFmtId="0" fontId="26" fillId="0" borderId="0" xfId="9" quotePrefix="1" applyFont="1" applyAlignment="1">
      <alignment vertical="center"/>
    </xf>
    <xf numFmtId="0" fontId="20" fillId="0" borderId="0" xfId="4" applyFont="1" applyAlignment="1">
      <alignment vertical="center" wrapText="1"/>
    </xf>
    <xf numFmtId="0" fontId="22" fillId="2" borderId="1" xfId="0" applyFont="1" applyFill="1" applyBorder="1" applyAlignment="1">
      <alignment horizontal="left" vertical="top" readingOrder="1"/>
    </xf>
    <xf numFmtId="180" fontId="6" fillId="2" borderId="1" xfId="0" applyNumberFormat="1" applyFont="1" applyFill="1" applyBorder="1" applyAlignment="1">
      <alignment horizontal="right" vertical="top" wrapText="1" readingOrder="1"/>
    </xf>
    <xf numFmtId="0" fontId="16" fillId="0" borderId="1" xfId="0" applyFont="1" applyBorder="1" applyAlignment="1">
      <alignment horizontal="left" vertical="center" wrapText="1" readingOrder="1"/>
    </xf>
    <xf numFmtId="0" fontId="16" fillId="2" borderId="0" xfId="0" applyFont="1" applyFill="1" applyAlignment="1">
      <alignment horizontal="left" vertical="center" readingOrder="1"/>
    </xf>
    <xf numFmtId="0" fontId="22" fillId="2" borderId="1" xfId="0" applyFont="1" applyFill="1" applyBorder="1" applyAlignment="1">
      <alignment horizontal="left" vertical="center" wrapText="1" readingOrder="1"/>
    </xf>
    <xf numFmtId="0" fontId="16" fillId="2" borderId="0" xfId="0" applyFont="1" applyFill="1" applyAlignment="1">
      <alignment horizontal="right" vertical="top" wrapText="1" readingOrder="1"/>
    </xf>
    <xf numFmtId="174" fontId="22" fillId="2" borderId="1" xfId="0" applyNumberFormat="1" applyFont="1" applyFill="1" applyBorder="1" applyAlignment="1">
      <alignment horizontal="left" vertical="center" wrapText="1" readingOrder="1"/>
    </xf>
    <xf numFmtId="0" fontId="16" fillId="2" borderId="3" xfId="0" applyFont="1" applyFill="1" applyBorder="1" applyAlignment="1">
      <alignment horizontal="right" vertical="top" wrapText="1" readingOrder="1"/>
    </xf>
    <xf numFmtId="0" fontId="17" fillId="2" borderId="0" xfId="2" applyFont="1" applyFill="1" applyAlignment="1">
      <alignment horizontal="left" vertical="center" wrapText="1" readingOrder="1"/>
    </xf>
    <xf numFmtId="0" fontId="17" fillId="2" borderId="0" xfId="2" applyFont="1" applyFill="1" applyAlignment="1">
      <alignment horizontal="right" vertical="center" wrapText="1" readingOrder="1"/>
    </xf>
    <xf numFmtId="0" fontId="23" fillId="0" borderId="0" xfId="0" applyFont="1" applyAlignment="1"/>
    <xf numFmtId="0" fontId="30" fillId="0" borderId="7" xfId="0" applyFont="1" applyBorder="1" applyAlignment="1">
      <alignment horizontal="center" vertical="center" wrapText="1"/>
    </xf>
    <xf numFmtId="0" fontId="20" fillId="0" borderId="7" xfId="0" applyFont="1" applyBorder="1">
      <alignment wrapText="1"/>
    </xf>
    <xf numFmtId="0" fontId="20" fillId="0" borderId="7" xfId="0" applyFont="1" applyBorder="1" applyAlignment="1"/>
    <xf numFmtId="2" fontId="20" fillId="0" borderId="7" xfId="0" applyNumberFormat="1" applyFont="1" applyBorder="1" applyAlignment="1"/>
    <xf numFmtId="10" fontId="23" fillId="0" borderId="7" xfId="12" applyNumberFormat="1" applyFont="1" applyBorder="1"/>
    <xf numFmtId="4" fontId="20" fillId="0" borderId="7" xfId="0" applyNumberFormat="1" applyFont="1" applyBorder="1" applyAlignment="1"/>
    <xf numFmtId="0" fontId="30" fillId="0" borderId="7" xfId="13" applyFont="1" applyBorder="1" applyAlignment="1">
      <alignment horizontal="center" vertical="center"/>
    </xf>
    <xf numFmtId="0" fontId="30" fillId="0" borderId="0" xfId="13" applyFont="1" applyAlignment="1">
      <alignment horizontal="center"/>
    </xf>
    <xf numFmtId="0" fontId="23" fillId="0" borderId="7" xfId="13" applyFont="1" applyBorder="1"/>
    <xf numFmtId="0" fontId="23" fillId="0" borderId="7" xfId="13" applyFont="1" applyBorder="1" applyAlignment="1">
      <alignment wrapText="1"/>
    </xf>
    <xf numFmtId="0" fontId="23" fillId="0" borderId="0" xfId="13" applyFont="1" applyAlignment="1">
      <alignment horizontal="center"/>
    </xf>
    <xf numFmtId="0" fontId="31" fillId="0" borderId="0" xfId="13" applyFont="1"/>
    <xf numFmtId="0" fontId="30" fillId="0" borderId="7" xfId="13" applyFont="1" applyBorder="1" applyAlignment="1">
      <alignment horizontal="center" vertical="center" wrapText="1"/>
    </xf>
    <xf numFmtId="0" fontId="23" fillId="0" borderId="7" xfId="13" applyFont="1" applyBorder="1" applyAlignment="1">
      <alignment horizontal="left" vertical="center"/>
    </xf>
    <xf numFmtId="0" fontId="23" fillId="0" borderId="7" xfId="13" applyFont="1" applyBorder="1" applyAlignment="1">
      <alignment vertical="center" wrapText="1"/>
    </xf>
    <xf numFmtId="2" fontId="23" fillId="0" borderId="7" xfId="13" applyNumberFormat="1" applyFont="1" applyBorder="1" applyAlignment="1">
      <alignment horizontal="right" vertical="center" wrapText="1"/>
    </xf>
    <xf numFmtId="4" fontId="23" fillId="0" borderId="7" xfId="13" applyNumberFormat="1" applyFont="1" applyBorder="1" applyAlignment="1">
      <alignment horizontal="right" vertical="center"/>
    </xf>
    <xf numFmtId="4" fontId="33" fillId="0" borderId="0" xfId="13" applyNumberFormat="1" applyFont="1" applyAlignment="1">
      <alignment horizontal="left"/>
    </xf>
    <xf numFmtId="4" fontId="13" fillId="0" borderId="0" xfId="13" applyNumberFormat="1" applyFont="1"/>
    <xf numFmtId="0" fontId="11" fillId="0" borderId="0" xfId="13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10" fontId="23" fillId="0" borderId="7" xfId="12" applyNumberFormat="1" applyFont="1" applyBorder="1" applyAlignment="1">
      <alignment vertical="center" wrapText="1"/>
    </xf>
    <xf numFmtId="0" fontId="23" fillId="0" borderId="7" xfId="0" applyFont="1" applyBorder="1" applyAlignment="1"/>
    <xf numFmtId="181" fontId="23" fillId="0" borderId="7" xfId="11" applyNumberFormat="1" applyFont="1" applyBorder="1"/>
    <xf numFmtId="164" fontId="23" fillId="0" borderId="0" xfId="11" applyFont="1"/>
    <xf numFmtId="0" fontId="0" fillId="0" borderId="0" xfId="0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20" fillId="0" borderId="7" xfId="0" applyFont="1" applyBorder="1" applyAlignment="1">
      <alignment vertical="center"/>
    </xf>
    <xf numFmtId="2" fontId="20" fillId="0" borderId="7" xfId="0" applyNumberFormat="1" applyFont="1" applyBorder="1" applyAlignment="1">
      <alignment vertical="center"/>
    </xf>
    <xf numFmtId="10" fontId="23" fillId="0" borderId="7" xfId="12" applyNumberFormat="1" applyFont="1" applyBorder="1" applyAlignment="1">
      <alignment vertical="center"/>
    </xf>
    <xf numFmtId="4" fontId="20" fillId="0" borderId="7" xfId="0" applyNumberFormat="1" applyFont="1" applyBorder="1" applyAlignment="1">
      <alignment vertical="center"/>
    </xf>
    <xf numFmtId="181" fontId="23" fillId="0" borderId="0" xfId="11" applyNumberFormat="1" applyFont="1"/>
    <xf numFmtId="0" fontId="30" fillId="0" borderId="7" xfId="0" applyFont="1" applyBorder="1" applyAlignment="1">
      <alignment horizontal="left" wrapText="1"/>
    </xf>
    <xf numFmtId="0" fontId="30" fillId="0" borderId="7" xfId="0" applyFont="1" applyBorder="1" applyAlignment="1">
      <alignment horizontal="center" wrapText="1"/>
    </xf>
    <xf numFmtId="0" fontId="20" fillId="0" borderId="7" xfId="0" applyFont="1" applyBorder="1" applyAlignment="1">
      <alignment horizontal="left" vertical="center"/>
    </xf>
    <xf numFmtId="0" fontId="20" fillId="0" borderId="7" xfId="0" applyFont="1" applyBorder="1" applyAlignment="1">
      <alignment horizontal="center" vertical="center"/>
    </xf>
    <xf numFmtId="4" fontId="20" fillId="0" borderId="7" xfId="7" applyNumberFormat="1" applyFont="1" applyFill="1" applyBorder="1" applyAlignment="1">
      <alignment horizontal="center" vertical="center"/>
    </xf>
    <xf numFmtId="10" fontId="20" fillId="0" borderId="7" xfId="7" applyNumberFormat="1" applyFont="1" applyFill="1" applyBorder="1" applyAlignment="1">
      <alignment horizontal="center" vertical="center"/>
    </xf>
    <xf numFmtId="4" fontId="20" fillId="0" borderId="7" xfId="0" applyNumberFormat="1" applyFont="1" applyBorder="1" applyAlignment="1">
      <alignment horizontal="center" vertical="center"/>
    </xf>
    <xf numFmtId="0" fontId="20" fillId="0" borderId="0" xfId="0" applyFont="1" applyAlignment="1"/>
    <xf numFmtId="164" fontId="20" fillId="0" borderId="7" xfId="7" applyFont="1" applyFill="1" applyBorder="1" applyAlignment="1">
      <alignment horizontal="right" vertical="center"/>
    </xf>
    <xf numFmtId="164" fontId="20" fillId="0" borderId="7" xfId="7" applyFont="1" applyFill="1" applyBorder="1" applyAlignment="1">
      <alignment horizontal="center" vertical="center"/>
    </xf>
    <xf numFmtId="4" fontId="20" fillId="0" borderId="7" xfId="0" applyNumberFormat="1" applyFont="1" applyBorder="1" applyAlignment="1">
      <alignment horizontal="right" vertical="center"/>
    </xf>
    <xf numFmtId="0" fontId="19" fillId="0" borderId="11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3" fillId="0" borderId="0" xfId="4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/>
    <xf numFmtId="0" fontId="12" fillId="0" borderId="0" xfId="2" applyAlignment="1">
      <alignment horizontal="center" vertical="center" wrapText="1"/>
    </xf>
    <xf numFmtId="0" fontId="12" fillId="0" borderId="0" xfId="0" applyFont="1">
      <alignment wrapText="1"/>
    </xf>
    <xf numFmtId="0" fontId="10" fillId="0" borderId="0" xfId="0" applyFont="1" applyAlignment="1">
      <alignment horizontal="left" vertical="top"/>
    </xf>
    <xf numFmtId="0" fontId="34" fillId="0" borderId="0" xfId="0" applyFont="1">
      <alignment wrapText="1"/>
    </xf>
    <xf numFmtId="0" fontId="13" fillId="0" borderId="0" xfId="16" applyFont="1"/>
    <xf numFmtId="0" fontId="13" fillId="0" borderId="0" xfId="16" applyFont="1" applyAlignment="1">
      <alignment horizontal="center" vertical="center"/>
    </xf>
    <xf numFmtId="175" fontId="13" fillId="0" borderId="0" xfId="16" applyNumberFormat="1" applyFont="1"/>
    <xf numFmtId="0" fontId="11" fillId="0" borderId="0" xfId="0" applyFont="1" applyAlignment="1">
      <alignment horizontal="left" vertical="center"/>
    </xf>
    <xf numFmtId="0" fontId="20" fillId="0" borderId="7" xfId="6" applyFont="1" applyBorder="1" applyAlignment="1" applyProtection="1">
      <alignment vertical="center" wrapText="1"/>
      <protection locked="0"/>
    </xf>
    <xf numFmtId="0" fontId="20" fillId="0" borderId="7" xfId="6" applyFont="1" applyBorder="1" applyAlignment="1" applyProtection="1">
      <alignment vertical="center"/>
      <protection locked="0"/>
    </xf>
    <xf numFmtId="175" fontId="20" fillId="0" borderId="7" xfId="6" applyNumberFormat="1" applyFont="1" applyBorder="1" applyAlignment="1" applyProtection="1">
      <alignment vertical="center"/>
      <protection locked="0"/>
    </xf>
    <xf numFmtId="0" fontId="21" fillId="0" borderId="7" xfId="6" applyFont="1" applyBorder="1" applyAlignment="1" applyProtection="1">
      <alignment vertical="center" wrapText="1"/>
      <protection locked="0"/>
    </xf>
    <xf numFmtId="0" fontId="20" fillId="0" borderId="7" xfId="6" applyFont="1" applyBorder="1" applyAlignment="1">
      <alignment horizontal="right" vertical="center"/>
    </xf>
    <xf numFmtId="0" fontId="3" fillId="0" borderId="7" xfId="4" applyBorder="1" applyAlignment="1">
      <alignment vertical="center"/>
    </xf>
    <xf numFmtId="0" fontId="20" fillId="0" borderId="7" xfId="6" applyFont="1" applyBorder="1" applyAlignment="1">
      <alignment horizontal="center" vertical="center"/>
    </xf>
    <xf numFmtId="176" fontId="3" fillId="0" borderId="7" xfId="4" applyNumberFormat="1" applyBorder="1" applyAlignment="1">
      <alignment vertical="center"/>
    </xf>
    <xf numFmtId="0" fontId="20" fillId="0" borderId="7" xfId="6" applyFont="1" applyBorder="1" applyAlignment="1">
      <alignment vertical="center"/>
    </xf>
    <xf numFmtId="10" fontId="3" fillId="0" borderId="7" xfId="4" applyNumberFormat="1" applyBorder="1" applyAlignment="1">
      <alignment vertical="center"/>
    </xf>
    <xf numFmtId="0" fontId="21" fillId="0" borderId="7" xfId="6" applyFont="1" applyBorder="1" applyAlignment="1" applyProtection="1">
      <alignment vertical="center"/>
      <protection locked="0"/>
    </xf>
    <xf numFmtId="43" fontId="20" fillId="0" borderId="7" xfId="8" applyFont="1" applyFill="1" applyBorder="1" applyAlignment="1" applyProtection="1">
      <alignment horizontal="right" vertical="center"/>
      <protection locked="0"/>
    </xf>
    <xf numFmtId="0" fontId="20" fillId="0" borderId="7" xfId="4" applyFont="1" applyBorder="1" applyAlignment="1">
      <alignment vertical="center"/>
    </xf>
    <xf numFmtId="43" fontId="20" fillId="0" borderId="7" xfId="8" applyFont="1" applyFill="1" applyBorder="1" applyAlignment="1">
      <alignment vertical="center"/>
    </xf>
    <xf numFmtId="164" fontId="23" fillId="0" borderId="7" xfId="4" applyNumberFormat="1" applyFont="1" applyBorder="1" applyAlignment="1">
      <alignment vertical="center"/>
    </xf>
    <xf numFmtId="0" fontId="21" fillId="0" borderId="7" xfId="6" applyFont="1" applyBorder="1" applyAlignment="1">
      <alignment vertical="center"/>
    </xf>
    <xf numFmtId="43" fontId="21" fillId="0" borderId="7" xfId="8" applyFont="1" applyFill="1" applyBorder="1" applyAlignment="1">
      <alignment horizontal="right" vertical="center"/>
    </xf>
    <xf numFmtId="43" fontId="20" fillId="0" borderId="7" xfId="8" applyFont="1" applyFill="1" applyBorder="1" applyAlignment="1">
      <alignment horizontal="right" vertical="center"/>
    </xf>
    <xf numFmtId="164" fontId="3" fillId="0" borderId="7" xfId="4" applyNumberFormat="1" applyBorder="1" applyAlignment="1">
      <alignment vertical="center"/>
    </xf>
    <xf numFmtId="4" fontId="24" fillId="0" borderId="7" xfId="4" applyNumberFormat="1" applyFont="1" applyBorder="1" applyAlignment="1">
      <alignment vertical="center"/>
    </xf>
    <xf numFmtId="182" fontId="0" fillId="0" borderId="0" xfId="0" applyNumberFormat="1">
      <alignment wrapText="1"/>
    </xf>
    <xf numFmtId="183" fontId="0" fillId="0" borderId="0" xfId="0" applyNumberFormat="1">
      <alignment wrapText="1"/>
    </xf>
    <xf numFmtId="0" fontId="21" fillId="0" borderId="0" xfId="0" applyFont="1" applyAlignment="1"/>
    <xf numFmtId="0" fontId="21" fillId="0" borderId="7" xfId="0" applyFont="1" applyBorder="1" applyAlignment="1">
      <alignment horizontal="center" vertical="top"/>
    </xf>
    <xf numFmtId="0" fontId="21" fillId="0" borderId="7" xfId="0" applyFont="1" applyBorder="1" applyAlignment="1">
      <alignment horizontal="center" vertical="top" wrapText="1"/>
    </xf>
    <xf numFmtId="0" fontId="20" fillId="0" borderId="7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7" xfId="0" applyFont="1" applyBorder="1" applyAlignment="1">
      <alignment horizontal="center" vertical="top"/>
    </xf>
    <xf numFmtId="174" fontId="6" fillId="2" borderId="1" xfId="0" applyNumberFormat="1" applyFont="1" applyFill="1" applyBorder="1" applyAlignment="1">
      <alignment horizontal="right" vertical="center" readingOrder="1"/>
    </xf>
    <xf numFmtId="2" fontId="20" fillId="0" borderId="7" xfId="0" applyNumberFormat="1" applyFont="1" applyBorder="1" applyAlignment="1">
      <alignment horizontal="right" vertical="top" wrapText="1"/>
    </xf>
    <xf numFmtId="0" fontId="6" fillId="2" borderId="1" xfId="0" applyFont="1" applyFill="1" applyBorder="1" applyAlignment="1">
      <alignment horizontal="left" vertical="center" readingOrder="1"/>
    </xf>
    <xf numFmtId="0" fontId="20" fillId="0" borderId="12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center" readingOrder="1"/>
    </xf>
    <xf numFmtId="174" fontId="6" fillId="0" borderId="1" xfId="0" applyNumberFormat="1" applyFont="1" applyBorder="1" applyAlignment="1">
      <alignment horizontal="right" vertical="center" readingOrder="1"/>
    </xf>
    <xf numFmtId="0" fontId="6" fillId="0" borderId="7" xfId="0" applyFont="1" applyBorder="1" applyAlignment="1">
      <alignment horizontal="left" vertical="center" readingOrder="1"/>
    </xf>
    <xf numFmtId="0" fontId="6" fillId="0" borderId="8" xfId="0" applyFont="1" applyBorder="1" applyAlignment="1">
      <alignment horizontal="left" vertical="center" readingOrder="1"/>
    </xf>
    <xf numFmtId="0" fontId="6" fillId="2" borderId="8" xfId="0" applyFont="1" applyFill="1" applyBorder="1" applyAlignment="1">
      <alignment horizontal="left" vertical="center" readingOrder="1"/>
    </xf>
    <xf numFmtId="174" fontId="6" fillId="2" borderId="1" xfId="0" applyNumberFormat="1" applyFont="1" applyFill="1" applyBorder="1" applyAlignment="1">
      <alignment horizontal="right" vertical="center" wrapText="1" readingOrder="1"/>
    </xf>
    <xf numFmtId="2" fontId="20" fillId="0" borderId="14" xfId="0" applyNumberFormat="1" applyFont="1" applyBorder="1" applyAlignment="1">
      <alignment horizontal="right" vertical="top" wrapText="1"/>
    </xf>
    <xf numFmtId="0" fontId="20" fillId="0" borderId="14" xfId="0" applyFont="1" applyBorder="1" applyAlignment="1"/>
    <xf numFmtId="2" fontId="20" fillId="0" borderId="0" xfId="0" applyNumberFormat="1" applyFont="1" applyAlignment="1">
      <alignment horizontal="right" vertical="top" wrapText="1"/>
    </xf>
    <xf numFmtId="0" fontId="6" fillId="2" borderId="7" xfId="0" applyFont="1" applyFill="1" applyBorder="1" applyAlignment="1">
      <alignment horizontal="left" vertical="center" readingOrder="1"/>
    </xf>
    <xf numFmtId="174" fontId="20" fillId="0" borderId="0" xfId="0" applyNumberFormat="1" applyFont="1" applyAlignment="1"/>
    <xf numFmtId="0" fontId="21" fillId="0" borderId="7" xfId="0" applyFont="1" applyBorder="1" applyAlignment="1">
      <alignment horizontal="center"/>
    </xf>
    <xf numFmtId="2" fontId="20" fillId="0" borderId="7" xfId="0" applyNumberFormat="1" applyFont="1" applyBorder="1" applyAlignment="1">
      <alignment horizontal="center"/>
    </xf>
    <xf numFmtId="37" fontId="20" fillId="0" borderId="7" xfId="11" applyNumberFormat="1" applyFont="1" applyFill="1" applyBorder="1" applyAlignment="1">
      <alignment horizontal="center"/>
    </xf>
    <xf numFmtId="43" fontId="20" fillId="0" borderId="7" xfId="11" applyNumberFormat="1" applyFont="1" applyFill="1" applyBorder="1"/>
    <xf numFmtId="164" fontId="20" fillId="0" borderId="0" xfId="11" applyFont="1" applyFill="1" applyBorder="1"/>
    <xf numFmtId="43" fontId="20" fillId="0" borderId="0" xfId="0" applyNumberFormat="1" applyFont="1" applyAlignment="1"/>
    <xf numFmtId="4" fontId="20" fillId="0" borderId="0" xfId="0" applyNumberFormat="1" applyFont="1" applyAlignment="1"/>
    <xf numFmtId="0" fontId="20" fillId="0" borderId="7" xfId="11" applyNumberFormat="1" applyFont="1" applyFill="1" applyBorder="1" applyAlignment="1">
      <alignment horizontal="center"/>
    </xf>
    <xf numFmtId="4" fontId="20" fillId="0" borderId="7" xfId="11" applyNumberFormat="1" applyFont="1" applyFill="1" applyBorder="1"/>
    <xf numFmtId="0" fontId="20" fillId="0" borderId="7" xfId="0" applyFont="1" applyBorder="1" applyAlignment="1">
      <alignment horizontal="left" vertical="top" wrapText="1"/>
    </xf>
    <xf numFmtId="176" fontId="20" fillId="0" borderId="7" xfId="11" applyNumberFormat="1" applyFont="1" applyFill="1" applyBorder="1"/>
    <xf numFmtId="164" fontId="20" fillId="0" borderId="7" xfId="11" applyFont="1" applyFill="1" applyBorder="1"/>
    <xf numFmtId="184" fontId="20" fillId="0" borderId="0" xfId="0" applyNumberFormat="1" applyFont="1" applyAlignment="1"/>
    <xf numFmtId="0" fontId="20" fillId="0" borderId="0" xfId="0" applyFont="1" applyAlignment="1">
      <alignment horizontal="right" vertical="top" wrapText="1"/>
    </xf>
    <xf numFmtId="2" fontId="20" fillId="0" borderId="0" xfId="0" applyNumberFormat="1" applyFont="1" applyAlignment="1">
      <alignment vertical="top" wrapText="1"/>
    </xf>
    <xf numFmtId="164" fontId="20" fillId="0" borderId="0" xfId="11" applyFont="1" applyFill="1" applyBorder="1" applyAlignment="1"/>
    <xf numFmtId="0" fontId="20" fillId="0" borderId="0" xfId="0" applyFont="1" applyAlignment="1" applyProtection="1">
      <alignment horizontal="left"/>
      <protection locked="0"/>
    </xf>
    <xf numFmtId="0" fontId="20" fillId="0" borderId="0" xfId="0" applyFont="1" applyAlignment="1">
      <alignment horizontal="center" vertical="top"/>
    </xf>
    <xf numFmtId="164" fontId="20" fillId="0" borderId="0" xfId="11" applyFont="1" applyFill="1" applyBorder="1" applyAlignment="1" applyProtection="1">
      <alignment horizontal="left"/>
      <protection locked="0"/>
    </xf>
    <xf numFmtId="4" fontId="20" fillId="0" borderId="0" xfId="0" applyNumberFormat="1" applyFont="1" applyAlignment="1">
      <alignment horizontal="right" vertical="center"/>
    </xf>
    <xf numFmtId="10" fontId="20" fillId="0" borderId="0" xfId="0" applyNumberFormat="1" applyFont="1" applyAlignment="1">
      <alignment horizontal="center"/>
    </xf>
    <xf numFmtId="164" fontId="20" fillId="0" borderId="7" xfId="11" applyFont="1" applyFill="1" applyBorder="1" applyAlignment="1">
      <alignment horizontal="center" vertical="top" wrapText="1"/>
    </xf>
    <xf numFmtId="0" fontId="20" fillId="0" borderId="7" xfId="0" applyFont="1" applyBorder="1" applyAlignment="1">
      <alignment horizontal="center"/>
    </xf>
    <xf numFmtId="2" fontId="20" fillId="0" borderId="7" xfId="0" applyNumberFormat="1" applyFont="1" applyBorder="1" applyAlignment="1">
      <alignment horizontal="right"/>
    </xf>
    <xf numFmtId="164" fontId="20" fillId="0" borderId="0" xfId="0" applyNumberFormat="1" applyFont="1" applyAlignment="1"/>
    <xf numFmtId="1" fontId="20" fillId="0" borderId="7" xfId="0" applyNumberFormat="1" applyFont="1" applyBorder="1" applyAlignment="1">
      <alignment horizontal="center"/>
    </xf>
    <xf numFmtId="164" fontId="21" fillId="0" borderId="0" xfId="11" applyFont="1" applyFill="1" applyBorder="1"/>
    <xf numFmtId="185" fontId="20" fillId="0" borderId="0" xfId="0" applyNumberFormat="1" applyFont="1" applyAlignment="1"/>
    <xf numFmtId="0" fontId="20" fillId="0" borderId="7" xfId="0" applyFont="1" applyBorder="1" applyAlignment="1">
      <alignment vertical="top" wrapText="1"/>
    </xf>
    <xf numFmtId="43" fontId="21" fillId="0" borderId="0" xfId="0" applyNumberFormat="1" applyFont="1" applyAlignment="1"/>
    <xf numFmtId="0" fontId="21" fillId="0" borderId="7" xfId="11" applyNumberFormat="1" applyFont="1" applyFill="1" applyBorder="1" applyAlignment="1">
      <alignment horizontal="center"/>
    </xf>
    <xf numFmtId="4" fontId="21" fillId="0" borderId="7" xfId="11" applyNumberFormat="1" applyFont="1" applyFill="1" applyBorder="1"/>
    <xf numFmtId="164" fontId="21" fillId="0" borderId="7" xfId="11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0" fillId="0" borderId="0" xfId="0" applyFont="1" applyAlignment="1">
      <alignment horizontal="center"/>
    </xf>
    <xf numFmtId="2" fontId="20" fillId="0" borderId="0" xfId="0" applyNumberFormat="1" applyFont="1" applyAlignment="1">
      <alignment horizontal="right"/>
    </xf>
    <xf numFmtId="0" fontId="20" fillId="0" borderId="7" xfId="0" applyFont="1" applyBorder="1" applyAlignment="1">
      <alignment horizontal="center" vertical="top" wrapText="1"/>
    </xf>
    <xf numFmtId="186" fontId="20" fillId="0" borderId="0" xfId="0" applyNumberFormat="1" applyFont="1" applyAlignment="1">
      <alignment horizontal="right" vertical="top" wrapText="1"/>
    </xf>
    <xf numFmtId="2" fontId="20" fillId="0" borderId="0" xfId="0" applyNumberFormat="1" applyFont="1" applyAlignment="1">
      <alignment horizontal="center"/>
    </xf>
    <xf numFmtId="0" fontId="20" fillId="0" borderId="7" xfId="0" applyFont="1" applyBorder="1" applyAlignment="1">
      <alignment horizontal="left"/>
    </xf>
    <xf numFmtId="2" fontId="20" fillId="0" borderId="7" xfId="0" applyNumberFormat="1" applyFont="1" applyBorder="1" applyAlignment="1">
      <alignment horizontal="center" vertical="top" wrapText="1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vertical="top"/>
    </xf>
    <xf numFmtId="2" fontId="20" fillId="0" borderId="0" xfId="0" applyNumberFormat="1" applyFont="1" applyAlignment="1">
      <alignment horizontal="right" vertical="top"/>
    </xf>
    <xf numFmtId="187" fontId="20" fillId="0" borderId="0" xfId="11" applyNumberFormat="1" applyFont="1" applyFill="1" applyBorder="1" applyAlignment="1">
      <alignment horizontal="center" vertical="top" wrapText="1"/>
    </xf>
    <xf numFmtId="0" fontId="20" fillId="0" borderId="0" xfId="0" applyFont="1" applyAlignment="1">
      <alignment horizontal="left" vertical="top" wrapText="1"/>
    </xf>
    <xf numFmtId="181" fontId="20" fillId="0" borderId="0" xfId="11" applyNumberFormat="1" applyFont="1" applyFill="1" applyBorder="1" applyAlignment="1">
      <alignment horizontal="right" vertical="top" wrapText="1"/>
    </xf>
    <xf numFmtId="2" fontId="20" fillId="0" borderId="0" xfId="0" applyNumberFormat="1" applyFont="1" applyAlignment="1"/>
    <xf numFmtId="4" fontId="20" fillId="0" borderId="0" xfId="11" applyNumberFormat="1" applyFont="1" applyFill="1" applyBorder="1"/>
    <xf numFmtId="2" fontId="20" fillId="0" borderId="7" xfId="0" applyNumberFormat="1" applyFont="1" applyBorder="1" applyAlignment="1">
      <alignment vertical="top" wrapText="1"/>
    </xf>
    <xf numFmtId="164" fontId="20" fillId="0" borderId="7" xfId="11" applyFont="1" applyFill="1" applyBorder="1" applyAlignment="1"/>
    <xf numFmtId="4" fontId="20" fillId="0" borderId="7" xfId="0" applyNumberFormat="1" applyFont="1" applyBorder="1" applyAlignment="1">
      <alignment horizontal="center"/>
    </xf>
    <xf numFmtId="4" fontId="20" fillId="0" borderId="7" xfId="11" applyNumberFormat="1" applyFont="1" applyFill="1" applyBorder="1" applyAlignment="1">
      <alignment horizontal="center"/>
    </xf>
    <xf numFmtId="4" fontId="21" fillId="0" borderId="7" xfId="0" applyNumberFormat="1" applyFont="1" applyBorder="1" applyAlignment="1">
      <alignment horizontal="center" vertical="top" wrapText="1"/>
    </xf>
    <xf numFmtId="4" fontId="20" fillId="0" borderId="7" xfId="0" applyNumberFormat="1" applyFont="1" applyBorder="1" applyAlignment="1">
      <alignment horizontal="center" vertical="top" wrapText="1"/>
    </xf>
    <xf numFmtId="4" fontId="20" fillId="0" borderId="7" xfId="0" applyNumberFormat="1" applyFont="1" applyBorder="1" applyAlignment="1">
      <alignment horizontal="right" vertical="top" wrapText="1"/>
    </xf>
    <xf numFmtId="4" fontId="20" fillId="0" borderId="7" xfId="0" applyNumberFormat="1" applyFont="1" applyBorder="1" applyAlignment="1">
      <alignment horizontal="right" vertical="top"/>
    </xf>
    <xf numFmtId="0" fontId="7" fillId="2" borderId="4" xfId="0" applyFont="1" applyFill="1" applyBorder="1" applyAlignment="1">
      <alignment horizontal="left" vertical="center" wrapText="1" readingOrder="1"/>
    </xf>
    <xf numFmtId="0" fontId="7" fillId="2" borderId="6" xfId="0" applyFont="1" applyFill="1" applyBorder="1" applyAlignment="1">
      <alignment horizontal="left" vertical="center" wrapText="1" readingOrder="1"/>
    </xf>
    <xf numFmtId="0" fontId="6" fillId="2" borderId="4" xfId="0" applyFont="1" applyFill="1" applyBorder="1" applyAlignment="1">
      <alignment horizontal="left" vertical="center" wrapText="1" readingOrder="1"/>
    </xf>
    <xf numFmtId="0" fontId="6" fillId="2" borderId="6" xfId="0" applyFont="1" applyFill="1" applyBorder="1" applyAlignment="1">
      <alignment horizontal="left" vertical="center" wrapText="1" readingOrder="1"/>
    </xf>
    <xf numFmtId="0" fontId="16" fillId="2" borderId="4" xfId="0" applyFont="1" applyFill="1" applyBorder="1" applyAlignment="1">
      <alignment horizontal="left" vertical="center" wrapText="1" readingOrder="1"/>
    </xf>
    <xf numFmtId="0" fontId="16" fillId="2" borderId="6" xfId="0" applyFont="1" applyFill="1" applyBorder="1" applyAlignment="1">
      <alignment horizontal="left" vertical="center" wrapText="1" readingOrder="1"/>
    </xf>
    <xf numFmtId="0" fontId="11" fillId="0" borderId="0" xfId="15" applyFont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 readingOrder="1"/>
    </xf>
    <xf numFmtId="0" fontId="29" fillId="2" borderId="7" xfId="0" applyFont="1" applyFill="1" applyBorder="1" applyAlignment="1">
      <alignment horizontal="center" vertical="center" wrapText="1" readingOrder="1"/>
    </xf>
    <xf numFmtId="0" fontId="29" fillId="2" borderId="8" xfId="0" applyFont="1" applyFill="1" applyBorder="1" applyAlignment="1">
      <alignment horizontal="center" vertical="center" readingOrder="1"/>
    </xf>
    <xf numFmtId="0" fontId="29" fillId="2" borderId="9" xfId="0" applyFont="1" applyFill="1" applyBorder="1" applyAlignment="1">
      <alignment horizontal="center" vertical="center" readingOrder="1"/>
    </xf>
    <xf numFmtId="0" fontId="29" fillId="2" borderId="10" xfId="0" applyFont="1" applyFill="1" applyBorder="1" applyAlignment="1">
      <alignment horizontal="center" vertical="center" readingOrder="1"/>
    </xf>
    <xf numFmtId="0" fontId="7" fillId="2" borderId="5" xfId="0" applyFont="1" applyFill="1" applyBorder="1" applyAlignment="1">
      <alignment horizontal="left" vertical="center" wrapText="1" readingOrder="1"/>
    </xf>
    <xf numFmtId="0" fontId="29" fillId="0" borderId="7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readingOrder="1"/>
    </xf>
    <xf numFmtId="0" fontId="23" fillId="0" borderId="8" xfId="13" applyFont="1" applyBorder="1" applyAlignment="1">
      <alignment horizontal="left" wrapText="1"/>
    </xf>
    <xf numFmtId="0" fontId="23" fillId="0" borderId="9" xfId="13" applyFont="1" applyBorder="1" applyAlignment="1">
      <alignment horizontal="left" wrapText="1"/>
    </xf>
    <xf numFmtId="0" fontId="23" fillId="0" borderId="10" xfId="13" applyFont="1" applyBorder="1" applyAlignment="1">
      <alignment horizontal="left" wrapText="1"/>
    </xf>
    <xf numFmtId="0" fontId="21" fillId="2" borderId="8" xfId="0" applyFont="1" applyFill="1" applyBorder="1" applyAlignment="1">
      <alignment horizontal="left" vertical="top" readingOrder="1"/>
    </xf>
    <xf numFmtId="0" fontId="21" fillId="2" borderId="9" xfId="0" applyFont="1" applyFill="1" applyBorder="1" applyAlignment="1">
      <alignment horizontal="left" vertical="top" readingOrder="1"/>
    </xf>
    <xf numFmtId="0" fontId="21" fillId="2" borderId="10" xfId="0" applyFont="1" applyFill="1" applyBorder="1" applyAlignment="1">
      <alignment horizontal="left" vertical="top" readingOrder="1"/>
    </xf>
    <xf numFmtId="0" fontId="30" fillId="0" borderId="8" xfId="13" applyFont="1" applyBorder="1" applyAlignment="1">
      <alignment horizontal="center" vertical="center" wrapText="1"/>
    </xf>
    <xf numFmtId="0" fontId="30" fillId="0" borderId="10" xfId="13" applyFont="1" applyBorder="1" applyAlignment="1">
      <alignment horizontal="center" vertical="center" wrapText="1"/>
    </xf>
    <xf numFmtId="0" fontId="30" fillId="0" borderId="7" xfId="13" applyFont="1" applyBorder="1" applyAlignment="1">
      <alignment horizontal="center" vertical="center"/>
    </xf>
    <xf numFmtId="0" fontId="23" fillId="0" borderId="8" xfId="11" applyNumberFormat="1" applyFont="1" applyBorder="1" applyAlignment="1">
      <alignment horizontal="center" vertical="center"/>
    </xf>
    <xf numFmtId="0" fontId="23" fillId="0" borderId="10" xfId="11" applyNumberFormat="1" applyFont="1" applyBorder="1" applyAlignment="1">
      <alignment horizontal="center" vertical="center"/>
    </xf>
    <xf numFmtId="0" fontId="30" fillId="0" borderId="8" xfId="13" applyFont="1" applyBorder="1" applyAlignment="1">
      <alignment horizontal="center"/>
    </xf>
    <xf numFmtId="0" fontId="30" fillId="0" borderId="9" xfId="13" applyFont="1" applyBorder="1" applyAlignment="1">
      <alignment horizontal="center"/>
    </xf>
    <xf numFmtId="0" fontId="30" fillId="0" borderId="10" xfId="13" applyFont="1" applyBorder="1" applyAlignment="1">
      <alignment horizontal="center"/>
    </xf>
    <xf numFmtId="0" fontId="30" fillId="0" borderId="8" xfId="13" applyFont="1" applyBorder="1" applyAlignment="1">
      <alignment horizontal="center" vertical="center"/>
    </xf>
    <xf numFmtId="0" fontId="30" fillId="0" borderId="9" xfId="13" applyFont="1" applyBorder="1" applyAlignment="1">
      <alignment horizontal="center" vertical="center"/>
    </xf>
    <xf numFmtId="0" fontId="30" fillId="0" borderId="10" xfId="13" applyFont="1" applyBorder="1" applyAlignment="1">
      <alignment horizontal="center" vertical="center"/>
    </xf>
    <xf numFmtId="0" fontId="16" fillId="2" borderId="0" xfId="0" applyFont="1" applyFill="1" applyAlignment="1">
      <alignment horizontal="left" vertical="center" wrapText="1" readingOrder="1"/>
    </xf>
    <xf numFmtId="0" fontId="16" fillId="0" borderId="4" xfId="0" applyFont="1" applyBorder="1" applyAlignment="1">
      <alignment horizontal="left" vertical="top" wrapText="1" readingOrder="1"/>
    </xf>
    <xf numFmtId="0" fontId="16" fillId="0" borderId="6" xfId="0" applyFont="1" applyBorder="1" applyAlignment="1">
      <alignment horizontal="left" vertical="top" wrapText="1" readingOrder="1"/>
    </xf>
    <xf numFmtId="0" fontId="16" fillId="2" borderId="0" xfId="2" applyFont="1" applyFill="1" applyAlignment="1">
      <alignment horizontal="left" vertical="center" wrapText="1" readingOrder="1"/>
    </xf>
    <xf numFmtId="0" fontId="5" fillId="2" borderId="8" xfId="0" applyFont="1" applyFill="1" applyBorder="1" applyAlignment="1">
      <alignment horizontal="center" vertical="center" readingOrder="1"/>
    </xf>
    <xf numFmtId="0" fontId="5" fillId="2" borderId="9" xfId="0" applyFont="1" applyFill="1" applyBorder="1" applyAlignment="1">
      <alignment horizontal="center" vertical="center" readingOrder="1"/>
    </xf>
    <xf numFmtId="0" fontId="5" fillId="2" borderId="10" xfId="0" applyFont="1" applyFill="1" applyBorder="1" applyAlignment="1">
      <alignment horizontal="center" vertical="center" readingOrder="1"/>
    </xf>
    <xf numFmtId="0" fontId="26" fillId="0" borderId="0" xfId="9" applyFont="1" applyAlignment="1">
      <alignment horizontal="left" vertical="center"/>
    </xf>
    <xf numFmtId="0" fontId="23" fillId="0" borderId="0" xfId="4" applyFont="1" applyAlignment="1">
      <alignment horizontal="left"/>
    </xf>
    <xf numFmtId="0" fontId="10" fillId="0" borderId="7" xfId="4" applyFont="1" applyBorder="1" applyAlignment="1">
      <alignment horizontal="center" vertical="center"/>
    </xf>
    <xf numFmtId="0" fontId="11" fillId="0" borderId="7" xfId="5" applyFont="1" applyBorder="1" applyAlignment="1">
      <alignment horizontal="center" vertical="center"/>
    </xf>
    <xf numFmtId="0" fontId="19" fillId="3" borderId="7" xfId="5" applyFont="1" applyFill="1" applyBorder="1" applyAlignment="1">
      <alignment horizontal="center" vertical="center" wrapText="1"/>
    </xf>
    <xf numFmtId="0" fontId="26" fillId="0" borderId="8" xfId="9" applyFont="1" applyBorder="1" applyAlignment="1">
      <alignment horizontal="left" vertical="center"/>
    </xf>
    <xf numFmtId="0" fontId="26" fillId="0" borderId="9" xfId="9" applyFont="1" applyBorder="1" applyAlignment="1">
      <alignment horizontal="left" vertical="center"/>
    </xf>
    <xf numFmtId="0" fontId="26" fillId="0" borderId="10" xfId="9" applyFont="1" applyBorder="1" applyAlignment="1">
      <alignment horizontal="left" vertical="center"/>
    </xf>
    <xf numFmtId="0" fontId="26" fillId="0" borderId="0" xfId="9" applyFont="1" applyAlignment="1">
      <alignment horizontal="left"/>
    </xf>
    <xf numFmtId="0" fontId="21" fillId="0" borderId="0" xfId="0" applyFont="1" applyAlignment="1">
      <alignment horizontal="center"/>
    </xf>
  </cellXfs>
  <cellStyles count="17">
    <cellStyle name="Comma" xfId="11" builtinId="3"/>
    <cellStyle name="Comma 10" xfId="8" xr:uid="{A1CDF65D-7B5F-4166-B4B8-7BE0D3BC04A7}"/>
    <cellStyle name="Comma 2" xfId="7" xr:uid="{B3115B30-2AE1-475F-89D3-C2BF1AA1A6EC}"/>
    <cellStyle name="Hyperlink 2" xfId="3" xr:uid="{5D469C8D-D894-43D2-96DD-DDC85FB12F44}"/>
    <cellStyle name="Normal" xfId="0" builtinId="0"/>
    <cellStyle name="Normal 2" xfId="2" xr:uid="{4EFFDFAD-39CE-4EDA-BCEA-A276E78F9F30}"/>
    <cellStyle name="Normal 2 2" xfId="6" xr:uid="{16165C0C-5BF6-4CEF-A515-3C6FA7298797}"/>
    <cellStyle name="Normal 2 2 3" xfId="13" xr:uid="{96061CC7-E17F-42BC-AE82-BBFD8D6F7350}"/>
    <cellStyle name="Normal 2 2 3 2" xfId="1" xr:uid="{3E76E0CC-968C-4986-B6DF-A713B2653ACF}"/>
    <cellStyle name="Normal 3" xfId="15" xr:uid="{939828EE-0E46-4513-AA52-47AE21E40B0B}"/>
    <cellStyle name="Normal 4" xfId="4" xr:uid="{A441D4AA-AC0F-4350-81EB-96F790BFAE39}"/>
    <cellStyle name="Normal 4 2" xfId="16" xr:uid="{06DD2A2F-FF93-48FF-8EE6-DC5EEF1E5457}"/>
    <cellStyle name="Normal_Bonsaverportfolio 2 2" xfId="5" xr:uid="{178C02FB-66A7-4D4F-B796-4F77D36ABC4B}"/>
    <cellStyle name="Normal_Halfyearly_Debtholdings_30092011 2" xfId="9" xr:uid="{CBC50AE6-8886-41BA-8B36-BC3D24A3D26C}"/>
    <cellStyle name="Normal_Holdingotherschemes new" xfId="10" xr:uid="{6EBD0F94-429B-4B9C-A05F-7DAE74236FB2}"/>
    <cellStyle name="Percent" xfId="12" builtinId="5"/>
    <cellStyle name="Percent 2" xfId="14" xr:uid="{E537CD46-71B8-495F-9B0F-C48A8EFE41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3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19050</xdr:rowOff>
    </xdr:from>
    <xdr:to>
      <xdr:col>14</xdr:col>
      <xdr:colOff>235942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85B52E-3D6E-41DC-8C1B-84FC3C1A1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5100" y="4572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714375</xdr:colOff>
      <xdr:row>12</xdr:row>
      <xdr:rowOff>180975</xdr:rowOff>
    </xdr:from>
    <xdr:to>
      <xdr:col>14</xdr:col>
      <xdr:colOff>247650</xdr:colOff>
      <xdr:row>20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9B977A-0078-4B04-9B05-31DBE4EB6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77475" y="3152775"/>
          <a:ext cx="3295650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533401</xdr:colOff>
      <xdr:row>13</xdr:row>
      <xdr:rowOff>114300</xdr:rowOff>
    </xdr:from>
    <xdr:to>
      <xdr:col>14</xdr:col>
      <xdr:colOff>104775</xdr:colOff>
      <xdr:row>20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8A9C19-B76B-43C1-8A8F-E7B2B94F4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6501" y="3600450"/>
          <a:ext cx="3228974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457201</xdr:colOff>
      <xdr:row>2</xdr:row>
      <xdr:rowOff>161925</xdr:rowOff>
    </xdr:from>
    <xdr:to>
      <xdr:col>14</xdr:col>
      <xdr:colOff>57151</xdr:colOff>
      <xdr:row>9</xdr:row>
      <xdr:rowOff>304800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FDB934-B91F-4B71-995D-7CDCA99CE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0301" y="600075"/>
          <a:ext cx="3257550" cy="2047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3A32F8-4838-44CD-B6DF-972E2A7AA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533400</xdr:colOff>
      <xdr:row>12</xdr:row>
      <xdr:rowOff>152400</xdr:rowOff>
    </xdr:from>
    <xdr:to>
      <xdr:col>14</xdr:col>
      <xdr:colOff>200025</xdr:colOff>
      <xdr:row>21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EA1D14-18EB-464A-9966-82D9E339B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6500" y="3276600"/>
          <a:ext cx="332422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308D32-FA3F-4E2E-89B2-D1F6D6D94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552450</xdr:colOff>
      <xdr:row>12</xdr:row>
      <xdr:rowOff>190500</xdr:rowOff>
    </xdr:from>
    <xdr:to>
      <xdr:col>14</xdr:col>
      <xdr:colOff>209550</xdr:colOff>
      <xdr:row>18</xdr:row>
      <xdr:rowOff>247650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81FF6C-0EA1-4D91-A5D3-ED26DC9E9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15550" y="3314700"/>
          <a:ext cx="331470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600075</xdr:colOff>
      <xdr:row>22</xdr:row>
      <xdr:rowOff>95250</xdr:rowOff>
    </xdr:from>
    <xdr:to>
      <xdr:col>14</xdr:col>
      <xdr:colOff>216196</xdr:colOff>
      <xdr:row>29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F73BE7-ACA3-4172-8856-A93798297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5" y="5772150"/>
          <a:ext cx="3273721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8E4AAB-C497-434E-8288-92B77EA95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314325</xdr:rowOff>
    </xdr:from>
    <xdr:to>
      <xdr:col>14</xdr:col>
      <xdr:colOff>361950</xdr:colOff>
      <xdr:row>21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59AF50-FCD8-4BC5-A9FE-2B49E148B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95675"/>
          <a:ext cx="3409950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44EE20-3A79-449D-9632-80D1B347A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600075</xdr:colOff>
      <xdr:row>13</xdr:row>
      <xdr:rowOff>200026</xdr:rowOff>
    </xdr:from>
    <xdr:to>
      <xdr:col>14</xdr:col>
      <xdr:colOff>247650</xdr:colOff>
      <xdr:row>20</xdr:row>
      <xdr:rowOff>200026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D0DC40-D6A8-49F1-8E4C-1FF61CA2B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5" y="3381376"/>
          <a:ext cx="330517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142875</xdr:rowOff>
    </xdr:from>
    <xdr:to>
      <xdr:col>14</xdr:col>
      <xdr:colOff>235942</xdr:colOff>
      <xdr:row>10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DC08C5-8478-45D0-8FA9-146476C7C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8102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152400</xdr:rowOff>
    </xdr:from>
    <xdr:to>
      <xdr:col>14</xdr:col>
      <xdr:colOff>225721</xdr:colOff>
      <xdr:row>19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3A6B1F-D02C-4B0C-893F-A0514B3B8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181350"/>
          <a:ext cx="3273721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590550</xdr:colOff>
      <xdr:row>22</xdr:row>
      <xdr:rowOff>19050</xdr:rowOff>
    </xdr:from>
    <xdr:ext cx="3273721" cy="1809750"/>
    <xdr:pic>
      <xdr:nvPicPr>
        <xdr:cNvPr id="4" name="Picture 3">
          <a:extLst>
            <a:ext uri="{FF2B5EF4-FFF2-40B4-BE49-F238E27FC236}">
              <a16:creationId xmlns:a16="http://schemas.microsoft.com/office/drawing/2014/main" id="{D3001A75-425E-465B-BA45-85514B515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53650" y="5524500"/>
          <a:ext cx="3273721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181277-238E-44ED-9B10-1D33347F6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561975</xdr:colOff>
      <xdr:row>13</xdr:row>
      <xdr:rowOff>161925</xdr:rowOff>
    </xdr:from>
    <xdr:to>
      <xdr:col>14</xdr:col>
      <xdr:colOff>266700</xdr:colOff>
      <xdr:row>21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6CC9B9-BC82-43BB-9DCB-FC6159AC7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25075" y="3343275"/>
          <a:ext cx="3362325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161925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6F5C0C-CEE4-4BE5-B8CD-ADCE279FB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09925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14</xdr:row>
      <xdr:rowOff>28575</xdr:rowOff>
    </xdr:from>
    <xdr:to>
      <xdr:col>14</xdr:col>
      <xdr:colOff>159046</xdr:colOff>
      <xdr:row>22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410360-714C-4E47-839A-2E9576C1F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06025" y="3419475"/>
          <a:ext cx="3273721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AE75E-B197-48AB-9D72-9200FB394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285750</xdr:colOff>
      <xdr:row>22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F704FB-E036-47EA-9165-4174334C4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33375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37DB92-018C-4890-820B-8DBDC04FE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21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B8AD26-0FE0-4F91-8887-047BDC93C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EDDD8E-A06D-438A-8806-0FBF72C66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21</xdr:row>
      <xdr:rowOff>276225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081278-7223-460C-B983-EA8678B5B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9BA2C3-56C6-4BC1-BC20-9C1348497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14</xdr:col>
      <xdr:colOff>225721</xdr:colOff>
      <xdr:row>22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5EA47E-4C3B-4149-B115-C0BD1AF0D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600450"/>
          <a:ext cx="3273721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DF8C2D-0381-4F45-97CD-6F3077D01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14</xdr:col>
      <xdr:colOff>285750</xdr:colOff>
      <xdr:row>20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214F53-2D4C-4319-8C58-DD0ABCEFB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33750"/>
          <a:ext cx="333375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E6113F-3987-4A52-942B-E8A469774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1</xdr:rowOff>
    </xdr:from>
    <xdr:to>
      <xdr:col>14</xdr:col>
      <xdr:colOff>225721</xdr:colOff>
      <xdr:row>21</xdr:row>
      <xdr:rowOff>57151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437B57-8176-4CD4-8971-8C3568856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33751"/>
          <a:ext cx="3273721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9525</xdr:rowOff>
    </xdr:from>
    <xdr:to>
      <xdr:col>14</xdr:col>
      <xdr:colOff>235942</xdr:colOff>
      <xdr:row>10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525F73-DB43-47E2-B162-56B2696CB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1437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285750</xdr:colOff>
      <xdr:row>22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127E08-DD92-4139-A894-73076F184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43300"/>
          <a:ext cx="333375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1</xdr:rowOff>
    </xdr:from>
    <xdr:to>
      <xdr:col>14</xdr:col>
      <xdr:colOff>235942</xdr:colOff>
      <xdr:row>11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7B2FD4-F869-411A-A5F7-C7A6BC89B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1"/>
          <a:ext cx="3283942" cy="19812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20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BB468F-94CF-4735-AC62-DF39CA4F6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43300"/>
          <a:ext cx="3273721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A0DEC9-AB4D-4E7A-96B3-AF5B74F99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C11619-DC0E-4E1C-A89B-F63AB8370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57150</xdr:rowOff>
    </xdr:from>
    <xdr:to>
      <xdr:col>14</xdr:col>
      <xdr:colOff>235942</xdr:colOff>
      <xdr:row>9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A09FC3-F672-486A-B676-F88E15BDD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4953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14</xdr:col>
      <xdr:colOff>225721</xdr:colOff>
      <xdr:row>20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85FC07-AB3A-475D-B359-B6D255F24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181350"/>
          <a:ext cx="3273721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DD97DA-51AC-453C-ABA5-60FECA919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21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90B5A-1A49-4E70-A7AB-F67784A19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1285A8-F3F1-4534-8E09-194BBD66F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361950</xdr:colOff>
      <xdr:row>21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8D9214-655D-41A1-B83E-E86F2A781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409950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5D2D95-01D4-477D-80D4-C4E6BEF29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21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C10E69-CC33-4B97-BB79-B7FBB70EA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216892</xdr:colOff>
      <xdr:row>8</xdr:row>
      <xdr:rowOff>638175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00C9F7-FA31-4275-B15D-BFE41DA17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6096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600075</xdr:colOff>
      <xdr:row>11</xdr:row>
      <xdr:rowOff>171451</xdr:rowOff>
    </xdr:from>
    <xdr:to>
      <xdr:col>14</xdr:col>
      <xdr:colOff>216196</xdr:colOff>
      <xdr:row>18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F80B8-2EC1-4DC5-8EA2-7FE52ECAD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5" y="3219451"/>
          <a:ext cx="3273721" cy="1704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22</xdr:row>
      <xdr:rowOff>0</xdr:rowOff>
    </xdr:from>
    <xdr:ext cx="3273721" cy="1790700"/>
    <xdr:pic>
      <xdr:nvPicPr>
        <xdr:cNvPr id="4" name="Picture 3">
          <a:extLst>
            <a:ext uri="{FF2B5EF4-FFF2-40B4-BE49-F238E27FC236}">
              <a16:creationId xmlns:a16="http://schemas.microsoft.com/office/drawing/2014/main" id="{26231F1D-3722-4484-84DE-9BCD1D79B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5657850"/>
          <a:ext cx="3273721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57151</xdr:colOff>
      <xdr:row>12</xdr:row>
      <xdr:rowOff>161925</xdr:rowOff>
    </xdr:from>
    <xdr:to>
      <xdr:col>15</xdr:col>
      <xdr:colOff>400051</xdr:colOff>
      <xdr:row>19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D9DD5B-F306-43D3-8BE1-A43332035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963276" y="3324225"/>
          <a:ext cx="33909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15</xdr:col>
      <xdr:colOff>152400</xdr:colOff>
      <xdr:row>10</xdr:row>
      <xdr:rowOff>304800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957FA6-8F06-459C-BAD4-63E33CDC7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04850"/>
          <a:ext cx="3200400" cy="20002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590551</xdr:colOff>
      <xdr:row>15</xdr:row>
      <xdr:rowOff>1</xdr:rowOff>
    </xdr:from>
    <xdr:to>
      <xdr:col>14</xdr:col>
      <xdr:colOff>285751</xdr:colOff>
      <xdr:row>22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844263-657B-48AA-8C41-C703EB043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7476" y="3600451"/>
          <a:ext cx="3352800" cy="1762124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131167</xdr:colOff>
      <xdr:row>10</xdr:row>
      <xdr:rowOff>323850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2FF7F8-13A9-4B00-855A-58A00F539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72725" y="704850"/>
          <a:ext cx="3179167" cy="20193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57150</xdr:rowOff>
    </xdr:from>
    <xdr:to>
      <xdr:col>13</xdr:col>
      <xdr:colOff>447675</xdr:colOff>
      <xdr:row>10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84E235-AF9A-41E3-8E33-217F83756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39350" y="495300"/>
          <a:ext cx="3324225" cy="20478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104775</xdr:rowOff>
    </xdr:from>
    <xdr:to>
      <xdr:col>13</xdr:col>
      <xdr:colOff>496378</xdr:colOff>
      <xdr:row>21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4A4DAB-4748-4AFA-AF52-852FDCEE9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2700" y="3295650"/>
          <a:ext cx="3372928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2</xdr:row>
      <xdr:rowOff>95250</xdr:rowOff>
    </xdr:from>
    <xdr:to>
      <xdr:col>14</xdr:col>
      <xdr:colOff>245467</xdr:colOff>
      <xdr:row>10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CFEB4-38A3-49CD-8973-DBED3D741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48925" y="5334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561975</xdr:colOff>
      <xdr:row>14</xdr:row>
      <xdr:rowOff>38100</xdr:rowOff>
    </xdr:from>
    <xdr:to>
      <xdr:col>14</xdr:col>
      <xdr:colOff>178096</xdr:colOff>
      <xdr:row>21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542A21-7B91-44EC-B8D1-00A85C662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91775" y="3276600"/>
          <a:ext cx="3273721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542925</xdr:colOff>
      <xdr:row>24</xdr:row>
      <xdr:rowOff>0</xdr:rowOff>
    </xdr:from>
    <xdr:ext cx="3273721" cy="1724025"/>
    <xdr:pic>
      <xdr:nvPicPr>
        <xdr:cNvPr id="4" name="Picture 3">
          <a:extLst>
            <a:ext uri="{FF2B5EF4-FFF2-40B4-BE49-F238E27FC236}">
              <a16:creationId xmlns:a16="http://schemas.microsoft.com/office/drawing/2014/main" id="{58F7CF64-CB5F-4766-B6F4-BA5046D25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72725" y="5638800"/>
          <a:ext cx="3273721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13</xdr:row>
      <xdr:rowOff>104775</xdr:rowOff>
    </xdr:from>
    <xdr:to>
      <xdr:col>14</xdr:col>
      <xdr:colOff>384055</xdr:colOff>
      <xdr:row>20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FCA9DA-1CD7-454D-AFA2-9A45F7BBB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2225" y="3590925"/>
          <a:ext cx="3422530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47625</xdr:colOff>
      <xdr:row>2</xdr:row>
      <xdr:rowOff>190500</xdr:rowOff>
    </xdr:from>
    <xdr:to>
      <xdr:col>14</xdr:col>
      <xdr:colOff>274042</xdr:colOff>
      <xdr:row>9</xdr:row>
      <xdr:rowOff>533400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55F6BB-C3DC-4500-8D93-C6E65DE10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0325" y="628650"/>
          <a:ext cx="3274417" cy="20955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1B9874-813F-4DBE-8095-737F0F564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14</xdr:col>
      <xdr:colOff>225721</xdr:colOff>
      <xdr:row>19</xdr:row>
      <xdr:rowOff>581025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D88B86-2A38-4372-A35A-C1B70F1AC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600450"/>
          <a:ext cx="3273721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21</xdr:row>
      <xdr:rowOff>200025</xdr:rowOff>
    </xdr:from>
    <xdr:ext cx="3429000" cy="1800225"/>
    <xdr:pic>
      <xdr:nvPicPr>
        <xdr:cNvPr id="4" name="Picture 3">
          <a:extLst>
            <a:ext uri="{FF2B5EF4-FFF2-40B4-BE49-F238E27FC236}">
              <a16:creationId xmlns:a16="http://schemas.microsoft.com/office/drawing/2014/main" id="{60D10C1B-F16B-4659-8567-9280A2A9E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096000"/>
          <a:ext cx="342900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3EF4E7-9859-455D-BD87-8FDB4FDF3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200026</xdr:rowOff>
    </xdr:from>
    <xdr:to>
      <xdr:col>14</xdr:col>
      <xdr:colOff>304800</xdr:colOff>
      <xdr:row>20</xdr:row>
      <xdr:rowOff>161926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55757F-2545-4ACE-8136-5E0297FCF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686176"/>
          <a:ext cx="33528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25</xdr:row>
      <xdr:rowOff>0</xdr:rowOff>
    </xdr:from>
    <xdr:ext cx="3448050" cy="1771650"/>
    <xdr:pic>
      <xdr:nvPicPr>
        <xdr:cNvPr id="4" name="Picture 3">
          <a:extLst>
            <a:ext uri="{FF2B5EF4-FFF2-40B4-BE49-F238E27FC236}">
              <a16:creationId xmlns:a16="http://schemas.microsoft.com/office/drawing/2014/main" id="{C40343D0-3518-43E9-BDCC-D2EA75F84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305550"/>
          <a:ext cx="344805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DEC52F-46E8-4F22-9506-7664C0186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333375</xdr:rowOff>
    </xdr:from>
    <xdr:to>
      <xdr:col>14</xdr:col>
      <xdr:colOff>285750</xdr:colOff>
      <xdr:row>21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79D074-DA16-466E-AA2F-46BF5CCDA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43300"/>
          <a:ext cx="333375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FC5DCC-D155-4BA4-A019-C2F84CBBF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600075</xdr:colOff>
      <xdr:row>13</xdr:row>
      <xdr:rowOff>95250</xdr:rowOff>
    </xdr:from>
    <xdr:to>
      <xdr:col>14</xdr:col>
      <xdr:colOff>333375</xdr:colOff>
      <xdr:row>20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0B42DF-563E-4DF1-B8A7-D87933DB9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5" y="3276600"/>
          <a:ext cx="339090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609599</xdr:colOff>
      <xdr:row>22</xdr:row>
      <xdr:rowOff>142875</xdr:rowOff>
    </xdr:from>
    <xdr:ext cx="3457575" cy="1838325"/>
    <xdr:pic>
      <xdr:nvPicPr>
        <xdr:cNvPr id="4" name="Picture 3">
          <a:extLst>
            <a:ext uri="{FF2B5EF4-FFF2-40B4-BE49-F238E27FC236}">
              <a16:creationId xmlns:a16="http://schemas.microsoft.com/office/drawing/2014/main" id="{3FF8F4C7-8A69-4288-BFA6-D04D637D5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699" y="5819775"/>
          <a:ext cx="34575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209550</xdr:rowOff>
    </xdr:from>
    <xdr:to>
      <xdr:col>14</xdr:col>
      <xdr:colOff>235942</xdr:colOff>
      <xdr:row>11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EA327F-EC27-44DF-ADC6-C849722D9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6477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14</xdr:col>
      <xdr:colOff>225721</xdr:colOff>
      <xdr:row>20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6410D2-2722-4059-88D9-591044FB4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181350"/>
          <a:ext cx="3273721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A6CB0D-8518-4403-A12B-65FFB268B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1933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1</xdr:rowOff>
    </xdr:from>
    <xdr:to>
      <xdr:col>14</xdr:col>
      <xdr:colOff>295275</xdr:colOff>
      <xdr:row>22</xdr:row>
      <xdr:rowOff>57151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688157-DA27-4BF1-874D-A43A12137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1"/>
          <a:ext cx="334327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26</xdr:row>
      <xdr:rowOff>0</xdr:rowOff>
    </xdr:from>
    <xdr:ext cx="3476625" cy="1743075"/>
    <xdr:pic>
      <xdr:nvPicPr>
        <xdr:cNvPr id="4" name="Picture 3">
          <a:extLst>
            <a:ext uri="{FF2B5EF4-FFF2-40B4-BE49-F238E27FC236}">
              <a16:creationId xmlns:a16="http://schemas.microsoft.com/office/drawing/2014/main" id="{E04B237B-94CF-4F72-B2E1-853DB6A4A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057900"/>
          <a:ext cx="34766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396955-32A2-452F-BB6F-9DB55E1CB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590550</xdr:colOff>
      <xdr:row>13</xdr:row>
      <xdr:rowOff>180975</xdr:rowOff>
    </xdr:from>
    <xdr:to>
      <xdr:col>14</xdr:col>
      <xdr:colOff>206671</xdr:colOff>
      <xdr:row>21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0AF59B-AA00-4CE3-9664-BBDCD9690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53650" y="3362325"/>
          <a:ext cx="3273721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24</xdr:row>
      <xdr:rowOff>0</xdr:rowOff>
    </xdr:from>
    <xdr:ext cx="3400425" cy="1857375"/>
    <xdr:pic>
      <xdr:nvPicPr>
        <xdr:cNvPr id="4" name="Picture 3">
          <a:extLst>
            <a:ext uri="{FF2B5EF4-FFF2-40B4-BE49-F238E27FC236}">
              <a16:creationId xmlns:a16="http://schemas.microsoft.com/office/drawing/2014/main" id="{72CB5021-5352-4F08-9459-94B395B19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248400"/>
          <a:ext cx="3400425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40EF35-2E8F-4B59-AC00-8F823AD3F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1</xdr:rowOff>
    </xdr:from>
    <xdr:to>
      <xdr:col>14</xdr:col>
      <xdr:colOff>225721</xdr:colOff>
      <xdr:row>21</xdr:row>
      <xdr:rowOff>57151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80781C-7C26-4AFD-B80D-17C550E08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6"/>
          <a:ext cx="3273721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600075</xdr:colOff>
      <xdr:row>26</xdr:row>
      <xdr:rowOff>219075</xdr:rowOff>
    </xdr:from>
    <xdr:ext cx="3273721" cy="1762125"/>
    <xdr:pic>
      <xdr:nvPicPr>
        <xdr:cNvPr id="4" name="Picture 3">
          <a:extLst>
            <a:ext uri="{FF2B5EF4-FFF2-40B4-BE49-F238E27FC236}">
              <a16:creationId xmlns:a16="http://schemas.microsoft.com/office/drawing/2014/main" id="{7A08BB49-FA98-48D2-B6F5-C3518C183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5" y="6181725"/>
          <a:ext cx="3273721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A10F8F-A45E-410D-B751-98892B84C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114301</xdr:rowOff>
    </xdr:from>
    <xdr:to>
      <xdr:col>14</xdr:col>
      <xdr:colOff>323850</xdr:colOff>
      <xdr:row>24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D6C771-C76B-433E-BE38-B8B35B0E7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57576"/>
          <a:ext cx="337185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180975</xdr:colOff>
      <xdr:row>10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5B1BDF-8FEE-4FEE-8D09-965072F1C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571500"/>
          <a:ext cx="3324225" cy="19526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AD2604-1C42-4873-AA9C-07125DB58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629650" y="3276600"/>
          <a:ext cx="3368971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3D28-B2F9-42C5-A29F-C48E0090FAFE}">
  <dimension ref="A1:C39"/>
  <sheetViews>
    <sheetView tabSelected="1" workbookViewId="0">
      <selection activeCell="B1" sqref="B1"/>
    </sheetView>
  </sheetViews>
  <sheetFormatPr defaultRowHeight="15" x14ac:dyDescent="0.25"/>
  <cols>
    <col min="1" max="1" width="6" style="40" bestFit="1" customWidth="1"/>
    <col min="2" max="2" width="10.42578125" style="40" bestFit="1" customWidth="1"/>
    <col min="3" max="3" width="56.42578125" style="40" bestFit="1" customWidth="1"/>
    <col min="4" max="4" width="21.5703125" style="40" customWidth="1"/>
    <col min="5" max="16384" width="9.140625" style="40"/>
  </cols>
  <sheetData>
    <row r="1" spans="1:3" x14ac:dyDescent="0.25">
      <c r="A1" s="38" t="s">
        <v>896</v>
      </c>
      <c r="B1" s="39" t="s">
        <v>897</v>
      </c>
      <c r="C1" s="39" t="s">
        <v>898</v>
      </c>
    </row>
    <row r="2" spans="1:3" x14ac:dyDescent="0.25">
      <c r="A2" s="41">
        <v>1</v>
      </c>
      <c r="B2" s="42" t="s">
        <v>899</v>
      </c>
      <c r="C2" s="43" t="s">
        <v>1</v>
      </c>
    </row>
    <row r="3" spans="1:3" x14ac:dyDescent="0.25">
      <c r="A3" s="41">
        <v>2</v>
      </c>
      <c r="B3" s="42" t="s">
        <v>900</v>
      </c>
      <c r="C3" s="43" t="s">
        <v>166</v>
      </c>
    </row>
    <row r="4" spans="1:3" x14ac:dyDescent="0.25">
      <c r="A4" s="41">
        <v>3</v>
      </c>
      <c r="B4" s="42" t="s">
        <v>901</v>
      </c>
      <c r="C4" s="43" t="s">
        <v>260</v>
      </c>
    </row>
    <row r="5" spans="1:3" x14ac:dyDescent="0.25">
      <c r="A5" s="41">
        <v>4</v>
      </c>
      <c r="B5" s="42" t="s">
        <v>902</v>
      </c>
      <c r="C5" s="43" t="s">
        <v>293</v>
      </c>
    </row>
    <row r="6" spans="1:3" x14ac:dyDescent="0.25">
      <c r="A6" s="41">
        <v>5</v>
      </c>
      <c r="B6" s="42" t="s">
        <v>903</v>
      </c>
      <c r="C6" s="43" t="s">
        <v>392</v>
      </c>
    </row>
    <row r="7" spans="1:3" x14ac:dyDescent="0.25">
      <c r="A7" s="41">
        <v>6</v>
      </c>
      <c r="B7" s="42" t="s">
        <v>904</v>
      </c>
      <c r="C7" s="43" t="s">
        <v>905</v>
      </c>
    </row>
    <row r="8" spans="1:3" x14ac:dyDescent="0.25">
      <c r="A8" s="41">
        <v>7</v>
      </c>
      <c r="B8" s="42" t="s">
        <v>906</v>
      </c>
      <c r="C8" s="43" t="s">
        <v>907</v>
      </c>
    </row>
    <row r="9" spans="1:3" x14ac:dyDescent="0.25">
      <c r="A9" s="41">
        <v>8</v>
      </c>
      <c r="B9" s="42" t="s">
        <v>908</v>
      </c>
      <c r="C9" s="43" t="s">
        <v>466</v>
      </c>
    </row>
    <row r="10" spans="1:3" x14ac:dyDescent="0.25">
      <c r="A10" s="41">
        <v>9</v>
      </c>
      <c r="B10" s="42" t="s">
        <v>909</v>
      </c>
      <c r="C10" s="43" t="s">
        <v>491</v>
      </c>
    </row>
    <row r="11" spans="1:3" x14ac:dyDescent="0.25">
      <c r="A11" s="41">
        <v>10</v>
      </c>
      <c r="B11" s="42" t="s">
        <v>910</v>
      </c>
      <c r="C11" s="43" t="s">
        <v>492</v>
      </c>
    </row>
    <row r="12" spans="1:3" x14ac:dyDescent="0.25">
      <c r="A12" s="41">
        <v>11</v>
      </c>
      <c r="B12" s="42" t="s">
        <v>911</v>
      </c>
      <c r="C12" s="43" t="s">
        <v>495</v>
      </c>
    </row>
    <row r="13" spans="1:3" x14ac:dyDescent="0.25">
      <c r="A13" s="41">
        <v>12</v>
      </c>
      <c r="B13" s="42" t="s">
        <v>912</v>
      </c>
      <c r="C13" s="43" t="s">
        <v>496</v>
      </c>
    </row>
    <row r="14" spans="1:3" x14ac:dyDescent="0.25">
      <c r="A14" s="41">
        <v>13</v>
      </c>
      <c r="B14" s="42" t="s">
        <v>913</v>
      </c>
      <c r="C14" s="43" t="s">
        <v>497</v>
      </c>
    </row>
    <row r="15" spans="1:3" x14ac:dyDescent="0.25">
      <c r="A15" s="41">
        <v>14</v>
      </c>
      <c r="B15" s="42" t="s">
        <v>914</v>
      </c>
      <c r="C15" s="43" t="s">
        <v>498</v>
      </c>
    </row>
    <row r="16" spans="1:3" x14ac:dyDescent="0.25">
      <c r="A16" s="41">
        <v>15</v>
      </c>
      <c r="B16" s="42" t="s">
        <v>915</v>
      </c>
      <c r="C16" s="43" t="s">
        <v>916</v>
      </c>
    </row>
    <row r="17" spans="1:3" x14ac:dyDescent="0.25">
      <c r="A17" s="41">
        <v>16</v>
      </c>
      <c r="B17" s="42" t="s">
        <v>917</v>
      </c>
      <c r="C17" s="43" t="s">
        <v>918</v>
      </c>
    </row>
    <row r="18" spans="1:3" x14ac:dyDescent="0.25">
      <c r="A18" s="41">
        <v>17</v>
      </c>
      <c r="B18" s="42" t="s">
        <v>919</v>
      </c>
      <c r="C18" s="43" t="s">
        <v>920</v>
      </c>
    </row>
    <row r="19" spans="1:3" x14ac:dyDescent="0.25">
      <c r="A19" s="41">
        <v>18</v>
      </c>
      <c r="B19" s="42" t="s">
        <v>921</v>
      </c>
      <c r="C19" s="43" t="s">
        <v>922</v>
      </c>
    </row>
    <row r="20" spans="1:3" x14ac:dyDescent="0.25">
      <c r="A20" s="41">
        <v>19</v>
      </c>
      <c r="B20" s="42" t="s">
        <v>923</v>
      </c>
      <c r="C20" s="43" t="s">
        <v>517</v>
      </c>
    </row>
    <row r="21" spans="1:3" x14ac:dyDescent="0.25">
      <c r="A21" s="41">
        <v>20</v>
      </c>
      <c r="B21" s="42" t="s">
        <v>924</v>
      </c>
      <c r="C21" s="43" t="s">
        <v>518</v>
      </c>
    </row>
    <row r="22" spans="1:3" x14ac:dyDescent="0.25">
      <c r="A22" s="41">
        <v>21</v>
      </c>
      <c r="B22" s="42" t="s">
        <v>925</v>
      </c>
      <c r="C22" s="43" t="s">
        <v>519</v>
      </c>
    </row>
    <row r="23" spans="1:3" x14ac:dyDescent="0.25">
      <c r="A23" s="41">
        <v>22</v>
      </c>
      <c r="B23" s="42" t="s">
        <v>926</v>
      </c>
      <c r="C23" s="43" t="s">
        <v>520</v>
      </c>
    </row>
    <row r="24" spans="1:3" x14ac:dyDescent="0.25">
      <c r="A24" s="41">
        <v>23</v>
      </c>
      <c r="B24" s="42" t="s">
        <v>927</v>
      </c>
      <c r="C24" s="43" t="s">
        <v>521</v>
      </c>
    </row>
    <row r="25" spans="1:3" x14ac:dyDescent="0.25">
      <c r="A25" s="41">
        <v>24</v>
      </c>
      <c r="B25" s="42" t="s">
        <v>928</v>
      </c>
      <c r="C25" s="43" t="s">
        <v>777</v>
      </c>
    </row>
    <row r="26" spans="1:3" x14ac:dyDescent="0.25">
      <c r="A26" s="41">
        <v>25</v>
      </c>
      <c r="B26" s="42" t="s">
        <v>929</v>
      </c>
      <c r="C26" s="43" t="s">
        <v>930</v>
      </c>
    </row>
    <row r="27" spans="1:3" x14ac:dyDescent="0.25">
      <c r="A27" s="41">
        <v>26</v>
      </c>
      <c r="B27" s="42" t="s">
        <v>931</v>
      </c>
      <c r="C27" s="43" t="s">
        <v>863</v>
      </c>
    </row>
    <row r="28" spans="1:3" x14ac:dyDescent="0.25">
      <c r="A28" s="41">
        <v>27</v>
      </c>
      <c r="B28" s="42" t="s">
        <v>932</v>
      </c>
      <c r="C28" s="44" t="s">
        <v>594</v>
      </c>
    </row>
    <row r="29" spans="1:3" x14ac:dyDescent="0.25">
      <c r="A29" s="41">
        <v>28</v>
      </c>
      <c r="B29" s="42" t="s">
        <v>933</v>
      </c>
      <c r="C29" s="43" t="s">
        <v>620</v>
      </c>
    </row>
    <row r="30" spans="1:3" x14ac:dyDescent="0.25">
      <c r="A30" s="41">
        <v>29</v>
      </c>
      <c r="B30" s="42" t="s">
        <v>934</v>
      </c>
      <c r="C30" s="43" t="s">
        <v>935</v>
      </c>
    </row>
    <row r="31" spans="1:3" x14ac:dyDescent="0.25">
      <c r="A31" s="41">
        <v>30</v>
      </c>
      <c r="B31" s="42" t="s">
        <v>936</v>
      </c>
      <c r="C31" s="43" t="s">
        <v>659</v>
      </c>
    </row>
    <row r="32" spans="1:3" x14ac:dyDescent="0.25">
      <c r="A32" s="41">
        <v>31</v>
      </c>
      <c r="B32" s="42" t="s">
        <v>937</v>
      </c>
      <c r="C32" s="43" t="s">
        <v>938</v>
      </c>
    </row>
    <row r="33" spans="1:3" x14ac:dyDescent="0.25">
      <c r="A33" s="41">
        <v>32</v>
      </c>
      <c r="B33" s="42" t="s">
        <v>939</v>
      </c>
      <c r="C33" s="43" t="s">
        <v>940</v>
      </c>
    </row>
    <row r="34" spans="1:3" x14ac:dyDescent="0.25">
      <c r="A34" s="41">
        <v>33</v>
      </c>
      <c r="B34" s="42" t="s">
        <v>941</v>
      </c>
      <c r="C34" s="43" t="s">
        <v>942</v>
      </c>
    </row>
    <row r="35" spans="1:3" x14ac:dyDescent="0.25">
      <c r="A35" s="41">
        <v>34</v>
      </c>
      <c r="B35" s="42" t="s">
        <v>943</v>
      </c>
      <c r="C35" s="43" t="s">
        <v>944</v>
      </c>
    </row>
    <row r="36" spans="1:3" x14ac:dyDescent="0.25">
      <c r="A36" s="41">
        <v>35</v>
      </c>
      <c r="B36" s="42" t="s">
        <v>945</v>
      </c>
      <c r="C36" s="43" t="s">
        <v>773</v>
      </c>
    </row>
    <row r="37" spans="1:3" x14ac:dyDescent="0.25">
      <c r="A37" s="41">
        <v>36</v>
      </c>
      <c r="B37" s="42" t="s">
        <v>946</v>
      </c>
      <c r="C37" s="43" t="s">
        <v>774</v>
      </c>
    </row>
    <row r="38" spans="1:3" x14ac:dyDescent="0.25">
      <c r="A38" s="41">
        <v>37</v>
      </c>
      <c r="B38" s="42" t="s">
        <v>947</v>
      </c>
      <c r="C38" s="43" t="s">
        <v>775</v>
      </c>
    </row>
    <row r="39" spans="1:3" x14ac:dyDescent="0.25">
      <c r="A39" s="41">
        <v>38</v>
      </c>
      <c r="B39" s="42" t="s">
        <v>948</v>
      </c>
      <c r="C39" s="43" t="s">
        <v>949</v>
      </c>
    </row>
  </sheetData>
  <hyperlinks>
    <hyperlink ref="B2" location="CAPEXG!A1" display="CAPEXG" xr:uid="{1E1C6835-9516-4203-AAFF-270CDB16829C}"/>
    <hyperlink ref="B3" location="MICAP16!A1" display="MICAP16" xr:uid="{5F131B6D-5A27-4620-993E-8A033E7D3792}"/>
    <hyperlink ref="B4" location="MICAP17!A1" display="MICAP17" xr:uid="{EA049E34-DF1C-41A5-88F6-AD3FCAA9524E}"/>
    <hyperlink ref="B5" location="MIDCAP!A1" display="MIDCAP" xr:uid="{0C665477-BC4C-4B60-BC15-B80A3624734F}"/>
    <hyperlink ref="B6" location="MULTI1!A1" display="MULTI1" xr:uid="{5D4E92A2-847C-4984-8E52-B61C3235425B}"/>
    <hyperlink ref="B7" location="MULTI2!A1" display="MULTI2" xr:uid="{416ADA85-5F02-4B01-8E0F-A13C8A858489}"/>
    <hyperlink ref="B8" location="MULTIP!A1" display="MULTIP" xr:uid="{B22894C9-D535-44DC-87E8-366BCF8B50E7}"/>
    <hyperlink ref="B9" location="SESCAP1!A1" display="SESCAP1" xr:uid="{3882563D-E391-425D-A952-E438F1641519}"/>
    <hyperlink ref="B10" location="SESCAP2!A1" display="SESCAP2" xr:uid="{FA3299D4-1D75-464F-9871-AED93AAE6B16}"/>
    <hyperlink ref="B11" location="SESCAP3!A1" display="SESCAP3" xr:uid="{C3A0FFD6-FC51-4BEF-86EC-0581A14DB16B}"/>
    <hyperlink ref="B12" location="SESCAP4!A1" display="SESCAP4" xr:uid="{F91731A6-AA24-4F43-9899-242F84D52009}"/>
    <hyperlink ref="B13" location="SESCAP5!A1" display="SESCAP5" xr:uid="{BE863E87-3F25-4AD4-B681-FEAB42A329A2}"/>
    <hyperlink ref="B14" location="SESCAP6!A1" display="SESCAP6" xr:uid="{66BD573A-835A-404E-ACAC-B48203041A87}"/>
    <hyperlink ref="B15" location="SESCAP7!A1" display="SESCAP7" xr:uid="{7710D262-A05D-4CBA-B850-2ABE3F6A2D25}"/>
    <hyperlink ref="B16" location="SLTADV3!A1" display="SLTADV3" xr:uid="{D23262EF-1283-4A01-8935-FD7A943C7911}"/>
    <hyperlink ref="B17" location="SLTADV4!A1" display="SLTADV4" xr:uid="{7F67E0E7-96F9-4251-8D91-328E15C677CB}"/>
    <hyperlink ref="B18" location="SLTAX1!A1" display="SLTAX1" xr:uid="{757A16D4-5405-4D98-8050-8931C14C117F}"/>
    <hyperlink ref="B19" location="SLTAX2!A1" display="SLTAX2" xr:uid="{4BFD9E8D-F0F9-42B0-955F-089EF310D2CE}"/>
    <hyperlink ref="B20" location="SLTAX3!A1" display="SLTAX3" xr:uid="{746A0057-F2BD-4BF5-9F35-272AFAFB68E0}"/>
    <hyperlink ref="B21" location="SLTAX4!A1" display="SLTAX4" xr:uid="{0A3F43A5-CBF2-45E4-9BF9-443ECCD69710}"/>
    <hyperlink ref="B22" location="SLTAX5!A1" display="SLTAX5" xr:uid="{91CA74E5-4F83-48C2-BE96-2F3CC68DAFD2}"/>
    <hyperlink ref="B23" location="SLTAX6!A1" display="SLTAX6" xr:uid="{EEB019DA-033C-479F-8CEE-2014EAC4B1E4}"/>
    <hyperlink ref="B24" location="SMILE!A1" display="SMILE" xr:uid="{53D3A4A8-C3F9-48C7-9668-2AE191867164}"/>
    <hyperlink ref="B25" location="SPAHF!A1" display="SPAHF" xr:uid="{549266A9-31E9-4383-8AF2-7F95AA0EF2A5}"/>
    <hyperlink ref="B26" location="SPARF!A1" display="SPARF" xr:uid="{3297B5BE-45B5-44F0-9598-F5D844FE11AD}"/>
    <hyperlink ref="B27" location="SPBAF!A1" display="SPBAF" xr:uid="{1521D83E-2005-45F4-9D2E-414D1AF2CC7C}"/>
    <hyperlink ref="B28" location="SPDYF!A1" display="SPDYF" xr:uid="{3F11780B-8F69-4769-8193-84F786F8E8CD}"/>
    <hyperlink ref="B29" location="SPESF!A1" display="SPESF" xr:uid="{BC35E7A8-6B10-4DBE-89D2-50B3B7198CF9}"/>
    <hyperlink ref="B30" location="SPFOCUS!A1" display="SPFOCUS" xr:uid="{5CEA95F3-842E-470F-9A9B-5EF9EF92F427}"/>
    <hyperlink ref="B31" location="SPMUCF!A1" display="SPMUCF" xr:uid="{D75422EB-CD5E-41F8-8EC7-A13AD72E58C1}"/>
    <hyperlink ref="B32" location="SPSN100!A1" display="SPSN100" xr:uid="{B5BA6138-826E-4960-AC48-9EDD26972300}"/>
    <hyperlink ref="B33" location="SPTAX!A1" display="SPTAX" xr:uid="{D6E4D73A-3AD2-4168-86B2-94291594F592}"/>
    <hyperlink ref="B34" location="SRURAL!A1" display="SRURAL" xr:uid="{7B3E1C41-F047-4AFA-80D1-5A259077A181}"/>
    <hyperlink ref="B35" location="SSFUND!A1" display="SSFUND" xr:uid="{03B60627-FDEC-4D87-A522-09890BD5C075}"/>
    <hyperlink ref="B36" location="STAX!A1" display="STAX" xr:uid="{05213393-AD27-4690-8E48-BC9BF8E08A00}"/>
    <hyperlink ref="B37" location="SUNBCF!A1" display="SUNBCF" xr:uid="{4A77C20C-4356-4827-9E81-728E7E45BF08}"/>
    <hyperlink ref="B38" location="SUNFOP!A1" display="SUNFOP" xr:uid="{6C8E9ACE-0327-4D70-8069-0FABEF17E1D4}"/>
    <hyperlink ref="B39" location="GLOB!A1" display="GLOB" xr:uid="{C5192AAB-B4D0-4E2F-984B-F73848B71148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36"/>
  <sheetViews>
    <sheetView showGridLines="0" workbookViewId="0">
      <selection activeCell="A5" sqref="A5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1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11</v>
      </c>
      <c r="C7" s="4" t="s">
        <v>12</v>
      </c>
      <c r="D7" s="4" t="s">
        <v>13</v>
      </c>
      <c r="E7" s="5">
        <v>308887</v>
      </c>
      <c r="F7" s="6">
        <v>4813.2316774999999</v>
      </c>
      <c r="G7" s="7">
        <v>8.5955080000000003E-2</v>
      </c>
      <c r="H7" s="47"/>
    </row>
    <row r="8" spans="1:14" ht="17.100000000000001" customHeight="1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181440</v>
      </c>
      <c r="F8" s="6">
        <v>4709.5473599999996</v>
      </c>
      <c r="G8" s="7">
        <v>8.4103476999999996E-2</v>
      </c>
      <c r="H8" s="47"/>
    </row>
    <row r="9" spans="1:14" ht="17.100000000000001" customHeight="1" x14ac:dyDescent="0.2">
      <c r="A9" s="3">
        <v>3</v>
      </c>
      <c r="B9" s="4" t="s">
        <v>17</v>
      </c>
      <c r="C9" s="4" t="s">
        <v>18</v>
      </c>
      <c r="D9" s="4" t="s">
        <v>19</v>
      </c>
      <c r="E9" s="5">
        <v>584107</v>
      </c>
      <c r="F9" s="6">
        <v>4130.8047040000001</v>
      </c>
      <c r="G9" s="7">
        <v>7.3768243999999997E-2</v>
      </c>
      <c r="H9" s="47"/>
    </row>
    <row r="10" spans="1:14" ht="17.100000000000001" customHeight="1" x14ac:dyDescent="0.2">
      <c r="A10" s="3">
        <v>4</v>
      </c>
      <c r="B10" s="4" t="s">
        <v>20</v>
      </c>
      <c r="C10" s="4" t="s">
        <v>21</v>
      </c>
      <c r="D10" s="4" t="s">
        <v>22</v>
      </c>
      <c r="E10" s="5">
        <v>551604</v>
      </c>
      <c r="F10" s="6">
        <v>3778.2115979999999</v>
      </c>
      <c r="G10" s="7">
        <v>6.7471608000000002E-2</v>
      </c>
      <c r="H10" s="47"/>
    </row>
    <row r="11" spans="1:14" ht="29.1" customHeight="1" x14ac:dyDescent="0.2">
      <c r="A11" s="3">
        <v>5</v>
      </c>
      <c r="B11" s="4" t="s">
        <v>23</v>
      </c>
      <c r="C11" s="4" t="s">
        <v>24</v>
      </c>
      <c r="D11" s="4" t="s">
        <v>25</v>
      </c>
      <c r="E11" s="5">
        <v>43045</v>
      </c>
      <c r="F11" s="6">
        <v>2413.6622849999999</v>
      </c>
      <c r="G11" s="7">
        <v>4.3103375999999999E-2</v>
      </c>
      <c r="H11" s="47"/>
    </row>
    <row r="12" spans="1:14" ht="17.100000000000001" customHeight="1" x14ac:dyDescent="0.2">
      <c r="A12" s="3">
        <v>6</v>
      </c>
      <c r="B12" s="4" t="s">
        <v>26</v>
      </c>
      <c r="C12" s="4" t="s">
        <v>27</v>
      </c>
      <c r="D12" s="4" t="s">
        <v>28</v>
      </c>
      <c r="E12" s="5">
        <v>107795</v>
      </c>
      <c r="F12" s="6">
        <v>1814.2437474999999</v>
      </c>
      <c r="G12" s="7">
        <v>3.2398911000000002E-2</v>
      </c>
      <c r="H12" s="47"/>
      <c r="J12" s="147" t="s">
        <v>1113</v>
      </c>
    </row>
    <row r="13" spans="1:14" ht="17.100000000000001" customHeight="1" x14ac:dyDescent="0.2">
      <c r="A13" s="3">
        <v>7</v>
      </c>
      <c r="B13" s="4" t="s">
        <v>29</v>
      </c>
      <c r="C13" s="4" t="s">
        <v>30</v>
      </c>
      <c r="D13" s="4" t="s">
        <v>31</v>
      </c>
      <c r="E13" s="5">
        <v>1256376</v>
      </c>
      <c r="F13" s="6">
        <v>1795.361304</v>
      </c>
      <c r="G13" s="7">
        <v>3.2061707000000002E-2</v>
      </c>
      <c r="H13" s="47"/>
    </row>
    <row r="14" spans="1:14" ht="17.100000000000001" customHeight="1" x14ac:dyDescent="0.2">
      <c r="A14" s="3">
        <v>8</v>
      </c>
      <c r="B14" s="4" t="s">
        <v>32</v>
      </c>
      <c r="C14" s="4" t="s">
        <v>33</v>
      </c>
      <c r="D14" s="4" t="s">
        <v>28</v>
      </c>
      <c r="E14" s="5">
        <v>40976</v>
      </c>
      <c r="F14" s="6">
        <v>1447.6206159999999</v>
      </c>
      <c r="G14" s="7">
        <v>2.5851725999999998E-2</v>
      </c>
      <c r="H14" s="47"/>
    </row>
    <row r="15" spans="1:14" ht="17.100000000000001" customHeight="1" x14ac:dyDescent="0.2">
      <c r="A15" s="3">
        <v>9</v>
      </c>
      <c r="B15" s="4" t="s">
        <v>34</v>
      </c>
      <c r="C15" s="4" t="s">
        <v>35</v>
      </c>
      <c r="D15" s="4" t="s">
        <v>28</v>
      </c>
      <c r="E15" s="5">
        <v>97015</v>
      </c>
      <c r="F15" s="6">
        <v>1439.4600625</v>
      </c>
      <c r="G15" s="7">
        <v>2.5705993999999999E-2</v>
      </c>
      <c r="H15" s="47"/>
    </row>
    <row r="16" spans="1:14" ht="17.100000000000001" customHeight="1" x14ac:dyDescent="0.2">
      <c r="A16" s="3">
        <v>10</v>
      </c>
      <c r="B16" s="4" t="s">
        <v>36</v>
      </c>
      <c r="C16" s="4" t="s">
        <v>37</v>
      </c>
      <c r="D16" s="4" t="s">
        <v>28</v>
      </c>
      <c r="E16" s="5">
        <v>63300</v>
      </c>
      <c r="F16" s="6">
        <v>1393.3596</v>
      </c>
      <c r="G16" s="7">
        <v>2.4882728E-2</v>
      </c>
      <c r="H16" s="47"/>
    </row>
    <row r="17" spans="1:8" ht="29.1" customHeight="1" x14ac:dyDescent="0.2">
      <c r="A17" s="3">
        <v>11</v>
      </c>
      <c r="B17" s="4" t="s">
        <v>38</v>
      </c>
      <c r="C17" s="4" t="s">
        <v>39</v>
      </c>
      <c r="D17" s="4" t="s">
        <v>40</v>
      </c>
      <c r="E17" s="5">
        <v>3738</v>
      </c>
      <c r="F17" s="6">
        <v>1262.984226</v>
      </c>
      <c r="G17" s="7">
        <v>2.2554474000000001E-2</v>
      </c>
      <c r="H17" s="47"/>
    </row>
    <row r="18" spans="1:8" ht="17.100000000000001" customHeight="1" x14ac:dyDescent="0.2">
      <c r="A18" s="3">
        <v>12</v>
      </c>
      <c r="B18" s="4" t="s">
        <v>41</v>
      </c>
      <c r="C18" s="4" t="s">
        <v>42</v>
      </c>
      <c r="D18" s="4" t="s">
        <v>31</v>
      </c>
      <c r="E18" s="5">
        <v>586115</v>
      </c>
      <c r="F18" s="6">
        <v>1185.12453</v>
      </c>
      <c r="G18" s="7">
        <v>2.116405E-2</v>
      </c>
      <c r="H18" s="47"/>
    </row>
    <row r="19" spans="1:8" ht="17.100000000000001" customHeight="1" x14ac:dyDescent="0.2">
      <c r="A19" s="3">
        <v>13</v>
      </c>
      <c r="B19" s="4" t="s">
        <v>43</v>
      </c>
      <c r="C19" s="4" t="s">
        <v>44</v>
      </c>
      <c r="D19" s="4" t="s">
        <v>45</v>
      </c>
      <c r="E19" s="5">
        <v>195059</v>
      </c>
      <c r="F19" s="6">
        <v>1159.235637</v>
      </c>
      <c r="G19" s="7">
        <v>2.0701724000000001E-2</v>
      </c>
      <c r="H19" s="47"/>
    </row>
    <row r="20" spans="1:8" ht="17.100000000000001" customHeight="1" x14ac:dyDescent="0.2">
      <c r="A20" s="3">
        <v>14</v>
      </c>
      <c r="B20" s="4" t="s">
        <v>46</v>
      </c>
      <c r="C20" s="4" t="s">
        <v>47</v>
      </c>
      <c r="D20" s="4" t="s">
        <v>19</v>
      </c>
      <c r="E20" s="5">
        <v>235591</v>
      </c>
      <c r="F20" s="6">
        <v>1097.618469</v>
      </c>
      <c r="G20" s="7">
        <v>1.9601358999999999E-2</v>
      </c>
      <c r="H20" s="47"/>
    </row>
    <row r="21" spans="1:8" ht="17.100000000000001" customHeight="1" x14ac:dyDescent="0.2">
      <c r="A21" s="3">
        <v>15</v>
      </c>
      <c r="B21" s="4" t="s">
        <v>48</v>
      </c>
      <c r="C21" s="4" t="s">
        <v>49</v>
      </c>
      <c r="D21" s="4" t="s">
        <v>31</v>
      </c>
      <c r="E21" s="5">
        <v>495000</v>
      </c>
      <c r="F21" s="6">
        <v>1048.905</v>
      </c>
      <c r="G21" s="7">
        <v>1.873143E-2</v>
      </c>
      <c r="H21" s="47"/>
    </row>
    <row r="22" spans="1:8" ht="29.1" customHeight="1" x14ac:dyDescent="0.2">
      <c r="A22" s="3">
        <v>16</v>
      </c>
      <c r="B22" s="4" t="s">
        <v>50</v>
      </c>
      <c r="C22" s="4" t="s">
        <v>51</v>
      </c>
      <c r="D22" s="4" t="s">
        <v>40</v>
      </c>
      <c r="E22" s="5">
        <v>23847</v>
      </c>
      <c r="F22" s="6">
        <v>1036.2952319999999</v>
      </c>
      <c r="G22" s="7">
        <v>1.8506244000000002E-2</v>
      </c>
      <c r="H22" s="47"/>
    </row>
    <row r="23" spans="1:8" ht="29.1" customHeight="1" x14ac:dyDescent="0.2">
      <c r="A23" s="3">
        <v>17</v>
      </c>
      <c r="B23" s="4" t="s">
        <v>52</v>
      </c>
      <c r="C23" s="4" t="s">
        <v>53</v>
      </c>
      <c r="D23" s="4" t="s">
        <v>25</v>
      </c>
      <c r="E23" s="5">
        <v>48900</v>
      </c>
      <c r="F23" s="6">
        <v>1031.27655</v>
      </c>
      <c r="G23" s="7">
        <v>1.8416620000000002E-2</v>
      </c>
      <c r="H23" s="47"/>
    </row>
    <row r="24" spans="1:8" ht="17.100000000000001" customHeight="1" x14ac:dyDescent="0.2">
      <c r="A24" s="3">
        <v>18</v>
      </c>
      <c r="B24" s="4" t="s">
        <v>54</v>
      </c>
      <c r="C24" s="4" t="s">
        <v>55</v>
      </c>
      <c r="D24" s="4" t="s">
        <v>56</v>
      </c>
      <c r="E24" s="5">
        <v>629674</v>
      </c>
      <c r="F24" s="6">
        <v>954.27094699999998</v>
      </c>
      <c r="G24" s="7">
        <v>1.7041448000000001E-2</v>
      </c>
      <c r="H24" s="47"/>
    </row>
    <row r="25" spans="1:8" ht="29.1" customHeight="1" x14ac:dyDescent="0.2">
      <c r="A25" s="3">
        <v>19</v>
      </c>
      <c r="B25" s="4" t="s">
        <v>57</v>
      </c>
      <c r="C25" s="4" t="s">
        <v>58</v>
      </c>
      <c r="D25" s="4" t="s">
        <v>59</v>
      </c>
      <c r="E25" s="5">
        <v>140270</v>
      </c>
      <c r="F25" s="6">
        <v>942.68453499999998</v>
      </c>
      <c r="G25" s="7">
        <v>1.6834537E-2</v>
      </c>
      <c r="H25" s="47"/>
    </row>
    <row r="26" spans="1:8" ht="53.1" customHeight="1" x14ac:dyDescent="0.2">
      <c r="A26" s="3">
        <v>20</v>
      </c>
      <c r="B26" s="4" t="s">
        <v>60</v>
      </c>
      <c r="C26" s="4" t="s">
        <v>61</v>
      </c>
      <c r="D26" s="4" t="s">
        <v>62</v>
      </c>
      <c r="E26" s="5">
        <v>624467</v>
      </c>
      <c r="F26" s="6">
        <v>922.96222599999999</v>
      </c>
      <c r="G26" s="7">
        <v>1.6482334000000001E-2</v>
      </c>
      <c r="H26" s="47"/>
    </row>
    <row r="27" spans="1:8" ht="17.100000000000001" customHeight="1" x14ac:dyDescent="0.2">
      <c r="A27" s="3">
        <v>21</v>
      </c>
      <c r="B27" s="4" t="s">
        <v>63</v>
      </c>
      <c r="C27" s="4" t="s">
        <v>64</v>
      </c>
      <c r="D27" s="4" t="s">
        <v>13</v>
      </c>
      <c r="E27" s="5">
        <v>380518</v>
      </c>
      <c r="F27" s="6">
        <v>921.42433700000004</v>
      </c>
      <c r="G27" s="7">
        <v>1.645487E-2</v>
      </c>
      <c r="H27" s="47"/>
    </row>
    <row r="28" spans="1:8" ht="17.100000000000001" customHeight="1" x14ac:dyDescent="0.2">
      <c r="A28" s="3">
        <v>22</v>
      </c>
      <c r="B28" s="4" t="s">
        <v>65</v>
      </c>
      <c r="C28" s="4" t="s">
        <v>66</v>
      </c>
      <c r="D28" s="4" t="s">
        <v>13</v>
      </c>
      <c r="E28" s="5">
        <v>1542666</v>
      </c>
      <c r="F28" s="6">
        <v>834.58230600000002</v>
      </c>
      <c r="G28" s="7">
        <v>1.4904038E-2</v>
      </c>
      <c r="H28" s="47"/>
    </row>
    <row r="29" spans="1:8" ht="29.1" customHeight="1" x14ac:dyDescent="0.2">
      <c r="A29" s="3">
        <v>23</v>
      </c>
      <c r="B29" s="4" t="s">
        <v>67</v>
      </c>
      <c r="C29" s="4" t="s">
        <v>68</v>
      </c>
      <c r="D29" s="4" t="s">
        <v>25</v>
      </c>
      <c r="E29" s="5">
        <v>130545</v>
      </c>
      <c r="F29" s="6">
        <v>831.31056000000001</v>
      </c>
      <c r="G29" s="7">
        <v>1.4845611E-2</v>
      </c>
      <c r="H29" s="47"/>
    </row>
    <row r="30" spans="1:8" ht="17.100000000000001" customHeight="1" x14ac:dyDescent="0.2">
      <c r="A30" s="3">
        <v>24</v>
      </c>
      <c r="B30" s="4" t="s">
        <v>69</v>
      </c>
      <c r="C30" s="4" t="s">
        <v>70</v>
      </c>
      <c r="D30" s="4" t="s">
        <v>16</v>
      </c>
      <c r="E30" s="5">
        <v>267002</v>
      </c>
      <c r="F30" s="6">
        <v>823.434168</v>
      </c>
      <c r="G30" s="7">
        <v>1.4704953999999999E-2</v>
      </c>
      <c r="H30" s="47"/>
    </row>
    <row r="31" spans="1:8" ht="17.100000000000001" customHeight="1" x14ac:dyDescent="0.2">
      <c r="A31" s="3">
        <v>25</v>
      </c>
      <c r="B31" s="4" t="s">
        <v>71</v>
      </c>
      <c r="C31" s="4" t="s">
        <v>72</v>
      </c>
      <c r="D31" s="4" t="s">
        <v>45</v>
      </c>
      <c r="E31" s="5">
        <v>160298</v>
      </c>
      <c r="F31" s="6">
        <v>756.04551700000002</v>
      </c>
      <c r="G31" s="7">
        <v>1.3501522E-2</v>
      </c>
      <c r="H31" s="47"/>
    </row>
    <row r="32" spans="1:8" ht="17.100000000000001" customHeight="1" x14ac:dyDescent="0.2">
      <c r="A32" s="3">
        <v>26</v>
      </c>
      <c r="B32" s="4" t="s">
        <v>73</v>
      </c>
      <c r="C32" s="4" t="s">
        <v>74</v>
      </c>
      <c r="D32" s="4" t="s">
        <v>75</v>
      </c>
      <c r="E32" s="5">
        <v>546063</v>
      </c>
      <c r="F32" s="6">
        <v>738.27717600000005</v>
      </c>
      <c r="G32" s="7">
        <v>1.3184213E-2</v>
      </c>
      <c r="H32" s="47"/>
    </row>
    <row r="33" spans="1:8" ht="17.100000000000001" customHeight="1" x14ac:dyDescent="0.2">
      <c r="A33" s="3">
        <v>27</v>
      </c>
      <c r="B33" s="4" t="s">
        <v>76</v>
      </c>
      <c r="C33" s="4" t="s">
        <v>77</v>
      </c>
      <c r="D33" s="4" t="s">
        <v>28</v>
      </c>
      <c r="E33" s="5">
        <v>84259</v>
      </c>
      <c r="F33" s="6">
        <v>716.15937050000002</v>
      </c>
      <c r="G33" s="7">
        <v>1.2789231999999999E-2</v>
      </c>
      <c r="H33" s="47"/>
    </row>
    <row r="34" spans="1:8" ht="17.100000000000001" customHeight="1" x14ac:dyDescent="0.2">
      <c r="A34" s="3">
        <v>28</v>
      </c>
      <c r="B34" s="4" t="s">
        <v>78</v>
      </c>
      <c r="C34" s="4" t="s">
        <v>79</v>
      </c>
      <c r="D34" s="4" t="s">
        <v>80</v>
      </c>
      <c r="E34" s="5">
        <v>30861</v>
      </c>
      <c r="F34" s="6">
        <v>710.08074899999997</v>
      </c>
      <c r="G34" s="7">
        <v>1.2680679E-2</v>
      </c>
      <c r="H34" s="47"/>
    </row>
    <row r="35" spans="1:8" ht="17.100000000000001" customHeight="1" x14ac:dyDescent="0.2">
      <c r="A35" s="3">
        <v>29</v>
      </c>
      <c r="B35" s="4" t="s">
        <v>81</v>
      </c>
      <c r="C35" s="4" t="s">
        <v>82</v>
      </c>
      <c r="D35" s="4" t="s">
        <v>16</v>
      </c>
      <c r="E35" s="5">
        <v>951457</v>
      </c>
      <c r="F35" s="6">
        <v>706.45682250000004</v>
      </c>
      <c r="G35" s="7">
        <v>1.2615962999999999E-2</v>
      </c>
      <c r="H35" s="47"/>
    </row>
    <row r="36" spans="1:8" ht="17.100000000000001" customHeight="1" x14ac:dyDescent="0.2">
      <c r="A36" s="3">
        <v>30</v>
      </c>
      <c r="B36" s="4" t="s">
        <v>83</v>
      </c>
      <c r="C36" s="4" t="s">
        <v>84</v>
      </c>
      <c r="D36" s="4" t="s">
        <v>85</v>
      </c>
      <c r="E36" s="5">
        <v>8100</v>
      </c>
      <c r="F36" s="6">
        <v>686.13075000000003</v>
      </c>
      <c r="G36" s="7">
        <v>1.2252977999999999E-2</v>
      </c>
      <c r="H36" s="47"/>
    </row>
    <row r="37" spans="1:8" ht="17.100000000000001" customHeight="1" x14ac:dyDescent="0.2">
      <c r="A37" s="3">
        <v>31</v>
      </c>
      <c r="B37" s="4" t="s">
        <v>86</v>
      </c>
      <c r="C37" s="4" t="s">
        <v>87</v>
      </c>
      <c r="D37" s="4" t="s">
        <v>88</v>
      </c>
      <c r="E37" s="5">
        <v>153349</v>
      </c>
      <c r="F37" s="6">
        <v>665.074613</v>
      </c>
      <c r="G37" s="7">
        <v>1.1876955999999999E-2</v>
      </c>
      <c r="H37" s="47"/>
    </row>
    <row r="38" spans="1:8" ht="29.1" customHeight="1" x14ac:dyDescent="0.2">
      <c r="A38" s="3">
        <v>32</v>
      </c>
      <c r="B38" s="4" t="s">
        <v>89</v>
      </c>
      <c r="C38" s="4" t="s">
        <v>90</v>
      </c>
      <c r="D38" s="4" t="s">
        <v>91</v>
      </c>
      <c r="E38" s="5">
        <v>102316</v>
      </c>
      <c r="F38" s="6">
        <v>633.84762000000001</v>
      </c>
      <c r="G38" s="7">
        <v>1.1319302E-2</v>
      </c>
      <c r="H38" s="47"/>
    </row>
    <row r="39" spans="1:8" ht="17.100000000000001" customHeight="1" x14ac:dyDescent="0.2">
      <c r="A39" s="3">
        <v>33</v>
      </c>
      <c r="B39" s="4" t="s">
        <v>92</v>
      </c>
      <c r="C39" s="4" t="s">
        <v>93</v>
      </c>
      <c r="D39" s="4" t="s">
        <v>94</v>
      </c>
      <c r="E39" s="5">
        <v>26495</v>
      </c>
      <c r="F39" s="6">
        <v>606.867975</v>
      </c>
      <c r="G39" s="7">
        <v>1.0837497E-2</v>
      </c>
      <c r="H39" s="47"/>
    </row>
    <row r="40" spans="1:8" ht="17.100000000000001" customHeight="1" x14ac:dyDescent="0.2">
      <c r="A40" s="3">
        <v>34</v>
      </c>
      <c r="B40" s="4" t="s">
        <v>95</v>
      </c>
      <c r="C40" s="4" t="s">
        <v>96</v>
      </c>
      <c r="D40" s="4" t="s">
        <v>97</v>
      </c>
      <c r="E40" s="5">
        <v>134092</v>
      </c>
      <c r="F40" s="6">
        <v>595.90484800000002</v>
      </c>
      <c r="G40" s="7">
        <v>1.0641717E-2</v>
      </c>
      <c r="H40" s="47"/>
    </row>
    <row r="41" spans="1:8" ht="17.100000000000001" customHeight="1" x14ac:dyDescent="0.2">
      <c r="A41" s="3">
        <v>35</v>
      </c>
      <c r="B41" s="4" t="s">
        <v>98</v>
      </c>
      <c r="C41" s="4" t="s">
        <v>99</v>
      </c>
      <c r="D41" s="4" t="s">
        <v>97</v>
      </c>
      <c r="E41" s="5">
        <v>80560</v>
      </c>
      <c r="F41" s="6">
        <v>594.25084000000004</v>
      </c>
      <c r="G41" s="7">
        <v>1.0612180000000001E-2</v>
      </c>
      <c r="H41" s="47"/>
    </row>
    <row r="42" spans="1:8" ht="53.1" customHeight="1" x14ac:dyDescent="0.2">
      <c r="A42" s="3">
        <v>36</v>
      </c>
      <c r="B42" s="4" t="s">
        <v>100</v>
      </c>
      <c r="C42" s="4" t="s">
        <v>101</v>
      </c>
      <c r="D42" s="4" t="s">
        <v>62</v>
      </c>
      <c r="E42" s="5">
        <v>45404</v>
      </c>
      <c r="F42" s="6">
        <v>569.84290199999998</v>
      </c>
      <c r="G42" s="7">
        <v>1.0176301E-2</v>
      </c>
      <c r="H42" s="47"/>
    </row>
    <row r="43" spans="1:8" ht="17.100000000000001" customHeight="1" x14ac:dyDescent="0.2">
      <c r="A43" s="3">
        <v>37</v>
      </c>
      <c r="B43" s="4" t="s">
        <v>102</v>
      </c>
      <c r="C43" s="4" t="s">
        <v>103</v>
      </c>
      <c r="D43" s="4" t="s">
        <v>22</v>
      </c>
      <c r="E43" s="5">
        <v>244199</v>
      </c>
      <c r="F43" s="6">
        <v>510.62010900000001</v>
      </c>
      <c r="G43" s="7">
        <v>9.1186949999999996E-3</v>
      </c>
      <c r="H43" s="47"/>
    </row>
    <row r="44" spans="1:8" ht="17.100000000000001" customHeight="1" x14ac:dyDescent="0.2">
      <c r="A44" s="3">
        <v>38</v>
      </c>
      <c r="B44" s="4" t="s">
        <v>104</v>
      </c>
      <c r="C44" s="4" t="s">
        <v>105</v>
      </c>
      <c r="D44" s="4" t="s">
        <v>13</v>
      </c>
      <c r="E44" s="5">
        <v>44400</v>
      </c>
      <c r="F44" s="6">
        <v>488.64420000000001</v>
      </c>
      <c r="G44" s="7">
        <v>8.7262480000000007E-3</v>
      </c>
      <c r="H44" s="47"/>
    </row>
    <row r="45" spans="1:8" ht="17.100000000000001" customHeight="1" x14ac:dyDescent="0.2">
      <c r="A45" s="3">
        <v>39</v>
      </c>
      <c r="B45" s="4" t="s">
        <v>106</v>
      </c>
      <c r="C45" s="4" t="s">
        <v>107</v>
      </c>
      <c r="D45" s="4" t="s">
        <v>88</v>
      </c>
      <c r="E45" s="5">
        <v>19482</v>
      </c>
      <c r="F45" s="6">
        <v>437.69235300000003</v>
      </c>
      <c r="G45" s="7">
        <v>7.8163450000000006E-3</v>
      </c>
      <c r="H45" s="47"/>
    </row>
    <row r="46" spans="1:8" ht="17.100000000000001" customHeight="1" x14ac:dyDescent="0.2">
      <c r="A46" s="3">
        <v>40</v>
      </c>
      <c r="B46" s="4" t="s">
        <v>108</v>
      </c>
      <c r="C46" s="4" t="s">
        <v>109</v>
      </c>
      <c r="D46" s="4" t="s">
        <v>97</v>
      </c>
      <c r="E46" s="5">
        <v>112117</v>
      </c>
      <c r="F46" s="6">
        <v>434.06096550000001</v>
      </c>
      <c r="G46" s="7">
        <v>7.7514960000000001E-3</v>
      </c>
      <c r="H46" s="47"/>
    </row>
    <row r="47" spans="1:8" ht="17.100000000000001" customHeight="1" x14ac:dyDescent="0.2">
      <c r="A47" s="3">
        <v>41</v>
      </c>
      <c r="B47" s="4" t="s">
        <v>110</v>
      </c>
      <c r="C47" s="4" t="s">
        <v>111</v>
      </c>
      <c r="D47" s="4" t="s">
        <v>13</v>
      </c>
      <c r="E47" s="5">
        <v>360045</v>
      </c>
      <c r="F47" s="6">
        <v>413.69170500000001</v>
      </c>
      <c r="G47" s="7">
        <v>7.3877400000000003E-3</v>
      </c>
      <c r="H47" s="47"/>
    </row>
    <row r="48" spans="1:8" ht="17.100000000000001" customHeight="1" x14ac:dyDescent="0.2">
      <c r="A48" s="3">
        <v>42</v>
      </c>
      <c r="B48" s="4" t="s">
        <v>112</v>
      </c>
      <c r="C48" s="4" t="s">
        <v>113</v>
      </c>
      <c r="D48" s="4" t="s">
        <v>114</v>
      </c>
      <c r="E48" s="5">
        <v>589999</v>
      </c>
      <c r="F48" s="6">
        <v>404.44431450000002</v>
      </c>
      <c r="G48" s="7">
        <v>7.2225989999999997E-3</v>
      </c>
      <c r="H48" s="47"/>
    </row>
    <row r="49" spans="1:8" ht="17.100000000000001" customHeight="1" x14ac:dyDescent="0.2">
      <c r="A49" s="3">
        <v>43</v>
      </c>
      <c r="B49" s="4" t="s">
        <v>115</v>
      </c>
      <c r="C49" s="4" t="s">
        <v>116</v>
      </c>
      <c r="D49" s="4" t="s">
        <v>75</v>
      </c>
      <c r="E49" s="5">
        <v>81311</v>
      </c>
      <c r="F49" s="6">
        <v>289.38584900000001</v>
      </c>
      <c r="G49" s="7">
        <v>5.1678760000000001E-3</v>
      </c>
      <c r="H49" s="47"/>
    </row>
    <row r="50" spans="1:8" ht="17.100000000000001" customHeight="1" x14ac:dyDescent="0.2">
      <c r="A50" s="3">
        <v>44</v>
      </c>
      <c r="B50" s="4" t="s">
        <v>117</v>
      </c>
      <c r="C50" s="4" t="s">
        <v>118</v>
      </c>
      <c r="D50" s="4" t="s">
        <v>75</v>
      </c>
      <c r="E50" s="5">
        <v>98674</v>
      </c>
      <c r="F50" s="6">
        <v>215.01064600000001</v>
      </c>
      <c r="G50" s="7">
        <v>3.8396770000000001E-3</v>
      </c>
      <c r="H50" s="47"/>
    </row>
    <row r="51" spans="1:8" ht="14.1" customHeight="1" x14ac:dyDescent="0.2">
      <c r="A51" s="1"/>
      <c r="B51" s="1"/>
      <c r="C51" s="2" t="s">
        <v>122</v>
      </c>
      <c r="D51" s="1"/>
      <c r="E51" s="1" t="s">
        <v>123</v>
      </c>
      <c r="F51" s="9">
        <v>52960.101013689004</v>
      </c>
      <c r="G51" s="10">
        <v>0.94576576000000001</v>
      </c>
      <c r="H51" s="47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47"/>
    </row>
    <row r="53" spans="1:8" ht="14.1" customHeight="1" x14ac:dyDescent="0.2">
      <c r="A53" s="1"/>
      <c r="B53" s="1"/>
      <c r="C53" s="2" t="s">
        <v>124</v>
      </c>
      <c r="D53" s="1"/>
      <c r="E53" s="1"/>
      <c r="F53" s="1"/>
      <c r="G53" s="1"/>
      <c r="H53" s="47"/>
    </row>
    <row r="54" spans="1:8" ht="14.1" customHeight="1" x14ac:dyDescent="0.2">
      <c r="A54" s="1"/>
      <c r="B54" s="1"/>
      <c r="C54" s="2" t="s">
        <v>122</v>
      </c>
      <c r="D54" s="1"/>
      <c r="E54" s="1" t="s">
        <v>123</v>
      </c>
      <c r="F54" s="13">
        <v>0</v>
      </c>
      <c r="G54" s="14">
        <v>0</v>
      </c>
      <c r="H54" s="47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47"/>
    </row>
    <row r="56" spans="1:8" ht="14.1" customHeight="1" x14ac:dyDescent="0.2">
      <c r="A56" s="1"/>
      <c r="B56" s="1"/>
      <c r="C56" s="2" t="s">
        <v>125</v>
      </c>
      <c r="D56" s="1"/>
      <c r="E56" s="1"/>
      <c r="F56" s="1"/>
      <c r="G56" s="1"/>
      <c r="H56" s="47"/>
    </row>
    <row r="57" spans="1:8" ht="17.100000000000001" customHeight="1" x14ac:dyDescent="0.2">
      <c r="A57" s="50">
        <v>1</v>
      </c>
      <c r="B57" s="45" t="s">
        <v>119</v>
      </c>
      <c r="C57" s="45" t="s">
        <v>1013</v>
      </c>
      <c r="D57" s="45" t="s">
        <v>120</v>
      </c>
      <c r="E57" s="46">
        <v>559425</v>
      </c>
      <c r="F57" s="47">
        <v>1.1189000000000001E-5</v>
      </c>
      <c r="G57" s="54" t="s">
        <v>121</v>
      </c>
      <c r="H57" s="47"/>
    </row>
    <row r="58" spans="1:8" ht="14.1" customHeight="1" x14ac:dyDescent="0.2">
      <c r="A58" s="1"/>
      <c r="B58" s="1"/>
      <c r="C58" s="2" t="s">
        <v>122</v>
      </c>
      <c r="D58" s="1"/>
      <c r="E58" s="1" t="s">
        <v>123</v>
      </c>
      <c r="F58" s="13">
        <v>0</v>
      </c>
      <c r="G58" s="14">
        <v>0</v>
      </c>
      <c r="H58" s="47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47"/>
    </row>
    <row r="60" spans="1:8" ht="14.1" customHeight="1" x14ac:dyDescent="0.2">
      <c r="A60" s="1"/>
      <c r="B60" s="1"/>
      <c r="C60" s="2" t="s">
        <v>126</v>
      </c>
      <c r="D60" s="1"/>
      <c r="E60" s="1"/>
      <c r="F60" s="1"/>
      <c r="G60" s="1"/>
      <c r="H60" s="47"/>
    </row>
    <row r="61" spans="1:8" ht="14.1" customHeight="1" x14ac:dyDescent="0.2">
      <c r="A61" s="1"/>
      <c r="B61" s="1"/>
      <c r="C61" s="2" t="s">
        <v>122</v>
      </c>
      <c r="D61" s="1"/>
      <c r="E61" s="1" t="s">
        <v>123</v>
      </c>
      <c r="F61" s="13">
        <v>0</v>
      </c>
      <c r="G61" s="14">
        <v>0</v>
      </c>
      <c r="H61" s="47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47"/>
    </row>
    <row r="63" spans="1:8" ht="14.1" customHeight="1" x14ac:dyDescent="0.2">
      <c r="A63" s="1"/>
      <c r="B63" s="1"/>
      <c r="C63" s="2" t="s">
        <v>127</v>
      </c>
      <c r="D63" s="1"/>
      <c r="E63" s="1"/>
      <c r="F63" s="12"/>
      <c r="G63" s="12"/>
      <c r="H63" s="47"/>
    </row>
    <row r="64" spans="1:8" ht="14.1" customHeight="1" x14ac:dyDescent="0.2">
      <c r="A64" s="1"/>
      <c r="B64" s="1"/>
      <c r="C64" s="2" t="s">
        <v>122</v>
      </c>
      <c r="D64" s="1"/>
      <c r="E64" s="1" t="s">
        <v>123</v>
      </c>
      <c r="F64" s="13">
        <v>0</v>
      </c>
      <c r="G64" s="14">
        <v>0</v>
      </c>
      <c r="H64" s="47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47"/>
    </row>
    <row r="66" spans="1:8" ht="14.1" customHeight="1" x14ac:dyDescent="0.2">
      <c r="A66" s="1"/>
      <c r="B66" s="1"/>
      <c r="C66" s="2" t="s">
        <v>128</v>
      </c>
      <c r="D66" s="1"/>
      <c r="E66" s="1"/>
      <c r="F66" s="12"/>
      <c r="G66" s="12"/>
      <c r="H66" s="47"/>
    </row>
    <row r="67" spans="1:8" ht="14.1" customHeight="1" x14ac:dyDescent="0.2">
      <c r="A67" s="1"/>
      <c r="B67" s="1"/>
      <c r="C67" s="2" t="s">
        <v>122</v>
      </c>
      <c r="D67" s="1"/>
      <c r="E67" s="1" t="s">
        <v>123</v>
      </c>
      <c r="F67" s="13">
        <v>0</v>
      </c>
      <c r="G67" s="14">
        <v>0</v>
      </c>
      <c r="H67" s="47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47"/>
    </row>
    <row r="69" spans="1:8" ht="18" customHeight="1" x14ac:dyDescent="0.2">
      <c r="A69" s="1"/>
      <c r="B69" s="1"/>
      <c r="C69" s="2" t="s">
        <v>129</v>
      </c>
      <c r="D69" s="1"/>
      <c r="E69" s="1"/>
      <c r="F69" s="9">
        <v>52960.101013689004</v>
      </c>
      <c r="G69" s="10">
        <v>0.94576576000000001</v>
      </c>
      <c r="H69" s="47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47"/>
    </row>
    <row r="71" spans="1:8" ht="14.1" customHeight="1" x14ac:dyDescent="0.2">
      <c r="A71" s="1"/>
      <c r="B71" s="1"/>
      <c r="C71" s="2" t="s">
        <v>130</v>
      </c>
      <c r="D71" s="1"/>
      <c r="E71" s="1"/>
      <c r="F71" s="12"/>
      <c r="G71" s="12"/>
      <c r="H71" s="47"/>
    </row>
    <row r="72" spans="1:8" ht="24" customHeight="1" x14ac:dyDescent="0.2">
      <c r="A72" s="1"/>
      <c r="B72" s="1"/>
      <c r="C72" s="2" t="s">
        <v>10</v>
      </c>
      <c r="D72" s="1"/>
      <c r="E72" s="1"/>
      <c r="F72" s="12"/>
      <c r="G72" s="12"/>
      <c r="H72" s="47"/>
    </row>
    <row r="73" spans="1:8" ht="14.1" customHeight="1" x14ac:dyDescent="0.2">
      <c r="A73" s="1"/>
      <c r="B73" s="1"/>
      <c r="C73" s="2" t="s">
        <v>122</v>
      </c>
      <c r="D73" s="1"/>
      <c r="E73" s="1" t="s">
        <v>123</v>
      </c>
      <c r="F73" s="13">
        <v>0</v>
      </c>
      <c r="G73" s="14">
        <v>0</v>
      </c>
      <c r="H73" s="47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47"/>
    </row>
    <row r="75" spans="1:8" ht="14.1" customHeight="1" x14ac:dyDescent="0.2">
      <c r="A75" s="1"/>
      <c r="B75" s="1"/>
      <c r="C75" s="2" t="s">
        <v>131</v>
      </c>
      <c r="D75" s="1"/>
      <c r="E75" s="1"/>
      <c r="F75" s="1"/>
      <c r="G75" s="1"/>
      <c r="H75" s="47"/>
    </row>
    <row r="76" spans="1:8" ht="14.1" customHeight="1" x14ac:dyDescent="0.2">
      <c r="A76" s="1"/>
      <c r="B76" s="1"/>
      <c r="C76" s="2" t="s">
        <v>122</v>
      </c>
      <c r="D76" s="1"/>
      <c r="E76" s="1" t="s">
        <v>123</v>
      </c>
      <c r="F76" s="13">
        <v>0</v>
      </c>
      <c r="G76" s="14">
        <v>0</v>
      </c>
      <c r="H76" s="47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47"/>
    </row>
    <row r="78" spans="1:8" ht="14.1" customHeight="1" x14ac:dyDescent="0.2">
      <c r="A78" s="1"/>
      <c r="B78" s="1"/>
      <c r="C78" s="2" t="s">
        <v>132</v>
      </c>
      <c r="D78" s="1"/>
      <c r="E78" s="1"/>
      <c r="F78" s="1"/>
      <c r="G78" s="1"/>
      <c r="H78" s="47"/>
    </row>
    <row r="79" spans="1:8" ht="14.1" customHeight="1" x14ac:dyDescent="0.2">
      <c r="A79" s="1"/>
      <c r="B79" s="1"/>
      <c r="C79" s="2" t="s">
        <v>122</v>
      </c>
      <c r="D79" s="1"/>
      <c r="E79" s="1" t="s">
        <v>123</v>
      </c>
      <c r="F79" s="13">
        <v>0</v>
      </c>
      <c r="G79" s="14">
        <v>0</v>
      </c>
      <c r="H79" s="47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47"/>
    </row>
    <row r="81" spans="1:8" ht="14.1" customHeight="1" x14ac:dyDescent="0.2">
      <c r="A81" s="1"/>
      <c r="B81" s="1"/>
      <c r="C81" s="2" t="s">
        <v>133</v>
      </c>
      <c r="D81" s="1"/>
      <c r="E81" s="1"/>
      <c r="F81" s="12"/>
      <c r="G81" s="12"/>
      <c r="H81" s="47"/>
    </row>
    <row r="82" spans="1:8" ht="14.1" customHeight="1" x14ac:dyDescent="0.2">
      <c r="A82" s="1"/>
      <c r="B82" s="1"/>
      <c r="C82" s="2" t="s">
        <v>122</v>
      </c>
      <c r="D82" s="1"/>
      <c r="E82" s="1" t="s">
        <v>123</v>
      </c>
      <c r="F82" s="13">
        <v>0</v>
      </c>
      <c r="G82" s="14">
        <v>0</v>
      </c>
      <c r="H82" s="47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47"/>
    </row>
    <row r="84" spans="1:8" ht="14.1" customHeight="1" x14ac:dyDescent="0.2">
      <c r="A84" s="1"/>
      <c r="B84" s="1"/>
      <c r="C84" s="2" t="s">
        <v>134</v>
      </c>
      <c r="D84" s="1"/>
      <c r="E84" s="1"/>
      <c r="F84" s="9">
        <v>0</v>
      </c>
      <c r="G84" s="10">
        <v>0</v>
      </c>
      <c r="H84" s="47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135</v>
      </c>
      <c r="D86" s="1"/>
      <c r="E86" s="1"/>
      <c r="F86" s="12"/>
      <c r="G86" s="12"/>
      <c r="H86" s="47"/>
    </row>
    <row r="87" spans="1:8" ht="14.1" customHeight="1" x14ac:dyDescent="0.2">
      <c r="A87" s="1"/>
      <c r="B87" s="1"/>
      <c r="C87" s="2" t="s">
        <v>136</v>
      </c>
      <c r="D87" s="1"/>
      <c r="E87" s="1"/>
      <c r="F87" s="12"/>
      <c r="G87" s="12"/>
      <c r="H87" s="47"/>
    </row>
    <row r="88" spans="1:8" ht="14.1" customHeight="1" x14ac:dyDescent="0.2">
      <c r="A88" s="1"/>
      <c r="B88" s="1"/>
      <c r="C88" s="2" t="s">
        <v>122</v>
      </c>
      <c r="D88" s="1"/>
      <c r="E88" s="1" t="s">
        <v>123</v>
      </c>
      <c r="F88" s="13">
        <v>0</v>
      </c>
      <c r="G88" s="14">
        <v>0</v>
      </c>
      <c r="H88" s="47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137</v>
      </c>
      <c r="D90" s="1"/>
      <c r="E90" s="1"/>
      <c r="F90" s="12"/>
      <c r="G90" s="12"/>
      <c r="H90" s="47"/>
    </row>
    <row r="91" spans="1:8" ht="14.1" customHeight="1" x14ac:dyDescent="0.2">
      <c r="A91" s="1"/>
      <c r="B91" s="1"/>
      <c r="C91" s="2" t="s">
        <v>122</v>
      </c>
      <c r="D91" s="1"/>
      <c r="E91" s="1" t="s">
        <v>123</v>
      </c>
      <c r="F91" s="13">
        <v>0</v>
      </c>
      <c r="G91" s="14">
        <v>0</v>
      </c>
      <c r="H91" s="47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47"/>
    </row>
    <row r="93" spans="1:8" ht="14.1" customHeight="1" x14ac:dyDescent="0.2">
      <c r="A93" s="1"/>
      <c r="B93" s="1"/>
      <c r="C93" s="2" t="s">
        <v>138</v>
      </c>
      <c r="D93" s="1"/>
      <c r="E93" s="1"/>
      <c r="F93" s="12"/>
      <c r="G93" s="12"/>
      <c r="H93" s="47"/>
    </row>
    <row r="94" spans="1:8" ht="14.1" customHeight="1" x14ac:dyDescent="0.2">
      <c r="A94" s="1"/>
      <c r="B94" s="1"/>
      <c r="C94" s="2" t="s">
        <v>122</v>
      </c>
      <c r="D94" s="1"/>
      <c r="E94" s="1" t="s">
        <v>123</v>
      </c>
      <c r="F94" s="13">
        <v>0</v>
      </c>
      <c r="G94" s="14">
        <v>0</v>
      </c>
      <c r="H94" s="47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139</v>
      </c>
      <c r="D96" s="1"/>
      <c r="E96" s="1"/>
      <c r="F96" s="12"/>
      <c r="G96" s="12"/>
      <c r="H96" s="47"/>
    </row>
    <row r="97" spans="1:8" ht="17.100000000000001" customHeight="1" x14ac:dyDescent="0.2">
      <c r="A97" s="3">
        <v>1</v>
      </c>
      <c r="B97" s="4"/>
      <c r="C97" s="4" t="s">
        <v>140</v>
      </c>
      <c r="D97" s="4"/>
      <c r="E97" s="8"/>
      <c r="F97" s="6">
        <v>2406.2765254000001</v>
      </c>
      <c r="G97" s="7">
        <v>4.2971480999999999E-2</v>
      </c>
      <c r="H97" s="47">
        <v>4.6730752161314033</v>
      </c>
    </row>
    <row r="98" spans="1:8" ht="14.1" customHeight="1" x14ac:dyDescent="0.2">
      <c r="A98" s="1"/>
      <c r="B98" s="1"/>
      <c r="C98" s="2" t="s">
        <v>122</v>
      </c>
      <c r="D98" s="1"/>
      <c r="E98" s="1" t="s">
        <v>123</v>
      </c>
      <c r="F98" s="9">
        <v>2406.2765254000001</v>
      </c>
      <c r="G98" s="10">
        <v>4.2971480999999999E-2</v>
      </c>
      <c r="H98" s="47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47"/>
    </row>
    <row r="100" spans="1:8" ht="14.1" customHeight="1" x14ac:dyDescent="0.2">
      <c r="A100" s="1"/>
      <c r="B100" s="1"/>
      <c r="C100" s="2" t="s">
        <v>141</v>
      </c>
      <c r="D100" s="1"/>
      <c r="E100" s="1"/>
      <c r="F100" s="9">
        <v>2406.2765254000001</v>
      </c>
      <c r="G100" s="10">
        <v>4.2971480999999999E-2</v>
      </c>
      <c r="H100" s="47"/>
    </row>
    <row r="101" spans="1:8" ht="14.1" customHeight="1" x14ac:dyDescent="0.2">
      <c r="A101" s="1"/>
      <c r="B101" s="1"/>
      <c r="C101" s="12"/>
      <c r="D101" s="1"/>
      <c r="E101" s="1"/>
      <c r="F101" s="1"/>
      <c r="G101" s="1"/>
      <c r="H101" s="47"/>
    </row>
    <row r="102" spans="1:8" ht="14.1" customHeight="1" x14ac:dyDescent="0.2">
      <c r="A102" s="1"/>
      <c r="B102" s="1"/>
      <c r="C102" s="2" t="s">
        <v>142</v>
      </c>
      <c r="D102" s="1"/>
      <c r="E102" s="1"/>
      <c r="F102" s="1"/>
      <c r="G102" s="1"/>
      <c r="H102" s="47"/>
    </row>
    <row r="103" spans="1:8" ht="14.1" customHeight="1" x14ac:dyDescent="0.2">
      <c r="A103" s="1"/>
      <c r="B103" s="1"/>
      <c r="C103" s="2" t="s">
        <v>143</v>
      </c>
      <c r="D103" s="1"/>
      <c r="E103" s="1"/>
      <c r="F103" s="1"/>
      <c r="G103" s="1"/>
      <c r="H103" s="47"/>
    </row>
    <row r="104" spans="1:8" ht="14.1" customHeight="1" x14ac:dyDescent="0.2">
      <c r="A104" s="1"/>
      <c r="B104" s="1"/>
      <c r="C104" s="2" t="s">
        <v>122</v>
      </c>
      <c r="D104" s="1"/>
      <c r="E104" s="1" t="s">
        <v>123</v>
      </c>
      <c r="F104" s="13">
        <v>0</v>
      </c>
      <c r="G104" s="14">
        <v>0</v>
      </c>
      <c r="H104" s="47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47"/>
    </row>
    <row r="106" spans="1:8" ht="14.1" customHeight="1" x14ac:dyDescent="0.2">
      <c r="A106" s="1"/>
      <c r="B106" s="1"/>
      <c r="C106" s="2" t="s">
        <v>144</v>
      </c>
      <c r="D106" s="1"/>
      <c r="E106" s="1"/>
      <c r="F106" s="1"/>
      <c r="G106" s="1"/>
      <c r="H106" s="47"/>
    </row>
    <row r="107" spans="1:8" ht="14.1" customHeight="1" x14ac:dyDescent="0.2">
      <c r="A107" s="1"/>
      <c r="B107" s="1"/>
      <c r="C107" s="2" t="s">
        <v>145</v>
      </c>
      <c r="D107" s="1"/>
      <c r="E107" s="1"/>
      <c r="F107" s="1"/>
      <c r="G107" s="1"/>
      <c r="H107" s="47"/>
    </row>
    <row r="108" spans="1:8" ht="14.1" customHeight="1" x14ac:dyDescent="0.2">
      <c r="A108" s="1"/>
      <c r="B108" s="1"/>
      <c r="C108" s="2" t="s">
        <v>122</v>
      </c>
      <c r="D108" s="1"/>
      <c r="E108" s="1" t="s">
        <v>123</v>
      </c>
      <c r="F108" s="13">
        <v>0</v>
      </c>
      <c r="G108" s="14">
        <v>0</v>
      </c>
      <c r="H108" s="47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47"/>
    </row>
    <row r="111" spans="1:8" ht="24" customHeight="1" x14ac:dyDescent="0.2">
      <c r="A111" s="1"/>
      <c r="B111" s="1"/>
      <c r="C111" s="2" t="s">
        <v>146</v>
      </c>
      <c r="D111" s="1"/>
      <c r="E111" s="1"/>
      <c r="F111" s="12"/>
      <c r="G111" s="12"/>
      <c r="H111" s="47"/>
    </row>
    <row r="112" spans="1:8" ht="14.1" customHeight="1" x14ac:dyDescent="0.2">
      <c r="A112" s="1"/>
      <c r="B112" s="1"/>
      <c r="C112" s="2" t="s">
        <v>122</v>
      </c>
      <c r="D112" s="1"/>
      <c r="E112" s="1" t="s">
        <v>123</v>
      </c>
      <c r="F112" s="13">
        <v>0</v>
      </c>
      <c r="G112" s="14">
        <v>0</v>
      </c>
      <c r="H112" s="47"/>
    </row>
    <row r="113" spans="1:15" ht="14.1" customHeight="1" x14ac:dyDescent="0.2">
      <c r="A113" s="1"/>
      <c r="B113" s="1"/>
      <c r="C113" s="11"/>
      <c r="D113" s="1"/>
      <c r="E113" s="1"/>
      <c r="F113" s="12"/>
      <c r="G113" s="12"/>
      <c r="H113" s="47"/>
    </row>
    <row r="114" spans="1:15" ht="14.1" customHeight="1" x14ac:dyDescent="0.2">
      <c r="A114" s="1"/>
      <c r="B114" s="4"/>
      <c r="C114" s="4"/>
      <c r="D114" s="2"/>
      <c r="E114" s="1"/>
      <c r="F114" s="4"/>
      <c r="G114" s="8"/>
      <c r="H114" s="47"/>
    </row>
    <row r="115" spans="1:15" ht="18" customHeight="1" x14ac:dyDescent="0.2">
      <c r="A115" s="8"/>
      <c r="B115" s="4"/>
      <c r="C115" s="4" t="s">
        <v>147</v>
      </c>
      <c r="D115" s="4"/>
      <c r="E115" s="8"/>
      <c r="F115" s="6">
        <v>630.68113619999997</v>
      </c>
      <c r="G115" s="7">
        <v>1.1262754999999999E-2</v>
      </c>
      <c r="H115" s="47"/>
    </row>
    <row r="116" spans="1:15" ht="14.1" customHeight="1" x14ac:dyDescent="0.2">
      <c r="A116" s="11"/>
      <c r="B116" s="11"/>
      <c r="C116" s="2" t="s">
        <v>148</v>
      </c>
      <c r="D116" s="15"/>
      <c r="E116" s="15"/>
      <c r="F116" s="9">
        <v>55997.058675289001</v>
      </c>
      <c r="G116" s="14">
        <v>0.999999996</v>
      </c>
      <c r="H116" s="47"/>
    </row>
    <row r="117" spans="1:15" ht="14.1" customHeight="1" x14ac:dyDescent="0.2">
      <c r="A117" s="16"/>
      <c r="B117" s="16"/>
      <c r="C117" s="16"/>
      <c r="D117" s="17"/>
      <c r="E117" s="17"/>
      <c r="F117" s="17"/>
      <c r="G117" s="17"/>
    </row>
    <row r="118" spans="1:15" ht="17.100000000000001" customHeight="1" x14ac:dyDescent="0.2">
      <c r="A118" s="18"/>
      <c r="B118" s="264" t="s">
        <v>149</v>
      </c>
      <c r="C118" s="264"/>
      <c r="D118" s="264"/>
      <c r="E118" s="264"/>
      <c r="F118" s="264"/>
      <c r="G118" s="20"/>
    </row>
    <row r="119" spans="1:15" ht="14.1" customHeight="1" x14ac:dyDescent="0.2">
      <c r="A119" s="18"/>
      <c r="B119" s="18"/>
      <c r="C119" s="18"/>
      <c r="D119" s="20"/>
      <c r="E119" s="20"/>
      <c r="F119" s="20"/>
      <c r="G119" s="20"/>
    </row>
    <row r="120" spans="1:15" ht="14.1" customHeight="1" x14ac:dyDescent="0.2">
      <c r="A120" s="18"/>
      <c r="B120" s="257" t="s">
        <v>150</v>
      </c>
      <c r="C120" s="258"/>
      <c r="D120" s="12" t="s">
        <v>123</v>
      </c>
      <c r="E120" s="21"/>
      <c r="F120" s="20"/>
      <c r="G120" s="20"/>
    </row>
    <row r="121" spans="1:15" ht="29.1" customHeight="1" x14ac:dyDescent="0.2">
      <c r="A121" s="18"/>
      <c r="B121" s="259" t="s">
        <v>151</v>
      </c>
      <c r="C121" s="260"/>
      <c r="D121" s="2" t="s">
        <v>152</v>
      </c>
      <c r="E121" s="21"/>
      <c r="F121" s="20"/>
      <c r="G121" s="20"/>
    </row>
    <row r="122" spans="1:15" ht="17.100000000000001" customHeight="1" x14ac:dyDescent="0.2">
      <c r="A122" s="18"/>
      <c r="B122" s="261" t="s">
        <v>1039</v>
      </c>
      <c r="C122" s="262"/>
      <c r="D122" s="89" t="s">
        <v>1040</v>
      </c>
      <c r="E122" s="21"/>
      <c r="F122" s="20"/>
      <c r="G122" s="20"/>
    </row>
    <row r="123" spans="1:15" ht="17.100000000000001" customHeight="1" x14ac:dyDescent="0.2">
      <c r="A123" s="18"/>
      <c r="B123" s="259" t="s">
        <v>154</v>
      </c>
      <c r="C123" s="260"/>
      <c r="D123" s="12" t="s">
        <v>123</v>
      </c>
      <c r="E123" s="21"/>
      <c r="F123" s="20"/>
      <c r="G123" s="20"/>
    </row>
    <row r="124" spans="1:15" ht="24" customHeight="1" x14ac:dyDescent="0.2">
      <c r="A124" s="22"/>
      <c r="B124" s="23" t="s">
        <v>123</v>
      </c>
      <c r="C124" s="23" t="s">
        <v>155</v>
      </c>
      <c r="D124" s="23" t="s">
        <v>156</v>
      </c>
      <c r="E124" s="22"/>
      <c r="F124" s="22"/>
      <c r="G124" s="22"/>
    </row>
    <row r="125" spans="1:15" ht="18" customHeight="1" x14ac:dyDescent="0.2">
      <c r="A125" s="22"/>
      <c r="B125" s="23" t="s">
        <v>157</v>
      </c>
      <c r="C125" s="23" t="s">
        <v>158</v>
      </c>
      <c r="D125" s="23" t="s">
        <v>159</v>
      </c>
      <c r="E125" s="22"/>
      <c r="F125" s="22"/>
      <c r="G125" s="22"/>
    </row>
    <row r="126" spans="1:15" ht="17.100000000000001" customHeight="1" x14ac:dyDescent="0.2">
      <c r="A126" s="22"/>
      <c r="B126" s="4" t="s">
        <v>160</v>
      </c>
      <c r="C126" s="24">
        <v>50.642299999999999</v>
      </c>
      <c r="D126" s="24">
        <v>48.2468</v>
      </c>
      <c r="E126" s="22"/>
      <c r="F126" s="19"/>
      <c r="G126" s="25"/>
    </row>
    <row r="127" spans="1:15" ht="17.100000000000001" customHeight="1" x14ac:dyDescent="0.2">
      <c r="A127" s="22"/>
      <c r="B127" s="4" t="s">
        <v>1101</v>
      </c>
      <c r="C127" s="24">
        <v>39.072099999999999</v>
      </c>
      <c r="D127" s="24">
        <v>37.2239</v>
      </c>
      <c r="E127" s="22"/>
      <c r="F127" s="19"/>
      <c r="G127" s="25"/>
    </row>
    <row r="128" spans="1:15" ht="17.100000000000001" customHeight="1" x14ac:dyDescent="0.2">
      <c r="A128" s="22"/>
      <c r="B128" s="4" t="s">
        <v>161</v>
      </c>
      <c r="C128" s="24">
        <v>48.234900000000003</v>
      </c>
      <c r="D128" s="24">
        <v>45.934199999999997</v>
      </c>
      <c r="E128" s="22"/>
      <c r="F128" s="19"/>
      <c r="G128" s="25"/>
      <c r="J128" s="148"/>
      <c r="K128" s="148"/>
      <c r="L128" s="148"/>
      <c r="M128" s="148"/>
      <c r="N128" s="148"/>
      <c r="O128" s="148"/>
    </row>
    <row r="129" spans="1:7" ht="17.100000000000001" customHeight="1" x14ac:dyDescent="0.2">
      <c r="A129" s="22"/>
      <c r="B129" s="4" t="s">
        <v>1102</v>
      </c>
      <c r="C129" s="24">
        <v>37.026699999999998</v>
      </c>
      <c r="D129" s="24">
        <v>35.260599999999997</v>
      </c>
      <c r="E129" s="22"/>
      <c r="F129" s="19"/>
      <c r="G129" s="25"/>
    </row>
    <row r="130" spans="1:7" ht="14.1" customHeight="1" x14ac:dyDescent="0.2">
      <c r="A130" s="22"/>
      <c r="B130" s="22"/>
      <c r="C130" s="22"/>
      <c r="D130" s="22"/>
      <c r="E130" s="22"/>
      <c r="F130" s="22"/>
      <c r="G130" s="22"/>
    </row>
    <row r="131" spans="1:7" ht="17.100000000000001" customHeight="1" x14ac:dyDescent="0.2">
      <c r="A131" s="22"/>
      <c r="B131" s="259" t="s">
        <v>1103</v>
      </c>
      <c r="C131" s="260"/>
      <c r="D131" s="2" t="s">
        <v>152</v>
      </c>
      <c r="E131" s="22"/>
      <c r="F131" s="22"/>
      <c r="G131" s="22"/>
    </row>
    <row r="132" spans="1:7" ht="18" customHeight="1" x14ac:dyDescent="0.2">
      <c r="A132" s="22"/>
      <c r="B132" s="26"/>
      <c r="C132" s="26"/>
      <c r="D132" s="27"/>
      <c r="E132" s="22"/>
      <c r="F132" s="22"/>
      <c r="G132" s="22"/>
    </row>
    <row r="133" spans="1:7" ht="29.1" customHeight="1" x14ac:dyDescent="0.2">
      <c r="A133" s="22"/>
      <c r="B133" s="259" t="s">
        <v>162</v>
      </c>
      <c r="C133" s="260"/>
      <c r="D133" s="2" t="s">
        <v>152</v>
      </c>
      <c r="E133" s="22"/>
      <c r="F133" s="22"/>
      <c r="G133" s="22"/>
    </row>
    <row r="134" spans="1:7" ht="29.1" customHeight="1" x14ac:dyDescent="0.2">
      <c r="A134" s="22"/>
      <c r="B134" s="259" t="s">
        <v>163</v>
      </c>
      <c r="C134" s="260"/>
      <c r="D134" s="2" t="s">
        <v>152</v>
      </c>
      <c r="E134" s="22"/>
      <c r="F134" s="22"/>
      <c r="G134" s="22"/>
    </row>
    <row r="135" spans="1:7" ht="17.100000000000001" customHeight="1" x14ac:dyDescent="0.2">
      <c r="A135" s="22"/>
      <c r="B135" s="259" t="s">
        <v>164</v>
      </c>
      <c r="C135" s="260"/>
      <c r="D135" s="28">
        <v>0.36178465625588613</v>
      </c>
      <c r="E135" s="22"/>
      <c r="F135" s="19"/>
      <c r="G135" s="25"/>
    </row>
    <row r="136" spans="1:7" ht="17.100000000000001" customHeight="1" x14ac:dyDescent="0.2">
      <c r="A136" s="22"/>
      <c r="B136" s="259" t="s">
        <v>165</v>
      </c>
      <c r="C136" s="260"/>
      <c r="D136" s="2" t="s">
        <v>152</v>
      </c>
      <c r="E136" s="22"/>
      <c r="F136" s="22"/>
      <c r="G136" s="22"/>
    </row>
  </sheetData>
  <mergeCells count="14">
    <mergeCell ref="J2:N2"/>
    <mergeCell ref="B118:F118"/>
    <mergeCell ref="A1:H1"/>
    <mergeCell ref="A2:H2"/>
    <mergeCell ref="A3:H3"/>
    <mergeCell ref="B120:C120"/>
    <mergeCell ref="B135:C135"/>
    <mergeCell ref="B136:C136"/>
    <mergeCell ref="B121:C121"/>
    <mergeCell ref="B122:C122"/>
    <mergeCell ref="B123:C123"/>
    <mergeCell ref="B131:C131"/>
    <mergeCell ref="B133:C133"/>
    <mergeCell ref="B134:C13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166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29.1" customHeight="1" x14ac:dyDescent="0.2">
      <c r="A7" s="3">
        <v>1</v>
      </c>
      <c r="B7" s="4" t="s">
        <v>167</v>
      </c>
      <c r="C7" s="4" t="s">
        <v>168</v>
      </c>
      <c r="D7" s="4" t="s">
        <v>25</v>
      </c>
      <c r="E7" s="5">
        <v>179081</v>
      </c>
      <c r="F7" s="6">
        <v>650.06403</v>
      </c>
      <c r="G7" s="7">
        <v>4.8513819999999999E-2</v>
      </c>
      <c r="H7" s="47"/>
    </row>
    <row r="8" spans="1:14" ht="17.100000000000001" customHeight="1" x14ac:dyDescent="0.2">
      <c r="A8" s="3">
        <v>2</v>
      </c>
      <c r="B8" s="4" t="s">
        <v>169</v>
      </c>
      <c r="C8" s="4" t="s">
        <v>170</v>
      </c>
      <c r="D8" s="4" t="s">
        <v>171</v>
      </c>
      <c r="E8" s="5">
        <v>25532</v>
      </c>
      <c r="F8" s="6">
        <v>270.71579600000001</v>
      </c>
      <c r="G8" s="7">
        <v>2.0203328999999999E-2</v>
      </c>
      <c r="H8" s="47"/>
    </row>
    <row r="9" spans="1:14" ht="17.100000000000001" customHeight="1" x14ac:dyDescent="0.2">
      <c r="A9" s="3">
        <v>3</v>
      </c>
      <c r="B9" s="4" t="s">
        <v>172</v>
      </c>
      <c r="C9" s="4" t="s">
        <v>173</v>
      </c>
      <c r="D9" s="4" t="s">
        <v>174</v>
      </c>
      <c r="E9" s="5">
        <v>21096</v>
      </c>
      <c r="F9" s="6">
        <v>228.89160000000001</v>
      </c>
      <c r="G9" s="7">
        <v>1.7082019E-2</v>
      </c>
      <c r="H9" s="47"/>
    </row>
    <row r="10" spans="1:14" ht="29.1" customHeight="1" x14ac:dyDescent="0.2">
      <c r="A10" s="3">
        <v>4</v>
      </c>
      <c r="B10" s="4" t="s">
        <v>175</v>
      </c>
      <c r="C10" s="4" t="s">
        <v>176</v>
      </c>
      <c r="D10" s="4" t="s">
        <v>88</v>
      </c>
      <c r="E10" s="5">
        <v>64022</v>
      </c>
      <c r="F10" s="6">
        <v>217.77083300000001</v>
      </c>
      <c r="G10" s="7">
        <v>1.6252084E-2</v>
      </c>
      <c r="H10" s="47"/>
    </row>
    <row r="11" spans="1:14" ht="17.100000000000001" customHeight="1" x14ac:dyDescent="0.2">
      <c r="A11" s="3">
        <v>5</v>
      </c>
      <c r="B11" s="4" t="s">
        <v>177</v>
      </c>
      <c r="C11" s="4" t="s">
        <v>178</v>
      </c>
      <c r="D11" s="4" t="s">
        <v>91</v>
      </c>
      <c r="E11" s="5">
        <v>259117</v>
      </c>
      <c r="F11" s="6">
        <v>212.47594000000001</v>
      </c>
      <c r="G11" s="7">
        <v>1.5856928999999999E-2</v>
      </c>
      <c r="H11" s="47"/>
    </row>
    <row r="12" spans="1:14" ht="29.1" customHeight="1" x14ac:dyDescent="0.2">
      <c r="A12" s="3">
        <v>6</v>
      </c>
      <c r="B12" s="4" t="s">
        <v>179</v>
      </c>
      <c r="C12" s="4" t="s">
        <v>180</v>
      </c>
      <c r="D12" s="4" t="s">
        <v>181</v>
      </c>
      <c r="E12" s="5">
        <v>30169</v>
      </c>
      <c r="F12" s="6">
        <v>185.1320685</v>
      </c>
      <c r="G12" s="7">
        <v>1.3816276000000001E-2</v>
      </c>
      <c r="H12" s="47"/>
    </row>
    <row r="13" spans="1:14" ht="17.100000000000001" customHeight="1" x14ac:dyDescent="0.2">
      <c r="A13" s="3">
        <v>7</v>
      </c>
      <c r="B13" s="4" t="s">
        <v>182</v>
      </c>
      <c r="C13" s="4" t="s">
        <v>183</v>
      </c>
      <c r="D13" s="4" t="s">
        <v>184</v>
      </c>
      <c r="E13" s="5">
        <v>13786</v>
      </c>
      <c r="F13" s="6">
        <v>180.313987</v>
      </c>
      <c r="G13" s="7">
        <v>1.3456706000000001E-2</v>
      </c>
      <c r="H13" s="47"/>
      <c r="J13" s="147" t="s">
        <v>1114</v>
      </c>
    </row>
    <row r="14" spans="1:14" ht="17.100000000000001" customHeight="1" x14ac:dyDescent="0.2">
      <c r="A14" s="3">
        <v>8</v>
      </c>
      <c r="B14" s="4" t="s">
        <v>185</v>
      </c>
      <c r="C14" s="4" t="s">
        <v>186</v>
      </c>
      <c r="D14" s="4" t="s">
        <v>88</v>
      </c>
      <c r="E14" s="5">
        <v>33546</v>
      </c>
      <c r="F14" s="6">
        <v>176.35132200000001</v>
      </c>
      <c r="G14" s="7">
        <v>1.3160975E-2</v>
      </c>
      <c r="H14" s="47"/>
    </row>
    <row r="15" spans="1:14" ht="17.100000000000001" customHeight="1" x14ac:dyDescent="0.2">
      <c r="A15" s="3">
        <v>9</v>
      </c>
      <c r="B15" s="4" t="s">
        <v>187</v>
      </c>
      <c r="C15" s="4" t="s">
        <v>188</v>
      </c>
      <c r="D15" s="4" t="s">
        <v>91</v>
      </c>
      <c r="E15" s="5">
        <v>41187</v>
      </c>
      <c r="F15" s="6">
        <v>175.6007745</v>
      </c>
      <c r="G15" s="7">
        <v>1.3104962E-2</v>
      </c>
      <c r="H15" s="47"/>
    </row>
    <row r="16" spans="1:14" ht="17.100000000000001" customHeight="1" x14ac:dyDescent="0.2">
      <c r="A16" s="3">
        <v>10</v>
      </c>
      <c r="B16" s="4" t="s">
        <v>189</v>
      </c>
      <c r="C16" s="4" t="s">
        <v>190</v>
      </c>
      <c r="D16" s="4" t="s">
        <v>191</v>
      </c>
      <c r="E16" s="5">
        <v>33053</v>
      </c>
      <c r="F16" s="6">
        <v>171.09885449999999</v>
      </c>
      <c r="G16" s="7">
        <v>1.2768987000000001E-2</v>
      </c>
      <c r="H16" s="47"/>
    </row>
    <row r="17" spans="1:8" ht="17.100000000000001" customHeight="1" x14ac:dyDescent="0.2">
      <c r="A17" s="3">
        <v>11</v>
      </c>
      <c r="B17" s="4" t="s">
        <v>192</v>
      </c>
      <c r="C17" s="4" t="s">
        <v>193</v>
      </c>
      <c r="D17" s="4" t="s">
        <v>184</v>
      </c>
      <c r="E17" s="5">
        <v>14151</v>
      </c>
      <c r="F17" s="6">
        <v>170.68936199999999</v>
      </c>
      <c r="G17" s="7">
        <v>1.2738427E-2</v>
      </c>
      <c r="H17" s="47"/>
    </row>
    <row r="18" spans="1:8" ht="17.100000000000001" customHeight="1" x14ac:dyDescent="0.2">
      <c r="A18" s="3">
        <v>12</v>
      </c>
      <c r="B18" s="4" t="s">
        <v>194</v>
      </c>
      <c r="C18" s="4" t="s">
        <v>195</v>
      </c>
      <c r="D18" s="4" t="s">
        <v>174</v>
      </c>
      <c r="E18" s="5">
        <v>30931</v>
      </c>
      <c r="F18" s="6">
        <v>153.819863</v>
      </c>
      <c r="G18" s="7">
        <v>1.1479468E-2</v>
      </c>
      <c r="H18" s="47"/>
    </row>
    <row r="19" spans="1:8" ht="17.100000000000001" customHeight="1" x14ac:dyDescent="0.2">
      <c r="A19" s="3">
        <v>13</v>
      </c>
      <c r="B19" s="4" t="s">
        <v>86</v>
      </c>
      <c r="C19" s="4" t="s">
        <v>87</v>
      </c>
      <c r="D19" s="4" t="s">
        <v>88</v>
      </c>
      <c r="E19" s="5">
        <v>35072</v>
      </c>
      <c r="F19" s="6">
        <v>152.10726399999999</v>
      </c>
      <c r="G19" s="7">
        <v>1.1351658000000001E-2</v>
      </c>
      <c r="H19" s="47"/>
    </row>
    <row r="20" spans="1:8" ht="29.1" customHeight="1" x14ac:dyDescent="0.2">
      <c r="A20" s="3">
        <v>14</v>
      </c>
      <c r="B20" s="4" t="s">
        <v>196</v>
      </c>
      <c r="C20" s="4" t="s">
        <v>197</v>
      </c>
      <c r="D20" s="4" t="s">
        <v>198</v>
      </c>
      <c r="E20" s="5">
        <v>10782</v>
      </c>
      <c r="F20" s="6">
        <v>137.06617499999999</v>
      </c>
      <c r="G20" s="7">
        <v>1.0229152E-2</v>
      </c>
      <c r="H20" s="47"/>
    </row>
    <row r="21" spans="1:8" ht="29.1" customHeight="1" x14ac:dyDescent="0.2">
      <c r="A21" s="3">
        <v>15</v>
      </c>
      <c r="B21" s="4" t="s">
        <v>199</v>
      </c>
      <c r="C21" s="4" t="s">
        <v>200</v>
      </c>
      <c r="D21" s="4" t="s">
        <v>201</v>
      </c>
      <c r="E21" s="5">
        <v>3526</v>
      </c>
      <c r="F21" s="6">
        <v>128.755416</v>
      </c>
      <c r="G21" s="7">
        <v>9.6089260000000003E-3</v>
      </c>
      <c r="H21" s="47"/>
    </row>
    <row r="22" spans="1:8" ht="29.1" customHeight="1" x14ac:dyDescent="0.2">
      <c r="A22" s="3">
        <v>16</v>
      </c>
      <c r="B22" s="4" t="s">
        <v>202</v>
      </c>
      <c r="C22" s="4" t="s">
        <v>203</v>
      </c>
      <c r="D22" s="4" t="s">
        <v>204</v>
      </c>
      <c r="E22" s="5">
        <v>25404</v>
      </c>
      <c r="F22" s="6">
        <v>118.05238799999999</v>
      </c>
      <c r="G22" s="7">
        <v>8.8101659999999995E-3</v>
      </c>
      <c r="H22" s="47"/>
    </row>
    <row r="23" spans="1:8" ht="29.1" customHeight="1" x14ac:dyDescent="0.2">
      <c r="A23" s="3">
        <v>17</v>
      </c>
      <c r="B23" s="4" t="s">
        <v>205</v>
      </c>
      <c r="C23" s="4" t="s">
        <v>206</v>
      </c>
      <c r="D23" s="4" t="s">
        <v>204</v>
      </c>
      <c r="E23" s="5">
        <v>7157</v>
      </c>
      <c r="F23" s="6">
        <v>112.55456049999999</v>
      </c>
      <c r="G23" s="7">
        <v>8.3998670000000001E-3</v>
      </c>
      <c r="H23" s="47"/>
    </row>
    <row r="24" spans="1:8" ht="17.100000000000001" customHeight="1" x14ac:dyDescent="0.2">
      <c r="A24" s="3">
        <v>18</v>
      </c>
      <c r="B24" s="4" t="s">
        <v>207</v>
      </c>
      <c r="C24" s="4" t="s">
        <v>208</v>
      </c>
      <c r="D24" s="4" t="s">
        <v>209</v>
      </c>
      <c r="E24" s="5">
        <v>37381</v>
      </c>
      <c r="F24" s="6">
        <v>103.9378705</v>
      </c>
      <c r="G24" s="7">
        <v>7.7568100000000003E-3</v>
      </c>
      <c r="H24" s="47"/>
    </row>
    <row r="25" spans="1:8" ht="17.100000000000001" customHeight="1" x14ac:dyDescent="0.2">
      <c r="A25" s="3">
        <v>19</v>
      </c>
      <c r="B25" s="4" t="s">
        <v>210</v>
      </c>
      <c r="C25" s="4" t="s">
        <v>211</v>
      </c>
      <c r="D25" s="4" t="s">
        <v>16</v>
      </c>
      <c r="E25" s="5">
        <v>46084</v>
      </c>
      <c r="F25" s="6">
        <v>100.094448</v>
      </c>
      <c r="G25" s="7">
        <v>7.4699780000000004E-3</v>
      </c>
      <c r="H25" s="47"/>
    </row>
    <row r="26" spans="1:8" ht="29.1" customHeight="1" x14ac:dyDescent="0.2">
      <c r="A26" s="3">
        <v>20</v>
      </c>
      <c r="B26" s="4" t="s">
        <v>212</v>
      </c>
      <c r="C26" s="4" t="s">
        <v>213</v>
      </c>
      <c r="D26" s="4" t="s">
        <v>214</v>
      </c>
      <c r="E26" s="5">
        <v>105408</v>
      </c>
      <c r="F26" s="6">
        <v>99.083519999999993</v>
      </c>
      <c r="G26" s="7">
        <v>7.394533E-3</v>
      </c>
      <c r="H26" s="47"/>
    </row>
    <row r="27" spans="1:8" ht="17.100000000000001" customHeight="1" x14ac:dyDescent="0.2">
      <c r="A27" s="3">
        <v>21</v>
      </c>
      <c r="B27" s="4" t="s">
        <v>215</v>
      </c>
      <c r="C27" s="4" t="s">
        <v>216</v>
      </c>
      <c r="D27" s="4" t="s">
        <v>217</v>
      </c>
      <c r="E27" s="5">
        <v>37245</v>
      </c>
      <c r="F27" s="6">
        <v>98.606137500000003</v>
      </c>
      <c r="G27" s="7">
        <v>7.3589060000000001E-3</v>
      </c>
      <c r="H27" s="47"/>
    </row>
    <row r="28" spans="1:8" ht="17.100000000000001" customHeight="1" x14ac:dyDescent="0.2">
      <c r="A28" s="3">
        <v>22</v>
      </c>
      <c r="B28" s="4" t="s">
        <v>95</v>
      </c>
      <c r="C28" s="4" t="s">
        <v>96</v>
      </c>
      <c r="D28" s="4" t="s">
        <v>97</v>
      </c>
      <c r="E28" s="5">
        <v>21219</v>
      </c>
      <c r="F28" s="6">
        <v>94.297235999999998</v>
      </c>
      <c r="G28" s="7">
        <v>7.0373359999999999E-3</v>
      </c>
      <c r="H28" s="47"/>
    </row>
    <row r="29" spans="1:8" ht="29.1" customHeight="1" x14ac:dyDescent="0.2">
      <c r="A29" s="3">
        <v>23</v>
      </c>
      <c r="B29" s="4" t="s">
        <v>52</v>
      </c>
      <c r="C29" s="4" t="s">
        <v>53</v>
      </c>
      <c r="D29" s="4" t="s">
        <v>25</v>
      </c>
      <c r="E29" s="5">
        <v>4407</v>
      </c>
      <c r="F29" s="6">
        <v>92.941426500000006</v>
      </c>
      <c r="G29" s="7">
        <v>6.9361529999999996E-3</v>
      </c>
      <c r="H29" s="47"/>
    </row>
    <row r="30" spans="1:8" ht="29.1" customHeight="1" x14ac:dyDescent="0.2">
      <c r="A30" s="3">
        <v>24</v>
      </c>
      <c r="B30" s="4" t="s">
        <v>218</v>
      </c>
      <c r="C30" s="4" t="s">
        <v>219</v>
      </c>
      <c r="D30" s="4" t="s">
        <v>201</v>
      </c>
      <c r="E30" s="5">
        <v>9913</v>
      </c>
      <c r="F30" s="6">
        <v>86.545446499999997</v>
      </c>
      <c r="G30" s="7">
        <v>6.458826E-3</v>
      </c>
      <c r="H30" s="47"/>
    </row>
    <row r="31" spans="1:8" ht="17.100000000000001" customHeight="1" x14ac:dyDescent="0.2">
      <c r="A31" s="3">
        <v>25</v>
      </c>
      <c r="B31" s="4" t="s">
        <v>220</v>
      </c>
      <c r="C31" s="4" t="s">
        <v>221</v>
      </c>
      <c r="D31" s="4" t="s">
        <v>91</v>
      </c>
      <c r="E31" s="5">
        <v>11360</v>
      </c>
      <c r="F31" s="6">
        <v>84.484319999999997</v>
      </c>
      <c r="G31" s="7">
        <v>6.3050049999999998E-3</v>
      </c>
      <c r="H31" s="47"/>
    </row>
    <row r="32" spans="1:8" ht="17.100000000000001" customHeight="1" x14ac:dyDescent="0.2">
      <c r="A32" s="3">
        <v>26</v>
      </c>
      <c r="B32" s="4" t="s">
        <v>222</v>
      </c>
      <c r="C32" s="4" t="s">
        <v>223</v>
      </c>
      <c r="D32" s="4" t="s">
        <v>13</v>
      </c>
      <c r="E32" s="5">
        <v>22607</v>
      </c>
      <c r="F32" s="6">
        <v>80.639168999999995</v>
      </c>
      <c r="G32" s="7">
        <v>6.0180440000000002E-3</v>
      </c>
      <c r="H32" s="47"/>
    </row>
    <row r="33" spans="1:8" ht="29.1" customHeight="1" x14ac:dyDescent="0.2">
      <c r="A33" s="3">
        <v>27</v>
      </c>
      <c r="B33" s="4" t="s">
        <v>224</v>
      </c>
      <c r="C33" s="4" t="s">
        <v>225</v>
      </c>
      <c r="D33" s="4" t="s">
        <v>181</v>
      </c>
      <c r="E33" s="5">
        <v>17659</v>
      </c>
      <c r="F33" s="6">
        <v>80.154201</v>
      </c>
      <c r="G33" s="7">
        <v>5.9818509999999998E-3</v>
      </c>
      <c r="H33" s="47"/>
    </row>
    <row r="34" spans="1:8" ht="17.100000000000001" customHeight="1" x14ac:dyDescent="0.2">
      <c r="A34" s="3">
        <v>28</v>
      </c>
      <c r="B34" s="4" t="s">
        <v>226</v>
      </c>
      <c r="C34" s="4" t="s">
        <v>227</v>
      </c>
      <c r="D34" s="4" t="s">
        <v>13</v>
      </c>
      <c r="E34" s="5">
        <v>108233</v>
      </c>
      <c r="F34" s="6">
        <v>79.172439499999996</v>
      </c>
      <c r="G34" s="7">
        <v>5.9085830000000002E-3</v>
      </c>
      <c r="H34" s="47"/>
    </row>
    <row r="35" spans="1:8" ht="17.100000000000001" customHeight="1" x14ac:dyDescent="0.2">
      <c r="A35" s="3">
        <v>29</v>
      </c>
      <c r="B35" s="4" t="s">
        <v>228</v>
      </c>
      <c r="C35" s="4" t="s">
        <v>229</v>
      </c>
      <c r="D35" s="4" t="s">
        <v>191</v>
      </c>
      <c r="E35" s="5">
        <v>2269</v>
      </c>
      <c r="F35" s="6">
        <v>77.186841999999999</v>
      </c>
      <c r="G35" s="7">
        <v>5.7603999999999997E-3</v>
      </c>
      <c r="H35" s="47"/>
    </row>
    <row r="36" spans="1:8" ht="29.1" customHeight="1" x14ac:dyDescent="0.2">
      <c r="A36" s="3">
        <v>30</v>
      </c>
      <c r="B36" s="4" t="s">
        <v>230</v>
      </c>
      <c r="C36" s="4" t="s">
        <v>231</v>
      </c>
      <c r="D36" s="4" t="s">
        <v>204</v>
      </c>
      <c r="E36" s="5">
        <v>19838</v>
      </c>
      <c r="F36" s="6">
        <v>72.815378999999993</v>
      </c>
      <c r="G36" s="7">
        <v>5.4341600000000004E-3</v>
      </c>
      <c r="H36" s="47"/>
    </row>
    <row r="37" spans="1:8" ht="29.1" customHeight="1" x14ac:dyDescent="0.2">
      <c r="A37" s="3">
        <v>31</v>
      </c>
      <c r="B37" s="4" t="s">
        <v>232</v>
      </c>
      <c r="C37" s="4" t="s">
        <v>233</v>
      </c>
      <c r="D37" s="4" t="s">
        <v>198</v>
      </c>
      <c r="E37" s="5">
        <v>35358</v>
      </c>
      <c r="F37" s="6">
        <v>69.584543999999994</v>
      </c>
      <c r="G37" s="7">
        <v>5.1930450000000003E-3</v>
      </c>
      <c r="H37" s="47"/>
    </row>
    <row r="38" spans="1:8" ht="17.100000000000001" customHeight="1" x14ac:dyDescent="0.2">
      <c r="A38" s="3">
        <v>32</v>
      </c>
      <c r="B38" s="4" t="s">
        <v>234</v>
      </c>
      <c r="C38" s="4" t="s">
        <v>235</v>
      </c>
      <c r="D38" s="4" t="s">
        <v>114</v>
      </c>
      <c r="E38" s="5">
        <v>9967</v>
      </c>
      <c r="F38" s="6">
        <v>67.197513999999998</v>
      </c>
      <c r="G38" s="7">
        <v>5.0149030000000002E-3</v>
      </c>
      <c r="H38" s="47"/>
    </row>
    <row r="39" spans="1:8" ht="29.1" customHeight="1" x14ac:dyDescent="0.2">
      <c r="A39" s="3">
        <v>33</v>
      </c>
      <c r="B39" s="4" t="s">
        <v>236</v>
      </c>
      <c r="C39" s="4" t="s">
        <v>237</v>
      </c>
      <c r="D39" s="4" t="s">
        <v>238</v>
      </c>
      <c r="E39" s="5">
        <v>17271</v>
      </c>
      <c r="F39" s="6">
        <v>66.225649500000003</v>
      </c>
      <c r="G39" s="7">
        <v>4.9423729999999999E-3</v>
      </c>
      <c r="H39" s="47"/>
    </row>
    <row r="40" spans="1:8" ht="17.100000000000001" customHeight="1" x14ac:dyDescent="0.2">
      <c r="A40" s="3">
        <v>34</v>
      </c>
      <c r="B40" s="4" t="s">
        <v>239</v>
      </c>
      <c r="C40" s="4" t="s">
        <v>240</v>
      </c>
      <c r="D40" s="4" t="s">
        <v>88</v>
      </c>
      <c r="E40" s="5">
        <v>11531</v>
      </c>
      <c r="F40" s="6">
        <v>66.089926500000004</v>
      </c>
      <c r="G40" s="7">
        <v>4.932245E-3</v>
      </c>
      <c r="H40" s="47"/>
    </row>
    <row r="41" spans="1:8" ht="17.100000000000001" customHeight="1" x14ac:dyDescent="0.2">
      <c r="A41" s="3">
        <v>35</v>
      </c>
      <c r="B41" s="4" t="s">
        <v>241</v>
      </c>
      <c r="C41" s="4" t="s">
        <v>242</v>
      </c>
      <c r="D41" s="4" t="s">
        <v>243</v>
      </c>
      <c r="E41" s="5">
        <v>12913</v>
      </c>
      <c r="F41" s="6">
        <v>65.6561485</v>
      </c>
      <c r="G41" s="7">
        <v>4.8998720000000004E-3</v>
      </c>
      <c r="H41" s="47"/>
    </row>
    <row r="42" spans="1:8" ht="17.100000000000001" customHeight="1" x14ac:dyDescent="0.2">
      <c r="A42" s="3">
        <v>36</v>
      </c>
      <c r="B42" s="4" t="s">
        <v>244</v>
      </c>
      <c r="C42" s="4" t="s">
        <v>245</v>
      </c>
      <c r="D42" s="4" t="s">
        <v>88</v>
      </c>
      <c r="E42" s="5">
        <v>31538</v>
      </c>
      <c r="F42" s="6">
        <v>59.827585999999997</v>
      </c>
      <c r="G42" s="7">
        <v>4.4648910000000003E-3</v>
      </c>
      <c r="H42" s="47"/>
    </row>
    <row r="43" spans="1:8" ht="17.100000000000001" customHeight="1" x14ac:dyDescent="0.2">
      <c r="A43" s="3">
        <v>37</v>
      </c>
      <c r="B43" s="4" t="s">
        <v>246</v>
      </c>
      <c r="C43" s="4" t="s">
        <v>247</v>
      </c>
      <c r="D43" s="4" t="s">
        <v>94</v>
      </c>
      <c r="E43" s="5">
        <v>11849</v>
      </c>
      <c r="F43" s="6">
        <v>59.499753499999997</v>
      </c>
      <c r="G43" s="7">
        <v>4.4404249999999996E-3</v>
      </c>
      <c r="H43" s="47"/>
    </row>
    <row r="44" spans="1:8" ht="17.100000000000001" customHeight="1" x14ac:dyDescent="0.2">
      <c r="A44" s="3">
        <v>38</v>
      </c>
      <c r="B44" s="4" t="s">
        <v>248</v>
      </c>
      <c r="C44" s="4" t="s">
        <v>249</v>
      </c>
      <c r="D44" s="4" t="s">
        <v>174</v>
      </c>
      <c r="E44" s="5">
        <v>44132</v>
      </c>
      <c r="F44" s="6">
        <v>59.048616000000003</v>
      </c>
      <c r="G44" s="7">
        <v>4.4067569999999999E-3</v>
      </c>
      <c r="H44" s="47"/>
    </row>
    <row r="45" spans="1:8" ht="29.1" customHeight="1" x14ac:dyDescent="0.2">
      <c r="A45" s="3">
        <v>39</v>
      </c>
      <c r="B45" s="4" t="s">
        <v>250</v>
      </c>
      <c r="C45" s="4" t="s">
        <v>251</v>
      </c>
      <c r="D45" s="4" t="s">
        <v>204</v>
      </c>
      <c r="E45" s="5">
        <v>1283</v>
      </c>
      <c r="F45" s="6">
        <v>53.7686055</v>
      </c>
      <c r="G45" s="7">
        <v>4.0127130000000002E-3</v>
      </c>
      <c r="H45" s="47"/>
    </row>
    <row r="46" spans="1:8" ht="17.100000000000001" customHeight="1" x14ac:dyDescent="0.2">
      <c r="A46" s="3">
        <v>40</v>
      </c>
      <c r="B46" s="4" t="s">
        <v>252</v>
      </c>
      <c r="C46" s="4" t="s">
        <v>253</v>
      </c>
      <c r="D46" s="4" t="s">
        <v>97</v>
      </c>
      <c r="E46" s="5">
        <v>61800</v>
      </c>
      <c r="F46" s="6">
        <v>40.3245</v>
      </c>
      <c r="G46" s="7">
        <v>3.0093889999999999E-3</v>
      </c>
      <c r="H46" s="47"/>
    </row>
    <row r="47" spans="1:8" ht="17.100000000000001" customHeight="1" x14ac:dyDescent="0.2">
      <c r="A47" s="3">
        <v>41</v>
      </c>
      <c r="B47" s="4" t="s">
        <v>254</v>
      </c>
      <c r="C47" s="4" t="s">
        <v>255</v>
      </c>
      <c r="D47" s="4" t="s">
        <v>28</v>
      </c>
      <c r="E47" s="5">
        <v>3384</v>
      </c>
      <c r="F47" s="6">
        <v>39.002291999999997</v>
      </c>
      <c r="G47" s="7">
        <v>2.910714E-3</v>
      </c>
      <c r="H47" s="47"/>
    </row>
    <row r="48" spans="1:8" ht="29.1" customHeight="1" x14ac:dyDescent="0.2">
      <c r="A48" s="3">
        <v>42</v>
      </c>
      <c r="B48" s="4" t="s">
        <v>256</v>
      </c>
      <c r="C48" s="4" t="s">
        <v>257</v>
      </c>
      <c r="D48" s="4" t="s">
        <v>88</v>
      </c>
      <c r="E48" s="5">
        <v>2000</v>
      </c>
      <c r="F48" s="6">
        <v>29.625</v>
      </c>
      <c r="G48" s="7">
        <v>2.2108929999999998E-3</v>
      </c>
      <c r="H48" s="47"/>
    </row>
    <row r="49" spans="1:8" ht="29.1" customHeight="1" x14ac:dyDescent="0.2">
      <c r="A49" s="3">
        <v>43</v>
      </c>
      <c r="B49" s="4" t="s">
        <v>258</v>
      </c>
      <c r="C49" s="4" t="s">
        <v>259</v>
      </c>
      <c r="D49" s="4" t="s">
        <v>201</v>
      </c>
      <c r="E49" s="5">
        <v>3966</v>
      </c>
      <c r="F49" s="6">
        <v>21.136797000000001</v>
      </c>
      <c r="G49" s="7">
        <v>1.577424E-3</v>
      </c>
      <c r="H49" s="47"/>
    </row>
    <row r="50" spans="1:8" ht="14.1" customHeight="1" x14ac:dyDescent="0.2">
      <c r="A50" s="1"/>
      <c r="B50" s="1"/>
      <c r="C50" s="2" t="s">
        <v>122</v>
      </c>
      <c r="D50" s="1"/>
      <c r="E50" s="1" t="s">
        <v>123</v>
      </c>
      <c r="F50" s="9">
        <v>5288.4056019999998</v>
      </c>
      <c r="G50" s="10">
        <v>0.39466997999999998</v>
      </c>
      <c r="H50" s="47"/>
    </row>
    <row r="51" spans="1:8" ht="14.1" customHeight="1" x14ac:dyDescent="0.2">
      <c r="A51" s="1"/>
      <c r="B51" s="1"/>
      <c r="C51" s="11"/>
      <c r="D51" s="1"/>
      <c r="E51" s="1"/>
      <c r="F51" s="12"/>
      <c r="G51" s="12"/>
      <c r="H51" s="47"/>
    </row>
    <row r="52" spans="1:8" ht="14.1" customHeight="1" x14ac:dyDescent="0.2">
      <c r="A52" s="1"/>
      <c r="B52" s="1"/>
      <c r="C52" s="2" t="s">
        <v>124</v>
      </c>
      <c r="D52" s="1"/>
      <c r="E52" s="1"/>
      <c r="F52" s="1"/>
      <c r="G52" s="1"/>
      <c r="H52" s="47"/>
    </row>
    <row r="53" spans="1:8" ht="14.1" customHeight="1" x14ac:dyDescent="0.2">
      <c r="A53" s="1"/>
      <c r="B53" s="1"/>
      <c r="C53" s="2" t="s">
        <v>122</v>
      </c>
      <c r="D53" s="1"/>
      <c r="E53" s="1" t="s">
        <v>123</v>
      </c>
      <c r="F53" s="13">
        <v>0</v>
      </c>
      <c r="G53" s="14">
        <v>0</v>
      </c>
      <c r="H53" s="47"/>
    </row>
    <row r="54" spans="1:8" ht="14.1" customHeight="1" x14ac:dyDescent="0.2">
      <c r="A54" s="1"/>
      <c r="B54" s="1"/>
      <c r="C54" s="11"/>
      <c r="D54" s="1"/>
      <c r="E54" s="1"/>
      <c r="F54" s="12"/>
      <c r="G54" s="12"/>
      <c r="H54" s="47"/>
    </row>
    <row r="55" spans="1:8" ht="14.1" customHeight="1" x14ac:dyDescent="0.2">
      <c r="A55" s="1"/>
      <c r="B55" s="1"/>
      <c r="C55" s="2" t="s">
        <v>125</v>
      </c>
      <c r="D55" s="1"/>
      <c r="E55" s="1"/>
      <c r="F55" s="1"/>
      <c r="G55" s="1"/>
      <c r="H55" s="47"/>
    </row>
    <row r="56" spans="1:8" ht="14.1" customHeight="1" x14ac:dyDescent="0.2">
      <c r="A56" s="1"/>
      <c r="B56" s="1"/>
      <c r="C56" s="2" t="s">
        <v>122</v>
      </c>
      <c r="D56" s="1"/>
      <c r="E56" s="1" t="s">
        <v>123</v>
      </c>
      <c r="F56" s="13">
        <v>0</v>
      </c>
      <c r="G56" s="14">
        <v>0</v>
      </c>
      <c r="H56" s="47"/>
    </row>
    <row r="57" spans="1:8" ht="14.1" customHeight="1" x14ac:dyDescent="0.2">
      <c r="A57" s="1"/>
      <c r="B57" s="1"/>
      <c r="C57" s="11"/>
      <c r="D57" s="1"/>
      <c r="E57" s="1"/>
      <c r="F57" s="12"/>
      <c r="G57" s="12"/>
      <c r="H57" s="47"/>
    </row>
    <row r="58" spans="1:8" ht="14.1" customHeight="1" x14ac:dyDescent="0.2">
      <c r="A58" s="1"/>
      <c r="B58" s="1"/>
      <c r="C58" s="2" t="s">
        <v>126</v>
      </c>
      <c r="D58" s="1"/>
      <c r="E58" s="1"/>
      <c r="F58" s="1"/>
      <c r="G58" s="1"/>
      <c r="H58" s="47"/>
    </row>
    <row r="59" spans="1:8" ht="14.1" customHeight="1" x14ac:dyDescent="0.2">
      <c r="A59" s="1"/>
      <c r="B59" s="1"/>
      <c r="C59" s="2" t="s">
        <v>122</v>
      </c>
      <c r="D59" s="1"/>
      <c r="E59" s="1" t="s">
        <v>123</v>
      </c>
      <c r="F59" s="13">
        <v>0</v>
      </c>
      <c r="G59" s="14">
        <v>0</v>
      </c>
      <c r="H59" s="47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47"/>
    </row>
    <row r="61" spans="1:8" ht="14.1" customHeight="1" x14ac:dyDescent="0.2">
      <c r="A61" s="1"/>
      <c r="B61" s="1"/>
      <c r="C61" s="2" t="s">
        <v>127</v>
      </c>
      <c r="D61" s="1"/>
      <c r="E61" s="1"/>
      <c r="F61" s="12"/>
      <c r="G61" s="12"/>
      <c r="H61" s="47"/>
    </row>
    <row r="62" spans="1:8" ht="14.1" customHeight="1" x14ac:dyDescent="0.2">
      <c r="A62" s="1"/>
      <c r="B62" s="1"/>
      <c r="C62" s="2" t="s">
        <v>122</v>
      </c>
      <c r="D62" s="1"/>
      <c r="E62" s="1" t="s">
        <v>123</v>
      </c>
      <c r="F62" s="13">
        <v>0</v>
      </c>
      <c r="G62" s="14">
        <v>0</v>
      </c>
      <c r="H62" s="47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47"/>
    </row>
    <row r="64" spans="1:8" ht="14.1" customHeight="1" x14ac:dyDescent="0.2">
      <c r="A64" s="1"/>
      <c r="B64" s="1"/>
      <c r="C64" s="2" t="s">
        <v>128</v>
      </c>
      <c r="D64" s="1"/>
      <c r="E64" s="1"/>
      <c r="F64" s="12"/>
      <c r="G64" s="12"/>
      <c r="H64" s="47"/>
    </row>
    <row r="65" spans="1:8" ht="14.1" customHeight="1" x14ac:dyDescent="0.2">
      <c r="A65" s="1"/>
      <c r="B65" s="1"/>
      <c r="C65" s="2" t="s">
        <v>122</v>
      </c>
      <c r="D65" s="1"/>
      <c r="E65" s="1" t="s">
        <v>123</v>
      </c>
      <c r="F65" s="13">
        <v>0</v>
      </c>
      <c r="G65" s="14">
        <v>0</v>
      </c>
      <c r="H65" s="47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47"/>
    </row>
    <row r="67" spans="1:8" ht="18" customHeight="1" x14ac:dyDescent="0.2">
      <c r="A67" s="1"/>
      <c r="B67" s="1"/>
      <c r="C67" s="2" t="s">
        <v>129</v>
      </c>
      <c r="D67" s="1"/>
      <c r="E67" s="1"/>
      <c r="F67" s="9">
        <v>5288.4056019999998</v>
      </c>
      <c r="G67" s="10">
        <v>0.39466997999999998</v>
      </c>
      <c r="H67" s="47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47"/>
    </row>
    <row r="69" spans="1:8" ht="14.1" customHeight="1" x14ac:dyDescent="0.2">
      <c r="A69" s="1"/>
      <c r="B69" s="1"/>
      <c r="C69" s="2" t="s">
        <v>130</v>
      </c>
      <c r="D69" s="1"/>
      <c r="E69" s="1"/>
      <c r="F69" s="12"/>
      <c r="G69" s="12"/>
      <c r="H69" s="47"/>
    </row>
    <row r="70" spans="1:8" ht="24" customHeight="1" x14ac:dyDescent="0.2">
      <c r="A70" s="1"/>
      <c r="B70" s="1"/>
      <c r="C70" s="2" t="s">
        <v>10</v>
      </c>
      <c r="D70" s="1"/>
      <c r="E70" s="1"/>
      <c r="F70" s="12"/>
      <c r="G70" s="12"/>
      <c r="H70" s="47"/>
    </row>
    <row r="71" spans="1:8" ht="14.1" customHeight="1" x14ac:dyDescent="0.2">
      <c r="A71" s="1"/>
      <c r="B71" s="1"/>
      <c r="C71" s="2" t="s">
        <v>122</v>
      </c>
      <c r="D71" s="1"/>
      <c r="E71" s="1" t="s">
        <v>123</v>
      </c>
      <c r="F71" s="13">
        <v>0</v>
      </c>
      <c r="G71" s="14">
        <v>0</v>
      </c>
      <c r="H71" s="47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47"/>
    </row>
    <row r="73" spans="1:8" ht="14.1" customHeight="1" x14ac:dyDescent="0.2">
      <c r="A73" s="1"/>
      <c r="B73" s="1"/>
      <c r="C73" s="2" t="s">
        <v>131</v>
      </c>
      <c r="D73" s="1"/>
      <c r="E73" s="1"/>
      <c r="F73" s="1"/>
      <c r="G73" s="1"/>
      <c r="H73" s="47"/>
    </row>
    <row r="74" spans="1:8" ht="14.1" customHeight="1" x14ac:dyDescent="0.2">
      <c r="A74" s="1"/>
      <c r="B74" s="1"/>
      <c r="C74" s="2" t="s">
        <v>122</v>
      </c>
      <c r="D74" s="1"/>
      <c r="E74" s="1" t="s">
        <v>123</v>
      </c>
      <c r="F74" s="13">
        <v>0</v>
      </c>
      <c r="G74" s="14">
        <v>0</v>
      </c>
      <c r="H74" s="47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47"/>
    </row>
    <row r="76" spans="1:8" ht="14.1" customHeight="1" x14ac:dyDescent="0.2">
      <c r="A76" s="1"/>
      <c r="B76" s="1"/>
      <c r="C76" s="2" t="s">
        <v>132</v>
      </c>
      <c r="D76" s="1"/>
      <c r="E76" s="1"/>
      <c r="F76" s="1"/>
      <c r="G76" s="1"/>
      <c r="H76" s="47"/>
    </row>
    <row r="77" spans="1:8" ht="14.1" customHeight="1" x14ac:dyDescent="0.2">
      <c r="A77" s="1"/>
      <c r="B77" s="1"/>
      <c r="C77" s="2" t="s">
        <v>122</v>
      </c>
      <c r="D77" s="1"/>
      <c r="E77" s="1" t="s">
        <v>123</v>
      </c>
      <c r="F77" s="13">
        <v>0</v>
      </c>
      <c r="G77" s="14">
        <v>0</v>
      </c>
      <c r="H77" s="47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47"/>
    </row>
    <row r="79" spans="1:8" ht="14.1" customHeight="1" x14ac:dyDescent="0.2">
      <c r="A79" s="1"/>
      <c r="B79" s="1"/>
      <c r="C79" s="2" t="s">
        <v>133</v>
      </c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122</v>
      </c>
      <c r="D80" s="1"/>
      <c r="E80" s="1" t="s">
        <v>123</v>
      </c>
      <c r="F80" s="13">
        <v>0</v>
      </c>
      <c r="G80" s="14">
        <v>0</v>
      </c>
      <c r="H80" s="47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47"/>
    </row>
    <row r="82" spans="1:8" ht="14.1" customHeight="1" x14ac:dyDescent="0.2">
      <c r="A82" s="1"/>
      <c r="B82" s="1"/>
      <c r="C82" s="2" t="s">
        <v>134</v>
      </c>
      <c r="D82" s="1"/>
      <c r="E82" s="1"/>
      <c r="F82" s="9">
        <v>0</v>
      </c>
      <c r="G82" s="10">
        <v>0</v>
      </c>
      <c r="H82" s="47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47"/>
    </row>
    <row r="84" spans="1:8" ht="14.1" customHeight="1" x14ac:dyDescent="0.2">
      <c r="A84" s="1"/>
      <c r="B84" s="1"/>
      <c r="C84" s="2" t="s">
        <v>135</v>
      </c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136</v>
      </c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122</v>
      </c>
      <c r="D86" s="1"/>
      <c r="E86" s="1" t="s">
        <v>123</v>
      </c>
      <c r="F86" s="13">
        <v>0</v>
      </c>
      <c r="G86" s="14">
        <v>0</v>
      </c>
      <c r="H86" s="47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47"/>
    </row>
    <row r="88" spans="1:8" ht="14.1" customHeight="1" x14ac:dyDescent="0.2">
      <c r="A88" s="1"/>
      <c r="B88" s="1"/>
      <c r="C88" s="2" t="s">
        <v>137</v>
      </c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122</v>
      </c>
      <c r="D89" s="1"/>
      <c r="E89" s="1" t="s">
        <v>123</v>
      </c>
      <c r="F89" s="13">
        <v>0</v>
      </c>
      <c r="G89" s="14">
        <v>0</v>
      </c>
      <c r="H89" s="47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47"/>
    </row>
    <row r="91" spans="1:8" ht="14.1" customHeight="1" x14ac:dyDescent="0.2">
      <c r="A91" s="1"/>
      <c r="B91" s="1"/>
      <c r="C91" s="2" t="s">
        <v>138</v>
      </c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122</v>
      </c>
      <c r="D92" s="1"/>
      <c r="E92" s="1" t="s">
        <v>123</v>
      </c>
      <c r="F92" s="13">
        <v>0</v>
      </c>
      <c r="G92" s="14">
        <v>0</v>
      </c>
      <c r="H92" s="47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47"/>
    </row>
    <row r="94" spans="1:8" ht="14.1" customHeight="1" x14ac:dyDescent="0.2">
      <c r="A94" s="1"/>
      <c r="B94" s="1"/>
      <c r="C94" s="2" t="s">
        <v>139</v>
      </c>
      <c r="D94" s="1"/>
      <c r="E94" s="1"/>
      <c r="F94" s="12"/>
      <c r="G94" s="12"/>
      <c r="H94" s="47"/>
    </row>
    <row r="95" spans="1:8" ht="17.100000000000001" customHeight="1" x14ac:dyDescent="0.2">
      <c r="A95" s="3">
        <v>1</v>
      </c>
      <c r="B95" s="4"/>
      <c r="C95" s="4" t="s">
        <v>140</v>
      </c>
      <c r="D95" s="4"/>
      <c r="E95" s="8"/>
      <c r="F95" s="6">
        <v>7352.8654158999998</v>
      </c>
      <c r="G95" s="7">
        <v>0.54873915699999998</v>
      </c>
      <c r="H95" s="47">
        <v>4.6730752161314033</v>
      </c>
    </row>
    <row r="96" spans="1:8" ht="14.1" customHeight="1" x14ac:dyDescent="0.2">
      <c r="A96" s="1"/>
      <c r="B96" s="1"/>
      <c r="C96" s="2" t="s">
        <v>122</v>
      </c>
      <c r="D96" s="1"/>
      <c r="E96" s="1" t="s">
        <v>123</v>
      </c>
      <c r="F96" s="9">
        <v>7352.8654158999998</v>
      </c>
      <c r="G96" s="10">
        <v>0.54873915699999998</v>
      </c>
      <c r="H96" s="47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141</v>
      </c>
      <c r="D98" s="1"/>
      <c r="E98" s="1"/>
      <c r="F98" s="9">
        <v>7352.8654158999998</v>
      </c>
      <c r="G98" s="10">
        <v>0.54873915699999998</v>
      </c>
      <c r="H98" s="47"/>
    </row>
    <row r="99" spans="1:8" ht="14.1" customHeight="1" x14ac:dyDescent="0.2">
      <c r="A99" s="1"/>
      <c r="B99" s="1"/>
      <c r="C99" s="12"/>
      <c r="D99" s="1"/>
      <c r="E99" s="1"/>
      <c r="F99" s="1"/>
      <c r="G99" s="1"/>
      <c r="H99" s="47"/>
    </row>
    <row r="100" spans="1:8" ht="14.1" customHeight="1" x14ac:dyDescent="0.2">
      <c r="A100" s="1"/>
      <c r="B100" s="1"/>
      <c r="C100" s="2" t="s">
        <v>142</v>
      </c>
      <c r="D100" s="1"/>
      <c r="E100" s="1"/>
      <c r="F100" s="1"/>
      <c r="G100" s="1"/>
      <c r="H100" s="47"/>
    </row>
    <row r="101" spans="1:8" ht="14.1" customHeight="1" x14ac:dyDescent="0.2">
      <c r="A101" s="1"/>
      <c r="B101" s="1"/>
      <c r="C101" s="2" t="s">
        <v>143</v>
      </c>
      <c r="D101" s="1"/>
      <c r="E101" s="1"/>
      <c r="F101" s="1"/>
      <c r="G101" s="1"/>
      <c r="H101" s="47"/>
    </row>
    <row r="102" spans="1:8" ht="14.1" customHeight="1" x14ac:dyDescent="0.2">
      <c r="A102" s="1"/>
      <c r="B102" s="1"/>
      <c r="C102" s="2" t="s">
        <v>122</v>
      </c>
      <c r="D102" s="1"/>
      <c r="E102" s="1" t="s">
        <v>123</v>
      </c>
      <c r="F102" s="13">
        <v>0</v>
      </c>
      <c r="G102" s="14">
        <v>0</v>
      </c>
      <c r="H102" s="47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2" t="s">
        <v>144</v>
      </c>
      <c r="D104" s="1"/>
      <c r="E104" s="1"/>
      <c r="F104" s="1"/>
      <c r="G104" s="1"/>
      <c r="H104" s="47"/>
    </row>
    <row r="105" spans="1:8" ht="14.1" customHeight="1" x14ac:dyDescent="0.2">
      <c r="A105" s="1"/>
      <c r="B105" s="1"/>
      <c r="C105" s="2" t="s">
        <v>145</v>
      </c>
      <c r="D105" s="1"/>
      <c r="E105" s="1"/>
      <c r="F105" s="1"/>
      <c r="G105" s="1"/>
      <c r="H105" s="47"/>
    </row>
    <row r="106" spans="1:8" ht="14.1" customHeight="1" x14ac:dyDescent="0.2">
      <c r="A106" s="1"/>
      <c r="B106" s="1"/>
      <c r="C106" s="2" t="s">
        <v>122</v>
      </c>
      <c r="D106" s="1"/>
      <c r="E106" s="1" t="s">
        <v>123</v>
      </c>
      <c r="F106" s="13">
        <v>0</v>
      </c>
      <c r="G106" s="14">
        <v>0</v>
      </c>
      <c r="H106" s="47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47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47"/>
    </row>
    <row r="109" spans="1:8" ht="24" customHeight="1" x14ac:dyDescent="0.2">
      <c r="A109" s="1"/>
      <c r="B109" s="1"/>
      <c r="C109" s="2" t="s">
        <v>146</v>
      </c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2" t="s">
        <v>122</v>
      </c>
      <c r="D110" s="1"/>
      <c r="E110" s="1" t="s">
        <v>123</v>
      </c>
      <c r="F110" s="13">
        <v>0</v>
      </c>
      <c r="G110" s="14">
        <v>0</v>
      </c>
      <c r="H110" s="47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47"/>
    </row>
    <row r="112" spans="1:8" ht="14.1" customHeight="1" x14ac:dyDescent="0.2">
      <c r="A112" s="1"/>
      <c r="B112" s="4"/>
      <c r="C112" s="4"/>
      <c r="D112" s="2"/>
      <c r="E112" s="1"/>
      <c r="F112" s="4"/>
      <c r="G112" s="8"/>
      <c r="H112" s="47"/>
    </row>
    <row r="113" spans="1:8" ht="18" customHeight="1" x14ac:dyDescent="0.2">
      <c r="A113" s="8"/>
      <c r="B113" s="4"/>
      <c r="C113" s="4" t="s">
        <v>147</v>
      </c>
      <c r="D113" s="4"/>
      <c r="E113" s="8"/>
      <c r="F113" s="6">
        <v>758.29292181000005</v>
      </c>
      <c r="G113" s="7">
        <v>5.6590865999999997E-2</v>
      </c>
      <c r="H113" s="47"/>
    </row>
    <row r="114" spans="1:8" ht="14.1" customHeight="1" x14ac:dyDescent="0.2">
      <c r="A114" s="11"/>
      <c r="B114" s="11"/>
      <c r="C114" s="2" t="s">
        <v>148</v>
      </c>
      <c r="D114" s="15"/>
      <c r="E114" s="15"/>
      <c r="F114" s="9">
        <v>13399.56393971</v>
      </c>
      <c r="G114" s="10">
        <v>1.000000003</v>
      </c>
      <c r="H114" s="47"/>
    </row>
    <row r="115" spans="1:8" ht="14.1" customHeight="1" x14ac:dyDescent="0.2">
      <c r="A115" s="16"/>
      <c r="B115" s="16"/>
      <c r="C115" s="16"/>
      <c r="D115" s="17"/>
      <c r="E115" s="17"/>
      <c r="F115" s="17"/>
      <c r="G115" s="17"/>
    </row>
    <row r="116" spans="1:8" ht="14.1" customHeight="1" x14ac:dyDescent="0.2">
      <c r="A116" s="18"/>
      <c r="B116" s="257" t="s">
        <v>150</v>
      </c>
      <c r="C116" s="258"/>
      <c r="D116" s="12" t="s">
        <v>123</v>
      </c>
      <c r="E116" s="21"/>
      <c r="F116" s="20"/>
      <c r="G116" s="20"/>
    </row>
    <row r="117" spans="1:8" ht="29.1" customHeight="1" x14ac:dyDescent="0.2">
      <c r="A117" s="18"/>
      <c r="B117" s="259" t="s">
        <v>151</v>
      </c>
      <c r="C117" s="260"/>
      <c r="D117" s="2" t="s">
        <v>152</v>
      </c>
      <c r="E117" s="21"/>
      <c r="F117" s="20"/>
      <c r="G117" s="20"/>
    </row>
    <row r="118" spans="1:8" ht="17.100000000000001" customHeight="1" x14ac:dyDescent="0.2">
      <c r="A118" s="18"/>
      <c r="B118" s="259" t="s">
        <v>153</v>
      </c>
      <c r="C118" s="260"/>
      <c r="D118" s="2" t="s">
        <v>152</v>
      </c>
      <c r="E118" s="21"/>
      <c r="F118" s="20"/>
      <c r="G118" s="20"/>
    </row>
    <row r="119" spans="1:8" ht="17.100000000000001" customHeight="1" x14ac:dyDescent="0.2">
      <c r="A119" s="18"/>
      <c r="B119" s="259" t="s">
        <v>154</v>
      </c>
      <c r="C119" s="260"/>
      <c r="D119" s="12" t="s">
        <v>123</v>
      </c>
      <c r="E119" s="21"/>
      <c r="F119" s="20"/>
      <c r="G119" s="20"/>
    </row>
    <row r="120" spans="1:8" ht="24" customHeight="1" x14ac:dyDescent="0.2">
      <c r="A120" s="22"/>
      <c r="B120" s="23" t="s">
        <v>123</v>
      </c>
      <c r="C120" s="23" t="s">
        <v>155</v>
      </c>
      <c r="D120" s="23" t="s">
        <v>156</v>
      </c>
      <c r="E120" s="22"/>
      <c r="F120" s="22"/>
      <c r="G120" s="22"/>
    </row>
    <row r="121" spans="1:8" ht="18" customHeight="1" x14ac:dyDescent="0.2">
      <c r="A121" s="22"/>
      <c r="B121" s="23" t="s">
        <v>157</v>
      </c>
      <c r="C121" s="23" t="s">
        <v>158</v>
      </c>
      <c r="D121" s="23" t="s">
        <v>159</v>
      </c>
      <c r="E121" s="22"/>
      <c r="F121" s="22"/>
      <c r="G121" s="22"/>
    </row>
    <row r="122" spans="1:8" ht="17.100000000000001" customHeight="1" x14ac:dyDescent="0.2">
      <c r="A122" s="22"/>
      <c r="B122" s="4" t="s">
        <v>160</v>
      </c>
      <c r="C122" s="24">
        <v>15.582700000000001</v>
      </c>
      <c r="D122" s="24">
        <v>15.158200000000001</v>
      </c>
      <c r="E122" s="22"/>
      <c r="F122" s="19"/>
      <c r="G122" s="25"/>
    </row>
    <row r="123" spans="1:8" ht="17.100000000000001" customHeight="1" x14ac:dyDescent="0.2">
      <c r="A123" s="22"/>
      <c r="B123" s="4" t="s">
        <v>1101</v>
      </c>
      <c r="C123" s="24">
        <v>15.582700000000001</v>
      </c>
      <c r="D123" s="24">
        <v>15.158200000000001</v>
      </c>
      <c r="E123" s="22"/>
      <c r="F123" s="19"/>
      <c r="G123" s="25"/>
    </row>
    <row r="124" spans="1:8" ht="17.100000000000001" customHeight="1" x14ac:dyDescent="0.2">
      <c r="A124" s="22"/>
      <c r="B124" s="4" t="s">
        <v>161</v>
      </c>
      <c r="C124" s="24">
        <v>15.1554</v>
      </c>
      <c r="D124" s="24">
        <v>14.7354</v>
      </c>
      <c r="E124" s="22"/>
      <c r="F124" s="19"/>
      <c r="G124" s="25"/>
    </row>
    <row r="125" spans="1:8" ht="17.100000000000001" customHeight="1" x14ac:dyDescent="0.2">
      <c r="A125" s="22"/>
      <c r="B125" s="4" t="s">
        <v>1102</v>
      </c>
      <c r="C125" s="24">
        <v>15.1554</v>
      </c>
      <c r="D125" s="24">
        <v>14.7354</v>
      </c>
      <c r="E125" s="22"/>
      <c r="F125" s="19"/>
      <c r="G125" s="25"/>
    </row>
    <row r="126" spans="1:8" ht="14.1" customHeight="1" x14ac:dyDescent="0.2">
      <c r="A126" s="22"/>
      <c r="B126" s="22"/>
      <c r="C126" s="22"/>
      <c r="D126" s="22"/>
      <c r="E126" s="22"/>
      <c r="F126" s="22"/>
      <c r="G126" s="22"/>
    </row>
    <row r="127" spans="1:8" ht="17.100000000000001" customHeight="1" x14ac:dyDescent="0.2">
      <c r="A127" s="22"/>
      <c r="B127" s="259" t="s">
        <v>1103</v>
      </c>
      <c r="C127" s="260"/>
      <c r="D127" s="2" t="s">
        <v>152</v>
      </c>
      <c r="E127" s="22"/>
      <c r="F127" s="22"/>
      <c r="G127" s="22"/>
    </row>
    <row r="128" spans="1:8" ht="18" customHeight="1" x14ac:dyDescent="0.2">
      <c r="A128" s="22"/>
      <c r="B128" s="26"/>
      <c r="C128" s="26"/>
      <c r="D128" s="27"/>
      <c r="E128" s="22"/>
      <c r="F128" s="22"/>
      <c r="G128" s="22"/>
    </row>
    <row r="129" spans="1:7" ht="29.1" customHeight="1" x14ac:dyDescent="0.2">
      <c r="A129" s="22"/>
      <c r="B129" s="259" t="s">
        <v>162</v>
      </c>
      <c r="C129" s="260"/>
      <c r="D129" s="2" t="s">
        <v>152</v>
      </c>
      <c r="E129" s="22"/>
      <c r="F129" s="22"/>
      <c r="G129" s="22"/>
    </row>
    <row r="130" spans="1:7" ht="29.1" customHeight="1" x14ac:dyDescent="0.2">
      <c r="A130" s="22"/>
      <c r="B130" s="259" t="s">
        <v>163</v>
      </c>
      <c r="C130" s="260"/>
      <c r="D130" s="2" t="s">
        <v>152</v>
      </c>
      <c r="E130" s="22"/>
      <c r="F130" s="22"/>
      <c r="G130" s="22"/>
    </row>
    <row r="131" spans="1:7" ht="17.100000000000001" customHeight="1" x14ac:dyDescent="0.2">
      <c r="A131" s="22"/>
      <c r="B131" s="259" t="s">
        <v>164</v>
      </c>
      <c r="C131" s="260"/>
      <c r="D131" s="28">
        <v>0.46052215668697838</v>
      </c>
      <c r="E131" s="22"/>
      <c r="F131" s="19"/>
      <c r="G131" s="25"/>
    </row>
    <row r="132" spans="1:7" ht="17.100000000000001" customHeight="1" x14ac:dyDescent="0.2">
      <c r="A132" s="22"/>
      <c r="B132" s="259" t="s">
        <v>165</v>
      </c>
      <c r="C132" s="260"/>
      <c r="D132" s="2" t="s">
        <v>152</v>
      </c>
      <c r="E132" s="22"/>
      <c r="F132" s="22"/>
      <c r="G132" s="22"/>
    </row>
    <row r="165" spans="10:15" x14ac:dyDescent="0.2">
      <c r="J165" s="148"/>
      <c r="K165" s="148"/>
      <c r="L165" s="148"/>
      <c r="M165" s="148"/>
      <c r="N165" s="148"/>
      <c r="O165" s="148"/>
    </row>
  </sheetData>
  <mergeCells count="13">
    <mergeCell ref="J2:N2"/>
    <mergeCell ref="A1:H1"/>
    <mergeCell ref="A2:H2"/>
    <mergeCell ref="A3:H3"/>
    <mergeCell ref="B116:C116"/>
    <mergeCell ref="B131:C131"/>
    <mergeCell ref="B132:C132"/>
    <mergeCell ref="B117:C117"/>
    <mergeCell ref="B118:C118"/>
    <mergeCell ref="B119:C119"/>
    <mergeCell ref="B127:C127"/>
    <mergeCell ref="B129:C129"/>
    <mergeCell ref="B130:C13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6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260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29.1" customHeight="1" x14ac:dyDescent="0.2">
      <c r="A7" s="3">
        <v>1</v>
      </c>
      <c r="B7" s="4" t="s">
        <v>167</v>
      </c>
      <c r="C7" s="4" t="s">
        <v>168</v>
      </c>
      <c r="D7" s="4" t="s">
        <v>25</v>
      </c>
      <c r="E7" s="5">
        <v>107705</v>
      </c>
      <c r="F7" s="6">
        <v>390.96915000000001</v>
      </c>
      <c r="G7" s="7">
        <v>3.5988995000000003E-2</v>
      </c>
      <c r="H7" s="47"/>
    </row>
    <row r="8" spans="1:14" ht="29.1" customHeight="1" x14ac:dyDescent="0.2">
      <c r="A8" s="3">
        <v>2</v>
      </c>
      <c r="B8" s="4" t="s">
        <v>199</v>
      </c>
      <c r="C8" s="4" t="s">
        <v>200</v>
      </c>
      <c r="D8" s="4" t="s">
        <v>201</v>
      </c>
      <c r="E8" s="5">
        <v>8708</v>
      </c>
      <c r="F8" s="6">
        <v>317.98132800000002</v>
      </c>
      <c r="G8" s="7">
        <v>2.9270412999999999E-2</v>
      </c>
      <c r="H8" s="47"/>
    </row>
    <row r="9" spans="1:14" ht="17.100000000000001" customHeight="1" x14ac:dyDescent="0.2">
      <c r="A9" s="3">
        <v>3</v>
      </c>
      <c r="B9" s="4" t="s">
        <v>86</v>
      </c>
      <c r="C9" s="4" t="s">
        <v>87</v>
      </c>
      <c r="D9" s="4" t="s">
        <v>88</v>
      </c>
      <c r="E9" s="5">
        <v>68471</v>
      </c>
      <c r="F9" s="6">
        <v>296.95872700000001</v>
      </c>
      <c r="G9" s="7">
        <v>2.7335267E-2</v>
      </c>
      <c r="H9" s="47"/>
    </row>
    <row r="10" spans="1:14" ht="17.100000000000001" customHeight="1" x14ac:dyDescent="0.2">
      <c r="A10" s="3">
        <v>4</v>
      </c>
      <c r="B10" s="4" t="s">
        <v>185</v>
      </c>
      <c r="C10" s="4" t="s">
        <v>186</v>
      </c>
      <c r="D10" s="4" t="s">
        <v>88</v>
      </c>
      <c r="E10" s="5">
        <v>49555</v>
      </c>
      <c r="F10" s="6">
        <v>260.51063499999998</v>
      </c>
      <c r="G10" s="7">
        <v>2.3980194E-2</v>
      </c>
      <c r="H10" s="47"/>
    </row>
    <row r="11" spans="1:14" ht="17.100000000000001" customHeight="1" x14ac:dyDescent="0.2">
      <c r="A11" s="3">
        <v>5</v>
      </c>
      <c r="B11" s="4" t="s">
        <v>26</v>
      </c>
      <c r="C11" s="4" t="s">
        <v>27</v>
      </c>
      <c r="D11" s="4" t="s">
        <v>28</v>
      </c>
      <c r="E11" s="5">
        <v>15418</v>
      </c>
      <c r="F11" s="6">
        <v>259.49264899999997</v>
      </c>
      <c r="G11" s="7">
        <v>2.3886487000000001E-2</v>
      </c>
      <c r="H11" s="47"/>
    </row>
    <row r="12" spans="1:14" ht="17.100000000000001" customHeight="1" x14ac:dyDescent="0.2">
      <c r="A12" s="3">
        <v>6</v>
      </c>
      <c r="B12" s="4" t="s">
        <v>241</v>
      </c>
      <c r="C12" s="4" t="s">
        <v>242</v>
      </c>
      <c r="D12" s="4" t="s">
        <v>243</v>
      </c>
      <c r="E12" s="5">
        <v>50676</v>
      </c>
      <c r="F12" s="6">
        <v>257.66212200000001</v>
      </c>
      <c r="G12" s="7">
        <v>2.3717986E-2</v>
      </c>
      <c r="H12" s="47"/>
      <c r="J12" s="147" t="s">
        <v>1114</v>
      </c>
    </row>
    <row r="13" spans="1:14" ht="17.100000000000001" customHeight="1" x14ac:dyDescent="0.2">
      <c r="A13" s="3">
        <v>7</v>
      </c>
      <c r="B13" s="4" t="s">
        <v>189</v>
      </c>
      <c r="C13" s="4" t="s">
        <v>190</v>
      </c>
      <c r="D13" s="4" t="s">
        <v>191</v>
      </c>
      <c r="E13" s="5">
        <v>49716</v>
      </c>
      <c r="F13" s="6">
        <v>257.354874</v>
      </c>
      <c r="G13" s="7">
        <v>2.3689703999999999E-2</v>
      </c>
      <c r="H13" s="47"/>
    </row>
    <row r="14" spans="1:14" ht="17.100000000000001" customHeight="1" x14ac:dyDescent="0.2">
      <c r="A14" s="3">
        <v>8</v>
      </c>
      <c r="B14" s="4" t="s">
        <v>261</v>
      </c>
      <c r="C14" s="4" t="s">
        <v>262</v>
      </c>
      <c r="D14" s="4" t="s">
        <v>80</v>
      </c>
      <c r="E14" s="5">
        <v>114312</v>
      </c>
      <c r="F14" s="6">
        <v>219.078948</v>
      </c>
      <c r="G14" s="7">
        <v>2.0166376999999999E-2</v>
      </c>
      <c r="H14" s="47"/>
    </row>
    <row r="15" spans="1:14" ht="17.100000000000001" customHeight="1" x14ac:dyDescent="0.2">
      <c r="A15" s="3">
        <v>9</v>
      </c>
      <c r="B15" s="4" t="s">
        <v>254</v>
      </c>
      <c r="C15" s="4" t="s">
        <v>255</v>
      </c>
      <c r="D15" s="4" t="s">
        <v>28</v>
      </c>
      <c r="E15" s="5">
        <v>18678</v>
      </c>
      <c r="F15" s="6">
        <v>215.27328900000001</v>
      </c>
      <c r="G15" s="7">
        <v>1.9816062999999998E-2</v>
      </c>
      <c r="H15" s="47"/>
    </row>
    <row r="16" spans="1:14" ht="17.100000000000001" customHeight="1" x14ac:dyDescent="0.2">
      <c r="A16" s="3">
        <v>10</v>
      </c>
      <c r="B16" s="4" t="s">
        <v>192</v>
      </c>
      <c r="C16" s="4" t="s">
        <v>193</v>
      </c>
      <c r="D16" s="4" t="s">
        <v>184</v>
      </c>
      <c r="E16" s="5">
        <v>17493</v>
      </c>
      <c r="F16" s="6">
        <v>211.00056599999999</v>
      </c>
      <c r="G16" s="7">
        <v>1.9422755999999999E-2</v>
      </c>
      <c r="H16" s="47"/>
    </row>
    <row r="17" spans="1:8" ht="17.100000000000001" customHeight="1" x14ac:dyDescent="0.2">
      <c r="A17" s="3">
        <v>11</v>
      </c>
      <c r="B17" s="4" t="s">
        <v>169</v>
      </c>
      <c r="C17" s="4" t="s">
        <v>170</v>
      </c>
      <c r="D17" s="4" t="s">
        <v>171</v>
      </c>
      <c r="E17" s="5">
        <v>19529</v>
      </c>
      <c r="F17" s="6">
        <v>207.06598700000001</v>
      </c>
      <c r="G17" s="7">
        <v>1.9060575E-2</v>
      </c>
      <c r="H17" s="47"/>
    </row>
    <row r="18" spans="1:8" ht="17.100000000000001" customHeight="1" x14ac:dyDescent="0.2">
      <c r="A18" s="3">
        <v>12</v>
      </c>
      <c r="B18" s="4" t="s">
        <v>207</v>
      </c>
      <c r="C18" s="4" t="s">
        <v>208</v>
      </c>
      <c r="D18" s="4" t="s">
        <v>209</v>
      </c>
      <c r="E18" s="5">
        <v>72801</v>
      </c>
      <c r="F18" s="6">
        <v>202.4231805</v>
      </c>
      <c r="G18" s="7">
        <v>1.8633200999999999E-2</v>
      </c>
      <c r="H18" s="47"/>
    </row>
    <row r="19" spans="1:8" ht="17.100000000000001" customHeight="1" x14ac:dyDescent="0.2">
      <c r="A19" s="3">
        <v>13</v>
      </c>
      <c r="B19" s="4" t="s">
        <v>228</v>
      </c>
      <c r="C19" s="4" t="s">
        <v>229</v>
      </c>
      <c r="D19" s="4" t="s">
        <v>191</v>
      </c>
      <c r="E19" s="5">
        <v>5738</v>
      </c>
      <c r="F19" s="6">
        <v>195.19528399999999</v>
      </c>
      <c r="G19" s="7">
        <v>1.7967868000000001E-2</v>
      </c>
      <c r="H19" s="47"/>
    </row>
    <row r="20" spans="1:8" ht="17.100000000000001" customHeight="1" x14ac:dyDescent="0.2">
      <c r="A20" s="3">
        <v>14</v>
      </c>
      <c r="B20" s="4" t="s">
        <v>172</v>
      </c>
      <c r="C20" s="4" t="s">
        <v>173</v>
      </c>
      <c r="D20" s="4" t="s">
        <v>174</v>
      </c>
      <c r="E20" s="5">
        <v>17819</v>
      </c>
      <c r="F20" s="6">
        <v>193.33615</v>
      </c>
      <c r="G20" s="7">
        <v>1.7796734000000002E-2</v>
      </c>
      <c r="H20" s="47"/>
    </row>
    <row r="21" spans="1:8" ht="17.100000000000001" customHeight="1" x14ac:dyDescent="0.2">
      <c r="A21" s="3">
        <v>15</v>
      </c>
      <c r="B21" s="4" t="s">
        <v>177</v>
      </c>
      <c r="C21" s="4" t="s">
        <v>178</v>
      </c>
      <c r="D21" s="4" t="s">
        <v>91</v>
      </c>
      <c r="E21" s="5">
        <v>230364</v>
      </c>
      <c r="F21" s="6">
        <v>188.89848000000001</v>
      </c>
      <c r="G21" s="7">
        <v>1.7388243000000001E-2</v>
      </c>
      <c r="H21" s="47"/>
    </row>
    <row r="22" spans="1:8" ht="29.1" customHeight="1" x14ac:dyDescent="0.2">
      <c r="A22" s="3">
        <v>16</v>
      </c>
      <c r="B22" s="4" t="s">
        <v>175</v>
      </c>
      <c r="C22" s="4" t="s">
        <v>176</v>
      </c>
      <c r="D22" s="4" t="s">
        <v>88</v>
      </c>
      <c r="E22" s="5">
        <v>52968</v>
      </c>
      <c r="F22" s="6">
        <v>180.17065199999999</v>
      </c>
      <c r="G22" s="7">
        <v>1.658484E-2</v>
      </c>
      <c r="H22" s="47"/>
    </row>
    <row r="23" spans="1:8" ht="17.100000000000001" customHeight="1" x14ac:dyDescent="0.2">
      <c r="A23" s="3">
        <v>17</v>
      </c>
      <c r="B23" s="4" t="s">
        <v>95</v>
      </c>
      <c r="C23" s="4" t="s">
        <v>96</v>
      </c>
      <c r="D23" s="4" t="s">
        <v>97</v>
      </c>
      <c r="E23" s="5">
        <v>39179</v>
      </c>
      <c r="F23" s="6">
        <v>174.11147600000001</v>
      </c>
      <c r="G23" s="7">
        <v>1.6027087999999998E-2</v>
      </c>
      <c r="H23" s="47"/>
    </row>
    <row r="24" spans="1:8" ht="17.100000000000001" customHeight="1" x14ac:dyDescent="0.2">
      <c r="A24" s="3">
        <v>18</v>
      </c>
      <c r="B24" s="4" t="s">
        <v>263</v>
      </c>
      <c r="C24" s="4" t="s">
        <v>264</v>
      </c>
      <c r="D24" s="4" t="s">
        <v>28</v>
      </c>
      <c r="E24" s="5">
        <v>20738</v>
      </c>
      <c r="F24" s="6">
        <v>173.742964</v>
      </c>
      <c r="G24" s="7">
        <v>1.5993166E-2</v>
      </c>
      <c r="H24" s="47"/>
    </row>
    <row r="25" spans="1:8" ht="29.1" customHeight="1" x14ac:dyDescent="0.2">
      <c r="A25" s="3">
        <v>19</v>
      </c>
      <c r="B25" s="4" t="s">
        <v>230</v>
      </c>
      <c r="C25" s="4" t="s">
        <v>231</v>
      </c>
      <c r="D25" s="4" t="s">
        <v>204</v>
      </c>
      <c r="E25" s="5">
        <v>47293</v>
      </c>
      <c r="F25" s="6">
        <v>173.58895649999999</v>
      </c>
      <c r="G25" s="7">
        <v>1.5978989999999998E-2</v>
      </c>
      <c r="H25" s="47"/>
    </row>
    <row r="26" spans="1:8" ht="17.100000000000001" customHeight="1" x14ac:dyDescent="0.2">
      <c r="A26" s="3">
        <v>20</v>
      </c>
      <c r="B26" s="4" t="s">
        <v>182</v>
      </c>
      <c r="C26" s="4" t="s">
        <v>183</v>
      </c>
      <c r="D26" s="4" t="s">
        <v>184</v>
      </c>
      <c r="E26" s="5">
        <v>13239</v>
      </c>
      <c r="F26" s="6">
        <v>173.15950050000001</v>
      </c>
      <c r="G26" s="7">
        <v>1.5939458E-2</v>
      </c>
      <c r="H26" s="47"/>
    </row>
    <row r="27" spans="1:8" ht="29.1" customHeight="1" x14ac:dyDescent="0.2">
      <c r="A27" s="3">
        <v>21</v>
      </c>
      <c r="B27" s="4" t="s">
        <v>179</v>
      </c>
      <c r="C27" s="4" t="s">
        <v>180</v>
      </c>
      <c r="D27" s="4" t="s">
        <v>181</v>
      </c>
      <c r="E27" s="5">
        <v>25510</v>
      </c>
      <c r="F27" s="6">
        <v>156.542115</v>
      </c>
      <c r="G27" s="7">
        <v>1.4409816000000001E-2</v>
      </c>
      <c r="H27" s="47"/>
    </row>
    <row r="28" spans="1:8" ht="17.100000000000001" customHeight="1" x14ac:dyDescent="0.2">
      <c r="A28" s="3">
        <v>22</v>
      </c>
      <c r="B28" s="4" t="s">
        <v>187</v>
      </c>
      <c r="C28" s="4" t="s">
        <v>188</v>
      </c>
      <c r="D28" s="4" t="s">
        <v>91</v>
      </c>
      <c r="E28" s="5">
        <v>34708</v>
      </c>
      <c r="F28" s="6">
        <v>147.97755799999999</v>
      </c>
      <c r="G28" s="7">
        <v>1.3621441999999999E-2</v>
      </c>
      <c r="H28" s="47"/>
    </row>
    <row r="29" spans="1:8" ht="17.100000000000001" customHeight="1" x14ac:dyDescent="0.2">
      <c r="A29" s="3">
        <v>23</v>
      </c>
      <c r="B29" s="4" t="s">
        <v>222</v>
      </c>
      <c r="C29" s="4" t="s">
        <v>223</v>
      </c>
      <c r="D29" s="4" t="s">
        <v>13</v>
      </c>
      <c r="E29" s="5">
        <v>40089</v>
      </c>
      <c r="F29" s="6">
        <v>142.99746300000001</v>
      </c>
      <c r="G29" s="7">
        <v>1.3163021E-2</v>
      </c>
      <c r="H29" s="47"/>
    </row>
    <row r="30" spans="1:8" ht="17.100000000000001" customHeight="1" x14ac:dyDescent="0.2">
      <c r="A30" s="3">
        <v>24</v>
      </c>
      <c r="B30" s="4" t="s">
        <v>265</v>
      </c>
      <c r="C30" s="4" t="s">
        <v>266</v>
      </c>
      <c r="D30" s="4" t="s">
        <v>97</v>
      </c>
      <c r="E30" s="5">
        <v>11751</v>
      </c>
      <c r="F30" s="6">
        <v>139.096587</v>
      </c>
      <c r="G30" s="7">
        <v>1.2803942E-2</v>
      </c>
      <c r="H30" s="47"/>
    </row>
    <row r="31" spans="1:8" ht="29.1" customHeight="1" x14ac:dyDescent="0.2">
      <c r="A31" s="3">
        <v>25</v>
      </c>
      <c r="B31" s="4" t="s">
        <v>224</v>
      </c>
      <c r="C31" s="4" t="s">
        <v>225</v>
      </c>
      <c r="D31" s="4" t="s">
        <v>181</v>
      </c>
      <c r="E31" s="5">
        <v>30419</v>
      </c>
      <c r="F31" s="6">
        <v>138.07184100000001</v>
      </c>
      <c r="G31" s="7">
        <v>1.2709613999999999E-2</v>
      </c>
      <c r="H31" s="47"/>
    </row>
    <row r="32" spans="1:8" ht="29.1" customHeight="1" x14ac:dyDescent="0.2">
      <c r="A32" s="3">
        <v>26</v>
      </c>
      <c r="B32" s="4" t="s">
        <v>52</v>
      </c>
      <c r="C32" s="4" t="s">
        <v>53</v>
      </c>
      <c r="D32" s="4" t="s">
        <v>25</v>
      </c>
      <c r="E32" s="5">
        <v>6481</v>
      </c>
      <c r="F32" s="6">
        <v>136.6810495</v>
      </c>
      <c r="G32" s="7">
        <v>1.258159E-2</v>
      </c>
      <c r="H32" s="47"/>
    </row>
    <row r="33" spans="1:8" ht="17.100000000000001" customHeight="1" x14ac:dyDescent="0.2">
      <c r="A33" s="3">
        <v>27</v>
      </c>
      <c r="B33" s="4" t="s">
        <v>267</v>
      </c>
      <c r="C33" s="4" t="s">
        <v>268</v>
      </c>
      <c r="D33" s="4" t="s">
        <v>171</v>
      </c>
      <c r="E33" s="5">
        <v>18035</v>
      </c>
      <c r="F33" s="6">
        <v>136.4618275</v>
      </c>
      <c r="G33" s="7">
        <v>1.2561411E-2</v>
      </c>
      <c r="H33" s="47"/>
    </row>
    <row r="34" spans="1:8" ht="17.100000000000001" customHeight="1" x14ac:dyDescent="0.2">
      <c r="A34" s="3">
        <v>28</v>
      </c>
      <c r="B34" s="4" t="s">
        <v>269</v>
      </c>
      <c r="C34" s="4" t="s">
        <v>270</v>
      </c>
      <c r="D34" s="4" t="s">
        <v>91</v>
      </c>
      <c r="E34" s="5">
        <v>264030</v>
      </c>
      <c r="F34" s="6">
        <v>129.77074500000001</v>
      </c>
      <c r="G34" s="7">
        <v>1.1945492E-2</v>
      </c>
      <c r="H34" s="47"/>
    </row>
    <row r="35" spans="1:8" ht="17.100000000000001" customHeight="1" x14ac:dyDescent="0.2">
      <c r="A35" s="3">
        <v>29</v>
      </c>
      <c r="B35" s="4" t="s">
        <v>194</v>
      </c>
      <c r="C35" s="4" t="s">
        <v>195</v>
      </c>
      <c r="D35" s="4" t="s">
        <v>174</v>
      </c>
      <c r="E35" s="5">
        <v>26053</v>
      </c>
      <c r="F35" s="6">
        <v>129.56156899999999</v>
      </c>
      <c r="G35" s="7">
        <v>1.1926236999999999E-2</v>
      </c>
      <c r="H35" s="47"/>
    </row>
    <row r="36" spans="1:8" ht="17.100000000000001" customHeight="1" x14ac:dyDescent="0.2">
      <c r="A36" s="3">
        <v>30</v>
      </c>
      <c r="B36" s="4" t="s">
        <v>220</v>
      </c>
      <c r="C36" s="4" t="s">
        <v>221</v>
      </c>
      <c r="D36" s="4" t="s">
        <v>91</v>
      </c>
      <c r="E36" s="5">
        <v>16012</v>
      </c>
      <c r="F36" s="6">
        <v>119.081244</v>
      </c>
      <c r="G36" s="7">
        <v>1.0961515E-2</v>
      </c>
      <c r="H36" s="47"/>
    </row>
    <row r="37" spans="1:8" ht="17.100000000000001" customHeight="1" x14ac:dyDescent="0.2">
      <c r="A37" s="3">
        <v>31</v>
      </c>
      <c r="B37" s="4" t="s">
        <v>210</v>
      </c>
      <c r="C37" s="4" t="s">
        <v>211</v>
      </c>
      <c r="D37" s="4" t="s">
        <v>16</v>
      </c>
      <c r="E37" s="5">
        <v>53872</v>
      </c>
      <c r="F37" s="6">
        <v>117.009984</v>
      </c>
      <c r="G37" s="7">
        <v>1.0770854E-2</v>
      </c>
      <c r="H37" s="47"/>
    </row>
    <row r="38" spans="1:8" ht="17.100000000000001" customHeight="1" x14ac:dyDescent="0.2">
      <c r="A38" s="3">
        <v>32</v>
      </c>
      <c r="B38" s="4" t="s">
        <v>226</v>
      </c>
      <c r="C38" s="4" t="s">
        <v>227</v>
      </c>
      <c r="D38" s="4" t="s">
        <v>13</v>
      </c>
      <c r="E38" s="5">
        <v>152329</v>
      </c>
      <c r="F38" s="6">
        <v>111.4286635</v>
      </c>
      <c r="G38" s="7">
        <v>1.025709E-2</v>
      </c>
      <c r="H38" s="47"/>
    </row>
    <row r="39" spans="1:8" ht="29.1" customHeight="1" x14ac:dyDescent="0.2">
      <c r="A39" s="3">
        <v>33</v>
      </c>
      <c r="B39" s="4" t="s">
        <v>218</v>
      </c>
      <c r="C39" s="4" t="s">
        <v>219</v>
      </c>
      <c r="D39" s="4" t="s">
        <v>201</v>
      </c>
      <c r="E39" s="5">
        <v>12112</v>
      </c>
      <c r="F39" s="6">
        <v>105.743816</v>
      </c>
      <c r="G39" s="7">
        <v>9.7337949999999999E-3</v>
      </c>
      <c r="H39" s="47"/>
    </row>
    <row r="40" spans="1:8" ht="29.1" customHeight="1" x14ac:dyDescent="0.2">
      <c r="A40" s="3">
        <v>34</v>
      </c>
      <c r="B40" s="4" t="s">
        <v>196</v>
      </c>
      <c r="C40" s="4" t="s">
        <v>197</v>
      </c>
      <c r="D40" s="4" t="s">
        <v>198</v>
      </c>
      <c r="E40" s="5">
        <v>8036</v>
      </c>
      <c r="F40" s="6">
        <v>102.15765</v>
      </c>
      <c r="G40" s="7">
        <v>9.4036859999999996E-3</v>
      </c>
      <c r="H40" s="47"/>
    </row>
    <row r="41" spans="1:8" ht="29.1" customHeight="1" x14ac:dyDescent="0.2">
      <c r="A41" s="3">
        <v>35</v>
      </c>
      <c r="B41" s="4" t="s">
        <v>236</v>
      </c>
      <c r="C41" s="4" t="s">
        <v>237</v>
      </c>
      <c r="D41" s="4" t="s">
        <v>238</v>
      </c>
      <c r="E41" s="5">
        <v>25988</v>
      </c>
      <c r="F41" s="6">
        <v>99.650986000000003</v>
      </c>
      <c r="G41" s="7">
        <v>9.1729459999999995E-3</v>
      </c>
      <c r="H41" s="47"/>
    </row>
    <row r="42" spans="1:8" ht="29.1" customHeight="1" x14ac:dyDescent="0.2">
      <c r="A42" s="3">
        <v>36</v>
      </c>
      <c r="B42" s="4" t="s">
        <v>202</v>
      </c>
      <c r="C42" s="4" t="s">
        <v>203</v>
      </c>
      <c r="D42" s="4" t="s">
        <v>204</v>
      </c>
      <c r="E42" s="5">
        <v>21308</v>
      </c>
      <c r="F42" s="6">
        <v>99.018276</v>
      </c>
      <c r="G42" s="7">
        <v>9.1147039999999995E-3</v>
      </c>
      <c r="H42" s="47"/>
    </row>
    <row r="43" spans="1:8" ht="29.1" customHeight="1" x14ac:dyDescent="0.2">
      <c r="A43" s="3">
        <v>37</v>
      </c>
      <c r="B43" s="4" t="s">
        <v>212</v>
      </c>
      <c r="C43" s="4" t="s">
        <v>213</v>
      </c>
      <c r="D43" s="4" t="s">
        <v>214</v>
      </c>
      <c r="E43" s="5">
        <v>100256</v>
      </c>
      <c r="F43" s="6">
        <v>94.240639999999999</v>
      </c>
      <c r="G43" s="7">
        <v>8.6749199999999992E-3</v>
      </c>
      <c r="H43" s="47"/>
    </row>
    <row r="44" spans="1:8" ht="29.1" customHeight="1" x14ac:dyDescent="0.2">
      <c r="A44" s="3">
        <v>38</v>
      </c>
      <c r="B44" s="4" t="s">
        <v>205</v>
      </c>
      <c r="C44" s="4" t="s">
        <v>206</v>
      </c>
      <c r="D44" s="4" t="s">
        <v>204</v>
      </c>
      <c r="E44" s="5">
        <v>5980</v>
      </c>
      <c r="F44" s="6">
        <v>94.044470000000004</v>
      </c>
      <c r="G44" s="7">
        <v>8.6568619999999995E-3</v>
      </c>
      <c r="H44" s="47"/>
    </row>
    <row r="45" spans="1:8" ht="17.100000000000001" customHeight="1" x14ac:dyDescent="0.2">
      <c r="A45" s="3">
        <v>39</v>
      </c>
      <c r="B45" s="4" t="s">
        <v>239</v>
      </c>
      <c r="C45" s="4" t="s">
        <v>240</v>
      </c>
      <c r="D45" s="4" t="s">
        <v>88</v>
      </c>
      <c r="E45" s="5">
        <v>16226</v>
      </c>
      <c r="F45" s="6">
        <v>92.999319</v>
      </c>
      <c r="G45" s="7">
        <v>8.5606550000000003E-3</v>
      </c>
      <c r="H45" s="47"/>
    </row>
    <row r="46" spans="1:8" ht="17.100000000000001" customHeight="1" x14ac:dyDescent="0.2">
      <c r="A46" s="3">
        <v>40</v>
      </c>
      <c r="B46" s="4" t="s">
        <v>271</v>
      </c>
      <c r="C46" s="4" t="s">
        <v>272</v>
      </c>
      <c r="D46" s="4" t="s">
        <v>94</v>
      </c>
      <c r="E46" s="5">
        <v>5000</v>
      </c>
      <c r="F46" s="6">
        <v>92.064999999999998</v>
      </c>
      <c r="G46" s="7">
        <v>8.4746500000000002E-3</v>
      </c>
      <c r="H46" s="47"/>
    </row>
    <row r="47" spans="1:8" ht="29.1" customHeight="1" x14ac:dyDescent="0.2">
      <c r="A47" s="3">
        <v>41</v>
      </c>
      <c r="B47" s="4" t="s">
        <v>232</v>
      </c>
      <c r="C47" s="4" t="s">
        <v>233</v>
      </c>
      <c r="D47" s="4" t="s">
        <v>198</v>
      </c>
      <c r="E47" s="5">
        <v>45236</v>
      </c>
      <c r="F47" s="6">
        <v>89.024448000000007</v>
      </c>
      <c r="G47" s="7">
        <v>8.1947649999999997E-3</v>
      </c>
      <c r="H47" s="47"/>
    </row>
    <row r="48" spans="1:8" ht="17.100000000000001" customHeight="1" x14ac:dyDescent="0.2">
      <c r="A48" s="3">
        <v>42</v>
      </c>
      <c r="B48" s="4" t="s">
        <v>215</v>
      </c>
      <c r="C48" s="4" t="s">
        <v>216</v>
      </c>
      <c r="D48" s="4" t="s">
        <v>217</v>
      </c>
      <c r="E48" s="5">
        <v>31242</v>
      </c>
      <c r="F48" s="6">
        <v>82.713194999999999</v>
      </c>
      <c r="G48" s="7">
        <v>7.6138100000000004E-3</v>
      </c>
      <c r="H48" s="47"/>
    </row>
    <row r="49" spans="1:8" ht="17.100000000000001" customHeight="1" x14ac:dyDescent="0.2">
      <c r="A49" s="3">
        <v>43</v>
      </c>
      <c r="B49" s="4" t="s">
        <v>273</v>
      </c>
      <c r="C49" s="4" t="s">
        <v>274</v>
      </c>
      <c r="D49" s="4" t="s">
        <v>114</v>
      </c>
      <c r="E49" s="5">
        <v>42614</v>
      </c>
      <c r="F49" s="6">
        <v>82.351555000000005</v>
      </c>
      <c r="G49" s="7">
        <v>7.5805209999999998E-3</v>
      </c>
      <c r="H49" s="47"/>
    </row>
    <row r="50" spans="1:8" ht="29.1" customHeight="1" x14ac:dyDescent="0.2">
      <c r="A50" s="3">
        <v>44</v>
      </c>
      <c r="B50" s="4" t="s">
        <v>275</v>
      </c>
      <c r="C50" s="4" t="s">
        <v>276</v>
      </c>
      <c r="D50" s="4" t="s">
        <v>238</v>
      </c>
      <c r="E50" s="5">
        <v>14638</v>
      </c>
      <c r="F50" s="6">
        <v>77.669228000000004</v>
      </c>
      <c r="G50" s="7">
        <v>7.1495090000000001E-3</v>
      </c>
      <c r="H50" s="47"/>
    </row>
    <row r="51" spans="1:8" ht="17.100000000000001" customHeight="1" x14ac:dyDescent="0.2">
      <c r="A51" s="3">
        <v>45</v>
      </c>
      <c r="B51" s="4" t="s">
        <v>244</v>
      </c>
      <c r="C51" s="4" t="s">
        <v>245</v>
      </c>
      <c r="D51" s="4" t="s">
        <v>88</v>
      </c>
      <c r="E51" s="5">
        <v>40563</v>
      </c>
      <c r="F51" s="6">
        <v>76.948010999999994</v>
      </c>
      <c r="G51" s="7">
        <v>7.08312E-3</v>
      </c>
      <c r="H51" s="47"/>
    </row>
    <row r="52" spans="1:8" ht="29.1" customHeight="1" x14ac:dyDescent="0.2">
      <c r="A52" s="3">
        <v>46</v>
      </c>
      <c r="B52" s="4" t="s">
        <v>256</v>
      </c>
      <c r="C52" s="4" t="s">
        <v>257</v>
      </c>
      <c r="D52" s="4" t="s">
        <v>88</v>
      </c>
      <c r="E52" s="5">
        <v>4600</v>
      </c>
      <c r="F52" s="6">
        <v>68.137500000000003</v>
      </c>
      <c r="G52" s="7">
        <v>6.2721069999999999E-3</v>
      </c>
      <c r="H52" s="47"/>
    </row>
    <row r="53" spans="1:8" ht="17.100000000000001" customHeight="1" x14ac:dyDescent="0.2">
      <c r="A53" s="3">
        <v>47</v>
      </c>
      <c r="B53" s="4" t="s">
        <v>106</v>
      </c>
      <c r="C53" s="4" t="s">
        <v>107</v>
      </c>
      <c r="D53" s="4" t="s">
        <v>88</v>
      </c>
      <c r="E53" s="5">
        <v>3000</v>
      </c>
      <c r="F53" s="6">
        <v>67.399500000000003</v>
      </c>
      <c r="G53" s="7">
        <v>6.2041730000000003E-3</v>
      </c>
      <c r="H53" s="47"/>
    </row>
    <row r="54" spans="1:8" ht="17.100000000000001" customHeight="1" x14ac:dyDescent="0.2">
      <c r="A54" s="3">
        <v>48</v>
      </c>
      <c r="B54" s="4" t="s">
        <v>246</v>
      </c>
      <c r="C54" s="4" t="s">
        <v>247</v>
      </c>
      <c r="D54" s="4" t="s">
        <v>94</v>
      </c>
      <c r="E54" s="5">
        <v>13025</v>
      </c>
      <c r="F54" s="6">
        <v>65.405037500000006</v>
      </c>
      <c r="G54" s="7">
        <v>6.0205809999999997E-3</v>
      </c>
      <c r="H54" s="47"/>
    </row>
    <row r="55" spans="1:8" ht="17.100000000000001" customHeight="1" x14ac:dyDescent="0.2">
      <c r="A55" s="3">
        <v>49</v>
      </c>
      <c r="B55" s="4" t="s">
        <v>234</v>
      </c>
      <c r="C55" s="4" t="s">
        <v>235</v>
      </c>
      <c r="D55" s="4" t="s">
        <v>114</v>
      </c>
      <c r="E55" s="5">
        <v>8427</v>
      </c>
      <c r="F55" s="6">
        <v>56.814833999999998</v>
      </c>
      <c r="G55" s="7">
        <v>5.2298470000000001E-3</v>
      </c>
      <c r="H55" s="47"/>
    </row>
    <row r="56" spans="1:8" ht="17.100000000000001" customHeight="1" x14ac:dyDescent="0.2">
      <c r="A56" s="3">
        <v>50</v>
      </c>
      <c r="B56" s="4" t="s">
        <v>248</v>
      </c>
      <c r="C56" s="4" t="s">
        <v>249</v>
      </c>
      <c r="D56" s="4" t="s">
        <v>174</v>
      </c>
      <c r="E56" s="5">
        <v>42305</v>
      </c>
      <c r="F56" s="6">
        <v>56.604089999999999</v>
      </c>
      <c r="G56" s="7">
        <v>5.2104480000000003E-3</v>
      </c>
      <c r="H56" s="47"/>
    </row>
    <row r="57" spans="1:8" ht="29.1" customHeight="1" x14ac:dyDescent="0.2">
      <c r="A57" s="3">
        <v>51</v>
      </c>
      <c r="B57" s="4" t="s">
        <v>250</v>
      </c>
      <c r="C57" s="4" t="s">
        <v>251</v>
      </c>
      <c r="D57" s="4" t="s">
        <v>204</v>
      </c>
      <c r="E57" s="5">
        <v>1256</v>
      </c>
      <c r="F57" s="6">
        <v>52.637076</v>
      </c>
      <c r="G57" s="7">
        <v>4.8452809999999999E-3</v>
      </c>
      <c r="H57" s="47"/>
    </row>
    <row r="58" spans="1:8" ht="29.1" customHeight="1" x14ac:dyDescent="0.2">
      <c r="A58" s="3">
        <v>52</v>
      </c>
      <c r="B58" s="4" t="s">
        <v>277</v>
      </c>
      <c r="C58" s="4" t="s">
        <v>278</v>
      </c>
      <c r="D58" s="4" t="s">
        <v>201</v>
      </c>
      <c r="E58" s="5">
        <v>9829</v>
      </c>
      <c r="F58" s="6">
        <v>46.211043500000002</v>
      </c>
      <c r="G58" s="7">
        <v>4.2537599999999997E-3</v>
      </c>
      <c r="H58" s="47"/>
    </row>
    <row r="59" spans="1:8" ht="17.100000000000001" customHeight="1" x14ac:dyDescent="0.2">
      <c r="A59" s="3">
        <v>53</v>
      </c>
      <c r="B59" s="4" t="s">
        <v>252</v>
      </c>
      <c r="C59" s="4" t="s">
        <v>253</v>
      </c>
      <c r="D59" s="4" t="s">
        <v>97</v>
      </c>
      <c r="E59" s="5">
        <v>67000</v>
      </c>
      <c r="F59" s="6">
        <v>43.717500000000001</v>
      </c>
      <c r="G59" s="7">
        <v>4.0242280000000004E-3</v>
      </c>
      <c r="H59" s="47"/>
    </row>
    <row r="60" spans="1:8" ht="17.100000000000001" customHeight="1" x14ac:dyDescent="0.2">
      <c r="A60" s="3">
        <v>54</v>
      </c>
      <c r="B60" s="4" t="s">
        <v>279</v>
      </c>
      <c r="C60" s="4" t="s">
        <v>280</v>
      </c>
      <c r="D60" s="4" t="s">
        <v>31</v>
      </c>
      <c r="E60" s="5">
        <v>57423</v>
      </c>
      <c r="F60" s="6">
        <v>43.670191500000001</v>
      </c>
      <c r="G60" s="7">
        <v>4.0198730000000002E-3</v>
      </c>
      <c r="H60" s="47"/>
    </row>
    <row r="61" spans="1:8" ht="17.100000000000001" customHeight="1" x14ac:dyDescent="0.2">
      <c r="A61" s="3">
        <v>55</v>
      </c>
      <c r="B61" s="4" t="s">
        <v>281</v>
      </c>
      <c r="C61" s="4" t="s">
        <v>282</v>
      </c>
      <c r="D61" s="4" t="s">
        <v>94</v>
      </c>
      <c r="E61" s="5">
        <v>6832</v>
      </c>
      <c r="F61" s="6">
        <v>42.846888</v>
      </c>
      <c r="G61" s="7">
        <v>3.9440869999999998E-3</v>
      </c>
      <c r="H61" s="47"/>
    </row>
    <row r="62" spans="1:8" ht="41.1" customHeight="1" x14ac:dyDescent="0.2">
      <c r="A62" s="3">
        <v>56</v>
      </c>
      <c r="B62" s="4" t="s">
        <v>283</v>
      </c>
      <c r="C62" s="4" t="s">
        <v>284</v>
      </c>
      <c r="D62" s="4" t="s">
        <v>285</v>
      </c>
      <c r="E62" s="5">
        <v>5980</v>
      </c>
      <c r="F62" s="6">
        <v>42.76896</v>
      </c>
      <c r="G62" s="7">
        <v>3.9369139999999997E-3</v>
      </c>
      <c r="H62" s="47"/>
    </row>
    <row r="63" spans="1:8" ht="29.1" customHeight="1" x14ac:dyDescent="0.2">
      <c r="A63" s="3">
        <v>57</v>
      </c>
      <c r="B63" s="4" t="s">
        <v>286</v>
      </c>
      <c r="C63" s="4" t="s">
        <v>287</v>
      </c>
      <c r="D63" s="4" t="s">
        <v>204</v>
      </c>
      <c r="E63" s="5">
        <v>14986</v>
      </c>
      <c r="F63" s="6">
        <v>32.759396000000002</v>
      </c>
      <c r="G63" s="7">
        <v>3.0155260000000001E-3</v>
      </c>
      <c r="H63" s="47"/>
    </row>
    <row r="64" spans="1:8" ht="17.100000000000001" customHeight="1" x14ac:dyDescent="0.2">
      <c r="A64" s="3">
        <v>58</v>
      </c>
      <c r="B64" s="4" t="s">
        <v>288</v>
      </c>
      <c r="C64" s="4" t="s">
        <v>289</v>
      </c>
      <c r="D64" s="4" t="s">
        <v>19</v>
      </c>
      <c r="E64" s="5">
        <v>15176</v>
      </c>
      <c r="F64" s="6">
        <v>29.304856000000001</v>
      </c>
      <c r="G64" s="7">
        <v>2.6975329999999998E-3</v>
      </c>
      <c r="H64" s="47"/>
    </row>
    <row r="65" spans="1:8" ht="29.1" customHeight="1" x14ac:dyDescent="0.2">
      <c r="A65" s="3">
        <v>59</v>
      </c>
      <c r="B65" s="4" t="s">
        <v>290</v>
      </c>
      <c r="C65" s="4" t="s">
        <v>291</v>
      </c>
      <c r="D65" s="4" t="s">
        <v>292</v>
      </c>
      <c r="E65" s="5">
        <v>9145</v>
      </c>
      <c r="F65" s="6">
        <v>28.102585000000001</v>
      </c>
      <c r="G65" s="7">
        <v>2.586863E-3</v>
      </c>
      <c r="H65" s="47"/>
    </row>
    <row r="66" spans="1:8" ht="17.100000000000001" customHeight="1" x14ac:dyDescent="0.2">
      <c r="A66" s="3">
        <v>60</v>
      </c>
      <c r="B66" s="4" t="s">
        <v>110</v>
      </c>
      <c r="C66" s="4" t="s">
        <v>111</v>
      </c>
      <c r="D66" s="4" t="s">
        <v>13</v>
      </c>
      <c r="E66" s="5">
        <v>24117</v>
      </c>
      <c r="F66" s="6">
        <v>27.710432999999998</v>
      </c>
      <c r="G66" s="7">
        <v>2.5507659999999999E-3</v>
      </c>
      <c r="H66" s="47"/>
    </row>
    <row r="67" spans="1:8" ht="29.1" customHeight="1" x14ac:dyDescent="0.2">
      <c r="A67" s="3">
        <v>61</v>
      </c>
      <c r="B67" s="4" t="s">
        <v>258</v>
      </c>
      <c r="C67" s="4" t="s">
        <v>259</v>
      </c>
      <c r="D67" s="4" t="s">
        <v>201</v>
      </c>
      <c r="E67" s="5">
        <v>3329</v>
      </c>
      <c r="F67" s="6">
        <v>17.741905500000001</v>
      </c>
      <c r="G67" s="7">
        <v>1.6331550000000001E-3</v>
      </c>
      <c r="H67" s="47"/>
    </row>
    <row r="68" spans="1:8" ht="14.1" customHeight="1" x14ac:dyDescent="0.2">
      <c r="A68" s="1"/>
      <c r="B68" s="1"/>
      <c r="C68" s="2" t="s">
        <v>122</v>
      </c>
      <c r="D68" s="1"/>
      <c r="E68" s="1" t="s">
        <v>123</v>
      </c>
      <c r="F68" s="9">
        <v>8063.1139549999998</v>
      </c>
      <c r="G68" s="10">
        <v>0.74221551399999997</v>
      </c>
      <c r="H68" s="47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47"/>
    </row>
    <row r="70" spans="1:8" ht="14.1" customHeight="1" x14ac:dyDescent="0.2">
      <c r="A70" s="1"/>
      <c r="B70" s="1"/>
      <c r="C70" s="2" t="s">
        <v>124</v>
      </c>
      <c r="D70" s="1"/>
      <c r="E70" s="1"/>
      <c r="F70" s="1"/>
      <c r="G70" s="1"/>
      <c r="H70" s="47"/>
    </row>
    <row r="71" spans="1:8" ht="14.1" customHeight="1" x14ac:dyDescent="0.2">
      <c r="A71" s="1"/>
      <c r="B71" s="1"/>
      <c r="C71" s="2" t="s">
        <v>122</v>
      </c>
      <c r="D71" s="1"/>
      <c r="E71" s="1" t="s">
        <v>123</v>
      </c>
      <c r="F71" s="13">
        <v>0</v>
      </c>
      <c r="G71" s="14">
        <v>0</v>
      </c>
      <c r="H71" s="47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47"/>
    </row>
    <row r="73" spans="1:8" ht="14.1" customHeight="1" x14ac:dyDescent="0.2">
      <c r="A73" s="1"/>
      <c r="B73" s="1"/>
      <c r="C73" s="2" t="s">
        <v>125</v>
      </c>
      <c r="D73" s="1"/>
      <c r="E73" s="1"/>
      <c r="F73" s="1"/>
      <c r="G73" s="1"/>
      <c r="H73" s="47"/>
    </row>
    <row r="74" spans="1:8" ht="14.1" customHeight="1" x14ac:dyDescent="0.2">
      <c r="A74" s="1"/>
      <c r="B74" s="1"/>
      <c r="C74" s="2" t="s">
        <v>122</v>
      </c>
      <c r="D74" s="1"/>
      <c r="E74" s="1" t="s">
        <v>123</v>
      </c>
      <c r="F74" s="13">
        <v>0</v>
      </c>
      <c r="G74" s="14">
        <v>0</v>
      </c>
      <c r="H74" s="47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47"/>
    </row>
    <row r="76" spans="1:8" ht="14.1" customHeight="1" x14ac:dyDescent="0.2">
      <c r="A76" s="1"/>
      <c r="B76" s="1"/>
      <c r="C76" s="2" t="s">
        <v>126</v>
      </c>
      <c r="D76" s="1"/>
      <c r="E76" s="1"/>
      <c r="F76" s="1"/>
      <c r="G76" s="1"/>
      <c r="H76" s="47"/>
    </row>
    <row r="77" spans="1:8" ht="14.1" customHeight="1" x14ac:dyDescent="0.2">
      <c r="A77" s="1"/>
      <c r="B77" s="1"/>
      <c r="C77" s="2" t="s">
        <v>122</v>
      </c>
      <c r="D77" s="1"/>
      <c r="E77" s="1" t="s">
        <v>123</v>
      </c>
      <c r="F77" s="13">
        <v>0</v>
      </c>
      <c r="G77" s="14">
        <v>0</v>
      </c>
      <c r="H77" s="47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47"/>
    </row>
    <row r="79" spans="1:8" ht="14.1" customHeight="1" x14ac:dyDescent="0.2">
      <c r="A79" s="1"/>
      <c r="B79" s="1"/>
      <c r="C79" s="2" t="s">
        <v>127</v>
      </c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122</v>
      </c>
      <c r="D80" s="1"/>
      <c r="E80" s="1" t="s">
        <v>123</v>
      </c>
      <c r="F80" s="13">
        <v>0</v>
      </c>
      <c r="G80" s="14">
        <v>0</v>
      </c>
      <c r="H80" s="47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47"/>
    </row>
    <row r="82" spans="1:8" ht="14.1" customHeight="1" x14ac:dyDescent="0.2">
      <c r="A82" s="1"/>
      <c r="B82" s="1"/>
      <c r="C82" s="2" t="s">
        <v>128</v>
      </c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122</v>
      </c>
      <c r="D83" s="1"/>
      <c r="E83" s="1" t="s">
        <v>123</v>
      </c>
      <c r="F83" s="13">
        <v>0</v>
      </c>
      <c r="G83" s="14">
        <v>0</v>
      </c>
      <c r="H83" s="47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47"/>
    </row>
    <row r="85" spans="1:8" ht="18" customHeight="1" x14ac:dyDescent="0.2">
      <c r="A85" s="1"/>
      <c r="B85" s="1"/>
      <c r="C85" s="2" t="s">
        <v>129</v>
      </c>
      <c r="D85" s="1"/>
      <c r="E85" s="1"/>
      <c r="F85" s="9">
        <v>8063.1139549999998</v>
      </c>
      <c r="G85" s="10">
        <v>0.74221551399999997</v>
      </c>
      <c r="H85" s="47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47"/>
    </row>
    <row r="87" spans="1:8" ht="14.1" customHeight="1" x14ac:dyDescent="0.2">
      <c r="A87" s="1"/>
      <c r="B87" s="1"/>
      <c r="C87" s="2" t="s">
        <v>130</v>
      </c>
      <c r="D87" s="1"/>
      <c r="E87" s="1"/>
      <c r="F87" s="12"/>
      <c r="G87" s="12"/>
      <c r="H87" s="47"/>
    </row>
    <row r="88" spans="1:8" ht="24" customHeight="1" x14ac:dyDescent="0.2">
      <c r="A88" s="1"/>
      <c r="B88" s="1"/>
      <c r="C88" s="2" t="s">
        <v>10</v>
      </c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122</v>
      </c>
      <c r="D89" s="1"/>
      <c r="E89" s="1" t="s">
        <v>123</v>
      </c>
      <c r="F89" s="13">
        <v>0</v>
      </c>
      <c r="G89" s="14">
        <v>0</v>
      </c>
      <c r="H89" s="47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47"/>
    </row>
    <row r="91" spans="1:8" ht="14.1" customHeight="1" x14ac:dyDescent="0.2">
      <c r="A91" s="1"/>
      <c r="B91" s="1"/>
      <c r="C91" s="2" t="s">
        <v>131</v>
      </c>
      <c r="D91" s="1"/>
      <c r="E91" s="1"/>
      <c r="F91" s="1"/>
      <c r="G91" s="1"/>
      <c r="H91" s="47"/>
    </row>
    <row r="92" spans="1:8" ht="14.1" customHeight="1" x14ac:dyDescent="0.2">
      <c r="A92" s="1"/>
      <c r="B92" s="1"/>
      <c r="C92" s="2" t="s">
        <v>122</v>
      </c>
      <c r="D92" s="1"/>
      <c r="E92" s="1" t="s">
        <v>123</v>
      </c>
      <c r="F92" s="13">
        <v>0</v>
      </c>
      <c r="G92" s="14">
        <v>0</v>
      </c>
      <c r="H92" s="47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47"/>
    </row>
    <row r="94" spans="1:8" ht="14.1" customHeight="1" x14ac:dyDescent="0.2">
      <c r="A94" s="1"/>
      <c r="B94" s="1"/>
      <c r="C94" s="2" t="s">
        <v>132</v>
      </c>
      <c r="D94" s="1"/>
      <c r="E94" s="1"/>
      <c r="F94" s="1"/>
      <c r="G94" s="1"/>
      <c r="H94" s="47"/>
    </row>
    <row r="95" spans="1:8" ht="14.1" customHeight="1" x14ac:dyDescent="0.2">
      <c r="A95" s="1"/>
      <c r="B95" s="1"/>
      <c r="C95" s="2" t="s">
        <v>122</v>
      </c>
      <c r="D95" s="1"/>
      <c r="E95" s="1" t="s">
        <v>123</v>
      </c>
      <c r="F95" s="13">
        <v>0</v>
      </c>
      <c r="G95" s="14">
        <v>0</v>
      </c>
      <c r="H95" s="47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47"/>
    </row>
    <row r="97" spans="1:8" ht="14.1" customHeight="1" x14ac:dyDescent="0.2">
      <c r="A97" s="1"/>
      <c r="B97" s="1"/>
      <c r="C97" s="2" t="s">
        <v>133</v>
      </c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122</v>
      </c>
      <c r="D98" s="1"/>
      <c r="E98" s="1" t="s">
        <v>123</v>
      </c>
      <c r="F98" s="13">
        <v>0</v>
      </c>
      <c r="G98" s="14">
        <v>0</v>
      </c>
      <c r="H98" s="47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47"/>
    </row>
    <row r="100" spans="1:8" ht="14.1" customHeight="1" x14ac:dyDescent="0.2">
      <c r="A100" s="1"/>
      <c r="B100" s="1"/>
      <c r="C100" s="2" t="s">
        <v>134</v>
      </c>
      <c r="D100" s="1"/>
      <c r="E100" s="1"/>
      <c r="F100" s="9">
        <v>0</v>
      </c>
      <c r="G100" s="10">
        <v>0</v>
      </c>
      <c r="H100" s="47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47"/>
    </row>
    <row r="102" spans="1:8" ht="14.1" customHeight="1" x14ac:dyDescent="0.2">
      <c r="A102" s="1"/>
      <c r="B102" s="1"/>
      <c r="C102" s="2" t="s">
        <v>135</v>
      </c>
      <c r="D102" s="1"/>
      <c r="E102" s="1"/>
      <c r="F102" s="12"/>
      <c r="G102" s="12"/>
      <c r="H102" s="47"/>
    </row>
    <row r="103" spans="1:8" ht="14.1" customHeight="1" x14ac:dyDescent="0.2">
      <c r="A103" s="1"/>
      <c r="B103" s="1"/>
      <c r="C103" s="2" t="s">
        <v>136</v>
      </c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2" t="s">
        <v>122</v>
      </c>
      <c r="D104" s="1"/>
      <c r="E104" s="1" t="s">
        <v>123</v>
      </c>
      <c r="F104" s="13">
        <v>0</v>
      </c>
      <c r="G104" s="14">
        <v>0</v>
      </c>
      <c r="H104" s="47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47"/>
    </row>
    <row r="106" spans="1:8" ht="14.1" customHeight="1" x14ac:dyDescent="0.2">
      <c r="A106" s="1"/>
      <c r="B106" s="1"/>
      <c r="C106" s="2" t="s">
        <v>137</v>
      </c>
      <c r="D106" s="1"/>
      <c r="E106" s="1"/>
      <c r="F106" s="12"/>
      <c r="G106" s="12"/>
      <c r="H106" s="47"/>
    </row>
    <row r="107" spans="1:8" ht="14.1" customHeight="1" x14ac:dyDescent="0.2">
      <c r="A107" s="1"/>
      <c r="B107" s="1"/>
      <c r="C107" s="2" t="s">
        <v>122</v>
      </c>
      <c r="D107" s="1"/>
      <c r="E107" s="1" t="s">
        <v>123</v>
      </c>
      <c r="F107" s="13">
        <v>0</v>
      </c>
      <c r="G107" s="14">
        <v>0</v>
      </c>
      <c r="H107" s="47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47"/>
    </row>
    <row r="109" spans="1:8" ht="14.1" customHeight="1" x14ac:dyDescent="0.2">
      <c r="A109" s="1"/>
      <c r="B109" s="1"/>
      <c r="C109" s="2" t="s">
        <v>138</v>
      </c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2" t="s">
        <v>122</v>
      </c>
      <c r="D110" s="1"/>
      <c r="E110" s="1" t="s">
        <v>123</v>
      </c>
      <c r="F110" s="13">
        <v>0</v>
      </c>
      <c r="G110" s="14">
        <v>0</v>
      </c>
      <c r="H110" s="47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47"/>
    </row>
    <row r="112" spans="1:8" ht="14.1" customHeight="1" x14ac:dyDescent="0.2">
      <c r="A112" s="1"/>
      <c r="B112" s="1"/>
      <c r="C112" s="2" t="s">
        <v>139</v>
      </c>
      <c r="D112" s="1"/>
      <c r="E112" s="1"/>
      <c r="F112" s="12"/>
      <c r="G112" s="12"/>
      <c r="H112" s="47"/>
    </row>
    <row r="113" spans="1:8" ht="17.100000000000001" customHeight="1" x14ac:dyDescent="0.2">
      <c r="A113" s="3">
        <v>1</v>
      </c>
      <c r="B113" s="4"/>
      <c r="C113" s="4" t="s">
        <v>140</v>
      </c>
      <c r="D113" s="4"/>
      <c r="E113" s="8"/>
      <c r="F113" s="6">
        <v>2199.5979862999998</v>
      </c>
      <c r="G113" s="7">
        <v>0.20247459800000001</v>
      </c>
      <c r="H113" s="47">
        <v>4.6730752161314033</v>
      </c>
    </row>
    <row r="114" spans="1:8" ht="14.1" customHeight="1" x14ac:dyDescent="0.2">
      <c r="A114" s="1"/>
      <c r="B114" s="1"/>
      <c r="C114" s="2" t="s">
        <v>122</v>
      </c>
      <c r="D114" s="1"/>
      <c r="E114" s="1" t="s">
        <v>123</v>
      </c>
      <c r="F114" s="9">
        <v>2199.5979862999998</v>
      </c>
      <c r="G114" s="10">
        <v>0.20247459800000001</v>
      </c>
      <c r="H114" s="47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47"/>
    </row>
    <row r="116" spans="1:8" ht="14.1" customHeight="1" x14ac:dyDescent="0.2">
      <c r="A116" s="1"/>
      <c r="B116" s="1"/>
      <c r="C116" s="2" t="s">
        <v>141</v>
      </c>
      <c r="D116" s="1"/>
      <c r="E116" s="1"/>
      <c r="F116" s="9">
        <v>2199.5979862999998</v>
      </c>
      <c r="G116" s="10">
        <v>0.20247459800000001</v>
      </c>
      <c r="H116" s="47"/>
    </row>
    <row r="117" spans="1:8" ht="14.1" customHeight="1" x14ac:dyDescent="0.2">
      <c r="A117" s="1"/>
      <c r="B117" s="1"/>
      <c r="C117" s="12"/>
      <c r="D117" s="1"/>
      <c r="E117" s="1"/>
      <c r="F117" s="1"/>
      <c r="G117" s="1"/>
      <c r="H117" s="47"/>
    </row>
    <row r="118" spans="1:8" ht="14.1" customHeight="1" x14ac:dyDescent="0.2">
      <c r="A118" s="1"/>
      <c r="B118" s="1"/>
      <c r="C118" s="2" t="s">
        <v>142</v>
      </c>
      <c r="D118" s="1"/>
      <c r="E118" s="1"/>
      <c r="F118" s="1"/>
      <c r="G118" s="1"/>
      <c r="H118" s="47"/>
    </row>
    <row r="119" spans="1:8" ht="14.1" customHeight="1" x14ac:dyDescent="0.2">
      <c r="A119" s="1"/>
      <c r="B119" s="1"/>
      <c r="C119" s="2" t="s">
        <v>143</v>
      </c>
      <c r="D119" s="1"/>
      <c r="E119" s="1"/>
      <c r="F119" s="1"/>
      <c r="G119" s="1"/>
      <c r="H119" s="47"/>
    </row>
    <row r="120" spans="1:8" ht="14.1" customHeight="1" x14ac:dyDescent="0.2">
      <c r="A120" s="1"/>
      <c r="B120" s="1"/>
      <c r="C120" s="2" t="s">
        <v>122</v>
      </c>
      <c r="D120" s="1"/>
      <c r="E120" s="1" t="s">
        <v>123</v>
      </c>
      <c r="F120" s="13">
        <v>0</v>
      </c>
      <c r="G120" s="14">
        <v>0</v>
      </c>
      <c r="H120" s="47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47"/>
    </row>
    <row r="122" spans="1:8" ht="14.1" customHeight="1" x14ac:dyDescent="0.2">
      <c r="A122" s="1"/>
      <c r="B122" s="1"/>
      <c r="C122" s="2" t="s">
        <v>144</v>
      </c>
      <c r="D122" s="1"/>
      <c r="E122" s="1"/>
      <c r="F122" s="1"/>
      <c r="G122" s="1"/>
      <c r="H122" s="47"/>
    </row>
    <row r="123" spans="1:8" ht="14.1" customHeight="1" x14ac:dyDescent="0.2">
      <c r="A123" s="1"/>
      <c r="B123" s="1"/>
      <c r="C123" s="2" t="s">
        <v>145</v>
      </c>
      <c r="D123" s="1"/>
      <c r="E123" s="1"/>
      <c r="F123" s="1"/>
      <c r="G123" s="1"/>
      <c r="H123" s="47"/>
    </row>
    <row r="124" spans="1:8" ht="14.1" customHeight="1" x14ac:dyDescent="0.2">
      <c r="A124" s="1"/>
      <c r="B124" s="1"/>
      <c r="C124" s="2" t="s">
        <v>122</v>
      </c>
      <c r="D124" s="1"/>
      <c r="E124" s="1" t="s">
        <v>123</v>
      </c>
      <c r="F124" s="13">
        <v>0</v>
      </c>
      <c r="G124" s="14">
        <v>0</v>
      </c>
      <c r="H124" s="47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47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47"/>
    </row>
    <row r="127" spans="1:8" ht="24" customHeight="1" x14ac:dyDescent="0.2">
      <c r="A127" s="1"/>
      <c r="B127" s="1"/>
      <c r="C127" s="2" t="s">
        <v>146</v>
      </c>
      <c r="D127" s="1"/>
      <c r="E127" s="1"/>
      <c r="F127" s="12"/>
      <c r="G127" s="12"/>
      <c r="H127" s="47"/>
    </row>
    <row r="128" spans="1:8" ht="14.1" customHeight="1" x14ac:dyDescent="0.2">
      <c r="A128" s="1"/>
      <c r="B128" s="1"/>
      <c r="C128" s="2" t="s">
        <v>122</v>
      </c>
      <c r="D128" s="1"/>
      <c r="E128" s="1" t="s">
        <v>123</v>
      </c>
      <c r="F128" s="13">
        <v>0</v>
      </c>
      <c r="G128" s="14">
        <v>0</v>
      </c>
      <c r="H128" s="47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47"/>
    </row>
    <row r="130" spans="1:8" ht="14.1" customHeight="1" x14ac:dyDescent="0.2">
      <c r="A130" s="1"/>
      <c r="B130" s="4"/>
      <c r="C130" s="4"/>
      <c r="D130" s="2"/>
      <c r="E130" s="1"/>
      <c r="F130" s="4"/>
      <c r="G130" s="8"/>
      <c r="H130" s="47"/>
    </row>
    <row r="131" spans="1:8" ht="18" customHeight="1" x14ac:dyDescent="0.2">
      <c r="A131" s="8"/>
      <c r="B131" s="4"/>
      <c r="C131" s="4" t="s">
        <v>147</v>
      </c>
      <c r="D131" s="4"/>
      <c r="E131" s="8"/>
      <c r="F131" s="6">
        <v>600.86310048999997</v>
      </c>
      <c r="G131" s="7">
        <v>5.5309886000000003E-2</v>
      </c>
      <c r="H131" s="47"/>
    </row>
    <row r="132" spans="1:8" ht="14.1" customHeight="1" x14ac:dyDescent="0.2">
      <c r="A132" s="11"/>
      <c r="B132" s="11"/>
      <c r="C132" s="2" t="s">
        <v>148</v>
      </c>
      <c r="D132" s="15"/>
      <c r="E132" s="15"/>
      <c r="F132" s="9">
        <v>10863.57504179</v>
      </c>
      <c r="G132" s="10">
        <v>0.99999999799999995</v>
      </c>
      <c r="H132" s="47"/>
    </row>
    <row r="133" spans="1:8" ht="14.1" customHeight="1" x14ac:dyDescent="0.2">
      <c r="A133" s="18"/>
      <c r="B133" s="18"/>
      <c r="C133" s="18"/>
      <c r="D133" s="20"/>
      <c r="E133" s="20"/>
      <c r="F133" s="20"/>
      <c r="G133" s="20"/>
    </row>
    <row r="134" spans="1:8" ht="14.1" customHeight="1" x14ac:dyDescent="0.2">
      <c r="A134" s="18"/>
      <c r="B134" s="257" t="s">
        <v>150</v>
      </c>
      <c r="C134" s="258"/>
      <c r="D134" s="12" t="s">
        <v>123</v>
      </c>
      <c r="E134" s="21"/>
      <c r="F134" s="20"/>
      <c r="G134" s="20"/>
    </row>
    <row r="135" spans="1:8" ht="29.1" customHeight="1" x14ac:dyDescent="0.2">
      <c r="A135" s="18"/>
      <c r="B135" s="259" t="s">
        <v>151</v>
      </c>
      <c r="C135" s="260"/>
      <c r="D135" s="2" t="s">
        <v>152</v>
      </c>
      <c r="E135" s="21"/>
      <c r="F135" s="20"/>
      <c r="G135" s="20"/>
    </row>
    <row r="136" spans="1:8" ht="17.100000000000001" customHeight="1" x14ac:dyDescent="0.2">
      <c r="A136" s="18"/>
      <c r="B136" s="259" t="s">
        <v>153</v>
      </c>
      <c r="C136" s="260"/>
      <c r="D136" s="2" t="s">
        <v>152</v>
      </c>
      <c r="E136" s="21"/>
      <c r="F136" s="20"/>
      <c r="G136" s="20"/>
    </row>
    <row r="137" spans="1:8" ht="17.100000000000001" customHeight="1" x14ac:dyDescent="0.2">
      <c r="A137" s="18"/>
      <c r="B137" s="259" t="s">
        <v>154</v>
      </c>
      <c r="C137" s="260"/>
      <c r="D137" s="12" t="s">
        <v>123</v>
      </c>
      <c r="E137" s="21"/>
      <c r="F137" s="20"/>
      <c r="G137" s="20"/>
    </row>
    <row r="138" spans="1:8" ht="24" customHeight="1" x14ac:dyDescent="0.2">
      <c r="A138" s="22"/>
      <c r="B138" s="23" t="s">
        <v>123</v>
      </c>
      <c r="C138" s="23" t="s">
        <v>155</v>
      </c>
      <c r="D138" s="23" t="s">
        <v>156</v>
      </c>
      <c r="E138" s="22"/>
      <c r="F138" s="22"/>
      <c r="G138" s="22"/>
    </row>
    <row r="139" spans="1:8" ht="18" customHeight="1" x14ac:dyDescent="0.2">
      <c r="A139" s="22"/>
      <c r="B139" s="23" t="s">
        <v>157</v>
      </c>
      <c r="C139" s="23" t="s">
        <v>158</v>
      </c>
      <c r="D139" s="23" t="s">
        <v>159</v>
      </c>
      <c r="E139" s="22"/>
      <c r="F139" s="22"/>
      <c r="G139" s="22"/>
    </row>
    <row r="140" spans="1:8" ht="17.100000000000001" customHeight="1" x14ac:dyDescent="0.2">
      <c r="A140" s="22"/>
      <c r="B140" s="4" t="s">
        <v>160</v>
      </c>
      <c r="C140" s="24">
        <v>14.489699999999999</v>
      </c>
      <c r="D140" s="24">
        <v>13.9892</v>
      </c>
      <c r="E140" s="22"/>
      <c r="F140" s="19"/>
      <c r="G140" s="25"/>
    </row>
    <row r="141" spans="1:8" ht="17.100000000000001" customHeight="1" x14ac:dyDescent="0.2">
      <c r="A141" s="22"/>
      <c r="B141" s="4" t="s">
        <v>1101</v>
      </c>
      <c r="C141" s="24">
        <v>14.489699999999999</v>
      </c>
      <c r="D141" s="24">
        <v>13.9892</v>
      </c>
      <c r="E141" s="22"/>
      <c r="F141" s="19"/>
      <c r="G141" s="25"/>
    </row>
    <row r="142" spans="1:8" ht="17.100000000000001" customHeight="1" x14ac:dyDescent="0.2">
      <c r="A142" s="22"/>
      <c r="B142" s="4" t="s">
        <v>161</v>
      </c>
      <c r="C142" s="24">
        <v>13.911</v>
      </c>
      <c r="D142" s="24">
        <v>13.4246</v>
      </c>
      <c r="E142" s="22"/>
      <c r="F142" s="19"/>
      <c r="G142" s="25"/>
    </row>
    <row r="143" spans="1:8" ht="17.100000000000001" customHeight="1" x14ac:dyDescent="0.2">
      <c r="A143" s="22"/>
      <c r="B143" s="4" t="s">
        <v>1102</v>
      </c>
      <c r="C143" s="24">
        <v>13.911</v>
      </c>
      <c r="D143" s="24">
        <v>13.4246</v>
      </c>
      <c r="E143" s="22"/>
      <c r="F143" s="19"/>
      <c r="G143" s="25"/>
    </row>
    <row r="144" spans="1:8" ht="14.1" customHeight="1" x14ac:dyDescent="0.2">
      <c r="A144" s="22"/>
      <c r="B144" s="22"/>
      <c r="C144" s="22"/>
      <c r="D144" s="22"/>
      <c r="E144" s="22"/>
      <c r="F144" s="22"/>
      <c r="G144" s="22"/>
    </row>
    <row r="145" spans="1:7" ht="17.100000000000001" customHeight="1" x14ac:dyDescent="0.2">
      <c r="A145" s="22"/>
      <c r="B145" s="259" t="s">
        <v>1103</v>
      </c>
      <c r="C145" s="260"/>
      <c r="D145" s="2" t="s">
        <v>152</v>
      </c>
      <c r="E145" s="22"/>
      <c r="F145" s="22"/>
      <c r="G145" s="22"/>
    </row>
    <row r="146" spans="1:7" ht="18" customHeight="1" x14ac:dyDescent="0.2">
      <c r="A146" s="22"/>
      <c r="B146" s="26"/>
      <c r="C146" s="26"/>
      <c r="D146" s="27"/>
      <c r="E146" s="22"/>
      <c r="F146" s="22"/>
      <c r="G146" s="22"/>
    </row>
    <row r="147" spans="1:7" ht="29.1" customHeight="1" x14ac:dyDescent="0.2">
      <c r="A147" s="22"/>
      <c r="B147" s="259" t="s">
        <v>162</v>
      </c>
      <c r="C147" s="260"/>
      <c r="D147" s="2" t="s">
        <v>152</v>
      </c>
      <c r="E147" s="22"/>
      <c r="F147" s="22"/>
      <c r="G147" s="22"/>
    </row>
    <row r="148" spans="1:7" ht="29.1" customHeight="1" x14ac:dyDescent="0.2">
      <c r="A148" s="22"/>
      <c r="B148" s="259" t="s">
        <v>163</v>
      </c>
      <c r="C148" s="260"/>
      <c r="D148" s="2" t="s">
        <v>152</v>
      </c>
      <c r="E148" s="22"/>
      <c r="F148" s="22"/>
      <c r="G148" s="22"/>
    </row>
    <row r="149" spans="1:7" ht="17.100000000000001" customHeight="1" x14ac:dyDescent="0.2">
      <c r="A149" s="22"/>
      <c r="B149" s="259" t="s">
        <v>164</v>
      </c>
      <c r="C149" s="260"/>
      <c r="D149" s="28">
        <v>0.37323727767042447</v>
      </c>
      <c r="E149" s="22"/>
      <c r="F149" s="19"/>
      <c r="G149" s="25"/>
    </row>
    <row r="150" spans="1:7" ht="17.100000000000001" customHeight="1" x14ac:dyDescent="0.2">
      <c r="A150" s="22"/>
      <c r="B150" s="259" t="s">
        <v>165</v>
      </c>
      <c r="C150" s="260"/>
      <c r="D150" s="2" t="s">
        <v>152</v>
      </c>
      <c r="E150" s="22"/>
      <c r="F150" s="22"/>
      <c r="G150" s="22"/>
    </row>
    <row r="166" spans="10:15" x14ac:dyDescent="0.2">
      <c r="J166" s="148"/>
      <c r="K166" s="148"/>
      <c r="L166" s="148"/>
      <c r="M166" s="148"/>
      <c r="N166" s="148"/>
      <c r="O166" s="148"/>
    </row>
  </sheetData>
  <mergeCells count="13">
    <mergeCell ref="J2:N2"/>
    <mergeCell ref="A1:H1"/>
    <mergeCell ref="A2:H2"/>
    <mergeCell ref="A3:H3"/>
    <mergeCell ref="B134:C134"/>
    <mergeCell ref="B149:C149"/>
    <mergeCell ref="B150:C150"/>
    <mergeCell ref="B135:C135"/>
    <mergeCell ref="B136:C136"/>
    <mergeCell ref="B137:C137"/>
    <mergeCell ref="B145:C145"/>
    <mergeCell ref="B147:C147"/>
    <mergeCell ref="B148:C14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5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2.140625" bestFit="1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293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92</v>
      </c>
      <c r="C7" s="4" t="s">
        <v>93</v>
      </c>
      <c r="D7" s="4" t="s">
        <v>94</v>
      </c>
      <c r="E7" s="5">
        <v>1118344</v>
      </c>
      <c r="F7" s="6">
        <v>25615.669320000001</v>
      </c>
      <c r="G7" s="7">
        <v>3.9748250999999998E-2</v>
      </c>
      <c r="H7" s="47"/>
    </row>
    <row r="8" spans="1:14" ht="17.100000000000001" customHeight="1" x14ac:dyDescent="0.2">
      <c r="A8" s="3">
        <v>2</v>
      </c>
      <c r="B8" s="4" t="s">
        <v>294</v>
      </c>
      <c r="C8" s="4" t="s">
        <v>295</v>
      </c>
      <c r="D8" s="4" t="s">
        <v>296</v>
      </c>
      <c r="E8" s="5">
        <v>2390329</v>
      </c>
      <c r="F8" s="6">
        <v>18896.745909500001</v>
      </c>
      <c r="G8" s="7">
        <v>2.9322388000000001E-2</v>
      </c>
      <c r="H8" s="47"/>
    </row>
    <row r="9" spans="1:14" ht="29.1" customHeight="1" x14ac:dyDescent="0.2">
      <c r="A9" s="3">
        <v>3</v>
      </c>
      <c r="B9" s="4" t="s">
        <v>297</v>
      </c>
      <c r="C9" s="4" t="s">
        <v>298</v>
      </c>
      <c r="D9" s="4" t="s">
        <v>201</v>
      </c>
      <c r="E9" s="5">
        <v>800325</v>
      </c>
      <c r="F9" s="6">
        <v>18024.91965</v>
      </c>
      <c r="G9" s="7">
        <v>2.7969561E-2</v>
      </c>
      <c r="H9" s="47"/>
    </row>
    <row r="10" spans="1:14" ht="17.100000000000001" customHeight="1" x14ac:dyDescent="0.2">
      <c r="A10" s="3">
        <v>4</v>
      </c>
      <c r="B10" s="4" t="s">
        <v>26</v>
      </c>
      <c r="C10" s="4" t="s">
        <v>27</v>
      </c>
      <c r="D10" s="4" t="s">
        <v>28</v>
      </c>
      <c r="E10" s="5">
        <v>1042377</v>
      </c>
      <c r="F10" s="6">
        <v>17543.726098499999</v>
      </c>
      <c r="G10" s="7">
        <v>2.7222886000000002E-2</v>
      </c>
      <c r="H10" s="47"/>
    </row>
    <row r="11" spans="1:14" ht="17.100000000000001" customHeight="1" x14ac:dyDescent="0.2">
      <c r="A11" s="3">
        <v>5</v>
      </c>
      <c r="B11" s="4" t="s">
        <v>299</v>
      </c>
      <c r="C11" s="4" t="s">
        <v>300</v>
      </c>
      <c r="D11" s="4" t="s">
        <v>19</v>
      </c>
      <c r="E11" s="5">
        <v>19328108</v>
      </c>
      <c r="F11" s="6">
        <v>17433.953416</v>
      </c>
      <c r="G11" s="7">
        <v>2.7052548999999999E-2</v>
      </c>
      <c r="H11" s="47"/>
    </row>
    <row r="12" spans="1:14" ht="17.100000000000001" customHeight="1" x14ac:dyDescent="0.2">
      <c r="A12" s="3">
        <v>6</v>
      </c>
      <c r="B12" s="4" t="s">
        <v>301</v>
      </c>
      <c r="C12" s="4" t="s">
        <v>302</v>
      </c>
      <c r="D12" s="4" t="s">
        <v>303</v>
      </c>
      <c r="E12" s="5">
        <v>41588</v>
      </c>
      <c r="F12" s="6">
        <v>16704.444019999999</v>
      </c>
      <c r="G12" s="7">
        <v>2.5920558E-2</v>
      </c>
      <c r="H12" s="47"/>
      <c r="J12" s="147" t="s">
        <v>1115</v>
      </c>
    </row>
    <row r="13" spans="1:14" ht="29.1" customHeight="1" x14ac:dyDescent="0.2">
      <c r="A13" s="3">
        <v>7</v>
      </c>
      <c r="B13" s="4" t="s">
        <v>199</v>
      </c>
      <c r="C13" s="4" t="s">
        <v>200</v>
      </c>
      <c r="D13" s="4" t="s">
        <v>201</v>
      </c>
      <c r="E13" s="5">
        <v>442861</v>
      </c>
      <c r="F13" s="6">
        <v>16171.512275999999</v>
      </c>
      <c r="G13" s="7">
        <v>2.5093599000000001E-2</v>
      </c>
      <c r="H13" s="47"/>
    </row>
    <row r="14" spans="1:14" ht="29.1" customHeight="1" x14ac:dyDescent="0.2">
      <c r="A14" s="3">
        <v>8</v>
      </c>
      <c r="B14" s="4" t="s">
        <v>89</v>
      </c>
      <c r="C14" s="4" t="s">
        <v>90</v>
      </c>
      <c r="D14" s="4" t="s">
        <v>91</v>
      </c>
      <c r="E14" s="5">
        <v>2605065</v>
      </c>
      <c r="F14" s="6">
        <v>16138.377675</v>
      </c>
      <c r="G14" s="7">
        <v>2.5042182999999999E-2</v>
      </c>
      <c r="H14" s="47"/>
    </row>
    <row r="15" spans="1:14" ht="17.100000000000001" customHeight="1" x14ac:dyDescent="0.2">
      <c r="A15" s="3">
        <v>9</v>
      </c>
      <c r="B15" s="4" t="s">
        <v>304</v>
      </c>
      <c r="C15" s="4" t="s">
        <v>305</v>
      </c>
      <c r="D15" s="4" t="s">
        <v>19</v>
      </c>
      <c r="E15" s="5">
        <v>2451728</v>
      </c>
      <c r="F15" s="6">
        <v>15612.603904</v>
      </c>
      <c r="G15" s="7">
        <v>2.4226332E-2</v>
      </c>
      <c r="H15" s="47"/>
    </row>
    <row r="16" spans="1:14" ht="17.100000000000001" customHeight="1" x14ac:dyDescent="0.2">
      <c r="A16" s="3">
        <v>10</v>
      </c>
      <c r="B16" s="4" t="s">
        <v>306</v>
      </c>
      <c r="C16" s="4" t="s">
        <v>307</v>
      </c>
      <c r="D16" s="4" t="s">
        <v>19</v>
      </c>
      <c r="E16" s="5">
        <v>15875025</v>
      </c>
      <c r="F16" s="6">
        <v>15462.27435</v>
      </c>
      <c r="G16" s="7">
        <v>2.3993062999999999E-2</v>
      </c>
      <c r="H16" s="47"/>
    </row>
    <row r="17" spans="1:10" ht="29.1" customHeight="1" x14ac:dyDescent="0.2">
      <c r="A17" s="3">
        <v>11</v>
      </c>
      <c r="B17" s="4" t="s">
        <v>308</v>
      </c>
      <c r="C17" s="4" t="s">
        <v>309</v>
      </c>
      <c r="D17" s="4" t="s">
        <v>198</v>
      </c>
      <c r="E17" s="5">
        <v>6495079</v>
      </c>
      <c r="F17" s="6">
        <v>15204.979939000001</v>
      </c>
      <c r="G17" s="7">
        <v>2.3593815000000001E-2</v>
      </c>
      <c r="H17" s="47"/>
    </row>
    <row r="18" spans="1:10" ht="17.100000000000001" customHeight="1" x14ac:dyDescent="0.2">
      <c r="A18" s="3">
        <v>12</v>
      </c>
      <c r="B18" s="4" t="s">
        <v>310</v>
      </c>
      <c r="C18" s="4" t="s">
        <v>311</v>
      </c>
      <c r="D18" s="4" t="s">
        <v>312</v>
      </c>
      <c r="E18" s="5">
        <v>1353998</v>
      </c>
      <c r="F18" s="6">
        <v>14543.969517</v>
      </c>
      <c r="G18" s="7">
        <v>2.2568114E-2</v>
      </c>
      <c r="H18" s="47"/>
    </row>
    <row r="19" spans="1:10" ht="29.1" customHeight="1" x14ac:dyDescent="0.2">
      <c r="A19" s="3">
        <v>13</v>
      </c>
      <c r="B19" s="4" t="s">
        <v>175</v>
      </c>
      <c r="C19" s="4" t="s">
        <v>176</v>
      </c>
      <c r="D19" s="4" t="s">
        <v>88</v>
      </c>
      <c r="E19" s="5">
        <v>4139048</v>
      </c>
      <c r="F19" s="6">
        <v>14078.971772000001</v>
      </c>
      <c r="G19" s="7">
        <v>2.1846569999999999E-2</v>
      </c>
      <c r="H19" s="47"/>
    </row>
    <row r="20" spans="1:10" ht="17.100000000000001" customHeight="1" x14ac:dyDescent="0.2">
      <c r="A20" s="3">
        <v>14</v>
      </c>
      <c r="B20" s="4" t="s">
        <v>313</v>
      </c>
      <c r="C20" s="4" t="s">
        <v>314</v>
      </c>
      <c r="D20" s="4" t="s">
        <v>209</v>
      </c>
      <c r="E20" s="5">
        <v>372698</v>
      </c>
      <c r="F20" s="6">
        <v>13728.330830000001</v>
      </c>
      <c r="G20" s="7">
        <v>2.1302475000000001E-2</v>
      </c>
      <c r="H20" s="47"/>
    </row>
    <row r="21" spans="1:10" ht="17.100000000000001" customHeight="1" x14ac:dyDescent="0.2">
      <c r="A21" s="3">
        <v>15</v>
      </c>
      <c r="B21" s="4" t="s">
        <v>271</v>
      </c>
      <c r="C21" s="4" t="s">
        <v>272</v>
      </c>
      <c r="D21" s="4" t="s">
        <v>94</v>
      </c>
      <c r="E21" s="5">
        <v>739319</v>
      </c>
      <c r="F21" s="6">
        <v>13613.080747</v>
      </c>
      <c r="G21" s="7">
        <v>2.1123639E-2</v>
      </c>
      <c r="H21" s="47"/>
    </row>
    <row r="22" spans="1:10" ht="17.100000000000001" customHeight="1" x14ac:dyDescent="0.2">
      <c r="A22" s="3">
        <v>16</v>
      </c>
      <c r="B22" s="4" t="s">
        <v>315</v>
      </c>
      <c r="C22" s="4" t="s">
        <v>316</v>
      </c>
      <c r="D22" s="4" t="s">
        <v>91</v>
      </c>
      <c r="E22" s="5">
        <v>1021834</v>
      </c>
      <c r="F22" s="6">
        <v>13093.269958999999</v>
      </c>
      <c r="G22" s="7">
        <v>2.0317040000000001E-2</v>
      </c>
      <c r="H22" s="47"/>
      <c r="J22" s="147" t="s">
        <v>1116</v>
      </c>
    </row>
    <row r="23" spans="1:10" ht="17.100000000000001" customHeight="1" x14ac:dyDescent="0.2">
      <c r="A23" s="3">
        <v>17</v>
      </c>
      <c r="B23" s="4" t="s">
        <v>317</v>
      </c>
      <c r="C23" s="4" t="s">
        <v>318</v>
      </c>
      <c r="D23" s="4" t="s">
        <v>191</v>
      </c>
      <c r="E23" s="5">
        <v>452693</v>
      </c>
      <c r="F23" s="6">
        <v>13069.473256499999</v>
      </c>
      <c r="G23" s="7">
        <v>2.0280115000000001E-2</v>
      </c>
      <c r="H23" s="47"/>
    </row>
    <row r="24" spans="1:10" ht="17.100000000000001" customHeight="1" x14ac:dyDescent="0.2">
      <c r="A24" s="3">
        <v>18</v>
      </c>
      <c r="B24" s="4" t="s">
        <v>319</v>
      </c>
      <c r="C24" s="4" t="s">
        <v>320</v>
      </c>
      <c r="D24" s="4" t="s">
        <v>321</v>
      </c>
      <c r="E24" s="5">
        <v>1628572</v>
      </c>
      <c r="F24" s="6">
        <v>12741.133041999999</v>
      </c>
      <c r="G24" s="7">
        <v>1.9770624000000001E-2</v>
      </c>
      <c r="H24" s="47"/>
    </row>
    <row r="25" spans="1:10" ht="17.100000000000001" customHeight="1" x14ac:dyDescent="0.2">
      <c r="A25" s="3">
        <v>19</v>
      </c>
      <c r="B25" s="4" t="s">
        <v>322</v>
      </c>
      <c r="C25" s="4" t="s">
        <v>323</v>
      </c>
      <c r="D25" s="4" t="s">
        <v>19</v>
      </c>
      <c r="E25" s="5">
        <v>2089890</v>
      </c>
      <c r="F25" s="6">
        <v>12365.879129999999</v>
      </c>
      <c r="G25" s="7">
        <v>1.9188336E-2</v>
      </c>
      <c r="H25" s="47"/>
    </row>
    <row r="26" spans="1:10" ht="53.1" customHeight="1" x14ac:dyDescent="0.2">
      <c r="A26" s="3">
        <v>20</v>
      </c>
      <c r="B26" s="4" t="s">
        <v>60</v>
      </c>
      <c r="C26" s="4" t="s">
        <v>61</v>
      </c>
      <c r="D26" s="4" t="s">
        <v>62</v>
      </c>
      <c r="E26" s="5">
        <v>8164608</v>
      </c>
      <c r="F26" s="6">
        <v>12067.290623999999</v>
      </c>
      <c r="G26" s="7">
        <v>1.8725011E-2</v>
      </c>
      <c r="H26" s="47"/>
    </row>
    <row r="27" spans="1:10" ht="17.100000000000001" customHeight="1" x14ac:dyDescent="0.2">
      <c r="A27" s="3">
        <v>21</v>
      </c>
      <c r="B27" s="4" t="s">
        <v>324</v>
      </c>
      <c r="C27" s="4" t="s">
        <v>325</v>
      </c>
      <c r="D27" s="4" t="s">
        <v>28</v>
      </c>
      <c r="E27" s="5">
        <v>1157930</v>
      </c>
      <c r="F27" s="6">
        <v>11859.519060000001</v>
      </c>
      <c r="G27" s="7">
        <v>1.8402609E-2</v>
      </c>
      <c r="H27" s="47"/>
    </row>
    <row r="28" spans="1:10" ht="17.100000000000001" customHeight="1" x14ac:dyDescent="0.2">
      <c r="A28" s="3">
        <v>22</v>
      </c>
      <c r="B28" s="4" t="s">
        <v>326</v>
      </c>
      <c r="C28" s="4" t="s">
        <v>327</v>
      </c>
      <c r="D28" s="4" t="s">
        <v>88</v>
      </c>
      <c r="E28" s="5">
        <v>1193317</v>
      </c>
      <c r="F28" s="6">
        <v>11603.814507999999</v>
      </c>
      <c r="G28" s="7">
        <v>1.8005828000000001E-2</v>
      </c>
      <c r="H28" s="47"/>
    </row>
    <row r="29" spans="1:10" ht="17.100000000000001" customHeight="1" x14ac:dyDescent="0.2">
      <c r="A29" s="3">
        <v>23</v>
      </c>
      <c r="B29" s="4" t="s">
        <v>17</v>
      </c>
      <c r="C29" s="4" t="s">
        <v>18</v>
      </c>
      <c r="D29" s="4" t="s">
        <v>19</v>
      </c>
      <c r="E29" s="5">
        <v>1583901</v>
      </c>
      <c r="F29" s="6">
        <v>11201.347872</v>
      </c>
      <c r="G29" s="7">
        <v>1.7381313999999998E-2</v>
      </c>
      <c r="H29" s="47"/>
    </row>
    <row r="30" spans="1:10" ht="29.1" customHeight="1" x14ac:dyDescent="0.2">
      <c r="A30" s="3">
        <v>24</v>
      </c>
      <c r="B30" s="4" t="s">
        <v>328</v>
      </c>
      <c r="C30" s="4" t="s">
        <v>329</v>
      </c>
      <c r="D30" s="4" t="s">
        <v>204</v>
      </c>
      <c r="E30" s="5">
        <v>1232552</v>
      </c>
      <c r="F30" s="6">
        <v>11062.154200000001</v>
      </c>
      <c r="G30" s="7">
        <v>1.7165324999999999E-2</v>
      </c>
      <c r="H30" s="47"/>
    </row>
    <row r="31" spans="1:10" ht="29.1" customHeight="1" x14ac:dyDescent="0.2">
      <c r="A31" s="3">
        <v>25</v>
      </c>
      <c r="B31" s="4" t="s">
        <v>330</v>
      </c>
      <c r="C31" s="4" t="s">
        <v>331</v>
      </c>
      <c r="D31" s="4" t="s">
        <v>204</v>
      </c>
      <c r="E31" s="5">
        <v>398504</v>
      </c>
      <c r="F31" s="6">
        <v>10766.382568000001</v>
      </c>
      <c r="G31" s="7">
        <v>1.6706371000000001E-2</v>
      </c>
      <c r="H31" s="47"/>
    </row>
    <row r="32" spans="1:10" ht="17.100000000000001" customHeight="1" x14ac:dyDescent="0.2">
      <c r="A32" s="3">
        <v>26</v>
      </c>
      <c r="B32" s="4" t="s">
        <v>117</v>
      </c>
      <c r="C32" s="4" t="s">
        <v>118</v>
      </c>
      <c r="D32" s="4" t="s">
        <v>75</v>
      </c>
      <c r="E32" s="5">
        <v>4829987</v>
      </c>
      <c r="F32" s="6">
        <v>10524.541673</v>
      </c>
      <c r="G32" s="7">
        <v>1.6331103E-2</v>
      </c>
      <c r="H32" s="47"/>
    </row>
    <row r="33" spans="1:8" ht="17.100000000000001" customHeight="1" x14ac:dyDescent="0.2">
      <c r="A33" s="3">
        <v>27</v>
      </c>
      <c r="B33" s="4" t="s">
        <v>332</v>
      </c>
      <c r="C33" s="4" t="s">
        <v>333</v>
      </c>
      <c r="D33" s="4" t="s">
        <v>28</v>
      </c>
      <c r="E33" s="5">
        <v>1603157</v>
      </c>
      <c r="F33" s="6">
        <v>10449.377326</v>
      </c>
      <c r="G33" s="7">
        <v>1.6214468999999999E-2</v>
      </c>
      <c r="H33" s="47"/>
    </row>
    <row r="34" spans="1:8" ht="17.100000000000001" customHeight="1" x14ac:dyDescent="0.2">
      <c r="A34" s="3">
        <v>28</v>
      </c>
      <c r="B34" s="4" t="s">
        <v>334</v>
      </c>
      <c r="C34" s="4" t="s">
        <v>335</v>
      </c>
      <c r="D34" s="4" t="s">
        <v>94</v>
      </c>
      <c r="E34" s="5">
        <v>223469</v>
      </c>
      <c r="F34" s="6">
        <v>9765.3718310000004</v>
      </c>
      <c r="G34" s="7">
        <v>1.5153087000000001E-2</v>
      </c>
      <c r="H34" s="47"/>
    </row>
    <row r="35" spans="1:8" ht="17.100000000000001" customHeight="1" x14ac:dyDescent="0.2">
      <c r="A35" s="3">
        <v>29</v>
      </c>
      <c r="B35" s="4" t="s">
        <v>336</v>
      </c>
      <c r="C35" s="4" t="s">
        <v>337</v>
      </c>
      <c r="D35" s="4" t="s">
        <v>191</v>
      </c>
      <c r="E35" s="5">
        <v>417628</v>
      </c>
      <c r="F35" s="6">
        <v>9580.5951339999992</v>
      </c>
      <c r="G35" s="7">
        <v>1.4866364999999999E-2</v>
      </c>
      <c r="H35" s="47"/>
    </row>
    <row r="36" spans="1:8" ht="17.100000000000001" customHeight="1" x14ac:dyDescent="0.2">
      <c r="A36" s="3">
        <v>30</v>
      </c>
      <c r="B36" s="4" t="s">
        <v>43</v>
      </c>
      <c r="C36" s="4" t="s">
        <v>44</v>
      </c>
      <c r="D36" s="4" t="s">
        <v>45</v>
      </c>
      <c r="E36" s="5">
        <v>1609771</v>
      </c>
      <c r="F36" s="6">
        <v>9566.8690530000003</v>
      </c>
      <c r="G36" s="7">
        <v>1.4845067E-2</v>
      </c>
      <c r="H36" s="47"/>
    </row>
    <row r="37" spans="1:8" ht="17.100000000000001" customHeight="1" x14ac:dyDescent="0.2">
      <c r="A37" s="3">
        <v>31</v>
      </c>
      <c r="B37" s="4" t="s">
        <v>338</v>
      </c>
      <c r="C37" s="4" t="s">
        <v>339</v>
      </c>
      <c r="D37" s="4" t="s">
        <v>114</v>
      </c>
      <c r="E37" s="5">
        <v>2900295</v>
      </c>
      <c r="F37" s="6">
        <v>9549.2212875000005</v>
      </c>
      <c r="G37" s="7">
        <v>1.4817682E-2</v>
      </c>
      <c r="H37" s="47"/>
    </row>
    <row r="38" spans="1:8" ht="29.1" customHeight="1" x14ac:dyDescent="0.2">
      <c r="A38" s="3">
        <v>32</v>
      </c>
      <c r="B38" s="4" t="s">
        <v>340</v>
      </c>
      <c r="C38" s="4" t="s">
        <v>341</v>
      </c>
      <c r="D38" s="4" t="s">
        <v>342</v>
      </c>
      <c r="E38" s="5">
        <v>1000000</v>
      </c>
      <c r="F38" s="6">
        <v>9531.5</v>
      </c>
      <c r="G38" s="7">
        <v>1.4790184E-2</v>
      </c>
      <c r="H38" s="47"/>
    </row>
    <row r="39" spans="1:8" ht="29.1" customHeight="1" x14ac:dyDescent="0.2">
      <c r="A39" s="3">
        <v>33</v>
      </c>
      <c r="B39" s="4" t="s">
        <v>179</v>
      </c>
      <c r="C39" s="4" t="s">
        <v>180</v>
      </c>
      <c r="D39" s="4" t="s">
        <v>181</v>
      </c>
      <c r="E39" s="5">
        <v>1506625</v>
      </c>
      <c r="F39" s="6">
        <v>9245.4043125000007</v>
      </c>
      <c r="G39" s="7">
        <v>1.4346243999999999E-2</v>
      </c>
      <c r="H39" s="47"/>
    </row>
    <row r="40" spans="1:8" ht="17.100000000000001" customHeight="1" x14ac:dyDescent="0.2">
      <c r="A40" s="3">
        <v>34</v>
      </c>
      <c r="B40" s="4" t="s">
        <v>343</v>
      </c>
      <c r="C40" s="4" t="s">
        <v>344</v>
      </c>
      <c r="D40" s="4" t="s">
        <v>91</v>
      </c>
      <c r="E40" s="5">
        <v>1549881</v>
      </c>
      <c r="F40" s="6">
        <v>9193.8940920000005</v>
      </c>
      <c r="G40" s="7">
        <v>1.4266315E-2</v>
      </c>
      <c r="H40" s="47"/>
    </row>
    <row r="41" spans="1:8" ht="17.100000000000001" customHeight="1" x14ac:dyDescent="0.2">
      <c r="A41" s="3">
        <v>35</v>
      </c>
      <c r="B41" s="4" t="s">
        <v>345</v>
      </c>
      <c r="C41" s="4" t="s">
        <v>346</v>
      </c>
      <c r="D41" s="4" t="s">
        <v>174</v>
      </c>
      <c r="E41" s="5">
        <v>1600000</v>
      </c>
      <c r="F41" s="6">
        <v>8196</v>
      </c>
      <c r="G41" s="7">
        <v>1.2717867000000001E-2</v>
      </c>
      <c r="H41" s="47"/>
    </row>
    <row r="42" spans="1:8" ht="29.1" customHeight="1" x14ac:dyDescent="0.2">
      <c r="A42" s="3">
        <v>36</v>
      </c>
      <c r="B42" s="4" t="s">
        <v>347</v>
      </c>
      <c r="C42" s="4" t="s">
        <v>348</v>
      </c>
      <c r="D42" s="4" t="s">
        <v>342</v>
      </c>
      <c r="E42" s="5">
        <v>319458</v>
      </c>
      <c r="F42" s="6">
        <v>8176.5275099999999</v>
      </c>
      <c r="G42" s="7">
        <v>1.2687650999999999E-2</v>
      </c>
      <c r="H42" s="47"/>
    </row>
    <row r="43" spans="1:8" ht="17.100000000000001" customHeight="1" x14ac:dyDescent="0.2">
      <c r="A43" s="3">
        <v>37</v>
      </c>
      <c r="B43" s="4" t="s">
        <v>98</v>
      </c>
      <c r="C43" s="4" t="s">
        <v>99</v>
      </c>
      <c r="D43" s="4" t="s">
        <v>97</v>
      </c>
      <c r="E43" s="5">
        <v>1103691</v>
      </c>
      <c r="F43" s="6">
        <v>8141.3766615000004</v>
      </c>
      <c r="G43" s="7">
        <v>1.2633106999999999E-2</v>
      </c>
      <c r="H43" s="47"/>
    </row>
    <row r="44" spans="1:8" ht="17.100000000000001" customHeight="1" x14ac:dyDescent="0.2">
      <c r="A44" s="3">
        <v>38</v>
      </c>
      <c r="B44" s="4" t="s">
        <v>349</v>
      </c>
      <c r="C44" s="4" t="s">
        <v>350</v>
      </c>
      <c r="D44" s="4" t="s">
        <v>351</v>
      </c>
      <c r="E44" s="5">
        <v>1905598</v>
      </c>
      <c r="F44" s="6">
        <v>8008.2755950000001</v>
      </c>
      <c r="G44" s="7">
        <v>1.2426572E-2</v>
      </c>
      <c r="H44" s="47"/>
    </row>
    <row r="45" spans="1:8" ht="29.1" customHeight="1" x14ac:dyDescent="0.2">
      <c r="A45" s="3">
        <v>39</v>
      </c>
      <c r="B45" s="4" t="s">
        <v>202</v>
      </c>
      <c r="C45" s="4" t="s">
        <v>203</v>
      </c>
      <c r="D45" s="4" t="s">
        <v>204</v>
      </c>
      <c r="E45" s="5">
        <v>1711766</v>
      </c>
      <c r="F45" s="6">
        <v>7954.5766020000001</v>
      </c>
      <c r="G45" s="7">
        <v>1.2343246E-2</v>
      </c>
      <c r="H45" s="47"/>
    </row>
    <row r="46" spans="1:8" ht="17.100000000000001" customHeight="1" x14ac:dyDescent="0.2">
      <c r="A46" s="3">
        <v>40</v>
      </c>
      <c r="B46" s="4" t="s">
        <v>352</v>
      </c>
      <c r="C46" s="4" t="s">
        <v>353</v>
      </c>
      <c r="D46" s="4" t="s">
        <v>88</v>
      </c>
      <c r="E46" s="5">
        <v>12728514</v>
      </c>
      <c r="F46" s="6">
        <v>7624.3798859999997</v>
      </c>
      <c r="G46" s="7">
        <v>1.1830874E-2</v>
      </c>
      <c r="H46" s="47"/>
    </row>
    <row r="47" spans="1:8" ht="17.100000000000001" customHeight="1" x14ac:dyDescent="0.2">
      <c r="A47" s="3">
        <v>41</v>
      </c>
      <c r="B47" s="4" t="s">
        <v>354</v>
      </c>
      <c r="C47" s="4" t="s">
        <v>355</v>
      </c>
      <c r="D47" s="4" t="s">
        <v>171</v>
      </c>
      <c r="E47" s="5">
        <v>246926</v>
      </c>
      <c r="F47" s="6">
        <v>7483.833208</v>
      </c>
      <c r="G47" s="7">
        <v>1.1612786E-2</v>
      </c>
      <c r="H47" s="47"/>
    </row>
    <row r="48" spans="1:8" ht="17.100000000000001" customHeight="1" x14ac:dyDescent="0.2">
      <c r="A48" s="3">
        <v>42</v>
      </c>
      <c r="B48" s="4" t="s">
        <v>356</v>
      </c>
      <c r="C48" s="4" t="s">
        <v>357</v>
      </c>
      <c r="D48" s="4" t="s">
        <v>243</v>
      </c>
      <c r="E48" s="5">
        <v>3425601</v>
      </c>
      <c r="F48" s="6">
        <v>7334.2117410000001</v>
      </c>
      <c r="G48" s="7">
        <v>1.1380616E-2</v>
      </c>
      <c r="H48" s="47"/>
    </row>
    <row r="49" spans="1:8" ht="17.100000000000001" customHeight="1" x14ac:dyDescent="0.2">
      <c r="A49" s="3">
        <v>43</v>
      </c>
      <c r="B49" s="4" t="s">
        <v>358</v>
      </c>
      <c r="C49" s="4" t="s">
        <v>359</v>
      </c>
      <c r="D49" s="4" t="s">
        <v>19</v>
      </c>
      <c r="E49" s="5">
        <v>515718</v>
      </c>
      <c r="F49" s="6">
        <v>6951.8786399999999</v>
      </c>
      <c r="G49" s="7">
        <v>1.0787343E-2</v>
      </c>
      <c r="H49" s="47"/>
    </row>
    <row r="50" spans="1:8" ht="17.100000000000001" customHeight="1" x14ac:dyDescent="0.2">
      <c r="A50" s="3">
        <v>44</v>
      </c>
      <c r="B50" s="4" t="s">
        <v>360</v>
      </c>
      <c r="C50" s="4" t="s">
        <v>361</v>
      </c>
      <c r="D50" s="4" t="s">
        <v>91</v>
      </c>
      <c r="E50" s="5">
        <v>2100719</v>
      </c>
      <c r="F50" s="6">
        <v>6876.7036465000001</v>
      </c>
      <c r="G50" s="7">
        <v>1.0670693E-2</v>
      </c>
      <c r="H50" s="47"/>
    </row>
    <row r="51" spans="1:8" ht="29.1" customHeight="1" x14ac:dyDescent="0.2">
      <c r="A51" s="3">
        <v>45</v>
      </c>
      <c r="B51" s="4" t="s">
        <v>362</v>
      </c>
      <c r="C51" s="4" t="s">
        <v>363</v>
      </c>
      <c r="D51" s="4" t="s">
        <v>94</v>
      </c>
      <c r="E51" s="5">
        <v>85501</v>
      </c>
      <c r="F51" s="6">
        <v>6597.7701660000002</v>
      </c>
      <c r="G51" s="7">
        <v>1.0237866999999999E-2</v>
      </c>
      <c r="H51" s="47"/>
    </row>
    <row r="52" spans="1:8" ht="17.100000000000001" customHeight="1" x14ac:dyDescent="0.2">
      <c r="A52" s="3">
        <v>46</v>
      </c>
      <c r="B52" s="4" t="s">
        <v>364</v>
      </c>
      <c r="C52" s="4" t="s">
        <v>365</v>
      </c>
      <c r="D52" s="4" t="s">
        <v>91</v>
      </c>
      <c r="E52" s="5">
        <v>57063</v>
      </c>
      <c r="F52" s="6">
        <v>6237.9845025000004</v>
      </c>
      <c r="G52" s="7">
        <v>9.6795820000000008E-3</v>
      </c>
      <c r="H52" s="47"/>
    </row>
    <row r="53" spans="1:8" ht="17.100000000000001" customHeight="1" x14ac:dyDescent="0.2">
      <c r="A53" s="3">
        <v>47</v>
      </c>
      <c r="B53" s="4" t="s">
        <v>366</v>
      </c>
      <c r="C53" s="4" t="s">
        <v>367</v>
      </c>
      <c r="D53" s="4" t="s">
        <v>209</v>
      </c>
      <c r="E53" s="5">
        <v>2500437</v>
      </c>
      <c r="F53" s="6">
        <v>6001.0487999999996</v>
      </c>
      <c r="G53" s="7">
        <v>9.3119250000000004E-3</v>
      </c>
      <c r="H53" s="47"/>
    </row>
    <row r="54" spans="1:8" ht="29.1" customHeight="1" x14ac:dyDescent="0.2">
      <c r="A54" s="3">
        <v>48</v>
      </c>
      <c r="B54" s="4" t="s">
        <v>368</v>
      </c>
      <c r="C54" s="4" t="s">
        <v>369</v>
      </c>
      <c r="D54" s="4" t="s">
        <v>204</v>
      </c>
      <c r="E54" s="5">
        <v>919949</v>
      </c>
      <c r="F54" s="6">
        <v>5977.8286019999996</v>
      </c>
      <c r="G54" s="7">
        <v>9.2758939999999998E-3</v>
      </c>
      <c r="H54" s="47"/>
    </row>
    <row r="55" spans="1:8" ht="29.1" customHeight="1" x14ac:dyDescent="0.2">
      <c r="A55" s="3">
        <v>49</v>
      </c>
      <c r="B55" s="4" t="s">
        <v>370</v>
      </c>
      <c r="C55" s="4" t="s">
        <v>371</v>
      </c>
      <c r="D55" s="4" t="s">
        <v>238</v>
      </c>
      <c r="E55" s="5">
        <v>801317</v>
      </c>
      <c r="F55" s="6">
        <v>5660.1026295000001</v>
      </c>
      <c r="G55" s="7">
        <v>8.7828730000000001E-3</v>
      </c>
      <c r="H55" s="47"/>
    </row>
    <row r="56" spans="1:8" ht="17.100000000000001" customHeight="1" x14ac:dyDescent="0.2">
      <c r="A56" s="3">
        <v>50</v>
      </c>
      <c r="B56" s="4" t="s">
        <v>372</v>
      </c>
      <c r="C56" s="4" t="s">
        <v>373</v>
      </c>
      <c r="D56" s="4" t="s">
        <v>28</v>
      </c>
      <c r="E56" s="5">
        <v>329660</v>
      </c>
      <c r="F56" s="6">
        <v>5457.5213000000003</v>
      </c>
      <c r="G56" s="7">
        <v>8.4685249999999993E-3</v>
      </c>
      <c r="H56" s="47"/>
    </row>
    <row r="57" spans="1:8" ht="17.100000000000001" customHeight="1" x14ac:dyDescent="0.2">
      <c r="A57" s="3">
        <v>51</v>
      </c>
      <c r="B57" s="4" t="s">
        <v>36</v>
      </c>
      <c r="C57" s="4" t="s">
        <v>37</v>
      </c>
      <c r="D57" s="4" t="s">
        <v>28</v>
      </c>
      <c r="E57" s="5">
        <v>244056</v>
      </c>
      <c r="F57" s="6">
        <v>5372.160672</v>
      </c>
      <c r="G57" s="7">
        <v>8.3360689999999998E-3</v>
      </c>
      <c r="H57" s="47"/>
    </row>
    <row r="58" spans="1:8" ht="17.100000000000001" customHeight="1" x14ac:dyDescent="0.2">
      <c r="A58" s="3">
        <v>52</v>
      </c>
      <c r="B58" s="4" t="s">
        <v>374</v>
      </c>
      <c r="C58" s="4" t="s">
        <v>375</v>
      </c>
      <c r="D58" s="4" t="s">
        <v>94</v>
      </c>
      <c r="E58" s="5">
        <v>577700</v>
      </c>
      <c r="F58" s="6">
        <v>5333.03755</v>
      </c>
      <c r="G58" s="7">
        <v>8.2753610000000002E-3</v>
      </c>
      <c r="H58" s="47"/>
    </row>
    <row r="59" spans="1:8" ht="17.100000000000001" customHeight="1" x14ac:dyDescent="0.2">
      <c r="A59" s="3">
        <v>53</v>
      </c>
      <c r="B59" s="4" t="s">
        <v>210</v>
      </c>
      <c r="C59" s="4" t="s">
        <v>211</v>
      </c>
      <c r="D59" s="4" t="s">
        <v>16</v>
      </c>
      <c r="E59" s="5">
        <v>2430815</v>
      </c>
      <c r="F59" s="6">
        <v>5279.7301799999996</v>
      </c>
      <c r="G59" s="7">
        <v>8.1926429999999995E-3</v>
      </c>
      <c r="H59" s="47"/>
    </row>
    <row r="60" spans="1:8" ht="17.100000000000001" customHeight="1" x14ac:dyDescent="0.2">
      <c r="A60" s="3">
        <v>54</v>
      </c>
      <c r="B60" s="4" t="s">
        <v>376</v>
      </c>
      <c r="C60" s="4" t="s">
        <v>377</v>
      </c>
      <c r="D60" s="4" t="s">
        <v>88</v>
      </c>
      <c r="E60" s="5">
        <v>881680</v>
      </c>
      <c r="F60" s="6">
        <v>5279.0590000000002</v>
      </c>
      <c r="G60" s="7">
        <v>8.1916019999999992E-3</v>
      </c>
      <c r="H60" s="47"/>
    </row>
    <row r="61" spans="1:8" ht="17.100000000000001" customHeight="1" x14ac:dyDescent="0.2">
      <c r="A61" s="3">
        <v>55</v>
      </c>
      <c r="B61" s="4" t="s">
        <v>228</v>
      </c>
      <c r="C61" s="4" t="s">
        <v>229</v>
      </c>
      <c r="D61" s="4" t="s">
        <v>191</v>
      </c>
      <c r="E61" s="5">
        <v>140255</v>
      </c>
      <c r="F61" s="6">
        <v>4771.1945900000001</v>
      </c>
      <c r="G61" s="7">
        <v>7.4035400000000001E-3</v>
      </c>
      <c r="H61" s="47"/>
    </row>
    <row r="62" spans="1:8" ht="17.100000000000001" customHeight="1" x14ac:dyDescent="0.2">
      <c r="A62" s="3">
        <v>56</v>
      </c>
      <c r="B62" s="4" t="s">
        <v>378</v>
      </c>
      <c r="C62" s="4" t="s">
        <v>379</v>
      </c>
      <c r="D62" s="4" t="s">
        <v>85</v>
      </c>
      <c r="E62" s="5">
        <v>513911</v>
      </c>
      <c r="F62" s="6">
        <v>4326.8736644999999</v>
      </c>
      <c r="G62" s="7">
        <v>6.7140799999999999E-3</v>
      </c>
      <c r="H62" s="47"/>
    </row>
    <row r="63" spans="1:8" ht="17.100000000000001" customHeight="1" x14ac:dyDescent="0.2">
      <c r="A63" s="3">
        <v>57</v>
      </c>
      <c r="B63" s="4" t="s">
        <v>380</v>
      </c>
      <c r="C63" s="4" t="s">
        <v>381</v>
      </c>
      <c r="D63" s="4" t="s">
        <v>88</v>
      </c>
      <c r="E63" s="5">
        <v>116744</v>
      </c>
      <c r="F63" s="6">
        <v>4173.598</v>
      </c>
      <c r="G63" s="7">
        <v>6.4762400000000003E-3</v>
      </c>
      <c r="H63" s="47"/>
    </row>
    <row r="64" spans="1:8" ht="17.100000000000001" customHeight="1" x14ac:dyDescent="0.2">
      <c r="A64" s="3">
        <v>58</v>
      </c>
      <c r="B64" s="4" t="s">
        <v>382</v>
      </c>
      <c r="C64" s="4" t="s">
        <v>383</v>
      </c>
      <c r="D64" s="4" t="s">
        <v>184</v>
      </c>
      <c r="E64" s="5">
        <v>932420</v>
      </c>
      <c r="F64" s="6">
        <v>3999.1493799999998</v>
      </c>
      <c r="G64" s="7">
        <v>6.2055449999999998E-3</v>
      </c>
      <c r="H64" s="47"/>
    </row>
    <row r="65" spans="1:8" ht="17.100000000000001" customHeight="1" x14ac:dyDescent="0.2">
      <c r="A65" s="3">
        <v>59</v>
      </c>
      <c r="B65" s="4" t="s">
        <v>384</v>
      </c>
      <c r="C65" s="4" t="s">
        <v>385</v>
      </c>
      <c r="D65" s="4" t="s">
        <v>88</v>
      </c>
      <c r="E65" s="5">
        <v>411414</v>
      </c>
      <c r="F65" s="6">
        <v>3898.9704780000002</v>
      </c>
      <c r="G65" s="7">
        <v>6.0500959999999996E-3</v>
      </c>
      <c r="H65" s="47"/>
    </row>
    <row r="66" spans="1:8" ht="17.100000000000001" customHeight="1" x14ac:dyDescent="0.2">
      <c r="A66" s="3">
        <v>60</v>
      </c>
      <c r="B66" s="4" t="s">
        <v>115</v>
      </c>
      <c r="C66" s="4" t="s">
        <v>116</v>
      </c>
      <c r="D66" s="4" t="s">
        <v>75</v>
      </c>
      <c r="E66" s="5">
        <v>1060648</v>
      </c>
      <c r="F66" s="6">
        <v>3774.8462319999999</v>
      </c>
      <c r="G66" s="7">
        <v>5.8574899999999999E-3</v>
      </c>
      <c r="H66" s="47"/>
    </row>
    <row r="67" spans="1:8" ht="17.100000000000001" customHeight="1" x14ac:dyDescent="0.2">
      <c r="A67" s="3">
        <v>61</v>
      </c>
      <c r="B67" s="4" t="s">
        <v>41</v>
      </c>
      <c r="C67" s="4" t="s">
        <v>42</v>
      </c>
      <c r="D67" s="4" t="s">
        <v>31</v>
      </c>
      <c r="E67" s="5">
        <v>1617175</v>
      </c>
      <c r="F67" s="6">
        <v>3269.92785</v>
      </c>
      <c r="G67" s="7">
        <v>5.0740000000000004E-3</v>
      </c>
      <c r="H67" s="47"/>
    </row>
    <row r="68" spans="1:8" ht="17.100000000000001" customHeight="1" x14ac:dyDescent="0.2">
      <c r="A68" s="3">
        <v>62</v>
      </c>
      <c r="B68" s="4" t="s">
        <v>386</v>
      </c>
      <c r="C68" s="4" t="s">
        <v>387</v>
      </c>
      <c r="D68" s="4" t="s">
        <v>94</v>
      </c>
      <c r="E68" s="5">
        <v>149024</v>
      </c>
      <c r="F68" s="6">
        <v>3202.749296</v>
      </c>
      <c r="G68" s="7">
        <v>4.9697580000000003E-3</v>
      </c>
      <c r="H68" s="47"/>
    </row>
    <row r="69" spans="1:8" ht="29.1" customHeight="1" x14ac:dyDescent="0.2">
      <c r="A69" s="3">
        <v>63</v>
      </c>
      <c r="B69" s="4" t="s">
        <v>388</v>
      </c>
      <c r="C69" s="4" t="s">
        <v>389</v>
      </c>
      <c r="D69" s="4" t="s">
        <v>25</v>
      </c>
      <c r="E69" s="5">
        <v>159460</v>
      </c>
      <c r="F69" s="6">
        <v>2046.9082900000001</v>
      </c>
      <c r="G69" s="7">
        <v>3.1762209999999999E-3</v>
      </c>
      <c r="H69" s="47"/>
    </row>
    <row r="70" spans="1:8" ht="29.1" customHeight="1" x14ac:dyDescent="0.2">
      <c r="A70" s="3">
        <v>64</v>
      </c>
      <c r="B70" s="4" t="s">
        <v>390</v>
      </c>
      <c r="C70" s="4" t="s">
        <v>391</v>
      </c>
      <c r="D70" s="4" t="s">
        <v>201</v>
      </c>
      <c r="E70" s="5">
        <v>305823</v>
      </c>
      <c r="F70" s="6">
        <v>1865.8261230000001</v>
      </c>
      <c r="G70" s="7">
        <v>2.8952330000000001E-3</v>
      </c>
      <c r="H70" s="47"/>
    </row>
    <row r="71" spans="1:8" ht="14.1" customHeight="1" x14ac:dyDescent="0.2">
      <c r="A71" s="1"/>
      <c r="B71" s="1"/>
      <c r="C71" s="2" t="s">
        <v>122</v>
      </c>
      <c r="D71" s="1"/>
      <c r="E71" s="1" t="s">
        <v>123</v>
      </c>
      <c r="F71" s="9">
        <v>625284.64914800005</v>
      </c>
      <c r="G71" s="10">
        <v>0.97026437099999996</v>
      </c>
      <c r="H71" s="47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47"/>
    </row>
    <row r="73" spans="1:8" ht="14.1" customHeight="1" x14ac:dyDescent="0.2">
      <c r="A73" s="1"/>
      <c r="B73" s="1"/>
      <c r="C73" s="2" t="s">
        <v>124</v>
      </c>
      <c r="D73" s="1"/>
      <c r="E73" s="1"/>
      <c r="F73" s="1"/>
      <c r="G73" s="1"/>
      <c r="H73" s="47"/>
    </row>
    <row r="74" spans="1:8" ht="14.1" customHeight="1" x14ac:dyDescent="0.2">
      <c r="A74" s="1"/>
      <c r="B74" s="1"/>
      <c r="C74" s="2" t="s">
        <v>122</v>
      </c>
      <c r="D74" s="1"/>
      <c r="E74" s="1" t="s">
        <v>123</v>
      </c>
      <c r="F74" s="13">
        <v>0</v>
      </c>
      <c r="G74" s="14">
        <v>0</v>
      </c>
      <c r="H74" s="47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47"/>
    </row>
    <row r="76" spans="1:8" ht="14.1" customHeight="1" x14ac:dyDescent="0.2">
      <c r="A76" s="1"/>
      <c r="B76" s="1"/>
      <c r="C76" s="2" t="s">
        <v>125</v>
      </c>
      <c r="D76" s="1"/>
      <c r="E76" s="1"/>
      <c r="F76" s="1"/>
      <c r="G76" s="1"/>
      <c r="H76" s="47"/>
    </row>
    <row r="77" spans="1:8" ht="14.1" customHeight="1" x14ac:dyDescent="0.2">
      <c r="A77" s="1"/>
      <c r="B77" s="1"/>
      <c r="C77" s="2" t="s">
        <v>122</v>
      </c>
      <c r="D77" s="1"/>
      <c r="E77" s="1" t="s">
        <v>123</v>
      </c>
      <c r="F77" s="13">
        <v>0</v>
      </c>
      <c r="G77" s="14">
        <v>0</v>
      </c>
      <c r="H77" s="47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47"/>
    </row>
    <row r="79" spans="1:8" ht="14.1" customHeight="1" x14ac:dyDescent="0.2">
      <c r="A79" s="1"/>
      <c r="B79" s="1"/>
      <c r="C79" s="2" t="s">
        <v>126</v>
      </c>
      <c r="D79" s="1"/>
      <c r="E79" s="1"/>
      <c r="F79" s="1"/>
      <c r="G79" s="1"/>
      <c r="H79" s="47"/>
    </row>
    <row r="80" spans="1:8" ht="14.1" customHeight="1" x14ac:dyDescent="0.2">
      <c r="A80" s="1"/>
      <c r="B80" s="1"/>
      <c r="C80" s="2" t="s">
        <v>122</v>
      </c>
      <c r="D80" s="1"/>
      <c r="E80" s="1" t="s">
        <v>123</v>
      </c>
      <c r="F80" s="13">
        <v>0</v>
      </c>
      <c r="G80" s="14">
        <v>0</v>
      </c>
      <c r="H80" s="47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47"/>
    </row>
    <row r="82" spans="1:8" ht="14.1" customHeight="1" x14ac:dyDescent="0.2">
      <c r="A82" s="1"/>
      <c r="B82" s="1"/>
      <c r="C82" s="2" t="s">
        <v>127</v>
      </c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122</v>
      </c>
      <c r="D83" s="1"/>
      <c r="E83" s="1" t="s">
        <v>123</v>
      </c>
      <c r="F83" s="13">
        <v>0</v>
      </c>
      <c r="G83" s="14">
        <v>0</v>
      </c>
      <c r="H83" s="47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128</v>
      </c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122</v>
      </c>
      <c r="D86" s="1"/>
      <c r="E86" s="1" t="s">
        <v>123</v>
      </c>
      <c r="F86" s="13">
        <v>0</v>
      </c>
      <c r="G86" s="14">
        <v>0</v>
      </c>
      <c r="H86" s="47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47"/>
    </row>
    <row r="88" spans="1:8" ht="18" customHeight="1" x14ac:dyDescent="0.2">
      <c r="A88" s="1"/>
      <c r="B88" s="1"/>
      <c r="C88" s="2" t="s">
        <v>129</v>
      </c>
      <c r="D88" s="1"/>
      <c r="E88" s="1"/>
      <c r="F88" s="9">
        <v>625284.64914800005</v>
      </c>
      <c r="G88" s="10">
        <v>0.97026437099999996</v>
      </c>
      <c r="H88" s="47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130</v>
      </c>
      <c r="D90" s="1"/>
      <c r="E90" s="1"/>
      <c r="F90" s="12"/>
      <c r="G90" s="12"/>
      <c r="H90" s="47"/>
    </row>
    <row r="91" spans="1:8" ht="24" customHeight="1" x14ac:dyDescent="0.2">
      <c r="A91" s="1"/>
      <c r="B91" s="1"/>
      <c r="C91" s="2" t="s">
        <v>10</v>
      </c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122</v>
      </c>
      <c r="D92" s="1"/>
      <c r="E92" s="1" t="s">
        <v>123</v>
      </c>
      <c r="F92" s="13">
        <v>0</v>
      </c>
      <c r="G92" s="14">
        <v>0</v>
      </c>
      <c r="H92" s="47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47"/>
    </row>
    <row r="94" spans="1:8" ht="14.1" customHeight="1" x14ac:dyDescent="0.2">
      <c r="A94" s="1"/>
      <c r="B94" s="1"/>
      <c r="C94" s="2" t="s">
        <v>131</v>
      </c>
      <c r="D94" s="1"/>
      <c r="E94" s="1"/>
      <c r="F94" s="1"/>
      <c r="G94" s="1"/>
      <c r="H94" s="47"/>
    </row>
    <row r="95" spans="1:8" ht="14.1" customHeight="1" x14ac:dyDescent="0.2">
      <c r="A95" s="1"/>
      <c r="B95" s="1"/>
      <c r="C95" s="2" t="s">
        <v>122</v>
      </c>
      <c r="D95" s="1"/>
      <c r="E95" s="1" t="s">
        <v>123</v>
      </c>
      <c r="F95" s="13">
        <v>0</v>
      </c>
      <c r="G95" s="14">
        <v>0</v>
      </c>
      <c r="H95" s="47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47"/>
    </row>
    <row r="97" spans="1:8" ht="14.1" customHeight="1" x14ac:dyDescent="0.2">
      <c r="A97" s="1"/>
      <c r="B97" s="1"/>
      <c r="C97" s="2" t="s">
        <v>132</v>
      </c>
      <c r="D97" s="1"/>
      <c r="E97" s="1"/>
      <c r="F97" s="1"/>
      <c r="G97" s="1"/>
      <c r="H97" s="47"/>
    </row>
    <row r="98" spans="1:8" ht="14.1" customHeight="1" x14ac:dyDescent="0.2">
      <c r="A98" s="1"/>
      <c r="B98" s="1"/>
      <c r="C98" s="2" t="s">
        <v>122</v>
      </c>
      <c r="D98" s="1"/>
      <c r="E98" s="1" t="s">
        <v>123</v>
      </c>
      <c r="F98" s="13">
        <v>0</v>
      </c>
      <c r="G98" s="14">
        <v>0</v>
      </c>
      <c r="H98" s="47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47"/>
    </row>
    <row r="100" spans="1:8" ht="14.1" customHeight="1" x14ac:dyDescent="0.2">
      <c r="A100" s="1"/>
      <c r="B100" s="1"/>
      <c r="C100" s="2" t="s">
        <v>133</v>
      </c>
      <c r="D100" s="1"/>
      <c r="E100" s="1"/>
      <c r="F100" s="12"/>
      <c r="G100" s="12"/>
      <c r="H100" s="47"/>
    </row>
    <row r="101" spans="1:8" ht="14.1" customHeight="1" x14ac:dyDescent="0.2">
      <c r="A101" s="1"/>
      <c r="B101" s="1"/>
      <c r="C101" s="2" t="s">
        <v>122</v>
      </c>
      <c r="D101" s="1"/>
      <c r="E101" s="1" t="s">
        <v>123</v>
      </c>
      <c r="F101" s="13">
        <v>0</v>
      </c>
      <c r="G101" s="14">
        <v>0</v>
      </c>
      <c r="H101" s="47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47"/>
    </row>
    <row r="103" spans="1:8" ht="14.1" customHeight="1" x14ac:dyDescent="0.2">
      <c r="A103" s="1"/>
      <c r="B103" s="1"/>
      <c r="C103" s="2" t="s">
        <v>134</v>
      </c>
      <c r="D103" s="1"/>
      <c r="E103" s="1"/>
      <c r="F103" s="9">
        <v>0</v>
      </c>
      <c r="G103" s="10">
        <v>0</v>
      </c>
      <c r="H103" s="47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47"/>
    </row>
    <row r="105" spans="1:8" ht="14.1" customHeight="1" x14ac:dyDescent="0.2">
      <c r="A105" s="1"/>
      <c r="B105" s="1"/>
      <c r="C105" s="2" t="s">
        <v>135</v>
      </c>
      <c r="D105" s="1"/>
      <c r="E105" s="1"/>
      <c r="F105" s="12"/>
      <c r="G105" s="12"/>
      <c r="H105" s="47"/>
    </row>
    <row r="106" spans="1:8" ht="14.1" customHeight="1" x14ac:dyDescent="0.2">
      <c r="A106" s="1"/>
      <c r="B106" s="1"/>
      <c r="C106" s="2" t="s">
        <v>136</v>
      </c>
      <c r="D106" s="1"/>
      <c r="E106" s="1"/>
      <c r="F106" s="12"/>
      <c r="G106" s="12"/>
      <c r="H106" s="47"/>
    </row>
    <row r="107" spans="1:8" ht="14.1" customHeight="1" x14ac:dyDescent="0.2">
      <c r="A107" s="1"/>
      <c r="B107" s="1"/>
      <c r="C107" s="2" t="s">
        <v>122</v>
      </c>
      <c r="D107" s="1"/>
      <c r="E107" s="1" t="s">
        <v>123</v>
      </c>
      <c r="F107" s="13">
        <v>0</v>
      </c>
      <c r="G107" s="14">
        <v>0</v>
      </c>
      <c r="H107" s="47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47"/>
    </row>
    <row r="109" spans="1:8" ht="14.1" customHeight="1" x14ac:dyDescent="0.2">
      <c r="A109" s="1"/>
      <c r="B109" s="1"/>
      <c r="C109" s="2" t="s">
        <v>137</v>
      </c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2" t="s">
        <v>122</v>
      </c>
      <c r="D110" s="1"/>
      <c r="E110" s="1" t="s">
        <v>123</v>
      </c>
      <c r="F110" s="13">
        <v>0</v>
      </c>
      <c r="G110" s="14">
        <v>0</v>
      </c>
      <c r="H110" s="47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47"/>
    </row>
    <row r="112" spans="1:8" ht="14.1" customHeight="1" x14ac:dyDescent="0.2">
      <c r="A112" s="1"/>
      <c r="B112" s="1"/>
      <c r="C112" s="2" t="s">
        <v>138</v>
      </c>
      <c r="D112" s="1"/>
      <c r="E112" s="1"/>
      <c r="F112" s="12"/>
      <c r="G112" s="12"/>
      <c r="H112" s="47"/>
    </row>
    <row r="113" spans="1:8" ht="14.1" customHeight="1" x14ac:dyDescent="0.2">
      <c r="A113" s="1"/>
      <c r="B113" s="1"/>
      <c r="C113" s="2" t="s">
        <v>122</v>
      </c>
      <c r="D113" s="1"/>
      <c r="E113" s="1" t="s">
        <v>123</v>
      </c>
      <c r="F113" s="13">
        <v>0</v>
      </c>
      <c r="G113" s="14">
        <v>0</v>
      </c>
      <c r="H113" s="47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47"/>
    </row>
    <row r="115" spans="1:8" ht="14.1" customHeight="1" x14ac:dyDescent="0.2">
      <c r="A115" s="1"/>
      <c r="B115" s="1"/>
      <c r="C115" s="2" t="s">
        <v>139</v>
      </c>
      <c r="D115" s="1"/>
      <c r="E115" s="1"/>
      <c r="F115" s="12"/>
      <c r="G115" s="12"/>
      <c r="H115" s="47"/>
    </row>
    <row r="116" spans="1:8" ht="17.100000000000001" customHeight="1" x14ac:dyDescent="0.2">
      <c r="A116" s="3">
        <v>1</v>
      </c>
      <c r="B116" s="4"/>
      <c r="C116" s="4" t="s">
        <v>140</v>
      </c>
      <c r="D116" s="4"/>
      <c r="E116" s="8"/>
      <c r="F116" s="6">
        <v>22037.792910700002</v>
      </c>
      <c r="G116" s="7">
        <v>3.4196402000000001E-2</v>
      </c>
      <c r="H116" s="47">
        <v>4.6730752161314033</v>
      </c>
    </row>
    <row r="117" spans="1:8" ht="14.1" customHeight="1" x14ac:dyDescent="0.2">
      <c r="A117" s="1"/>
      <c r="B117" s="1"/>
      <c r="C117" s="2" t="s">
        <v>122</v>
      </c>
      <c r="D117" s="1"/>
      <c r="E117" s="1" t="s">
        <v>123</v>
      </c>
      <c r="F117" s="9">
        <v>22037.792910700002</v>
      </c>
      <c r="G117" s="10">
        <v>3.4196402000000001E-2</v>
      </c>
      <c r="H117" s="47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47"/>
    </row>
    <row r="119" spans="1:8" ht="14.1" customHeight="1" x14ac:dyDescent="0.2">
      <c r="A119" s="1"/>
      <c r="B119" s="1"/>
      <c r="C119" s="2" t="s">
        <v>141</v>
      </c>
      <c r="D119" s="1"/>
      <c r="E119" s="1"/>
      <c r="F119" s="9">
        <v>22037.792910700002</v>
      </c>
      <c r="G119" s="10">
        <v>3.4196402000000001E-2</v>
      </c>
      <c r="H119" s="47"/>
    </row>
    <row r="120" spans="1:8" ht="14.1" customHeight="1" x14ac:dyDescent="0.2">
      <c r="A120" s="1"/>
      <c r="B120" s="1"/>
      <c r="C120" s="12"/>
      <c r="D120" s="1"/>
      <c r="E120" s="1"/>
      <c r="F120" s="1"/>
      <c r="G120" s="1"/>
      <c r="H120" s="47"/>
    </row>
    <row r="121" spans="1:8" ht="14.1" customHeight="1" x14ac:dyDescent="0.2">
      <c r="A121" s="1"/>
      <c r="B121" s="1"/>
      <c r="C121" s="2" t="s">
        <v>142</v>
      </c>
      <c r="D121" s="1"/>
      <c r="E121" s="1"/>
      <c r="F121" s="1"/>
      <c r="G121" s="1"/>
      <c r="H121" s="47"/>
    </row>
    <row r="122" spans="1:8" ht="14.1" customHeight="1" x14ac:dyDescent="0.2">
      <c r="A122" s="1"/>
      <c r="B122" s="1"/>
      <c r="C122" s="2" t="s">
        <v>143</v>
      </c>
      <c r="D122" s="1"/>
      <c r="E122" s="1"/>
      <c r="F122" s="1"/>
      <c r="G122" s="1"/>
      <c r="H122" s="47"/>
    </row>
    <row r="123" spans="1:8" ht="14.1" customHeight="1" x14ac:dyDescent="0.2">
      <c r="A123" s="1"/>
      <c r="B123" s="1"/>
      <c r="C123" s="2" t="s">
        <v>122</v>
      </c>
      <c r="D123" s="1"/>
      <c r="E123" s="1" t="s">
        <v>123</v>
      </c>
      <c r="F123" s="13">
        <v>0</v>
      </c>
      <c r="G123" s="14">
        <v>0</v>
      </c>
      <c r="H123" s="47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47"/>
    </row>
    <row r="125" spans="1:8" ht="14.1" customHeight="1" x14ac:dyDescent="0.2">
      <c r="A125" s="1"/>
      <c r="B125" s="1"/>
      <c r="C125" s="2" t="s">
        <v>144</v>
      </c>
      <c r="D125" s="1"/>
      <c r="E125" s="1"/>
      <c r="F125" s="1"/>
      <c r="G125" s="1"/>
      <c r="H125" s="47"/>
    </row>
    <row r="126" spans="1:8" ht="14.1" customHeight="1" x14ac:dyDescent="0.2">
      <c r="A126" s="1"/>
      <c r="B126" s="1"/>
      <c r="C126" s="2" t="s">
        <v>145</v>
      </c>
      <c r="D126" s="1"/>
      <c r="E126" s="1"/>
      <c r="F126" s="1"/>
      <c r="G126" s="1"/>
      <c r="H126" s="47"/>
    </row>
    <row r="127" spans="1:8" ht="14.1" customHeight="1" x14ac:dyDescent="0.2">
      <c r="A127" s="1"/>
      <c r="B127" s="1"/>
      <c r="C127" s="2" t="s">
        <v>122</v>
      </c>
      <c r="D127" s="1"/>
      <c r="E127" s="1" t="s">
        <v>123</v>
      </c>
      <c r="F127" s="13">
        <v>0</v>
      </c>
      <c r="G127" s="14">
        <v>0</v>
      </c>
      <c r="H127" s="47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47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47"/>
    </row>
    <row r="130" spans="1:8" ht="24" customHeight="1" x14ac:dyDescent="0.2">
      <c r="A130" s="1"/>
      <c r="B130" s="1"/>
      <c r="C130" s="2" t="s">
        <v>146</v>
      </c>
      <c r="D130" s="1"/>
      <c r="E130" s="1"/>
      <c r="F130" s="12"/>
      <c r="G130" s="12"/>
      <c r="H130" s="47"/>
    </row>
    <row r="131" spans="1:8" ht="14.1" customHeight="1" x14ac:dyDescent="0.2">
      <c r="A131" s="1"/>
      <c r="B131" s="1"/>
      <c r="C131" s="2" t="s">
        <v>122</v>
      </c>
      <c r="D131" s="1"/>
      <c r="E131" s="1" t="s">
        <v>123</v>
      </c>
      <c r="F131" s="13">
        <v>0</v>
      </c>
      <c r="G131" s="14">
        <v>0</v>
      </c>
      <c r="H131" s="47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47"/>
    </row>
    <row r="133" spans="1:8" ht="14.1" customHeight="1" x14ac:dyDescent="0.2">
      <c r="A133" s="1"/>
      <c r="B133" s="4"/>
      <c r="C133" s="4"/>
      <c r="D133" s="2"/>
      <c r="E133" s="1"/>
      <c r="F133" s="4"/>
      <c r="G133" s="8"/>
      <c r="H133" s="47"/>
    </row>
    <row r="134" spans="1:8" ht="18" customHeight="1" x14ac:dyDescent="0.2">
      <c r="A134" s="8"/>
      <c r="B134" s="4"/>
      <c r="C134" s="4" t="s">
        <v>147</v>
      </c>
      <c r="D134" s="4"/>
      <c r="E134" s="8"/>
      <c r="F134" s="6">
        <v>-2874.7366468699997</v>
      </c>
      <c r="G134" s="7">
        <v>-4.4607756730748521E-3</v>
      </c>
      <c r="H134" s="47"/>
    </row>
    <row r="135" spans="1:8" ht="14.1" customHeight="1" x14ac:dyDescent="0.2">
      <c r="A135" s="11"/>
      <c r="B135" s="11"/>
      <c r="C135" s="2" t="s">
        <v>148</v>
      </c>
      <c r="D135" s="15"/>
      <c r="E135" s="15"/>
      <c r="F135" s="9">
        <v>644447.70541182999</v>
      </c>
      <c r="G135" s="10">
        <v>0.99999999732692513</v>
      </c>
      <c r="H135" s="47"/>
    </row>
    <row r="136" spans="1:8" ht="14.1" customHeight="1" x14ac:dyDescent="0.2">
      <c r="A136" s="18"/>
      <c r="B136" s="18"/>
      <c r="C136" s="18"/>
      <c r="D136" s="20"/>
      <c r="E136" s="20"/>
      <c r="F136" s="20"/>
      <c r="G136" s="20"/>
    </row>
    <row r="137" spans="1:8" ht="14.1" customHeight="1" x14ac:dyDescent="0.2">
      <c r="A137" s="18"/>
      <c r="B137" s="257" t="s">
        <v>150</v>
      </c>
      <c r="C137" s="258"/>
      <c r="D137" s="12" t="s">
        <v>123</v>
      </c>
      <c r="E137" s="21"/>
      <c r="F137" s="20"/>
      <c r="G137" s="20"/>
    </row>
    <row r="138" spans="1:8" ht="29.1" customHeight="1" x14ac:dyDescent="0.2">
      <c r="A138" s="18"/>
      <c r="B138" s="259" t="s">
        <v>151</v>
      </c>
      <c r="C138" s="260"/>
      <c r="D138" s="2" t="s">
        <v>152</v>
      </c>
      <c r="E138" s="21"/>
      <c r="F138" s="20"/>
      <c r="G138" s="20"/>
    </row>
    <row r="139" spans="1:8" ht="17.100000000000001" customHeight="1" x14ac:dyDescent="0.2">
      <c r="A139" s="18"/>
      <c r="B139" s="259" t="s">
        <v>153</v>
      </c>
      <c r="C139" s="260"/>
      <c r="D139" s="2" t="s">
        <v>152</v>
      </c>
      <c r="E139" s="21"/>
      <c r="F139" s="20"/>
      <c r="G139" s="20"/>
    </row>
    <row r="140" spans="1:8" ht="17.100000000000001" customHeight="1" x14ac:dyDescent="0.2">
      <c r="A140" s="18"/>
      <c r="B140" s="259" t="s">
        <v>154</v>
      </c>
      <c r="C140" s="260"/>
      <c r="D140" s="12" t="s">
        <v>123</v>
      </c>
      <c r="E140" s="21"/>
      <c r="F140" s="20"/>
      <c r="G140" s="20"/>
    </row>
    <row r="141" spans="1:8" ht="24" customHeight="1" x14ac:dyDescent="0.2">
      <c r="A141" s="22"/>
      <c r="B141" s="23" t="s">
        <v>123</v>
      </c>
      <c r="C141" s="23" t="s">
        <v>155</v>
      </c>
      <c r="D141" s="23" t="s">
        <v>156</v>
      </c>
      <c r="E141" s="22"/>
      <c r="F141" s="22"/>
      <c r="G141" s="22"/>
    </row>
    <row r="142" spans="1:8" ht="18" customHeight="1" x14ac:dyDescent="0.2">
      <c r="A142" s="22"/>
      <c r="B142" s="23" t="s">
        <v>157</v>
      </c>
      <c r="C142" s="23" t="s">
        <v>158</v>
      </c>
      <c r="D142" s="23" t="s">
        <v>159</v>
      </c>
      <c r="E142" s="22"/>
      <c r="F142" s="22"/>
      <c r="G142" s="22"/>
    </row>
    <row r="143" spans="1:8" ht="17.100000000000001" customHeight="1" x14ac:dyDescent="0.2">
      <c r="A143" s="22"/>
      <c r="B143" s="4" t="s">
        <v>160</v>
      </c>
      <c r="C143" s="24">
        <v>698.45799999999997</v>
      </c>
      <c r="D143" s="24">
        <v>671.55280000000005</v>
      </c>
      <c r="E143" s="22"/>
      <c r="F143" s="19"/>
      <c r="G143" s="25"/>
    </row>
    <row r="144" spans="1:8" ht="17.100000000000001" customHeight="1" x14ac:dyDescent="0.2">
      <c r="A144" s="22"/>
      <c r="B144" s="4" t="s">
        <v>1101</v>
      </c>
      <c r="C144" s="24">
        <v>43.8202</v>
      </c>
      <c r="D144" s="24">
        <v>42.131399999999999</v>
      </c>
      <c r="E144" s="22"/>
      <c r="F144" s="19"/>
      <c r="G144" s="25"/>
    </row>
    <row r="145" spans="1:7" ht="17.100000000000001" customHeight="1" x14ac:dyDescent="0.2">
      <c r="A145" s="22"/>
      <c r="B145" s="4" t="s">
        <v>161</v>
      </c>
      <c r="C145" s="24">
        <v>656.97479999999996</v>
      </c>
      <c r="D145" s="24">
        <v>631.17129999999997</v>
      </c>
      <c r="E145" s="22"/>
      <c r="F145" s="19"/>
      <c r="G145" s="25"/>
    </row>
    <row r="146" spans="1:7" ht="17.100000000000001" customHeight="1" x14ac:dyDescent="0.2">
      <c r="A146" s="22"/>
      <c r="B146" s="4" t="s">
        <v>1102</v>
      </c>
      <c r="C146" s="24">
        <v>40.641399999999997</v>
      </c>
      <c r="D146" s="24">
        <v>39.044899999999998</v>
      </c>
      <c r="E146" s="22"/>
      <c r="F146" s="19"/>
      <c r="G146" s="25"/>
    </row>
    <row r="147" spans="1:7" ht="14.1" customHeight="1" x14ac:dyDescent="0.2">
      <c r="A147" s="22"/>
      <c r="B147" s="22"/>
      <c r="C147" s="22"/>
      <c r="D147" s="22"/>
      <c r="E147" s="22"/>
      <c r="F147" s="22"/>
      <c r="G147" s="22"/>
    </row>
    <row r="148" spans="1:7" ht="17.100000000000001" customHeight="1" x14ac:dyDescent="0.2">
      <c r="A148" s="22"/>
      <c r="B148" s="259" t="s">
        <v>1103</v>
      </c>
      <c r="C148" s="260"/>
      <c r="D148" s="2" t="s">
        <v>152</v>
      </c>
      <c r="E148" s="22"/>
      <c r="F148" s="22"/>
      <c r="G148" s="22"/>
    </row>
    <row r="149" spans="1:7" ht="18" customHeight="1" x14ac:dyDescent="0.2">
      <c r="A149" s="22"/>
      <c r="B149" s="26"/>
      <c r="C149" s="26"/>
      <c r="D149" s="27"/>
      <c r="E149" s="22"/>
      <c r="F149" s="22"/>
      <c r="G149" s="22"/>
    </row>
    <row r="150" spans="1:7" ht="29.1" customHeight="1" x14ac:dyDescent="0.2">
      <c r="A150" s="22"/>
      <c r="B150" s="259" t="s">
        <v>162</v>
      </c>
      <c r="C150" s="260"/>
      <c r="D150" s="2" t="s">
        <v>152</v>
      </c>
      <c r="E150" s="22"/>
      <c r="F150" s="22"/>
      <c r="G150" s="22"/>
    </row>
    <row r="151" spans="1:7" ht="29.1" customHeight="1" x14ac:dyDescent="0.2">
      <c r="A151" s="22"/>
      <c r="B151" s="259" t="s">
        <v>163</v>
      </c>
      <c r="C151" s="260"/>
      <c r="D151" s="2" t="s">
        <v>152</v>
      </c>
      <c r="E151" s="22"/>
      <c r="F151" s="22"/>
      <c r="G151" s="22"/>
    </row>
    <row r="152" spans="1:7" ht="17.100000000000001" customHeight="1" x14ac:dyDescent="0.2">
      <c r="A152" s="22"/>
      <c r="B152" s="259" t="s">
        <v>164</v>
      </c>
      <c r="C152" s="260"/>
      <c r="D152" s="28">
        <v>0.34690571920336338</v>
      </c>
      <c r="E152" s="22"/>
      <c r="F152" s="19"/>
      <c r="G152" s="25"/>
    </row>
    <row r="153" spans="1:7" ht="17.100000000000001" customHeight="1" x14ac:dyDescent="0.2">
      <c r="A153" s="22"/>
      <c r="B153" s="259" t="s">
        <v>165</v>
      </c>
      <c r="C153" s="260"/>
      <c r="D153" s="2" t="s">
        <v>152</v>
      </c>
      <c r="E153" s="22"/>
      <c r="F153" s="22"/>
      <c r="G153" s="22"/>
    </row>
  </sheetData>
  <mergeCells count="13">
    <mergeCell ref="J2:N2"/>
    <mergeCell ref="A1:H1"/>
    <mergeCell ref="A2:H2"/>
    <mergeCell ref="A3:H3"/>
    <mergeCell ref="B137:C137"/>
    <mergeCell ref="B152:C152"/>
    <mergeCell ref="B153:C153"/>
    <mergeCell ref="B138:C138"/>
    <mergeCell ref="B139:C139"/>
    <mergeCell ref="B140:C140"/>
    <mergeCell ref="B148:C148"/>
    <mergeCell ref="B150:C150"/>
    <mergeCell ref="B151:C151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4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392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44211</v>
      </c>
      <c r="F7" s="6">
        <v>1147.5628214999999</v>
      </c>
      <c r="G7" s="7">
        <v>8.7235475000000007E-2</v>
      </c>
      <c r="H7" s="47"/>
    </row>
    <row r="8" spans="1:14" ht="17.100000000000001" customHeight="1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137271</v>
      </c>
      <c r="F8" s="6">
        <v>970.78051200000004</v>
      </c>
      <c r="G8" s="7">
        <v>7.3796830999999993E-2</v>
      </c>
      <c r="H8" s="47"/>
    </row>
    <row r="9" spans="1:14" ht="17.100000000000001" customHeight="1" x14ac:dyDescent="0.2">
      <c r="A9" s="3">
        <v>3</v>
      </c>
      <c r="B9" s="4" t="s">
        <v>393</v>
      </c>
      <c r="C9" s="4" t="s">
        <v>394</v>
      </c>
      <c r="D9" s="4" t="s">
        <v>191</v>
      </c>
      <c r="E9" s="5">
        <v>53410</v>
      </c>
      <c r="F9" s="6">
        <v>780.80079000000001</v>
      </c>
      <c r="G9" s="7">
        <v>5.9354944999999999E-2</v>
      </c>
      <c r="H9" s="47"/>
    </row>
    <row r="10" spans="1:14" ht="29.1" customHeight="1" x14ac:dyDescent="0.2">
      <c r="A10" s="3">
        <v>4</v>
      </c>
      <c r="B10" s="4" t="s">
        <v>395</v>
      </c>
      <c r="C10" s="4" t="s">
        <v>396</v>
      </c>
      <c r="D10" s="4" t="s">
        <v>91</v>
      </c>
      <c r="E10" s="5">
        <v>27959</v>
      </c>
      <c r="F10" s="6">
        <v>606.94795150000004</v>
      </c>
      <c r="G10" s="7">
        <v>4.6138993000000003E-2</v>
      </c>
      <c r="H10" s="47"/>
    </row>
    <row r="11" spans="1:14" ht="17.100000000000001" customHeight="1" x14ac:dyDescent="0.2">
      <c r="A11" s="3">
        <v>5</v>
      </c>
      <c r="B11" s="4" t="s">
        <v>358</v>
      </c>
      <c r="C11" s="4" t="s">
        <v>359</v>
      </c>
      <c r="D11" s="4" t="s">
        <v>19</v>
      </c>
      <c r="E11" s="5">
        <v>44398</v>
      </c>
      <c r="F11" s="6">
        <v>598.48504000000003</v>
      </c>
      <c r="G11" s="7">
        <v>4.5495659000000001E-2</v>
      </c>
      <c r="H11" s="47"/>
    </row>
    <row r="12" spans="1:14" ht="17.100000000000001" customHeight="1" x14ac:dyDescent="0.2">
      <c r="A12" s="3">
        <v>6</v>
      </c>
      <c r="B12" s="4" t="s">
        <v>46</v>
      </c>
      <c r="C12" s="4" t="s">
        <v>47</v>
      </c>
      <c r="D12" s="4" t="s">
        <v>19</v>
      </c>
      <c r="E12" s="5">
        <v>123316</v>
      </c>
      <c r="F12" s="6">
        <v>574.52924399999995</v>
      </c>
      <c r="G12" s="7">
        <v>4.3674586000000001E-2</v>
      </c>
      <c r="H12" s="47"/>
    </row>
    <row r="13" spans="1:14" ht="17.100000000000001" customHeight="1" x14ac:dyDescent="0.2">
      <c r="A13" s="3">
        <v>7</v>
      </c>
      <c r="B13" s="4" t="s">
        <v>304</v>
      </c>
      <c r="C13" s="4" t="s">
        <v>305</v>
      </c>
      <c r="D13" s="4" t="s">
        <v>19</v>
      </c>
      <c r="E13" s="5">
        <v>66020</v>
      </c>
      <c r="F13" s="6">
        <v>420.41536000000002</v>
      </c>
      <c r="G13" s="7">
        <v>3.1959150999999998E-2</v>
      </c>
      <c r="H13" s="47"/>
      <c r="J13" s="147" t="s">
        <v>1117</v>
      </c>
    </row>
    <row r="14" spans="1:14" ht="17.100000000000001" customHeight="1" x14ac:dyDescent="0.2">
      <c r="A14" s="3">
        <v>8</v>
      </c>
      <c r="B14" s="4" t="s">
        <v>261</v>
      </c>
      <c r="C14" s="4" t="s">
        <v>262</v>
      </c>
      <c r="D14" s="4" t="s">
        <v>80</v>
      </c>
      <c r="E14" s="5">
        <v>200130</v>
      </c>
      <c r="F14" s="6">
        <v>383.54914500000001</v>
      </c>
      <c r="G14" s="7">
        <v>2.9156654000000001E-2</v>
      </c>
      <c r="H14" s="47"/>
    </row>
    <row r="15" spans="1:14" ht="29.1" customHeight="1" x14ac:dyDescent="0.2">
      <c r="A15" s="3">
        <v>9</v>
      </c>
      <c r="B15" s="4" t="s">
        <v>199</v>
      </c>
      <c r="C15" s="4" t="s">
        <v>200</v>
      </c>
      <c r="D15" s="4" t="s">
        <v>201</v>
      </c>
      <c r="E15" s="5">
        <v>10484</v>
      </c>
      <c r="F15" s="6">
        <v>382.83374400000002</v>
      </c>
      <c r="G15" s="7">
        <v>2.910227E-2</v>
      </c>
      <c r="H15" s="47"/>
    </row>
    <row r="16" spans="1:14" ht="17.100000000000001" customHeight="1" x14ac:dyDescent="0.2">
      <c r="A16" s="3">
        <v>10</v>
      </c>
      <c r="B16" s="4" t="s">
        <v>11</v>
      </c>
      <c r="C16" s="4" t="s">
        <v>12</v>
      </c>
      <c r="D16" s="4" t="s">
        <v>13</v>
      </c>
      <c r="E16" s="5">
        <v>23069</v>
      </c>
      <c r="F16" s="6">
        <v>359.47269249999999</v>
      </c>
      <c r="G16" s="7">
        <v>2.7326408999999999E-2</v>
      </c>
      <c r="H16" s="47"/>
    </row>
    <row r="17" spans="1:8" ht="17.100000000000001" customHeight="1" x14ac:dyDescent="0.2">
      <c r="A17" s="3">
        <v>11</v>
      </c>
      <c r="B17" s="4" t="s">
        <v>20</v>
      </c>
      <c r="C17" s="4" t="s">
        <v>21</v>
      </c>
      <c r="D17" s="4" t="s">
        <v>22</v>
      </c>
      <c r="E17" s="5">
        <v>45416</v>
      </c>
      <c r="F17" s="6">
        <v>311.07689199999999</v>
      </c>
      <c r="G17" s="7">
        <v>2.3647455000000001E-2</v>
      </c>
      <c r="H17" s="47"/>
    </row>
    <row r="18" spans="1:8" ht="17.100000000000001" customHeight="1" x14ac:dyDescent="0.2">
      <c r="A18" s="3">
        <v>12</v>
      </c>
      <c r="B18" s="4" t="s">
        <v>397</v>
      </c>
      <c r="C18" s="4" t="s">
        <v>398</v>
      </c>
      <c r="D18" s="4" t="s">
        <v>191</v>
      </c>
      <c r="E18" s="5">
        <v>8814</v>
      </c>
      <c r="F18" s="6">
        <v>287.96219400000001</v>
      </c>
      <c r="G18" s="7">
        <v>2.1890321000000001E-2</v>
      </c>
      <c r="H18" s="47"/>
    </row>
    <row r="19" spans="1:8" ht="17.100000000000001" customHeight="1" x14ac:dyDescent="0.2">
      <c r="A19" s="3">
        <v>13</v>
      </c>
      <c r="B19" s="4" t="s">
        <v>241</v>
      </c>
      <c r="C19" s="4" t="s">
        <v>242</v>
      </c>
      <c r="D19" s="4" t="s">
        <v>243</v>
      </c>
      <c r="E19" s="5">
        <v>55938</v>
      </c>
      <c r="F19" s="6">
        <v>284.41676100000001</v>
      </c>
      <c r="G19" s="7">
        <v>2.1620804E-2</v>
      </c>
      <c r="H19" s="47"/>
    </row>
    <row r="20" spans="1:8" ht="29.1" customHeight="1" x14ac:dyDescent="0.2">
      <c r="A20" s="3">
        <v>14</v>
      </c>
      <c r="B20" s="4" t="s">
        <v>175</v>
      </c>
      <c r="C20" s="4" t="s">
        <v>176</v>
      </c>
      <c r="D20" s="4" t="s">
        <v>88</v>
      </c>
      <c r="E20" s="5">
        <v>81737</v>
      </c>
      <c r="F20" s="6">
        <v>278.02840550000002</v>
      </c>
      <c r="G20" s="7">
        <v>2.1135174E-2</v>
      </c>
      <c r="H20" s="47"/>
    </row>
    <row r="21" spans="1:8" ht="17.100000000000001" customHeight="1" x14ac:dyDescent="0.2">
      <c r="A21" s="3">
        <v>15</v>
      </c>
      <c r="B21" s="4" t="s">
        <v>399</v>
      </c>
      <c r="C21" s="4" t="s">
        <v>400</v>
      </c>
      <c r="D21" s="4" t="s">
        <v>321</v>
      </c>
      <c r="E21" s="5">
        <v>24719</v>
      </c>
      <c r="F21" s="6">
        <v>267.360704</v>
      </c>
      <c r="G21" s="7">
        <v>2.0324235999999999E-2</v>
      </c>
      <c r="H21" s="47"/>
    </row>
    <row r="22" spans="1:8" ht="17.100000000000001" customHeight="1" x14ac:dyDescent="0.2">
      <c r="A22" s="3">
        <v>16</v>
      </c>
      <c r="B22" s="4" t="s">
        <v>26</v>
      </c>
      <c r="C22" s="4" t="s">
        <v>27</v>
      </c>
      <c r="D22" s="4" t="s">
        <v>28</v>
      </c>
      <c r="E22" s="5">
        <v>15186</v>
      </c>
      <c r="F22" s="6">
        <v>255.58797300000001</v>
      </c>
      <c r="G22" s="7">
        <v>1.9429297000000002E-2</v>
      </c>
      <c r="H22" s="47"/>
    </row>
    <row r="23" spans="1:8" ht="29.1" customHeight="1" x14ac:dyDescent="0.2">
      <c r="A23" s="3">
        <v>17</v>
      </c>
      <c r="B23" s="4" t="s">
        <v>401</v>
      </c>
      <c r="C23" s="4" t="s">
        <v>402</v>
      </c>
      <c r="D23" s="4" t="s">
        <v>204</v>
      </c>
      <c r="E23" s="5">
        <v>28492</v>
      </c>
      <c r="F23" s="6">
        <v>236.654552</v>
      </c>
      <c r="G23" s="7">
        <v>1.7990015000000002E-2</v>
      </c>
      <c r="H23" s="47"/>
    </row>
    <row r="24" spans="1:8" ht="17.100000000000001" customHeight="1" x14ac:dyDescent="0.2">
      <c r="A24" s="3">
        <v>18</v>
      </c>
      <c r="B24" s="4" t="s">
        <v>403</v>
      </c>
      <c r="C24" s="4" t="s">
        <v>404</v>
      </c>
      <c r="D24" s="4" t="s">
        <v>405</v>
      </c>
      <c r="E24" s="5">
        <v>9430</v>
      </c>
      <c r="F24" s="6">
        <v>210.34558000000001</v>
      </c>
      <c r="G24" s="7">
        <v>1.5990059000000001E-2</v>
      </c>
      <c r="H24" s="47"/>
    </row>
    <row r="25" spans="1:8" ht="17.100000000000001" customHeight="1" x14ac:dyDescent="0.2">
      <c r="A25" s="3">
        <v>19</v>
      </c>
      <c r="B25" s="4" t="s">
        <v>345</v>
      </c>
      <c r="C25" s="4" t="s">
        <v>346</v>
      </c>
      <c r="D25" s="4" t="s">
        <v>174</v>
      </c>
      <c r="E25" s="5">
        <v>40695</v>
      </c>
      <c r="F25" s="6">
        <v>208.4601375</v>
      </c>
      <c r="G25" s="7">
        <v>1.5846730999999999E-2</v>
      </c>
      <c r="H25" s="47"/>
    </row>
    <row r="26" spans="1:8" ht="29.1" customHeight="1" x14ac:dyDescent="0.2">
      <c r="A26" s="3">
        <v>20</v>
      </c>
      <c r="B26" s="4" t="s">
        <v>23</v>
      </c>
      <c r="C26" s="4" t="s">
        <v>24</v>
      </c>
      <c r="D26" s="4" t="s">
        <v>25</v>
      </c>
      <c r="E26" s="5">
        <v>3567</v>
      </c>
      <c r="F26" s="6">
        <v>200.01239100000001</v>
      </c>
      <c r="G26" s="7">
        <v>1.5204550000000001E-2</v>
      </c>
      <c r="H26" s="47"/>
    </row>
    <row r="27" spans="1:8" ht="29.1" customHeight="1" x14ac:dyDescent="0.2">
      <c r="A27" s="3">
        <v>21</v>
      </c>
      <c r="B27" s="4" t="s">
        <v>179</v>
      </c>
      <c r="C27" s="4" t="s">
        <v>180</v>
      </c>
      <c r="D27" s="4" t="s">
        <v>181</v>
      </c>
      <c r="E27" s="5">
        <v>32477</v>
      </c>
      <c r="F27" s="6">
        <v>199.29511049999999</v>
      </c>
      <c r="G27" s="7">
        <v>1.5150023E-2</v>
      </c>
      <c r="H27" s="47"/>
    </row>
    <row r="28" spans="1:8" ht="17.100000000000001" customHeight="1" x14ac:dyDescent="0.2">
      <c r="A28" s="3">
        <v>22</v>
      </c>
      <c r="B28" s="4" t="s">
        <v>406</v>
      </c>
      <c r="C28" s="4" t="s">
        <v>407</v>
      </c>
      <c r="D28" s="4" t="s">
        <v>85</v>
      </c>
      <c r="E28" s="5">
        <v>17387</v>
      </c>
      <c r="F28" s="6">
        <v>190.0659905</v>
      </c>
      <c r="G28" s="7">
        <v>1.4448444E-2</v>
      </c>
      <c r="H28" s="47"/>
    </row>
    <row r="29" spans="1:8" ht="17.100000000000001" customHeight="1" x14ac:dyDescent="0.2">
      <c r="A29" s="3">
        <v>23</v>
      </c>
      <c r="B29" s="4" t="s">
        <v>294</v>
      </c>
      <c r="C29" s="4" t="s">
        <v>295</v>
      </c>
      <c r="D29" s="4" t="s">
        <v>296</v>
      </c>
      <c r="E29" s="5">
        <v>23817</v>
      </c>
      <c r="F29" s="6">
        <v>188.28529349999999</v>
      </c>
      <c r="G29" s="7">
        <v>1.4313078999999999E-2</v>
      </c>
      <c r="H29" s="47"/>
    </row>
    <row r="30" spans="1:8" ht="17.100000000000001" customHeight="1" x14ac:dyDescent="0.2">
      <c r="A30" s="3">
        <v>24</v>
      </c>
      <c r="B30" s="4" t="s">
        <v>192</v>
      </c>
      <c r="C30" s="4" t="s">
        <v>193</v>
      </c>
      <c r="D30" s="4" t="s">
        <v>184</v>
      </c>
      <c r="E30" s="5">
        <v>15441</v>
      </c>
      <c r="F30" s="6">
        <v>186.24934200000001</v>
      </c>
      <c r="G30" s="7">
        <v>1.415831E-2</v>
      </c>
      <c r="H30" s="47"/>
    </row>
    <row r="31" spans="1:8" ht="17.100000000000001" customHeight="1" x14ac:dyDescent="0.2">
      <c r="A31" s="3">
        <v>25</v>
      </c>
      <c r="B31" s="4" t="s">
        <v>92</v>
      </c>
      <c r="C31" s="4" t="s">
        <v>93</v>
      </c>
      <c r="D31" s="4" t="s">
        <v>94</v>
      </c>
      <c r="E31" s="5">
        <v>8130</v>
      </c>
      <c r="F31" s="6">
        <v>186.21764999999999</v>
      </c>
      <c r="G31" s="7">
        <v>1.4155901E-2</v>
      </c>
      <c r="H31" s="47"/>
    </row>
    <row r="32" spans="1:8" ht="17.100000000000001" customHeight="1" x14ac:dyDescent="0.2">
      <c r="A32" s="3">
        <v>26</v>
      </c>
      <c r="B32" s="4" t="s">
        <v>301</v>
      </c>
      <c r="C32" s="4" t="s">
        <v>302</v>
      </c>
      <c r="D32" s="4" t="s">
        <v>303</v>
      </c>
      <c r="E32" s="5">
        <v>443</v>
      </c>
      <c r="F32" s="6">
        <v>177.93759499999999</v>
      </c>
      <c r="G32" s="7">
        <v>1.3526467E-2</v>
      </c>
      <c r="H32" s="47"/>
    </row>
    <row r="33" spans="1:8" ht="17.100000000000001" customHeight="1" x14ac:dyDescent="0.2">
      <c r="A33" s="3">
        <v>27</v>
      </c>
      <c r="B33" s="4" t="s">
        <v>408</v>
      </c>
      <c r="C33" s="4" t="s">
        <v>409</v>
      </c>
      <c r="D33" s="4" t="s">
        <v>191</v>
      </c>
      <c r="E33" s="5">
        <v>18271</v>
      </c>
      <c r="F33" s="6">
        <v>177.8225075</v>
      </c>
      <c r="G33" s="7">
        <v>1.3517718E-2</v>
      </c>
      <c r="H33" s="47"/>
    </row>
    <row r="34" spans="1:8" ht="29.1" customHeight="1" x14ac:dyDescent="0.2">
      <c r="A34" s="3">
        <v>28</v>
      </c>
      <c r="B34" s="4" t="s">
        <v>277</v>
      </c>
      <c r="C34" s="4" t="s">
        <v>278</v>
      </c>
      <c r="D34" s="4" t="s">
        <v>201</v>
      </c>
      <c r="E34" s="5">
        <v>34955</v>
      </c>
      <c r="F34" s="6">
        <v>164.34093250000001</v>
      </c>
      <c r="G34" s="7">
        <v>1.2492875000000001E-2</v>
      </c>
      <c r="H34" s="47"/>
    </row>
    <row r="35" spans="1:8" ht="17.100000000000001" customHeight="1" x14ac:dyDescent="0.2">
      <c r="A35" s="3">
        <v>29</v>
      </c>
      <c r="B35" s="4" t="s">
        <v>410</v>
      </c>
      <c r="C35" s="4" t="s">
        <v>411</v>
      </c>
      <c r="D35" s="4" t="s">
        <v>191</v>
      </c>
      <c r="E35" s="5">
        <v>39000</v>
      </c>
      <c r="F35" s="6">
        <v>162.2595</v>
      </c>
      <c r="G35" s="7">
        <v>1.2334649E-2</v>
      </c>
      <c r="H35" s="47"/>
    </row>
    <row r="36" spans="1:8" ht="17.100000000000001" customHeight="1" x14ac:dyDescent="0.2">
      <c r="A36" s="3">
        <v>30</v>
      </c>
      <c r="B36" s="4" t="s">
        <v>306</v>
      </c>
      <c r="C36" s="4" t="s">
        <v>307</v>
      </c>
      <c r="D36" s="4" t="s">
        <v>19</v>
      </c>
      <c r="E36" s="5">
        <v>160000</v>
      </c>
      <c r="F36" s="6">
        <v>155.84</v>
      </c>
      <c r="G36" s="7">
        <v>1.1846651E-2</v>
      </c>
      <c r="H36" s="47"/>
    </row>
    <row r="37" spans="1:8" ht="29.1" customHeight="1" x14ac:dyDescent="0.2">
      <c r="A37" s="3">
        <v>31</v>
      </c>
      <c r="B37" s="4" t="s">
        <v>340</v>
      </c>
      <c r="C37" s="4" t="s">
        <v>341</v>
      </c>
      <c r="D37" s="4" t="s">
        <v>342</v>
      </c>
      <c r="E37" s="5">
        <v>16000</v>
      </c>
      <c r="F37" s="6">
        <v>152.50399999999999</v>
      </c>
      <c r="G37" s="7">
        <v>1.1593055E-2</v>
      </c>
      <c r="H37" s="47"/>
    </row>
    <row r="38" spans="1:8" ht="29.1" customHeight="1" x14ac:dyDescent="0.2">
      <c r="A38" s="3">
        <v>32</v>
      </c>
      <c r="B38" s="4" t="s">
        <v>202</v>
      </c>
      <c r="C38" s="4" t="s">
        <v>203</v>
      </c>
      <c r="D38" s="4" t="s">
        <v>204</v>
      </c>
      <c r="E38" s="5">
        <v>32698</v>
      </c>
      <c r="F38" s="6">
        <v>151.94760600000001</v>
      </c>
      <c r="G38" s="7">
        <v>1.1550759000000001E-2</v>
      </c>
      <c r="H38" s="47"/>
    </row>
    <row r="39" spans="1:8" ht="17.100000000000001" customHeight="1" x14ac:dyDescent="0.2">
      <c r="A39" s="3">
        <v>33</v>
      </c>
      <c r="B39" s="4" t="s">
        <v>412</v>
      </c>
      <c r="C39" s="4" t="s">
        <v>413</v>
      </c>
      <c r="D39" s="4" t="s">
        <v>405</v>
      </c>
      <c r="E39" s="5">
        <v>53592</v>
      </c>
      <c r="F39" s="6">
        <v>146.57411999999999</v>
      </c>
      <c r="G39" s="7">
        <v>1.1142277000000001E-2</v>
      </c>
      <c r="H39" s="47"/>
    </row>
    <row r="40" spans="1:8" ht="17.100000000000001" customHeight="1" x14ac:dyDescent="0.2">
      <c r="A40" s="3">
        <v>34</v>
      </c>
      <c r="B40" s="4" t="s">
        <v>310</v>
      </c>
      <c r="C40" s="4" t="s">
        <v>311</v>
      </c>
      <c r="D40" s="4" t="s">
        <v>312</v>
      </c>
      <c r="E40" s="5">
        <v>13636</v>
      </c>
      <c r="F40" s="6">
        <v>146.47109399999999</v>
      </c>
      <c r="G40" s="7">
        <v>1.1134445E-2</v>
      </c>
      <c r="H40" s="47"/>
    </row>
    <row r="41" spans="1:8" ht="17.100000000000001" customHeight="1" x14ac:dyDescent="0.2">
      <c r="A41" s="3">
        <v>35</v>
      </c>
      <c r="B41" s="4" t="s">
        <v>43</v>
      </c>
      <c r="C41" s="4" t="s">
        <v>44</v>
      </c>
      <c r="D41" s="4" t="s">
        <v>45</v>
      </c>
      <c r="E41" s="5">
        <v>24502</v>
      </c>
      <c r="F41" s="6">
        <v>145.615386</v>
      </c>
      <c r="G41" s="7">
        <v>1.1069396E-2</v>
      </c>
      <c r="H41" s="47"/>
    </row>
    <row r="42" spans="1:8" ht="17.100000000000001" customHeight="1" x14ac:dyDescent="0.2">
      <c r="A42" s="3">
        <v>36</v>
      </c>
      <c r="B42" s="4" t="s">
        <v>172</v>
      </c>
      <c r="C42" s="4" t="s">
        <v>173</v>
      </c>
      <c r="D42" s="4" t="s">
        <v>174</v>
      </c>
      <c r="E42" s="5">
        <v>12015</v>
      </c>
      <c r="F42" s="6">
        <v>130.36275000000001</v>
      </c>
      <c r="G42" s="7">
        <v>9.9099210000000004E-3</v>
      </c>
      <c r="H42" s="47"/>
    </row>
    <row r="43" spans="1:8" ht="17.100000000000001" customHeight="1" x14ac:dyDescent="0.2">
      <c r="A43" s="3">
        <v>37</v>
      </c>
      <c r="B43" s="4" t="s">
        <v>210</v>
      </c>
      <c r="C43" s="4" t="s">
        <v>211</v>
      </c>
      <c r="D43" s="4" t="s">
        <v>16</v>
      </c>
      <c r="E43" s="5">
        <v>57598</v>
      </c>
      <c r="F43" s="6">
        <v>125.102856</v>
      </c>
      <c r="G43" s="7">
        <v>9.5100740000000003E-3</v>
      </c>
      <c r="H43" s="47"/>
    </row>
    <row r="44" spans="1:8" ht="17.100000000000001" customHeight="1" x14ac:dyDescent="0.2">
      <c r="A44" s="3">
        <v>38</v>
      </c>
      <c r="B44" s="4" t="s">
        <v>338</v>
      </c>
      <c r="C44" s="4" t="s">
        <v>339</v>
      </c>
      <c r="D44" s="4" t="s">
        <v>114</v>
      </c>
      <c r="E44" s="5">
        <v>35316</v>
      </c>
      <c r="F44" s="6">
        <v>116.27793</v>
      </c>
      <c r="G44" s="7">
        <v>8.8392200000000001E-3</v>
      </c>
      <c r="H44" s="47"/>
    </row>
    <row r="45" spans="1:8" ht="17.100000000000001" customHeight="1" x14ac:dyDescent="0.2">
      <c r="A45" s="3">
        <v>39</v>
      </c>
      <c r="B45" s="4" t="s">
        <v>69</v>
      </c>
      <c r="C45" s="4" t="s">
        <v>70</v>
      </c>
      <c r="D45" s="4" t="s">
        <v>16</v>
      </c>
      <c r="E45" s="5">
        <v>37123</v>
      </c>
      <c r="F45" s="6">
        <v>114.48733199999999</v>
      </c>
      <c r="G45" s="7">
        <v>8.7031020000000008E-3</v>
      </c>
      <c r="H45" s="47"/>
    </row>
    <row r="46" spans="1:8" ht="17.100000000000001" customHeight="1" x14ac:dyDescent="0.2">
      <c r="A46" s="3">
        <v>40</v>
      </c>
      <c r="B46" s="4" t="s">
        <v>414</v>
      </c>
      <c r="C46" s="4" t="s">
        <v>415</v>
      </c>
      <c r="D46" s="4" t="s">
        <v>191</v>
      </c>
      <c r="E46" s="5">
        <v>11437</v>
      </c>
      <c r="F46" s="6">
        <v>114.37</v>
      </c>
      <c r="G46" s="7">
        <v>8.6941829999999994E-3</v>
      </c>
      <c r="H46" s="47"/>
    </row>
    <row r="47" spans="1:8" ht="17.100000000000001" customHeight="1" x14ac:dyDescent="0.2">
      <c r="A47" s="3">
        <v>41</v>
      </c>
      <c r="B47" s="4" t="s">
        <v>416</v>
      </c>
      <c r="C47" s="4" t="s">
        <v>417</v>
      </c>
      <c r="D47" s="4" t="s">
        <v>19</v>
      </c>
      <c r="E47" s="5">
        <v>14036</v>
      </c>
      <c r="F47" s="6">
        <v>111.49496600000001</v>
      </c>
      <c r="G47" s="7">
        <v>8.4756290000000001E-3</v>
      </c>
      <c r="H47" s="47"/>
    </row>
    <row r="48" spans="1:8" ht="29.1" customHeight="1" x14ac:dyDescent="0.2">
      <c r="A48" s="3">
        <v>42</v>
      </c>
      <c r="B48" s="4" t="s">
        <v>330</v>
      </c>
      <c r="C48" s="4" t="s">
        <v>331</v>
      </c>
      <c r="D48" s="4" t="s">
        <v>204</v>
      </c>
      <c r="E48" s="5">
        <v>4108</v>
      </c>
      <c r="F48" s="6">
        <v>110.98583600000001</v>
      </c>
      <c r="G48" s="7">
        <v>8.4369260000000008E-3</v>
      </c>
      <c r="H48" s="47"/>
    </row>
    <row r="49" spans="1:8" ht="17.100000000000001" customHeight="1" x14ac:dyDescent="0.2">
      <c r="A49" s="3">
        <v>43</v>
      </c>
      <c r="B49" s="4" t="s">
        <v>382</v>
      </c>
      <c r="C49" s="4" t="s">
        <v>383</v>
      </c>
      <c r="D49" s="4" t="s">
        <v>184</v>
      </c>
      <c r="E49" s="5">
        <v>25439</v>
      </c>
      <c r="F49" s="6">
        <v>109.107871</v>
      </c>
      <c r="G49" s="7">
        <v>8.2941660000000004E-3</v>
      </c>
      <c r="H49" s="47"/>
    </row>
    <row r="50" spans="1:8" ht="17.100000000000001" customHeight="1" x14ac:dyDescent="0.2">
      <c r="A50" s="3">
        <v>44</v>
      </c>
      <c r="B50" s="4" t="s">
        <v>418</v>
      </c>
      <c r="C50" s="4" t="s">
        <v>419</v>
      </c>
      <c r="D50" s="4" t="s">
        <v>91</v>
      </c>
      <c r="E50" s="5">
        <v>5239</v>
      </c>
      <c r="F50" s="6">
        <v>86.996214499999994</v>
      </c>
      <c r="G50" s="7">
        <v>6.6132819999999998E-3</v>
      </c>
      <c r="H50" s="47"/>
    </row>
    <row r="51" spans="1:8" ht="17.100000000000001" customHeight="1" x14ac:dyDescent="0.2">
      <c r="A51" s="3">
        <v>45</v>
      </c>
      <c r="B51" s="4" t="s">
        <v>319</v>
      </c>
      <c r="C51" s="4" t="s">
        <v>320</v>
      </c>
      <c r="D51" s="4" t="s">
        <v>321</v>
      </c>
      <c r="E51" s="5">
        <v>10058</v>
      </c>
      <c r="F51" s="6">
        <v>78.688762999999994</v>
      </c>
      <c r="G51" s="7">
        <v>5.981765E-3</v>
      </c>
      <c r="H51" s="47"/>
    </row>
    <row r="52" spans="1:8" ht="17.100000000000001" customHeight="1" x14ac:dyDescent="0.2">
      <c r="A52" s="3">
        <v>46</v>
      </c>
      <c r="B52" s="4" t="s">
        <v>420</v>
      </c>
      <c r="C52" s="4" t="s">
        <v>421</v>
      </c>
      <c r="D52" s="4" t="s">
        <v>19</v>
      </c>
      <c r="E52" s="5">
        <v>4709</v>
      </c>
      <c r="F52" s="6">
        <v>78.221198999999999</v>
      </c>
      <c r="G52" s="7">
        <v>5.9462220000000001E-3</v>
      </c>
      <c r="H52" s="47"/>
    </row>
    <row r="53" spans="1:8" ht="17.100000000000001" customHeight="1" x14ac:dyDescent="0.2">
      <c r="A53" s="3">
        <v>47</v>
      </c>
      <c r="B53" s="4" t="s">
        <v>271</v>
      </c>
      <c r="C53" s="4" t="s">
        <v>272</v>
      </c>
      <c r="D53" s="4" t="s">
        <v>94</v>
      </c>
      <c r="E53" s="5">
        <v>4226</v>
      </c>
      <c r="F53" s="6">
        <v>77.813338000000002</v>
      </c>
      <c r="G53" s="7">
        <v>5.9152170000000004E-3</v>
      </c>
      <c r="H53" s="47"/>
    </row>
    <row r="54" spans="1:8" ht="53.1" customHeight="1" x14ac:dyDescent="0.2">
      <c r="A54" s="3">
        <v>48</v>
      </c>
      <c r="B54" s="4" t="s">
        <v>422</v>
      </c>
      <c r="C54" s="4" t="s">
        <v>423</v>
      </c>
      <c r="D54" s="4" t="s">
        <v>62</v>
      </c>
      <c r="E54" s="5">
        <v>36162</v>
      </c>
      <c r="F54" s="6">
        <v>75.21696</v>
      </c>
      <c r="G54" s="7">
        <v>5.7178460000000004E-3</v>
      </c>
      <c r="H54" s="47"/>
    </row>
    <row r="55" spans="1:8" ht="17.100000000000001" customHeight="1" x14ac:dyDescent="0.2">
      <c r="A55" s="3">
        <v>49</v>
      </c>
      <c r="B55" s="4" t="s">
        <v>252</v>
      </c>
      <c r="C55" s="4" t="s">
        <v>253</v>
      </c>
      <c r="D55" s="4" t="s">
        <v>97</v>
      </c>
      <c r="E55" s="5">
        <v>111123</v>
      </c>
      <c r="F55" s="6">
        <v>72.507757499999997</v>
      </c>
      <c r="G55" s="7">
        <v>5.5118980000000003E-3</v>
      </c>
      <c r="H55" s="47"/>
    </row>
    <row r="56" spans="1:8" ht="17.100000000000001" customHeight="1" x14ac:dyDescent="0.2">
      <c r="A56" s="3">
        <v>50</v>
      </c>
      <c r="B56" s="4" t="s">
        <v>424</v>
      </c>
      <c r="C56" s="4" t="s">
        <v>425</v>
      </c>
      <c r="D56" s="4" t="s">
        <v>114</v>
      </c>
      <c r="E56" s="5">
        <v>7773</v>
      </c>
      <c r="F56" s="6">
        <v>67.395796500000003</v>
      </c>
      <c r="G56" s="7">
        <v>5.1232960000000003E-3</v>
      </c>
      <c r="H56" s="47"/>
    </row>
    <row r="57" spans="1:8" ht="17.100000000000001" customHeight="1" x14ac:dyDescent="0.2">
      <c r="A57" s="3">
        <v>51</v>
      </c>
      <c r="B57" s="4" t="s">
        <v>426</v>
      </c>
      <c r="C57" s="4" t="s">
        <v>427</v>
      </c>
      <c r="D57" s="4" t="s">
        <v>428</v>
      </c>
      <c r="E57" s="5">
        <v>19132</v>
      </c>
      <c r="F57" s="6">
        <v>64.790518000000006</v>
      </c>
      <c r="G57" s="7">
        <v>4.9252480000000001E-3</v>
      </c>
      <c r="H57" s="47"/>
    </row>
    <row r="58" spans="1:8" ht="17.100000000000001" customHeight="1" x14ac:dyDescent="0.2">
      <c r="A58" s="3">
        <v>52</v>
      </c>
      <c r="B58" s="4" t="s">
        <v>352</v>
      </c>
      <c r="C58" s="4" t="s">
        <v>353</v>
      </c>
      <c r="D58" s="4" t="s">
        <v>88</v>
      </c>
      <c r="E58" s="5">
        <v>100655</v>
      </c>
      <c r="F58" s="6">
        <v>60.292344999999997</v>
      </c>
      <c r="G58" s="7">
        <v>4.5833059999999997E-3</v>
      </c>
      <c r="H58" s="47"/>
    </row>
    <row r="59" spans="1:8" ht="17.100000000000001" customHeight="1" x14ac:dyDescent="0.2">
      <c r="A59" s="3">
        <v>53</v>
      </c>
      <c r="B59" s="4" t="s">
        <v>429</v>
      </c>
      <c r="C59" s="45" t="s">
        <v>1012</v>
      </c>
      <c r="D59" s="4" t="s">
        <v>22</v>
      </c>
      <c r="E59" s="5">
        <v>3244</v>
      </c>
      <c r="F59" s="6">
        <v>9.8098559999999999</v>
      </c>
      <c r="G59" s="7">
        <v>7.4572600000000005E-4</v>
      </c>
      <c r="H59" s="47"/>
    </row>
    <row r="60" spans="1:8" ht="14.1" customHeight="1" x14ac:dyDescent="0.2">
      <c r="A60" s="1"/>
      <c r="B60" s="1"/>
      <c r="C60" s="2" t="s">
        <v>122</v>
      </c>
      <c r="D60" s="1"/>
      <c r="E60" s="1" t="s">
        <v>123</v>
      </c>
      <c r="F60" s="9">
        <v>12900.631306499998</v>
      </c>
      <c r="G60" s="10">
        <v>0.98068069100000033</v>
      </c>
      <c r="H60" s="47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47"/>
    </row>
    <row r="62" spans="1:8" ht="14.1" customHeight="1" x14ac:dyDescent="0.2">
      <c r="A62" s="1"/>
      <c r="B62" s="1"/>
      <c r="C62" s="2" t="s">
        <v>124</v>
      </c>
      <c r="D62" s="1"/>
      <c r="E62" s="1"/>
      <c r="F62" s="1"/>
      <c r="G62" s="1"/>
      <c r="H62" s="47"/>
    </row>
    <row r="63" spans="1:8" ht="14.1" customHeight="1" x14ac:dyDescent="0.2">
      <c r="A63" s="1"/>
      <c r="B63" s="1"/>
      <c r="C63" s="2" t="s">
        <v>122</v>
      </c>
      <c r="D63" s="1"/>
      <c r="E63" s="1" t="s">
        <v>123</v>
      </c>
      <c r="F63" s="13">
        <v>0</v>
      </c>
      <c r="G63" s="14">
        <v>0</v>
      </c>
      <c r="H63" s="47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47"/>
    </row>
    <row r="65" spans="1:8" ht="14.1" customHeight="1" x14ac:dyDescent="0.2">
      <c r="A65" s="1"/>
      <c r="B65" s="1"/>
      <c r="C65" s="2" t="s">
        <v>125</v>
      </c>
      <c r="D65" s="1"/>
      <c r="E65" s="1"/>
      <c r="F65" s="1"/>
      <c r="G65" s="1"/>
      <c r="H65" s="47"/>
    </row>
    <row r="66" spans="1:8" ht="14.1" customHeight="1" x14ac:dyDescent="0.2">
      <c r="A66" s="1"/>
      <c r="B66" s="1"/>
      <c r="C66" s="2" t="s">
        <v>122</v>
      </c>
      <c r="D66" s="1"/>
      <c r="E66" s="1" t="s">
        <v>123</v>
      </c>
      <c r="F66" s="13">
        <v>0</v>
      </c>
      <c r="G66" s="14">
        <v>0</v>
      </c>
      <c r="H66" s="47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47"/>
    </row>
    <row r="68" spans="1:8" ht="14.1" customHeight="1" x14ac:dyDescent="0.2">
      <c r="A68" s="1"/>
      <c r="B68" s="1"/>
      <c r="C68" s="2" t="s">
        <v>126</v>
      </c>
      <c r="D68" s="1"/>
      <c r="E68" s="1"/>
      <c r="F68" s="1"/>
      <c r="G68" s="1"/>
      <c r="H68" s="47"/>
    </row>
    <row r="69" spans="1:8" ht="14.1" customHeight="1" x14ac:dyDescent="0.2">
      <c r="A69" s="1"/>
      <c r="B69" s="1"/>
      <c r="C69" s="2" t="s">
        <v>122</v>
      </c>
      <c r="D69" s="1"/>
      <c r="E69" s="1" t="s">
        <v>123</v>
      </c>
      <c r="F69" s="9">
        <v>0</v>
      </c>
      <c r="G69" s="10">
        <v>0</v>
      </c>
      <c r="H69" s="47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47"/>
    </row>
    <row r="71" spans="1:8" ht="14.1" customHeight="1" x14ac:dyDescent="0.2">
      <c r="A71" s="1"/>
      <c r="B71" s="1"/>
      <c r="C71" s="2" t="s">
        <v>127</v>
      </c>
      <c r="D71" s="1"/>
      <c r="E71" s="1"/>
      <c r="F71" s="12"/>
      <c r="G71" s="12"/>
      <c r="H71" s="47"/>
    </row>
    <row r="72" spans="1:8" ht="14.1" customHeight="1" x14ac:dyDescent="0.2">
      <c r="A72" s="1"/>
      <c r="B72" s="1"/>
      <c r="C72" s="2" t="s">
        <v>122</v>
      </c>
      <c r="D72" s="1"/>
      <c r="E72" s="1" t="s">
        <v>123</v>
      </c>
      <c r="F72" s="13">
        <v>0</v>
      </c>
      <c r="G72" s="14">
        <v>0</v>
      </c>
      <c r="H72" s="47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47"/>
    </row>
    <row r="74" spans="1:8" ht="14.1" customHeight="1" x14ac:dyDescent="0.2">
      <c r="A74" s="1"/>
      <c r="B74" s="1"/>
      <c r="C74" s="2" t="s">
        <v>128</v>
      </c>
      <c r="D74" s="1"/>
      <c r="E74" s="1"/>
      <c r="F74" s="12"/>
      <c r="G74" s="12"/>
      <c r="H74" s="47"/>
    </row>
    <row r="75" spans="1:8" ht="14.1" customHeight="1" x14ac:dyDescent="0.2">
      <c r="A75" s="1"/>
      <c r="B75" s="1"/>
      <c r="C75" s="2" t="s">
        <v>122</v>
      </c>
      <c r="D75" s="1"/>
      <c r="E75" s="1" t="s">
        <v>123</v>
      </c>
      <c r="F75" s="13">
        <v>0</v>
      </c>
      <c r="G75" s="14">
        <v>0</v>
      </c>
      <c r="H75" s="47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47"/>
    </row>
    <row r="77" spans="1:8" ht="18" customHeight="1" x14ac:dyDescent="0.2">
      <c r="A77" s="1"/>
      <c r="B77" s="1"/>
      <c r="C77" s="2" t="s">
        <v>129</v>
      </c>
      <c r="D77" s="1"/>
      <c r="E77" s="1"/>
      <c r="F77" s="9">
        <v>12900.631306499999</v>
      </c>
      <c r="G77" s="10">
        <v>0.98068069099999999</v>
      </c>
      <c r="H77" s="47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47"/>
    </row>
    <row r="79" spans="1:8" ht="14.1" customHeight="1" x14ac:dyDescent="0.2">
      <c r="A79" s="1"/>
      <c r="B79" s="1"/>
      <c r="C79" s="2" t="s">
        <v>130</v>
      </c>
      <c r="D79" s="1"/>
      <c r="E79" s="1"/>
      <c r="F79" s="12"/>
      <c r="G79" s="12"/>
      <c r="H79" s="47"/>
    </row>
    <row r="80" spans="1:8" ht="24" customHeight="1" x14ac:dyDescent="0.2">
      <c r="A80" s="1"/>
      <c r="B80" s="1"/>
      <c r="C80" s="2" t="s">
        <v>10</v>
      </c>
      <c r="D80" s="1"/>
      <c r="E80" s="1"/>
      <c r="F80" s="12"/>
      <c r="G80" s="12"/>
      <c r="H80" s="47"/>
    </row>
    <row r="81" spans="1:8" ht="14.1" customHeight="1" x14ac:dyDescent="0.2">
      <c r="A81" s="1"/>
      <c r="B81" s="1"/>
      <c r="C81" s="2" t="s">
        <v>122</v>
      </c>
      <c r="D81" s="1"/>
      <c r="E81" s="1" t="s">
        <v>123</v>
      </c>
      <c r="F81" s="13">
        <v>0</v>
      </c>
      <c r="G81" s="14">
        <v>0</v>
      </c>
      <c r="H81" s="47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131</v>
      </c>
      <c r="D83" s="1"/>
      <c r="E83" s="1"/>
      <c r="F83" s="1"/>
      <c r="G83" s="1"/>
      <c r="H83" s="47"/>
    </row>
    <row r="84" spans="1:8" ht="14.1" customHeight="1" x14ac:dyDescent="0.2">
      <c r="A84" s="1"/>
      <c r="B84" s="1"/>
      <c r="C84" s="2" t="s">
        <v>122</v>
      </c>
      <c r="D84" s="1"/>
      <c r="E84" s="1" t="s">
        <v>123</v>
      </c>
      <c r="F84" s="13">
        <v>0</v>
      </c>
      <c r="G84" s="14">
        <v>0</v>
      </c>
      <c r="H84" s="47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132</v>
      </c>
      <c r="D86" s="1"/>
      <c r="E86" s="1"/>
      <c r="F86" s="1"/>
      <c r="G86" s="1"/>
      <c r="H86" s="47"/>
    </row>
    <row r="87" spans="1:8" ht="14.1" customHeight="1" x14ac:dyDescent="0.2">
      <c r="A87" s="1"/>
      <c r="B87" s="1"/>
      <c r="C87" s="2" t="s">
        <v>122</v>
      </c>
      <c r="D87" s="1"/>
      <c r="E87" s="1" t="s">
        <v>123</v>
      </c>
      <c r="F87" s="13">
        <v>0</v>
      </c>
      <c r="G87" s="14">
        <v>0</v>
      </c>
      <c r="H87" s="47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133</v>
      </c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122</v>
      </c>
      <c r="D90" s="1"/>
      <c r="E90" s="1" t="s">
        <v>123</v>
      </c>
      <c r="F90" s="13">
        <v>0</v>
      </c>
      <c r="G90" s="14">
        <v>0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134</v>
      </c>
      <c r="D92" s="1"/>
      <c r="E92" s="1"/>
      <c r="F92" s="9">
        <v>0</v>
      </c>
      <c r="G92" s="10">
        <v>0</v>
      </c>
      <c r="H92" s="47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47"/>
    </row>
    <row r="94" spans="1:8" ht="14.1" customHeight="1" x14ac:dyDescent="0.2">
      <c r="A94" s="1"/>
      <c r="B94" s="1"/>
      <c r="C94" s="2" t="s">
        <v>135</v>
      </c>
      <c r="D94" s="1"/>
      <c r="E94" s="1"/>
      <c r="F94" s="12"/>
      <c r="G94" s="12"/>
      <c r="H94" s="47"/>
    </row>
    <row r="95" spans="1:8" ht="14.1" customHeight="1" x14ac:dyDescent="0.2">
      <c r="A95" s="1"/>
      <c r="B95" s="1"/>
      <c r="C95" s="2" t="s">
        <v>136</v>
      </c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122</v>
      </c>
      <c r="D96" s="1"/>
      <c r="E96" s="1" t="s">
        <v>123</v>
      </c>
      <c r="F96" s="13">
        <v>0</v>
      </c>
      <c r="G96" s="14">
        <v>0</v>
      </c>
      <c r="H96" s="47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137</v>
      </c>
      <c r="D98" s="1"/>
      <c r="E98" s="1"/>
      <c r="F98" s="12"/>
      <c r="G98" s="12"/>
      <c r="H98" s="47"/>
    </row>
    <row r="99" spans="1:8" ht="14.1" customHeight="1" x14ac:dyDescent="0.2">
      <c r="A99" s="1"/>
      <c r="B99" s="1"/>
      <c r="C99" s="2" t="s">
        <v>122</v>
      </c>
      <c r="D99" s="1"/>
      <c r="E99" s="1" t="s">
        <v>123</v>
      </c>
      <c r="F99" s="13">
        <v>0</v>
      </c>
      <c r="G99" s="14">
        <v>0</v>
      </c>
      <c r="H99" s="47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47"/>
    </row>
    <row r="101" spans="1:8" ht="14.1" customHeight="1" x14ac:dyDescent="0.2">
      <c r="A101" s="1"/>
      <c r="B101" s="1"/>
      <c r="C101" s="2" t="s">
        <v>138</v>
      </c>
      <c r="D101" s="1"/>
      <c r="E101" s="1"/>
      <c r="F101" s="12"/>
      <c r="G101" s="12"/>
      <c r="H101" s="47"/>
    </row>
    <row r="102" spans="1:8" ht="14.1" customHeight="1" x14ac:dyDescent="0.2">
      <c r="A102" s="1"/>
      <c r="B102" s="1"/>
      <c r="C102" s="2" t="s">
        <v>122</v>
      </c>
      <c r="D102" s="1"/>
      <c r="E102" s="1" t="s">
        <v>123</v>
      </c>
      <c r="F102" s="13">
        <v>0</v>
      </c>
      <c r="G102" s="14">
        <v>0</v>
      </c>
      <c r="H102" s="47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2" t="s">
        <v>139</v>
      </c>
      <c r="D104" s="1"/>
      <c r="E104" s="1"/>
      <c r="F104" s="12"/>
      <c r="G104" s="12"/>
      <c r="H104" s="47"/>
    </row>
    <row r="105" spans="1:8" ht="17.100000000000001" customHeight="1" x14ac:dyDescent="0.2">
      <c r="A105" s="3">
        <v>1</v>
      </c>
      <c r="B105" s="4"/>
      <c r="C105" s="4" t="s">
        <v>140</v>
      </c>
      <c r="D105" s="4"/>
      <c r="E105" s="8"/>
      <c r="F105" s="6">
        <v>109.6068671</v>
      </c>
      <c r="G105" s="7">
        <v>8.3320990000000008E-3</v>
      </c>
      <c r="H105" s="47">
        <v>4.6730752161314033</v>
      </c>
    </row>
    <row r="106" spans="1:8" ht="14.1" customHeight="1" x14ac:dyDescent="0.2">
      <c r="A106" s="1"/>
      <c r="B106" s="1"/>
      <c r="C106" s="2" t="s">
        <v>122</v>
      </c>
      <c r="D106" s="1"/>
      <c r="E106" s="1" t="s">
        <v>123</v>
      </c>
      <c r="F106" s="9">
        <v>109.6068671</v>
      </c>
      <c r="G106" s="10">
        <v>8.3320990000000008E-3</v>
      </c>
      <c r="H106" s="47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47"/>
    </row>
    <row r="108" spans="1:8" ht="14.1" customHeight="1" x14ac:dyDescent="0.2">
      <c r="A108" s="1"/>
      <c r="B108" s="1"/>
      <c r="C108" s="2" t="s">
        <v>141</v>
      </c>
      <c r="D108" s="1"/>
      <c r="E108" s="1"/>
      <c r="F108" s="9">
        <v>109.6068671</v>
      </c>
      <c r="G108" s="10">
        <v>8.3320990000000008E-3</v>
      </c>
      <c r="H108" s="47"/>
    </row>
    <row r="109" spans="1:8" ht="14.1" customHeight="1" x14ac:dyDescent="0.2">
      <c r="A109" s="1"/>
      <c r="B109" s="1"/>
      <c r="C109" s="12"/>
      <c r="D109" s="1"/>
      <c r="E109" s="1"/>
      <c r="F109" s="1"/>
      <c r="G109" s="1"/>
      <c r="H109" s="47"/>
    </row>
    <row r="110" spans="1:8" ht="14.1" customHeight="1" x14ac:dyDescent="0.2">
      <c r="A110" s="1"/>
      <c r="B110" s="1"/>
      <c r="C110" s="2" t="s">
        <v>142</v>
      </c>
      <c r="D110" s="1"/>
      <c r="E110" s="1"/>
      <c r="F110" s="1"/>
      <c r="G110" s="1"/>
      <c r="H110" s="47"/>
    </row>
    <row r="111" spans="1:8" ht="14.1" customHeight="1" x14ac:dyDescent="0.2">
      <c r="A111" s="1"/>
      <c r="B111" s="1"/>
      <c r="C111" s="2" t="s">
        <v>143</v>
      </c>
      <c r="D111" s="1"/>
      <c r="E111" s="1"/>
      <c r="F111" s="1"/>
      <c r="G111" s="1"/>
      <c r="H111" s="47"/>
    </row>
    <row r="112" spans="1:8" ht="14.1" customHeight="1" x14ac:dyDescent="0.2">
      <c r="A112" s="1"/>
      <c r="B112" s="1"/>
      <c r="C112" s="2" t="s">
        <v>122</v>
      </c>
      <c r="D112" s="1"/>
      <c r="E112" s="1" t="s">
        <v>123</v>
      </c>
      <c r="F112" s="13">
        <v>0</v>
      </c>
      <c r="G112" s="14">
        <v>0</v>
      </c>
      <c r="H112" s="47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47"/>
    </row>
    <row r="114" spans="1:8" ht="14.1" customHeight="1" x14ac:dyDescent="0.2">
      <c r="A114" s="1"/>
      <c r="B114" s="1"/>
      <c r="C114" s="2" t="s">
        <v>144</v>
      </c>
      <c r="D114" s="1"/>
      <c r="E114" s="1"/>
      <c r="F114" s="1"/>
      <c r="G114" s="1"/>
      <c r="H114" s="47"/>
    </row>
    <row r="115" spans="1:8" ht="14.1" customHeight="1" x14ac:dyDescent="0.2">
      <c r="A115" s="1"/>
      <c r="B115" s="1"/>
      <c r="C115" s="2" t="s">
        <v>145</v>
      </c>
      <c r="D115" s="1"/>
      <c r="E115" s="1"/>
      <c r="F115" s="1"/>
      <c r="G115" s="1"/>
      <c r="H115" s="47"/>
    </row>
    <row r="116" spans="1:8" ht="14.1" customHeight="1" x14ac:dyDescent="0.2">
      <c r="A116" s="1"/>
      <c r="B116" s="1"/>
      <c r="C116" s="2" t="s">
        <v>122</v>
      </c>
      <c r="D116" s="1"/>
      <c r="E116" s="1" t="s">
        <v>123</v>
      </c>
      <c r="F116" s="13">
        <v>0</v>
      </c>
      <c r="G116" s="14">
        <v>0</v>
      </c>
      <c r="H116" s="47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47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47"/>
    </row>
    <row r="119" spans="1:8" ht="24" customHeight="1" x14ac:dyDescent="0.2">
      <c r="A119" s="1"/>
      <c r="B119" s="1"/>
      <c r="C119" s="2" t="s">
        <v>146</v>
      </c>
      <c r="D119" s="1"/>
      <c r="E119" s="1"/>
      <c r="F119" s="12"/>
      <c r="G119" s="12"/>
      <c r="H119" s="47"/>
    </row>
    <row r="120" spans="1:8" ht="14.1" customHeight="1" x14ac:dyDescent="0.2">
      <c r="A120" s="1"/>
      <c r="B120" s="1"/>
      <c r="C120" s="2" t="s">
        <v>122</v>
      </c>
      <c r="D120" s="1"/>
      <c r="E120" s="1" t="s">
        <v>123</v>
      </c>
      <c r="F120" s="13">
        <v>0</v>
      </c>
      <c r="G120" s="14">
        <v>0</v>
      </c>
      <c r="H120" s="47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47"/>
    </row>
    <row r="122" spans="1:8" ht="14.1" customHeight="1" x14ac:dyDescent="0.2">
      <c r="A122" s="1"/>
      <c r="B122" s="4"/>
      <c r="C122" s="4"/>
      <c r="D122" s="2"/>
      <c r="E122" s="1"/>
      <c r="F122" s="4"/>
      <c r="G122" s="8"/>
      <c r="H122" s="47"/>
    </row>
    <row r="123" spans="1:8" ht="18" customHeight="1" x14ac:dyDescent="0.2">
      <c r="A123" s="8"/>
      <c r="B123" s="4"/>
      <c r="C123" s="4" t="s">
        <v>147</v>
      </c>
      <c r="D123" s="4"/>
      <c r="E123" s="8"/>
      <c r="F123" s="6">
        <v>144.53420700000001</v>
      </c>
      <c r="G123" s="7">
        <v>1.0987207000000001E-2</v>
      </c>
      <c r="H123" s="47"/>
    </row>
    <row r="124" spans="1:8" ht="14.1" customHeight="1" x14ac:dyDescent="0.2">
      <c r="A124" s="11"/>
      <c r="B124" s="11"/>
      <c r="C124" s="2" t="s">
        <v>148</v>
      </c>
      <c r="D124" s="15"/>
      <c r="E124" s="15"/>
      <c r="F124" s="9">
        <v>13154.772380599999</v>
      </c>
      <c r="G124" s="14">
        <v>0.99999999699999997</v>
      </c>
      <c r="H124" s="47"/>
    </row>
    <row r="125" spans="1:8" ht="14.1" customHeight="1" x14ac:dyDescent="0.2">
      <c r="A125" s="16"/>
      <c r="B125" s="16"/>
      <c r="C125" s="16"/>
      <c r="D125" s="17"/>
      <c r="E125" s="17"/>
      <c r="F125" s="17"/>
      <c r="G125" s="17"/>
    </row>
    <row r="126" spans="1:8" ht="14.1" customHeight="1" x14ac:dyDescent="0.2">
      <c r="A126" s="18"/>
      <c r="B126" s="257" t="s">
        <v>150</v>
      </c>
      <c r="C126" s="258"/>
      <c r="D126" s="12" t="s">
        <v>123</v>
      </c>
      <c r="E126" s="21"/>
      <c r="F126" s="20"/>
      <c r="G126" s="20"/>
    </row>
    <row r="127" spans="1:8" ht="29.1" customHeight="1" x14ac:dyDescent="0.2">
      <c r="A127" s="18"/>
      <c r="B127" s="259" t="s">
        <v>151</v>
      </c>
      <c r="C127" s="260"/>
      <c r="D127" s="2" t="s">
        <v>152</v>
      </c>
      <c r="E127" s="21"/>
      <c r="F127" s="20"/>
      <c r="G127" s="20"/>
    </row>
    <row r="128" spans="1:8" ht="17.100000000000001" customHeight="1" x14ac:dyDescent="0.2">
      <c r="A128" s="18"/>
      <c r="B128" s="259" t="s">
        <v>153</v>
      </c>
      <c r="C128" s="260"/>
      <c r="D128" s="2" t="s">
        <v>152</v>
      </c>
      <c r="E128" s="21"/>
      <c r="F128" s="20"/>
      <c r="G128" s="20"/>
    </row>
    <row r="129" spans="1:15" ht="17.100000000000001" customHeight="1" x14ac:dyDescent="0.2">
      <c r="A129" s="18"/>
      <c r="B129" s="259" t="s">
        <v>154</v>
      </c>
      <c r="C129" s="260"/>
      <c r="D129" s="12" t="s">
        <v>123</v>
      </c>
      <c r="E129" s="21"/>
      <c r="F129" s="20"/>
      <c r="G129" s="20"/>
    </row>
    <row r="130" spans="1:15" ht="24" customHeight="1" x14ac:dyDescent="0.2">
      <c r="A130" s="22"/>
      <c r="B130" s="23" t="s">
        <v>123</v>
      </c>
      <c r="C130" s="23" t="s">
        <v>155</v>
      </c>
      <c r="D130" s="23" t="s">
        <v>156</v>
      </c>
      <c r="E130" s="22"/>
      <c r="F130" s="22"/>
      <c r="G130" s="22"/>
    </row>
    <row r="131" spans="1:15" ht="18" customHeight="1" x14ac:dyDescent="0.2">
      <c r="A131" s="22"/>
      <c r="B131" s="23" t="s">
        <v>157</v>
      </c>
      <c r="C131" s="23" t="s">
        <v>158</v>
      </c>
      <c r="D131" s="23" t="s">
        <v>159</v>
      </c>
      <c r="E131" s="22"/>
      <c r="F131" s="22"/>
      <c r="G131" s="22"/>
    </row>
    <row r="132" spans="1:15" ht="17.100000000000001" customHeight="1" x14ac:dyDescent="0.2">
      <c r="A132" s="22"/>
      <c r="B132" s="4" t="s">
        <v>160</v>
      </c>
      <c r="C132" s="24">
        <v>16.554400000000001</v>
      </c>
      <c r="D132" s="24">
        <v>15.8729</v>
      </c>
      <c r="E132" s="22"/>
      <c r="F132" s="19"/>
      <c r="G132" s="25"/>
    </row>
    <row r="133" spans="1:15" ht="17.100000000000001" customHeight="1" x14ac:dyDescent="0.2">
      <c r="A133" s="22"/>
      <c r="B133" s="4" t="s">
        <v>1101</v>
      </c>
      <c r="C133" s="24">
        <v>15.7456</v>
      </c>
      <c r="D133" s="24">
        <v>15.0975</v>
      </c>
      <c r="E133" s="22"/>
      <c r="F133" s="19"/>
      <c r="G133" s="25"/>
    </row>
    <row r="134" spans="1:15" ht="17.100000000000001" customHeight="1" x14ac:dyDescent="0.2">
      <c r="A134" s="22"/>
      <c r="B134" s="4" t="s">
        <v>161</v>
      </c>
      <c r="C134" s="24">
        <v>16.183399999999999</v>
      </c>
      <c r="D134" s="24">
        <v>15.51</v>
      </c>
      <c r="E134" s="22"/>
      <c r="F134" s="19"/>
      <c r="G134" s="25"/>
    </row>
    <row r="135" spans="1:15" ht="17.100000000000001" customHeight="1" x14ac:dyDescent="0.2">
      <c r="A135" s="22"/>
      <c r="B135" s="4" t="s">
        <v>1102</v>
      </c>
      <c r="C135" s="24">
        <v>15.5694</v>
      </c>
      <c r="D135" s="24">
        <v>14.9216</v>
      </c>
      <c r="E135" s="22"/>
      <c r="F135" s="19"/>
      <c r="G135" s="25"/>
    </row>
    <row r="136" spans="1:15" ht="14.1" customHeight="1" x14ac:dyDescent="0.2">
      <c r="A136" s="22"/>
      <c r="B136" s="22"/>
      <c r="C136" s="22"/>
      <c r="D136" s="22"/>
      <c r="E136" s="22"/>
      <c r="F136" s="22"/>
      <c r="G136" s="22"/>
    </row>
    <row r="137" spans="1:15" ht="17.100000000000001" customHeight="1" x14ac:dyDescent="0.2">
      <c r="A137" s="22"/>
      <c r="B137" s="259" t="s">
        <v>1103</v>
      </c>
      <c r="C137" s="260"/>
      <c r="D137" s="2" t="s">
        <v>152</v>
      </c>
      <c r="E137" s="22"/>
      <c r="F137" s="22"/>
      <c r="G137" s="22"/>
    </row>
    <row r="138" spans="1:15" ht="18" customHeight="1" x14ac:dyDescent="0.2">
      <c r="A138" s="22"/>
      <c r="B138" s="26"/>
      <c r="C138" s="26"/>
      <c r="D138" s="27"/>
      <c r="E138" s="22"/>
      <c r="F138" s="22"/>
      <c r="G138" s="22"/>
    </row>
    <row r="139" spans="1:15" ht="29.1" customHeight="1" x14ac:dyDescent="0.2">
      <c r="A139" s="22"/>
      <c r="B139" s="259" t="s">
        <v>162</v>
      </c>
      <c r="C139" s="260"/>
      <c r="D139" s="2" t="s">
        <v>152</v>
      </c>
      <c r="E139" s="22"/>
      <c r="F139" s="22"/>
      <c r="G139" s="22"/>
    </row>
    <row r="140" spans="1:15" ht="29.1" customHeight="1" x14ac:dyDescent="0.2">
      <c r="A140" s="22"/>
      <c r="B140" s="259" t="s">
        <v>163</v>
      </c>
      <c r="C140" s="260"/>
      <c r="D140" s="2" t="s">
        <v>152</v>
      </c>
      <c r="E140" s="22"/>
      <c r="F140" s="22"/>
      <c r="G140" s="22"/>
      <c r="J140" s="148"/>
      <c r="K140" s="148"/>
      <c r="L140" s="148"/>
      <c r="M140" s="148"/>
      <c r="N140" s="148"/>
      <c r="O140" s="148"/>
    </row>
    <row r="141" spans="1:15" ht="17.100000000000001" customHeight="1" x14ac:dyDescent="0.2">
      <c r="A141" s="22"/>
      <c r="B141" s="259" t="s">
        <v>164</v>
      </c>
      <c r="C141" s="260"/>
      <c r="D141" s="28">
        <v>0.29839262808660011</v>
      </c>
      <c r="E141" s="22"/>
      <c r="F141" s="19"/>
      <c r="G141" s="25"/>
    </row>
    <row r="142" spans="1:15" ht="17.100000000000001" customHeight="1" x14ac:dyDescent="0.2">
      <c r="A142" s="22"/>
      <c r="B142" s="259" t="s">
        <v>165</v>
      </c>
      <c r="C142" s="260"/>
      <c r="D142" s="2" t="s">
        <v>152</v>
      </c>
      <c r="E142" s="22"/>
      <c r="F142" s="22"/>
      <c r="G142" s="22"/>
    </row>
  </sheetData>
  <mergeCells count="13">
    <mergeCell ref="J2:N2"/>
    <mergeCell ref="A1:H1"/>
    <mergeCell ref="A2:H2"/>
    <mergeCell ref="A3:H3"/>
    <mergeCell ref="B126:C126"/>
    <mergeCell ref="B141:C141"/>
    <mergeCell ref="B142:C142"/>
    <mergeCell ref="B127:C127"/>
    <mergeCell ref="B128:C128"/>
    <mergeCell ref="B129:C129"/>
    <mergeCell ref="B137:C137"/>
    <mergeCell ref="B139:C139"/>
    <mergeCell ref="B140:C14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4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430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26043</v>
      </c>
      <c r="F7" s="6">
        <v>675.98512949999997</v>
      </c>
      <c r="G7" s="7">
        <v>8.7370620999999996E-2</v>
      </c>
      <c r="H7" s="47"/>
    </row>
    <row r="8" spans="1:14" ht="17.100000000000001" customHeight="1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80632</v>
      </c>
      <c r="F8" s="6">
        <v>570.22950400000002</v>
      </c>
      <c r="G8" s="7">
        <v>7.3701777999999996E-2</v>
      </c>
      <c r="H8" s="47"/>
    </row>
    <row r="9" spans="1:14" ht="17.100000000000001" customHeight="1" x14ac:dyDescent="0.2">
      <c r="A9" s="3">
        <v>3</v>
      </c>
      <c r="B9" s="4" t="s">
        <v>393</v>
      </c>
      <c r="C9" s="4" t="s">
        <v>394</v>
      </c>
      <c r="D9" s="4" t="s">
        <v>191</v>
      </c>
      <c r="E9" s="5">
        <v>31453</v>
      </c>
      <c r="F9" s="6">
        <v>459.81140699999997</v>
      </c>
      <c r="G9" s="7">
        <v>5.9430313999999998E-2</v>
      </c>
      <c r="H9" s="47"/>
    </row>
    <row r="10" spans="1:14" ht="29.1" customHeight="1" x14ac:dyDescent="0.2">
      <c r="A10" s="3">
        <v>4</v>
      </c>
      <c r="B10" s="4" t="s">
        <v>395</v>
      </c>
      <c r="C10" s="4" t="s">
        <v>396</v>
      </c>
      <c r="D10" s="4" t="s">
        <v>91</v>
      </c>
      <c r="E10" s="5">
        <v>16489</v>
      </c>
      <c r="F10" s="6">
        <v>357.95145650000001</v>
      </c>
      <c r="G10" s="7">
        <v>4.6264984000000002E-2</v>
      </c>
      <c r="H10" s="47"/>
    </row>
    <row r="11" spans="1:14" ht="17.100000000000001" customHeight="1" x14ac:dyDescent="0.2">
      <c r="A11" s="3">
        <v>5</v>
      </c>
      <c r="B11" s="4" t="s">
        <v>358</v>
      </c>
      <c r="C11" s="4" t="s">
        <v>359</v>
      </c>
      <c r="D11" s="4" t="s">
        <v>19</v>
      </c>
      <c r="E11" s="5">
        <v>26088</v>
      </c>
      <c r="F11" s="6">
        <v>351.66624000000002</v>
      </c>
      <c r="G11" s="7">
        <v>4.5452623999999997E-2</v>
      </c>
      <c r="H11" s="47"/>
    </row>
    <row r="12" spans="1:14" ht="17.100000000000001" customHeight="1" x14ac:dyDescent="0.2">
      <c r="A12" s="3">
        <v>6</v>
      </c>
      <c r="B12" s="4" t="s">
        <v>46</v>
      </c>
      <c r="C12" s="4" t="s">
        <v>47</v>
      </c>
      <c r="D12" s="4" t="s">
        <v>19</v>
      </c>
      <c r="E12" s="5">
        <v>73332</v>
      </c>
      <c r="F12" s="6">
        <v>341.65378800000002</v>
      </c>
      <c r="G12" s="7">
        <v>4.4158520999999999E-2</v>
      </c>
      <c r="H12" s="47"/>
    </row>
    <row r="13" spans="1:14" ht="17.100000000000001" customHeight="1" x14ac:dyDescent="0.2">
      <c r="A13" s="3">
        <v>7</v>
      </c>
      <c r="B13" s="4" t="s">
        <v>304</v>
      </c>
      <c r="C13" s="4" t="s">
        <v>305</v>
      </c>
      <c r="D13" s="4" t="s">
        <v>19</v>
      </c>
      <c r="E13" s="5">
        <v>38735</v>
      </c>
      <c r="F13" s="6">
        <v>246.66448</v>
      </c>
      <c r="G13" s="7">
        <v>3.1881217000000003E-2</v>
      </c>
      <c r="H13" s="47"/>
      <c r="J13" s="147" t="s">
        <v>1117</v>
      </c>
    </row>
    <row r="14" spans="1:14" ht="17.100000000000001" customHeight="1" x14ac:dyDescent="0.2">
      <c r="A14" s="3">
        <v>8</v>
      </c>
      <c r="B14" s="4" t="s">
        <v>261</v>
      </c>
      <c r="C14" s="4" t="s">
        <v>262</v>
      </c>
      <c r="D14" s="4" t="s">
        <v>80</v>
      </c>
      <c r="E14" s="5">
        <v>117712</v>
      </c>
      <c r="F14" s="6">
        <v>225.59504799999999</v>
      </c>
      <c r="G14" s="7">
        <v>2.9158007999999999E-2</v>
      </c>
      <c r="H14" s="47"/>
    </row>
    <row r="15" spans="1:14" ht="29.1" customHeight="1" x14ac:dyDescent="0.2">
      <c r="A15" s="3">
        <v>9</v>
      </c>
      <c r="B15" s="4" t="s">
        <v>199</v>
      </c>
      <c r="C15" s="4" t="s">
        <v>200</v>
      </c>
      <c r="D15" s="4" t="s">
        <v>201</v>
      </c>
      <c r="E15" s="5">
        <v>6166</v>
      </c>
      <c r="F15" s="6">
        <v>225.157656</v>
      </c>
      <c r="G15" s="7">
        <v>2.9101475000000002E-2</v>
      </c>
      <c r="H15" s="47"/>
    </row>
    <row r="16" spans="1:14" ht="17.100000000000001" customHeight="1" x14ac:dyDescent="0.2">
      <c r="A16" s="3">
        <v>10</v>
      </c>
      <c r="B16" s="4" t="s">
        <v>11</v>
      </c>
      <c r="C16" s="4" t="s">
        <v>12</v>
      </c>
      <c r="D16" s="4" t="s">
        <v>13</v>
      </c>
      <c r="E16" s="5">
        <v>13567</v>
      </c>
      <c r="F16" s="6">
        <v>211.40777750000001</v>
      </c>
      <c r="G16" s="7">
        <v>2.7324312E-2</v>
      </c>
      <c r="H16" s="47"/>
    </row>
    <row r="17" spans="1:8" ht="17.100000000000001" customHeight="1" x14ac:dyDescent="0.2">
      <c r="A17" s="3">
        <v>11</v>
      </c>
      <c r="B17" s="4" t="s">
        <v>20</v>
      </c>
      <c r="C17" s="4" t="s">
        <v>21</v>
      </c>
      <c r="D17" s="4" t="s">
        <v>22</v>
      </c>
      <c r="E17" s="5">
        <v>26720</v>
      </c>
      <c r="F17" s="6">
        <v>183.01864</v>
      </c>
      <c r="G17" s="7">
        <v>2.3655036000000001E-2</v>
      </c>
      <c r="H17" s="47"/>
    </row>
    <row r="18" spans="1:8" ht="17.100000000000001" customHeight="1" x14ac:dyDescent="0.2">
      <c r="A18" s="3">
        <v>12</v>
      </c>
      <c r="B18" s="4" t="s">
        <v>397</v>
      </c>
      <c r="C18" s="4" t="s">
        <v>398</v>
      </c>
      <c r="D18" s="4" t="s">
        <v>191</v>
      </c>
      <c r="E18" s="5">
        <v>5191</v>
      </c>
      <c r="F18" s="6">
        <v>169.59516099999999</v>
      </c>
      <c r="G18" s="7">
        <v>2.1920060000000002E-2</v>
      </c>
      <c r="H18" s="47"/>
    </row>
    <row r="19" spans="1:8" ht="17.100000000000001" customHeight="1" x14ac:dyDescent="0.2">
      <c r="A19" s="3">
        <v>13</v>
      </c>
      <c r="B19" s="4" t="s">
        <v>241</v>
      </c>
      <c r="C19" s="4" t="s">
        <v>242</v>
      </c>
      <c r="D19" s="4" t="s">
        <v>243</v>
      </c>
      <c r="E19" s="5">
        <v>32901</v>
      </c>
      <c r="F19" s="6">
        <v>167.2851345</v>
      </c>
      <c r="G19" s="7">
        <v>2.1621491E-2</v>
      </c>
      <c r="H19" s="47"/>
    </row>
    <row r="20" spans="1:8" ht="29.1" customHeight="1" x14ac:dyDescent="0.2">
      <c r="A20" s="3">
        <v>14</v>
      </c>
      <c r="B20" s="4" t="s">
        <v>175</v>
      </c>
      <c r="C20" s="4" t="s">
        <v>176</v>
      </c>
      <c r="D20" s="4" t="s">
        <v>88</v>
      </c>
      <c r="E20" s="5">
        <v>48101</v>
      </c>
      <c r="F20" s="6">
        <v>163.61555150000001</v>
      </c>
      <c r="G20" s="7">
        <v>2.1147198999999998E-2</v>
      </c>
      <c r="H20" s="47"/>
    </row>
    <row r="21" spans="1:8" ht="17.100000000000001" customHeight="1" x14ac:dyDescent="0.2">
      <c r="A21" s="3">
        <v>15</v>
      </c>
      <c r="B21" s="4" t="s">
        <v>399</v>
      </c>
      <c r="C21" s="4" t="s">
        <v>400</v>
      </c>
      <c r="D21" s="4" t="s">
        <v>321</v>
      </c>
      <c r="E21" s="5">
        <v>14560</v>
      </c>
      <c r="F21" s="6">
        <v>157.48096000000001</v>
      </c>
      <c r="G21" s="7">
        <v>2.0354308000000002E-2</v>
      </c>
      <c r="H21" s="47"/>
    </row>
    <row r="22" spans="1:8" ht="17.100000000000001" customHeight="1" x14ac:dyDescent="0.2">
      <c r="A22" s="3">
        <v>16</v>
      </c>
      <c r="B22" s="4" t="s">
        <v>26</v>
      </c>
      <c r="C22" s="4" t="s">
        <v>27</v>
      </c>
      <c r="D22" s="4" t="s">
        <v>28</v>
      </c>
      <c r="E22" s="5">
        <v>8928</v>
      </c>
      <c r="F22" s="6">
        <v>150.26270400000001</v>
      </c>
      <c r="G22" s="7">
        <v>1.9421352999999999E-2</v>
      </c>
      <c r="H22" s="47"/>
    </row>
    <row r="23" spans="1:8" ht="29.1" customHeight="1" x14ac:dyDescent="0.2">
      <c r="A23" s="3">
        <v>17</v>
      </c>
      <c r="B23" s="4" t="s">
        <v>401</v>
      </c>
      <c r="C23" s="4" t="s">
        <v>402</v>
      </c>
      <c r="D23" s="4" t="s">
        <v>204</v>
      </c>
      <c r="E23" s="5">
        <v>16801</v>
      </c>
      <c r="F23" s="6">
        <v>139.54910599999999</v>
      </c>
      <c r="G23" s="7">
        <v>1.8036627999999999E-2</v>
      </c>
      <c r="H23" s="47"/>
    </row>
    <row r="24" spans="1:8" ht="17.100000000000001" customHeight="1" x14ac:dyDescent="0.2">
      <c r="A24" s="3">
        <v>18</v>
      </c>
      <c r="B24" s="4" t="s">
        <v>403</v>
      </c>
      <c r="C24" s="4" t="s">
        <v>404</v>
      </c>
      <c r="D24" s="4" t="s">
        <v>405</v>
      </c>
      <c r="E24" s="5">
        <v>5513</v>
      </c>
      <c r="F24" s="6">
        <v>122.972978</v>
      </c>
      <c r="G24" s="7">
        <v>1.5894174E-2</v>
      </c>
      <c r="H24" s="47"/>
    </row>
    <row r="25" spans="1:8" ht="17.100000000000001" customHeight="1" x14ac:dyDescent="0.2">
      <c r="A25" s="3">
        <v>19</v>
      </c>
      <c r="B25" s="4" t="s">
        <v>345</v>
      </c>
      <c r="C25" s="4" t="s">
        <v>346</v>
      </c>
      <c r="D25" s="4" t="s">
        <v>174</v>
      </c>
      <c r="E25" s="5">
        <v>23930</v>
      </c>
      <c r="F25" s="6">
        <v>122.581425</v>
      </c>
      <c r="G25" s="7">
        <v>1.5843566E-2</v>
      </c>
      <c r="H25" s="47"/>
    </row>
    <row r="26" spans="1:8" ht="29.1" customHeight="1" x14ac:dyDescent="0.2">
      <c r="A26" s="3">
        <v>20</v>
      </c>
      <c r="B26" s="4" t="s">
        <v>179</v>
      </c>
      <c r="C26" s="4" t="s">
        <v>180</v>
      </c>
      <c r="D26" s="4" t="s">
        <v>181</v>
      </c>
      <c r="E26" s="5">
        <v>19626</v>
      </c>
      <c r="F26" s="6">
        <v>120.434949</v>
      </c>
      <c r="G26" s="7">
        <v>1.5566136E-2</v>
      </c>
      <c r="H26" s="47"/>
    </row>
    <row r="27" spans="1:8" ht="29.1" customHeight="1" x14ac:dyDescent="0.2">
      <c r="A27" s="3">
        <v>21</v>
      </c>
      <c r="B27" s="4" t="s">
        <v>23</v>
      </c>
      <c r="C27" s="4" t="s">
        <v>24</v>
      </c>
      <c r="D27" s="4" t="s">
        <v>25</v>
      </c>
      <c r="E27" s="5">
        <v>2097</v>
      </c>
      <c r="F27" s="6">
        <v>117.585081</v>
      </c>
      <c r="G27" s="7">
        <v>1.5197792E-2</v>
      </c>
      <c r="H27" s="47"/>
    </row>
    <row r="28" spans="1:8" ht="17.100000000000001" customHeight="1" x14ac:dyDescent="0.2">
      <c r="A28" s="3">
        <v>22</v>
      </c>
      <c r="B28" s="4" t="s">
        <v>406</v>
      </c>
      <c r="C28" s="4" t="s">
        <v>407</v>
      </c>
      <c r="D28" s="4" t="s">
        <v>85</v>
      </c>
      <c r="E28" s="5">
        <v>10176</v>
      </c>
      <c r="F28" s="6">
        <v>111.238944</v>
      </c>
      <c r="G28" s="7">
        <v>1.4377558E-2</v>
      </c>
      <c r="H28" s="47"/>
    </row>
    <row r="29" spans="1:8" ht="17.100000000000001" customHeight="1" x14ac:dyDescent="0.2">
      <c r="A29" s="3">
        <v>23</v>
      </c>
      <c r="B29" s="4" t="s">
        <v>192</v>
      </c>
      <c r="C29" s="4" t="s">
        <v>193</v>
      </c>
      <c r="D29" s="4" t="s">
        <v>184</v>
      </c>
      <c r="E29" s="5">
        <v>9081</v>
      </c>
      <c r="F29" s="6">
        <v>109.535022</v>
      </c>
      <c r="G29" s="7">
        <v>1.4157328E-2</v>
      </c>
      <c r="H29" s="47"/>
    </row>
    <row r="30" spans="1:8" ht="17.100000000000001" customHeight="1" x14ac:dyDescent="0.2">
      <c r="A30" s="3">
        <v>24</v>
      </c>
      <c r="B30" s="4" t="s">
        <v>92</v>
      </c>
      <c r="C30" s="4" t="s">
        <v>93</v>
      </c>
      <c r="D30" s="4" t="s">
        <v>94</v>
      </c>
      <c r="E30" s="5">
        <v>4780</v>
      </c>
      <c r="F30" s="6">
        <v>109.4859</v>
      </c>
      <c r="G30" s="7">
        <v>1.4150978999999999E-2</v>
      </c>
      <c r="H30" s="47"/>
    </row>
    <row r="31" spans="1:8" ht="17.100000000000001" customHeight="1" x14ac:dyDescent="0.2">
      <c r="A31" s="3">
        <v>25</v>
      </c>
      <c r="B31" s="4" t="s">
        <v>294</v>
      </c>
      <c r="C31" s="4" t="s">
        <v>295</v>
      </c>
      <c r="D31" s="4" t="s">
        <v>296</v>
      </c>
      <c r="E31" s="5">
        <v>13680</v>
      </c>
      <c r="F31" s="6">
        <v>108.14724</v>
      </c>
      <c r="G31" s="7">
        <v>1.3977958E-2</v>
      </c>
      <c r="H31" s="47"/>
    </row>
    <row r="32" spans="1:8" ht="17.100000000000001" customHeight="1" x14ac:dyDescent="0.2">
      <c r="A32" s="3">
        <v>26</v>
      </c>
      <c r="B32" s="4" t="s">
        <v>408</v>
      </c>
      <c r="C32" s="4" t="s">
        <v>409</v>
      </c>
      <c r="D32" s="4" t="s">
        <v>191</v>
      </c>
      <c r="E32" s="5">
        <v>10771</v>
      </c>
      <c r="F32" s="6">
        <v>104.82875749999999</v>
      </c>
      <c r="G32" s="7">
        <v>1.3549046E-2</v>
      </c>
      <c r="H32" s="47"/>
    </row>
    <row r="33" spans="1:8" ht="17.100000000000001" customHeight="1" x14ac:dyDescent="0.2">
      <c r="A33" s="3">
        <v>27</v>
      </c>
      <c r="B33" s="4" t="s">
        <v>301</v>
      </c>
      <c r="C33" s="4" t="s">
        <v>302</v>
      </c>
      <c r="D33" s="4" t="s">
        <v>303</v>
      </c>
      <c r="E33" s="5">
        <v>260</v>
      </c>
      <c r="F33" s="6">
        <v>104.4329</v>
      </c>
      <c r="G33" s="7">
        <v>1.3497881999999999E-2</v>
      </c>
      <c r="H33" s="47"/>
    </row>
    <row r="34" spans="1:8" ht="29.1" customHeight="1" x14ac:dyDescent="0.2">
      <c r="A34" s="3">
        <v>28</v>
      </c>
      <c r="B34" s="4" t="s">
        <v>277</v>
      </c>
      <c r="C34" s="4" t="s">
        <v>278</v>
      </c>
      <c r="D34" s="4" t="s">
        <v>201</v>
      </c>
      <c r="E34" s="5">
        <v>20479</v>
      </c>
      <c r="F34" s="6">
        <v>96.282018500000007</v>
      </c>
      <c r="G34" s="7">
        <v>1.2444386E-2</v>
      </c>
      <c r="H34" s="47"/>
    </row>
    <row r="35" spans="1:8" ht="17.100000000000001" customHeight="1" x14ac:dyDescent="0.2">
      <c r="A35" s="3">
        <v>29</v>
      </c>
      <c r="B35" s="4" t="s">
        <v>410</v>
      </c>
      <c r="C35" s="4" t="s">
        <v>411</v>
      </c>
      <c r="D35" s="4" t="s">
        <v>191</v>
      </c>
      <c r="E35" s="5">
        <v>23000</v>
      </c>
      <c r="F35" s="6">
        <v>95.691500000000005</v>
      </c>
      <c r="G35" s="7">
        <v>1.2368062000000001E-2</v>
      </c>
      <c r="H35" s="47"/>
    </row>
    <row r="36" spans="1:8" ht="17.100000000000001" customHeight="1" x14ac:dyDescent="0.2">
      <c r="A36" s="3">
        <v>30</v>
      </c>
      <c r="B36" s="4" t="s">
        <v>306</v>
      </c>
      <c r="C36" s="4" t="s">
        <v>307</v>
      </c>
      <c r="D36" s="4" t="s">
        <v>19</v>
      </c>
      <c r="E36" s="5">
        <v>96000</v>
      </c>
      <c r="F36" s="6">
        <v>93.504000000000005</v>
      </c>
      <c r="G36" s="7">
        <v>1.2085329000000001E-2</v>
      </c>
      <c r="H36" s="47"/>
    </row>
    <row r="37" spans="1:8" ht="29.1" customHeight="1" x14ac:dyDescent="0.2">
      <c r="A37" s="3">
        <v>31</v>
      </c>
      <c r="B37" s="4" t="s">
        <v>340</v>
      </c>
      <c r="C37" s="4" t="s">
        <v>341</v>
      </c>
      <c r="D37" s="4" t="s">
        <v>342</v>
      </c>
      <c r="E37" s="5">
        <v>9400</v>
      </c>
      <c r="F37" s="6">
        <v>89.596100000000007</v>
      </c>
      <c r="G37" s="7">
        <v>1.1580234999999999E-2</v>
      </c>
      <c r="H37" s="47"/>
    </row>
    <row r="38" spans="1:8" ht="29.1" customHeight="1" x14ac:dyDescent="0.2">
      <c r="A38" s="3">
        <v>32</v>
      </c>
      <c r="B38" s="4" t="s">
        <v>202</v>
      </c>
      <c r="C38" s="4" t="s">
        <v>203</v>
      </c>
      <c r="D38" s="4" t="s">
        <v>204</v>
      </c>
      <c r="E38" s="5">
        <v>19233</v>
      </c>
      <c r="F38" s="6">
        <v>89.375750999999994</v>
      </c>
      <c r="G38" s="7">
        <v>1.1551755E-2</v>
      </c>
      <c r="H38" s="47"/>
    </row>
    <row r="39" spans="1:8" ht="17.100000000000001" customHeight="1" x14ac:dyDescent="0.2">
      <c r="A39" s="3">
        <v>33</v>
      </c>
      <c r="B39" s="4" t="s">
        <v>310</v>
      </c>
      <c r="C39" s="4" t="s">
        <v>311</v>
      </c>
      <c r="D39" s="4" t="s">
        <v>312</v>
      </c>
      <c r="E39" s="5">
        <v>8029</v>
      </c>
      <c r="F39" s="6">
        <v>86.243503500000003</v>
      </c>
      <c r="G39" s="7">
        <v>1.1146915E-2</v>
      </c>
      <c r="H39" s="47"/>
    </row>
    <row r="40" spans="1:8" ht="17.100000000000001" customHeight="1" x14ac:dyDescent="0.2">
      <c r="A40" s="3">
        <v>34</v>
      </c>
      <c r="B40" s="4" t="s">
        <v>412</v>
      </c>
      <c r="C40" s="4" t="s">
        <v>413</v>
      </c>
      <c r="D40" s="4" t="s">
        <v>405</v>
      </c>
      <c r="E40" s="5">
        <v>31300</v>
      </c>
      <c r="F40" s="6">
        <v>85.605500000000006</v>
      </c>
      <c r="G40" s="7">
        <v>1.1064453E-2</v>
      </c>
      <c r="H40" s="47"/>
    </row>
    <row r="41" spans="1:8" ht="17.100000000000001" customHeight="1" x14ac:dyDescent="0.2">
      <c r="A41" s="3">
        <v>35</v>
      </c>
      <c r="B41" s="4" t="s">
        <v>43</v>
      </c>
      <c r="C41" s="4" t="s">
        <v>44</v>
      </c>
      <c r="D41" s="4" t="s">
        <v>45</v>
      </c>
      <c r="E41" s="5">
        <v>14383</v>
      </c>
      <c r="F41" s="6">
        <v>85.478168999999994</v>
      </c>
      <c r="G41" s="7">
        <v>1.1047995999999999E-2</v>
      </c>
      <c r="H41" s="47"/>
    </row>
    <row r="42" spans="1:8" ht="17.100000000000001" customHeight="1" x14ac:dyDescent="0.2">
      <c r="A42" s="3">
        <v>36</v>
      </c>
      <c r="B42" s="4" t="s">
        <v>172</v>
      </c>
      <c r="C42" s="4" t="s">
        <v>173</v>
      </c>
      <c r="D42" s="4" t="s">
        <v>174</v>
      </c>
      <c r="E42" s="5">
        <v>7066</v>
      </c>
      <c r="F42" s="6">
        <v>76.6661</v>
      </c>
      <c r="G42" s="7">
        <v>9.9090419999999999E-3</v>
      </c>
      <c r="H42" s="47"/>
    </row>
    <row r="43" spans="1:8" ht="17.100000000000001" customHeight="1" x14ac:dyDescent="0.2">
      <c r="A43" s="3">
        <v>37</v>
      </c>
      <c r="B43" s="4" t="s">
        <v>210</v>
      </c>
      <c r="C43" s="4" t="s">
        <v>211</v>
      </c>
      <c r="D43" s="4" t="s">
        <v>16</v>
      </c>
      <c r="E43" s="5">
        <v>34291</v>
      </c>
      <c r="F43" s="6">
        <v>74.480052000000001</v>
      </c>
      <c r="G43" s="7">
        <v>9.626496E-3</v>
      </c>
      <c r="H43" s="47"/>
    </row>
    <row r="44" spans="1:8" ht="17.100000000000001" customHeight="1" x14ac:dyDescent="0.2">
      <c r="A44" s="3">
        <v>38</v>
      </c>
      <c r="B44" s="4" t="s">
        <v>69</v>
      </c>
      <c r="C44" s="4" t="s">
        <v>70</v>
      </c>
      <c r="D44" s="4" t="s">
        <v>16</v>
      </c>
      <c r="E44" s="5">
        <v>21882</v>
      </c>
      <c r="F44" s="6">
        <v>67.484088</v>
      </c>
      <c r="G44" s="7">
        <v>8.7222729999999991E-3</v>
      </c>
      <c r="H44" s="47"/>
    </row>
    <row r="45" spans="1:8" ht="17.100000000000001" customHeight="1" x14ac:dyDescent="0.2">
      <c r="A45" s="3">
        <v>39</v>
      </c>
      <c r="B45" s="4" t="s">
        <v>338</v>
      </c>
      <c r="C45" s="4" t="s">
        <v>339</v>
      </c>
      <c r="D45" s="4" t="s">
        <v>114</v>
      </c>
      <c r="E45" s="5">
        <v>20478</v>
      </c>
      <c r="F45" s="6">
        <v>67.423815000000005</v>
      </c>
      <c r="G45" s="7">
        <v>8.7144830000000003E-3</v>
      </c>
      <c r="H45" s="47"/>
    </row>
    <row r="46" spans="1:8" ht="17.100000000000001" customHeight="1" x14ac:dyDescent="0.2">
      <c r="A46" s="3">
        <v>40</v>
      </c>
      <c r="B46" s="4" t="s">
        <v>414</v>
      </c>
      <c r="C46" s="4" t="s">
        <v>415</v>
      </c>
      <c r="D46" s="4" t="s">
        <v>191</v>
      </c>
      <c r="E46" s="5">
        <v>6698</v>
      </c>
      <c r="F46" s="6">
        <v>66.98</v>
      </c>
      <c r="G46" s="7">
        <v>8.6571200000000008E-3</v>
      </c>
      <c r="H46" s="47"/>
    </row>
    <row r="47" spans="1:8" ht="17.100000000000001" customHeight="1" x14ac:dyDescent="0.2">
      <c r="A47" s="3">
        <v>41</v>
      </c>
      <c r="B47" s="4" t="s">
        <v>382</v>
      </c>
      <c r="C47" s="4" t="s">
        <v>383</v>
      </c>
      <c r="D47" s="4" t="s">
        <v>184</v>
      </c>
      <c r="E47" s="5">
        <v>15345</v>
      </c>
      <c r="F47" s="6">
        <v>65.814705000000004</v>
      </c>
      <c r="G47" s="7">
        <v>8.5065060000000005E-3</v>
      </c>
      <c r="H47" s="47"/>
    </row>
    <row r="48" spans="1:8" ht="17.100000000000001" customHeight="1" x14ac:dyDescent="0.2">
      <c r="A48" s="3">
        <v>42</v>
      </c>
      <c r="B48" s="4" t="s">
        <v>416</v>
      </c>
      <c r="C48" s="4" t="s">
        <v>417</v>
      </c>
      <c r="D48" s="4" t="s">
        <v>19</v>
      </c>
      <c r="E48" s="5">
        <v>8256</v>
      </c>
      <c r="F48" s="6">
        <v>65.581536</v>
      </c>
      <c r="G48" s="7">
        <v>8.4763689999999992E-3</v>
      </c>
      <c r="H48" s="47"/>
    </row>
    <row r="49" spans="1:8" ht="29.1" customHeight="1" x14ac:dyDescent="0.2">
      <c r="A49" s="3">
        <v>43</v>
      </c>
      <c r="B49" s="4" t="s">
        <v>330</v>
      </c>
      <c r="C49" s="4" t="s">
        <v>331</v>
      </c>
      <c r="D49" s="4" t="s">
        <v>204</v>
      </c>
      <c r="E49" s="5">
        <v>2422</v>
      </c>
      <c r="F49" s="6">
        <v>65.435174000000004</v>
      </c>
      <c r="G49" s="7">
        <v>8.4574520000000007E-3</v>
      </c>
      <c r="H49" s="47"/>
    </row>
    <row r="50" spans="1:8" ht="17.100000000000001" customHeight="1" x14ac:dyDescent="0.2">
      <c r="A50" s="3">
        <v>44</v>
      </c>
      <c r="B50" s="4" t="s">
        <v>418</v>
      </c>
      <c r="C50" s="4" t="s">
        <v>419</v>
      </c>
      <c r="D50" s="4" t="s">
        <v>91</v>
      </c>
      <c r="E50" s="5">
        <v>3081</v>
      </c>
      <c r="F50" s="6">
        <v>51.161545500000003</v>
      </c>
      <c r="G50" s="7">
        <v>6.6125949999999998E-3</v>
      </c>
      <c r="H50" s="47"/>
    </row>
    <row r="51" spans="1:8" ht="17.100000000000001" customHeight="1" x14ac:dyDescent="0.2">
      <c r="A51" s="3">
        <v>45</v>
      </c>
      <c r="B51" s="4" t="s">
        <v>271</v>
      </c>
      <c r="C51" s="4" t="s">
        <v>272</v>
      </c>
      <c r="D51" s="4" t="s">
        <v>94</v>
      </c>
      <c r="E51" s="5">
        <v>2575</v>
      </c>
      <c r="F51" s="6">
        <v>47.413474999999998</v>
      </c>
      <c r="G51" s="7">
        <v>6.1281599999999997E-3</v>
      </c>
      <c r="H51" s="47"/>
    </row>
    <row r="52" spans="1:8" ht="17.100000000000001" customHeight="1" x14ac:dyDescent="0.2">
      <c r="A52" s="3">
        <v>46</v>
      </c>
      <c r="B52" s="4" t="s">
        <v>420</v>
      </c>
      <c r="C52" s="4" t="s">
        <v>421</v>
      </c>
      <c r="D52" s="4" t="s">
        <v>19</v>
      </c>
      <c r="E52" s="5">
        <v>2804</v>
      </c>
      <c r="F52" s="6">
        <v>46.577244</v>
      </c>
      <c r="G52" s="7">
        <v>6.0200770000000004E-3</v>
      </c>
      <c r="H52" s="47"/>
    </row>
    <row r="53" spans="1:8" ht="17.100000000000001" customHeight="1" x14ac:dyDescent="0.2">
      <c r="A53" s="3">
        <v>47</v>
      </c>
      <c r="B53" s="4" t="s">
        <v>319</v>
      </c>
      <c r="C53" s="4" t="s">
        <v>320</v>
      </c>
      <c r="D53" s="4" t="s">
        <v>321</v>
      </c>
      <c r="E53" s="5">
        <v>5927</v>
      </c>
      <c r="F53" s="6">
        <v>46.369884499999998</v>
      </c>
      <c r="G53" s="7">
        <v>5.9932759999999996E-3</v>
      </c>
      <c r="H53" s="47"/>
    </row>
    <row r="54" spans="1:8" ht="53.1" customHeight="1" x14ac:dyDescent="0.2">
      <c r="A54" s="3">
        <v>48</v>
      </c>
      <c r="B54" s="4" t="s">
        <v>422</v>
      </c>
      <c r="C54" s="4" t="s">
        <v>423</v>
      </c>
      <c r="D54" s="4" t="s">
        <v>62</v>
      </c>
      <c r="E54" s="5">
        <v>21287</v>
      </c>
      <c r="F54" s="6">
        <v>44.276960000000003</v>
      </c>
      <c r="G54" s="7">
        <v>5.7227670000000001E-3</v>
      </c>
      <c r="H54" s="47"/>
    </row>
    <row r="55" spans="1:8" ht="17.100000000000001" customHeight="1" x14ac:dyDescent="0.2">
      <c r="A55" s="3">
        <v>49</v>
      </c>
      <c r="B55" s="4" t="s">
        <v>424</v>
      </c>
      <c r="C55" s="4" t="s">
        <v>425</v>
      </c>
      <c r="D55" s="4" t="s">
        <v>114</v>
      </c>
      <c r="E55" s="5">
        <v>4575</v>
      </c>
      <c r="F55" s="6">
        <v>39.667537500000002</v>
      </c>
      <c r="G55" s="7">
        <v>5.1270020000000003E-3</v>
      </c>
      <c r="H55" s="47"/>
    </row>
    <row r="56" spans="1:8" ht="17.100000000000001" customHeight="1" x14ac:dyDescent="0.2">
      <c r="A56" s="3">
        <v>50</v>
      </c>
      <c r="B56" s="4" t="s">
        <v>426</v>
      </c>
      <c r="C56" s="4" t="s">
        <v>427</v>
      </c>
      <c r="D56" s="4" t="s">
        <v>428</v>
      </c>
      <c r="E56" s="5">
        <v>11575</v>
      </c>
      <c r="F56" s="6">
        <v>39.1987375</v>
      </c>
      <c r="G56" s="7">
        <v>5.0664100000000004E-3</v>
      </c>
      <c r="H56" s="47"/>
    </row>
    <row r="57" spans="1:8" ht="17.100000000000001" customHeight="1" x14ac:dyDescent="0.2">
      <c r="A57" s="3">
        <v>51</v>
      </c>
      <c r="B57" s="4" t="s">
        <v>252</v>
      </c>
      <c r="C57" s="4" t="s">
        <v>253</v>
      </c>
      <c r="D57" s="4" t="s">
        <v>97</v>
      </c>
      <c r="E57" s="5">
        <v>55523</v>
      </c>
      <c r="F57" s="6">
        <v>36.2287575</v>
      </c>
      <c r="G57" s="7">
        <v>4.6825419999999996E-3</v>
      </c>
      <c r="H57" s="47"/>
    </row>
    <row r="58" spans="1:8" ht="17.100000000000001" customHeight="1" x14ac:dyDescent="0.2">
      <c r="A58" s="3">
        <v>52</v>
      </c>
      <c r="B58" s="4" t="s">
        <v>352</v>
      </c>
      <c r="C58" s="4" t="s">
        <v>353</v>
      </c>
      <c r="D58" s="4" t="s">
        <v>88</v>
      </c>
      <c r="E58" s="5">
        <v>59307</v>
      </c>
      <c r="F58" s="6">
        <v>35.524892999999999</v>
      </c>
      <c r="G58" s="7">
        <v>4.5915679999999999E-3</v>
      </c>
      <c r="H58" s="47"/>
    </row>
    <row r="59" spans="1:8" ht="17.100000000000001" customHeight="1" x14ac:dyDescent="0.2">
      <c r="A59" s="3">
        <v>53</v>
      </c>
      <c r="B59" s="4" t="s">
        <v>429</v>
      </c>
      <c r="C59" s="45" t="s">
        <v>1012</v>
      </c>
      <c r="D59" s="4" t="s">
        <v>22</v>
      </c>
      <c r="E59" s="5">
        <v>1908</v>
      </c>
      <c r="F59" s="6">
        <v>5.7697919999999998</v>
      </c>
      <c r="G59" s="7">
        <v>7.4574199999999998E-4</v>
      </c>
      <c r="H59" s="47"/>
    </row>
    <row r="60" spans="1:8" ht="14.1" customHeight="1" x14ac:dyDescent="0.2">
      <c r="A60" s="1"/>
      <c r="B60" s="1"/>
      <c r="C60" s="2" t="s">
        <v>122</v>
      </c>
      <c r="D60" s="1"/>
      <c r="E60" s="1" t="s">
        <v>123</v>
      </c>
      <c r="F60" s="9">
        <v>7592.0037784999995</v>
      </c>
      <c r="G60" s="10">
        <v>0.981261359</v>
      </c>
      <c r="H60" s="47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47"/>
    </row>
    <row r="62" spans="1:8" ht="14.1" customHeight="1" x14ac:dyDescent="0.2">
      <c r="A62" s="1"/>
      <c r="B62" s="1"/>
      <c r="C62" s="2" t="s">
        <v>124</v>
      </c>
      <c r="D62" s="1"/>
      <c r="E62" s="1"/>
      <c r="F62" s="1"/>
      <c r="G62" s="1"/>
      <c r="H62" s="47"/>
    </row>
    <row r="63" spans="1:8" ht="14.1" customHeight="1" x14ac:dyDescent="0.2">
      <c r="A63" s="1"/>
      <c r="B63" s="1"/>
      <c r="C63" s="2" t="s">
        <v>122</v>
      </c>
      <c r="D63" s="1"/>
      <c r="E63" s="1" t="s">
        <v>123</v>
      </c>
      <c r="F63" s="13">
        <v>0</v>
      </c>
      <c r="G63" s="14">
        <v>0</v>
      </c>
      <c r="H63" s="47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47"/>
    </row>
    <row r="65" spans="1:8" ht="14.1" customHeight="1" x14ac:dyDescent="0.2">
      <c r="A65" s="1"/>
      <c r="B65" s="1"/>
      <c r="C65" s="2" t="s">
        <v>125</v>
      </c>
      <c r="D65" s="1"/>
      <c r="E65" s="1"/>
      <c r="F65" s="1"/>
      <c r="G65" s="1"/>
      <c r="H65" s="47"/>
    </row>
    <row r="66" spans="1:8" ht="14.1" customHeight="1" x14ac:dyDescent="0.2">
      <c r="A66" s="1"/>
      <c r="B66" s="1"/>
      <c r="C66" s="2" t="s">
        <v>122</v>
      </c>
      <c r="D66" s="1"/>
      <c r="E66" s="1" t="s">
        <v>123</v>
      </c>
      <c r="F66" s="13">
        <v>0</v>
      </c>
      <c r="G66" s="14">
        <v>0</v>
      </c>
      <c r="H66" s="47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47"/>
    </row>
    <row r="68" spans="1:8" ht="14.1" customHeight="1" x14ac:dyDescent="0.2">
      <c r="A68" s="1"/>
      <c r="B68" s="1"/>
      <c r="C68" s="2" t="s">
        <v>126</v>
      </c>
      <c r="D68" s="1"/>
      <c r="E68" s="1"/>
      <c r="F68" s="1"/>
      <c r="G68" s="1"/>
      <c r="H68" s="47"/>
    </row>
    <row r="69" spans="1:8" ht="14.1" customHeight="1" x14ac:dyDescent="0.2">
      <c r="A69" s="1"/>
      <c r="B69" s="1"/>
      <c r="C69" s="2" t="s">
        <v>122</v>
      </c>
      <c r="D69" s="1"/>
      <c r="E69" s="1" t="s">
        <v>123</v>
      </c>
      <c r="F69" s="9">
        <v>0</v>
      </c>
      <c r="G69" s="10">
        <v>0</v>
      </c>
      <c r="H69" s="47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47"/>
    </row>
    <row r="71" spans="1:8" ht="14.1" customHeight="1" x14ac:dyDescent="0.2">
      <c r="A71" s="1"/>
      <c r="B71" s="1"/>
      <c r="C71" s="2" t="s">
        <v>127</v>
      </c>
      <c r="D71" s="1"/>
      <c r="E71" s="1"/>
      <c r="F71" s="12"/>
      <c r="G71" s="12"/>
      <c r="H71" s="47"/>
    </row>
    <row r="72" spans="1:8" ht="14.1" customHeight="1" x14ac:dyDescent="0.2">
      <c r="A72" s="1"/>
      <c r="B72" s="1"/>
      <c r="C72" s="2" t="s">
        <v>122</v>
      </c>
      <c r="D72" s="1"/>
      <c r="E72" s="1" t="s">
        <v>123</v>
      </c>
      <c r="F72" s="13">
        <v>0</v>
      </c>
      <c r="G72" s="14">
        <v>0</v>
      </c>
      <c r="H72" s="47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47"/>
    </row>
    <row r="74" spans="1:8" ht="14.1" customHeight="1" x14ac:dyDescent="0.2">
      <c r="A74" s="1"/>
      <c r="B74" s="1"/>
      <c r="C74" s="2" t="s">
        <v>128</v>
      </c>
      <c r="D74" s="1"/>
      <c r="E74" s="1"/>
      <c r="F74" s="12"/>
      <c r="G74" s="12"/>
      <c r="H74" s="47"/>
    </row>
    <row r="75" spans="1:8" ht="14.1" customHeight="1" x14ac:dyDescent="0.2">
      <c r="A75" s="1"/>
      <c r="B75" s="1"/>
      <c r="C75" s="2" t="s">
        <v>122</v>
      </c>
      <c r="D75" s="1"/>
      <c r="E75" s="1" t="s">
        <v>123</v>
      </c>
      <c r="F75" s="13">
        <v>0</v>
      </c>
      <c r="G75" s="14">
        <v>0</v>
      </c>
      <c r="H75" s="47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47"/>
    </row>
    <row r="77" spans="1:8" ht="18" customHeight="1" x14ac:dyDescent="0.2">
      <c r="A77" s="1"/>
      <c r="B77" s="1"/>
      <c r="C77" s="2" t="s">
        <v>129</v>
      </c>
      <c r="D77" s="1"/>
      <c r="E77" s="1"/>
      <c r="F77" s="9">
        <v>7592.0037785000004</v>
      </c>
      <c r="G77" s="10">
        <v>0.981261359</v>
      </c>
      <c r="H77" s="47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47"/>
    </row>
    <row r="79" spans="1:8" ht="14.1" customHeight="1" x14ac:dyDescent="0.2">
      <c r="A79" s="1"/>
      <c r="B79" s="1"/>
      <c r="C79" s="2" t="s">
        <v>130</v>
      </c>
      <c r="D79" s="1"/>
      <c r="E79" s="1"/>
      <c r="F79" s="12"/>
      <c r="G79" s="12"/>
      <c r="H79" s="47"/>
    </row>
    <row r="80" spans="1:8" ht="24" customHeight="1" x14ac:dyDescent="0.2">
      <c r="A80" s="1"/>
      <c r="B80" s="1"/>
      <c r="C80" s="2" t="s">
        <v>10</v>
      </c>
      <c r="D80" s="1"/>
      <c r="E80" s="1"/>
      <c r="F80" s="12"/>
      <c r="G80" s="12"/>
      <c r="H80" s="47"/>
    </row>
    <row r="81" spans="1:8" ht="14.1" customHeight="1" x14ac:dyDescent="0.2">
      <c r="A81" s="1"/>
      <c r="B81" s="1"/>
      <c r="C81" s="2" t="s">
        <v>122</v>
      </c>
      <c r="D81" s="1"/>
      <c r="E81" s="1" t="s">
        <v>123</v>
      </c>
      <c r="F81" s="13">
        <v>0</v>
      </c>
      <c r="G81" s="14">
        <v>0</v>
      </c>
      <c r="H81" s="47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131</v>
      </c>
      <c r="D83" s="1"/>
      <c r="E83" s="1"/>
      <c r="F83" s="1"/>
      <c r="G83" s="1"/>
      <c r="H83" s="47"/>
    </row>
    <row r="84" spans="1:8" ht="14.1" customHeight="1" x14ac:dyDescent="0.2">
      <c r="A84" s="1"/>
      <c r="B84" s="1"/>
      <c r="C84" s="2" t="s">
        <v>122</v>
      </c>
      <c r="D84" s="1"/>
      <c r="E84" s="1" t="s">
        <v>123</v>
      </c>
      <c r="F84" s="13">
        <v>0</v>
      </c>
      <c r="G84" s="14">
        <v>0</v>
      </c>
      <c r="H84" s="47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132</v>
      </c>
      <c r="D86" s="1"/>
      <c r="E86" s="1"/>
      <c r="F86" s="1"/>
      <c r="G86" s="1"/>
      <c r="H86" s="47"/>
    </row>
    <row r="87" spans="1:8" ht="14.1" customHeight="1" x14ac:dyDescent="0.2">
      <c r="A87" s="1"/>
      <c r="B87" s="1"/>
      <c r="C87" s="2" t="s">
        <v>122</v>
      </c>
      <c r="D87" s="1"/>
      <c r="E87" s="1" t="s">
        <v>123</v>
      </c>
      <c r="F87" s="13">
        <v>0</v>
      </c>
      <c r="G87" s="14">
        <v>0</v>
      </c>
      <c r="H87" s="47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133</v>
      </c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122</v>
      </c>
      <c r="D90" s="1"/>
      <c r="E90" s="1" t="s">
        <v>123</v>
      </c>
      <c r="F90" s="13">
        <v>0</v>
      </c>
      <c r="G90" s="14">
        <v>0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134</v>
      </c>
      <c r="D92" s="1"/>
      <c r="E92" s="1"/>
      <c r="F92" s="9">
        <v>0</v>
      </c>
      <c r="G92" s="10">
        <v>0</v>
      </c>
      <c r="H92" s="47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47"/>
    </row>
    <row r="94" spans="1:8" ht="14.1" customHeight="1" x14ac:dyDescent="0.2">
      <c r="A94" s="1"/>
      <c r="B94" s="1"/>
      <c r="C94" s="2" t="s">
        <v>135</v>
      </c>
      <c r="D94" s="1"/>
      <c r="E94" s="1"/>
      <c r="F94" s="12"/>
      <c r="G94" s="12"/>
      <c r="H94" s="47"/>
    </row>
    <row r="95" spans="1:8" ht="14.1" customHeight="1" x14ac:dyDescent="0.2">
      <c r="A95" s="1"/>
      <c r="B95" s="1"/>
      <c r="C95" s="2" t="s">
        <v>136</v>
      </c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122</v>
      </c>
      <c r="D96" s="1"/>
      <c r="E96" s="1" t="s">
        <v>123</v>
      </c>
      <c r="F96" s="13">
        <v>0</v>
      </c>
      <c r="G96" s="14">
        <v>0</v>
      </c>
      <c r="H96" s="47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137</v>
      </c>
      <c r="D98" s="1"/>
      <c r="E98" s="1"/>
      <c r="F98" s="12"/>
      <c r="G98" s="12"/>
      <c r="H98" s="47"/>
    </row>
    <row r="99" spans="1:8" ht="14.1" customHeight="1" x14ac:dyDescent="0.2">
      <c r="A99" s="1"/>
      <c r="B99" s="1"/>
      <c r="C99" s="2" t="s">
        <v>122</v>
      </c>
      <c r="D99" s="1"/>
      <c r="E99" s="1" t="s">
        <v>123</v>
      </c>
      <c r="F99" s="13">
        <v>0</v>
      </c>
      <c r="G99" s="14">
        <v>0</v>
      </c>
      <c r="H99" s="47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47"/>
    </row>
    <row r="101" spans="1:8" ht="14.1" customHeight="1" x14ac:dyDescent="0.2">
      <c r="A101" s="1"/>
      <c r="B101" s="1"/>
      <c r="C101" s="2" t="s">
        <v>138</v>
      </c>
      <c r="D101" s="1"/>
      <c r="E101" s="1"/>
      <c r="F101" s="12"/>
      <c r="G101" s="12"/>
      <c r="H101" s="47"/>
    </row>
    <row r="102" spans="1:8" ht="14.1" customHeight="1" x14ac:dyDescent="0.2">
      <c r="A102" s="1"/>
      <c r="B102" s="1"/>
      <c r="C102" s="2" t="s">
        <v>122</v>
      </c>
      <c r="D102" s="1"/>
      <c r="E102" s="1" t="s">
        <v>123</v>
      </c>
      <c r="F102" s="13">
        <v>0</v>
      </c>
      <c r="G102" s="14">
        <v>0</v>
      </c>
      <c r="H102" s="47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2" t="s">
        <v>139</v>
      </c>
      <c r="D104" s="1"/>
      <c r="E104" s="1"/>
      <c r="F104" s="12"/>
      <c r="G104" s="12"/>
      <c r="H104" s="47"/>
    </row>
    <row r="105" spans="1:8" ht="17.100000000000001" customHeight="1" x14ac:dyDescent="0.2">
      <c r="A105" s="3">
        <v>1</v>
      </c>
      <c r="B105" s="4"/>
      <c r="C105" s="4" t="s">
        <v>140</v>
      </c>
      <c r="D105" s="4"/>
      <c r="E105" s="8"/>
      <c r="F105" s="6">
        <v>49.814522199999999</v>
      </c>
      <c r="G105" s="7">
        <v>6.438493E-3</v>
      </c>
      <c r="H105" s="47">
        <v>4.6730752161314033</v>
      </c>
    </row>
    <row r="106" spans="1:8" ht="14.1" customHeight="1" x14ac:dyDescent="0.2">
      <c r="A106" s="1"/>
      <c r="B106" s="1"/>
      <c r="C106" s="2" t="s">
        <v>122</v>
      </c>
      <c r="D106" s="1"/>
      <c r="E106" s="1" t="s">
        <v>123</v>
      </c>
      <c r="F106" s="9">
        <v>49.814522199999999</v>
      </c>
      <c r="G106" s="10">
        <v>6.438493E-3</v>
      </c>
      <c r="H106" s="47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47"/>
    </row>
    <row r="108" spans="1:8" ht="14.1" customHeight="1" x14ac:dyDescent="0.2">
      <c r="A108" s="1"/>
      <c r="B108" s="1"/>
      <c r="C108" s="2" t="s">
        <v>141</v>
      </c>
      <c r="D108" s="1"/>
      <c r="E108" s="1"/>
      <c r="F108" s="9">
        <v>49.814522199999999</v>
      </c>
      <c r="G108" s="10">
        <v>6.438493E-3</v>
      </c>
      <c r="H108" s="47"/>
    </row>
    <row r="109" spans="1:8" ht="14.1" customHeight="1" x14ac:dyDescent="0.2">
      <c r="A109" s="1"/>
      <c r="B109" s="1"/>
      <c r="C109" s="12"/>
      <c r="D109" s="1"/>
      <c r="E109" s="1"/>
      <c r="F109" s="1"/>
      <c r="G109" s="1"/>
      <c r="H109" s="47"/>
    </row>
    <row r="110" spans="1:8" ht="14.1" customHeight="1" x14ac:dyDescent="0.2">
      <c r="A110" s="1"/>
      <c r="B110" s="1"/>
      <c r="C110" s="2" t="s">
        <v>142</v>
      </c>
      <c r="D110" s="1"/>
      <c r="E110" s="1"/>
      <c r="F110" s="1"/>
      <c r="G110" s="1"/>
      <c r="H110" s="47"/>
    </row>
    <row r="111" spans="1:8" ht="14.1" customHeight="1" x14ac:dyDescent="0.2">
      <c r="A111" s="1"/>
      <c r="B111" s="1"/>
      <c r="C111" s="2" t="s">
        <v>143</v>
      </c>
      <c r="D111" s="1"/>
      <c r="E111" s="1"/>
      <c r="F111" s="1"/>
      <c r="G111" s="1"/>
      <c r="H111" s="47"/>
    </row>
    <row r="112" spans="1:8" ht="14.1" customHeight="1" x14ac:dyDescent="0.2">
      <c r="A112" s="1"/>
      <c r="B112" s="1"/>
      <c r="C112" s="2" t="s">
        <v>122</v>
      </c>
      <c r="D112" s="1"/>
      <c r="E112" s="1" t="s">
        <v>123</v>
      </c>
      <c r="F112" s="13">
        <v>0</v>
      </c>
      <c r="G112" s="14">
        <v>0</v>
      </c>
      <c r="H112" s="47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47"/>
    </row>
    <row r="114" spans="1:8" ht="14.1" customHeight="1" x14ac:dyDescent="0.2">
      <c r="A114" s="1"/>
      <c r="B114" s="1"/>
      <c r="C114" s="2" t="s">
        <v>144</v>
      </c>
      <c r="D114" s="1"/>
      <c r="E114" s="1"/>
      <c r="F114" s="1"/>
      <c r="G114" s="1"/>
      <c r="H114" s="47"/>
    </row>
    <row r="115" spans="1:8" ht="14.1" customHeight="1" x14ac:dyDescent="0.2">
      <c r="A115" s="1"/>
      <c r="B115" s="1"/>
      <c r="C115" s="2" t="s">
        <v>145</v>
      </c>
      <c r="D115" s="1"/>
      <c r="E115" s="1"/>
      <c r="F115" s="1"/>
      <c r="G115" s="1"/>
      <c r="H115" s="47"/>
    </row>
    <row r="116" spans="1:8" ht="14.1" customHeight="1" x14ac:dyDescent="0.2">
      <c r="A116" s="1"/>
      <c r="B116" s="1"/>
      <c r="C116" s="2" t="s">
        <v>122</v>
      </c>
      <c r="D116" s="1"/>
      <c r="E116" s="1" t="s">
        <v>123</v>
      </c>
      <c r="F116" s="13">
        <v>0</v>
      </c>
      <c r="G116" s="14">
        <v>0</v>
      </c>
      <c r="H116" s="47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47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47"/>
    </row>
    <row r="119" spans="1:8" ht="24" customHeight="1" x14ac:dyDescent="0.2">
      <c r="A119" s="1"/>
      <c r="B119" s="1"/>
      <c r="C119" s="2" t="s">
        <v>146</v>
      </c>
      <c r="D119" s="1"/>
      <c r="E119" s="1"/>
      <c r="F119" s="12"/>
      <c r="G119" s="12"/>
      <c r="H119" s="47"/>
    </row>
    <row r="120" spans="1:8" ht="14.1" customHeight="1" x14ac:dyDescent="0.2">
      <c r="A120" s="1"/>
      <c r="B120" s="1"/>
      <c r="C120" s="2" t="s">
        <v>122</v>
      </c>
      <c r="D120" s="1"/>
      <c r="E120" s="1" t="s">
        <v>123</v>
      </c>
      <c r="F120" s="13">
        <v>0</v>
      </c>
      <c r="G120" s="14">
        <v>0</v>
      </c>
      <c r="H120" s="47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47"/>
    </row>
    <row r="122" spans="1:8" ht="14.1" customHeight="1" x14ac:dyDescent="0.2">
      <c r="A122" s="1"/>
      <c r="B122" s="4"/>
      <c r="C122" s="4"/>
      <c r="D122" s="2"/>
      <c r="E122" s="1"/>
      <c r="F122" s="4"/>
      <c r="G122" s="8"/>
      <c r="H122" s="47"/>
    </row>
    <row r="123" spans="1:8" ht="18" customHeight="1" x14ac:dyDescent="0.2">
      <c r="A123" s="8"/>
      <c r="B123" s="4"/>
      <c r="C123" s="4" t="s">
        <v>147</v>
      </c>
      <c r="D123" s="4"/>
      <c r="E123" s="8"/>
      <c r="F123" s="6">
        <v>95.166050420000005</v>
      </c>
      <c r="G123" s="7">
        <v>1.2300148E-2</v>
      </c>
      <c r="H123" s="47"/>
    </row>
    <row r="124" spans="1:8" ht="14.1" customHeight="1" x14ac:dyDescent="0.2">
      <c r="A124" s="11"/>
      <c r="B124" s="11"/>
      <c r="C124" s="2" t="s">
        <v>148</v>
      </c>
      <c r="D124" s="15"/>
      <c r="E124" s="15"/>
      <c r="F124" s="9">
        <v>7736.9843511200006</v>
      </c>
      <c r="G124" s="14">
        <v>1</v>
      </c>
      <c r="H124" s="47"/>
    </row>
    <row r="125" spans="1:8" ht="14.1" customHeight="1" x14ac:dyDescent="0.2">
      <c r="A125" s="18"/>
      <c r="B125" s="18"/>
      <c r="C125" s="18"/>
      <c r="D125" s="20"/>
      <c r="E125" s="20"/>
      <c r="F125" s="20"/>
      <c r="G125" s="20"/>
    </row>
    <row r="126" spans="1:8" ht="14.1" customHeight="1" x14ac:dyDescent="0.2">
      <c r="A126" s="18"/>
      <c r="B126" s="257" t="s">
        <v>150</v>
      </c>
      <c r="C126" s="258"/>
      <c r="D126" s="12" t="s">
        <v>123</v>
      </c>
      <c r="E126" s="21"/>
      <c r="F126" s="20"/>
      <c r="G126" s="20"/>
    </row>
    <row r="127" spans="1:8" ht="29.1" customHeight="1" x14ac:dyDescent="0.2">
      <c r="A127" s="18"/>
      <c r="B127" s="259" t="s">
        <v>151</v>
      </c>
      <c r="C127" s="260"/>
      <c r="D127" s="2" t="s">
        <v>152</v>
      </c>
      <c r="E127" s="21"/>
      <c r="F127" s="20"/>
      <c r="G127" s="20"/>
    </row>
    <row r="128" spans="1:8" ht="17.100000000000001" customHeight="1" x14ac:dyDescent="0.2">
      <c r="A128" s="18"/>
      <c r="B128" s="259" t="s">
        <v>153</v>
      </c>
      <c r="C128" s="260"/>
      <c r="D128" s="2" t="s">
        <v>152</v>
      </c>
      <c r="E128" s="21"/>
      <c r="F128" s="20"/>
      <c r="G128" s="20"/>
    </row>
    <row r="129" spans="1:15" ht="17.100000000000001" customHeight="1" x14ac:dyDescent="0.2">
      <c r="A129" s="18"/>
      <c r="B129" s="259" t="s">
        <v>154</v>
      </c>
      <c r="C129" s="260"/>
      <c r="D129" s="12" t="s">
        <v>123</v>
      </c>
      <c r="E129" s="21"/>
      <c r="F129" s="20"/>
      <c r="G129" s="20"/>
    </row>
    <row r="130" spans="1:15" ht="24" customHeight="1" x14ac:dyDescent="0.2">
      <c r="A130" s="22"/>
      <c r="B130" s="23" t="s">
        <v>123</v>
      </c>
      <c r="C130" s="23" t="s">
        <v>155</v>
      </c>
      <c r="D130" s="23" t="s">
        <v>156</v>
      </c>
      <c r="E130" s="22"/>
      <c r="F130" s="22"/>
      <c r="G130" s="22"/>
    </row>
    <row r="131" spans="1:15" ht="18" customHeight="1" x14ac:dyDescent="0.2">
      <c r="A131" s="22"/>
      <c r="B131" s="23" t="s">
        <v>157</v>
      </c>
      <c r="C131" s="23" t="s">
        <v>158</v>
      </c>
      <c r="D131" s="23" t="s">
        <v>159</v>
      </c>
      <c r="E131" s="22"/>
      <c r="F131" s="22"/>
      <c r="G131" s="22"/>
    </row>
    <row r="132" spans="1:15" ht="17.100000000000001" customHeight="1" x14ac:dyDescent="0.2">
      <c r="A132" s="22"/>
      <c r="B132" s="4" t="s">
        <v>160</v>
      </c>
      <c r="C132" s="24">
        <v>16.552800000000001</v>
      </c>
      <c r="D132" s="24">
        <v>15.8712</v>
      </c>
      <c r="E132" s="22"/>
      <c r="F132" s="19"/>
      <c r="G132" s="25"/>
    </row>
    <row r="133" spans="1:15" ht="17.100000000000001" customHeight="1" x14ac:dyDescent="0.2">
      <c r="A133" s="22"/>
      <c r="B133" s="4" t="s">
        <v>1101</v>
      </c>
      <c r="C133" s="24">
        <v>15.754</v>
      </c>
      <c r="D133" s="24">
        <v>15.1053</v>
      </c>
      <c r="E133" s="22"/>
      <c r="F133" s="19"/>
      <c r="G133" s="25"/>
    </row>
    <row r="134" spans="1:15" ht="17.100000000000001" customHeight="1" x14ac:dyDescent="0.2">
      <c r="A134" s="22"/>
      <c r="B134" s="4" t="s">
        <v>161</v>
      </c>
      <c r="C134" s="24">
        <v>16.171199999999999</v>
      </c>
      <c r="D134" s="24">
        <v>15.498100000000001</v>
      </c>
      <c r="E134" s="22"/>
      <c r="F134" s="19"/>
      <c r="G134" s="25"/>
    </row>
    <row r="135" spans="1:15" ht="17.100000000000001" customHeight="1" x14ac:dyDescent="0.2">
      <c r="A135" s="22"/>
      <c r="B135" s="4" t="s">
        <v>1102</v>
      </c>
      <c r="C135" s="24">
        <v>15.5672</v>
      </c>
      <c r="D135" s="24">
        <v>14.9193</v>
      </c>
      <c r="E135" s="22"/>
      <c r="F135" s="19"/>
      <c r="G135" s="25"/>
    </row>
    <row r="136" spans="1:15" ht="14.1" customHeight="1" x14ac:dyDescent="0.2">
      <c r="A136" s="22"/>
      <c r="B136" s="22"/>
      <c r="C136" s="22"/>
      <c r="D136" s="22"/>
      <c r="E136" s="22"/>
      <c r="F136" s="22"/>
      <c r="G136" s="22"/>
    </row>
    <row r="137" spans="1:15" ht="17.100000000000001" customHeight="1" x14ac:dyDescent="0.2">
      <c r="A137" s="22"/>
      <c r="B137" s="259" t="s">
        <v>1103</v>
      </c>
      <c r="C137" s="260"/>
      <c r="D137" s="2" t="s">
        <v>152</v>
      </c>
      <c r="E137" s="22"/>
      <c r="F137" s="22"/>
      <c r="G137" s="22"/>
    </row>
    <row r="138" spans="1:15" ht="18" customHeight="1" x14ac:dyDescent="0.2">
      <c r="A138" s="22"/>
      <c r="B138" s="26"/>
      <c r="C138" s="26"/>
      <c r="D138" s="27"/>
      <c r="E138" s="22"/>
      <c r="F138" s="22"/>
      <c r="G138" s="22"/>
    </row>
    <row r="139" spans="1:15" ht="29.1" customHeight="1" x14ac:dyDescent="0.2">
      <c r="A139" s="22"/>
      <c r="B139" s="259" t="s">
        <v>162</v>
      </c>
      <c r="C139" s="260"/>
      <c r="D139" s="2" t="s">
        <v>152</v>
      </c>
      <c r="E139" s="22"/>
      <c r="F139" s="22"/>
      <c r="G139" s="22"/>
    </row>
    <row r="140" spans="1:15" ht="29.1" customHeight="1" x14ac:dyDescent="0.2">
      <c r="A140" s="22"/>
      <c r="B140" s="259" t="s">
        <v>163</v>
      </c>
      <c r="C140" s="260"/>
      <c r="D140" s="2" t="s">
        <v>152</v>
      </c>
      <c r="E140" s="22"/>
      <c r="F140" s="22"/>
      <c r="G140" s="22"/>
      <c r="J140" s="148"/>
      <c r="K140" s="148"/>
      <c r="L140" s="148"/>
      <c r="M140" s="148"/>
      <c r="N140" s="148"/>
      <c r="O140" s="148"/>
    </row>
    <row r="141" spans="1:15" ht="17.100000000000001" customHeight="1" x14ac:dyDescent="0.2">
      <c r="A141" s="22"/>
      <c r="B141" s="259" t="s">
        <v>164</v>
      </c>
      <c r="C141" s="260"/>
      <c r="D141" s="28">
        <v>0.29844614516199192</v>
      </c>
      <c r="E141" s="22"/>
      <c r="F141" s="19"/>
      <c r="G141" s="25"/>
    </row>
    <row r="142" spans="1:15" ht="17.100000000000001" customHeight="1" x14ac:dyDescent="0.2">
      <c r="A142" s="22"/>
      <c r="B142" s="259" t="s">
        <v>165</v>
      </c>
      <c r="C142" s="260"/>
      <c r="D142" s="2" t="s">
        <v>152</v>
      </c>
      <c r="E142" s="22"/>
      <c r="F142" s="22"/>
      <c r="G142" s="22"/>
    </row>
  </sheetData>
  <mergeCells count="13">
    <mergeCell ref="J2:N2"/>
    <mergeCell ref="A1:H1"/>
    <mergeCell ref="A2:H2"/>
    <mergeCell ref="A3:H3"/>
    <mergeCell ref="B126:C126"/>
    <mergeCell ref="B141:C141"/>
    <mergeCell ref="B142:C142"/>
    <mergeCell ref="B127:C127"/>
    <mergeCell ref="B128:C128"/>
    <mergeCell ref="B129:C129"/>
    <mergeCell ref="B137:C137"/>
    <mergeCell ref="B139:C139"/>
    <mergeCell ref="B140:C14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6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431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4495006</v>
      </c>
      <c r="F7" s="6">
        <v>31788.682432000001</v>
      </c>
      <c r="G7" s="7">
        <v>7.0149619999999996E-2</v>
      </c>
      <c r="H7" s="47"/>
    </row>
    <row r="8" spans="1:14" ht="17.100000000000001" customHeight="1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870000</v>
      </c>
      <c r="F8" s="6">
        <v>22582.154999999999</v>
      </c>
      <c r="G8" s="7">
        <v>4.9833132000000002E-2</v>
      </c>
      <c r="H8" s="47"/>
    </row>
    <row r="9" spans="1:14" ht="17.100000000000001" customHeight="1" x14ac:dyDescent="0.2">
      <c r="A9" s="3">
        <v>3</v>
      </c>
      <c r="B9" s="4" t="s">
        <v>393</v>
      </c>
      <c r="C9" s="4" t="s">
        <v>394</v>
      </c>
      <c r="D9" s="4" t="s">
        <v>191</v>
      </c>
      <c r="E9" s="5">
        <v>1279690</v>
      </c>
      <c r="F9" s="6">
        <v>18707.788110000001</v>
      </c>
      <c r="G9" s="7">
        <v>4.1283379000000002E-2</v>
      </c>
      <c r="H9" s="47"/>
    </row>
    <row r="10" spans="1:14" ht="17.100000000000001" customHeight="1" x14ac:dyDescent="0.2">
      <c r="A10" s="3">
        <v>4</v>
      </c>
      <c r="B10" s="4" t="s">
        <v>358</v>
      </c>
      <c r="C10" s="4" t="s">
        <v>359</v>
      </c>
      <c r="D10" s="4" t="s">
        <v>19</v>
      </c>
      <c r="E10" s="5">
        <v>1323852</v>
      </c>
      <c r="F10" s="6">
        <v>17845.524959999999</v>
      </c>
      <c r="G10" s="7">
        <v>3.9380580999999998E-2</v>
      </c>
      <c r="H10" s="47"/>
    </row>
    <row r="11" spans="1:14" ht="17.100000000000001" customHeight="1" x14ac:dyDescent="0.2">
      <c r="A11" s="3">
        <v>5</v>
      </c>
      <c r="B11" s="4" t="s">
        <v>11</v>
      </c>
      <c r="C11" s="4" t="s">
        <v>12</v>
      </c>
      <c r="D11" s="4" t="s">
        <v>13</v>
      </c>
      <c r="E11" s="5">
        <v>746883</v>
      </c>
      <c r="F11" s="6">
        <v>11638.304347499999</v>
      </c>
      <c r="G11" s="7">
        <v>2.5682808000000001E-2</v>
      </c>
      <c r="H11" s="47"/>
    </row>
    <row r="12" spans="1:14" ht="17.100000000000001" customHeight="1" x14ac:dyDescent="0.2">
      <c r="A12" s="3">
        <v>6</v>
      </c>
      <c r="B12" s="4" t="s">
        <v>294</v>
      </c>
      <c r="C12" s="4" t="s">
        <v>295</v>
      </c>
      <c r="D12" s="4" t="s">
        <v>296</v>
      </c>
      <c r="E12" s="5">
        <v>1350969</v>
      </c>
      <c r="F12" s="6">
        <v>10680.085429500001</v>
      </c>
      <c r="G12" s="7">
        <v>2.3568260000000001E-2</v>
      </c>
      <c r="H12" s="47"/>
    </row>
    <row r="13" spans="1:14" ht="17.100000000000001" customHeight="1" x14ac:dyDescent="0.2">
      <c r="A13" s="3">
        <v>7</v>
      </c>
      <c r="B13" s="4" t="s">
        <v>46</v>
      </c>
      <c r="C13" s="4" t="s">
        <v>47</v>
      </c>
      <c r="D13" s="4" t="s">
        <v>19</v>
      </c>
      <c r="E13" s="5">
        <v>2191327</v>
      </c>
      <c r="F13" s="6">
        <v>10209.392492999999</v>
      </c>
      <c r="G13" s="7">
        <v>2.2529559000000001E-2</v>
      </c>
      <c r="H13" s="47"/>
      <c r="J13" s="147" t="s">
        <v>1118</v>
      </c>
    </row>
    <row r="14" spans="1:14" ht="53.1" customHeight="1" x14ac:dyDescent="0.2">
      <c r="A14" s="3">
        <v>8</v>
      </c>
      <c r="B14" s="4" t="s">
        <v>60</v>
      </c>
      <c r="C14" s="4" t="s">
        <v>61</v>
      </c>
      <c r="D14" s="4" t="s">
        <v>62</v>
      </c>
      <c r="E14" s="5">
        <v>6352636</v>
      </c>
      <c r="F14" s="6">
        <v>9389.1960080000008</v>
      </c>
      <c r="G14" s="7">
        <v>2.0719591999999998E-2</v>
      </c>
      <c r="H14" s="47"/>
    </row>
    <row r="15" spans="1:14" ht="17.100000000000001" customHeight="1" x14ac:dyDescent="0.2">
      <c r="A15" s="3">
        <v>9</v>
      </c>
      <c r="B15" s="4" t="s">
        <v>432</v>
      </c>
      <c r="C15" s="4" t="s">
        <v>433</v>
      </c>
      <c r="D15" s="4" t="s">
        <v>94</v>
      </c>
      <c r="E15" s="5">
        <v>1685076</v>
      </c>
      <c r="F15" s="6">
        <v>9331.9508879999994</v>
      </c>
      <c r="G15" s="7">
        <v>2.0593266999999998E-2</v>
      </c>
      <c r="H15" s="47"/>
    </row>
    <row r="16" spans="1:14" ht="17.100000000000001" customHeight="1" x14ac:dyDescent="0.2">
      <c r="A16" s="3">
        <v>10</v>
      </c>
      <c r="B16" s="4" t="s">
        <v>364</v>
      </c>
      <c r="C16" s="4" t="s">
        <v>365</v>
      </c>
      <c r="D16" s="4" t="s">
        <v>91</v>
      </c>
      <c r="E16" s="5">
        <v>82672</v>
      </c>
      <c r="F16" s="6">
        <v>9037.4963599999992</v>
      </c>
      <c r="G16" s="7">
        <v>1.994348E-2</v>
      </c>
      <c r="H16" s="47"/>
    </row>
    <row r="17" spans="1:10" ht="17.100000000000001" customHeight="1" x14ac:dyDescent="0.2">
      <c r="A17" s="3">
        <v>11</v>
      </c>
      <c r="B17" s="4" t="s">
        <v>304</v>
      </c>
      <c r="C17" s="4" t="s">
        <v>305</v>
      </c>
      <c r="D17" s="4" t="s">
        <v>19</v>
      </c>
      <c r="E17" s="5">
        <v>1371950</v>
      </c>
      <c r="F17" s="6">
        <v>8736.5776000000005</v>
      </c>
      <c r="G17" s="7">
        <v>1.9279428000000001E-2</v>
      </c>
      <c r="H17" s="47"/>
    </row>
    <row r="18" spans="1:10" ht="29.1" customHeight="1" x14ac:dyDescent="0.2">
      <c r="A18" s="3">
        <v>12</v>
      </c>
      <c r="B18" s="4" t="s">
        <v>395</v>
      </c>
      <c r="C18" s="4" t="s">
        <v>396</v>
      </c>
      <c r="D18" s="4" t="s">
        <v>91</v>
      </c>
      <c r="E18" s="5">
        <v>384006</v>
      </c>
      <c r="F18" s="6">
        <v>8336.1942510000008</v>
      </c>
      <c r="G18" s="7">
        <v>1.8395881999999999E-2</v>
      </c>
      <c r="H18" s="47"/>
    </row>
    <row r="19" spans="1:10" ht="17.100000000000001" customHeight="1" x14ac:dyDescent="0.2">
      <c r="A19" s="3">
        <v>13</v>
      </c>
      <c r="B19" s="4" t="s">
        <v>319</v>
      </c>
      <c r="C19" s="4" t="s">
        <v>320</v>
      </c>
      <c r="D19" s="4" t="s">
        <v>321</v>
      </c>
      <c r="E19" s="5">
        <v>997049</v>
      </c>
      <c r="F19" s="6">
        <v>7800.4128515000002</v>
      </c>
      <c r="G19" s="7">
        <v>1.7213547999999999E-2</v>
      </c>
      <c r="H19" s="47"/>
    </row>
    <row r="20" spans="1:10" ht="17.100000000000001" customHeight="1" x14ac:dyDescent="0.2">
      <c r="A20" s="3">
        <v>14</v>
      </c>
      <c r="B20" s="4" t="s">
        <v>92</v>
      </c>
      <c r="C20" s="4" t="s">
        <v>93</v>
      </c>
      <c r="D20" s="4" t="s">
        <v>94</v>
      </c>
      <c r="E20" s="5">
        <v>330256</v>
      </c>
      <c r="F20" s="6">
        <v>7564.51368</v>
      </c>
      <c r="G20" s="7">
        <v>1.6692978000000001E-2</v>
      </c>
      <c r="H20" s="47"/>
    </row>
    <row r="21" spans="1:10" ht="17.100000000000001" customHeight="1" x14ac:dyDescent="0.2">
      <c r="A21" s="3">
        <v>15</v>
      </c>
      <c r="B21" s="4" t="s">
        <v>374</v>
      </c>
      <c r="C21" s="4" t="s">
        <v>375</v>
      </c>
      <c r="D21" s="4" t="s">
        <v>94</v>
      </c>
      <c r="E21" s="5">
        <v>805172</v>
      </c>
      <c r="F21" s="6">
        <v>7432.945318</v>
      </c>
      <c r="G21" s="7">
        <v>1.6402639E-2</v>
      </c>
      <c r="H21" s="47"/>
    </row>
    <row r="22" spans="1:10" ht="17.100000000000001" customHeight="1" x14ac:dyDescent="0.2">
      <c r="A22" s="3">
        <v>16</v>
      </c>
      <c r="B22" s="4" t="s">
        <v>78</v>
      </c>
      <c r="C22" s="4" t="s">
        <v>79</v>
      </c>
      <c r="D22" s="4" t="s">
        <v>80</v>
      </c>
      <c r="E22" s="5">
        <v>321054</v>
      </c>
      <c r="F22" s="6">
        <v>7387.1314860000002</v>
      </c>
      <c r="G22" s="7">
        <v>1.630154E-2</v>
      </c>
      <c r="H22" s="47"/>
      <c r="J22" s="147" t="s">
        <v>1119</v>
      </c>
    </row>
    <row r="23" spans="1:10" ht="17.100000000000001" customHeight="1" x14ac:dyDescent="0.2">
      <c r="A23" s="3">
        <v>17</v>
      </c>
      <c r="B23" s="4" t="s">
        <v>434</v>
      </c>
      <c r="C23" s="4" t="s">
        <v>435</v>
      </c>
      <c r="D23" s="4" t="s">
        <v>19</v>
      </c>
      <c r="E23" s="5">
        <v>3875118</v>
      </c>
      <c r="F23" s="6">
        <v>7023.6513750000004</v>
      </c>
      <c r="G23" s="7">
        <v>1.5499430999999999E-2</v>
      </c>
      <c r="H23" s="47"/>
    </row>
    <row r="24" spans="1:10" ht="17.100000000000001" customHeight="1" x14ac:dyDescent="0.2">
      <c r="A24" s="3">
        <v>18</v>
      </c>
      <c r="B24" s="4" t="s">
        <v>20</v>
      </c>
      <c r="C24" s="4" t="s">
        <v>21</v>
      </c>
      <c r="D24" s="4" t="s">
        <v>22</v>
      </c>
      <c r="E24" s="5">
        <v>1002403</v>
      </c>
      <c r="F24" s="6">
        <v>6865.9593484999996</v>
      </c>
      <c r="G24" s="7">
        <v>1.5151444E-2</v>
      </c>
      <c r="H24" s="47"/>
    </row>
    <row r="25" spans="1:10" ht="29.1" customHeight="1" x14ac:dyDescent="0.2">
      <c r="A25" s="3">
        <v>19</v>
      </c>
      <c r="B25" s="4" t="s">
        <v>436</v>
      </c>
      <c r="C25" s="4" t="s">
        <v>437</v>
      </c>
      <c r="D25" s="4" t="s">
        <v>204</v>
      </c>
      <c r="E25" s="5">
        <v>187233</v>
      </c>
      <c r="F25" s="6">
        <v>6797.3068320000002</v>
      </c>
      <c r="G25" s="7">
        <v>1.4999945000000001E-2</v>
      </c>
      <c r="H25" s="47"/>
    </row>
    <row r="26" spans="1:10" ht="17.100000000000001" customHeight="1" x14ac:dyDescent="0.2">
      <c r="A26" s="3">
        <v>20</v>
      </c>
      <c r="B26" s="4" t="s">
        <v>380</v>
      </c>
      <c r="C26" s="4" t="s">
        <v>381</v>
      </c>
      <c r="D26" s="4" t="s">
        <v>88</v>
      </c>
      <c r="E26" s="5">
        <v>184208</v>
      </c>
      <c r="F26" s="6">
        <v>6585.4359999999997</v>
      </c>
      <c r="G26" s="7">
        <v>1.4532399999999999E-2</v>
      </c>
      <c r="H26" s="47"/>
    </row>
    <row r="27" spans="1:10" ht="17.100000000000001" customHeight="1" x14ac:dyDescent="0.2">
      <c r="A27" s="3">
        <v>21</v>
      </c>
      <c r="B27" s="4" t="s">
        <v>397</v>
      </c>
      <c r="C27" s="4" t="s">
        <v>398</v>
      </c>
      <c r="D27" s="4" t="s">
        <v>191</v>
      </c>
      <c r="E27" s="5">
        <v>191953</v>
      </c>
      <c r="F27" s="6">
        <v>6271.2964629999997</v>
      </c>
      <c r="G27" s="7">
        <v>1.3839173E-2</v>
      </c>
      <c r="H27" s="47"/>
    </row>
    <row r="28" spans="1:10" ht="17.100000000000001" customHeight="1" x14ac:dyDescent="0.2">
      <c r="A28" s="3">
        <v>22</v>
      </c>
      <c r="B28" s="4" t="s">
        <v>438</v>
      </c>
      <c r="C28" s="4" t="s">
        <v>439</v>
      </c>
      <c r="D28" s="4" t="s">
        <v>28</v>
      </c>
      <c r="E28" s="5">
        <v>856506</v>
      </c>
      <c r="F28" s="6">
        <v>6258.0610889999998</v>
      </c>
      <c r="G28" s="7">
        <v>1.3809966E-2</v>
      </c>
      <c r="H28" s="47"/>
    </row>
    <row r="29" spans="1:10" ht="17.100000000000001" customHeight="1" x14ac:dyDescent="0.2">
      <c r="A29" s="3">
        <v>23</v>
      </c>
      <c r="B29" s="4" t="s">
        <v>372</v>
      </c>
      <c r="C29" s="4" t="s">
        <v>373</v>
      </c>
      <c r="D29" s="4" t="s">
        <v>28</v>
      </c>
      <c r="E29" s="5">
        <v>374960</v>
      </c>
      <c r="F29" s="6">
        <v>6207.4628000000002</v>
      </c>
      <c r="G29" s="7">
        <v>1.3698307999999999E-2</v>
      </c>
      <c r="H29" s="47"/>
    </row>
    <row r="30" spans="1:10" ht="17.100000000000001" customHeight="1" x14ac:dyDescent="0.2">
      <c r="A30" s="3">
        <v>24</v>
      </c>
      <c r="B30" s="4" t="s">
        <v>440</v>
      </c>
      <c r="C30" s="4" t="s">
        <v>441</v>
      </c>
      <c r="D30" s="4" t="s">
        <v>91</v>
      </c>
      <c r="E30" s="5">
        <v>113013</v>
      </c>
      <c r="F30" s="6">
        <v>6103.267065</v>
      </c>
      <c r="G30" s="7">
        <v>1.3468374E-2</v>
      </c>
      <c r="H30" s="47"/>
    </row>
    <row r="31" spans="1:10" ht="17.100000000000001" customHeight="1" x14ac:dyDescent="0.2">
      <c r="A31" s="3">
        <v>25</v>
      </c>
      <c r="B31" s="4" t="s">
        <v>336</v>
      </c>
      <c r="C31" s="4" t="s">
        <v>337</v>
      </c>
      <c r="D31" s="4" t="s">
        <v>191</v>
      </c>
      <c r="E31" s="5">
        <v>260964</v>
      </c>
      <c r="F31" s="6">
        <v>5986.6446420000002</v>
      </c>
      <c r="G31" s="7">
        <v>1.3211018E-2</v>
      </c>
      <c r="H31" s="47"/>
    </row>
    <row r="32" spans="1:10" ht="17.100000000000001" customHeight="1" x14ac:dyDescent="0.2">
      <c r="A32" s="3">
        <v>26</v>
      </c>
      <c r="B32" s="4" t="s">
        <v>36</v>
      </c>
      <c r="C32" s="4" t="s">
        <v>37</v>
      </c>
      <c r="D32" s="4" t="s">
        <v>28</v>
      </c>
      <c r="E32" s="5">
        <v>261885</v>
      </c>
      <c r="F32" s="6">
        <v>5764.6126199999999</v>
      </c>
      <c r="G32" s="7">
        <v>1.2721049E-2</v>
      </c>
      <c r="H32" s="47"/>
    </row>
    <row r="33" spans="1:8" ht="17.100000000000001" customHeight="1" x14ac:dyDescent="0.2">
      <c r="A33" s="3">
        <v>27</v>
      </c>
      <c r="B33" s="4" t="s">
        <v>426</v>
      </c>
      <c r="C33" s="4" t="s">
        <v>427</v>
      </c>
      <c r="D33" s="4" t="s">
        <v>428</v>
      </c>
      <c r="E33" s="5">
        <v>1649310</v>
      </c>
      <c r="F33" s="6">
        <v>5585.3883150000001</v>
      </c>
      <c r="G33" s="7">
        <v>1.2325546E-2</v>
      </c>
      <c r="H33" s="47"/>
    </row>
    <row r="34" spans="1:8" ht="17.100000000000001" customHeight="1" x14ac:dyDescent="0.2">
      <c r="A34" s="3">
        <v>28</v>
      </c>
      <c r="B34" s="4" t="s">
        <v>442</v>
      </c>
      <c r="C34" s="4" t="s">
        <v>443</v>
      </c>
      <c r="D34" s="4" t="s">
        <v>85</v>
      </c>
      <c r="E34" s="5">
        <v>1355977</v>
      </c>
      <c r="F34" s="6">
        <v>5583.913286</v>
      </c>
      <c r="G34" s="7">
        <v>1.2322291000000001E-2</v>
      </c>
      <c r="H34" s="47"/>
    </row>
    <row r="35" spans="1:8" ht="29.1" customHeight="1" x14ac:dyDescent="0.2">
      <c r="A35" s="3">
        <v>29</v>
      </c>
      <c r="B35" s="4" t="s">
        <v>175</v>
      </c>
      <c r="C35" s="4" t="s">
        <v>176</v>
      </c>
      <c r="D35" s="4" t="s">
        <v>88</v>
      </c>
      <c r="E35" s="5">
        <v>1627299</v>
      </c>
      <c r="F35" s="6">
        <v>5535.2575484999998</v>
      </c>
      <c r="G35" s="7">
        <v>1.2214920000000001E-2</v>
      </c>
      <c r="H35" s="47"/>
    </row>
    <row r="36" spans="1:8" ht="17.100000000000001" customHeight="1" x14ac:dyDescent="0.2">
      <c r="A36" s="3">
        <v>30</v>
      </c>
      <c r="B36" s="4" t="s">
        <v>98</v>
      </c>
      <c r="C36" s="4" t="s">
        <v>99</v>
      </c>
      <c r="D36" s="4" t="s">
        <v>97</v>
      </c>
      <c r="E36" s="5">
        <v>749225</v>
      </c>
      <c r="F36" s="6">
        <v>5526.6582125000004</v>
      </c>
      <c r="G36" s="7">
        <v>1.2195943000000001E-2</v>
      </c>
      <c r="H36" s="47"/>
    </row>
    <row r="37" spans="1:8" ht="17.100000000000001" customHeight="1" x14ac:dyDescent="0.2">
      <c r="A37" s="3">
        <v>31</v>
      </c>
      <c r="B37" s="4" t="s">
        <v>83</v>
      </c>
      <c r="C37" s="4" t="s">
        <v>84</v>
      </c>
      <c r="D37" s="4" t="s">
        <v>85</v>
      </c>
      <c r="E37" s="5">
        <v>63700</v>
      </c>
      <c r="F37" s="6">
        <v>5395.8677500000003</v>
      </c>
      <c r="G37" s="7">
        <v>1.1907322E-2</v>
      </c>
      <c r="H37" s="47"/>
    </row>
    <row r="38" spans="1:8" ht="17.100000000000001" customHeight="1" x14ac:dyDescent="0.2">
      <c r="A38" s="3">
        <v>32</v>
      </c>
      <c r="B38" s="4" t="s">
        <v>403</v>
      </c>
      <c r="C38" s="4" t="s">
        <v>404</v>
      </c>
      <c r="D38" s="4" t="s">
        <v>405</v>
      </c>
      <c r="E38" s="5">
        <v>241253</v>
      </c>
      <c r="F38" s="6">
        <v>5381.3894179999998</v>
      </c>
      <c r="G38" s="7">
        <v>1.1875372E-2</v>
      </c>
      <c r="H38" s="47"/>
    </row>
    <row r="39" spans="1:8" ht="29.1" customHeight="1" x14ac:dyDescent="0.2">
      <c r="A39" s="3">
        <v>33</v>
      </c>
      <c r="B39" s="4" t="s">
        <v>401</v>
      </c>
      <c r="C39" s="4" t="s">
        <v>402</v>
      </c>
      <c r="D39" s="4" t="s">
        <v>204</v>
      </c>
      <c r="E39" s="5">
        <v>622280</v>
      </c>
      <c r="F39" s="6">
        <v>5168.6576800000003</v>
      </c>
      <c r="G39" s="7">
        <v>1.1405926E-2</v>
      </c>
      <c r="H39" s="47"/>
    </row>
    <row r="40" spans="1:8" ht="29.1" customHeight="1" x14ac:dyDescent="0.2">
      <c r="A40" s="3">
        <v>34</v>
      </c>
      <c r="B40" s="4" t="s">
        <v>199</v>
      </c>
      <c r="C40" s="4" t="s">
        <v>200</v>
      </c>
      <c r="D40" s="4" t="s">
        <v>201</v>
      </c>
      <c r="E40" s="5">
        <v>140588</v>
      </c>
      <c r="F40" s="6">
        <v>5133.7114080000001</v>
      </c>
      <c r="G40" s="7">
        <v>1.1328809E-2</v>
      </c>
      <c r="H40" s="47"/>
    </row>
    <row r="41" spans="1:8" ht="29.1" customHeight="1" x14ac:dyDescent="0.2">
      <c r="A41" s="3">
        <v>35</v>
      </c>
      <c r="B41" s="4" t="s">
        <v>23</v>
      </c>
      <c r="C41" s="4" t="s">
        <v>24</v>
      </c>
      <c r="D41" s="4" t="s">
        <v>25</v>
      </c>
      <c r="E41" s="5">
        <v>88217</v>
      </c>
      <c r="F41" s="6">
        <v>4946.5918410000004</v>
      </c>
      <c r="G41" s="7">
        <v>1.0915882999999999E-2</v>
      </c>
      <c r="H41" s="47"/>
    </row>
    <row r="42" spans="1:8" ht="17.100000000000001" customHeight="1" x14ac:dyDescent="0.2">
      <c r="A42" s="3">
        <v>36</v>
      </c>
      <c r="B42" s="4" t="s">
        <v>444</v>
      </c>
      <c r="C42" s="4" t="s">
        <v>445</v>
      </c>
      <c r="D42" s="4" t="s">
        <v>45</v>
      </c>
      <c r="E42" s="5">
        <v>302944</v>
      </c>
      <c r="F42" s="6">
        <v>4830.1391359999998</v>
      </c>
      <c r="G42" s="7">
        <v>1.0658901E-2</v>
      </c>
      <c r="H42" s="47"/>
    </row>
    <row r="43" spans="1:8" ht="29.1" customHeight="1" x14ac:dyDescent="0.2">
      <c r="A43" s="3">
        <v>37</v>
      </c>
      <c r="B43" s="4" t="s">
        <v>89</v>
      </c>
      <c r="C43" s="4" t="s">
        <v>90</v>
      </c>
      <c r="D43" s="4" t="s">
        <v>91</v>
      </c>
      <c r="E43" s="5">
        <v>737755</v>
      </c>
      <c r="F43" s="6">
        <v>4570.3922249999996</v>
      </c>
      <c r="G43" s="7">
        <v>1.0085705E-2</v>
      </c>
      <c r="H43" s="47"/>
    </row>
    <row r="44" spans="1:8" ht="17.100000000000001" customHeight="1" x14ac:dyDescent="0.2">
      <c r="A44" s="3">
        <v>38</v>
      </c>
      <c r="B44" s="4" t="s">
        <v>115</v>
      </c>
      <c r="C44" s="4" t="s">
        <v>116</v>
      </c>
      <c r="D44" s="4" t="s">
        <v>75</v>
      </c>
      <c r="E44" s="5">
        <v>1283717</v>
      </c>
      <c r="F44" s="6">
        <v>4568.7488030000004</v>
      </c>
      <c r="G44" s="7">
        <v>1.0082079000000001E-2</v>
      </c>
      <c r="H44" s="47"/>
    </row>
    <row r="45" spans="1:8" ht="17.100000000000001" customHeight="1" x14ac:dyDescent="0.2">
      <c r="A45" s="3">
        <v>39</v>
      </c>
      <c r="B45" s="4" t="s">
        <v>446</v>
      </c>
      <c r="C45" s="4" t="s">
        <v>447</v>
      </c>
      <c r="D45" s="4" t="s">
        <v>312</v>
      </c>
      <c r="E45" s="5">
        <v>133556</v>
      </c>
      <c r="F45" s="6">
        <v>4549.0509160000001</v>
      </c>
      <c r="G45" s="7">
        <v>1.003861E-2</v>
      </c>
      <c r="H45" s="47"/>
    </row>
    <row r="46" spans="1:8" ht="17.100000000000001" customHeight="1" x14ac:dyDescent="0.2">
      <c r="A46" s="3">
        <v>40</v>
      </c>
      <c r="B46" s="4" t="s">
        <v>41</v>
      </c>
      <c r="C46" s="4" t="s">
        <v>42</v>
      </c>
      <c r="D46" s="4" t="s">
        <v>31</v>
      </c>
      <c r="E46" s="5">
        <v>2249244</v>
      </c>
      <c r="F46" s="6">
        <v>4547.9713680000004</v>
      </c>
      <c r="G46" s="7">
        <v>1.0036227999999999E-2</v>
      </c>
      <c r="H46" s="47"/>
    </row>
    <row r="47" spans="1:8" ht="53.1" customHeight="1" x14ac:dyDescent="0.2">
      <c r="A47" s="3">
        <v>41</v>
      </c>
      <c r="B47" s="4" t="s">
        <v>100</v>
      </c>
      <c r="C47" s="4" t="s">
        <v>101</v>
      </c>
      <c r="D47" s="4" t="s">
        <v>62</v>
      </c>
      <c r="E47" s="5">
        <v>360100</v>
      </c>
      <c r="F47" s="6">
        <v>4519.43505</v>
      </c>
      <c r="G47" s="7">
        <v>9.9732559999999998E-3</v>
      </c>
      <c r="H47" s="47"/>
    </row>
    <row r="48" spans="1:8" ht="29.1" customHeight="1" x14ac:dyDescent="0.2">
      <c r="A48" s="3">
        <v>42</v>
      </c>
      <c r="B48" s="4" t="s">
        <v>330</v>
      </c>
      <c r="C48" s="4" t="s">
        <v>331</v>
      </c>
      <c r="D48" s="4" t="s">
        <v>204</v>
      </c>
      <c r="E48" s="5">
        <v>166575</v>
      </c>
      <c r="F48" s="6">
        <v>4500.3567750000002</v>
      </c>
      <c r="G48" s="7">
        <v>9.9311550000000005E-3</v>
      </c>
      <c r="H48" s="47"/>
    </row>
    <row r="49" spans="1:8" ht="17.100000000000001" customHeight="1" x14ac:dyDescent="0.2">
      <c r="A49" s="3">
        <v>43</v>
      </c>
      <c r="B49" s="4" t="s">
        <v>306</v>
      </c>
      <c r="C49" s="4" t="s">
        <v>307</v>
      </c>
      <c r="D49" s="4" t="s">
        <v>19</v>
      </c>
      <c r="E49" s="5">
        <v>4445537</v>
      </c>
      <c r="F49" s="6">
        <v>4329.9530379999997</v>
      </c>
      <c r="G49" s="7">
        <v>9.5551160000000007E-3</v>
      </c>
      <c r="H49" s="47"/>
    </row>
    <row r="50" spans="1:8" ht="29.1" customHeight="1" x14ac:dyDescent="0.2">
      <c r="A50" s="3">
        <v>44</v>
      </c>
      <c r="B50" s="4" t="s">
        <v>347</v>
      </c>
      <c r="C50" s="4" t="s">
        <v>348</v>
      </c>
      <c r="D50" s="4" t="s">
        <v>342</v>
      </c>
      <c r="E50" s="5">
        <v>167631</v>
      </c>
      <c r="F50" s="6">
        <v>4290.515445</v>
      </c>
      <c r="G50" s="7">
        <v>9.4680879999999995E-3</v>
      </c>
      <c r="H50" s="47"/>
    </row>
    <row r="51" spans="1:8" ht="17.100000000000001" customHeight="1" x14ac:dyDescent="0.2">
      <c r="A51" s="3">
        <v>45</v>
      </c>
      <c r="B51" s="4" t="s">
        <v>317</v>
      </c>
      <c r="C51" s="4" t="s">
        <v>318</v>
      </c>
      <c r="D51" s="4" t="s">
        <v>191</v>
      </c>
      <c r="E51" s="5">
        <v>147748</v>
      </c>
      <c r="F51" s="6">
        <v>4265.558634</v>
      </c>
      <c r="G51" s="7">
        <v>9.4130140000000008E-3</v>
      </c>
      <c r="H51" s="47"/>
    </row>
    <row r="52" spans="1:8" ht="17.100000000000001" customHeight="1" x14ac:dyDescent="0.2">
      <c r="A52" s="3">
        <v>46</v>
      </c>
      <c r="B52" s="4" t="s">
        <v>366</v>
      </c>
      <c r="C52" s="4" t="s">
        <v>367</v>
      </c>
      <c r="D52" s="4" t="s">
        <v>209</v>
      </c>
      <c r="E52" s="5">
        <v>1743213</v>
      </c>
      <c r="F52" s="6">
        <v>4183.7111999999997</v>
      </c>
      <c r="G52" s="7">
        <v>9.2323969999999998E-3</v>
      </c>
      <c r="H52" s="47"/>
    </row>
    <row r="53" spans="1:8" ht="29.1" customHeight="1" x14ac:dyDescent="0.2">
      <c r="A53" s="3">
        <v>47</v>
      </c>
      <c r="B53" s="4" t="s">
        <v>448</v>
      </c>
      <c r="C53" s="4" t="s">
        <v>449</v>
      </c>
      <c r="D53" s="4" t="s">
        <v>201</v>
      </c>
      <c r="E53" s="5">
        <v>51087</v>
      </c>
      <c r="F53" s="6">
        <v>4102.6947959999998</v>
      </c>
      <c r="G53" s="7">
        <v>9.0536149999999992E-3</v>
      </c>
      <c r="H53" s="47"/>
    </row>
    <row r="54" spans="1:8" ht="17.100000000000001" customHeight="1" x14ac:dyDescent="0.2">
      <c r="A54" s="3">
        <v>48</v>
      </c>
      <c r="B54" s="4" t="s">
        <v>43</v>
      </c>
      <c r="C54" s="4" t="s">
        <v>44</v>
      </c>
      <c r="D54" s="4" t="s">
        <v>45</v>
      </c>
      <c r="E54" s="5">
        <v>636555</v>
      </c>
      <c r="F54" s="6">
        <v>3783.0463650000002</v>
      </c>
      <c r="G54" s="7">
        <v>8.3482309999999994E-3</v>
      </c>
      <c r="H54" s="47"/>
    </row>
    <row r="55" spans="1:8" ht="29.1" customHeight="1" x14ac:dyDescent="0.2">
      <c r="A55" s="3">
        <v>49</v>
      </c>
      <c r="B55" s="4" t="s">
        <v>370</v>
      </c>
      <c r="C55" s="4" t="s">
        <v>371</v>
      </c>
      <c r="D55" s="4" t="s">
        <v>238</v>
      </c>
      <c r="E55" s="5">
        <v>524486</v>
      </c>
      <c r="F55" s="6">
        <v>3704.7068610000001</v>
      </c>
      <c r="G55" s="7">
        <v>8.1753550000000005E-3</v>
      </c>
      <c r="H55" s="47"/>
    </row>
    <row r="56" spans="1:8" ht="17.100000000000001" customHeight="1" x14ac:dyDescent="0.2">
      <c r="A56" s="3">
        <v>50</v>
      </c>
      <c r="B56" s="4" t="s">
        <v>228</v>
      </c>
      <c r="C56" s="4" t="s">
        <v>229</v>
      </c>
      <c r="D56" s="4" t="s">
        <v>191</v>
      </c>
      <c r="E56" s="5">
        <v>107723</v>
      </c>
      <c r="F56" s="6">
        <v>3664.5210139999999</v>
      </c>
      <c r="G56" s="7">
        <v>8.0866749999999998E-3</v>
      </c>
      <c r="H56" s="47"/>
    </row>
    <row r="57" spans="1:8" ht="17.100000000000001" customHeight="1" x14ac:dyDescent="0.2">
      <c r="A57" s="3">
        <v>51</v>
      </c>
      <c r="B57" s="4" t="s">
        <v>301</v>
      </c>
      <c r="C57" s="4" t="s">
        <v>302</v>
      </c>
      <c r="D57" s="4" t="s">
        <v>303</v>
      </c>
      <c r="E57" s="5">
        <v>8729</v>
      </c>
      <c r="F57" s="6">
        <v>3506.133785</v>
      </c>
      <c r="G57" s="7">
        <v>7.7371549999999999E-3</v>
      </c>
      <c r="H57" s="47"/>
    </row>
    <row r="58" spans="1:8" ht="17.100000000000001" customHeight="1" x14ac:dyDescent="0.2">
      <c r="A58" s="3">
        <v>52</v>
      </c>
      <c r="B58" s="4" t="s">
        <v>271</v>
      </c>
      <c r="C58" s="4" t="s">
        <v>272</v>
      </c>
      <c r="D58" s="4" t="s">
        <v>94</v>
      </c>
      <c r="E58" s="5">
        <v>190000</v>
      </c>
      <c r="F58" s="6">
        <v>3498.47</v>
      </c>
      <c r="G58" s="7">
        <v>7.7202429999999999E-3</v>
      </c>
      <c r="H58" s="47"/>
    </row>
    <row r="59" spans="1:8" ht="29.1" customHeight="1" x14ac:dyDescent="0.2">
      <c r="A59" s="3">
        <v>53</v>
      </c>
      <c r="B59" s="4" t="s">
        <v>297</v>
      </c>
      <c r="C59" s="4" t="s">
        <v>298</v>
      </c>
      <c r="D59" s="4" t="s">
        <v>201</v>
      </c>
      <c r="E59" s="5">
        <v>150285</v>
      </c>
      <c r="F59" s="6">
        <v>3384.7187699999999</v>
      </c>
      <c r="G59" s="7">
        <v>7.4692220000000002E-3</v>
      </c>
      <c r="H59" s="47"/>
    </row>
    <row r="60" spans="1:8" ht="17.100000000000001" customHeight="1" x14ac:dyDescent="0.2">
      <c r="A60" s="3">
        <v>54</v>
      </c>
      <c r="B60" s="4" t="s">
        <v>450</v>
      </c>
      <c r="C60" s="4" t="s">
        <v>451</v>
      </c>
      <c r="D60" s="4" t="s">
        <v>88</v>
      </c>
      <c r="E60" s="5">
        <v>348399</v>
      </c>
      <c r="F60" s="6">
        <v>3358.0437615000001</v>
      </c>
      <c r="G60" s="7">
        <v>7.4103570000000002E-3</v>
      </c>
      <c r="H60" s="47"/>
    </row>
    <row r="61" spans="1:8" ht="17.100000000000001" customHeight="1" x14ac:dyDescent="0.2">
      <c r="A61" s="3">
        <v>55</v>
      </c>
      <c r="B61" s="4" t="s">
        <v>376</v>
      </c>
      <c r="C61" s="4" t="s">
        <v>377</v>
      </c>
      <c r="D61" s="4" t="s">
        <v>88</v>
      </c>
      <c r="E61" s="5">
        <v>509693</v>
      </c>
      <c r="F61" s="6">
        <v>3051.7868374999998</v>
      </c>
      <c r="G61" s="7">
        <v>6.7345249999999999E-3</v>
      </c>
      <c r="H61" s="47"/>
    </row>
    <row r="62" spans="1:8" ht="17.100000000000001" customHeight="1" x14ac:dyDescent="0.2">
      <c r="A62" s="3">
        <v>56</v>
      </c>
      <c r="B62" s="4" t="s">
        <v>324</v>
      </c>
      <c r="C62" s="4" t="s">
        <v>325</v>
      </c>
      <c r="D62" s="4" t="s">
        <v>28</v>
      </c>
      <c r="E62" s="5">
        <v>286278</v>
      </c>
      <c r="F62" s="6">
        <v>2932.059276</v>
      </c>
      <c r="G62" s="7">
        <v>6.4703169999999997E-3</v>
      </c>
      <c r="H62" s="47"/>
    </row>
    <row r="63" spans="1:8" ht="17.100000000000001" customHeight="1" x14ac:dyDescent="0.2">
      <c r="A63" s="3">
        <v>57</v>
      </c>
      <c r="B63" s="4" t="s">
        <v>343</v>
      </c>
      <c r="C63" s="4" t="s">
        <v>344</v>
      </c>
      <c r="D63" s="4" t="s">
        <v>91</v>
      </c>
      <c r="E63" s="5">
        <v>492415</v>
      </c>
      <c r="F63" s="6">
        <v>2921.00578</v>
      </c>
      <c r="G63" s="7">
        <v>6.4459239999999996E-3</v>
      </c>
      <c r="H63" s="47"/>
    </row>
    <row r="64" spans="1:8" ht="17.100000000000001" customHeight="1" x14ac:dyDescent="0.2">
      <c r="A64" s="3">
        <v>58</v>
      </c>
      <c r="B64" s="4" t="s">
        <v>345</v>
      </c>
      <c r="C64" s="4" t="s">
        <v>346</v>
      </c>
      <c r="D64" s="4" t="s">
        <v>174</v>
      </c>
      <c r="E64" s="5">
        <v>556826</v>
      </c>
      <c r="F64" s="6">
        <v>2852.3411850000002</v>
      </c>
      <c r="G64" s="7">
        <v>6.294399E-3</v>
      </c>
      <c r="H64" s="47"/>
    </row>
    <row r="65" spans="1:8" ht="29.1" customHeight="1" x14ac:dyDescent="0.2">
      <c r="A65" s="3">
        <v>59</v>
      </c>
      <c r="B65" s="4" t="s">
        <v>452</v>
      </c>
      <c r="C65" s="4" t="s">
        <v>453</v>
      </c>
      <c r="D65" s="4" t="s">
        <v>25</v>
      </c>
      <c r="E65" s="5">
        <v>14764</v>
      </c>
      <c r="F65" s="6">
        <v>2806.5921079999998</v>
      </c>
      <c r="G65" s="7">
        <v>6.1934420000000004E-3</v>
      </c>
      <c r="H65" s="47"/>
    </row>
    <row r="66" spans="1:8" ht="17.100000000000001" customHeight="1" x14ac:dyDescent="0.2">
      <c r="A66" s="3">
        <v>60</v>
      </c>
      <c r="B66" s="4" t="s">
        <v>424</v>
      </c>
      <c r="C66" s="4" t="s">
        <v>425</v>
      </c>
      <c r="D66" s="4" t="s">
        <v>114</v>
      </c>
      <c r="E66" s="5">
        <v>307717</v>
      </c>
      <c r="F66" s="6">
        <v>2668.0602484999999</v>
      </c>
      <c r="G66" s="7">
        <v>5.8877369999999997E-3</v>
      </c>
      <c r="H66" s="47"/>
    </row>
    <row r="67" spans="1:8" ht="17.100000000000001" customHeight="1" x14ac:dyDescent="0.2">
      <c r="A67" s="3">
        <v>61</v>
      </c>
      <c r="B67" s="4" t="s">
        <v>454</v>
      </c>
      <c r="C67" s="4" t="s">
        <v>455</v>
      </c>
      <c r="D67" s="4" t="s">
        <v>75</v>
      </c>
      <c r="E67" s="5">
        <v>627400</v>
      </c>
      <c r="F67" s="6">
        <v>2627.8649</v>
      </c>
      <c r="G67" s="7">
        <v>5.7990359999999996E-3</v>
      </c>
      <c r="H67" s="47"/>
    </row>
    <row r="68" spans="1:8" ht="29.1" customHeight="1" x14ac:dyDescent="0.2">
      <c r="A68" s="3">
        <v>62</v>
      </c>
      <c r="B68" s="4" t="s">
        <v>368</v>
      </c>
      <c r="C68" s="4" t="s">
        <v>369</v>
      </c>
      <c r="D68" s="4" t="s">
        <v>204</v>
      </c>
      <c r="E68" s="5">
        <v>403490</v>
      </c>
      <c r="F68" s="6">
        <v>2621.8780200000001</v>
      </c>
      <c r="G68" s="7">
        <v>5.7858249999999996E-3</v>
      </c>
      <c r="H68" s="47"/>
    </row>
    <row r="69" spans="1:8" ht="17.100000000000001" customHeight="1" x14ac:dyDescent="0.2">
      <c r="A69" s="3">
        <v>63</v>
      </c>
      <c r="B69" s="4" t="s">
        <v>456</v>
      </c>
      <c r="C69" s="4" t="s">
        <v>457</v>
      </c>
      <c r="D69" s="4" t="s">
        <v>312</v>
      </c>
      <c r="E69" s="5">
        <v>185641</v>
      </c>
      <c r="F69" s="6">
        <v>2611.8760495000001</v>
      </c>
      <c r="G69" s="7">
        <v>5.7637529999999999E-3</v>
      </c>
      <c r="H69" s="47"/>
    </row>
    <row r="70" spans="1:8" ht="29.1" customHeight="1" x14ac:dyDescent="0.2">
      <c r="A70" s="3">
        <v>64</v>
      </c>
      <c r="B70" s="4" t="s">
        <v>328</v>
      </c>
      <c r="C70" s="4" t="s">
        <v>329</v>
      </c>
      <c r="D70" s="4" t="s">
        <v>204</v>
      </c>
      <c r="E70" s="5">
        <v>286464</v>
      </c>
      <c r="F70" s="6">
        <v>2571.0144</v>
      </c>
      <c r="G70" s="7">
        <v>5.6735819999999999E-3</v>
      </c>
      <c r="H70" s="47"/>
    </row>
    <row r="71" spans="1:8" ht="17.100000000000001" customHeight="1" x14ac:dyDescent="0.2">
      <c r="A71" s="3">
        <v>65</v>
      </c>
      <c r="B71" s="4" t="s">
        <v>458</v>
      </c>
      <c r="C71" s="4" t="s">
        <v>459</v>
      </c>
      <c r="D71" s="4" t="s">
        <v>94</v>
      </c>
      <c r="E71" s="5">
        <v>2081348</v>
      </c>
      <c r="F71" s="6">
        <v>2459.112662</v>
      </c>
      <c r="G71" s="7">
        <v>5.4266430000000001E-3</v>
      </c>
      <c r="H71" s="47"/>
    </row>
    <row r="72" spans="1:8" ht="17.100000000000001" customHeight="1" x14ac:dyDescent="0.2">
      <c r="A72" s="3">
        <v>66</v>
      </c>
      <c r="B72" s="4" t="s">
        <v>460</v>
      </c>
      <c r="C72" s="4" t="s">
        <v>461</v>
      </c>
      <c r="D72" s="4" t="s">
        <v>94</v>
      </c>
      <c r="E72" s="5">
        <v>328185</v>
      </c>
      <c r="F72" s="6">
        <v>2379.0130650000001</v>
      </c>
      <c r="G72" s="7">
        <v>5.2498830000000003E-3</v>
      </c>
      <c r="H72" s="47"/>
    </row>
    <row r="73" spans="1:8" ht="17.100000000000001" customHeight="1" x14ac:dyDescent="0.2">
      <c r="A73" s="3">
        <v>67</v>
      </c>
      <c r="B73" s="4" t="s">
        <v>384</v>
      </c>
      <c r="C73" s="4" t="s">
        <v>385</v>
      </c>
      <c r="D73" s="4" t="s">
        <v>88</v>
      </c>
      <c r="E73" s="5">
        <v>198211</v>
      </c>
      <c r="F73" s="6">
        <v>1878.445647</v>
      </c>
      <c r="G73" s="7">
        <v>4.1452570000000003E-3</v>
      </c>
      <c r="H73" s="47"/>
    </row>
    <row r="74" spans="1:8" ht="17.100000000000001" customHeight="1" x14ac:dyDescent="0.2">
      <c r="A74" s="3">
        <v>68</v>
      </c>
      <c r="B74" s="4" t="s">
        <v>410</v>
      </c>
      <c r="C74" s="4" t="s">
        <v>411</v>
      </c>
      <c r="D74" s="4" t="s">
        <v>191</v>
      </c>
      <c r="E74" s="5">
        <v>423462</v>
      </c>
      <c r="F74" s="6">
        <v>1761.8136509999999</v>
      </c>
      <c r="G74" s="7">
        <v>3.8878789999999999E-3</v>
      </c>
      <c r="H74" s="47"/>
    </row>
    <row r="75" spans="1:8" ht="29.1" customHeight="1" x14ac:dyDescent="0.2">
      <c r="A75" s="3">
        <v>69</v>
      </c>
      <c r="B75" s="4" t="s">
        <v>388</v>
      </c>
      <c r="C75" s="4" t="s">
        <v>389</v>
      </c>
      <c r="D75" s="4" t="s">
        <v>25</v>
      </c>
      <c r="E75" s="5">
        <v>126915</v>
      </c>
      <c r="F75" s="6">
        <v>1629.1443975</v>
      </c>
      <c r="G75" s="7">
        <v>3.5951120000000001E-3</v>
      </c>
      <c r="H75" s="47"/>
    </row>
    <row r="76" spans="1:8" ht="17.100000000000001" customHeight="1" x14ac:dyDescent="0.2">
      <c r="A76" s="3">
        <v>70</v>
      </c>
      <c r="B76" s="4" t="s">
        <v>462</v>
      </c>
      <c r="C76" s="4" t="s">
        <v>463</v>
      </c>
      <c r="D76" s="4" t="s">
        <v>88</v>
      </c>
      <c r="E76" s="5">
        <v>80959</v>
      </c>
      <c r="F76" s="6">
        <v>1571.6165874999999</v>
      </c>
      <c r="G76" s="7">
        <v>3.4681619999999999E-3</v>
      </c>
      <c r="H76" s="47"/>
    </row>
    <row r="77" spans="1:8" ht="17.100000000000001" customHeight="1" x14ac:dyDescent="0.2">
      <c r="A77" s="3">
        <v>71</v>
      </c>
      <c r="B77" s="4" t="s">
        <v>464</v>
      </c>
      <c r="C77" s="4" t="s">
        <v>465</v>
      </c>
      <c r="D77" s="4" t="s">
        <v>321</v>
      </c>
      <c r="E77" s="5">
        <v>219180</v>
      </c>
      <c r="F77" s="6">
        <v>1477.05402</v>
      </c>
      <c r="G77" s="7">
        <v>3.2594859999999998E-3</v>
      </c>
      <c r="H77" s="47"/>
    </row>
    <row r="78" spans="1:8" ht="17.100000000000001" customHeight="1" x14ac:dyDescent="0.2">
      <c r="A78" s="3">
        <v>72</v>
      </c>
      <c r="B78" s="4" t="s">
        <v>429</v>
      </c>
      <c r="C78" s="45" t="s">
        <v>1012</v>
      </c>
      <c r="D78" s="4" t="s">
        <v>22</v>
      </c>
      <c r="E78" s="5">
        <v>71599</v>
      </c>
      <c r="F78" s="6">
        <v>216.515376</v>
      </c>
      <c r="G78" s="7">
        <v>4.7779499999999999E-4</v>
      </c>
      <c r="H78" s="47"/>
    </row>
    <row r="79" spans="1:8" ht="14.1" customHeight="1" x14ac:dyDescent="0.2">
      <c r="A79" s="1"/>
      <c r="B79" s="1"/>
      <c r="C79" s="2" t="s">
        <v>122</v>
      </c>
      <c r="D79" s="1"/>
      <c r="E79" s="1" t="s">
        <v>123</v>
      </c>
      <c r="F79" s="9">
        <v>429784.84706100001</v>
      </c>
      <c r="G79" s="10">
        <v>0.94842697200000037</v>
      </c>
      <c r="H79" s="47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47"/>
    </row>
    <row r="81" spans="1:8" ht="14.1" customHeight="1" x14ac:dyDescent="0.2">
      <c r="A81" s="1"/>
      <c r="B81" s="1"/>
      <c r="C81" s="2" t="s">
        <v>124</v>
      </c>
      <c r="D81" s="1"/>
      <c r="E81" s="1"/>
      <c r="F81" s="1"/>
      <c r="G81" s="1"/>
      <c r="H81" s="47"/>
    </row>
    <row r="82" spans="1:8" ht="14.1" customHeight="1" x14ac:dyDescent="0.2">
      <c r="A82" s="1"/>
      <c r="B82" s="1"/>
      <c r="C82" s="2" t="s">
        <v>122</v>
      </c>
      <c r="D82" s="1"/>
      <c r="E82" s="1" t="s">
        <v>123</v>
      </c>
      <c r="F82" s="13">
        <v>0</v>
      </c>
      <c r="G82" s="14">
        <v>0</v>
      </c>
      <c r="H82" s="47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47"/>
    </row>
    <row r="84" spans="1:8" ht="14.1" customHeight="1" x14ac:dyDescent="0.2">
      <c r="A84" s="1"/>
      <c r="B84" s="1"/>
      <c r="C84" s="2" t="s">
        <v>125</v>
      </c>
      <c r="D84" s="1"/>
      <c r="E84" s="1"/>
      <c r="F84" s="1"/>
      <c r="G84" s="1"/>
      <c r="H84" s="47"/>
    </row>
    <row r="85" spans="1:8" ht="14.1" customHeight="1" x14ac:dyDescent="0.2">
      <c r="A85" s="1"/>
      <c r="B85" s="1"/>
      <c r="C85" s="2" t="s">
        <v>122</v>
      </c>
      <c r="D85" s="1"/>
      <c r="E85" s="1" t="s">
        <v>123</v>
      </c>
      <c r="F85" s="13">
        <v>0</v>
      </c>
      <c r="G85" s="14">
        <v>0</v>
      </c>
      <c r="H85" s="47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47"/>
    </row>
    <row r="87" spans="1:8" ht="14.1" customHeight="1" x14ac:dyDescent="0.2">
      <c r="A87" s="1"/>
      <c r="B87" s="1"/>
      <c r="C87" s="2" t="s">
        <v>126</v>
      </c>
      <c r="D87" s="1"/>
      <c r="E87" s="1"/>
      <c r="F87" s="1"/>
      <c r="G87" s="1"/>
      <c r="H87" s="47"/>
    </row>
    <row r="88" spans="1:8" ht="14.1" customHeight="1" x14ac:dyDescent="0.2">
      <c r="A88" s="1"/>
      <c r="B88" s="1"/>
      <c r="C88" s="2" t="s">
        <v>122</v>
      </c>
      <c r="D88" s="1"/>
      <c r="E88" s="1" t="s">
        <v>123</v>
      </c>
      <c r="F88" s="9">
        <v>0</v>
      </c>
      <c r="G88" s="10">
        <v>0</v>
      </c>
      <c r="H88" s="47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127</v>
      </c>
      <c r="D90" s="1"/>
      <c r="E90" s="1"/>
      <c r="F90" s="12"/>
      <c r="G90" s="12"/>
      <c r="H90" s="47"/>
    </row>
    <row r="91" spans="1:8" ht="14.1" customHeight="1" x14ac:dyDescent="0.2">
      <c r="A91" s="1"/>
      <c r="B91" s="1"/>
      <c r="C91" s="2" t="s">
        <v>122</v>
      </c>
      <c r="D91" s="1"/>
      <c r="E91" s="1" t="s">
        <v>123</v>
      </c>
      <c r="F91" s="13">
        <v>0</v>
      </c>
      <c r="G91" s="14">
        <v>0</v>
      </c>
      <c r="H91" s="47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47"/>
    </row>
    <row r="93" spans="1:8" ht="14.1" customHeight="1" x14ac:dyDescent="0.2">
      <c r="A93" s="1"/>
      <c r="B93" s="1"/>
      <c r="C93" s="2" t="s">
        <v>128</v>
      </c>
      <c r="D93" s="1"/>
      <c r="E93" s="1"/>
      <c r="F93" s="12"/>
      <c r="G93" s="12"/>
      <c r="H93" s="47"/>
    </row>
    <row r="94" spans="1:8" ht="14.1" customHeight="1" x14ac:dyDescent="0.2">
      <c r="A94" s="1"/>
      <c r="B94" s="1"/>
      <c r="C94" s="2" t="s">
        <v>122</v>
      </c>
      <c r="D94" s="1"/>
      <c r="E94" s="1" t="s">
        <v>123</v>
      </c>
      <c r="F94" s="13">
        <v>0</v>
      </c>
      <c r="G94" s="14">
        <v>0</v>
      </c>
      <c r="H94" s="47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47"/>
    </row>
    <row r="96" spans="1:8" ht="18" customHeight="1" x14ac:dyDescent="0.2">
      <c r="A96" s="1"/>
      <c r="B96" s="1"/>
      <c r="C96" s="2" t="s">
        <v>129</v>
      </c>
      <c r="D96" s="1"/>
      <c r="E96" s="1"/>
      <c r="F96" s="9">
        <v>429784.84706100001</v>
      </c>
      <c r="G96" s="10">
        <v>0.94842697200000003</v>
      </c>
      <c r="H96" s="47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130</v>
      </c>
      <c r="D98" s="1"/>
      <c r="E98" s="1"/>
      <c r="F98" s="12"/>
      <c r="G98" s="12"/>
      <c r="H98" s="47"/>
    </row>
    <row r="99" spans="1:8" ht="24" customHeight="1" x14ac:dyDescent="0.2">
      <c r="A99" s="1"/>
      <c r="B99" s="1"/>
      <c r="C99" s="2" t="s">
        <v>10</v>
      </c>
      <c r="D99" s="1"/>
      <c r="E99" s="1"/>
      <c r="F99" s="12"/>
      <c r="G99" s="12"/>
      <c r="H99" s="47"/>
    </row>
    <row r="100" spans="1:8" ht="14.1" customHeight="1" x14ac:dyDescent="0.2">
      <c r="A100" s="1"/>
      <c r="B100" s="1"/>
      <c r="C100" s="2" t="s">
        <v>122</v>
      </c>
      <c r="D100" s="1"/>
      <c r="E100" s="1" t="s">
        <v>123</v>
      </c>
      <c r="F100" s="13">
        <v>0</v>
      </c>
      <c r="G100" s="14">
        <v>0</v>
      </c>
      <c r="H100" s="47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47"/>
    </row>
    <row r="102" spans="1:8" ht="14.1" customHeight="1" x14ac:dyDescent="0.2">
      <c r="A102" s="1"/>
      <c r="B102" s="1"/>
      <c r="C102" s="2" t="s">
        <v>131</v>
      </c>
      <c r="D102" s="1"/>
      <c r="E102" s="1"/>
      <c r="F102" s="1"/>
      <c r="G102" s="1"/>
      <c r="H102" s="47"/>
    </row>
    <row r="103" spans="1:8" ht="14.1" customHeight="1" x14ac:dyDescent="0.2">
      <c r="A103" s="1"/>
      <c r="B103" s="1"/>
      <c r="C103" s="2" t="s">
        <v>122</v>
      </c>
      <c r="D103" s="1"/>
      <c r="E103" s="1" t="s">
        <v>123</v>
      </c>
      <c r="F103" s="13">
        <v>0</v>
      </c>
      <c r="G103" s="14">
        <v>0</v>
      </c>
      <c r="H103" s="47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47"/>
    </row>
    <row r="105" spans="1:8" ht="14.1" customHeight="1" x14ac:dyDescent="0.2">
      <c r="A105" s="1"/>
      <c r="B105" s="1"/>
      <c r="C105" s="2" t="s">
        <v>132</v>
      </c>
      <c r="D105" s="1"/>
      <c r="E105" s="1"/>
      <c r="F105" s="1"/>
      <c r="G105" s="1"/>
      <c r="H105" s="47"/>
    </row>
    <row r="106" spans="1:8" ht="14.1" customHeight="1" x14ac:dyDescent="0.2">
      <c r="A106" s="1"/>
      <c r="B106" s="1"/>
      <c r="C106" s="2" t="s">
        <v>122</v>
      </c>
      <c r="D106" s="1"/>
      <c r="E106" s="1" t="s">
        <v>123</v>
      </c>
      <c r="F106" s="13">
        <v>0</v>
      </c>
      <c r="G106" s="14">
        <v>0</v>
      </c>
      <c r="H106" s="47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47"/>
    </row>
    <row r="108" spans="1:8" ht="14.1" customHeight="1" x14ac:dyDescent="0.2">
      <c r="A108" s="1"/>
      <c r="B108" s="1"/>
      <c r="C108" s="2" t="s">
        <v>133</v>
      </c>
      <c r="D108" s="1"/>
      <c r="E108" s="1"/>
      <c r="F108" s="12"/>
      <c r="G108" s="12"/>
      <c r="H108" s="47"/>
    </row>
    <row r="109" spans="1:8" ht="14.1" customHeight="1" x14ac:dyDescent="0.2">
      <c r="A109" s="1"/>
      <c r="B109" s="1"/>
      <c r="C109" s="2" t="s">
        <v>122</v>
      </c>
      <c r="D109" s="1"/>
      <c r="E109" s="1" t="s">
        <v>123</v>
      </c>
      <c r="F109" s="13">
        <v>0</v>
      </c>
      <c r="G109" s="14">
        <v>0</v>
      </c>
      <c r="H109" s="47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47"/>
    </row>
    <row r="111" spans="1:8" ht="14.1" customHeight="1" x14ac:dyDescent="0.2">
      <c r="A111" s="1"/>
      <c r="B111" s="1"/>
      <c r="C111" s="2" t="s">
        <v>134</v>
      </c>
      <c r="D111" s="1"/>
      <c r="E111" s="1"/>
      <c r="F111" s="9">
        <v>0</v>
      </c>
      <c r="G111" s="10">
        <v>0</v>
      </c>
      <c r="H111" s="47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47"/>
    </row>
    <row r="113" spans="1:8" ht="14.1" customHeight="1" x14ac:dyDescent="0.2">
      <c r="A113" s="1"/>
      <c r="B113" s="1"/>
      <c r="C113" s="2" t="s">
        <v>135</v>
      </c>
      <c r="D113" s="1"/>
      <c r="E113" s="1"/>
      <c r="F113" s="12"/>
      <c r="G113" s="12"/>
      <c r="H113" s="47"/>
    </row>
    <row r="114" spans="1:8" ht="14.1" customHeight="1" x14ac:dyDescent="0.2">
      <c r="A114" s="1"/>
      <c r="B114" s="1"/>
      <c r="C114" s="2" t="s">
        <v>136</v>
      </c>
      <c r="D114" s="1"/>
      <c r="E114" s="1"/>
      <c r="F114" s="12"/>
      <c r="G114" s="12"/>
      <c r="H114" s="47"/>
    </row>
    <row r="115" spans="1:8" ht="14.1" customHeight="1" x14ac:dyDescent="0.2">
      <c r="A115" s="1"/>
      <c r="B115" s="1"/>
      <c r="C115" s="2" t="s">
        <v>122</v>
      </c>
      <c r="D115" s="1"/>
      <c r="E115" s="1" t="s">
        <v>123</v>
      </c>
      <c r="F115" s="13">
        <v>0</v>
      </c>
      <c r="G115" s="14">
        <v>0</v>
      </c>
      <c r="H115" s="47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47"/>
    </row>
    <row r="117" spans="1:8" ht="14.1" customHeight="1" x14ac:dyDescent="0.2">
      <c r="A117" s="1"/>
      <c r="B117" s="1"/>
      <c r="C117" s="2" t="s">
        <v>137</v>
      </c>
      <c r="D117" s="1"/>
      <c r="E117" s="1"/>
      <c r="F117" s="12"/>
      <c r="G117" s="12"/>
      <c r="H117" s="47"/>
    </row>
    <row r="118" spans="1:8" ht="14.1" customHeight="1" x14ac:dyDescent="0.2">
      <c r="A118" s="1"/>
      <c r="B118" s="1"/>
      <c r="C118" s="2" t="s">
        <v>122</v>
      </c>
      <c r="D118" s="1"/>
      <c r="E118" s="1" t="s">
        <v>123</v>
      </c>
      <c r="F118" s="13">
        <v>0</v>
      </c>
      <c r="G118" s="14">
        <v>0</v>
      </c>
      <c r="H118" s="47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47"/>
    </row>
    <row r="120" spans="1:8" ht="14.1" customHeight="1" x14ac:dyDescent="0.2">
      <c r="A120" s="1"/>
      <c r="B120" s="1"/>
      <c r="C120" s="2" t="s">
        <v>138</v>
      </c>
      <c r="D120" s="1"/>
      <c r="E120" s="1"/>
      <c r="F120" s="12"/>
      <c r="G120" s="12"/>
      <c r="H120" s="47"/>
    </row>
    <row r="121" spans="1:8" ht="14.1" customHeight="1" x14ac:dyDescent="0.2">
      <c r="A121" s="1"/>
      <c r="B121" s="1"/>
      <c r="C121" s="2" t="s">
        <v>122</v>
      </c>
      <c r="D121" s="1"/>
      <c r="E121" s="1" t="s">
        <v>123</v>
      </c>
      <c r="F121" s="13">
        <v>0</v>
      </c>
      <c r="G121" s="14">
        <v>0</v>
      </c>
      <c r="H121" s="47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47"/>
    </row>
    <row r="123" spans="1:8" ht="14.1" customHeight="1" x14ac:dyDescent="0.2">
      <c r="A123" s="1"/>
      <c r="B123" s="1"/>
      <c r="C123" s="2" t="s">
        <v>139</v>
      </c>
      <c r="D123" s="1"/>
      <c r="E123" s="1"/>
      <c r="F123" s="12"/>
      <c r="G123" s="12"/>
      <c r="H123" s="47"/>
    </row>
    <row r="124" spans="1:8" ht="17.100000000000001" customHeight="1" x14ac:dyDescent="0.2">
      <c r="A124" s="3">
        <v>1</v>
      </c>
      <c r="B124" s="4"/>
      <c r="C124" s="4" t="s">
        <v>140</v>
      </c>
      <c r="D124" s="4"/>
      <c r="E124" s="8"/>
      <c r="F124" s="6">
        <v>21224.3682534</v>
      </c>
      <c r="G124" s="7">
        <v>4.6836837999999999E-2</v>
      </c>
      <c r="H124" s="47">
        <v>4.6730752161314033</v>
      </c>
    </row>
    <row r="125" spans="1:8" ht="14.1" customHeight="1" x14ac:dyDescent="0.2">
      <c r="A125" s="1"/>
      <c r="B125" s="1"/>
      <c r="C125" s="2" t="s">
        <v>122</v>
      </c>
      <c r="D125" s="1"/>
      <c r="E125" s="1" t="s">
        <v>123</v>
      </c>
      <c r="F125" s="9">
        <v>21224.3682534</v>
      </c>
      <c r="G125" s="10">
        <v>4.6836837999999999E-2</v>
      </c>
      <c r="H125" s="47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47"/>
    </row>
    <row r="127" spans="1:8" ht="14.1" customHeight="1" x14ac:dyDescent="0.2">
      <c r="A127" s="1"/>
      <c r="B127" s="1"/>
      <c r="C127" s="2" t="s">
        <v>141</v>
      </c>
      <c r="D127" s="1"/>
      <c r="E127" s="1"/>
      <c r="F127" s="9">
        <v>21224.3682534</v>
      </c>
      <c r="G127" s="10">
        <v>4.6836837999999999E-2</v>
      </c>
      <c r="H127" s="47"/>
    </row>
    <row r="128" spans="1:8" ht="14.1" customHeight="1" x14ac:dyDescent="0.2">
      <c r="A128" s="1"/>
      <c r="B128" s="1"/>
      <c r="C128" s="12"/>
      <c r="D128" s="1"/>
      <c r="E128" s="1"/>
      <c r="F128" s="1"/>
      <c r="G128" s="1"/>
      <c r="H128" s="47"/>
    </row>
    <row r="129" spans="1:15" ht="14.1" customHeight="1" x14ac:dyDescent="0.2">
      <c r="A129" s="1"/>
      <c r="B129" s="1"/>
      <c r="C129" s="2" t="s">
        <v>142</v>
      </c>
      <c r="D129" s="1"/>
      <c r="E129" s="1"/>
      <c r="F129" s="1"/>
      <c r="G129" s="1"/>
      <c r="H129" s="47"/>
    </row>
    <row r="130" spans="1:15" ht="14.1" customHeight="1" x14ac:dyDescent="0.2">
      <c r="A130" s="1"/>
      <c r="B130" s="1"/>
      <c r="C130" s="2" t="s">
        <v>143</v>
      </c>
      <c r="D130" s="1"/>
      <c r="E130" s="1"/>
      <c r="F130" s="1"/>
      <c r="G130" s="1"/>
      <c r="H130" s="47"/>
    </row>
    <row r="131" spans="1:15" ht="14.1" customHeight="1" x14ac:dyDescent="0.2">
      <c r="A131" s="1"/>
      <c r="B131" s="1"/>
      <c r="C131" s="2" t="s">
        <v>122</v>
      </c>
      <c r="D131" s="1"/>
      <c r="E131" s="1" t="s">
        <v>123</v>
      </c>
      <c r="F131" s="13">
        <v>0</v>
      </c>
      <c r="G131" s="14">
        <v>0</v>
      </c>
      <c r="H131" s="47"/>
    </row>
    <row r="132" spans="1:15" ht="14.1" customHeight="1" x14ac:dyDescent="0.2">
      <c r="A132" s="1"/>
      <c r="B132" s="1"/>
      <c r="C132" s="11"/>
      <c r="D132" s="1"/>
      <c r="E132" s="1"/>
      <c r="F132" s="12"/>
      <c r="G132" s="12"/>
      <c r="H132" s="47"/>
    </row>
    <row r="133" spans="1:15" ht="14.1" customHeight="1" x14ac:dyDescent="0.2">
      <c r="A133" s="1"/>
      <c r="B133" s="1"/>
      <c r="C133" s="2" t="s">
        <v>144</v>
      </c>
      <c r="D133" s="1"/>
      <c r="E133" s="1"/>
      <c r="F133" s="1"/>
      <c r="G133" s="1"/>
      <c r="H133" s="47"/>
    </row>
    <row r="134" spans="1:15" ht="14.1" customHeight="1" x14ac:dyDescent="0.2">
      <c r="A134" s="1"/>
      <c r="B134" s="1"/>
      <c r="C134" s="2" t="s">
        <v>145</v>
      </c>
      <c r="D134" s="1"/>
      <c r="E134" s="1"/>
      <c r="F134" s="1"/>
      <c r="G134" s="1"/>
      <c r="H134" s="47"/>
    </row>
    <row r="135" spans="1:15" ht="14.1" customHeight="1" x14ac:dyDescent="0.2">
      <c r="A135" s="1"/>
      <c r="B135" s="1"/>
      <c r="C135" s="2" t="s">
        <v>122</v>
      </c>
      <c r="D135" s="1"/>
      <c r="E135" s="1" t="s">
        <v>123</v>
      </c>
      <c r="F135" s="13">
        <v>0</v>
      </c>
      <c r="G135" s="14">
        <v>0</v>
      </c>
      <c r="H135" s="47"/>
    </row>
    <row r="136" spans="1:15" ht="14.1" customHeight="1" x14ac:dyDescent="0.2">
      <c r="A136" s="1"/>
      <c r="B136" s="1"/>
      <c r="C136" s="11"/>
      <c r="D136" s="1"/>
      <c r="E136" s="1"/>
      <c r="F136" s="12"/>
      <c r="G136" s="12"/>
      <c r="H136" s="47"/>
    </row>
    <row r="137" spans="1:15" ht="14.1" customHeight="1" x14ac:dyDescent="0.2">
      <c r="A137" s="1"/>
      <c r="B137" s="1"/>
      <c r="C137" s="11"/>
      <c r="D137" s="1"/>
      <c r="E137" s="1"/>
      <c r="F137" s="12"/>
      <c r="G137" s="12"/>
      <c r="H137" s="47"/>
      <c r="J137" s="148"/>
      <c r="K137" s="148"/>
      <c r="L137" s="148"/>
      <c r="M137" s="148"/>
      <c r="N137" s="148"/>
      <c r="O137" s="148"/>
    </row>
    <row r="138" spans="1:15" ht="24" customHeight="1" x14ac:dyDescent="0.2">
      <c r="A138" s="1"/>
      <c r="B138" s="1"/>
      <c r="C138" s="2" t="s">
        <v>146</v>
      </c>
      <c r="D138" s="1"/>
      <c r="E138" s="1"/>
      <c r="F138" s="12"/>
      <c r="G138" s="12"/>
      <c r="H138" s="47"/>
    </row>
    <row r="139" spans="1:15" ht="14.1" customHeight="1" x14ac:dyDescent="0.2">
      <c r="A139" s="1"/>
      <c r="B139" s="1"/>
      <c r="C139" s="2" t="s">
        <v>122</v>
      </c>
      <c r="D139" s="1"/>
      <c r="E139" s="1" t="s">
        <v>123</v>
      </c>
      <c r="F139" s="13">
        <v>0</v>
      </c>
      <c r="G139" s="14">
        <v>0</v>
      </c>
      <c r="H139" s="47"/>
    </row>
    <row r="140" spans="1:15" ht="14.1" customHeight="1" x14ac:dyDescent="0.2">
      <c r="A140" s="1"/>
      <c r="B140" s="1"/>
      <c r="C140" s="11"/>
      <c r="D140" s="1"/>
      <c r="E140" s="1"/>
      <c r="F140" s="12"/>
      <c r="G140" s="12"/>
      <c r="H140" s="47"/>
    </row>
    <row r="141" spans="1:15" ht="14.1" customHeight="1" x14ac:dyDescent="0.2">
      <c r="A141" s="1"/>
      <c r="B141" s="4"/>
      <c r="C141" s="4"/>
      <c r="D141" s="2"/>
      <c r="E141" s="1"/>
      <c r="F141" s="4"/>
      <c r="G141" s="8"/>
      <c r="H141" s="47"/>
    </row>
    <row r="142" spans="1:15" ht="18" customHeight="1" x14ac:dyDescent="0.2">
      <c r="A142" s="8"/>
      <c r="B142" s="4"/>
      <c r="C142" s="4" t="s">
        <v>147</v>
      </c>
      <c r="D142" s="4"/>
      <c r="E142" s="8"/>
      <c r="F142" s="6">
        <v>2146.23059341</v>
      </c>
      <c r="G142" s="7">
        <v>4.7361909999999998E-3</v>
      </c>
      <c r="H142" s="47"/>
    </row>
    <row r="143" spans="1:15" ht="14.1" customHeight="1" x14ac:dyDescent="0.2">
      <c r="A143" s="11"/>
      <c r="B143" s="11"/>
      <c r="C143" s="2" t="s">
        <v>148</v>
      </c>
      <c r="D143" s="15"/>
      <c r="E143" s="15"/>
      <c r="F143" s="9">
        <f>+F142+F127+F96</f>
        <v>453155.44590781</v>
      </c>
      <c r="G143" s="14">
        <f>+G142+G127+G96</f>
        <v>1.0000000010000001</v>
      </c>
      <c r="H143" s="47"/>
    </row>
    <row r="144" spans="1:15" ht="14.1" customHeight="1" x14ac:dyDescent="0.2">
      <c r="A144" s="16"/>
      <c r="B144" s="16"/>
      <c r="C144" s="16"/>
      <c r="D144" s="17"/>
      <c r="E144" s="17"/>
      <c r="F144" s="17"/>
      <c r="G144" s="17"/>
    </row>
    <row r="145" spans="1:7" ht="14.1" customHeight="1" x14ac:dyDescent="0.2">
      <c r="A145" s="18"/>
      <c r="B145" s="257" t="s">
        <v>150</v>
      </c>
      <c r="C145" s="258"/>
      <c r="D145" s="12" t="s">
        <v>123</v>
      </c>
      <c r="E145" s="21"/>
      <c r="F145" s="20"/>
      <c r="G145" s="20"/>
    </row>
    <row r="146" spans="1:7" ht="29.1" customHeight="1" x14ac:dyDescent="0.2">
      <c r="A146" s="18"/>
      <c r="B146" s="259" t="s">
        <v>151</v>
      </c>
      <c r="C146" s="260"/>
      <c r="D146" s="2" t="s">
        <v>152</v>
      </c>
      <c r="E146" s="21"/>
      <c r="F146" s="20"/>
      <c r="G146" s="20"/>
    </row>
    <row r="147" spans="1:7" ht="17.100000000000001" customHeight="1" x14ac:dyDescent="0.2">
      <c r="A147" s="18"/>
      <c r="B147" s="259" t="s">
        <v>153</v>
      </c>
      <c r="C147" s="260"/>
      <c r="D147" s="2" t="s">
        <v>152</v>
      </c>
      <c r="E147" s="21"/>
      <c r="F147" s="20"/>
      <c r="G147" s="20"/>
    </row>
    <row r="148" spans="1:7" ht="17.100000000000001" customHeight="1" x14ac:dyDescent="0.2">
      <c r="A148" s="18"/>
      <c r="B148" s="259" t="s">
        <v>154</v>
      </c>
      <c r="C148" s="260"/>
      <c r="D148" s="12" t="s">
        <v>123</v>
      </c>
      <c r="E148" s="21"/>
      <c r="F148" s="20"/>
      <c r="G148" s="20"/>
    </row>
    <row r="149" spans="1:7" ht="24" customHeight="1" x14ac:dyDescent="0.2">
      <c r="A149" s="22"/>
      <c r="B149" s="23" t="s">
        <v>123</v>
      </c>
      <c r="C149" s="23" t="s">
        <v>155</v>
      </c>
      <c r="D149" s="23" t="s">
        <v>156</v>
      </c>
      <c r="E149" s="22"/>
      <c r="F149" s="22"/>
      <c r="G149" s="22"/>
    </row>
    <row r="150" spans="1:7" ht="18" customHeight="1" x14ac:dyDescent="0.2">
      <c r="A150" s="22"/>
      <c r="B150" s="23" t="s">
        <v>157</v>
      </c>
      <c r="C150" s="23" t="s">
        <v>158</v>
      </c>
      <c r="D150" s="23" t="s">
        <v>159</v>
      </c>
      <c r="E150" s="22"/>
      <c r="F150" s="22"/>
      <c r="G150" s="22"/>
    </row>
    <row r="151" spans="1:7" ht="17.100000000000001" customHeight="1" x14ac:dyDescent="0.2">
      <c r="A151" s="22"/>
      <c r="B151" s="4" t="s">
        <v>160</v>
      </c>
      <c r="C151" s="24">
        <v>54.982199999999999</v>
      </c>
      <c r="D151" s="24">
        <v>52.354100000000003</v>
      </c>
      <c r="E151" s="22"/>
      <c r="F151" s="19"/>
      <c r="G151" s="25"/>
    </row>
    <row r="152" spans="1:7" ht="17.100000000000001" customHeight="1" x14ac:dyDescent="0.2">
      <c r="A152" s="22"/>
      <c r="B152" s="4" t="s">
        <v>1101</v>
      </c>
      <c r="C152" s="24">
        <v>25.449400000000001</v>
      </c>
      <c r="D152" s="24">
        <v>24.232700000000001</v>
      </c>
      <c r="E152" s="22"/>
      <c r="F152" s="19"/>
      <c r="G152" s="25"/>
    </row>
    <row r="153" spans="1:7" ht="17.100000000000001" customHeight="1" x14ac:dyDescent="0.2">
      <c r="A153" s="22"/>
      <c r="B153" s="4" t="s">
        <v>161</v>
      </c>
      <c r="C153" s="24">
        <v>50.589300000000001</v>
      </c>
      <c r="D153" s="24">
        <v>48.125300000000003</v>
      </c>
      <c r="E153" s="22"/>
      <c r="F153" s="19"/>
      <c r="G153" s="25"/>
    </row>
    <row r="154" spans="1:7" ht="17.100000000000001" customHeight="1" x14ac:dyDescent="0.2">
      <c r="A154" s="22"/>
      <c r="B154" s="4" t="s">
        <v>1102</v>
      </c>
      <c r="C154" s="24">
        <v>22.923500000000001</v>
      </c>
      <c r="D154" s="24">
        <v>21.806899999999999</v>
      </c>
      <c r="E154" s="22"/>
      <c r="F154" s="19"/>
      <c r="G154" s="25"/>
    </row>
    <row r="155" spans="1:7" ht="14.1" customHeight="1" x14ac:dyDescent="0.2">
      <c r="A155" s="22"/>
      <c r="B155" s="22"/>
      <c r="C155" s="22"/>
      <c r="D155" s="22"/>
      <c r="E155" s="22"/>
      <c r="F155" s="22"/>
      <c r="G155" s="22"/>
    </row>
    <row r="156" spans="1:7" ht="17.100000000000001" customHeight="1" x14ac:dyDescent="0.2">
      <c r="A156" s="22"/>
      <c r="B156" s="259" t="s">
        <v>1103</v>
      </c>
      <c r="C156" s="260"/>
      <c r="D156" s="2" t="s">
        <v>152</v>
      </c>
      <c r="E156" s="22"/>
      <c r="F156" s="22"/>
      <c r="G156" s="22"/>
    </row>
    <row r="157" spans="1:7" ht="18" customHeight="1" x14ac:dyDescent="0.2">
      <c r="A157" s="22"/>
      <c r="B157" s="26"/>
      <c r="C157" s="26"/>
      <c r="D157" s="27"/>
      <c r="E157" s="22"/>
      <c r="F157" s="22"/>
      <c r="G157" s="22"/>
    </row>
    <row r="158" spans="1:7" ht="29.1" customHeight="1" x14ac:dyDescent="0.2">
      <c r="A158" s="22"/>
      <c r="B158" s="259" t="s">
        <v>162</v>
      </c>
      <c r="C158" s="260"/>
      <c r="D158" s="2" t="s">
        <v>152</v>
      </c>
      <c r="E158" s="22"/>
      <c r="F158" s="22"/>
      <c r="G158" s="22"/>
    </row>
    <row r="159" spans="1:7" ht="29.1" customHeight="1" x14ac:dyDescent="0.2">
      <c r="A159" s="22"/>
      <c r="B159" s="259" t="s">
        <v>163</v>
      </c>
      <c r="C159" s="260"/>
      <c r="D159" s="2" t="s">
        <v>152</v>
      </c>
      <c r="E159" s="22"/>
      <c r="F159" s="22"/>
      <c r="G159" s="22"/>
    </row>
    <row r="160" spans="1:7" ht="17.100000000000001" customHeight="1" x14ac:dyDescent="0.2">
      <c r="A160" s="22"/>
      <c r="B160" s="259" t="s">
        <v>164</v>
      </c>
      <c r="C160" s="260"/>
      <c r="D160" s="28">
        <v>0.30576020422379324</v>
      </c>
      <c r="E160" s="22"/>
      <c r="F160" s="19"/>
      <c r="G160" s="25"/>
    </row>
    <row r="161" spans="1:7" ht="17.100000000000001" customHeight="1" x14ac:dyDescent="0.2">
      <c r="A161" s="22"/>
      <c r="B161" s="259" t="s">
        <v>165</v>
      </c>
      <c r="C161" s="260"/>
      <c r="D161" s="2" t="s">
        <v>152</v>
      </c>
      <c r="E161" s="22"/>
      <c r="F161" s="22"/>
      <c r="G161" s="22"/>
    </row>
  </sheetData>
  <mergeCells count="13">
    <mergeCell ref="J2:N2"/>
    <mergeCell ref="A1:H1"/>
    <mergeCell ref="A2:H2"/>
    <mergeCell ref="A3:H3"/>
    <mergeCell ref="B145:C145"/>
    <mergeCell ref="B160:C160"/>
    <mergeCell ref="B161:C161"/>
    <mergeCell ref="B146:C146"/>
    <mergeCell ref="B147:C147"/>
    <mergeCell ref="B148:C148"/>
    <mergeCell ref="B156:C156"/>
    <mergeCell ref="B158:C158"/>
    <mergeCell ref="B159:C15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466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261</v>
      </c>
      <c r="C7" s="4" t="s">
        <v>262</v>
      </c>
      <c r="D7" s="4" t="s">
        <v>80</v>
      </c>
      <c r="E7" s="5">
        <v>485303</v>
      </c>
      <c r="F7" s="6">
        <v>930.08319949999998</v>
      </c>
      <c r="G7" s="7">
        <v>3.4678249000000001E-2</v>
      </c>
      <c r="H7" s="47"/>
    </row>
    <row r="8" spans="1:14" ht="17.100000000000001" customHeight="1" x14ac:dyDescent="0.2">
      <c r="A8" s="3">
        <v>2</v>
      </c>
      <c r="B8" s="4" t="s">
        <v>254</v>
      </c>
      <c r="C8" s="4" t="s">
        <v>255</v>
      </c>
      <c r="D8" s="4" t="s">
        <v>28</v>
      </c>
      <c r="E8" s="5">
        <v>71005</v>
      </c>
      <c r="F8" s="6">
        <v>818.36812750000001</v>
      </c>
      <c r="G8" s="7">
        <v>3.0512940999999998E-2</v>
      </c>
      <c r="H8" s="47"/>
    </row>
    <row r="9" spans="1:14" ht="29.1" customHeight="1" x14ac:dyDescent="0.2">
      <c r="A9" s="3">
        <v>3</v>
      </c>
      <c r="B9" s="4" t="s">
        <v>199</v>
      </c>
      <c r="C9" s="4" t="s">
        <v>200</v>
      </c>
      <c r="D9" s="4" t="s">
        <v>201</v>
      </c>
      <c r="E9" s="5">
        <v>20969</v>
      </c>
      <c r="F9" s="6">
        <v>765.70400400000005</v>
      </c>
      <c r="G9" s="7">
        <v>2.8549353999999999E-2</v>
      </c>
      <c r="H9" s="47"/>
    </row>
    <row r="10" spans="1:14" ht="17.100000000000001" customHeight="1" x14ac:dyDescent="0.2">
      <c r="A10" s="3">
        <v>4</v>
      </c>
      <c r="B10" s="4" t="s">
        <v>34</v>
      </c>
      <c r="C10" s="4" t="s">
        <v>35</v>
      </c>
      <c r="D10" s="4" t="s">
        <v>28</v>
      </c>
      <c r="E10" s="5">
        <v>51448</v>
      </c>
      <c r="F10" s="6">
        <v>763.35969999999998</v>
      </c>
      <c r="G10" s="7">
        <v>2.8461945999999998E-2</v>
      </c>
      <c r="H10" s="47"/>
    </row>
    <row r="11" spans="1:14" ht="17.100000000000001" customHeight="1" x14ac:dyDescent="0.2">
      <c r="A11" s="3">
        <v>5</v>
      </c>
      <c r="B11" s="4" t="s">
        <v>86</v>
      </c>
      <c r="C11" s="4" t="s">
        <v>87</v>
      </c>
      <c r="D11" s="4" t="s">
        <v>88</v>
      </c>
      <c r="E11" s="5">
        <v>167184</v>
      </c>
      <c r="F11" s="6">
        <v>725.07700799999998</v>
      </c>
      <c r="G11" s="7">
        <v>2.7034572E-2</v>
      </c>
      <c r="H11" s="47"/>
    </row>
    <row r="12" spans="1:14" ht="17.100000000000001" customHeight="1" x14ac:dyDescent="0.2">
      <c r="A12" s="3">
        <v>6</v>
      </c>
      <c r="B12" s="4" t="s">
        <v>26</v>
      </c>
      <c r="C12" s="4" t="s">
        <v>27</v>
      </c>
      <c r="D12" s="4" t="s">
        <v>28</v>
      </c>
      <c r="E12" s="5">
        <v>40694</v>
      </c>
      <c r="F12" s="6">
        <v>684.90036699999996</v>
      </c>
      <c r="G12" s="7">
        <v>2.5536581999999999E-2</v>
      </c>
      <c r="H12" s="47"/>
    </row>
    <row r="13" spans="1:14" ht="17.100000000000001" customHeight="1" x14ac:dyDescent="0.2">
      <c r="A13" s="3">
        <v>7</v>
      </c>
      <c r="B13" s="4" t="s">
        <v>241</v>
      </c>
      <c r="C13" s="4" t="s">
        <v>242</v>
      </c>
      <c r="D13" s="4" t="s">
        <v>243</v>
      </c>
      <c r="E13" s="5">
        <v>134532</v>
      </c>
      <c r="F13" s="6">
        <v>684.02795400000002</v>
      </c>
      <c r="G13" s="7">
        <v>2.5504054000000002E-2</v>
      </c>
      <c r="H13" s="47"/>
      <c r="J13" s="147" t="s">
        <v>1114</v>
      </c>
    </row>
    <row r="14" spans="1:14" ht="29.1" customHeight="1" x14ac:dyDescent="0.2">
      <c r="A14" s="3">
        <v>8</v>
      </c>
      <c r="B14" s="4" t="s">
        <v>175</v>
      </c>
      <c r="C14" s="4" t="s">
        <v>176</v>
      </c>
      <c r="D14" s="4" t="s">
        <v>88</v>
      </c>
      <c r="E14" s="5">
        <v>199104</v>
      </c>
      <c r="F14" s="6">
        <v>677.25225599999999</v>
      </c>
      <c r="G14" s="7">
        <v>2.5251421E-2</v>
      </c>
      <c r="H14" s="47"/>
    </row>
    <row r="15" spans="1:14" ht="17.100000000000001" customHeight="1" x14ac:dyDescent="0.2">
      <c r="A15" s="3">
        <v>9</v>
      </c>
      <c r="B15" s="4" t="s">
        <v>177</v>
      </c>
      <c r="C15" s="4" t="s">
        <v>178</v>
      </c>
      <c r="D15" s="4" t="s">
        <v>91</v>
      </c>
      <c r="E15" s="5">
        <v>813355</v>
      </c>
      <c r="F15" s="6">
        <v>666.9511</v>
      </c>
      <c r="G15" s="7">
        <v>2.4867341000000001E-2</v>
      </c>
      <c r="H15" s="47"/>
    </row>
    <row r="16" spans="1:14" ht="17.100000000000001" customHeight="1" x14ac:dyDescent="0.2">
      <c r="A16" s="3">
        <v>10</v>
      </c>
      <c r="B16" s="4" t="s">
        <v>189</v>
      </c>
      <c r="C16" s="4" t="s">
        <v>190</v>
      </c>
      <c r="D16" s="4" t="s">
        <v>191</v>
      </c>
      <c r="E16" s="5">
        <v>121156</v>
      </c>
      <c r="F16" s="6">
        <v>627.16403400000002</v>
      </c>
      <c r="G16" s="7">
        <v>2.3383876000000001E-2</v>
      </c>
      <c r="H16" s="47"/>
    </row>
    <row r="17" spans="1:8" ht="17.100000000000001" customHeight="1" x14ac:dyDescent="0.2">
      <c r="A17" s="3">
        <v>11</v>
      </c>
      <c r="B17" s="4" t="s">
        <v>185</v>
      </c>
      <c r="C17" s="4" t="s">
        <v>186</v>
      </c>
      <c r="D17" s="4" t="s">
        <v>88</v>
      </c>
      <c r="E17" s="5">
        <v>114509</v>
      </c>
      <c r="F17" s="6">
        <v>601.97381299999995</v>
      </c>
      <c r="G17" s="7">
        <v>2.2444656E-2</v>
      </c>
      <c r="H17" s="47"/>
    </row>
    <row r="18" spans="1:8" ht="17.100000000000001" customHeight="1" x14ac:dyDescent="0.2">
      <c r="A18" s="3">
        <v>12</v>
      </c>
      <c r="B18" s="4" t="s">
        <v>467</v>
      </c>
      <c r="C18" s="4" t="s">
        <v>468</v>
      </c>
      <c r="D18" s="4" t="s">
        <v>28</v>
      </c>
      <c r="E18" s="5">
        <v>89666</v>
      </c>
      <c r="F18" s="6">
        <v>597.31005900000002</v>
      </c>
      <c r="G18" s="7">
        <v>2.2270768E-2</v>
      </c>
      <c r="H18" s="47"/>
    </row>
    <row r="19" spans="1:8" ht="17.100000000000001" customHeight="1" x14ac:dyDescent="0.2">
      <c r="A19" s="3">
        <v>13</v>
      </c>
      <c r="B19" s="4" t="s">
        <v>169</v>
      </c>
      <c r="C19" s="4" t="s">
        <v>170</v>
      </c>
      <c r="D19" s="4" t="s">
        <v>171</v>
      </c>
      <c r="E19" s="5">
        <v>52435</v>
      </c>
      <c r="F19" s="6">
        <v>555.96830499999999</v>
      </c>
      <c r="G19" s="7">
        <v>2.0729336000000001E-2</v>
      </c>
      <c r="H19" s="47"/>
    </row>
    <row r="20" spans="1:8" ht="17.100000000000001" customHeight="1" x14ac:dyDescent="0.2">
      <c r="A20" s="3">
        <v>14</v>
      </c>
      <c r="B20" s="4" t="s">
        <v>263</v>
      </c>
      <c r="C20" s="4" t="s">
        <v>264</v>
      </c>
      <c r="D20" s="4" t="s">
        <v>28</v>
      </c>
      <c r="E20" s="5">
        <v>63933</v>
      </c>
      <c r="F20" s="6">
        <v>535.630674</v>
      </c>
      <c r="G20" s="7">
        <v>1.9971045999999999E-2</v>
      </c>
      <c r="H20" s="47"/>
    </row>
    <row r="21" spans="1:8" ht="17.100000000000001" customHeight="1" x14ac:dyDescent="0.2">
      <c r="A21" s="3">
        <v>15</v>
      </c>
      <c r="B21" s="4" t="s">
        <v>172</v>
      </c>
      <c r="C21" s="4" t="s">
        <v>173</v>
      </c>
      <c r="D21" s="4" t="s">
        <v>174</v>
      </c>
      <c r="E21" s="5">
        <v>47190</v>
      </c>
      <c r="F21" s="6">
        <v>512.01149999999996</v>
      </c>
      <c r="G21" s="7">
        <v>1.9090401999999999E-2</v>
      </c>
      <c r="H21" s="47"/>
    </row>
    <row r="22" spans="1:8" ht="17.100000000000001" customHeight="1" x14ac:dyDescent="0.2">
      <c r="A22" s="3">
        <v>16</v>
      </c>
      <c r="B22" s="4" t="s">
        <v>228</v>
      </c>
      <c r="C22" s="4" t="s">
        <v>229</v>
      </c>
      <c r="D22" s="4" t="s">
        <v>191</v>
      </c>
      <c r="E22" s="5">
        <v>14600</v>
      </c>
      <c r="F22" s="6">
        <v>496.6628</v>
      </c>
      <c r="G22" s="7">
        <v>1.8518124E-2</v>
      </c>
      <c r="H22" s="47"/>
    </row>
    <row r="23" spans="1:8" ht="17.100000000000001" customHeight="1" x14ac:dyDescent="0.2">
      <c r="A23" s="3">
        <v>17</v>
      </c>
      <c r="B23" s="4" t="s">
        <v>207</v>
      </c>
      <c r="C23" s="4" t="s">
        <v>208</v>
      </c>
      <c r="D23" s="4" t="s">
        <v>209</v>
      </c>
      <c r="E23" s="5">
        <v>178406</v>
      </c>
      <c r="F23" s="6">
        <v>496.057883</v>
      </c>
      <c r="G23" s="7">
        <v>1.8495569999999999E-2</v>
      </c>
      <c r="H23" s="47"/>
    </row>
    <row r="24" spans="1:8" ht="17.100000000000001" customHeight="1" x14ac:dyDescent="0.2">
      <c r="A24" s="3">
        <v>18</v>
      </c>
      <c r="B24" s="4" t="s">
        <v>95</v>
      </c>
      <c r="C24" s="4" t="s">
        <v>96</v>
      </c>
      <c r="D24" s="4" t="s">
        <v>97</v>
      </c>
      <c r="E24" s="5">
        <v>108670</v>
      </c>
      <c r="F24" s="6">
        <v>482.92948000000001</v>
      </c>
      <c r="G24" s="7">
        <v>1.8006075999999999E-2</v>
      </c>
      <c r="H24" s="47"/>
    </row>
    <row r="25" spans="1:8" ht="17.100000000000001" customHeight="1" x14ac:dyDescent="0.2">
      <c r="A25" s="3">
        <v>19</v>
      </c>
      <c r="B25" s="4" t="s">
        <v>220</v>
      </c>
      <c r="C25" s="4" t="s">
        <v>221</v>
      </c>
      <c r="D25" s="4" t="s">
        <v>91</v>
      </c>
      <c r="E25" s="5">
        <v>64874</v>
      </c>
      <c r="F25" s="6">
        <v>482.467938</v>
      </c>
      <c r="G25" s="7">
        <v>1.7988866999999999E-2</v>
      </c>
      <c r="H25" s="47"/>
    </row>
    <row r="26" spans="1:8" ht="17.100000000000001" customHeight="1" x14ac:dyDescent="0.2">
      <c r="A26" s="3">
        <v>20</v>
      </c>
      <c r="B26" s="4" t="s">
        <v>192</v>
      </c>
      <c r="C26" s="4" t="s">
        <v>193</v>
      </c>
      <c r="D26" s="4" t="s">
        <v>184</v>
      </c>
      <c r="E26" s="5">
        <v>39741</v>
      </c>
      <c r="F26" s="6">
        <v>479.35594200000003</v>
      </c>
      <c r="G26" s="7">
        <v>1.7872836E-2</v>
      </c>
      <c r="H26" s="47"/>
    </row>
    <row r="27" spans="1:8" ht="17.100000000000001" customHeight="1" x14ac:dyDescent="0.2">
      <c r="A27" s="3">
        <v>21</v>
      </c>
      <c r="B27" s="4" t="s">
        <v>265</v>
      </c>
      <c r="C27" s="4" t="s">
        <v>266</v>
      </c>
      <c r="D27" s="4" t="s">
        <v>97</v>
      </c>
      <c r="E27" s="5">
        <v>37395</v>
      </c>
      <c r="F27" s="6">
        <v>442.64461499999999</v>
      </c>
      <c r="G27" s="7">
        <v>1.6504050999999999E-2</v>
      </c>
      <c r="H27" s="47"/>
    </row>
    <row r="28" spans="1:8" ht="17.100000000000001" customHeight="1" x14ac:dyDescent="0.2">
      <c r="A28" s="3">
        <v>22</v>
      </c>
      <c r="B28" s="4" t="s">
        <v>182</v>
      </c>
      <c r="C28" s="4" t="s">
        <v>183</v>
      </c>
      <c r="D28" s="4" t="s">
        <v>184</v>
      </c>
      <c r="E28" s="5">
        <v>32420</v>
      </c>
      <c r="F28" s="6">
        <v>424.03739000000002</v>
      </c>
      <c r="G28" s="7">
        <v>1.5810278000000001E-2</v>
      </c>
      <c r="H28" s="47"/>
    </row>
    <row r="29" spans="1:8" ht="29.1" customHeight="1" x14ac:dyDescent="0.2">
      <c r="A29" s="3">
        <v>23</v>
      </c>
      <c r="B29" s="4" t="s">
        <v>469</v>
      </c>
      <c r="C29" s="4" t="s">
        <v>470</v>
      </c>
      <c r="D29" s="4" t="s">
        <v>40</v>
      </c>
      <c r="E29" s="5">
        <v>22331</v>
      </c>
      <c r="F29" s="6">
        <v>418.50527099999999</v>
      </c>
      <c r="G29" s="7">
        <v>1.5604013E-2</v>
      </c>
      <c r="H29" s="47"/>
    </row>
    <row r="30" spans="1:8" ht="29.1" customHeight="1" x14ac:dyDescent="0.2">
      <c r="A30" s="3">
        <v>24</v>
      </c>
      <c r="B30" s="4" t="s">
        <v>179</v>
      </c>
      <c r="C30" s="4" t="s">
        <v>180</v>
      </c>
      <c r="D30" s="4" t="s">
        <v>181</v>
      </c>
      <c r="E30" s="5">
        <v>62196</v>
      </c>
      <c r="F30" s="6">
        <v>381.66575399999999</v>
      </c>
      <c r="G30" s="7">
        <v>1.4230447E-2</v>
      </c>
      <c r="H30" s="47"/>
    </row>
    <row r="31" spans="1:8" ht="29.1" customHeight="1" x14ac:dyDescent="0.2">
      <c r="A31" s="3">
        <v>25</v>
      </c>
      <c r="B31" s="4" t="s">
        <v>230</v>
      </c>
      <c r="C31" s="4" t="s">
        <v>231</v>
      </c>
      <c r="D31" s="4" t="s">
        <v>204</v>
      </c>
      <c r="E31" s="5">
        <v>100993</v>
      </c>
      <c r="F31" s="6">
        <v>370.69480650000003</v>
      </c>
      <c r="G31" s="7">
        <v>1.3821395E-2</v>
      </c>
      <c r="H31" s="47"/>
    </row>
    <row r="32" spans="1:8" ht="17.100000000000001" customHeight="1" x14ac:dyDescent="0.2">
      <c r="A32" s="3">
        <v>26</v>
      </c>
      <c r="B32" s="4" t="s">
        <v>471</v>
      </c>
      <c r="C32" s="4" t="s">
        <v>472</v>
      </c>
      <c r="D32" s="4" t="s">
        <v>88</v>
      </c>
      <c r="E32" s="5">
        <v>39266</v>
      </c>
      <c r="F32" s="6">
        <v>362.34664800000002</v>
      </c>
      <c r="G32" s="7">
        <v>1.3510133000000001E-2</v>
      </c>
      <c r="H32" s="47"/>
    </row>
    <row r="33" spans="1:8" ht="17.100000000000001" customHeight="1" x14ac:dyDescent="0.2">
      <c r="A33" s="3">
        <v>27</v>
      </c>
      <c r="B33" s="4" t="s">
        <v>187</v>
      </c>
      <c r="C33" s="4" t="s">
        <v>188</v>
      </c>
      <c r="D33" s="4" t="s">
        <v>91</v>
      </c>
      <c r="E33" s="5">
        <v>84586</v>
      </c>
      <c r="F33" s="6">
        <v>360.63241099999999</v>
      </c>
      <c r="G33" s="7">
        <v>1.3446217E-2</v>
      </c>
      <c r="H33" s="47"/>
    </row>
    <row r="34" spans="1:8" ht="17.100000000000001" customHeight="1" x14ac:dyDescent="0.2">
      <c r="A34" s="3">
        <v>28</v>
      </c>
      <c r="B34" s="4" t="s">
        <v>334</v>
      </c>
      <c r="C34" s="4" t="s">
        <v>335</v>
      </c>
      <c r="D34" s="4" t="s">
        <v>94</v>
      </c>
      <c r="E34" s="5">
        <v>7944</v>
      </c>
      <c r="F34" s="6">
        <v>347.144856</v>
      </c>
      <c r="G34" s="7">
        <v>1.2943332E-2</v>
      </c>
      <c r="H34" s="47"/>
    </row>
    <row r="35" spans="1:8" ht="17.100000000000001" customHeight="1" x14ac:dyDescent="0.2">
      <c r="A35" s="3">
        <v>29</v>
      </c>
      <c r="B35" s="4" t="s">
        <v>267</v>
      </c>
      <c r="C35" s="4" t="s">
        <v>268</v>
      </c>
      <c r="D35" s="4" t="s">
        <v>171</v>
      </c>
      <c r="E35" s="5">
        <v>43772</v>
      </c>
      <c r="F35" s="6">
        <v>331.20083799999998</v>
      </c>
      <c r="G35" s="7">
        <v>1.2348858000000001E-2</v>
      </c>
      <c r="H35" s="47"/>
    </row>
    <row r="36" spans="1:8" ht="29.1" customHeight="1" x14ac:dyDescent="0.2">
      <c r="A36" s="3">
        <v>30</v>
      </c>
      <c r="B36" s="4" t="s">
        <v>52</v>
      </c>
      <c r="C36" s="4" t="s">
        <v>53</v>
      </c>
      <c r="D36" s="4" t="s">
        <v>25</v>
      </c>
      <c r="E36" s="5">
        <v>15321</v>
      </c>
      <c r="F36" s="6">
        <v>323.11222950000001</v>
      </c>
      <c r="G36" s="7">
        <v>1.2047273000000001E-2</v>
      </c>
      <c r="H36" s="47"/>
    </row>
    <row r="37" spans="1:8" ht="29.1" customHeight="1" x14ac:dyDescent="0.2">
      <c r="A37" s="3">
        <v>31</v>
      </c>
      <c r="B37" s="4" t="s">
        <v>275</v>
      </c>
      <c r="C37" s="4" t="s">
        <v>276</v>
      </c>
      <c r="D37" s="4" t="s">
        <v>238</v>
      </c>
      <c r="E37" s="5">
        <v>60329</v>
      </c>
      <c r="F37" s="6">
        <v>320.10567400000002</v>
      </c>
      <c r="G37" s="7">
        <v>1.1935173E-2</v>
      </c>
      <c r="H37" s="47"/>
    </row>
    <row r="38" spans="1:8" ht="17.100000000000001" customHeight="1" x14ac:dyDescent="0.2">
      <c r="A38" s="3">
        <v>32</v>
      </c>
      <c r="B38" s="4" t="s">
        <v>473</v>
      </c>
      <c r="C38" s="4" t="s">
        <v>474</v>
      </c>
      <c r="D38" s="4" t="s">
        <v>45</v>
      </c>
      <c r="E38" s="5">
        <v>47169</v>
      </c>
      <c r="F38" s="6">
        <v>318.4143345</v>
      </c>
      <c r="G38" s="7">
        <v>1.1872112000000001E-2</v>
      </c>
      <c r="H38" s="47"/>
    </row>
    <row r="39" spans="1:8" ht="29.1" customHeight="1" x14ac:dyDescent="0.2">
      <c r="A39" s="3">
        <v>33</v>
      </c>
      <c r="B39" s="4" t="s">
        <v>196</v>
      </c>
      <c r="C39" s="4" t="s">
        <v>197</v>
      </c>
      <c r="D39" s="4" t="s">
        <v>198</v>
      </c>
      <c r="E39" s="5">
        <v>24905</v>
      </c>
      <c r="F39" s="6">
        <v>316.60481249999998</v>
      </c>
      <c r="G39" s="7">
        <v>1.1804643E-2</v>
      </c>
      <c r="H39" s="47"/>
    </row>
    <row r="40" spans="1:8" ht="17.100000000000001" customHeight="1" x14ac:dyDescent="0.2">
      <c r="A40" s="3">
        <v>34</v>
      </c>
      <c r="B40" s="4" t="s">
        <v>194</v>
      </c>
      <c r="C40" s="4" t="s">
        <v>195</v>
      </c>
      <c r="D40" s="4" t="s">
        <v>174</v>
      </c>
      <c r="E40" s="5">
        <v>63091</v>
      </c>
      <c r="F40" s="6">
        <v>313.75154300000003</v>
      </c>
      <c r="G40" s="7">
        <v>1.1698259000000001E-2</v>
      </c>
      <c r="H40" s="47"/>
    </row>
    <row r="41" spans="1:8" ht="17.100000000000001" customHeight="1" x14ac:dyDescent="0.2">
      <c r="A41" s="3">
        <v>35</v>
      </c>
      <c r="B41" s="4" t="s">
        <v>32</v>
      </c>
      <c r="C41" s="4" t="s">
        <v>33</v>
      </c>
      <c r="D41" s="4" t="s">
        <v>28</v>
      </c>
      <c r="E41" s="5">
        <v>8617</v>
      </c>
      <c r="F41" s="6">
        <v>304.42568449999999</v>
      </c>
      <c r="G41" s="7">
        <v>1.1350542999999999E-2</v>
      </c>
      <c r="H41" s="47"/>
    </row>
    <row r="42" spans="1:8" ht="29.1" customHeight="1" x14ac:dyDescent="0.2">
      <c r="A42" s="3">
        <v>36</v>
      </c>
      <c r="B42" s="4" t="s">
        <v>202</v>
      </c>
      <c r="C42" s="4" t="s">
        <v>203</v>
      </c>
      <c r="D42" s="4" t="s">
        <v>204</v>
      </c>
      <c r="E42" s="5">
        <v>64602</v>
      </c>
      <c r="F42" s="6">
        <v>300.20549399999999</v>
      </c>
      <c r="G42" s="7">
        <v>1.1193193000000001E-2</v>
      </c>
      <c r="H42" s="47"/>
    </row>
    <row r="43" spans="1:8" ht="29.1" customHeight="1" x14ac:dyDescent="0.2">
      <c r="A43" s="3">
        <v>37</v>
      </c>
      <c r="B43" s="4" t="s">
        <v>224</v>
      </c>
      <c r="C43" s="4" t="s">
        <v>225</v>
      </c>
      <c r="D43" s="4" t="s">
        <v>181</v>
      </c>
      <c r="E43" s="5">
        <v>65640</v>
      </c>
      <c r="F43" s="6">
        <v>297.93995999999999</v>
      </c>
      <c r="G43" s="7">
        <v>1.1108722E-2</v>
      </c>
      <c r="H43" s="47"/>
    </row>
    <row r="44" spans="1:8" ht="17.100000000000001" customHeight="1" x14ac:dyDescent="0.2">
      <c r="A44" s="3">
        <v>38</v>
      </c>
      <c r="B44" s="4" t="s">
        <v>271</v>
      </c>
      <c r="C44" s="4" t="s">
        <v>272</v>
      </c>
      <c r="D44" s="4" t="s">
        <v>94</v>
      </c>
      <c r="E44" s="5">
        <v>16085</v>
      </c>
      <c r="F44" s="6">
        <v>296.17310500000002</v>
      </c>
      <c r="G44" s="7">
        <v>1.1042845000000001E-2</v>
      </c>
      <c r="H44" s="47"/>
    </row>
    <row r="45" spans="1:8" ht="17.100000000000001" customHeight="1" x14ac:dyDescent="0.2">
      <c r="A45" s="3">
        <v>39</v>
      </c>
      <c r="B45" s="4" t="s">
        <v>222</v>
      </c>
      <c r="C45" s="4" t="s">
        <v>223</v>
      </c>
      <c r="D45" s="4" t="s">
        <v>13</v>
      </c>
      <c r="E45" s="5">
        <v>76646</v>
      </c>
      <c r="F45" s="6">
        <v>273.39628199999999</v>
      </c>
      <c r="G45" s="7">
        <v>1.0193608999999999E-2</v>
      </c>
      <c r="H45" s="47"/>
    </row>
    <row r="46" spans="1:8" ht="17.100000000000001" customHeight="1" x14ac:dyDescent="0.2">
      <c r="A46" s="3">
        <v>40</v>
      </c>
      <c r="B46" s="4" t="s">
        <v>475</v>
      </c>
      <c r="C46" s="4" t="s">
        <v>476</v>
      </c>
      <c r="D46" s="4" t="s">
        <v>28</v>
      </c>
      <c r="E46" s="5">
        <v>37025</v>
      </c>
      <c r="F46" s="6">
        <v>265.43222500000002</v>
      </c>
      <c r="G46" s="7">
        <v>9.8966680000000008E-3</v>
      </c>
      <c r="H46" s="47"/>
    </row>
    <row r="47" spans="1:8" ht="17.100000000000001" customHeight="1" x14ac:dyDescent="0.2">
      <c r="A47" s="3">
        <v>41</v>
      </c>
      <c r="B47" s="4" t="s">
        <v>210</v>
      </c>
      <c r="C47" s="4" t="s">
        <v>211</v>
      </c>
      <c r="D47" s="4" t="s">
        <v>16</v>
      </c>
      <c r="E47" s="5">
        <v>119602</v>
      </c>
      <c r="F47" s="6">
        <v>259.77554400000002</v>
      </c>
      <c r="G47" s="7">
        <v>9.6857579999999992E-3</v>
      </c>
      <c r="H47" s="47"/>
    </row>
    <row r="48" spans="1:8" ht="29.1" customHeight="1" x14ac:dyDescent="0.2">
      <c r="A48" s="3">
        <v>42</v>
      </c>
      <c r="B48" s="4" t="s">
        <v>390</v>
      </c>
      <c r="C48" s="4" t="s">
        <v>391</v>
      </c>
      <c r="D48" s="4" t="s">
        <v>201</v>
      </c>
      <c r="E48" s="5">
        <v>42540</v>
      </c>
      <c r="F48" s="6">
        <v>259.53654</v>
      </c>
      <c r="G48" s="7">
        <v>9.6768470000000006E-3</v>
      </c>
      <c r="H48" s="47"/>
    </row>
    <row r="49" spans="1:8" ht="17.100000000000001" customHeight="1" x14ac:dyDescent="0.2">
      <c r="A49" s="3">
        <v>43</v>
      </c>
      <c r="B49" s="4" t="s">
        <v>477</v>
      </c>
      <c r="C49" s="4" t="s">
        <v>478</v>
      </c>
      <c r="D49" s="4" t="s">
        <v>91</v>
      </c>
      <c r="E49" s="5">
        <v>25528</v>
      </c>
      <c r="F49" s="6">
        <v>259.313424</v>
      </c>
      <c r="G49" s="7">
        <v>9.6685279999999992E-3</v>
      </c>
      <c r="H49" s="47"/>
    </row>
    <row r="50" spans="1:8" ht="17.100000000000001" customHeight="1" x14ac:dyDescent="0.2">
      <c r="A50" s="3">
        <v>44</v>
      </c>
      <c r="B50" s="4" t="s">
        <v>226</v>
      </c>
      <c r="C50" s="4" t="s">
        <v>227</v>
      </c>
      <c r="D50" s="4" t="s">
        <v>13</v>
      </c>
      <c r="E50" s="5">
        <v>343241</v>
      </c>
      <c r="F50" s="6">
        <v>251.0807915</v>
      </c>
      <c r="G50" s="7">
        <v>9.3615729999999998E-3</v>
      </c>
      <c r="H50" s="47"/>
    </row>
    <row r="51" spans="1:8" ht="29.1" customHeight="1" x14ac:dyDescent="0.2">
      <c r="A51" s="3">
        <v>45</v>
      </c>
      <c r="B51" s="4" t="s">
        <v>236</v>
      </c>
      <c r="C51" s="4" t="s">
        <v>237</v>
      </c>
      <c r="D51" s="4" t="s">
        <v>238</v>
      </c>
      <c r="E51" s="5">
        <v>63174</v>
      </c>
      <c r="F51" s="6">
        <v>242.240703</v>
      </c>
      <c r="G51" s="7">
        <v>9.0319700000000003E-3</v>
      </c>
      <c r="H51" s="47"/>
    </row>
    <row r="52" spans="1:8" ht="29.1" customHeight="1" x14ac:dyDescent="0.2">
      <c r="A52" s="3">
        <v>46</v>
      </c>
      <c r="B52" s="4" t="s">
        <v>212</v>
      </c>
      <c r="C52" s="4" t="s">
        <v>213</v>
      </c>
      <c r="D52" s="4" t="s">
        <v>214</v>
      </c>
      <c r="E52" s="5">
        <v>253152</v>
      </c>
      <c r="F52" s="6">
        <v>237.96288000000001</v>
      </c>
      <c r="G52" s="7">
        <v>8.8724709999999998E-3</v>
      </c>
      <c r="H52" s="47"/>
    </row>
    <row r="53" spans="1:8" ht="29.1" customHeight="1" x14ac:dyDescent="0.2">
      <c r="A53" s="3">
        <v>47</v>
      </c>
      <c r="B53" s="4" t="s">
        <v>205</v>
      </c>
      <c r="C53" s="4" t="s">
        <v>206</v>
      </c>
      <c r="D53" s="4" t="s">
        <v>204</v>
      </c>
      <c r="E53" s="5">
        <v>15127</v>
      </c>
      <c r="F53" s="6">
        <v>237.89476550000001</v>
      </c>
      <c r="G53" s="7">
        <v>8.8699309999999993E-3</v>
      </c>
      <c r="H53" s="47"/>
    </row>
    <row r="54" spans="1:8" ht="17.100000000000001" customHeight="1" x14ac:dyDescent="0.2">
      <c r="A54" s="3">
        <v>48</v>
      </c>
      <c r="B54" s="4" t="s">
        <v>479</v>
      </c>
      <c r="C54" s="4" t="s">
        <v>480</v>
      </c>
      <c r="D54" s="4" t="s">
        <v>88</v>
      </c>
      <c r="E54" s="5">
        <v>25665</v>
      </c>
      <c r="F54" s="6">
        <v>231.94743750000001</v>
      </c>
      <c r="G54" s="7">
        <v>8.6481839999999997E-3</v>
      </c>
      <c r="H54" s="47"/>
    </row>
    <row r="55" spans="1:8" ht="29.1" customHeight="1" x14ac:dyDescent="0.2">
      <c r="A55" s="3">
        <v>49</v>
      </c>
      <c r="B55" s="4" t="s">
        <v>290</v>
      </c>
      <c r="C55" s="4" t="s">
        <v>291</v>
      </c>
      <c r="D55" s="4" t="s">
        <v>292</v>
      </c>
      <c r="E55" s="5">
        <v>75410</v>
      </c>
      <c r="F55" s="6">
        <v>231.73492999999999</v>
      </c>
      <c r="G55" s="7">
        <v>8.6402609999999998E-3</v>
      </c>
      <c r="H55" s="47"/>
    </row>
    <row r="56" spans="1:8" ht="17.100000000000001" customHeight="1" x14ac:dyDescent="0.2">
      <c r="A56" s="3">
        <v>50</v>
      </c>
      <c r="B56" s="4" t="s">
        <v>269</v>
      </c>
      <c r="C56" s="4" t="s">
        <v>270</v>
      </c>
      <c r="D56" s="4" t="s">
        <v>91</v>
      </c>
      <c r="E56" s="5">
        <v>471010</v>
      </c>
      <c r="F56" s="6">
        <v>231.50141500000001</v>
      </c>
      <c r="G56" s="7">
        <v>8.6315539999999996E-3</v>
      </c>
      <c r="H56" s="47"/>
    </row>
    <row r="57" spans="1:8" ht="53.1" customHeight="1" x14ac:dyDescent="0.2">
      <c r="A57" s="3">
        <v>51</v>
      </c>
      <c r="B57" s="4" t="s">
        <v>422</v>
      </c>
      <c r="C57" s="4" t="s">
        <v>423</v>
      </c>
      <c r="D57" s="4" t="s">
        <v>62</v>
      </c>
      <c r="E57" s="5">
        <v>108094</v>
      </c>
      <c r="F57" s="6">
        <v>224.83552</v>
      </c>
      <c r="G57" s="7">
        <v>8.3830160000000001E-3</v>
      </c>
      <c r="H57" s="47"/>
    </row>
    <row r="58" spans="1:8" ht="17.100000000000001" customHeight="1" x14ac:dyDescent="0.2">
      <c r="A58" s="3">
        <v>52</v>
      </c>
      <c r="B58" s="4" t="s">
        <v>481</v>
      </c>
      <c r="C58" s="4" t="s">
        <v>482</v>
      </c>
      <c r="D58" s="4" t="s">
        <v>28</v>
      </c>
      <c r="E58" s="5">
        <v>42726</v>
      </c>
      <c r="F58" s="6">
        <v>214.27089000000001</v>
      </c>
      <c r="G58" s="7">
        <v>7.9891119999999996E-3</v>
      </c>
      <c r="H58" s="47"/>
    </row>
    <row r="59" spans="1:8" ht="17.100000000000001" customHeight="1" x14ac:dyDescent="0.2">
      <c r="A59" s="3">
        <v>53</v>
      </c>
      <c r="B59" s="4" t="s">
        <v>215</v>
      </c>
      <c r="C59" s="4" t="s">
        <v>216</v>
      </c>
      <c r="D59" s="4" t="s">
        <v>217</v>
      </c>
      <c r="E59" s="5">
        <v>79781</v>
      </c>
      <c r="F59" s="6">
        <v>211.22019750000001</v>
      </c>
      <c r="G59" s="7">
        <v>7.8753669999999994E-3</v>
      </c>
      <c r="H59" s="47"/>
    </row>
    <row r="60" spans="1:8" ht="41.1" customHeight="1" x14ac:dyDescent="0.2">
      <c r="A60" s="3">
        <v>54</v>
      </c>
      <c r="B60" s="4" t="s">
        <v>283</v>
      </c>
      <c r="C60" s="4" t="s">
        <v>284</v>
      </c>
      <c r="D60" s="4" t="s">
        <v>285</v>
      </c>
      <c r="E60" s="5">
        <v>28337</v>
      </c>
      <c r="F60" s="6">
        <v>202.666224</v>
      </c>
      <c r="G60" s="7">
        <v>7.5564309999999997E-3</v>
      </c>
      <c r="H60" s="47"/>
    </row>
    <row r="61" spans="1:8" ht="29.1" customHeight="1" x14ac:dyDescent="0.2">
      <c r="A61" s="3">
        <v>55</v>
      </c>
      <c r="B61" s="4" t="s">
        <v>218</v>
      </c>
      <c r="C61" s="4" t="s">
        <v>219</v>
      </c>
      <c r="D61" s="4" t="s">
        <v>201</v>
      </c>
      <c r="E61" s="5">
        <v>23134</v>
      </c>
      <c r="F61" s="6">
        <v>201.97138699999999</v>
      </c>
      <c r="G61" s="7">
        <v>7.5305240000000002E-3</v>
      </c>
      <c r="H61" s="47"/>
    </row>
    <row r="62" spans="1:8" ht="17.100000000000001" customHeight="1" x14ac:dyDescent="0.2">
      <c r="A62" s="3">
        <v>56</v>
      </c>
      <c r="B62" s="4" t="s">
        <v>483</v>
      </c>
      <c r="C62" s="4" t="s">
        <v>484</v>
      </c>
      <c r="D62" s="4" t="s">
        <v>303</v>
      </c>
      <c r="E62" s="5">
        <v>26884</v>
      </c>
      <c r="F62" s="6">
        <v>199.30453399999999</v>
      </c>
      <c r="G62" s="7">
        <v>7.4310899999999996E-3</v>
      </c>
      <c r="H62" s="47"/>
    </row>
    <row r="63" spans="1:8" ht="17.100000000000001" customHeight="1" x14ac:dyDescent="0.2">
      <c r="A63" s="3">
        <v>57</v>
      </c>
      <c r="B63" s="4" t="s">
        <v>281</v>
      </c>
      <c r="C63" s="4" t="s">
        <v>282</v>
      </c>
      <c r="D63" s="4" t="s">
        <v>94</v>
      </c>
      <c r="E63" s="5">
        <v>31011</v>
      </c>
      <c r="F63" s="6">
        <v>194.48548650000001</v>
      </c>
      <c r="G63" s="7">
        <v>7.2514119999999996E-3</v>
      </c>
      <c r="H63" s="47"/>
    </row>
    <row r="64" spans="1:8" ht="17.100000000000001" customHeight="1" x14ac:dyDescent="0.2">
      <c r="A64" s="3">
        <v>58</v>
      </c>
      <c r="B64" s="4" t="s">
        <v>485</v>
      </c>
      <c r="C64" s="4" t="s">
        <v>486</v>
      </c>
      <c r="D64" s="4" t="s">
        <v>174</v>
      </c>
      <c r="E64" s="5">
        <v>342887</v>
      </c>
      <c r="F64" s="6">
        <v>190.98805899999999</v>
      </c>
      <c r="G64" s="7">
        <v>7.1210099999999997E-3</v>
      </c>
      <c r="H64" s="47"/>
    </row>
    <row r="65" spans="1:8" ht="29.1" customHeight="1" x14ac:dyDescent="0.2">
      <c r="A65" s="3">
        <v>59</v>
      </c>
      <c r="B65" s="4" t="s">
        <v>256</v>
      </c>
      <c r="C65" s="4" t="s">
        <v>257</v>
      </c>
      <c r="D65" s="4" t="s">
        <v>88</v>
      </c>
      <c r="E65" s="5">
        <v>12284</v>
      </c>
      <c r="F65" s="6">
        <v>181.95675</v>
      </c>
      <c r="G65" s="7">
        <v>6.7842759999999997E-3</v>
      </c>
      <c r="H65" s="47"/>
    </row>
    <row r="66" spans="1:8" ht="17.100000000000001" customHeight="1" x14ac:dyDescent="0.2">
      <c r="A66" s="3">
        <v>60</v>
      </c>
      <c r="B66" s="4" t="s">
        <v>487</v>
      </c>
      <c r="C66" s="4" t="s">
        <v>488</v>
      </c>
      <c r="D66" s="4" t="s">
        <v>28</v>
      </c>
      <c r="E66" s="5">
        <v>7405</v>
      </c>
      <c r="F66" s="6">
        <v>176.03906499999999</v>
      </c>
      <c r="G66" s="7">
        <v>6.563635E-3</v>
      </c>
      <c r="H66" s="47"/>
    </row>
    <row r="67" spans="1:8" ht="17.100000000000001" customHeight="1" x14ac:dyDescent="0.2">
      <c r="A67" s="3">
        <v>61</v>
      </c>
      <c r="B67" s="4" t="s">
        <v>246</v>
      </c>
      <c r="C67" s="4" t="s">
        <v>247</v>
      </c>
      <c r="D67" s="4" t="s">
        <v>94</v>
      </c>
      <c r="E67" s="5">
        <v>34339</v>
      </c>
      <c r="F67" s="6">
        <v>172.4332885</v>
      </c>
      <c r="G67" s="7">
        <v>6.4291929999999997E-3</v>
      </c>
      <c r="H67" s="47"/>
    </row>
    <row r="68" spans="1:8" ht="17.100000000000001" customHeight="1" x14ac:dyDescent="0.2">
      <c r="A68" s="3">
        <v>62</v>
      </c>
      <c r="B68" s="4" t="s">
        <v>239</v>
      </c>
      <c r="C68" s="4" t="s">
        <v>240</v>
      </c>
      <c r="D68" s="4" t="s">
        <v>88</v>
      </c>
      <c r="E68" s="5">
        <v>25180</v>
      </c>
      <c r="F68" s="6">
        <v>144.31917000000001</v>
      </c>
      <c r="G68" s="7">
        <v>5.3809549999999998E-3</v>
      </c>
      <c r="H68" s="47"/>
    </row>
    <row r="69" spans="1:8" ht="17.100000000000001" customHeight="1" x14ac:dyDescent="0.2">
      <c r="A69" s="3">
        <v>63</v>
      </c>
      <c r="B69" s="4" t="s">
        <v>234</v>
      </c>
      <c r="C69" s="4" t="s">
        <v>235</v>
      </c>
      <c r="D69" s="4" t="s">
        <v>114</v>
      </c>
      <c r="E69" s="5">
        <v>20203</v>
      </c>
      <c r="F69" s="6">
        <v>136.20862600000001</v>
      </c>
      <c r="G69" s="7">
        <v>5.0785530000000004E-3</v>
      </c>
      <c r="H69" s="47"/>
    </row>
    <row r="70" spans="1:8" ht="29.1" customHeight="1" x14ac:dyDescent="0.2">
      <c r="A70" s="3">
        <v>64</v>
      </c>
      <c r="B70" s="4" t="s">
        <v>250</v>
      </c>
      <c r="C70" s="4" t="s">
        <v>251</v>
      </c>
      <c r="D70" s="4" t="s">
        <v>204</v>
      </c>
      <c r="E70" s="5">
        <v>3032</v>
      </c>
      <c r="F70" s="6">
        <v>127.06657199999999</v>
      </c>
      <c r="G70" s="7">
        <v>4.7376900000000001E-3</v>
      </c>
      <c r="H70" s="47"/>
    </row>
    <row r="71" spans="1:8" ht="17.100000000000001" customHeight="1" x14ac:dyDescent="0.2">
      <c r="A71" s="3">
        <v>65</v>
      </c>
      <c r="B71" s="4" t="s">
        <v>244</v>
      </c>
      <c r="C71" s="4" t="s">
        <v>245</v>
      </c>
      <c r="D71" s="4" t="s">
        <v>88</v>
      </c>
      <c r="E71" s="5">
        <v>66104</v>
      </c>
      <c r="F71" s="6">
        <v>125.399288</v>
      </c>
      <c r="G71" s="7">
        <v>4.6755260000000002E-3</v>
      </c>
      <c r="H71" s="47"/>
    </row>
    <row r="72" spans="1:8" ht="29.1" customHeight="1" x14ac:dyDescent="0.2">
      <c r="A72" s="3">
        <v>66</v>
      </c>
      <c r="B72" s="4" t="s">
        <v>277</v>
      </c>
      <c r="C72" s="4" t="s">
        <v>278</v>
      </c>
      <c r="D72" s="4" t="s">
        <v>201</v>
      </c>
      <c r="E72" s="5">
        <v>23384</v>
      </c>
      <c r="F72" s="6">
        <v>109.939876</v>
      </c>
      <c r="G72" s="7">
        <v>4.0991200000000004E-3</v>
      </c>
      <c r="H72" s="47"/>
    </row>
    <row r="73" spans="1:8" ht="29.1" customHeight="1" x14ac:dyDescent="0.2">
      <c r="A73" s="3">
        <v>67</v>
      </c>
      <c r="B73" s="4" t="s">
        <v>286</v>
      </c>
      <c r="C73" s="4" t="s">
        <v>287</v>
      </c>
      <c r="D73" s="4" t="s">
        <v>204</v>
      </c>
      <c r="E73" s="5">
        <v>49569</v>
      </c>
      <c r="F73" s="6">
        <v>108.357834</v>
      </c>
      <c r="G73" s="7">
        <v>4.0401329999999996E-3</v>
      </c>
      <c r="H73" s="47"/>
    </row>
    <row r="74" spans="1:8" ht="17.100000000000001" customHeight="1" x14ac:dyDescent="0.2">
      <c r="A74" s="3">
        <v>68</v>
      </c>
      <c r="B74" s="4" t="s">
        <v>252</v>
      </c>
      <c r="C74" s="4" t="s">
        <v>253</v>
      </c>
      <c r="D74" s="4" t="s">
        <v>97</v>
      </c>
      <c r="E74" s="5">
        <v>161000</v>
      </c>
      <c r="F74" s="6">
        <v>105.05249999999999</v>
      </c>
      <c r="G74" s="7">
        <v>3.9168930000000003E-3</v>
      </c>
      <c r="H74" s="47"/>
    </row>
    <row r="75" spans="1:8" ht="17.100000000000001" customHeight="1" x14ac:dyDescent="0.2">
      <c r="A75" s="3">
        <v>69</v>
      </c>
      <c r="B75" s="4" t="s">
        <v>489</v>
      </c>
      <c r="C75" s="4" t="s">
        <v>490</v>
      </c>
      <c r="D75" s="4" t="s">
        <v>312</v>
      </c>
      <c r="E75" s="5">
        <v>13773</v>
      </c>
      <c r="F75" s="6">
        <v>81.549932999999996</v>
      </c>
      <c r="G75" s="7">
        <v>3.0405979999999998E-3</v>
      </c>
      <c r="H75" s="47"/>
    </row>
    <row r="76" spans="1:8" ht="17.100000000000001" customHeight="1" x14ac:dyDescent="0.2">
      <c r="A76" s="3">
        <v>70</v>
      </c>
      <c r="B76" s="4" t="s">
        <v>288</v>
      </c>
      <c r="C76" s="4" t="s">
        <v>289</v>
      </c>
      <c r="D76" s="4" t="s">
        <v>19</v>
      </c>
      <c r="E76" s="5">
        <v>35215</v>
      </c>
      <c r="F76" s="6">
        <v>68.000164999999996</v>
      </c>
      <c r="G76" s="7">
        <v>2.5353929999999999E-3</v>
      </c>
      <c r="H76" s="47"/>
    </row>
    <row r="77" spans="1:8" ht="29.1" customHeight="1" x14ac:dyDescent="0.2">
      <c r="A77" s="3">
        <v>71</v>
      </c>
      <c r="B77" s="4" t="s">
        <v>258</v>
      </c>
      <c r="C77" s="4" t="s">
        <v>259</v>
      </c>
      <c r="D77" s="4" t="s">
        <v>201</v>
      </c>
      <c r="E77" s="5">
        <v>9154</v>
      </c>
      <c r="F77" s="6">
        <v>48.786242999999999</v>
      </c>
      <c r="G77" s="7">
        <v>1.8190000000000001E-3</v>
      </c>
      <c r="H77" s="47"/>
    </row>
    <row r="78" spans="1:8" ht="14.1" customHeight="1" x14ac:dyDescent="0.2">
      <c r="A78" s="1"/>
      <c r="B78" s="1"/>
      <c r="C78" s="2" t="s">
        <v>122</v>
      </c>
      <c r="D78" s="1"/>
      <c r="E78" s="1" t="s">
        <v>123</v>
      </c>
      <c r="F78" s="9">
        <v>25019.530116499998</v>
      </c>
      <c r="G78" s="10">
        <v>0.93285578499999999</v>
      </c>
      <c r="H78" s="47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124</v>
      </c>
      <c r="D80" s="1"/>
      <c r="E80" s="1"/>
      <c r="F80" s="1"/>
      <c r="G80" s="1"/>
      <c r="H80" s="47"/>
    </row>
    <row r="81" spans="1:8" ht="14.1" customHeight="1" x14ac:dyDescent="0.2">
      <c r="A81" s="1"/>
      <c r="B81" s="1"/>
      <c r="C81" s="2" t="s">
        <v>122</v>
      </c>
      <c r="D81" s="1"/>
      <c r="E81" s="1" t="s">
        <v>123</v>
      </c>
      <c r="F81" s="13">
        <v>0</v>
      </c>
      <c r="G81" s="14">
        <v>0</v>
      </c>
      <c r="H81" s="47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125</v>
      </c>
      <c r="D83" s="1"/>
      <c r="E83" s="1"/>
      <c r="F83" s="1"/>
      <c r="G83" s="1"/>
      <c r="H83" s="47"/>
    </row>
    <row r="84" spans="1:8" ht="14.1" customHeight="1" x14ac:dyDescent="0.2">
      <c r="A84" s="1"/>
      <c r="B84" s="1"/>
      <c r="C84" s="2" t="s">
        <v>122</v>
      </c>
      <c r="D84" s="1"/>
      <c r="E84" s="1" t="s">
        <v>123</v>
      </c>
      <c r="F84" s="13">
        <v>0</v>
      </c>
      <c r="G84" s="14">
        <v>0</v>
      </c>
      <c r="H84" s="47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126</v>
      </c>
      <c r="D86" s="1"/>
      <c r="E86" s="1"/>
      <c r="F86" s="1"/>
      <c r="G86" s="1"/>
      <c r="H86" s="47"/>
    </row>
    <row r="87" spans="1:8" ht="14.1" customHeight="1" x14ac:dyDescent="0.2">
      <c r="A87" s="1"/>
      <c r="B87" s="1"/>
      <c r="C87" s="2" t="s">
        <v>122</v>
      </c>
      <c r="D87" s="1"/>
      <c r="E87" s="1" t="s">
        <v>123</v>
      </c>
      <c r="F87" s="13">
        <v>0</v>
      </c>
      <c r="G87" s="14">
        <v>0</v>
      </c>
      <c r="H87" s="47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127</v>
      </c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122</v>
      </c>
      <c r="D90" s="1"/>
      <c r="E90" s="1" t="s">
        <v>123</v>
      </c>
      <c r="F90" s="13">
        <v>0</v>
      </c>
      <c r="G90" s="14">
        <v>0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128</v>
      </c>
      <c r="D92" s="1"/>
      <c r="E92" s="1"/>
      <c r="F92" s="12"/>
      <c r="G92" s="12"/>
      <c r="H92" s="47"/>
    </row>
    <row r="93" spans="1:8" ht="14.1" customHeight="1" x14ac:dyDescent="0.2">
      <c r="A93" s="1"/>
      <c r="B93" s="1"/>
      <c r="C93" s="2" t="s">
        <v>122</v>
      </c>
      <c r="D93" s="1"/>
      <c r="E93" s="1" t="s">
        <v>123</v>
      </c>
      <c r="F93" s="13">
        <v>0</v>
      </c>
      <c r="G93" s="14">
        <v>0</v>
      </c>
      <c r="H93" s="47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47"/>
    </row>
    <row r="95" spans="1:8" ht="18" customHeight="1" x14ac:dyDescent="0.2">
      <c r="A95" s="1"/>
      <c r="B95" s="1"/>
      <c r="C95" s="2" t="s">
        <v>129</v>
      </c>
      <c r="D95" s="1"/>
      <c r="E95" s="1"/>
      <c r="F95" s="9">
        <v>25019.530116499998</v>
      </c>
      <c r="G95" s="10">
        <v>0.93285578499999999</v>
      </c>
      <c r="H95" s="47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47"/>
    </row>
    <row r="97" spans="1:8" ht="14.1" customHeight="1" x14ac:dyDescent="0.2">
      <c r="A97" s="1"/>
      <c r="B97" s="1"/>
      <c r="C97" s="2" t="s">
        <v>130</v>
      </c>
      <c r="D97" s="1"/>
      <c r="E97" s="1"/>
      <c r="F97" s="12"/>
      <c r="G97" s="12"/>
      <c r="H97" s="47"/>
    </row>
    <row r="98" spans="1:8" ht="24" customHeight="1" x14ac:dyDescent="0.2">
      <c r="A98" s="1"/>
      <c r="B98" s="1"/>
      <c r="C98" s="2" t="s">
        <v>10</v>
      </c>
      <c r="D98" s="1"/>
      <c r="E98" s="1"/>
      <c r="F98" s="12"/>
      <c r="G98" s="12"/>
      <c r="H98" s="47"/>
    </row>
    <row r="99" spans="1:8" ht="14.1" customHeight="1" x14ac:dyDescent="0.2">
      <c r="A99" s="1"/>
      <c r="B99" s="1"/>
      <c r="C99" s="2" t="s">
        <v>122</v>
      </c>
      <c r="D99" s="1"/>
      <c r="E99" s="1" t="s">
        <v>123</v>
      </c>
      <c r="F99" s="13">
        <v>0</v>
      </c>
      <c r="G99" s="14">
        <v>0</v>
      </c>
      <c r="H99" s="47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47"/>
    </row>
    <row r="101" spans="1:8" ht="14.1" customHeight="1" x14ac:dyDescent="0.2">
      <c r="A101" s="1"/>
      <c r="B101" s="1"/>
      <c r="C101" s="2" t="s">
        <v>131</v>
      </c>
      <c r="D101" s="1"/>
      <c r="E101" s="1"/>
      <c r="F101" s="1"/>
      <c r="G101" s="1"/>
      <c r="H101" s="47"/>
    </row>
    <row r="102" spans="1:8" ht="14.1" customHeight="1" x14ac:dyDescent="0.2">
      <c r="A102" s="1"/>
      <c r="B102" s="1"/>
      <c r="C102" s="2" t="s">
        <v>122</v>
      </c>
      <c r="D102" s="1"/>
      <c r="E102" s="1" t="s">
        <v>123</v>
      </c>
      <c r="F102" s="13">
        <v>0</v>
      </c>
      <c r="G102" s="14">
        <v>0</v>
      </c>
      <c r="H102" s="47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2" t="s">
        <v>132</v>
      </c>
      <c r="D104" s="1"/>
      <c r="E104" s="1"/>
      <c r="F104" s="1"/>
      <c r="G104" s="1"/>
      <c r="H104" s="47"/>
    </row>
    <row r="105" spans="1:8" ht="14.1" customHeight="1" x14ac:dyDescent="0.2">
      <c r="A105" s="1"/>
      <c r="B105" s="1"/>
      <c r="C105" s="2" t="s">
        <v>122</v>
      </c>
      <c r="D105" s="1"/>
      <c r="E105" s="1" t="s">
        <v>123</v>
      </c>
      <c r="F105" s="13">
        <v>0</v>
      </c>
      <c r="G105" s="14">
        <v>0</v>
      </c>
      <c r="H105" s="47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47"/>
    </row>
    <row r="107" spans="1:8" ht="14.1" customHeight="1" x14ac:dyDescent="0.2">
      <c r="A107" s="1"/>
      <c r="B107" s="1"/>
      <c r="C107" s="2" t="s">
        <v>133</v>
      </c>
      <c r="D107" s="1"/>
      <c r="E107" s="1"/>
      <c r="F107" s="12"/>
      <c r="G107" s="12"/>
      <c r="H107" s="47"/>
    </row>
    <row r="108" spans="1:8" ht="14.1" customHeight="1" x14ac:dyDescent="0.2">
      <c r="A108" s="1"/>
      <c r="B108" s="1"/>
      <c r="C108" s="2" t="s">
        <v>122</v>
      </c>
      <c r="D108" s="1"/>
      <c r="E108" s="1" t="s">
        <v>123</v>
      </c>
      <c r="F108" s="13">
        <v>0</v>
      </c>
      <c r="G108" s="14">
        <v>0</v>
      </c>
      <c r="H108" s="47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2" t="s">
        <v>134</v>
      </c>
      <c r="D110" s="1"/>
      <c r="E110" s="1"/>
      <c r="F110" s="9">
        <v>0</v>
      </c>
      <c r="G110" s="10">
        <v>0</v>
      </c>
      <c r="H110" s="47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47"/>
    </row>
    <row r="112" spans="1:8" ht="14.1" customHeight="1" x14ac:dyDescent="0.2">
      <c r="A112" s="1"/>
      <c r="B112" s="1"/>
      <c r="C112" s="2" t="s">
        <v>135</v>
      </c>
      <c r="D112" s="1"/>
      <c r="E112" s="1"/>
      <c r="F112" s="12"/>
      <c r="G112" s="12"/>
      <c r="H112" s="47"/>
    </row>
    <row r="113" spans="1:8" ht="14.1" customHeight="1" x14ac:dyDescent="0.2">
      <c r="A113" s="1"/>
      <c r="B113" s="1"/>
      <c r="C113" s="2" t="s">
        <v>136</v>
      </c>
      <c r="D113" s="1"/>
      <c r="E113" s="1"/>
      <c r="F113" s="12"/>
      <c r="G113" s="12"/>
      <c r="H113" s="47"/>
    </row>
    <row r="114" spans="1:8" ht="14.1" customHeight="1" x14ac:dyDescent="0.2">
      <c r="A114" s="1"/>
      <c r="B114" s="1"/>
      <c r="C114" s="2" t="s">
        <v>122</v>
      </c>
      <c r="D114" s="1"/>
      <c r="E114" s="1" t="s">
        <v>123</v>
      </c>
      <c r="F114" s="13">
        <v>0</v>
      </c>
      <c r="G114" s="14">
        <v>0</v>
      </c>
      <c r="H114" s="47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47"/>
    </row>
    <row r="116" spans="1:8" ht="14.1" customHeight="1" x14ac:dyDescent="0.2">
      <c r="A116" s="1"/>
      <c r="B116" s="1"/>
      <c r="C116" s="2" t="s">
        <v>137</v>
      </c>
      <c r="D116" s="1"/>
      <c r="E116" s="1"/>
      <c r="F116" s="12"/>
      <c r="G116" s="12"/>
      <c r="H116" s="47"/>
    </row>
    <row r="117" spans="1:8" ht="14.1" customHeight="1" x14ac:dyDescent="0.2">
      <c r="A117" s="1"/>
      <c r="B117" s="1"/>
      <c r="C117" s="2" t="s">
        <v>122</v>
      </c>
      <c r="D117" s="1"/>
      <c r="E117" s="1" t="s">
        <v>123</v>
      </c>
      <c r="F117" s="13">
        <v>0</v>
      </c>
      <c r="G117" s="14">
        <v>0</v>
      </c>
      <c r="H117" s="47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47"/>
    </row>
    <row r="119" spans="1:8" ht="14.1" customHeight="1" x14ac:dyDescent="0.2">
      <c r="A119" s="1"/>
      <c r="B119" s="1"/>
      <c r="C119" s="2" t="s">
        <v>138</v>
      </c>
      <c r="D119" s="1"/>
      <c r="E119" s="1"/>
      <c r="F119" s="12"/>
      <c r="G119" s="12"/>
      <c r="H119" s="47"/>
    </row>
    <row r="120" spans="1:8" ht="14.1" customHeight="1" x14ac:dyDescent="0.2">
      <c r="A120" s="1"/>
      <c r="B120" s="1"/>
      <c r="C120" s="2" t="s">
        <v>122</v>
      </c>
      <c r="D120" s="1"/>
      <c r="E120" s="1" t="s">
        <v>123</v>
      </c>
      <c r="F120" s="13">
        <v>0</v>
      </c>
      <c r="G120" s="14">
        <v>0</v>
      </c>
      <c r="H120" s="47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47"/>
    </row>
    <row r="122" spans="1:8" ht="14.1" customHeight="1" x14ac:dyDescent="0.2">
      <c r="A122" s="1"/>
      <c r="B122" s="1"/>
      <c r="C122" s="2" t="s">
        <v>139</v>
      </c>
      <c r="D122" s="1"/>
      <c r="E122" s="1"/>
      <c r="F122" s="12"/>
      <c r="G122" s="12"/>
      <c r="H122" s="47"/>
    </row>
    <row r="123" spans="1:8" ht="17.100000000000001" customHeight="1" x14ac:dyDescent="0.2">
      <c r="A123" s="3">
        <v>1</v>
      </c>
      <c r="B123" s="4"/>
      <c r="C123" s="4" t="s">
        <v>140</v>
      </c>
      <c r="D123" s="4"/>
      <c r="E123" s="8"/>
      <c r="F123" s="6">
        <v>1395.6472157999999</v>
      </c>
      <c r="G123" s="7">
        <v>5.2036852000000001E-2</v>
      </c>
      <c r="H123" s="47">
        <v>4.6730752161314033</v>
      </c>
    </row>
    <row r="124" spans="1:8" ht="14.1" customHeight="1" x14ac:dyDescent="0.2">
      <c r="A124" s="1"/>
      <c r="B124" s="1"/>
      <c r="C124" s="2" t="s">
        <v>122</v>
      </c>
      <c r="D124" s="1"/>
      <c r="E124" s="1" t="s">
        <v>123</v>
      </c>
      <c r="F124" s="9">
        <v>1395.6472157999999</v>
      </c>
      <c r="G124" s="10">
        <v>5.2036852000000001E-2</v>
      </c>
      <c r="H124" s="47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47"/>
    </row>
    <row r="126" spans="1:8" ht="14.1" customHeight="1" x14ac:dyDescent="0.2">
      <c r="A126" s="1"/>
      <c r="B126" s="1"/>
      <c r="C126" s="2" t="s">
        <v>141</v>
      </c>
      <c r="D126" s="1"/>
      <c r="E126" s="1"/>
      <c r="F126" s="9">
        <v>1395.6472157999999</v>
      </c>
      <c r="G126" s="10">
        <v>5.2036852000000001E-2</v>
      </c>
      <c r="H126" s="47"/>
    </row>
    <row r="127" spans="1:8" ht="14.1" customHeight="1" x14ac:dyDescent="0.2">
      <c r="A127" s="1"/>
      <c r="B127" s="1"/>
      <c r="C127" s="12"/>
      <c r="D127" s="1"/>
      <c r="E127" s="1"/>
      <c r="F127" s="1"/>
      <c r="G127" s="1"/>
      <c r="H127" s="47"/>
    </row>
    <row r="128" spans="1:8" ht="14.1" customHeight="1" x14ac:dyDescent="0.2">
      <c r="A128" s="1"/>
      <c r="B128" s="1"/>
      <c r="C128" s="2" t="s">
        <v>142</v>
      </c>
      <c r="D128" s="1"/>
      <c r="E128" s="1"/>
      <c r="F128" s="1"/>
      <c r="G128" s="1"/>
      <c r="H128" s="47"/>
    </row>
    <row r="129" spans="1:8" ht="14.1" customHeight="1" x14ac:dyDescent="0.2">
      <c r="A129" s="1"/>
      <c r="B129" s="1"/>
      <c r="C129" s="2" t="s">
        <v>143</v>
      </c>
      <c r="D129" s="1"/>
      <c r="E129" s="1"/>
      <c r="F129" s="1"/>
      <c r="G129" s="1"/>
      <c r="H129" s="47"/>
    </row>
    <row r="130" spans="1:8" ht="14.1" customHeight="1" x14ac:dyDescent="0.2">
      <c r="A130" s="1"/>
      <c r="B130" s="1"/>
      <c r="C130" s="2" t="s">
        <v>122</v>
      </c>
      <c r="D130" s="1"/>
      <c r="E130" s="1" t="s">
        <v>123</v>
      </c>
      <c r="F130" s="13">
        <v>0</v>
      </c>
      <c r="G130" s="14">
        <v>0</v>
      </c>
      <c r="H130" s="47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47"/>
    </row>
    <row r="132" spans="1:8" ht="14.1" customHeight="1" x14ac:dyDescent="0.2">
      <c r="A132" s="1"/>
      <c r="B132" s="1"/>
      <c r="C132" s="2" t="s">
        <v>144</v>
      </c>
      <c r="D132" s="1"/>
      <c r="E132" s="1"/>
      <c r="F132" s="1"/>
      <c r="G132" s="1"/>
      <c r="H132" s="47"/>
    </row>
    <row r="133" spans="1:8" ht="14.1" customHeight="1" x14ac:dyDescent="0.2">
      <c r="A133" s="1"/>
      <c r="B133" s="1"/>
      <c r="C133" s="2" t="s">
        <v>145</v>
      </c>
      <c r="D133" s="1"/>
      <c r="E133" s="1"/>
      <c r="F133" s="1"/>
      <c r="G133" s="1"/>
      <c r="H133" s="47"/>
    </row>
    <row r="134" spans="1:8" ht="14.1" customHeight="1" x14ac:dyDescent="0.2">
      <c r="A134" s="1"/>
      <c r="B134" s="1"/>
      <c r="C134" s="2" t="s">
        <v>122</v>
      </c>
      <c r="D134" s="1"/>
      <c r="E134" s="1" t="s">
        <v>123</v>
      </c>
      <c r="F134" s="13">
        <v>0</v>
      </c>
      <c r="G134" s="14">
        <v>0</v>
      </c>
      <c r="H134" s="47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47"/>
    </row>
    <row r="136" spans="1:8" ht="14.1" customHeight="1" x14ac:dyDescent="0.2">
      <c r="A136" s="1"/>
      <c r="B136" s="1"/>
      <c r="C136" s="11"/>
      <c r="D136" s="1"/>
      <c r="E136" s="1"/>
      <c r="F136" s="12"/>
      <c r="G136" s="12"/>
      <c r="H136" s="47"/>
    </row>
    <row r="137" spans="1:8" ht="24" customHeight="1" x14ac:dyDescent="0.2">
      <c r="A137" s="1"/>
      <c r="B137" s="1"/>
      <c r="C137" s="2" t="s">
        <v>146</v>
      </c>
      <c r="D137" s="1"/>
      <c r="E137" s="1"/>
      <c r="F137" s="12"/>
      <c r="G137" s="12"/>
      <c r="H137" s="47"/>
    </row>
    <row r="138" spans="1:8" ht="14.1" customHeight="1" x14ac:dyDescent="0.2">
      <c r="A138" s="1"/>
      <c r="B138" s="1"/>
      <c r="C138" s="2" t="s">
        <v>122</v>
      </c>
      <c r="D138" s="1"/>
      <c r="E138" s="1" t="s">
        <v>123</v>
      </c>
      <c r="F138" s="13">
        <v>0</v>
      </c>
      <c r="G138" s="14">
        <v>0</v>
      </c>
      <c r="H138" s="47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47"/>
    </row>
    <row r="140" spans="1:8" ht="14.1" customHeight="1" x14ac:dyDescent="0.2">
      <c r="A140" s="1"/>
      <c r="B140" s="4"/>
      <c r="C140" s="4"/>
      <c r="D140" s="2"/>
      <c r="E140" s="1"/>
      <c r="F140" s="4"/>
      <c r="G140" s="8"/>
      <c r="H140" s="47"/>
    </row>
    <row r="141" spans="1:8" ht="18" customHeight="1" x14ac:dyDescent="0.2">
      <c r="A141" s="8"/>
      <c r="B141" s="4"/>
      <c r="C141" s="4" t="s">
        <v>147</v>
      </c>
      <c r="D141" s="4"/>
      <c r="E141" s="8"/>
      <c r="F141" s="6">
        <v>405.18483469</v>
      </c>
      <c r="G141" s="7">
        <v>1.5107359000000001E-2</v>
      </c>
      <c r="H141" s="47"/>
    </row>
    <row r="142" spans="1:8" ht="14.1" customHeight="1" x14ac:dyDescent="0.2">
      <c r="A142" s="11"/>
      <c r="B142" s="11"/>
      <c r="C142" s="2" t="s">
        <v>148</v>
      </c>
      <c r="D142" s="15"/>
      <c r="E142" s="15"/>
      <c r="F142" s="9">
        <v>26820.362166989999</v>
      </c>
      <c r="G142" s="14">
        <v>0.999999996</v>
      </c>
      <c r="H142" s="47"/>
    </row>
    <row r="143" spans="1:8" ht="14.1" customHeight="1" x14ac:dyDescent="0.2">
      <c r="A143" s="16"/>
      <c r="B143" s="16"/>
      <c r="C143" s="16"/>
      <c r="D143" s="17"/>
      <c r="E143" s="17"/>
      <c r="F143" s="17"/>
      <c r="G143" s="17"/>
    </row>
    <row r="144" spans="1:8" ht="14.1" customHeight="1" x14ac:dyDescent="0.2">
      <c r="A144" s="18"/>
      <c r="B144" s="257" t="s">
        <v>150</v>
      </c>
      <c r="C144" s="258"/>
      <c r="D144" s="12" t="s">
        <v>123</v>
      </c>
      <c r="E144" s="21"/>
      <c r="F144" s="20"/>
      <c r="G144" s="20"/>
    </row>
    <row r="145" spans="1:7" ht="29.1" customHeight="1" x14ac:dyDescent="0.2">
      <c r="A145" s="18"/>
      <c r="B145" s="259" t="s">
        <v>151</v>
      </c>
      <c r="C145" s="260"/>
      <c r="D145" s="2" t="s">
        <v>152</v>
      </c>
      <c r="E145" s="21"/>
      <c r="F145" s="20"/>
      <c r="G145" s="20"/>
    </row>
    <row r="146" spans="1:7" ht="17.100000000000001" customHeight="1" x14ac:dyDescent="0.2">
      <c r="A146" s="18"/>
      <c r="B146" s="259" t="s">
        <v>153</v>
      </c>
      <c r="C146" s="260"/>
      <c r="D146" s="2" t="s">
        <v>152</v>
      </c>
      <c r="E146" s="21"/>
      <c r="F146" s="20"/>
      <c r="G146" s="20"/>
    </row>
    <row r="147" spans="1:7" ht="17.100000000000001" customHeight="1" x14ac:dyDescent="0.2">
      <c r="A147" s="18"/>
      <c r="B147" s="259" t="s">
        <v>154</v>
      </c>
      <c r="C147" s="260"/>
      <c r="D147" s="12" t="s">
        <v>123</v>
      </c>
      <c r="E147" s="21"/>
      <c r="F147" s="20"/>
      <c r="G147" s="20"/>
    </row>
    <row r="148" spans="1:7" ht="24" customHeight="1" x14ac:dyDescent="0.2">
      <c r="A148" s="22"/>
      <c r="B148" s="23" t="s">
        <v>123</v>
      </c>
      <c r="C148" s="23" t="s">
        <v>155</v>
      </c>
      <c r="D148" s="23" t="s">
        <v>156</v>
      </c>
      <c r="E148" s="22"/>
      <c r="F148" s="22"/>
      <c r="G148" s="22"/>
    </row>
    <row r="149" spans="1:7" ht="18" customHeight="1" x14ac:dyDescent="0.2">
      <c r="A149" s="22"/>
      <c r="B149" s="23" t="s">
        <v>157</v>
      </c>
      <c r="C149" s="23" t="s">
        <v>158</v>
      </c>
      <c r="D149" s="23" t="s">
        <v>159</v>
      </c>
      <c r="E149" s="22"/>
      <c r="F149" s="22"/>
      <c r="G149" s="22"/>
    </row>
    <row r="150" spans="1:7" ht="17.100000000000001" customHeight="1" x14ac:dyDescent="0.2">
      <c r="A150" s="22"/>
      <c r="B150" s="4" t="s">
        <v>160</v>
      </c>
      <c r="C150" s="24">
        <v>15.365399999999999</v>
      </c>
      <c r="D150" s="24">
        <v>14.871</v>
      </c>
      <c r="E150" s="22"/>
      <c r="F150" s="19"/>
      <c r="G150" s="25"/>
    </row>
    <row r="151" spans="1:7" ht="17.100000000000001" customHeight="1" x14ac:dyDescent="0.2">
      <c r="A151" s="22"/>
      <c r="B151" s="4" t="s">
        <v>1101</v>
      </c>
      <c r="C151" s="24">
        <v>15.365399999999999</v>
      </c>
      <c r="D151" s="24">
        <v>14.871</v>
      </c>
      <c r="E151" s="22"/>
      <c r="F151" s="19"/>
      <c r="G151" s="25"/>
    </row>
    <row r="152" spans="1:7" ht="17.100000000000001" customHeight="1" x14ac:dyDescent="0.2">
      <c r="A152" s="22"/>
      <c r="B152" s="4" t="s">
        <v>161</v>
      </c>
      <c r="C152" s="24">
        <v>14.936299999999999</v>
      </c>
      <c r="D152" s="24">
        <v>14.4504</v>
      </c>
      <c r="E152" s="22"/>
      <c r="F152" s="19"/>
      <c r="G152" s="25"/>
    </row>
    <row r="153" spans="1:7" ht="17.100000000000001" customHeight="1" x14ac:dyDescent="0.2">
      <c r="A153" s="22"/>
      <c r="B153" s="4" t="s">
        <v>1102</v>
      </c>
      <c r="C153" s="24">
        <v>14.936299999999999</v>
      </c>
      <c r="D153" s="24">
        <v>14.4504</v>
      </c>
      <c r="E153" s="22"/>
      <c r="F153" s="19"/>
      <c r="G153" s="25"/>
    </row>
    <row r="154" spans="1:7" ht="14.1" customHeight="1" x14ac:dyDescent="0.2">
      <c r="A154" s="22"/>
      <c r="B154" s="22"/>
      <c r="C154" s="22"/>
      <c r="D154" s="22"/>
      <c r="E154" s="22"/>
      <c r="F154" s="22"/>
      <c r="G154" s="22"/>
    </row>
    <row r="155" spans="1:7" ht="17.100000000000001" customHeight="1" x14ac:dyDescent="0.2">
      <c r="A155" s="22"/>
      <c r="B155" s="259" t="s">
        <v>1103</v>
      </c>
      <c r="C155" s="260"/>
      <c r="D155" s="2" t="s">
        <v>152</v>
      </c>
      <c r="E155" s="22"/>
      <c r="F155" s="22"/>
      <c r="G155" s="22"/>
    </row>
    <row r="156" spans="1:7" ht="18" customHeight="1" x14ac:dyDescent="0.2">
      <c r="A156" s="22"/>
      <c r="B156" s="26"/>
      <c r="C156" s="26"/>
      <c r="D156" s="27"/>
      <c r="E156" s="22"/>
      <c r="F156" s="22"/>
      <c r="G156" s="22"/>
    </row>
    <row r="157" spans="1:7" ht="29.1" customHeight="1" x14ac:dyDescent="0.2">
      <c r="A157" s="22"/>
      <c r="B157" s="259" t="s">
        <v>162</v>
      </c>
      <c r="C157" s="260"/>
      <c r="D157" s="2" t="s">
        <v>152</v>
      </c>
      <c r="E157" s="22"/>
      <c r="F157" s="22"/>
      <c r="G157" s="22"/>
    </row>
    <row r="158" spans="1:7" ht="29.1" customHeight="1" x14ac:dyDescent="0.2">
      <c r="A158" s="22"/>
      <c r="B158" s="259" t="s">
        <v>163</v>
      </c>
      <c r="C158" s="260"/>
      <c r="D158" s="2" t="s">
        <v>152</v>
      </c>
      <c r="E158" s="22"/>
      <c r="F158" s="22"/>
      <c r="G158" s="22"/>
    </row>
    <row r="159" spans="1:7" ht="17.100000000000001" customHeight="1" x14ac:dyDescent="0.2">
      <c r="A159" s="22"/>
      <c r="B159" s="259" t="s">
        <v>164</v>
      </c>
      <c r="C159" s="260"/>
      <c r="D159" s="28">
        <v>0.33842139104615665</v>
      </c>
      <c r="E159" s="22"/>
      <c r="F159" s="19"/>
      <c r="G159" s="25"/>
    </row>
    <row r="160" spans="1:7" ht="17.100000000000001" customHeight="1" x14ac:dyDescent="0.2">
      <c r="A160" s="22"/>
      <c r="B160" s="259" t="s">
        <v>165</v>
      </c>
      <c r="C160" s="260"/>
      <c r="D160" s="2" t="s">
        <v>152</v>
      </c>
      <c r="E160" s="22"/>
      <c r="F160" s="22"/>
      <c r="G160" s="22"/>
    </row>
    <row r="165" spans="10:15" x14ac:dyDescent="0.2">
      <c r="J165" s="148"/>
      <c r="K165" s="148"/>
      <c r="L165" s="148"/>
      <c r="M165" s="148"/>
      <c r="N165" s="148"/>
      <c r="O165" s="148"/>
    </row>
  </sheetData>
  <mergeCells count="13">
    <mergeCell ref="J2:N2"/>
    <mergeCell ref="A1:H1"/>
    <mergeCell ref="A2:H2"/>
    <mergeCell ref="A3:H3"/>
    <mergeCell ref="B144:C144"/>
    <mergeCell ref="B159:C159"/>
    <mergeCell ref="B160:C160"/>
    <mergeCell ref="B145:C145"/>
    <mergeCell ref="B146:C146"/>
    <mergeCell ref="B147:C147"/>
    <mergeCell ref="B155:C155"/>
    <mergeCell ref="B157:C157"/>
    <mergeCell ref="B158:C15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N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491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261</v>
      </c>
      <c r="C7" s="4" t="s">
        <v>262</v>
      </c>
      <c r="D7" s="4" t="s">
        <v>80</v>
      </c>
      <c r="E7" s="5">
        <v>520655</v>
      </c>
      <c r="F7" s="6">
        <v>997.8353075</v>
      </c>
      <c r="G7" s="7">
        <v>3.4728178999999998E-2</v>
      </c>
      <c r="H7" s="47"/>
    </row>
    <row r="8" spans="1:14" ht="17.100000000000001" customHeight="1" x14ac:dyDescent="0.2">
      <c r="A8" s="3">
        <v>2</v>
      </c>
      <c r="B8" s="4" t="s">
        <v>254</v>
      </c>
      <c r="C8" s="4" t="s">
        <v>255</v>
      </c>
      <c r="D8" s="4" t="s">
        <v>28</v>
      </c>
      <c r="E8" s="5">
        <v>76005</v>
      </c>
      <c r="F8" s="6">
        <v>875.99562749999996</v>
      </c>
      <c r="G8" s="7">
        <v>3.0487730000000001E-2</v>
      </c>
      <c r="H8" s="47"/>
    </row>
    <row r="9" spans="1:14" ht="29.1" customHeight="1" x14ac:dyDescent="0.2">
      <c r="A9" s="3">
        <v>3</v>
      </c>
      <c r="B9" s="4" t="s">
        <v>199</v>
      </c>
      <c r="C9" s="4" t="s">
        <v>200</v>
      </c>
      <c r="D9" s="4" t="s">
        <v>201</v>
      </c>
      <c r="E9" s="5">
        <v>22704</v>
      </c>
      <c r="F9" s="6">
        <v>829.05926399999998</v>
      </c>
      <c r="G9" s="7">
        <v>2.8854179000000001E-2</v>
      </c>
      <c r="H9" s="47"/>
    </row>
    <row r="10" spans="1:14" ht="17.100000000000001" customHeight="1" x14ac:dyDescent="0.2">
      <c r="A10" s="3">
        <v>4</v>
      </c>
      <c r="B10" s="4" t="s">
        <v>34</v>
      </c>
      <c r="C10" s="4" t="s">
        <v>35</v>
      </c>
      <c r="D10" s="4" t="s">
        <v>28</v>
      </c>
      <c r="E10" s="5">
        <v>55216</v>
      </c>
      <c r="F10" s="6">
        <v>819.26739999999995</v>
      </c>
      <c r="G10" s="7">
        <v>2.8513388000000001E-2</v>
      </c>
      <c r="H10" s="47"/>
    </row>
    <row r="11" spans="1:14" ht="17.100000000000001" customHeight="1" x14ac:dyDescent="0.2">
      <c r="A11" s="3">
        <v>5</v>
      </c>
      <c r="B11" s="4" t="s">
        <v>86</v>
      </c>
      <c r="C11" s="4" t="s">
        <v>87</v>
      </c>
      <c r="D11" s="4" t="s">
        <v>88</v>
      </c>
      <c r="E11" s="5">
        <v>178568</v>
      </c>
      <c r="F11" s="6">
        <v>774.44941600000004</v>
      </c>
      <c r="G11" s="7">
        <v>2.6953563999999999E-2</v>
      </c>
      <c r="H11" s="47"/>
    </row>
    <row r="12" spans="1:14" ht="17.100000000000001" customHeight="1" x14ac:dyDescent="0.2">
      <c r="A12" s="3">
        <v>6</v>
      </c>
      <c r="B12" s="4" t="s">
        <v>26</v>
      </c>
      <c r="C12" s="4" t="s">
        <v>27</v>
      </c>
      <c r="D12" s="4" t="s">
        <v>28</v>
      </c>
      <c r="E12" s="5">
        <v>43750</v>
      </c>
      <c r="F12" s="6">
        <v>736.33437500000002</v>
      </c>
      <c r="G12" s="7">
        <v>2.5627027E-2</v>
      </c>
      <c r="H12" s="47"/>
    </row>
    <row r="13" spans="1:14" ht="17.100000000000001" customHeight="1" x14ac:dyDescent="0.2">
      <c r="A13" s="3">
        <v>7</v>
      </c>
      <c r="B13" s="4" t="s">
        <v>241</v>
      </c>
      <c r="C13" s="4" t="s">
        <v>242</v>
      </c>
      <c r="D13" s="4" t="s">
        <v>243</v>
      </c>
      <c r="E13" s="5">
        <v>143859</v>
      </c>
      <c r="F13" s="6">
        <v>731.45108549999998</v>
      </c>
      <c r="G13" s="7">
        <v>2.5457071000000001E-2</v>
      </c>
      <c r="H13" s="47"/>
      <c r="J13" s="147" t="s">
        <v>1120</v>
      </c>
    </row>
    <row r="14" spans="1:14" ht="29.1" customHeight="1" x14ac:dyDescent="0.2">
      <c r="A14" s="3">
        <v>8</v>
      </c>
      <c r="B14" s="4" t="s">
        <v>175</v>
      </c>
      <c r="C14" s="4" t="s">
        <v>176</v>
      </c>
      <c r="D14" s="4" t="s">
        <v>88</v>
      </c>
      <c r="E14" s="5">
        <v>212489</v>
      </c>
      <c r="F14" s="6">
        <v>722.78133349999996</v>
      </c>
      <c r="G14" s="7">
        <v>2.5155332999999998E-2</v>
      </c>
      <c r="H14" s="47"/>
    </row>
    <row r="15" spans="1:14" ht="17.100000000000001" customHeight="1" x14ac:dyDescent="0.2">
      <c r="A15" s="3">
        <v>9</v>
      </c>
      <c r="B15" s="4" t="s">
        <v>177</v>
      </c>
      <c r="C15" s="4" t="s">
        <v>178</v>
      </c>
      <c r="D15" s="4" t="s">
        <v>91</v>
      </c>
      <c r="E15" s="5">
        <v>872540</v>
      </c>
      <c r="F15" s="6">
        <v>715.4828</v>
      </c>
      <c r="G15" s="7">
        <v>2.4901319000000002E-2</v>
      </c>
      <c r="H15" s="47"/>
    </row>
    <row r="16" spans="1:14" ht="17.100000000000001" customHeight="1" x14ac:dyDescent="0.2">
      <c r="A16" s="3">
        <v>10</v>
      </c>
      <c r="B16" s="4" t="s">
        <v>185</v>
      </c>
      <c r="C16" s="4" t="s">
        <v>186</v>
      </c>
      <c r="D16" s="4" t="s">
        <v>88</v>
      </c>
      <c r="E16" s="5">
        <v>135633</v>
      </c>
      <c r="F16" s="6">
        <v>713.02268100000003</v>
      </c>
      <c r="G16" s="7">
        <v>2.4815698000000001E-2</v>
      </c>
      <c r="H16" s="47"/>
    </row>
    <row r="17" spans="1:8" ht="17.100000000000001" customHeight="1" x14ac:dyDescent="0.2">
      <c r="A17" s="3">
        <v>11</v>
      </c>
      <c r="B17" s="4" t="s">
        <v>189</v>
      </c>
      <c r="C17" s="4" t="s">
        <v>190</v>
      </c>
      <c r="D17" s="4" t="s">
        <v>191</v>
      </c>
      <c r="E17" s="5">
        <v>129586</v>
      </c>
      <c r="F17" s="6">
        <v>670.80192899999997</v>
      </c>
      <c r="G17" s="7">
        <v>2.3346267E-2</v>
      </c>
      <c r="H17" s="47"/>
    </row>
    <row r="18" spans="1:8" ht="17.100000000000001" customHeight="1" x14ac:dyDescent="0.2">
      <c r="A18" s="3">
        <v>12</v>
      </c>
      <c r="B18" s="4" t="s">
        <v>467</v>
      </c>
      <c r="C18" s="4" t="s">
        <v>468</v>
      </c>
      <c r="D18" s="4" t="s">
        <v>28</v>
      </c>
      <c r="E18" s="5">
        <v>98456</v>
      </c>
      <c r="F18" s="6">
        <v>655.864644</v>
      </c>
      <c r="G18" s="7">
        <v>2.2826396999999998E-2</v>
      </c>
      <c r="H18" s="47"/>
    </row>
    <row r="19" spans="1:8" ht="17.100000000000001" customHeight="1" x14ac:dyDescent="0.2">
      <c r="A19" s="3">
        <v>13</v>
      </c>
      <c r="B19" s="4" t="s">
        <v>263</v>
      </c>
      <c r="C19" s="4" t="s">
        <v>264</v>
      </c>
      <c r="D19" s="4" t="s">
        <v>28</v>
      </c>
      <c r="E19" s="5">
        <v>74947</v>
      </c>
      <c r="F19" s="6">
        <v>627.90596600000003</v>
      </c>
      <c r="G19" s="7">
        <v>2.1853337E-2</v>
      </c>
      <c r="H19" s="47"/>
    </row>
    <row r="20" spans="1:8" ht="17.100000000000001" customHeight="1" x14ac:dyDescent="0.2">
      <c r="A20" s="3">
        <v>14</v>
      </c>
      <c r="B20" s="4" t="s">
        <v>169</v>
      </c>
      <c r="C20" s="4" t="s">
        <v>170</v>
      </c>
      <c r="D20" s="4" t="s">
        <v>171</v>
      </c>
      <c r="E20" s="5">
        <v>56083</v>
      </c>
      <c r="F20" s="6">
        <v>594.64804900000001</v>
      </c>
      <c r="G20" s="7">
        <v>2.0695844000000001E-2</v>
      </c>
      <c r="H20" s="47"/>
    </row>
    <row r="21" spans="1:8" ht="17.100000000000001" customHeight="1" x14ac:dyDescent="0.2">
      <c r="A21" s="3">
        <v>15</v>
      </c>
      <c r="B21" s="4" t="s">
        <v>172</v>
      </c>
      <c r="C21" s="4" t="s">
        <v>173</v>
      </c>
      <c r="D21" s="4" t="s">
        <v>174</v>
      </c>
      <c r="E21" s="5">
        <v>50644</v>
      </c>
      <c r="F21" s="6">
        <v>549.48739999999998</v>
      </c>
      <c r="G21" s="7">
        <v>1.9124095000000001E-2</v>
      </c>
      <c r="H21" s="47"/>
    </row>
    <row r="22" spans="1:8" ht="17.100000000000001" customHeight="1" x14ac:dyDescent="0.2">
      <c r="A22" s="3">
        <v>16</v>
      </c>
      <c r="B22" s="4" t="s">
        <v>207</v>
      </c>
      <c r="C22" s="4" t="s">
        <v>208</v>
      </c>
      <c r="D22" s="4" t="s">
        <v>209</v>
      </c>
      <c r="E22" s="5">
        <v>194334</v>
      </c>
      <c r="F22" s="6">
        <v>540.345687</v>
      </c>
      <c r="G22" s="7">
        <v>1.8805931000000001E-2</v>
      </c>
      <c r="H22" s="47"/>
    </row>
    <row r="23" spans="1:8" ht="17.100000000000001" customHeight="1" x14ac:dyDescent="0.2">
      <c r="A23" s="3">
        <v>17</v>
      </c>
      <c r="B23" s="4" t="s">
        <v>228</v>
      </c>
      <c r="C23" s="4" t="s">
        <v>229</v>
      </c>
      <c r="D23" s="4" t="s">
        <v>191</v>
      </c>
      <c r="E23" s="5">
        <v>15854</v>
      </c>
      <c r="F23" s="6">
        <v>539.321372</v>
      </c>
      <c r="G23" s="7">
        <v>1.8770281E-2</v>
      </c>
      <c r="H23" s="47"/>
    </row>
    <row r="24" spans="1:8" ht="17.100000000000001" customHeight="1" x14ac:dyDescent="0.2">
      <c r="A24" s="3">
        <v>18</v>
      </c>
      <c r="B24" s="4" t="s">
        <v>220</v>
      </c>
      <c r="C24" s="4" t="s">
        <v>221</v>
      </c>
      <c r="D24" s="4" t="s">
        <v>91</v>
      </c>
      <c r="E24" s="5">
        <v>69806</v>
      </c>
      <c r="F24" s="6">
        <v>519.14722200000006</v>
      </c>
      <c r="G24" s="7">
        <v>1.8068150000000002E-2</v>
      </c>
      <c r="H24" s="47"/>
    </row>
    <row r="25" spans="1:8" ht="17.100000000000001" customHeight="1" x14ac:dyDescent="0.2">
      <c r="A25" s="3">
        <v>19</v>
      </c>
      <c r="B25" s="4" t="s">
        <v>192</v>
      </c>
      <c r="C25" s="4" t="s">
        <v>193</v>
      </c>
      <c r="D25" s="4" t="s">
        <v>184</v>
      </c>
      <c r="E25" s="5">
        <v>42481</v>
      </c>
      <c r="F25" s="6">
        <v>512.40582199999994</v>
      </c>
      <c r="G25" s="7">
        <v>1.7833524999999999E-2</v>
      </c>
      <c r="H25" s="47"/>
    </row>
    <row r="26" spans="1:8" ht="17.100000000000001" customHeight="1" x14ac:dyDescent="0.2">
      <c r="A26" s="3">
        <v>20</v>
      </c>
      <c r="B26" s="4" t="s">
        <v>95</v>
      </c>
      <c r="C26" s="4" t="s">
        <v>96</v>
      </c>
      <c r="D26" s="4" t="s">
        <v>97</v>
      </c>
      <c r="E26" s="5">
        <v>114200</v>
      </c>
      <c r="F26" s="6">
        <v>507.50479999999999</v>
      </c>
      <c r="G26" s="7">
        <v>1.7662952999999999E-2</v>
      </c>
      <c r="H26" s="47"/>
    </row>
    <row r="27" spans="1:8" ht="17.100000000000001" customHeight="1" x14ac:dyDescent="0.2">
      <c r="A27" s="3">
        <v>21</v>
      </c>
      <c r="B27" s="4" t="s">
        <v>265</v>
      </c>
      <c r="C27" s="4" t="s">
        <v>266</v>
      </c>
      <c r="D27" s="4" t="s">
        <v>97</v>
      </c>
      <c r="E27" s="5">
        <v>40454</v>
      </c>
      <c r="F27" s="6">
        <v>478.85399799999999</v>
      </c>
      <c r="G27" s="7">
        <v>1.6665803999999999E-2</v>
      </c>
      <c r="H27" s="47"/>
    </row>
    <row r="28" spans="1:8" ht="17.100000000000001" customHeight="1" x14ac:dyDescent="0.2">
      <c r="A28" s="3">
        <v>22</v>
      </c>
      <c r="B28" s="4" t="s">
        <v>182</v>
      </c>
      <c r="C28" s="4" t="s">
        <v>183</v>
      </c>
      <c r="D28" s="4" t="s">
        <v>184</v>
      </c>
      <c r="E28" s="5">
        <v>34737</v>
      </c>
      <c r="F28" s="6">
        <v>454.34259150000003</v>
      </c>
      <c r="G28" s="7">
        <v>1.5812720999999998E-2</v>
      </c>
      <c r="H28" s="47"/>
    </row>
    <row r="29" spans="1:8" ht="29.1" customHeight="1" x14ac:dyDescent="0.2">
      <c r="A29" s="3">
        <v>23</v>
      </c>
      <c r="B29" s="4" t="s">
        <v>469</v>
      </c>
      <c r="C29" s="4" t="s">
        <v>470</v>
      </c>
      <c r="D29" s="4" t="s">
        <v>40</v>
      </c>
      <c r="E29" s="5">
        <v>23625</v>
      </c>
      <c r="F29" s="6">
        <v>442.756125</v>
      </c>
      <c r="G29" s="7">
        <v>1.5409470999999999E-2</v>
      </c>
      <c r="H29" s="47"/>
    </row>
    <row r="30" spans="1:8" ht="29.1" customHeight="1" x14ac:dyDescent="0.2">
      <c r="A30" s="3">
        <v>24</v>
      </c>
      <c r="B30" s="4" t="s">
        <v>179</v>
      </c>
      <c r="C30" s="4" t="s">
        <v>180</v>
      </c>
      <c r="D30" s="4" t="s">
        <v>181</v>
      </c>
      <c r="E30" s="5">
        <v>66434</v>
      </c>
      <c r="F30" s="6">
        <v>407.67224099999999</v>
      </c>
      <c r="G30" s="7">
        <v>1.4188427999999999E-2</v>
      </c>
      <c r="H30" s="47"/>
    </row>
    <row r="31" spans="1:8" ht="17.100000000000001" customHeight="1" x14ac:dyDescent="0.2">
      <c r="A31" s="3">
        <v>25</v>
      </c>
      <c r="B31" s="4" t="s">
        <v>471</v>
      </c>
      <c r="C31" s="4" t="s">
        <v>472</v>
      </c>
      <c r="D31" s="4" t="s">
        <v>88</v>
      </c>
      <c r="E31" s="5">
        <v>42388</v>
      </c>
      <c r="F31" s="6">
        <v>391.15646400000003</v>
      </c>
      <c r="G31" s="7">
        <v>1.3613620999999999E-2</v>
      </c>
      <c r="H31" s="47"/>
    </row>
    <row r="32" spans="1:8" ht="29.1" customHeight="1" x14ac:dyDescent="0.2">
      <c r="A32" s="3">
        <v>26</v>
      </c>
      <c r="B32" s="4" t="s">
        <v>230</v>
      </c>
      <c r="C32" s="4" t="s">
        <v>231</v>
      </c>
      <c r="D32" s="4" t="s">
        <v>204</v>
      </c>
      <c r="E32" s="5">
        <v>105982</v>
      </c>
      <c r="F32" s="6">
        <v>389.00693100000001</v>
      </c>
      <c r="G32" s="7">
        <v>1.353881E-2</v>
      </c>
      <c r="H32" s="47"/>
    </row>
    <row r="33" spans="1:8" ht="17.100000000000001" customHeight="1" x14ac:dyDescent="0.2">
      <c r="A33" s="3">
        <v>27</v>
      </c>
      <c r="B33" s="4" t="s">
        <v>187</v>
      </c>
      <c r="C33" s="4" t="s">
        <v>188</v>
      </c>
      <c r="D33" s="4" t="s">
        <v>91</v>
      </c>
      <c r="E33" s="5">
        <v>90471</v>
      </c>
      <c r="F33" s="6">
        <v>385.72310850000002</v>
      </c>
      <c r="G33" s="7">
        <v>1.3424521E-2</v>
      </c>
      <c r="H33" s="47"/>
    </row>
    <row r="34" spans="1:8" ht="17.100000000000001" customHeight="1" x14ac:dyDescent="0.2">
      <c r="A34" s="3">
        <v>28</v>
      </c>
      <c r="B34" s="4" t="s">
        <v>334</v>
      </c>
      <c r="C34" s="4" t="s">
        <v>335</v>
      </c>
      <c r="D34" s="4" t="s">
        <v>94</v>
      </c>
      <c r="E34" s="5">
        <v>8487</v>
      </c>
      <c r="F34" s="6">
        <v>370.87341300000003</v>
      </c>
      <c r="G34" s="7">
        <v>1.2907699999999999E-2</v>
      </c>
      <c r="H34" s="47"/>
    </row>
    <row r="35" spans="1:8" ht="17.100000000000001" customHeight="1" x14ac:dyDescent="0.2">
      <c r="A35" s="3">
        <v>29</v>
      </c>
      <c r="B35" s="4" t="s">
        <v>267</v>
      </c>
      <c r="C35" s="4" t="s">
        <v>268</v>
      </c>
      <c r="D35" s="4" t="s">
        <v>171</v>
      </c>
      <c r="E35" s="5">
        <v>46872</v>
      </c>
      <c r="F35" s="6">
        <v>354.65698800000001</v>
      </c>
      <c r="G35" s="7">
        <v>1.2343310999999999E-2</v>
      </c>
      <c r="H35" s="47"/>
    </row>
    <row r="36" spans="1:8" ht="29.1" customHeight="1" x14ac:dyDescent="0.2">
      <c r="A36" s="3">
        <v>30</v>
      </c>
      <c r="B36" s="4" t="s">
        <v>52</v>
      </c>
      <c r="C36" s="4" t="s">
        <v>53</v>
      </c>
      <c r="D36" s="4" t="s">
        <v>25</v>
      </c>
      <c r="E36" s="5">
        <v>16781</v>
      </c>
      <c r="F36" s="6">
        <v>353.90289949999999</v>
      </c>
      <c r="G36" s="7">
        <v>1.2317066E-2</v>
      </c>
      <c r="H36" s="47"/>
    </row>
    <row r="37" spans="1:8" ht="29.1" customHeight="1" x14ac:dyDescent="0.2">
      <c r="A37" s="3">
        <v>31</v>
      </c>
      <c r="B37" s="4" t="s">
        <v>275</v>
      </c>
      <c r="C37" s="4" t="s">
        <v>276</v>
      </c>
      <c r="D37" s="4" t="s">
        <v>238</v>
      </c>
      <c r="E37" s="5">
        <v>65469</v>
      </c>
      <c r="F37" s="6">
        <v>347.378514</v>
      </c>
      <c r="G37" s="7">
        <v>1.2089994E-2</v>
      </c>
      <c r="H37" s="47"/>
    </row>
    <row r="38" spans="1:8" ht="17.100000000000001" customHeight="1" x14ac:dyDescent="0.2">
      <c r="A38" s="3">
        <v>32</v>
      </c>
      <c r="B38" s="4" t="s">
        <v>473</v>
      </c>
      <c r="C38" s="4" t="s">
        <v>474</v>
      </c>
      <c r="D38" s="4" t="s">
        <v>45</v>
      </c>
      <c r="E38" s="5">
        <v>50312</v>
      </c>
      <c r="F38" s="6">
        <v>339.63115599999998</v>
      </c>
      <c r="G38" s="7">
        <v>1.1820359000000001E-2</v>
      </c>
      <c r="H38" s="47"/>
    </row>
    <row r="39" spans="1:8" ht="29.1" customHeight="1" x14ac:dyDescent="0.2">
      <c r="A39" s="3">
        <v>33</v>
      </c>
      <c r="B39" s="4" t="s">
        <v>196</v>
      </c>
      <c r="C39" s="4" t="s">
        <v>197</v>
      </c>
      <c r="D39" s="4" t="s">
        <v>198</v>
      </c>
      <c r="E39" s="5">
        <v>26634</v>
      </c>
      <c r="F39" s="6">
        <v>338.58472499999999</v>
      </c>
      <c r="G39" s="7">
        <v>1.178394E-2</v>
      </c>
      <c r="H39" s="47"/>
    </row>
    <row r="40" spans="1:8" ht="17.100000000000001" customHeight="1" x14ac:dyDescent="0.2">
      <c r="A40" s="3">
        <v>34</v>
      </c>
      <c r="B40" s="4" t="s">
        <v>194</v>
      </c>
      <c r="C40" s="4" t="s">
        <v>195</v>
      </c>
      <c r="D40" s="4" t="s">
        <v>174</v>
      </c>
      <c r="E40" s="5">
        <v>67450</v>
      </c>
      <c r="F40" s="6">
        <v>335.42885000000001</v>
      </c>
      <c r="G40" s="7">
        <v>1.1674103999999999E-2</v>
      </c>
      <c r="H40" s="47"/>
    </row>
    <row r="41" spans="1:8" ht="17.100000000000001" customHeight="1" x14ac:dyDescent="0.2">
      <c r="A41" s="3">
        <v>35</v>
      </c>
      <c r="B41" s="4" t="s">
        <v>32</v>
      </c>
      <c r="C41" s="4" t="s">
        <v>33</v>
      </c>
      <c r="D41" s="4" t="s">
        <v>28</v>
      </c>
      <c r="E41" s="5">
        <v>9208</v>
      </c>
      <c r="F41" s="6">
        <v>325.30482799999999</v>
      </c>
      <c r="G41" s="7">
        <v>1.1321751999999999E-2</v>
      </c>
      <c r="H41" s="47"/>
    </row>
    <row r="42" spans="1:8" ht="29.1" customHeight="1" x14ac:dyDescent="0.2">
      <c r="A42" s="3">
        <v>36</v>
      </c>
      <c r="B42" s="4" t="s">
        <v>202</v>
      </c>
      <c r="C42" s="4" t="s">
        <v>203</v>
      </c>
      <c r="D42" s="4" t="s">
        <v>204</v>
      </c>
      <c r="E42" s="5">
        <v>69938</v>
      </c>
      <c r="F42" s="6">
        <v>325.00188600000001</v>
      </c>
      <c r="G42" s="7">
        <v>1.1311208999999999E-2</v>
      </c>
      <c r="H42" s="47"/>
    </row>
    <row r="43" spans="1:8" ht="29.1" customHeight="1" x14ac:dyDescent="0.2">
      <c r="A43" s="3">
        <v>37</v>
      </c>
      <c r="B43" s="4" t="s">
        <v>224</v>
      </c>
      <c r="C43" s="4" t="s">
        <v>225</v>
      </c>
      <c r="D43" s="4" t="s">
        <v>181</v>
      </c>
      <c r="E43" s="5">
        <v>70561</v>
      </c>
      <c r="F43" s="6">
        <v>320.27637900000002</v>
      </c>
      <c r="G43" s="7">
        <v>1.1146745E-2</v>
      </c>
      <c r="H43" s="47"/>
    </row>
    <row r="44" spans="1:8" ht="17.100000000000001" customHeight="1" x14ac:dyDescent="0.2">
      <c r="A44" s="3">
        <v>38</v>
      </c>
      <c r="B44" s="4" t="s">
        <v>271</v>
      </c>
      <c r="C44" s="4" t="s">
        <v>272</v>
      </c>
      <c r="D44" s="4" t="s">
        <v>94</v>
      </c>
      <c r="E44" s="5">
        <v>17190</v>
      </c>
      <c r="F44" s="6">
        <v>316.51947000000001</v>
      </c>
      <c r="G44" s="7">
        <v>1.1015990999999999E-2</v>
      </c>
      <c r="H44" s="47"/>
    </row>
    <row r="45" spans="1:8" ht="17.100000000000001" customHeight="1" x14ac:dyDescent="0.2">
      <c r="A45" s="3">
        <v>39</v>
      </c>
      <c r="B45" s="4" t="s">
        <v>477</v>
      </c>
      <c r="C45" s="4" t="s">
        <v>478</v>
      </c>
      <c r="D45" s="4" t="s">
        <v>91</v>
      </c>
      <c r="E45" s="5">
        <v>30109</v>
      </c>
      <c r="F45" s="6">
        <v>305.84722199999999</v>
      </c>
      <c r="G45" s="7">
        <v>1.0644559E-2</v>
      </c>
      <c r="H45" s="47"/>
    </row>
    <row r="46" spans="1:8" ht="17.100000000000001" customHeight="1" x14ac:dyDescent="0.2">
      <c r="A46" s="3">
        <v>40</v>
      </c>
      <c r="B46" s="4" t="s">
        <v>222</v>
      </c>
      <c r="C46" s="4" t="s">
        <v>223</v>
      </c>
      <c r="D46" s="4" t="s">
        <v>13</v>
      </c>
      <c r="E46" s="5">
        <v>81720</v>
      </c>
      <c r="F46" s="6">
        <v>291.49524000000002</v>
      </c>
      <c r="G46" s="7">
        <v>1.0145059999999999E-2</v>
      </c>
      <c r="H46" s="47"/>
    </row>
    <row r="47" spans="1:8" ht="17.100000000000001" customHeight="1" x14ac:dyDescent="0.2">
      <c r="A47" s="3">
        <v>41</v>
      </c>
      <c r="B47" s="4" t="s">
        <v>475</v>
      </c>
      <c r="C47" s="4" t="s">
        <v>476</v>
      </c>
      <c r="D47" s="4" t="s">
        <v>28</v>
      </c>
      <c r="E47" s="5">
        <v>40294</v>
      </c>
      <c r="F47" s="6">
        <v>288.86768599999999</v>
      </c>
      <c r="G47" s="7">
        <v>1.0053612E-2</v>
      </c>
      <c r="H47" s="47"/>
    </row>
    <row r="48" spans="1:8" ht="17.100000000000001" customHeight="1" x14ac:dyDescent="0.2">
      <c r="A48" s="3">
        <v>42</v>
      </c>
      <c r="B48" s="4" t="s">
        <v>210</v>
      </c>
      <c r="C48" s="4" t="s">
        <v>211</v>
      </c>
      <c r="D48" s="4" t="s">
        <v>16</v>
      </c>
      <c r="E48" s="5">
        <v>128260</v>
      </c>
      <c r="F48" s="6">
        <v>278.58071999999999</v>
      </c>
      <c r="G48" s="7">
        <v>9.6955889999999992E-3</v>
      </c>
      <c r="H48" s="47"/>
    </row>
    <row r="49" spans="1:8" ht="29.1" customHeight="1" x14ac:dyDescent="0.2">
      <c r="A49" s="3">
        <v>43</v>
      </c>
      <c r="B49" s="4" t="s">
        <v>390</v>
      </c>
      <c r="C49" s="4" t="s">
        <v>391</v>
      </c>
      <c r="D49" s="4" t="s">
        <v>201</v>
      </c>
      <c r="E49" s="5">
        <v>45555</v>
      </c>
      <c r="F49" s="6">
        <v>277.93105500000001</v>
      </c>
      <c r="G49" s="7">
        <v>9.672979E-3</v>
      </c>
      <c r="H49" s="47"/>
    </row>
    <row r="50" spans="1:8" ht="17.100000000000001" customHeight="1" x14ac:dyDescent="0.2">
      <c r="A50" s="3">
        <v>44</v>
      </c>
      <c r="B50" s="4" t="s">
        <v>226</v>
      </c>
      <c r="C50" s="4" t="s">
        <v>227</v>
      </c>
      <c r="D50" s="4" t="s">
        <v>13</v>
      </c>
      <c r="E50" s="5">
        <v>369322</v>
      </c>
      <c r="F50" s="6">
        <v>270.159043</v>
      </c>
      <c r="G50" s="7">
        <v>9.4024850000000004E-3</v>
      </c>
      <c r="H50" s="47"/>
    </row>
    <row r="51" spans="1:8" ht="29.1" customHeight="1" x14ac:dyDescent="0.2">
      <c r="A51" s="3">
        <v>45</v>
      </c>
      <c r="B51" s="4" t="s">
        <v>236</v>
      </c>
      <c r="C51" s="4" t="s">
        <v>237</v>
      </c>
      <c r="D51" s="4" t="s">
        <v>238</v>
      </c>
      <c r="E51" s="5">
        <v>68454</v>
      </c>
      <c r="F51" s="6">
        <v>262.48686300000003</v>
      </c>
      <c r="G51" s="7">
        <v>9.1354660000000001E-3</v>
      </c>
      <c r="H51" s="47"/>
    </row>
    <row r="52" spans="1:8" ht="29.1" customHeight="1" x14ac:dyDescent="0.2">
      <c r="A52" s="3">
        <v>46</v>
      </c>
      <c r="B52" s="4" t="s">
        <v>205</v>
      </c>
      <c r="C52" s="4" t="s">
        <v>206</v>
      </c>
      <c r="D52" s="4" t="s">
        <v>204</v>
      </c>
      <c r="E52" s="5">
        <v>16433</v>
      </c>
      <c r="F52" s="6">
        <v>258.43357450000002</v>
      </c>
      <c r="G52" s="7">
        <v>8.9943980000000007E-3</v>
      </c>
      <c r="H52" s="47"/>
    </row>
    <row r="53" spans="1:8" ht="29.1" customHeight="1" x14ac:dyDescent="0.2">
      <c r="A53" s="3">
        <v>47</v>
      </c>
      <c r="B53" s="4" t="s">
        <v>212</v>
      </c>
      <c r="C53" s="4" t="s">
        <v>213</v>
      </c>
      <c r="D53" s="4" t="s">
        <v>214</v>
      </c>
      <c r="E53" s="5">
        <v>274546</v>
      </c>
      <c r="F53" s="6">
        <v>258.07324</v>
      </c>
      <c r="G53" s="7">
        <v>8.9818569999999993E-3</v>
      </c>
      <c r="H53" s="47"/>
    </row>
    <row r="54" spans="1:8" ht="29.1" customHeight="1" x14ac:dyDescent="0.2">
      <c r="A54" s="3">
        <v>48</v>
      </c>
      <c r="B54" s="4" t="s">
        <v>290</v>
      </c>
      <c r="C54" s="4" t="s">
        <v>291</v>
      </c>
      <c r="D54" s="4" t="s">
        <v>292</v>
      </c>
      <c r="E54" s="5">
        <v>81931</v>
      </c>
      <c r="F54" s="6">
        <v>251.77396300000001</v>
      </c>
      <c r="G54" s="7">
        <v>8.7626200000000005E-3</v>
      </c>
      <c r="H54" s="47"/>
    </row>
    <row r="55" spans="1:8" ht="17.100000000000001" customHeight="1" x14ac:dyDescent="0.2">
      <c r="A55" s="3">
        <v>49</v>
      </c>
      <c r="B55" s="4" t="s">
        <v>479</v>
      </c>
      <c r="C55" s="4" t="s">
        <v>480</v>
      </c>
      <c r="D55" s="4" t="s">
        <v>88</v>
      </c>
      <c r="E55" s="5">
        <v>27439</v>
      </c>
      <c r="F55" s="6">
        <v>247.9799625</v>
      </c>
      <c r="G55" s="7">
        <v>8.6305749999999997E-3</v>
      </c>
      <c r="H55" s="47"/>
    </row>
    <row r="56" spans="1:8" ht="17.100000000000001" customHeight="1" x14ac:dyDescent="0.2">
      <c r="A56" s="3">
        <v>50</v>
      </c>
      <c r="B56" s="4" t="s">
        <v>269</v>
      </c>
      <c r="C56" s="4" t="s">
        <v>270</v>
      </c>
      <c r="D56" s="4" t="s">
        <v>91</v>
      </c>
      <c r="E56" s="5">
        <v>503774</v>
      </c>
      <c r="F56" s="6">
        <v>247.60492099999999</v>
      </c>
      <c r="G56" s="7">
        <v>8.6175220000000007E-3</v>
      </c>
      <c r="H56" s="47"/>
    </row>
    <row r="57" spans="1:8" ht="53.1" customHeight="1" x14ac:dyDescent="0.2">
      <c r="A57" s="3">
        <v>51</v>
      </c>
      <c r="B57" s="4" t="s">
        <v>422</v>
      </c>
      <c r="C57" s="4" t="s">
        <v>423</v>
      </c>
      <c r="D57" s="4" t="s">
        <v>62</v>
      </c>
      <c r="E57" s="5">
        <v>116365</v>
      </c>
      <c r="F57" s="6">
        <v>242.03919999999999</v>
      </c>
      <c r="G57" s="7">
        <v>8.4238160000000006E-3</v>
      </c>
      <c r="H57" s="47"/>
    </row>
    <row r="58" spans="1:8" ht="17.100000000000001" customHeight="1" x14ac:dyDescent="0.2">
      <c r="A58" s="3">
        <v>52</v>
      </c>
      <c r="B58" s="4" t="s">
        <v>483</v>
      </c>
      <c r="C58" s="4" t="s">
        <v>484</v>
      </c>
      <c r="D58" s="4" t="s">
        <v>303</v>
      </c>
      <c r="E58" s="5">
        <v>31437</v>
      </c>
      <c r="F58" s="6">
        <v>233.0581995</v>
      </c>
      <c r="G58" s="7">
        <v>8.1112449999999996E-3</v>
      </c>
      <c r="H58" s="47"/>
    </row>
    <row r="59" spans="1:8" ht="17.100000000000001" customHeight="1" x14ac:dyDescent="0.2">
      <c r="A59" s="3">
        <v>53</v>
      </c>
      <c r="B59" s="4" t="s">
        <v>215</v>
      </c>
      <c r="C59" s="4" t="s">
        <v>216</v>
      </c>
      <c r="D59" s="4" t="s">
        <v>217</v>
      </c>
      <c r="E59" s="5">
        <v>86680</v>
      </c>
      <c r="F59" s="6">
        <v>229.4853</v>
      </c>
      <c r="G59" s="7">
        <v>7.9868960000000003E-3</v>
      </c>
      <c r="H59" s="47"/>
    </row>
    <row r="60" spans="1:8" ht="17.100000000000001" customHeight="1" x14ac:dyDescent="0.2">
      <c r="A60" s="3">
        <v>54</v>
      </c>
      <c r="B60" s="4" t="s">
        <v>481</v>
      </c>
      <c r="C60" s="4" t="s">
        <v>482</v>
      </c>
      <c r="D60" s="4" t="s">
        <v>28</v>
      </c>
      <c r="E60" s="5">
        <v>45673</v>
      </c>
      <c r="F60" s="6">
        <v>229.050095</v>
      </c>
      <c r="G60" s="7">
        <v>7.9717490000000002E-3</v>
      </c>
      <c r="H60" s="47"/>
    </row>
    <row r="61" spans="1:8" ht="29.1" customHeight="1" x14ac:dyDescent="0.2">
      <c r="A61" s="3">
        <v>55</v>
      </c>
      <c r="B61" s="4" t="s">
        <v>218</v>
      </c>
      <c r="C61" s="4" t="s">
        <v>219</v>
      </c>
      <c r="D61" s="4" t="s">
        <v>201</v>
      </c>
      <c r="E61" s="5">
        <v>24941</v>
      </c>
      <c r="F61" s="6">
        <v>217.7474005</v>
      </c>
      <c r="G61" s="7">
        <v>7.5783760000000004E-3</v>
      </c>
      <c r="H61" s="47"/>
    </row>
    <row r="62" spans="1:8" ht="41.1" customHeight="1" x14ac:dyDescent="0.2">
      <c r="A62" s="3">
        <v>56</v>
      </c>
      <c r="B62" s="4" t="s">
        <v>283</v>
      </c>
      <c r="C62" s="4" t="s">
        <v>284</v>
      </c>
      <c r="D62" s="4" t="s">
        <v>285</v>
      </c>
      <c r="E62" s="5">
        <v>30413</v>
      </c>
      <c r="F62" s="6">
        <v>217.51377600000001</v>
      </c>
      <c r="G62" s="7">
        <v>7.5702449999999998E-3</v>
      </c>
      <c r="H62" s="47"/>
    </row>
    <row r="63" spans="1:8" ht="17.100000000000001" customHeight="1" x14ac:dyDescent="0.2">
      <c r="A63" s="3">
        <v>57</v>
      </c>
      <c r="B63" s="4" t="s">
        <v>281</v>
      </c>
      <c r="C63" s="4" t="s">
        <v>282</v>
      </c>
      <c r="D63" s="4" t="s">
        <v>94</v>
      </c>
      <c r="E63" s="5">
        <v>33763</v>
      </c>
      <c r="F63" s="6">
        <v>211.7446545</v>
      </c>
      <c r="G63" s="7">
        <v>7.3694590000000001E-3</v>
      </c>
      <c r="H63" s="47"/>
    </row>
    <row r="64" spans="1:8" ht="17.100000000000001" customHeight="1" x14ac:dyDescent="0.2">
      <c r="A64" s="3">
        <v>58</v>
      </c>
      <c r="B64" s="4" t="s">
        <v>485</v>
      </c>
      <c r="C64" s="4" t="s">
        <v>486</v>
      </c>
      <c r="D64" s="4" t="s">
        <v>174</v>
      </c>
      <c r="E64" s="5">
        <v>363090</v>
      </c>
      <c r="F64" s="6">
        <v>202.24113</v>
      </c>
      <c r="G64" s="7">
        <v>7.0387030000000003E-3</v>
      </c>
      <c r="H64" s="47"/>
    </row>
    <row r="65" spans="1:8" ht="17.100000000000001" customHeight="1" x14ac:dyDescent="0.2">
      <c r="A65" s="3">
        <v>59</v>
      </c>
      <c r="B65" s="4" t="s">
        <v>487</v>
      </c>
      <c r="C65" s="4" t="s">
        <v>488</v>
      </c>
      <c r="D65" s="4" t="s">
        <v>28</v>
      </c>
      <c r="E65" s="5">
        <v>8037</v>
      </c>
      <c r="F65" s="6">
        <v>191.06360100000001</v>
      </c>
      <c r="G65" s="7">
        <v>6.6496860000000001E-3</v>
      </c>
      <c r="H65" s="47"/>
    </row>
    <row r="66" spans="1:8" ht="17.100000000000001" customHeight="1" x14ac:dyDescent="0.2">
      <c r="A66" s="3">
        <v>60</v>
      </c>
      <c r="B66" s="4" t="s">
        <v>246</v>
      </c>
      <c r="C66" s="4" t="s">
        <v>247</v>
      </c>
      <c r="D66" s="4" t="s">
        <v>94</v>
      </c>
      <c r="E66" s="5">
        <v>36696</v>
      </c>
      <c r="F66" s="6">
        <v>184.26896400000001</v>
      </c>
      <c r="G66" s="7">
        <v>6.4132080000000001E-3</v>
      </c>
      <c r="H66" s="47"/>
    </row>
    <row r="67" spans="1:8" ht="17.100000000000001" customHeight="1" x14ac:dyDescent="0.2">
      <c r="A67" s="3">
        <v>61</v>
      </c>
      <c r="B67" s="4" t="s">
        <v>244</v>
      </c>
      <c r="C67" s="4" t="s">
        <v>245</v>
      </c>
      <c r="D67" s="4" t="s">
        <v>88</v>
      </c>
      <c r="E67" s="5">
        <v>92539</v>
      </c>
      <c r="F67" s="6">
        <v>175.54648299999999</v>
      </c>
      <c r="G67" s="7">
        <v>6.1096350000000004E-3</v>
      </c>
      <c r="H67" s="47"/>
    </row>
    <row r="68" spans="1:8" ht="17.100000000000001" customHeight="1" x14ac:dyDescent="0.2">
      <c r="A68" s="3">
        <v>62</v>
      </c>
      <c r="B68" s="4" t="s">
        <v>239</v>
      </c>
      <c r="C68" s="4" t="s">
        <v>240</v>
      </c>
      <c r="D68" s="4" t="s">
        <v>88</v>
      </c>
      <c r="E68" s="5">
        <v>27062</v>
      </c>
      <c r="F68" s="6">
        <v>155.105853</v>
      </c>
      <c r="G68" s="7">
        <v>5.398229E-3</v>
      </c>
      <c r="H68" s="47"/>
    </row>
    <row r="69" spans="1:8" ht="17.100000000000001" customHeight="1" x14ac:dyDescent="0.2">
      <c r="A69" s="3">
        <v>63</v>
      </c>
      <c r="B69" s="4" t="s">
        <v>234</v>
      </c>
      <c r="C69" s="4" t="s">
        <v>235</v>
      </c>
      <c r="D69" s="4" t="s">
        <v>114</v>
      </c>
      <c r="E69" s="5">
        <v>22179</v>
      </c>
      <c r="F69" s="6">
        <v>149.53081800000001</v>
      </c>
      <c r="G69" s="7">
        <v>5.2041989999999996E-3</v>
      </c>
      <c r="H69" s="47"/>
    </row>
    <row r="70" spans="1:8" ht="29.1" customHeight="1" x14ac:dyDescent="0.2">
      <c r="A70" s="3">
        <v>64</v>
      </c>
      <c r="B70" s="4" t="s">
        <v>256</v>
      </c>
      <c r="C70" s="4" t="s">
        <v>257</v>
      </c>
      <c r="D70" s="4" t="s">
        <v>88</v>
      </c>
      <c r="E70" s="5">
        <v>9707</v>
      </c>
      <c r="F70" s="6">
        <v>143.78493750000001</v>
      </c>
      <c r="G70" s="7">
        <v>5.004222E-3</v>
      </c>
      <c r="H70" s="47"/>
    </row>
    <row r="71" spans="1:8" ht="29.1" customHeight="1" x14ac:dyDescent="0.2">
      <c r="A71" s="3">
        <v>65</v>
      </c>
      <c r="B71" s="4" t="s">
        <v>250</v>
      </c>
      <c r="C71" s="4" t="s">
        <v>251</v>
      </c>
      <c r="D71" s="4" t="s">
        <v>204</v>
      </c>
      <c r="E71" s="5">
        <v>3290</v>
      </c>
      <c r="F71" s="6">
        <v>137.87896499999999</v>
      </c>
      <c r="G71" s="7">
        <v>4.7986729999999998E-3</v>
      </c>
      <c r="H71" s="47"/>
    </row>
    <row r="72" spans="1:8" ht="29.1" customHeight="1" x14ac:dyDescent="0.2">
      <c r="A72" s="3">
        <v>66</v>
      </c>
      <c r="B72" s="4" t="s">
        <v>277</v>
      </c>
      <c r="C72" s="4" t="s">
        <v>278</v>
      </c>
      <c r="D72" s="4" t="s">
        <v>201</v>
      </c>
      <c r="E72" s="5">
        <v>25075</v>
      </c>
      <c r="F72" s="6">
        <v>117.8901125</v>
      </c>
      <c r="G72" s="7">
        <v>4.1029910000000003E-3</v>
      </c>
      <c r="H72" s="47"/>
    </row>
    <row r="73" spans="1:8" ht="29.1" customHeight="1" x14ac:dyDescent="0.2">
      <c r="A73" s="3">
        <v>67</v>
      </c>
      <c r="B73" s="4" t="s">
        <v>286</v>
      </c>
      <c r="C73" s="4" t="s">
        <v>287</v>
      </c>
      <c r="D73" s="4" t="s">
        <v>204</v>
      </c>
      <c r="E73" s="5">
        <v>53264</v>
      </c>
      <c r="F73" s="6">
        <v>116.435104</v>
      </c>
      <c r="G73" s="7">
        <v>4.052351E-3</v>
      </c>
      <c r="H73" s="47"/>
    </row>
    <row r="74" spans="1:8" ht="17.100000000000001" customHeight="1" x14ac:dyDescent="0.2">
      <c r="A74" s="3">
        <v>68</v>
      </c>
      <c r="B74" s="4" t="s">
        <v>252</v>
      </c>
      <c r="C74" s="4" t="s">
        <v>253</v>
      </c>
      <c r="D74" s="4" t="s">
        <v>97</v>
      </c>
      <c r="E74" s="5">
        <v>172875</v>
      </c>
      <c r="F74" s="6">
        <v>112.8009375</v>
      </c>
      <c r="G74" s="7">
        <v>3.9258690000000002E-3</v>
      </c>
      <c r="H74" s="47"/>
    </row>
    <row r="75" spans="1:8" ht="17.100000000000001" customHeight="1" x14ac:dyDescent="0.2">
      <c r="A75" s="3">
        <v>69</v>
      </c>
      <c r="B75" s="4" t="s">
        <v>489</v>
      </c>
      <c r="C75" s="4" t="s">
        <v>490</v>
      </c>
      <c r="D75" s="4" t="s">
        <v>312</v>
      </c>
      <c r="E75" s="5">
        <v>15493</v>
      </c>
      <c r="F75" s="6">
        <v>91.734053000000003</v>
      </c>
      <c r="G75" s="7">
        <v>3.1926680000000001E-3</v>
      </c>
      <c r="H75" s="47"/>
    </row>
    <row r="76" spans="1:8" ht="17.100000000000001" customHeight="1" x14ac:dyDescent="0.2">
      <c r="A76" s="3">
        <v>70</v>
      </c>
      <c r="B76" s="4" t="s">
        <v>288</v>
      </c>
      <c r="C76" s="4" t="s">
        <v>289</v>
      </c>
      <c r="D76" s="4" t="s">
        <v>19</v>
      </c>
      <c r="E76" s="5">
        <v>37568</v>
      </c>
      <c r="F76" s="6">
        <v>72.543807999999999</v>
      </c>
      <c r="G76" s="7">
        <v>2.5247799999999999E-3</v>
      </c>
      <c r="H76" s="47"/>
    </row>
    <row r="77" spans="1:8" ht="29.1" customHeight="1" x14ac:dyDescent="0.2">
      <c r="A77" s="3">
        <v>71</v>
      </c>
      <c r="B77" s="4" t="s">
        <v>258</v>
      </c>
      <c r="C77" s="4" t="s">
        <v>259</v>
      </c>
      <c r="D77" s="4" t="s">
        <v>201</v>
      </c>
      <c r="E77" s="5">
        <v>9638</v>
      </c>
      <c r="F77" s="6">
        <v>51.365721000000001</v>
      </c>
      <c r="G77" s="7">
        <v>1.787708E-3</v>
      </c>
      <c r="H77" s="47"/>
    </row>
    <row r="78" spans="1:8" ht="14.1" customHeight="1" x14ac:dyDescent="0.2">
      <c r="A78" s="1"/>
      <c r="B78" s="1"/>
      <c r="C78" s="2" t="s">
        <v>122</v>
      </c>
      <c r="D78" s="1"/>
      <c r="E78" s="1" t="s">
        <v>123</v>
      </c>
      <c r="F78" s="9">
        <v>27032.245351500002</v>
      </c>
      <c r="G78" s="10">
        <v>0.94081724499999997</v>
      </c>
      <c r="H78" s="47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124</v>
      </c>
      <c r="D80" s="1"/>
      <c r="E80" s="1"/>
      <c r="F80" s="1"/>
      <c r="G80" s="1"/>
      <c r="H80" s="47"/>
    </row>
    <row r="81" spans="1:8" ht="14.1" customHeight="1" x14ac:dyDescent="0.2">
      <c r="A81" s="1"/>
      <c r="B81" s="1"/>
      <c r="C81" s="2" t="s">
        <v>122</v>
      </c>
      <c r="D81" s="1"/>
      <c r="E81" s="1" t="s">
        <v>123</v>
      </c>
      <c r="F81" s="13">
        <v>0</v>
      </c>
      <c r="G81" s="14">
        <v>0</v>
      </c>
      <c r="H81" s="47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125</v>
      </c>
      <c r="D83" s="1"/>
      <c r="E83" s="1"/>
      <c r="F83" s="1"/>
      <c r="G83" s="1"/>
      <c r="H83" s="47"/>
    </row>
    <row r="84" spans="1:8" ht="14.1" customHeight="1" x14ac:dyDescent="0.2">
      <c r="A84" s="1"/>
      <c r="B84" s="1"/>
      <c r="C84" s="2" t="s">
        <v>122</v>
      </c>
      <c r="D84" s="1"/>
      <c r="E84" s="1" t="s">
        <v>123</v>
      </c>
      <c r="F84" s="13">
        <v>0</v>
      </c>
      <c r="G84" s="14">
        <v>0</v>
      </c>
      <c r="H84" s="47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126</v>
      </c>
      <c r="D86" s="1"/>
      <c r="E86" s="1"/>
      <c r="F86" s="1"/>
      <c r="G86" s="1"/>
      <c r="H86" s="47"/>
    </row>
    <row r="87" spans="1:8" ht="14.1" customHeight="1" x14ac:dyDescent="0.2">
      <c r="A87" s="1"/>
      <c r="B87" s="1"/>
      <c r="C87" s="2" t="s">
        <v>122</v>
      </c>
      <c r="D87" s="1"/>
      <c r="E87" s="1" t="s">
        <v>123</v>
      </c>
      <c r="F87" s="13">
        <v>0</v>
      </c>
      <c r="G87" s="14">
        <v>0</v>
      </c>
      <c r="H87" s="47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127</v>
      </c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122</v>
      </c>
      <c r="D90" s="1"/>
      <c r="E90" s="1" t="s">
        <v>123</v>
      </c>
      <c r="F90" s="13">
        <v>0</v>
      </c>
      <c r="G90" s="14">
        <v>0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128</v>
      </c>
      <c r="D92" s="1"/>
      <c r="E92" s="1"/>
      <c r="F92" s="12"/>
      <c r="G92" s="12"/>
      <c r="H92" s="47"/>
    </row>
    <row r="93" spans="1:8" ht="14.1" customHeight="1" x14ac:dyDescent="0.2">
      <c r="A93" s="1"/>
      <c r="B93" s="1"/>
      <c r="C93" s="2" t="s">
        <v>122</v>
      </c>
      <c r="D93" s="1"/>
      <c r="E93" s="1" t="s">
        <v>123</v>
      </c>
      <c r="F93" s="13">
        <v>0</v>
      </c>
      <c r="G93" s="14">
        <v>0</v>
      </c>
      <c r="H93" s="47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47"/>
    </row>
    <row r="95" spans="1:8" ht="18" customHeight="1" x14ac:dyDescent="0.2">
      <c r="A95" s="1"/>
      <c r="B95" s="1"/>
      <c r="C95" s="2" t="s">
        <v>129</v>
      </c>
      <c r="D95" s="1"/>
      <c r="E95" s="1"/>
      <c r="F95" s="9">
        <v>27032.245351500002</v>
      </c>
      <c r="G95" s="10">
        <v>0.94081724499999997</v>
      </c>
      <c r="H95" s="47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47"/>
    </row>
    <row r="97" spans="1:8" ht="14.1" customHeight="1" x14ac:dyDescent="0.2">
      <c r="A97" s="1"/>
      <c r="B97" s="1"/>
      <c r="C97" s="2" t="s">
        <v>130</v>
      </c>
      <c r="D97" s="1"/>
      <c r="E97" s="1"/>
      <c r="F97" s="12"/>
      <c r="G97" s="12"/>
      <c r="H97" s="47"/>
    </row>
    <row r="98" spans="1:8" ht="24" customHeight="1" x14ac:dyDescent="0.2">
      <c r="A98" s="1"/>
      <c r="B98" s="1"/>
      <c r="C98" s="2" t="s">
        <v>10</v>
      </c>
      <c r="D98" s="1"/>
      <c r="E98" s="1"/>
      <c r="F98" s="12"/>
      <c r="G98" s="12"/>
      <c r="H98" s="47"/>
    </row>
    <row r="99" spans="1:8" ht="14.1" customHeight="1" x14ac:dyDescent="0.2">
      <c r="A99" s="1"/>
      <c r="B99" s="1"/>
      <c r="C99" s="2" t="s">
        <v>122</v>
      </c>
      <c r="D99" s="1"/>
      <c r="E99" s="1" t="s">
        <v>123</v>
      </c>
      <c r="F99" s="13">
        <v>0</v>
      </c>
      <c r="G99" s="14">
        <v>0</v>
      </c>
      <c r="H99" s="47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47"/>
    </row>
    <row r="101" spans="1:8" ht="14.1" customHeight="1" x14ac:dyDescent="0.2">
      <c r="A101" s="1"/>
      <c r="B101" s="1"/>
      <c r="C101" s="2" t="s">
        <v>131</v>
      </c>
      <c r="D101" s="1"/>
      <c r="E101" s="1"/>
      <c r="F101" s="1"/>
      <c r="G101" s="1"/>
      <c r="H101" s="47"/>
    </row>
    <row r="102" spans="1:8" ht="14.1" customHeight="1" x14ac:dyDescent="0.2">
      <c r="A102" s="1"/>
      <c r="B102" s="1"/>
      <c r="C102" s="2" t="s">
        <v>122</v>
      </c>
      <c r="D102" s="1"/>
      <c r="E102" s="1" t="s">
        <v>123</v>
      </c>
      <c r="F102" s="13">
        <v>0</v>
      </c>
      <c r="G102" s="14">
        <v>0</v>
      </c>
      <c r="H102" s="47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2" t="s">
        <v>132</v>
      </c>
      <c r="D104" s="1"/>
      <c r="E104" s="1"/>
      <c r="F104" s="1"/>
      <c r="G104" s="1"/>
      <c r="H104" s="47"/>
    </row>
    <row r="105" spans="1:8" ht="14.1" customHeight="1" x14ac:dyDescent="0.2">
      <c r="A105" s="1"/>
      <c r="B105" s="1"/>
      <c r="C105" s="2" t="s">
        <v>122</v>
      </c>
      <c r="D105" s="1"/>
      <c r="E105" s="1" t="s">
        <v>123</v>
      </c>
      <c r="F105" s="13">
        <v>0</v>
      </c>
      <c r="G105" s="14">
        <v>0</v>
      </c>
      <c r="H105" s="47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47"/>
    </row>
    <row r="107" spans="1:8" ht="14.1" customHeight="1" x14ac:dyDescent="0.2">
      <c r="A107" s="1"/>
      <c r="B107" s="1"/>
      <c r="C107" s="2" t="s">
        <v>133</v>
      </c>
      <c r="D107" s="1"/>
      <c r="E107" s="1"/>
      <c r="F107" s="12"/>
      <c r="G107" s="12"/>
      <c r="H107" s="47"/>
    </row>
    <row r="108" spans="1:8" ht="14.1" customHeight="1" x14ac:dyDescent="0.2">
      <c r="A108" s="1"/>
      <c r="B108" s="1"/>
      <c r="C108" s="2" t="s">
        <v>122</v>
      </c>
      <c r="D108" s="1"/>
      <c r="E108" s="1" t="s">
        <v>123</v>
      </c>
      <c r="F108" s="13">
        <v>0</v>
      </c>
      <c r="G108" s="14">
        <v>0</v>
      </c>
      <c r="H108" s="47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2" t="s">
        <v>134</v>
      </c>
      <c r="D110" s="1"/>
      <c r="E110" s="1"/>
      <c r="F110" s="9">
        <v>0</v>
      </c>
      <c r="G110" s="10">
        <v>0</v>
      </c>
      <c r="H110" s="47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47"/>
    </row>
    <row r="112" spans="1:8" ht="14.1" customHeight="1" x14ac:dyDescent="0.2">
      <c r="A112" s="1"/>
      <c r="B112" s="1"/>
      <c r="C112" s="2" t="s">
        <v>135</v>
      </c>
      <c r="D112" s="1"/>
      <c r="E112" s="1"/>
      <c r="F112" s="12"/>
      <c r="G112" s="12"/>
      <c r="H112" s="47"/>
    </row>
    <row r="113" spans="1:8" ht="14.1" customHeight="1" x14ac:dyDescent="0.2">
      <c r="A113" s="1"/>
      <c r="B113" s="1"/>
      <c r="C113" s="2" t="s">
        <v>136</v>
      </c>
      <c r="D113" s="1"/>
      <c r="E113" s="1"/>
      <c r="F113" s="12"/>
      <c r="G113" s="12"/>
      <c r="H113" s="47"/>
    </row>
    <row r="114" spans="1:8" ht="14.1" customHeight="1" x14ac:dyDescent="0.2">
      <c r="A114" s="1"/>
      <c r="B114" s="1"/>
      <c r="C114" s="2" t="s">
        <v>122</v>
      </c>
      <c r="D114" s="1"/>
      <c r="E114" s="1" t="s">
        <v>123</v>
      </c>
      <c r="F114" s="13">
        <v>0</v>
      </c>
      <c r="G114" s="14">
        <v>0</v>
      </c>
      <c r="H114" s="47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47"/>
    </row>
    <row r="116" spans="1:8" ht="14.1" customHeight="1" x14ac:dyDescent="0.2">
      <c r="A116" s="1"/>
      <c r="B116" s="1"/>
      <c r="C116" s="2" t="s">
        <v>137</v>
      </c>
      <c r="D116" s="1"/>
      <c r="E116" s="1"/>
      <c r="F116" s="12"/>
      <c r="G116" s="12"/>
      <c r="H116" s="47"/>
    </row>
    <row r="117" spans="1:8" ht="14.1" customHeight="1" x14ac:dyDescent="0.2">
      <c r="A117" s="1"/>
      <c r="B117" s="1"/>
      <c r="C117" s="2" t="s">
        <v>122</v>
      </c>
      <c r="D117" s="1"/>
      <c r="E117" s="1" t="s">
        <v>123</v>
      </c>
      <c r="F117" s="13">
        <v>0</v>
      </c>
      <c r="G117" s="14">
        <v>0</v>
      </c>
      <c r="H117" s="47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47"/>
    </row>
    <row r="119" spans="1:8" ht="14.1" customHeight="1" x14ac:dyDescent="0.2">
      <c r="A119" s="1"/>
      <c r="B119" s="1"/>
      <c r="C119" s="2" t="s">
        <v>138</v>
      </c>
      <c r="D119" s="1"/>
      <c r="E119" s="1"/>
      <c r="F119" s="12"/>
      <c r="G119" s="12"/>
      <c r="H119" s="47"/>
    </row>
    <row r="120" spans="1:8" ht="14.1" customHeight="1" x14ac:dyDescent="0.2">
      <c r="A120" s="1"/>
      <c r="B120" s="1"/>
      <c r="C120" s="2" t="s">
        <v>122</v>
      </c>
      <c r="D120" s="1"/>
      <c r="E120" s="1" t="s">
        <v>123</v>
      </c>
      <c r="F120" s="13">
        <v>0</v>
      </c>
      <c r="G120" s="14">
        <v>0</v>
      </c>
      <c r="H120" s="47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47"/>
    </row>
    <row r="122" spans="1:8" ht="14.1" customHeight="1" x14ac:dyDescent="0.2">
      <c r="A122" s="1"/>
      <c r="B122" s="1"/>
      <c r="C122" s="2" t="s">
        <v>139</v>
      </c>
      <c r="D122" s="1"/>
      <c r="E122" s="1"/>
      <c r="F122" s="12"/>
      <c r="G122" s="12"/>
      <c r="H122" s="47"/>
    </row>
    <row r="123" spans="1:8" ht="17.100000000000001" customHeight="1" x14ac:dyDescent="0.2">
      <c r="A123" s="3">
        <v>1</v>
      </c>
      <c r="B123" s="4"/>
      <c r="C123" s="4" t="s">
        <v>140</v>
      </c>
      <c r="D123" s="4"/>
      <c r="E123" s="8"/>
      <c r="F123" s="6">
        <v>1330.8938063999999</v>
      </c>
      <c r="G123" s="7">
        <v>4.6319787000000001E-2</v>
      </c>
      <c r="H123" s="47">
        <v>4.6730752161314033</v>
      </c>
    </row>
    <row r="124" spans="1:8" ht="14.1" customHeight="1" x14ac:dyDescent="0.2">
      <c r="A124" s="1"/>
      <c r="B124" s="1"/>
      <c r="C124" s="2" t="s">
        <v>122</v>
      </c>
      <c r="D124" s="1"/>
      <c r="E124" s="1" t="s">
        <v>123</v>
      </c>
      <c r="F124" s="9">
        <v>1330.8938063999999</v>
      </c>
      <c r="G124" s="10">
        <v>4.6319787000000001E-2</v>
      </c>
      <c r="H124" s="47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47"/>
    </row>
    <row r="126" spans="1:8" ht="14.1" customHeight="1" x14ac:dyDescent="0.2">
      <c r="A126" s="1"/>
      <c r="B126" s="1"/>
      <c r="C126" s="2" t="s">
        <v>141</v>
      </c>
      <c r="D126" s="1"/>
      <c r="E126" s="1"/>
      <c r="F126" s="9">
        <v>1330.8938063999999</v>
      </c>
      <c r="G126" s="10">
        <v>4.6319787000000001E-2</v>
      </c>
      <c r="H126" s="47"/>
    </row>
    <row r="127" spans="1:8" ht="14.1" customHeight="1" x14ac:dyDescent="0.2">
      <c r="A127" s="1"/>
      <c r="B127" s="1"/>
      <c r="C127" s="12"/>
      <c r="D127" s="1"/>
      <c r="E127" s="1"/>
      <c r="F127" s="1"/>
      <c r="G127" s="1"/>
      <c r="H127" s="47"/>
    </row>
    <row r="128" spans="1:8" ht="14.1" customHeight="1" x14ac:dyDescent="0.2">
      <c r="A128" s="1"/>
      <c r="B128" s="1"/>
      <c r="C128" s="2" t="s">
        <v>142</v>
      </c>
      <c r="D128" s="1"/>
      <c r="E128" s="1"/>
      <c r="F128" s="1"/>
      <c r="G128" s="1"/>
      <c r="H128" s="47"/>
    </row>
    <row r="129" spans="1:8" ht="14.1" customHeight="1" x14ac:dyDescent="0.2">
      <c r="A129" s="1"/>
      <c r="B129" s="1"/>
      <c r="C129" s="2" t="s">
        <v>143</v>
      </c>
      <c r="D129" s="1"/>
      <c r="E129" s="1"/>
      <c r="F129" s="1"/>
      <c r="G129" s="1"/>
      <c r="H129" s="47"/>
    </row>
    <row r="130" spans="1:8" ht="14.1" customHeight="1" x14ac:dyDescent="0.2">
      <c r="A130" s="1"/>
      <c r="B130" s="1"/>
      <c r="C130" s="2" t="s">
        <v>122</v>
      </c>
      <c r="D130" s="1"/>
      <c r="E130" s="1" t="s">
        <v>123</v>
      </c>
      <c r="F130" s="13">
        <v>0</v>
      </c>
      <c r="G130" s="14">
        <v>0</v>
      </c>
      <c r="H130" s="47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47"/>
    </row>
    <row r="132" spans="1:8" ht="14.1" customHeight="1" x14ac:dyDescent="0.2">
      <c r="A132" s="1"/>
      <c r="B132" s="1"/>
      <c r="C132" s="2" t="s">
        <v>144</v>
      </c>
      <c r="D132" s="1"/>
      <c r="E132" s="1"/>
      <c r="F132" s="1"/>
      <c r="G132" s="1"/>
      <c r="H132" s="47"/>
    </row>
    <row r="133" spans="1:8" ht="14.1" customHeight="1" x14ac:dyDescent="0.2">
      <c r="A133" s="1"/>
      <c r="B133" s="1"/>
      <c r="C133" s="2" t="s">
        <v>145</v>
      </c>
      <c r="D133" s="1"/>
      <c r="E133" s="1"/>
      <c r="F133" s="1"/>
      <c r="G133" s="1"/>
      <c r="H133" s="47"/>
    </row>
    <row r="134" spans="1:8" ht="14.1" customHeight="1" x14ac:dyDescent="0.2">
      <c r="A134" s="1"/>
      <c r="B134" s="1"/>
      <c r="C134" s="2" t="s">
        <v>122</v>
      </c>
      <c r="D134" s="1"/>
      <c r="E134" s="1" t="s">
        <v>123</v>
      </c>
      <c r="F134" s="13">
        <v>0</v>
      </c>
      <c r="G134" s="14">
        <v>0</v>
      </c>
      <c r="H134" s="47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47"/>
    </row>
    <row r="136" spans="1:8" ht="14.1" customHeight="1" x14ac:dyDescent="0.2">
      <c r="A136" s="1"/>
      <c r="B136" s="1"/>
      <c r="C136" s="11"/>
      <c r="D136" s="1"/>
      <c r="E136" s="1"/>
      <c r="F136" s="12"/>
      <c r="G136" s="12"/>
      <c r="H136" s="47"/>
    </row>
    <row r="137" spans="1:8" ht="24" customHeight="1" x14ac:dyDescent="0.2">
      <c r="A137" s="1"/>
      <c r="B137" s="1"/>
      <c r="C137" s="2" t="s">
        <v>146</v>
      </c>
      <c r="D137" s="1"/>
      <c r="E137" s="1"/>
      <c r="F137" s="12"/>
      <c r="G137" s="12"/>
      <c r="H137" s="47"/>
    </row>
    <row r="138" spans="1:8" ht="14.1" customHeight="1" x14ac:dyDescent="0.2">
      <c r="A138" s="1"/>
      <c r="B138" s="1"/>
      <c r="C138" s="2" t="s">
        <v>122</v>
      </c>
      <c r="D138" s="1"/>
      <c r="E138" s="1" t="s">
        <v>123</v>
      </c>
      <c r="F138" s="13">
        <v>0</v>
      </c>
      <c r="G138" s="14">
        <v>0</v>
      </c>
      <c r="H138" s="47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47"/>
    </row>
    <row r="140" spans="1:8" ht="14.1" customHeight="1" x14ac:dyDescent="0.2">
      <c r="A140" s="1"/>
      <c r="B140" s="4"/>
      <c r="C140" s="4"/>
      <c r="D140" s="2"/>
      <c r="E140" s="1"/>
      <c r="F140" s="4"/>
      <c r="G140" s="8"/>
      <c r="H140" s="47"/>
    </row>
    <row r="141" spans="1:8" ht="18" customHeight="1" x14ac:dyDescent="0.2">
      <c r="A141" s="8"/>
      <c r="B141" s="4"/>
      <c r="C141" s="4" t="s">
        <v>147</v>
      </c>
      <c r="D141" s="4"/>
      <c r="E141" s="8"/>
      <c r="F141" s="6">
        <v>369.58826259</v>
      </c>
      <c r="G141" s="7">
        <v>1.2862972E-2</v>
      </c>
      <c r="H141" s="47"/>
    </row>
    <row r="142" spans="1:8" ht="14.1" customHeight="1" x14ac:dyDescent="0.2">
      <c r="A142" s="11"/>
      <c r="B142" s="11"/>
      <c r="C142" s="2" t="s">
        <v>148</v>
      </c>
      <c r="D142" s="15"/>
      <c r="E142" s="15"/>
      <c r="F142" s="9">
        <v>28732.727420490002</v>
      </c>
      <c r="G142" s="14">
        <v>1.0000000039999999</v>
      </c>
      <c r="H142" s="47"/>
    </row>
    <row r="143" spans="1:8" ht="14.1" customHeight="1" x14ac:dyDescent="0.2">
      <c r="A143" s="18"/>
      <c r="B143" s="18"/>
      <c r="C143" s="18"/>
      <c r="D143" s="20"/>
      <c r="E143" s="20"/>
      <c r="F143" s="20"/>
      <c r="G143" s="20"/>
    </row>
    <row r="144" spans="1:8" ht="14.1" customHeight="1" x14ac:dyDescent="0.2">
      <c r="A144" s="18"/>
      <c r="B144" s="257" t="s">
        <v>150</v>
      </c>
      <c r="C144" s="258"/>
      <c r="D144" s="12" t="s">
        <v>123</v>
      </c>
      <c r="E144" s="21"/>
      <c r="F144" s="20"/>
      <c r="G144" s="20"/>
    </row>
    <row r="145" spans="1:7" ht="29.1" customHeight="1" x14ac:dyDescent="0.2">
      <c r="A145" s="18"/>
      <c r="B145" s="259" t="s">
        <v>151</v>
      </c>
      <c r="C145" s="260"/>
      <c r="D145" s="2" t="s">
        <v>152</v>
      </c>
      <c r="E145" s="21"/>
      <c r="F145" s="20"/>
      <c r="G145" s="20"/>
    </row>
    <row r="146" spans="1:7" ht="17.100000000000001" customHeight="1" x14ac:dyDescent="0.2">
      <c r="A146" s="18"/>
      <c r="B146" s="259" t="s">
        <v>153</v>
      </c>
      <c r="C146" s="260"/>
      <c r="D146" s="2" t="s">
        <v>152</v>
      </c>
      <c r="E146" s="21"/>
      <c r="F146" s="20"/>
      <c r="G146" s="20"/>
    </row>
    <row r="147" spans="1:7" ht="17.100000000000001" customHeight="1" x14ac:dyDescent="0.2">
      <c r="A147" s="18"/>
      <c r="B147" s="259" t="s">
        <v>154</v>
      </c>
      <c r="C147" s="260"/>
      <c r="D147" s="12" t="s">
        <v>123</v>
      </c>
      <c r="E147" s="21"/>
      <c r="F147" s="20"/>
      <c r="G147" s="20"/>
    </row>
    <row r="148" spans="1:7" ht="24" customHeight="1" x14ac:dyDescent="0.2">
      <c r="A148" s="22"/>
      <c r="B148" s="23" t="s">
        <v>123</v>
      </c>
      <c r="C148" s="23" t="s">
        <v>155</v>
      </c>
      <c r="D148" s="23" t="s">
        <v>156</v>
      </c>
      <c r="E148" s="22"/>
      <c r="F148" s="22"/>
      <c r="G148" s="22"/>
    </row>
    <row r="149" spans="1:7" ht="18" customHeight="1" x14ac:dyDescent="0.2">
      <c r="A149" s="22"/>
      <c r="B149" s="23" t="s">
        <v>157</v>
      </c>
      <c r="C149" s="23" t="s">
        <v>158</v>
      </c>
      <c r="D149" s="23" t="s">
        <v>159</v>
      </c>
      <c r="E149" s="22"/>
      <c r="F149" s="22"/>
      <c r="G149" s="22"/>
    </row>
    <row r="150" spans="1:7" ht="17.100000000000001" customHeight="1" x14ac:dyDescent="0.2">
      <c r="A150" s="22"/>
      <c r="B150" s="4" t="s">
        <v>160</v>
      </c>
      <c r="C150" s="24">
        <v>15.7501</v>
      </c>
      <c r="D150" s="24">
        <v>15.273999999999999</v>
      </c>
      <c r="E150" s="22"/>
      <c r="F150" s="19"/>
      <c r="G150" s="25"/>
    </row>
    <row r="151" spans="1:7" ht="17.100000000000001" customHeight="1" x14ac:dyDescent="0.2">
      <c r="A151" s="22"/>
      <c r="B151" s="4" t="s">
        <v>1101</v>
      </c>
      <c r="C151" s="24">
        <v>15.75</v>
      </c>
      <c r="D151" s="24">
        <v>15.273999999999999</v>
      </c>
      <c r="E151" s="22"/>
      <c r="F151" s="19"/>
      <c r="G151" s="25"/>
    </row>
    <row r="152" spans="1:7" ht="17.100000000000001" customHeight="1" x14ac:dyDescent="0.2">
      <c r="A152" s="22"/>
      <c r="B152" s="4" t="s">
        <v>161</v>
      </c>
      <c r="C152" s="24">
        <v>15.127800000000001</v>
      </c>
      <c r="D152" s="24">
        <v>14.661199999999999</v>
      </c>
      <c r="E152" s="22"/>
      <c r="F152" s="19"/>
      <c r="G152" s="25"/>
    </row>
    <row r="153" spans="1:7" ht="17.100000000000001" customHeight="1" x14ac:dyDescent="0.2">
      <c r="A153" s="22"/>
      <c r="B153" s="4" t="s">
        <v>1102</v>
      </c>
      <c r="C153" s="24">
        <v>15.127800000000001</v>
      </c>
      <c r="D153" s="24">
        <v>14.661199999999999</v>
      </c>
      <c r="E153" s="22"/>
      <c r="F153" s="19"/>
      <c r="G153" s="25"/>
    </row>
    <row r="154" spans="1:7" ht="14.1" customHeight="1" x14ac:dyDescent="0.2">
      <c r="A154" s="22"/>
      <c r="B154" s="22"/>
      <c r="C154" s="22"/>
      <c r="D154" s="22"/>
      <c r="E154" s="22"/>
      <c r="F154" s="22"/>
      <c r="G154" s="22"/>
    </row>
    <row r="155" spans="1:7" ht="17.100000000000001" customHeight="1" x14ac:dyDescent="0.2">
      <c r="A155" s="22"/>
      <c r="B155" s="259" t="s">
        <v>1103</v>
      </c>
      <c r="C155" s="260"/>
      <c r="D155" s="2" t="s">
        <v>152</v>
      </c>
      <c r="E155" s="22"/>
      <c r="F155" s="22"/>
      <c r="G155" s="22"/>
    </row>
    <row r="156" spans="1:7" ht="18" customHeight="1" x14ac:dyDescent="0.2">
      <c r="A156" s="22"/>
      <c r="B156" s="26"/>
      <c r="C156" s="26"/>
      <c r="D156" s="27"/>
      <c r="E156" s="22"/>
      <c r="F156" s="22"/>
      <c r="G156" s="22"/>
    </row>
    <row r="157" spans="1:7" ht="29.1" customHeight="1" x14ac:dyDescent="0.2">
      <c r="A157" s="22"/>
      <c r="B157" s="259" t="s">
        <v>162</v>
      </c>
      <c r="C157" s="260"/>
      <c r="D157" s="2" t="s">
        <v>152</v>
      </c>
      <c r="E157" s="22"/>
      <c r="F157" s="22"/>
      <c r="G157" s="22"/>
    </row>
    <row r="158" spans="1:7" ht="29.1" customHeight="1" x14ac:dyDescent="0.2">
      <c r="A158" s="22"/>
      <c r="B158" s="259" t="s">
        <v>163</v>
      </c>
      <c r="C158" s="260"/>
      <c r="D158" s="2" t="s">
        <v>152</v>
      </c>
      <c r="E158" s="22"/>
      <c r="F158" s="22"/>
      <c r="G158" s="22"/>
    </row>
    <row r="159" spans="1:7" ht="17.100000000000001" customHeight="1" x14ac:dyDescent="0.2">
      <c r="A159" s="22"/>
      <c r="B159" s="259" t="s">
        <v>164</v>
      </c>
      <c r="C159" s="260"/>
      <c r="D159" s="28">
        <v>0.30426784222221243</v>
      </c>
      <c r="E159" s="22"/>
      <c r="F159" s="19"/>
      <c r="G159" s="25"/>
    </row>
    <row r="160" spans="1:7" ht="17.100000000000001" customHeight="1" x14ac:dyDescent="0.2">
      <c r="A160" s="22"/>
      <c r="B160" s="259" t="s">
        <v>165</v>
      </c>
      <c r="C160" s="260"/>
      <c r="D160" s="2" t="s">
        <v>152</v>
      </c>
      <c r="E160" s="22"/>
      <c r="F160" s="22"/>
      <c r="G160" s="22"/>
    </row>
    <row r="165" spans="10:14" x14ac:dyDescent="0.2">
      <c r="J165" s="148"/>
      <c r="K165" s="148"/>
      <c r="L165" s="148"/>
      <c r="M165" s="148"/>
      <c r="N165" s="148"/>
    </row>
  </sheetData>
  <mergeCells count="13">
    <mergeCell ref="J2:N2"/>
    <mergeCell ref="A1:H1"/>
    <mergeCell ref="A2:H2"/>
    <mergeCell ref="A3:H3"/>
    <mergeCell ref="B144:C144"/>
    <mergeCell ref="B159:C159"/>
    <mergeCell ref="B160:C160"/>
    <mergeCell ref="B145:C145"/>
    <mergeCell ref="B146:C146"/>
    <mergeCell ref="B147:C147"/>
    <mergeCell ref="B155:C155"/>
    <mergeCell ref="B157:C157"/>
    <mergeCell ref="B158:C15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6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492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261</v>
      </c>
      <c r="C7" s="4" t="s">
        <v>262</v>
      </c>
      <c r="D7" s="4" t="s">
        <v>80</v>
      </c>
      <c r="E7" s="5">
        <v>464194</v>
      </c>
      <c r="F7" s="6">
        <v>889.62780099999998</v>
      </c>
      <c r="G7" s="7">
        <v>3.4643872999999999E-2</v>
      </c>
      <c r="H7" s="47"/>
    </row>
    <row r="8" spans="1:14" ht="17.100000000000001" customHeight="1" x14ac:dyDescent="0.2">
      <c r="A8" s="3">
        <v>2</v>
      </c>
      <c r="B8" s="4" t="s">
        <v>254</v>
      </c>
      <c r="C8" s="4" t="s">
        <v>255</v>
      </c>
      <c r="D8" s="4" t="s">
        <v>28</v>
      </c>
      <c r="E8" s="5">
        <v>67926</v>
      </c>
      <c r="F8" s="6">
        <v>782.88111300000003</v>
      </c>
      <c r="G8" s="7">
        <v>3.0486945000000001E-2</v>
      </c>
      <c r="H8" s="47"/>
    </row>
    <row r="9" spans="1:14" ht="29.1" customHeight="1" x14ac:dyDescent="0.2">
      <c r="A9" s="3">
        <v>3</v>
      </c>
      <c r="B9" s="4" t="s">
        <v>199</v>
      </c>
      <c r="C9" s="4" t="s">
        <v>200</v>
      </c>
      <c r="D9" s="4" t="s">
        <v>201</v>
      </c>
      <c r="E9" s="5">
        <v>20245</v>
      </c>
      <c r="F9" s="6">
        <v>739.26642000000004</v>
      </c>
      <c r="G9" s="7">
        <v>2.8788502000000001E-2</v>
      </c>
      <c r="H9" s="47"/>
    </row>
    <row r="10" spans="1:14" ht="17.100000000000001" customHeight="1" x14ac:dyDescent="0.2">
      <c r="A10" s="3">
        <v>4</v>
      </c>
      <c r="B10" s="4" t="s">
        <v>34</v>
      </c>
      <c r="C10" s="4" t="s">
        <v>35</v>
      </c>
      <c r="D10" s="4" t="s">
        <v>28</v>
      </c>
      <c r="E10" s="5">
        <v>48732</v>
      </c>
      <c r="F10" s="6">
        <v>723.06105000000002</v>
      </c>
      <c r="G10" s="7">
        <v>2.8157432999999999E-2</v>
      </c>
      <c r="H10" s="47"/>
    </row>
    <row r="11" spans="1:14" ht="17.100000000000001" customHeight="1" x14ac:dyDescent="0.2">
      <c r="A11" s="3">
        <v>5</v>
      </c>
      <c r="B11" s="4" t="s">
        <v>86</v>
      </c>
      <c r="C11" s="4" t="s">
        <v>87</v>
      </c>
      <c r="D11" s="4" t="s">
        <v>88</v>
      </c>
      <c r="E11" s="5">
        <v>159683</v>
      </c>
      <c r="F11" s="6">
        <v>692.54517099999998</v>
      </c>
      <c r="G11" s="7">
        <v>2.6969084000000001E-2</v>
      </c>
      <c r="H11" s="47"/>
    </row>
    <row r="12" spans="1:14" ht="17.100000000000001" customHeight="1" x14ac:dyDescent="0.2">
      <c r="A12" s="3">
        <v>6</v>
      </c>
      <c r="B12" s="4" t="s">
        <v>26</v>
      </c>
      <c r="C12" s="4" t="s">
        <v>27</v>
      </c>
      <c r="D12" s="4" t="s">
        <v>28</v>
      </c>
      <c r="E12" s="5">
        <v>39496</v>
      </c>
      <c r="F12" s="6">
        <v>664.73742800000002</v>
      </c>
      <c r="G12" s="7">
        <v>2.5886196E-2</v>
      </c>
      <c r="H12" s="47"/>
    </row>
    <row r="13" spans="1:14" ht="29.1" customHeight="1" x14ac:dyDescent="0.2">
      <c r="A13" s="3">
        <v>7</v>
      </c>
      <c r="B13" s="4" t="s">
        <v>175</v>
      </c>
      <c r="C13" s="4" t="s">
        <v>176</v>
      </c>
      <c r="D13" s="4" t="s">
        <v>88</v>
      </c>
      <c r="E13" s="5">
        <v>192533</v>
      </c>
      <c r="F13" s="6">
        <v>654.90099950000001</v>
      </c>
      <c r="G13" s="7">
        <v>2.5503145000000001E-2</v>
      </c>
      <c r="H13" s="47"/>
      <c r="J13" s="147" t="s">
        <v>1120</v>
      </c>
    </row>
    <row r="14" spans="1:14" ht="17.100000000000001" customHeight="1" x14ac:dyDescent="0.2">
      <c r="A14" s="3">
        <v>8</v>
      </c>
      <c r="B14" s="4" t="s">
        <v>241</v>
      </c>
      <c r="C14" s="4" t="s">
        <v>242</v>
      </c>
      <c r="D14" s="4" t="s">
        <v>243</v>
      </c>
      <c r="E14" s="5">
        <v>128698</v>
      </c>
      <c r="F14" s="6">
        <v>654.36498099999994</v>
      </c>
      <c r="G14" s="7">
        <v>2.5482272E-2</v>
      </c>
      <c r="H14" s="47"/>
    </row>
    <row r="15" spans="1:14" ht="17.100000000000001" customHeight="1" x14ac:dyDescent="0.2">
      <c r="A15" s="3">
        <v>9</v>
      </c>
      <c r="B15" s="4" t="s">
        <v>177</v>
      </c>
      <c r="C15" s="4" t="s">
        <v>178</v>
      </c>
      <c r="D15" s="4" t="s">
        <v>91</v>
      </c>
      <c r="E15" s="5">
        <v>774973</v>
      </c>
      <c r="F15" s="6">
        <v>635.47785999999996</v>
      </c>
      <c r="G15" s="7">
        <v>2.4746770000000001E-2</v>
      </c>
      <c r="H15" s="47"/>
    </row>
    <row r="16" spans="1:14" ht="17.100000000000001" customHeight="1" x14ac:dyDescent="0.2">
      <c r="A16" s="3">
        <v>10</v>
      </c>
      <c r="B16" s="4" t="s">
        <v>185</v>
      </c>
      <c r="C16" s="4" t="s">
        <v>186</v>
      </c>
      <c r="D16" s="4" t="s">
        <v>88</v>
      </c>
      <c r="E16" s="5">
        <v>119696</v>
      </c>
      <c r="F16" s="6">
        <v>629.24187199999994</v>
      </c>
      <c r="G16" s="7">
        <v>2.4503928000000001E-2</v>
      </c>
      <c r="H16" s="47"/>
    </row>
    <row r="17" spans="1:8" ht="17.100000000000001" customHeight="1" x14ac:dyDescent="0.2">
      <c r="A17" s="3">
        <v>11</v>
      </c>
      <c r="B17" s="4" t="s">
        <v>189</v>
      </c>
      <c r="C17" s="4" t="s">
        <v>190</v>
      </c>
      <c r="D17" s="4" t="s">
        <v>191</v>
      </c>
      <c r="E17" s="5">
        <v>115911</v>
      </c>
      <c r="F17" s="6">
        <v>600.01329150000004</v>
      </c>
      <c r="G17" s="7">
        <v>2.3365708999999998E-2</v>
      </c>
      <c r="H17" s="47"/>
    </row>
    <row r="18" spans="1:8" ht="17.100000000000001" customHeight="1" x14ac:dyDescent="0.2">
      <c r="A18" s="3">
        <v>12</v>
      </c>
      <c r="B18" s="4" t="s">
        <v>467</v>
      </c>
      <c r="C18" s="4" t="s">
        <v>468</v>
      </c>
      <c r="D18" s="4" t="s">
        <v>28</v>
      </c>
      <c r="E18" s="5">
        <v>87229</v>
      </c>
      <c r="F18" s="6">
        <v>581.07598350000001</v>
      </c>
      <c r="G18" s="7">
        <v>2.2628253000000001E-2</v>
      </c>
      <c r="H18" s="47"/>
    </row>
    <row r="19" spans="1:8" ht="17.100000000000001" customHeight="1" x14ac:dyDescent="0.2">
      <c r="A19" s="3">
        <v>13</v>
      </c>
      <c r="B19" s="4" t="s">
        <v>169</v>
      </c>
      <c r="C19" s="4" t="s">
        <v>170</v>
      </c>
      <c r="D19" s="4" t="s">
        <v>171</v>
      </c>
      <c r="E19" s="5">
        <v>50165</v>
      </c>
      <c r="F19" s="6">
        <v>531.899495</v>
      </c>
      <c r="G19" s="7">
        <v>2.0713222999999999E-2</v>
      </c>
      <c r="H19" s="47"/>
    </row>
    <row r="20" spans="1:8" ht="17.100000000000001" customHeight="1" x14ac:dyDescent="0.2">
      <c r="A20" s="3">
        <v>14</v>
      </c>
      <c r="B20" s="4" t="s">
        <v>263</v>
      </c>
      <c r="C20" s="4" t="s">
        <v>264</v>
      </c>
      <c r="D20" s="4" t="s">
        <v>28</v>
      </c>
      <c r="E20" s="5">
        <v>61605</v>
      </c>
      <c r="F20" s="6">
        <v>516.12669000000005</v>
      </c>
      <c r="G20" s="7">
        <v>2.0098998E-2</v>
      </c>
      <c r="H20" s="47"/>
    </row>
    <row r="21" spans="1:8" ht="17.100000000000001" customHeight="1" x14ac:dyDescent="0.2">
      <c r="A21" s="3">
        <v>15</v>
      </c>
      <c r="B21" s="4" t="s">
        <v>265</v>
      </c>
      <c r="C21" s="4" t="s">
        <v>266</v>
      </c>
      <c r="D21" s="4" t="s">
        <v>97</v>
      </c>
      <c r="E21" s="5">
        <v>42208</v>
      </c>
      <c r="F21" s="6">
        <v>499.61609600000003</v>
      </c>
      <c r="G21" s="7">
        <v>1.9456042999999999E-2</v>
      </c>
      <c r="H21" s="47"/>
    </row>
    <row r="22" spans="1:8" ht="17.100000000000001" customHeight="1" x14ac:dyDescent="0.2">
      <c r="A22" s="3">
        <v>16</v>
      </c>
      <c r="B22" s="4" t="s">
        <v>172</v>
      </c>
      <c r="C22" s="4" t="s">
        <v>173</v>
      </c>
      <c r="D22" s="4" t="s">
        <v>174</v>
      </c>
      <c r="E22" s="5">
        <v>45349</v>
      </c>
      <c r="F22" s="6">
        <v>492.03665000000001</v>
      </c>
      <c r="G22" s="7">
        <v>1.9160884E-2</v>
      </c>
      <c r="H22" s="47"/>
    </row>
    <row r="23" spans="1:8" ht="17.100000000000001" customHeight="1" x14ac:dyDescent="0.2">
      <c r="A23" s="3">
        <v>17</v>
      </c>
      <c r="B23" s="4" t="s">
        <v>95</v>
      </c>
      <c r="C23" s="4" t="s">
        <v>96</v>
      </c>
      <c r="D23" s="4" t="s">
        <v>97</v>
      </c>
      <c r="E23" s="5">
        <v>110331</v>
      </c>
      <c r="F23" s="6">
        <v>490.31096400000001</v>
      </c>
      <c r="G23" s="7">
        <v>1.9093683E-2</v>
      </c>
      <c r="H23" s="47"/>
    </row>
    <row r="24" spans="1:8" ht="17.100000000000001" customHeight="1" x14ac:dyDescent="0.2">
      <c r="A24" s="3">
        <v>18</v>
      </c>
      <c r="B24" s="4" t="s">
        <v>207</v>
      </c>
      <c r="C24" s="4" t="s">
        <v>208</v>
      </c>
      <c r="D24" s="4" t="s">
        <v>209</v>
      </c>
      <c r="E24" s="5">
        <v>171020</v>
      </c>
      <c r="F24" s="6">
        <v>475.52111000000002</v>
      </c>
      <c r="G24" s="7">
        <v>1.8517736E-2</v>
      </c>
      <c r="H24" s="47"/>
    </row>
    <row r="25" spans="1:8" ht="17.100000000000001" customHeight="1" x14ac:dyDescent="0.2">
      <c r="A25" s="3">
        <v>19</v>
      </c>
      <c r="B25" s="4" t="s">
        <v>228</v>
      </c>
      <c r="C25" s="4" t="s">
        <v>229</v>
      </c>
      <c r="D25" s="4" t="s">
        <v>191</v>
      </c>
      <c r="E25" s="5">
        <v>13964</v>
      </c>
      <c r="F25" s="6">
        <v>475.02735200000001</v>
      </c>
      <c r="G25" s="7">
        <v>1.8498508E-2</v>
      </c>
      <c r="H25" s="47"/>
    </row>
    <row r="26" spans="1:8" ht="17.100000000000001" customHeight="1" x14ac:dyDescent="0.2">
      <c r="A26" s="3">
        <v>20</v>
      </c>
      <c r="B26" s="4" t="s">
        <v>220</v>
      </c>
      <c r="C26" s="4" t="s">
        <v>221</v>
      </c>
      <c r="D26" s="4" t="s">
        <v>91</v>
      </c>
      <c r="E26" s="5">
        <v>62271</v>
      </c>
      <c r="F26" s="6">
        <v>463.10942699999998</v>
      </c>
      <c r="G26" s="7">
        <v>1.8034400999999999E-2</v>
      </c>
      <c r="H26" s="47"/>
    </row>
    <row r="27" spans="1:8" ht="17.100000000000001" customHeight="1" x14ac:dyDescent="0.2">
      <c r="A27" s="3">
        <v>21</v>
      </c>
      <c r="B27" s="4" t="s">
        <v>192</v>
      </c>
      <c r="C27" s="4" t="s">
        <v>193</v>
      </c>
      <c r="D27" s="4" t="s">
        <v>184</v>
      </c>
      <c r="E27" s="5">
        <v>37952</v>
      </c>
      <c r="F27" s="6">
        <v>457.77702399999998</v>
      </c>
      <c r="G27" s="7">
        <v>1.7826746000000001E-2</v>
      </c>
      <c r="H27" s="47"/>
    </row>
    <row r="28" spans="1:8" ht="17.100000000000001" customHeight="1" x14ac:dyDescent="0.2">
      <c r="A28" s="3">
        <v>22</v>
      </c>
      <c r="B28" s="4" t="s">
        <v>471</v>
      </c>
      <c r="C28" s="4" t="s">
        <v>472</v>
      </c>
      <c r="D28" s="4" t="s">
        <v>88</v>
      </c>
      <c r="E28" s="5">
        <v>45571</v>
      </c>
      <c r="F28" s="6">
        <v>420.52918799999998</v>
      </c>
      <c r="G28" s="7">
        <v>1.6376241999999999E-2</v>
      </c>
      <c r="H28" s="47"/>
    </row>
    <row r="29" spans="1:8" ht="17.100000000000001" customHeight="1" x14ac:dyDescent="0.2">
      <c r="A29" s="3">
        <v>23</v>
      </c>
      <c r="B29" s="4" t="s">
        <v>182</v>
      </c>
      <c r="C29" s="4" t="s">
        <v>183</v>
      </c>
      <c r="D29" s="4" t="s">
        <v>184</v>
      </c>
      <c r="E29" s="5">
        <v>30957</v>
      </c>
      <c r="F29" s="6">
        <v>404.90208150000001</v>
      </c>
      <c r="G29" s="7">
        <v>1.5767691E-2</v>
      </c>
      <c r="H29" s="47"/>
    </row>
    <row r="30" spans="1:8" ht="29.1" customHeight="1" x14ac:dyDescent="0.2">
      <c r="A30" s="3">
        <v>24</v>
      </c>
      <c r="B30" s="4" t="s">
        <v>469</v>
      </c>
      <c r="C30" s="4" t="s">
        <v>470</v>
      </c>
      <c r="D30" s="4" t="s">
        <v>40</v>
      </c>
      <c r="E30" s="5">
        <v>21290</v>
      </c>
      <c r="F30" s="6">
        <v>398.99588999999997</v>
      </c>
      <c r="G30" s="7">
        <v>1.5537692000000001E-2</v>
      </c>
      <c r="H30" s="47"/>
    </row>
    <row r="31" spans="1:8" ht="29.1" customHeight="1" x14ac:dyDescent="0.2">
      <c r="A31" s="3">
        <v>25</v>
      </c>
      <c r="B31" s="4" t="s">
        <v>179</v>
      </c>
      <c r="C31" s="4" t="s">
        <v>180</v>
      </c>
      <c r="D31" s="4" t="s">
        <v>181</v>
      </c>
      <c r="E31" s="5">
        <v>59402</v>
      </c>
      <c r="F31" s="6">
        <v>364.52037300000001</v>
      </c>
      <c r="G31" s="7">
        <v>1.4195147E-2</v>
      </c>
      <c r="H31" s="47"/>
    </row>
    <row r="32" spans="1:8" ht="29.1" customHeight="1" x14ac:dyDescent="0.2">
      <c r="A32" s="3">
        <v>26</v>
      </c>
      <c r="B32" s="4" t="s">
        <v>230</v>
      </c>
      <c r="C32" s="4" t="s">
        <v>231</v>
      </c>
      <c r="D32" s="4" t="s">
        <v>204</v>
      </c>
      <c r="E32" s="5">
        <v>94915</v>
      </c>
      <c r="F32" s="6">
        <v>348.38550750000002</v>
      </c>
      <c r="G32" s="7">
        <v>1.3566823E-2</v>
      </c>
      <c r="H32" s="47"/>
    </row>
    <row r="33" spans="1:8" ht="17.100000000000001" customHeight="1" x14ac:dyDescent="0.2">
      <c r="A33" s="3">
        <v>27</v>
      </c>
      <c r="B33" s="4" t="s">
        <v>473</v>
      </c>
      <c r="C33" s="4" t="s">
        <v>474</v>
      </c>
      <c r="D33" s="4" t="s">
        <v>45</v>
      </c>
      <c r="E33" s="5">
        <v>51271</v>
      </c>
      <c r="F33" s="6">
        <v>346.10488550000002</v>
      </c>
      <c r="G33" s="7">
        <v>1.3478011999999999E-2</v>
      </c>
      <c r="H33" s="47"/>
    </row>
    <row r="34" spans="1:8" ht="17.100000000000001" customHeight="1" x14ac:dyDescent="0.2">
      <c r="A34" s="3">
        <v>28</v>
      </c>
      <c r="B34" s="4" t="s">
        <v>187</v>
      </c>
      <c r="C34" s="4" t="s">
        <v>188</v>
      </c>
      <c r="D34" s="4" t="s">
        <v>91</v>
      </c>
      <c r="E34" s="5">
        <v>80924</v>
      </c>
      <c r="F34" s="6">
        <v>345.019474</v>
      </c>
      <c r="G34" s="7">
        <v>1.3435743E-2</v>
      </c>
      <c r="H34" s="47"/>
    </row>
    <row r="35" spans="1:8" ht="17.100000000000001" customHeight="1" x14ac:dyDescent="0.2">
      <c r="A35" s="3">
        <v>29</v>
      </c>
      <c r="B35" s="4" t="s">
        <v>334</v>
      </c>
      <c r="C35" s="4" t="s">
        <v>335</v>
      </c>
      <c r="D35" s="4" t="s">
        <v>94</v>
      </c>
      <c r="E35" s="5">
        <v>7574</v>
      </c>
      <c r="F35" s="6">
        <v>330.976226</v>
      </c>
      <c r="G35" s="7">
        <v>1.2888871999999999E-2</v>
      </c>
      <c r="H35" s="47"/>
    </row>
    <row r="36" spans="1:8" ht="17.100000000000001" customHeight="1" x14ac:dyDescent="0.2">
      <c r="A36" s="3">
        <v>30</v>
      </c>
      <c r="B36" s="4" t="s">
        <v>267</v>
      </c>
      <c r="C36" s="4" t="s">
        <v>268</v>
      </c>
      <c r="D36" s="4" t="s">
        <v>171</v>
      </c>
      <c r="E36" s="5">
        <v>41908</v>
      </c>
      <c r="F36" s="6">
        <v>317.09688199999999</v>
      </c>
      <c r="G36" s="7">
        <v>1.2348382E-2</v>
      </c>
      <c r="H36" s="47"/>
    </row>
    <row r="37" spans="1:8" ht="29.1" customHeight="1" x14ac:dyDescent="0.2">
      <c r="A37" s="3">
        <v>31</v>
      </c>
      <c r="B37" s="4" t="s">
        <v>52</v>
      </c>
      <c r="C37" s="4" t="s">
        <v>53</v>
      </c>
      <c r="D37" s="4" t="s">
        <v>25</v>
      </c>
      <c r="E37" s="5">
        <v>14971</v>
      </c>
      <c r="F37" s="6">
        <v>315.73090450000001</v>
      </c>
      <c r="G37" s="7">
        <v>1.2295188E-2</v>
      </c>
      <c r="H37" s="47"/>
    </row>
    <row r="38" spans="1:8" ht="29.1" customHeight="1" x14ac:dyDescent="0.2">
      <c r="A38" s="3">
        <v>32</v>
      </c>
      <c r="B38" s="4" t="s">
        <v>275</v>
      </c>
      <c r="C38" s="4" t="s">
        <v>276</v>
      </c>
      <c r="D38" s="4" t="s">
        <v>238</v>
      </c>
      <c r="E38" s="5">
        <v>58166</v>
      </c>
      <c r="F38" s="6">
        <v>308.62879600000002</v>
      </c>
      <c r="G38" s="7">
        <v>1.2018618E-2</v>
      </c>
      <c r="H38" s="47"/>
    </row>
    <row r="39" spans="1:8" ht="29.1" customHeight="1" x14ac:dyDescent="0.2">
      <c r="A39" s="3">
        <v>33</v>
      </c>
      <c r="B39" s="4" t="s">
        <v>196</v>
      </c>
      <c r="C39" s="4" t="s">
        <v>197</v>
      </c>
      <c r="D39" s="4" t="s">
        <v>198</v>
      </c>
      <c r="E39" s="5">
        <v>23848</v>
      </c>
      <c r="F39" s="6">
        <v>303.16770000000002</v>
      </c>
      <c r="G39" s="7">
        <v>1.1805952E-2</v>
      </c>
      <c r="H39" s="47"/>
    </row>
    <row r="40" spans="1:8" ht="17.100000000000001" customHeight="1" x14ac:dyDescent="0.2">
      <c r="A40" s="3">
        <v>34</v>
      </c>
      <c r="B40" s="4" t="s">
        <v>194</v>
      </c>
      <c r="C40" s="4" t="s">
        <v>195</v>
      </c>
      <c r="D40" s="4" t="s">
        <v>174</v>
      </c>
      <c r="E40" s="5">
        <v>60258</v>
      </c>
      <c r="F40" s="6">
        <v>299.66303399999998</v>
      </c>
      <c r="G40" s="7">
        <v>1.1669474000000001E-2</v>
      </c>
      <c r="H40" s="47"/>
    </row>
    <row r="41" spans="1:8" ht="17.100000000000001" customHeight="1" x14ac:dyDescent="0.2">
      <c r="A41" s="3">
        <v>35</v>
      </c>
      <c r="B41" s="4" t="s">
        <v>32</v>
      </c>
      <c r="C41" s="4" t="s">
        <v>33</v>
      </c>
      <c r="D41" s="4" t="s">
        <v>28</v>
      </c>
      <c r="E41" s="5">
        <v>8237</v>
      </c>
      <c r="F41" s="6">
        <v>291.0008545</v>
      </c>
      <c r="G41" s="7">
        <v>1.1332151E-2</v>
      </c>
      <c r="H41" s="47"/>
    </row>
    <row r="42" spans="1:8" ht="29.1" customHeight="1" x14ac:dyDescent="0.2">
      <c r="A42" s="3">
        <v>36</v>
      </c>
      <c r="B42" s="4" t="s">
        <v>202</v>
      </c>
      <c r="C42" s="4" t="s">
        <v>203</v>
      </c>
      <c r="D42" s="4" t="s">
        <v>204</v>
      </c>
      <c r="E42" s="5">
        <v>61717</v>
      </c>
      <c r="F42" s="6">
        <v>286.79889900000001</v>
      </c>
      <c r="G42" s="7">
        <v>1.1168519E-2</v>
      </c>
      <c r="H42" s="47"/>
    </row>
    <row r="43" spans="1:8" ht="29.1" customHeight="1" x14ac:dyDescent="0.2">
      <c r="A43" s="3">
        <v>37</v>
      </c>
      <c r="B43" s="4" t="s">
        <v>224</v>
      </c>
      <c r="C43" s="4" t="s">
        <v>225</v>
      </c>
      <c r="D43" s="4" t="s">
        <v>181</v>
      </c>
      <c r="E43" s="5">
        <v>62869</v>
      </c>
      <c r="F43" s="6">
        <v>285.362391</v>
      </c>
      <c r="G43" s="7">
        <v>1.1112578E-2</v>
      </c>
      <c r="H43" s="47"/>
    </row>
    <row r="44" spans="1:8" ht="17.100000000000001" customHeight="1" x14ac:dyDescent="0.2">
      <c r="A44" s="3">
        <v>38</v>
      </c>
      <c r="B44" s="4" t="s">
        <v>271</v>
      </c>
      <c r="C44" s="4" t="s">
        <v>272</v>
      </c>
      <c r="D44" s="4" t="s">
        <v>94</v>
      </c>
      <c r="E44" s="5">
        <v>15368</v>
      </c>
      <c r="F44" s="6">
        <v>282.97098399999999</v>
      </c>
      <c r="G44" s="7">
        <v>1.1019452000000001E-2</v>
      </c>
      <c r="H44" s="47"/>
    </row>
    <row r="45" spans="1:8" ht="17.100000000000001" customHeight="1" x14ac:dyDescent="0.2">
      <c r="A45" s="3">
        <v>39</v>
      </c>
      <c r="B45" s="4" t="s">
        <v>477</v>
      </c>
      <c r="C45" s="4" t="s">
        <v>478</v>
      </c>
      <c r="D45" s="4" t="s">
        <v>91</v>
      </c>
      <c r="E45" s="5">
        <v>26475</v>
      </c>
      <c r="F45" s="6">
        <v>268.93304999999998</v>
      </c>
      <c r="G45" s="7">
        <v>1.0472787000000001E-2</v>
      </c>
      <c r="H45" s="47"/>
    </row>
    <row r="46" spans="1:8" ht="17.100000000000001" customHeight="1" x14ac:dyDescent="0.2">
      <c r="A46" s="3">
        <v>40</v>
      </c>
      <c r="B46" s="4" t="s">
        <v>475</v>
      </c>
      <c r="C46" s="4" t="s">
        <v>476</v>
      </c>
      <c r="D46" s="4" t="s">
        <v>28</v>
      </c>
      <c r="E46" s="5">
        <v>35318</v>
      </c>
      <c r="F46" s="6">
        <v>253.19474199999999</v>
      </c>
      <c r="G46" s="7">
        <v>9.8599059999999999E-3</v>
      </c>
      <c r="H46" s="47"/>
    </row>
    <row r="47" spans="1:8" ht="17.100000000000001" customHeight="1" x14ac:dyDescent="0.2">
      <c r="A47" s="3">
        <v>41</v>
      </c>
      <c r="B47" s="4" t="s">
        <v>210</v>
      </c>
      <c r="C47" s="4" t="s">
        <v>211</v>
      </c>
      <c r="D47" s="4" t="s">
        <v>16</v>
      </c>
      <c r="E47" s="5">
        <v>114388</v>
      </c>
      <c r="F47" s="6">
        <v>248.45073600000001</v>
      </c>
      <c r="G47" s="7">
        <v>9.6751649999999995E-3</v>
      </c>
      <c r="H47" s="47"/>
    </row>
    <row r="48" spans="1:8" ht="29.1" customHeight="1" x14ac:dyDescent="0.2">
      <c r="A48" s="3">
        <v>42</v>
      </c>
      <c r="B48" s="4" t="s">
        <v>390</v>
      </c>
      <c r="C48" s="4" t="s">
        <v>391</v>
      </c>
      <c r="D48" s="4" t="s">
        <v>201</v>
      </c>
      <c r="E48" s="5">
        <v>40704</v>
      </c>
      <c r="F48" s="6">
        <v>248.335104</v>
      </c>
      <c r="G48" s="7">
        <v>9.670662E-3</v>
      </c>
      <c r="H48" s="47"/>
    </row>
    <row r="49" spans="1:8" ht="17.100000000000001" customHeight="1" x14ac:dyDescent="0.2">
      <c r="A49" s="3">
        <v>43</v>
      </c>
      <c r="B49" s="4" t="s">
        <v>226</v>
      </c>
      <c r="C49" s="4" t="s">
        <v>227</v>
      </c>
      <c r="D49" s="4" t="s">
        <v>13</v>
      </c>
      <c r="E49" s="5">
        <v>329417</v>
      </c>
      <c r="F49" s="6">
        <v>240.9685355</v>
      </c>
      <c r="G49" s="7">
        <v>9.3837929999999996E-3</v>
      </c>
      <c r="H49" s="47"/>
    </row>
    <row r="50" spans="1:8" ht="29.1" customHeight="1" x14ac:dyDescent="0.2">
      <c r="A50" s="3">
        <v>44</v>
      </c>
      <c r="B50" s="4" t="s">
        <v>236</v>
      </c>
      <c r="C50" s="4" t="s">
        <v>237</v>
      </c>
      <c r="D50" s="4" t="s">
        <v>238</v>
      </c>
      <c r="E50" s="5">
        <v>60710</v>
      </c>
      <c r="F50" s="6">
        <v>232.792495</v>
      </c>
      <c r="G50" s="7">
        <v>9.0654020000000002E-3</v>
      </c>
      <c r="H50" s="47"/>
    </row>
    <row r="51" spans="1:8" ht="29.1" customHeight="1" x14ac:dyDescent="0.2">
      <c r="A51" s="3">
        <v>45</v>
      </c>
      <c r="B51" s="4" t="s">
        <v>212</v>
      </c>
      <c r="C51" s="4" t="s">
        <v>213</v>
      </c>
      <c r="D51" s="4" t="s">
        <v>214</v>
      </c>
      <c r="E51" s="5">
        <v>243936</v>
      </c>
      <c r="F51" s="6">
        <v>229.29983999999999</v>
      </c>
      <c r="G51" s="7">
        <v>8.9293910000000001E-3</v>
      </c>
      <c r="H51" s="47"/>
    </row>
    <row r="52" spans="1:8" ht="29.1" customHeight="1" x14ac:dyDescent="0.2">
      <c r="A52" s="3">
        <v>46</v>
      </c>
      <c r="B52" s="4" t="s">
        <v>205</v>
      </c>
      <c r="C52" s="4" t="s">
        <v>206</v>
      </c>
      <c r="D52" s="4" t="s">
        <v>204</v>
      </c>
      <c r="E52" s="5">
        <v>14493</v>
      </c>
      <c r="F52" s="6">
        <v>227.92416449999999</v>
      </c>
      <c r="G52" s="7">
        <v>8.8758199999999995E-3</v>
      </c>
      <c r="H52" s="47"/>
    </row>
    <row r="53" spans="1:8" ht="29.1" customHeight="1" x14ac:dyDescent="0.2">
      <c r="A53" s="3">
        <v>47</v>
      </c>
      <c r="B53" s="4" t="s">
        <v>290</v>
      </c>
      <c r="C53" s="4" t="s">
        <v>291</v>
      </c>
      <c r="D53" s="4" t="s">
        <v>292</v>
      </c>
      <c r="E53" s="5">
        <v>72207</v>
      </c>
      <c r="F53" s="6">
        <v>221.892111</v>
      </c>
      <c r="G53" s="7">
        <v>8.6409190000000004E-3</v>
      </c>
      <c r="H53" s="47"/>
    </row>
    <row r="54" spans="1:8" ht="17.100000000000001" customHeight="1" x14ac:dyDescent="0.2">
      <c r="A54" s="3">
        <v>48</v>
      </c>
      <c r="B54" s="4" t="s">
        <v>479</v>
      </c>
      <c r="C54" s="4" t="s">
        <v>480</v>
      </c>
      <c r="D54" s="4" t="s">
        <v>88</v>
      </c>
      <c r="E54" s="5">
        <v>24543</v>
      </c>
      <c r="F54" s="6">
        <v>221.80736250000001</v>
      </c>
      <c r="G54" s="7">
        <v>8.6376189999999992E-3</v>
      </c>
      <c r="H54" s="47"/>
    </row>
    <row r="55" spans="1:8" ht="17.100000000000001" customHeight="1" x14ac:dyDescent="0.2">
      <c r="A55" s="3">
        <v>49</v>
      </c>
      <c r="B55" s="4" t="s">
        <v>269</v>
      </c>
      <c r="C55" s="4" t="s">
        <v>270</v>
      </c>
      <c r="D55" s="4" t="s">
        <v>91</v>
      </c>
      <c r="E55" s="5">
        <v>450454</v>
      </c>
      <c r="F55" s="6">
        <v>221.39814100000001</v>
      </c>
      <c r="G55" s="7">
        <v>8.6216829999999998E-3</v>
      </c>
      <c r="H55" s="47"/>
    </row>
    <row r="56" spans="1:8" ht="53.1" customHeight="1" x14ac:dyDescent="0.2">
      <c r="A56" s="3">
        <v>50</v>
      </c>
      <c r="B56" s="4" t="s">
        <v>422</v>
      </c>
      <c r="C56" s="4" t="s">
        <v>423</v>
      </c>
      <c r="D56" s="4" t="s">
        <v>62</v>
      </c>
      <c r="E56" s="5">
        <v>104294</v>
      </c>
      <c r="F56" s="6">
        <v>216.93152000000001</v>
      </c>
      <c r="G56" s="7">
        <v>8.4477440000000001E-3</v>
      </c>
      <c r="H56" s="47"/>
    </row>
    <row r="57" spans="1:8" ht="17.100000000000001" customHeight="1" x14ac:dyDescent="0.2">
      <c r="A57" s="3">
        <v>51</v>
      </c>
      <c r="B57" s="4" t="s">
        <v>483</v>
      </c>
      <c r="C57" s="4" t="s">
        <v>484</v>
      </c>
      <c r="D57" s="4" t="s">
        <v>303</v>
      </c>
      <c r="E57" s="5">
        <v>28480</v>
      </c>
      <c r="F57" s="6">
        <v>211.13648000000001</v>
      </c>
      <c r="G57" s="7">
        <v>8.2220739999999994E-3</v>
      </c>
      <c r="H57" s="47"/>
    </row>
    <row r="58" spans="1:8" ht="17.100000000000001" customHeight="1" x14ac:dyDescent="0.2">
      <c r="A58" s="3">
        <v>52</v>
      </c>
      <c r="B58" s="4" t="s">
        <v>481</v>
      </c>
      <c r="C58" s="4" t="s">
        <v>482</v>
      </c>
      <c r="D58" s="4" t="s">
        <v>28</v>
      </c>
      <c r="E58" s="5">
        <v>40851</v>
      </c>
      <c r="F58" s="6">
        <v>204.86776499999999</v>
      </c>
      <c r="G58" s="7">
        <v>7.9779580000000003E-3</v>
      </c>
      <c r="H58" s="47"/>
    </row>
    <row r="59" spans="1:8" ht="17.100000000000001" customHeight="1" x14ac:dyDescent="0.2">
      <c r="A59" s="3">
        <v>53</v>
      </c>
      <c r="B59" s="4" t="s">
        <v>215</v>
      </c>
      <c r="C59" s="4" t="s">
        <v>216</v>
      </c>
      <c r="D59" s="4" t="s">
        <v>217</v>
      </c>
      <c r="E59" s="5">
        <v>76500</v>
      </c>
      <c r="F59" s="6">
        <v>202.53375</v>
      </c>
      <c r="G59" s="7">
        <v>7.8870659999999999E-3</v>
      </c>
      <c r="H59" s="47"/>
    </row>
    <row r="60" spans="1:8" ht="41.1" customHeight="1" x14ac:dyDescent="0.2">
      <c r="A60" s="3">
        <v>54</v>
      </c>
      <c r="B60" s="4" t="s">
        <v>283</v>
      </c>
      <c r="C60" s="4" t="s">
        <v>284</v>
      </c>
      <c r="D60" s="4" t="s">
        <v>285</v>
      </c>
      <c r="E60" s="5">
        <v>27300</v>
      </c>
      <c r="F60" s="6">
        <v>195.24959999999999</v>
      </c>
      <c r="G60" s="7">
        <v>7.6034070000000004E-3</v>
      </c>
      <c r="H60" s="47"/>
    </row>
    <row r="61" spans="1:8" ht="17.100000000000001" customHeight="1" x14ac:dyDescent="0.2">
      <c r="A61" s="3">
        <v>55</v>
      </c>
      <c r="B61" s="4" t="s">
        <v>222</v>
      </c>
      <c r="C61" s="4" t="s">
        <v>223</v>
      </c>
      <c r="D61" s="4" t="s">
        <v>13</v>
      </c>
      <c r="E61" s="5">
        <v>53690</v>
      </c>
      <c r="F61" s="6">
        <v>191.51222999999999</v>
      </c>
      <c r="G61" s="7">
        <v>7.457867E-3</v>
      </c>
      <c r="H61" s="47"/>
    </row>
    <row r="62" spans="1:8" ht="17.100000000000001" customHeight="1" x14ac:dyDescent="0.2">
      <c r="A62" s="3">
        <v>56</v>
      </c>
      <c r="B62" s="4" t="s">
        <v>244</v>
      </c>
      <c r="C62" s="4" t="s">
        <v>245</v>
      </c>
      <c r="D62" s="4" t="s">
        <v>88</v>
      </c>
      <c r="E62" s="5">
        <v>98339</v>
      </c>
      <c r="F62" s="6">
        <v>186.549083</v>
      </c>
      <c r="G62" s="7">
        <v>7.2645920000000003E-3</v>
      </c>
      <c r="H62" s="47"/>
    </row>
    <row r="63" spans="1:8" ht="17.100000000000001" customHeight="1" x14ac:dyDescent="0.2">
      <c r="A63" s="3">
        <v>57</v>
      </c>
      <c r="B63" s="4" t="s">
        <v>281</v>
      </c>
      <c r="C63" s="4" t="s">
        <v>282</v>
      </c>
      <c r="D63" s="4" t="s">
        <v>94</v>
      </c>
      <c r="E63" s="5">
        <v>29625</v>
      </c>
      <c r="F63" s="6">
        <v>185.79318749999999</v>
      </c>
      <c r="G63" s="7">
        <v>7.2351560000000004E-3</v>
      </c>
      <c r="H63" s="47"/>
    </row>
    <row r="64" spans="1:8" ht="17.100000000000001" customHeight="1" x14ac:dyDescent="0.2">
      <c r="A64" s="3">
        <v>58</v>
      </c>
      <c r="B64" s="4" t="s">
        <v>487</v>
      </c>
      <c r="C64" s="4" t="s">
        <v>488</v>
      </c>
      <c r="D64" s="4" t="s">
        <v>28</v>
      </c>
      <c r="E64" s="5">
        <v>7125</v>
      </c>
      <c r="F64" s="6">
        <v>169.38262499999999</v>
      </c>
      <c r="G64" s="7">
        <v>6.5960960000000001E-3</v>
      </c>
      <c r="H64" s="47"/>
    </row>
    <row r="65" spans="1:8" ht="17.100000000000001" customHeight="1" x14ac:dyDescent="0.2">
      <c r="A65" s="3">
        <v>59</v>
      </c>
      <c r="B65" s="4" t="s">
        <v>485</v>
      </c>
      <c r="C65" s="4" t="s">
        <v>486</v>
      </c>
      <c r="D65" s="4" t="s">
        <v>174</v>
      </c>
      <c r="E65" s="5">
        <v>284562</v>
      </c>
      <c r="F65" s="6">
        <v>158.501034</v>
      </c>
      <c r="G65" s="7">
        <v>6.1723450000000001E-3</v>
      </c>
      <c r="H65" s="47"/>
    </row>
    <row r="66" spans="1:8" ht="17.100000000000001" customHeight="1" x14ac:dyDescent="0.2">
      <c r="A66" s="3">
        <v>60</v>
      </c>
      <c r="B66" s="4" t="s">
        <v>246</v>
      </c>
      <c r="C66" s="4" t="s">
        <v>247</v>
      </c>
      <c r="D66" s="4" t="s">
        <v>94</v>
      </c>
      <c r="E66" s="5">
        <v>30910</v>
      </c>
      <c r="F66" s="6">
        <v>155.21456499999999</v>
      </c>
      <c r="G66" s="7">
        <v>6.0443629999999996E-3</v>
      </c>
      <c r="H66" s="47"/>
    </row>
    <row r="67" spans="1:8" ht="17.100000000000001" customHeight="1" x14ac:dyDescent="0.2">
      <c r="A67" s="3">
        <v>61</v>
      </c>
      <c r="B67" s="4" t="s">
        <v>239</v>
      </c>
      <c r="C67" s="4" t="s">
        <v>240</v>
      </c>
      <c r="D67" s="4" t="s">
        <v>88</v>
      </c>
      <c r="E67" s="5">
        <v>24209</v>
      </c>
      <c r="F67" s="6">
        <v>138.7538835</v>
      </c>
      <c r="G67" s="7">
        <v>5.4033520000000002E-3</v>
      </c>
      <c r="H67" s="47"/>
    </row>
    <row r="68" spans="1:8" ht="17.100000000000001" customHeight="1" x14ac:dyDescent="0.2">
      <c r="A68" s="3">
        <v>62</v>
      </c>
      <c r="B68" s="4" t="s">
        <v>234</v>
      </c>
      <c r="C68" s="4" t="s">
        <v>235</v>
      </c>
      <c r="D68" s="4" t="s">
        <v>114</v>
      </c>
      <c r="E68" s="5">
        <v>19778</v>
      </c>
      <c r="F68" s="6">
        <v>133.343276</v>
      </c>
      <c r="G68" s="7">
        <v>5.1926519999999999E-3</v>
      </c>
      <c r="H68" s="47"/>
    </row>
    <row r="69" spans="1:8" ht="29.1" customHeight="1" x14ac:dyDescent="0.2">
      <c r="A69" s="3">
        <v>63</v>
      </c>
      <c r="B69" s="4" t="s">
        <v>256</v>
      </c>
      <c r="C69" s="4" t="s">
        <v>257</v>
      </c>
      <c r="D69" s="4" t="s">
        <v>88</v>
      </c>
      <c r="E69" s="5">
        <v>8392</v>
      </c>
      <c r="F69" s="6">
        <v>124.3065</v>
      </c>
      <c r="G69" s="7">
        <v>4.8407420000000003E-3</v>
      </c>
      <c r="H69" s="47"/>
    </row>
    <row r="70" spans="1:8" ht="29.1" customHeight="1" x14ac:dyDescent="0.2">
      <c r="A70" s="3">
        <v>64</v>
      </c>
      <c r="B70" s="4" t="s">
        <v>250</v>
      </c>
      <c r="C70" s="4" t="s">
        <v>251</v>
      </c>
      <c r="D70" s="4" t="s">
        <v>204</v>
      </c>
      <c r="E70" s="5">
        <v>2928</v>
      </c>
      <c r="F70" s="6">
        <v>122.708088</v>
      </c>
      <c r="G70" s="7">
        <v>4.7784969999999996E-3</v>
      </c>
      <c r="H70" s="47"/>
    </row>
    <row r="71" spans="1:8" ht="29.1" customHeight="1" x14ac:dyDescent="0.2">
      <c r="A71" s="3">
        <v>65</v>
      </c>
      <c r="B71" s="4" t="s">
        <v>277</v>
      </c>
      <c r="C71" s="4" t="s">
        <v>278</v>
      </c>
      <c r="D71" s="4" t="s">
        <v>201</v>
      </c>
      <c r="E71" s="5">
        <v>22459</v>
      </c>
      <c r="F71" s="6">
        <v>105.59098849999999</v>
      </c>
      <c r="G71" s="7">
        <v>4.111923E-3</v>
      </c>
      <c r="H71" s="47"/>
    </row>
    <row r="72" spans="1:8" ht="29.1" customHeight="1" x14ac:dyDescent="0.2">
      <c r="A72" s="3">
        <v>66</v>
      </c>
      <c r="B72" s="4" t="s">
        <v>286</v>
      </c>
      <c r="C72" s="4" t="s">
        <v>287</v>
      </c>
      <c r="D72" s="4" t="s">
        <v>204</v>
      </c>
      <c r="E72" s="5">
        <v>47700</v>
      </c>
      <c r="F72" s="6">
        <v>104.2722</v>
      </c>
      <c r="G72" s="7">
        <v>4.0605670000000002E-3</v>
      </c>
      <c r="H72" s="47"/>
    </row>
    <row r="73" spans="1:8" ht="17.100000000000001" customHeight="1" x14ac:dyDescent="0.2">
      <c r="A73" s="3">
        <v>67</v>
      </c>
      <c r="B73" s="4" t="s">
        <v>252</v>
      </c>
      <c r="C73" s="4" t="s">
        <v>253</v>
      </c>
      <c r="D73" s="4" t="s">
        <v>97</v>
      </c>
      <c r="E73" s="5">
        <v>154250</v>
      </c>
      <c r="F73" s="6">
        <v>100.64812499999999</v>
      </c>
      <c r="G73" s="7">
        <v>3.9194379999999999E-3</v>
      </c>
      <c r="H73" s="47"/>
    </row>
    <row r="74" spans="1:8" ht="17.100000000000001" customHeight="1" x14ac:dyDescent="0.2">
      <c r="A74" s="3">
        <v>68</v>
      </c>
      <c r="B74" s="4" t="s">
        <v>489</v>
      </c>
      <c r="C74" s="4" t="s">
        <v>490</v>
      </c>
      <c r="D74" s="4" t="s">
        <v>312</v>
      </c>
      <c r="E74" s="5">
        <v>13264</v>
      </c>
      <c r="F74" s="6">
        <v>78.536143999999993</v>
      </c>
      <c r="G74" s="7">
        <v>3.0583530000000002E-3</v>
      </c>
      <c r="H74" s="47"/>
    </row>
    <row r="75" spans="1:8" ht="17.100000000000001" customHeight="1" x14ac:dyDescent="0.2">
      <c r="A75" s="3">
        <v>69</v>
      </c>
      <c r="B75" s="4" t="s">
        <v>288</v>
      </c>
      <c r="C75" s="4" t="s">
        <v>289</v>
      </c>
      <c r="D75" s="4" t="s">
        <v>19</v>
      </c>
      <c r="E75" s="5">
        <v>33591</v>
      </c>
      <c r="F75" s="6">
        <v>64.864221000000001</v>
      </c>
      <c r="G75" s="7">
        <v>2.5259420000000002E-3</v>
      </c>
      <c r="H75" s="47"/>
    </row>
    <row r="76" spans="1:8" ht="29.1" customHeight="1" x14ac:dyDescent="0.2">
      <c r="A76" s="3">
        <v>70</v>
      </c>
      <c r="B76" s="4" t="s">
        <v>258</v>
      </c>
      <c r="C76" s="4" t="s">
        <v>259</v>
      </c>
      <c r="D76" s="4" t="s">
        <v>201</v>
      </c>
      <c r="E76" s="5">
        <v>8196</v>
      </c>
      <c r="F76" s="6">
        <v>43.680582000000001</v>
      </c>
      <c r="G76" s="7">
        <v>1.7010090000000001E-3</v>
      </c>
      <c r="H76" s="47"/>
    </row>
    <row r="77" spans="1:8" ht="17.100000000000001" customHeight="1" x14ac:dyDescent="0.2">
      <c r="A77" s="3">
        <v>71</v>
      </c>
      <c r="B77" s="4" t="s">
        <v>493</v>
      </c>
      <c r="C77" s="4" t="s">
        <v>494</v>
      </c>
      <c r="D77" s="4" t="s">
        <v>28</v>
      </c>
      <c r="E77" s="5">
        <v>28</v>
      </c>
      <c r="F77" s="6">
        <v>0.28809200000000001</v>
      </c>
      <c r="G77" s="8" t="s">
        <v>121</v>
      </c>
      <c r="H77" s="47"/>
    </row>
    <row r="78" spans="1:8" ht="14.1" customHeight="1" x14ac:dyDescent="0.2">
      <c r="A78" s="1"/>
      <c r="B78" s="1"/>
      <c r="C78" s="2" t="s">
        <v>122</v>
      </c>
      <c r="D78" s="1"/>
      <c r="E78" s="1" t="s">
        <v>123</v>
      </c>
      <c r="F78" s="9">
        <v>24008.13307</v>
      </c>
      <c r="G78" s="10">
        <v>0.93492437699999997</v>
      </c>
      <c r="H78" s="47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124</v>
      </c>
      <c r="D80" s="1"/>
      <c r="E80" s="1"/>
      <c r="F80" s="1"/>
      <c r="G80" s="1"/>
      <c r="H80" s="47"/>
    </row>
    <row r="81" spans="1:8" ht="14.1" customHeight="1" x14ac:dyDescent="0.2">
      <c r="A81" s="1"/>
      <c r="B81" s="1"/>
      <c r="C81" s="2" t="s">
        <v>122</v>
      </c>
      <c r="D81" s="1"/>
      <c r="E81" s="1" t="s">
        <v>123</v>
      </c>
      <c r="F81" s="13">
        <v>0</v>
      </c>
      <c r="G81" s="14">
        <v>0</v>
      </c>
      <c r="H81" s="47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125</v>
      </c>
      <c r="D83" s="1"/>
      <c r="E83" s="1"/>
      <c r="F83" s="1"/>
      <c r="G83" s="1"/>
      <c r="H83" s="47"/>
    </row>
    <row r="84" spans="1:8" ht="14.1" customHeight="1" x14ac:dyDescent="0.2">
      <c r="A84" s="1"/>
      <c r="B84" s="1"/>
      <c r="C84" s="2" t="s">
        <v>122</v>
      </c>
      <c r="D84" s="1"/>
      <c r="E84" s="1" t="s">
        <v>123</v>
      </c>
      <c r="F84" s="13">
        <v>0</v>
      </c>
      <c r="G84" s="14">
        <v>0</v>
      </c>
      <c r="H84" s="47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126</v>
      </c>
      <c r="D86" s="1"/>
      <c r="E86" s="1"/>
      <c r="F86" s="1"/>
      <c r="G86" s="1"/>
      <c r="H86" s="47"/>
    </row>
    <row r="87" spans="1:8" ht="14.1" customHeight="1" x14ac:dyDescent="0.2">
      <c r="A87" s="1"/>
      <c r="B87" s="1"/>
      <c r="C87" s="2" t="s">
        <v>122</v>
      </c>
      <c r="D87" s="1"/>
      <c r="E87" s="1" t="s">
        <v>123</v>
      </c>
      <c r="F87" s="13">
        <v>0</v>
      </c>
      <c r="G87" s="14">
        <v>0</v>
      </c>
      <c r="H87" s="47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127</v>
      </c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122</v>
      </c>
      <c r="D90" s="1"/>
      <c r="E90" s="1" t="s">
        <v>123</v>
      </c>
      <c r="F90" s="13">
        <v>0</v>
      </c>
      <c r="G90" s="14">
        <v>0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128</v>
      </c>
      <c r="D92" s="1"/>
      <c r="E92" s="1"/>
      <c r="F92" s="12"/>
      <c r="G92" s="12"/>
      <c r="H92" s="47"/>
    </row>
    <row r="93" spans="1:8" ht="14.1" customHeight="1" x14ac:dyDescent="0.2">
      <c r="A93" s="1"/>
      <c r="B93" s="1"/>
      <c r="C93" s="2" t="s">
        <v>122</v>
      </c>
      <c r="D93" s="1"/>
      <c r="E93" s="1" t="s">
        <v>123</v>
      </c>
      <c r="F93" s="13">
        <v>0</v>
      </c>
      <c r="G93" s="14">
        <v>0</v>
      </c>
      <c r="H93" s="47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47"/>
    </row>
    <row r="95" spans="1:8" ht="18" customHeight="1" x14ac:dyDescent="0.2">
      <c r="A95" s="1"/>
      <c r="B95" s="1"/>
      <c r="C95" s="2" t="s">
        <v>129</v>
      </c>
      <c r="D95" s="1"/>
      <c r="E95" s="1"/>
      <c r="F95" s="9">
        <v>24008.13307</v>
      </c>
      <c r="G95" s="10">
        <v>0.93492437699999997</v>
      </c>
      <c r="H95" s="47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47"/>
    </row>
    <row r="97" spans="1:8" ht="14.1" customHeight="1" x14ac:dyDescent="0.2">
      <c r="A97" s="1"/>
      <c r="B97" s="1"/>
      <c r="C97" s="2" t="s">
        <v>130</v>
      </c>
      <c r="D97" s="1"/>
      <c r="E97" s="1"/>
      <c r="F97" s="12"/>
      <c r="G97" s="12"/>
      <c r="H97" s="47"/>
    </row>
    <row r="98" spans="1:8" ht="24" customHeight="1" x14ac:dyDescent="0.2">
      <c r="A98" s="1"/>
      <c r="B98" s="1"/>
      <c r="C98" s="2" t="s">
        <v>10</v>
      </c>
      <c r="D98" s="1"/>
      <c r="E98" s="1"/>
      <c r="F98" s="12"/>
      <c r="G98" s="12"/>
      <c r="H98" s="47"/>
    </row>
    <row r="99" spans="1:8" ht="14.1" customHeight="1" x14ac:dyDescent="0.2">
      <c r="A99" s="1"/>
      <c r="B99" s="1"/>
      <c r="C99" s="2" t="s">
        <v>122</v>
      </c>
      <c r="D99" s="1"/>
      <c r="E99" s="1" t="s">
        <v>123</v>
      </c>
      <c r="F99" s="13">
        <v>0</v>
      </c>
      <c r="G99" s="14">
        <v>0</v>
      </c>
      <c r="H99" s="47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47"/>
    </row>
    <row r="101" spans="1:8" ht="14.1" customHeight="1" x14ac:dyDescent="0.2">
      <c r="A101" s="1"/>
      <c r="B101" s="1"/>
      <c r="C101" s="2" t="s">
        <v>131</v>
      </c>
      <c r="D101" s="1"/>
      <c r="E101" s="1"/>
      <c r="F101" s="1"/>
      <c r="G101" s="1"/>
      <c r="H101" s="47"/>
    </row>
    <row r="102" spans="1:8" ht="14.1" customHeight="1" x14ac:dyDescent="0.2">
      <c r="A102" s="1"/>
      <c r="B102" s="1"/>
      <c r="C102" s="2" t="s">
        <v>122</v>
      </c>
      <c r="D102" s="1"/>
      <c r="E102" s="1" t="s">
        <v>123</v>
      </c>
      <c r="F102" s="13">
        <v>0</v>
      </c>
      <c r="G102" s="14">
        <v>0</v>
      </c>
      <c r="H102" s="47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2" t="s">
        <v>132</v>
      </c>
      <c r="D104" s="1"/>
      <c r="E104" s="1"/>
      <c r="F104" s="1"/>
      <c r="G104" s="1"/>
      <c r="H104" s="47"/>
    </row>
    <row r="105" spans="1:8" ht="14.1" customHeight="1" x14ac:dyDescent="0.2">
      <c r="A105" s="1"/>
      <c r="B105" s="1"/>
      <c r="C105" s="2" t="s">
        <v>122</v>
      </c>
      <c r="D105" s="1"/>
      <c r="E105" s="1" t="s">
        <v>123</v>
      </c>
      <c r="F105" s="13">
        <v>0</v>
      </c>
      <c r="G105" s="14">
        <v>0</v>
      </c>
      <c r="H105" s="47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47"/>
    </row>
    <row r="107" spans="1:8" ht="14.1" customHeight="1" x14ac:dyDescent="0.2">
      <c r="A107" s="1"/>
      <c r="B107" s="1"/>
      <c r="C107" s="2" t="s">
        <v>133</v>
      </c>
      <c r="D107" s="1"/>
      <c r="E107" s="1"/>
      <c r="F107" s="12"/>
      <c r="G107" s="12"/>
      <c r="H107" s="47"/>
    </row>
    <row r="108" spans="1:8" ht="14.1" customHeight="1" x14ac:dyDescent="0.2">
      <c r="A108" s="1"/>
      <c r="B108" s="1"/>
      <c r="C108" s="2" t="s">
        <v>122</v>
      </c>
      <c r="D108" s="1"/>
      <c r="E108" s="1" t="s">
        <v>123</v>
      </c>
      <c r="F108" s="13">
        <v>0</v>
      </c>
      <c r="G108" s="14">
        <v>0</v>
      </c>
      <c r="H108" s="47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2" t="s">
        <v>134</v>
      </c>
      <c r="D110" s="1"/>
      <c r="E110" s="1"/>
      <c r="F110" s="9">
        <v>0</v>
      </c>
      <c r="G110" s="10">
        <v>0</v>
      </c>
      <c r="H110" s="47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47"/>
    </row>
    <row r="112" spans="1:8" ht="14.1" customHeight="1" x14ac:dyDescent="0.2">
      <c r="A112" s="1"/>
      <c r="B112" s="1"/>
      <c r="C112" s="2" t="s">
        <v>135</v>
      </c>
      <c r="D112" s="1"/>
      <c r="E112" s="1"/>
      <c r="F112" s="12"/>
      <c r="G112" s="12"/>
      <c r="H112" s="47"/>
    </row>
    <row r="113" spans="1:8" ht="14.1" customHeight="1" x14ac:dyDescent="0.2">
      <c r="A113" s="1"/>
      <c r="B113" s="1"/>
      <c r="C113" s="2" t="s">
        <v>136</v>
      </c>
      <c r="D113" s="1"/>
      <c r="E113" s="1"/>
      <c r="F113" s="12"/>
      <c r="G113" s="12"/>
      <c r="H113" s="47"/>
    </row>
    <row r="114" spans="1:8" ht="14.1" customHeight="1" x14ac:dyDescent="0.2">
      <c r="A114" s="1"/>
      <c r="B114" s="1"/>
      <c r="C114" s="2" t="s">
        <v>122</v>
      </c>
      <c r="D114" s="1"/>
      <c r="E114" s="1" t="s">
        <v>123</v>
      </c>
      <c r="F114" s="13">
        <v>0</v>
      </c>
      <c r="G114" s="14">
        <v>0</v>
      </c>
      <c r="H114" s="47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47"/>
    </row>
    <row r="116" spans="1:8" ht="14.1" customHeight="1" x14ac:dyDescent="0.2">
      <c r="A116" s="1"/>
      <c r="B116" s="1"/>
      <c r="C116" s="2" t="s">
        <v>137</v>
      </c>
      <c r="D116" s="1"/>
      <c r="E116" s="1"/>
      <c r="F116" s="12"/>
      <c r="G116" s="12"/>
      <c r="H116" s="47"/>
    </row>
    <row r="117" spans="1:8" ht="14.1" customHeight="1" x14ac:dyDescent="0.2">
      <c r="A117" s="1"/>
      <c r="B117" s="1"/>
      <c r="C117" s="2" t="s">
        <v>122</v>
      </c>
      <c r="D117" s="1"/>
      <c r="E117" s="1" t="s">
        <v>123</v>
      </c>
      <c r="F117" s="13">
        <v>0</v>
      </c>
      <c r="G117" s="14">
        <v>0</v>
      </c>
      <c r="H117" s="47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47"/>
    </row>
    <row r="119" spans="1:8" ht="14.1" customHeight="1" x14ac:dyDescent="0.2">
      <c r="A119" s="1"/>
      <c r="B119" s="1"/>
      <c r="C119" s="2" t="s">
        <v>138</v>
      </c>
      <c r="D119" s="1"/>
      <c r="E119" s="1"/>
      <c r="F119" s="12"/>
      <c r="G119" s="12"/>
      <c r="H119" s="47"/>
    </row>
    <row r="120" spans="1:8" ht="14.1" customHeight="1" x14ac:dyDescent="0.2">
      <c r="A120" s="1"/>
      <c r="B120" s="1"/>
      <c r="C120" s="2" t="s">
        <v>122</v>
      </c>
      <c r="D120" s="1"/>
      <c r="E120" s="1" t="s">
        <v>123</v>
      </c>
      <c r="F120" s="13">
        <v>0</v>
      </c>
      <c r="G120" s="14">
        <v>0</v>
      </c>
      <c r="H120" s="47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47"/>
    </row>
    <row r="122" spans="1:8" ht="14.1" customHeight="1" x14ac:dyDescent="0.2">
      <c r="A122" s="1"/>
      <c r="B122" s="1"/>
      <c r="C122" s="2" t="s">
        <v>139</v>
      </c>
      <c r="D122" s="1"/>
      <c r="E122" s="1"/>
      <c r="F122" s="12"/>
      <c r="G122" s="12"/>
      <c r="H122" s="47"/>
    </row>
    <row r="123" spans="1:8" ht="17.100000000000001" customHeight="1" x14ac:dyDescent="0.2">
      <c r="A123" s="3">
        <v>1</v>
      </c>
      <c r="B123" s="4"/>
      <c r="C123" s="4" t="s">
        <v>140</v>
      </c>
      <c r="D123" s="4"/>
      <c r="E123" s="8"/>
      <c r="F123" s="6">
        <v>1203.8775681</v>
      </c>
      <c r="G123" s="7">
        <v>4.6881382999999999E-2</v>
      </c>
      <c r="H123" s="47">
        <v>4.6730752161314033</v>
      </c>
    </row>
    <row r="124" spans="1:8" ht="14.1" customHeight="1" x14ac:dyDescent="0.2">
      <c r="A124" s="1"/>
      <c r="B124" s="1"/>
      <c r="C124" s="2" t="s">
        <v>122</v>
      </c>
      <c r="D124" s="1"/>
      <c r="E124" s="1" t="s">
        <v>123</v>
      </c>
      <c r="F124" s="9">
        <v>1203.8775681</v>
      </c>
      <c r="G124" s="10">
        <v>4.6881382999999999E-2</v>
      </c>
      <c r="H124" s="47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47"/>
    </row>
    <row r="126" spans="1:8" ht="14.1" customHeight="1" x14ac:dyDescent="0.2">
      <c r="A126" s="1"/>
      <c r="B126" s="1"/>
      <c r="C126" s="2" t="s">
        <v>141</v>
      </c>
      <c r="D126" s="1"/>
      <c r="E126" s="1"/>
      <c r="F126" s="9">
        <v>1203.8775681</v>
      </c>
      <c r="G126" s="10">
        <v>4.6881382999999999E-2</v>
      </c>
      <c r="H126" s="47"/>
    </row>
    <row r="127" spans="1:8" ht="14.1" customHeight="1" x14ac:dyDescent="0.2">
      <c r="A127" s="1"/>
      <c r="B127" s="1"/>
      <c r="C127" s="12"/>
      <c r="D127" s="1"/>
      <c r="E127" s="1"/>
      <c r="F127" s="1"/>
      <c r="G127" s="1"/>
      <c r="H127" s="47"/>
    </row>
    <row r="128" spans="1:8" ht="14.1" customHeight="1" x14ac:dyDescent="0.2">
      <c r="A128" s="1"/>
      <c r="B128" s="1"/>
      <c r="C128" s="2" t="s">
        <v>142</v>
      </c>
      <c r="D128" s="1"/>
      <c r="E128" s="1"/>
      <c r="F128" s="1"/>
      <c r="G128" s="1"/>
      <c r="H128" s="47"/>
    </row>
    <row r="129" spans="1:8" ht="14.1" customHeight="1" x14ac:dyDescent="0.2">
      <c r="A129" s="1"/>
      <c r="B129" s="1"/>
      <c r="C129" s="2" t="s">
        <v>143</v>
      </c>
      <c r="D129" s="1"/>
      <c r="E129" s="1"/>
      <c r="F129" s="1"/>
      <c r="G129" s="1"/>
      <c r="H129" s="47"/>
    </row>
    <row r="130" spans="1:8" ht="14.1" customHeight="1" x14ac:dyDescent="0.2">
      <c r="A130" s="1"/>
      <c r="B130" s="1"/>
      <c r="C130" s="2" t="s">
        <v>122</v>
      </c>
      <c r="D130" s="1"/>
      <c r="E130" s="1" t="s">
        <v>123</v>
      </c>
      <c r="F130" s="13">
        <v>0</v>
      </c>
      <c r="G130" s="14">
        <v>0</v>
      </c>
      <c r="H130" s="47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47"/>
    </row>
    <row r="132" spans="1:8" ht="14.1" customHeight="1" x14ac:dyDescent="0.2">
      <c r="A132" s="1"/>
      <c r="B132" s="1"/>
      <c r="C132" s="2" t="s">
        <v>144</v>
      </c>
      <c r="D132" s="1"/>
      <c r="E132" s="1"/>
      <c r="F132" s="1"/>
      <c r="G132" s="1"/>
      <c r="H132" s="47"/>
    </row>
    <row r="133" spans="1:8" ht="14.1" customHeight="1" x14ac:dyDescent="0.2">
      <c r="A133" s="1"/>
      <c r="B133" s="1"/>
      <c r="C133" s="2" t="s">
        <v>145</v>
      </c>
      <c r="D133" s="1"/>
      <c r="E133" s="1"/>
      <c r="F133" s="1"/>
      <c r="G133" s="1"/>
      <c r="H133" s="47"/>
    </row>
    <row r="134" spans="1:8" ht="14.1" customHeight="1" x14ac:dyDescent="0.2">
      <c r="A134" s="1"/>
      <c r="B134" s="1"/>
      <c r="C134" s="2" t="s">
        <v>122</v>
      </c>
      <c r="D134" s="1"/>
      <c r="E134" s="1" t="s">
        <v>123</v>
      </c>
      <c r="F134" s="13">
        <v>0</v>
      </c>
      <c r="G134" s="14">
        <v>0</v>
      </c>
      <c r="H134" s="47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47"/>
    </row>
    <row r="136" spans="1:8" ht="14.1" customHeight="1" x14ac:dyDescent="0.2">
      <c r="A136" s="1"/>
      <c r="B136" s="1"/>
      <c r="C136" s="11"/>
      <c r="D136" s="1"/>
      <c r="E136" s="1"/>
      <c r="F136" s="12"/>
      <c r="G136" s="12"/>
      <c r="H136" s="47"/>
    </row>
    <row r="137" spans="1:8" ht="24" customHeight="1" x14ac:dyDescent="0.2">
      <c r="A137" s="1"/>
      <c r="B137" s="1"/>
      <c r="C137" s="2" t="s">
        <v>146</v>
      </c>
      <c r="D137" s="1"/>
      <c r="E137" s="1"/>
      <c r="F137" s="12"/>
      <c r="G137" s="12"/>
      <c r="H137" s="47"/>
    </row>
    <row r="138" spans="1:8" ht="14.1" customHeight="1" x14ac:dyDescent="0.2">
      <c r="A138" s="1"/>
      <c r="B138" s="1"/>
      <c r="C138" s="2" t="s">
        <v>122</v>
      </c>
      <c r="D138" s="1"/>
      <c r="E138" s="1" t="s">
        <v>123</v>
      </c>
      <c r="F138" s="13">
        <v>0</v>
      </c>
      <c r="G138" s="14">
        <v>0</v>
      </c>
      <c r="H138" s="47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47"/>
    </row>
    <row r="140" spans="1:8" ht="14.1" customHeight="1" x14ac:dyDescent="0.2">
      <c r="A140" s="1"/>
      <c r="B140" s="4"/>
      <c r="C140" s="4"/>
      <c r="D140" s="2"/>
      <c r="E140" s="1"/>
      <c r="F140" s="4"/>
      <c r="G140" s="8"/>
      <c r="H140" s="47"/>
    </row>
    <row r="141" spans="1:8" ht="18" customHeight="1" x14ac:dyDescent="0.2">
      <c r="A141" s="8"/>
      <c r="B141" s="4"/>
      <c r="C141" s="4" t="s">
        <v>147</v>
      </c>
      <c r="D141" s="4"/>
      <c r="E141" s="8"/>
      <c r="F141" s="6">
        <v>467.21394642000001</v>
      </c>
      <c r="G141" s="7">
        <v>1.8194239000000001E-2</v>
      </c>
      <c r="H141" s="47"/>
    </row>
    <row r="142" spans="1:8" ht="14.1" customHeight="1" x14ac:dyDescent="0.2">
      <c r="A142" s="11"/>
      <c r="B142" s="11"/>
      <c r="C142" s="2" t="s">
        <v>148</v>
      </c>
      <c r="D142" s="15"/>
      <c r="E142" s="15"/>
      <c r="F142" s="9">
        <v>25679.224584520001</v>
      </c>
      <c r="G142" s="14">
        <v>0.99999999899999992</v>
      </c>
      <c r="H142" s="47"/>
    </row>
    <row r="143" spans="1:8" ht="14.1" customHeight="1" x14ac:dyDescent="0.2">
      <c r="A143" s="16"/>
      <c r="B143" s="16"/>
      <c r="C143" s="16"/>
      <c r="D143" s="17"/>
      <c r="E143" s="17"/>
      <c r="F143" s="17"/>
      <c r="G143" s="17"/>
    </row>
    <row r="144" spans="1:8" ht="17.100000000000001" customHeight="1" x14ac:dyDescent="0.2">
      <c r="A144" s="18"/>
      <c r="B144" s="264" t="s">
        <v>149</v>
      </c>
      <c r="C144" s="264"/>
      <c r="D144" s="264"/>
      <c r="E144" s="264"/>
      <c r="F144" s="264"/>
      <c r="G144" s="20"/>
    </row>
    <row r="145" spans="1:7" ht="14.1" customHeight="1" x14ac:dyDescent="0.2">
      <c r="A145" s="18"/>
      <c r="B145" s="18"/>
      <c r="C145" s="18"/>
      <c r="D145" s="20"/>
      <c r="E145" s="20"/>
      <c r="F145" s="20"/>
      <c r="G145" s="20"/>
    </row>
    <row r="146" spans="1:7" ht="14.1" customHeight="1" x14ac:dyDescent="0.2">
      <c r="A146" s="18"/>
      <c r="B146" s="257" t="s">
        <v>150</v>
      </c>
      <c r="C146" s="258"/>
      <c r="D146" s="12" t="s">
        <v>123</v>
      </c>
      <c r="E146" s="21"/>
      <c r="F146" s="20"/>
      <c r="G146" s="20"/>
    </row>
    <row r="147" spans="1:7" ht="29.1" customHeight="1" x14ac:dyDescent="0.2">
      <c r="A147" s="18"/>
      <c r="B147" s="259" t="s">
        <v>151</v>
      </c>
      <c r="C147" s="260"/>
      <c r="D147" s="2" t="s">
        <v>152</v>
      </c>
      <c r="E147" s="21"/>
      <c r="F147" s="20"/>
      <c r="G147" s="20"/>
    </row>
    <row r="148" spans="1:7" ht="17.100000000000001" customHeight="1" x14ac:dyDescent="0.2">
      <c r="A148" s="18"/>
      <c r="B148" s="259" t="s">
        <v>153</v>
      </c>
      <c r="C148" s="260"/>
      <c r="D148" s="2" t="s">
        <v>152</v>
      </c>
      <c r="E148" s="21"/>
      <c r="F148" s="20"/>
      <c r="G148" s="20"/>
    </row>
    <row r="149" spans="1:7" ht="17.100000000000001" customHeight="1" x14ac:dyDescent="0.2">
      <c r="A149" s="18"/>
      <c r="B149" s="259" t="s">
        <v>154</v>
      </c>
      <c r="C149" s="260"/>
      <c r="D149" s="12" t="s">
        <v>123</v>
      </c>
      <c r="E149" s="21"/>
      <c r="F149" s="20"/>
      <c r="G149" s="20"/>
    </row>
    <row r="150" spans="1:7" ht="24" customHeight="1" x14ac:dyDescent="0.2">
      <c r="A150" s="22"/>
      <c r="B150" s="23" t="s">
        <v>123</v>
      </c>
      <c r="C150" s="23" t="s">
        <v>155</v>
      </c>
      <c r="D150" s="23" t="s">
        <v>156</v>
      </c>
      <c r="E150" s="22"/>
      <c r="F150" s="22"/>
      <c r="G150" s="22"/>
    </row>
    <row r="151" spans="1:7" ht="18" customHeight="1" x14ac:dyDescent="0.2">
      <c r="A151" s="22"/>
      <c r="B151" s="23" t="s">
        <v>157</v>
      </c>
      <c r="C151" s="23" t="s">
        <v>158</v>
      </c>
      <c r="D151" s="23" t="s">
        <v>159</v>
      </c>
      <c r="E151" s="22"/>
      <c r="F151" s="22"/>
      <c r="G151" s="22"/>
    </row>
    <row r="152" spans="1:7" ht="17.100000000000001" customHeight="1" x14ac:dyDescent="0.2">
      <c r="A152" s="22"/>
      <c r="B152" s="4" t="s">
        <v>160</v>
      </c>
      <c r="C152" s="24">
        <v>17.495000000000001</v>
      </c>
      <c r="D152" s="24">
        <v>16.942699999999999</v>
      </c>
      <c r="E152" s="22"/>
      <c r="F152" s="19"/>
      <c r="G152" s="25"/>
    </row>
    <row r="153" spans="1:7" ht="17.100000000000001" customHeight="1" x14ac:dyDescent="0.2">
      <c r="A153" s="22"/>
      <c r="B153" s="4" t="s">
        <v>1101</v>
      </c>
      <c r="C153" s="24">
        <v>17.1737</v>
      </c>
      <c r="D153" s="24">
        <v>16.631599999999999</v>
      </c>
      <c r="E153" s="22"/>
      <c r="F153" s="19"/>
      <c r="G153" s="25"/>
    </row>
    <row r="154" spans="1:7" ht="17.100000000000001" customHeight="1" x14ac:dyDescent="0.2">
      <c r="A154" s="22"/>
      <c r="B154" s="4" t="s">
        <v>161</v>
      </c>
      <c r="C154" s="24">
        <v>16.949200000000001</v>
      </c>
      <c r="D154" s="24">
        <v>16.406099999999999</v>
      </c>
      <c r="E154" s="22"/>
      <c r="F154" s="19"/>
      <c r="G154" s="25"/>
    </row>
    <row r="155" spans="1:7" ht="17.100000000000001" customHeight="1" x14ac:dyDescent="0.2">
      <c r="A155" s="22"/>
      <c r="B155" s="4" t="s">
        <v>1102</v>
      </c>
      <c r="C155" s="24">
        <v>16.629899999999999</v>
      </c>
      <c r="D155" s="24">
        <v>16.097000000000001</v>
      </c>
      <c r="E155" s="22"/>
      <c r="F155" s="19"/>
      <c r="G155" s="25"/>
    </row>
    <row r="156" spans="1:7" ht="14.1" customHeight="1" x14ac:dyDescent="0.2">
      <c r="A156" s="22"/>
      <c r="B156" s="22"/>
      <c r="C156" s="22"/>
      <c r="D156" s="22"/>
      <c r="E156" s="22"/>
      <c r="F156" s="22"/>
      <c r="G156" s="22"/>
    </row>
    <row r="157" spans="1:7" ht="17.100000000000001" customHeight="1" x14ac:dyDescent="0.2">
      <c r="A157" s="22"/>
      <c r="B157" s="259" t="s">
        <v>1103</v>
      </c>
      <c r="C157" s="260"/>
      <c r="D157" s="2" t="s">
        <v>152</v>
      </c>
      <c r="E157" s="22"/>
      <c r="F157" s="22"/>
      <c r="G157" s="22"/>
    </row>
    <row r="158" spans="1:7" ht="18" customHeight="1" x14ac:dyDescent="0.2">
      <c r="A158" s="22"/>
      <c r="B158" s="26"/>
      <c r="C158" s="26"/>
      <c r="D158" s="27"/>
      <c r="E158" s="22"/>
      <c r="F158" s="22"/>
      <c r="G158" s="22"/>
    </row>
    <row r="159" spans="1:7" ht="29.1" customHeight="1" x14ac:dyDescent="0.2">
      <c r="A159" s="22"/>
      <c r="B159" s="259" t="s">
        <v>162</v>
      </c>
      <c r="C159" s="260"/>
      <c r="D159" s="2" t="s">
        <v>152</v>
      </c>
      <c r="E159" s="22"/>
      <c r="F159" s="22"/>
      <c r="G159" s="22"/>
    </row>
    <row r="160" spans="1:7" ht="29.1" customHeight="1" x14ac:dyDescent="0.2">
      <c r="A160" s="22"/>
      <c r="B160" s="259" t="s">
        <v>163</v>
      </c>
      <c r="C160" s="260"/>
      <c r="D160" s="2" t="s">
        <v>152</v>
      </c>
      <c r="E160" s="22"/>
      <c r="F160" s="22"/>
      <c r="G160" s="22"/>
    </row>
    <row r="161" spans="1:15" ht="17.100000000000001" customHeight="1" x14ac:dyDescent="0.2">
      <c r="A161" s="22"/>
      <c r="B161" s="259" t="s">
        <v>164</v>
      </c>
      <c r="C161" s="260"/>
      <c r="D161" s="28">
        <v>0.30628270984979916</v>
      </c>
      <c r="E161" s="22"/>
      <c r="F161" s="19"/>
      <c r="G161" s="25"/>
    </row>
    <row r="162" spans="1:15" ht="17.100000000000001" customHeight="1" x14ac:dyDescent="0.2">
      <c r="A162" s="22"/>
      <c r="B162" s="259" t="s">
        <v>165</v>
      </c>
      <c r="C162" s="260"/>
      <c r="D162" s="2" t="s">
        <v>152</v>
      </c>
      <c r="E162" s="22"/>
      <c r="F162" s="22"/>
      <c r="G162" s="22"/>
    </row>
    <row r="164" spans="1:15" x14ac:dyDescent="0.2">
      <c r="J164" s="148"/>
      <c r="K164" s="148"/>
      <c r="L164" s="148"/>
      <c r="M164" s="148"/>
      <c r="N164" s="148"/>
      <c r="O164" s="148"/>
    </row>
  </sheetData>
  <mergeCells count="14">
    <mergeCell ref="J2:N2"/>
    <mergeCell ref="B144:F144"/>
    <mergeCell ref="A1:H1"/>
    <mergeCell ref="A2:H2"/>
    <mergeCell ref="A3:H3"/>
    <mergeCell ref="B146:C146"/>
    <mergeCell ref="B161:C161"/>
    <mergeCell ref="B162:C162"/>
    <mergeCell ref="B147:C147"/>
    <mergeCell ref="B148:C148"/>
    <mergeCell ref="B149:C149"/>
    <mergeCell ref="B157:C157"/>
    <mergeCell ref="B159:C159"/>
    <mergeCell ref="B160:C16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16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495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261</v>
      </c>
      <c r="C7" s="4" t="s">
        <v>262</v>
      </c>
      <c r="D7" s="4" t="s">
        <v>80</v>
      </c>
      <c r="E7" s="5">
        <v>331190</v>
      </c>
      <c r="F7" s="6">
        <v>634.72563500000001</v>
      </c>
      <c r="G7" s="7">
        <v>3.475644E-2</v>
      </c>
      <c r="H7" s="47"/>
    </row>
    <row r="8" spans="1:14" ht="17.100000000000001" customHeight="1" x14ac:dyDescent="0.2">
      <c r="A8" s="3">
        <v>2</v>
      </c>
      <c r="B8" s="4" t="s">
        <v>254</v>
      </c>
      <c r="C8" s="4" t="s">
        <v>255</v>
      </c>
      <c r="D8" s="4" t="s">
        <v>28</v>
      </c>
      <c r="E8" s="5">
        <v>48334</v>
      </c>
      <c r="F8" s="6">
        <v>557.07351700000004</v>
      </c>
      <c r="G8" s="7">
        <v>3.0504349E-2</v>
      </c>
      <c r="H8" s="47"/>
    </row>
    <row r="9" spans="1:14" ht="29.1" customHeight="1" x14ac:dyDescent="0.2">
      <c r="A9" s="3">
        <v>3</v>
      </c>
      <c r="B9" s="4" t="s">
        <v>199</v>
      </c>
      <c r="C9" s="4" t="s">
        <v>200</v>
      </c>
      <c r="D9" s="4" t="s">
        <v>201</v>
      </c>
      <c r="E9" s="5">
        <v>14492</v>
      </c>
      <c r="F9" s="6">
        <v>529.18987200000004</v>
      </c>
      <c r="G9" s="7">
        <v>2.8977491000000001E-2</v>
      </c>
      <c r="H9" s="47"/>
    </row>
    <row r="10" spans="1:14" ht="17.100000000000001" customHeight="1" x14ac:dyDescent="0.2">
      <c r="A10" s="3">
        <v>4</v>
      </c>
      <c r="B10" s="4" t="s">
        <v>86</v>
      </c>
      <c r="C10" s="4" t="s">
        <v>87</v>
      </c>
      <c r="D10" s="4" t="s">
        <v>88</v>
      </c>
      <c r="E10" s="5">
        <v>113719</v>
      </c>
      <c r="F10" s="6">
        <v>493.19930299999999</v>
      </c>
      <c r="G10" s="7">
        <v>2.7006710999999999E-2</v>
      </c>
      <c r="H10" s="47"/>
    </row>
    <row r="11" spans="1:14" ht="17.100000000000001" customHeight="1" x14ac:dyDescent="0.2">
      <c r="A11" s="3">
        <v>5</v>
      </c>
      <c r="B11" s="4" t="s">
        <v>26</v>
      </c>
      <c r="C11" s="4" t="s">
        <v>27</v>
      </c>
      <c r="D11" s="4" t="s">
        <v>28</v>
      </c>
      <c r="E11" s="5">
        <v>28200</v>
      </c>
      <c r="F11" s="6">
        <v>474.62009999999998</v>
      </c>
      <c r="G11" s="7">
        <v>2.5989346999999999E-2</v>
      </c>
      <c r="H11" s="47"/>
    </row>
    <row r="12" spans="1:14" ht="17.100000000000001" customHeight="1" x14ac:dyDescent="0.2">
      <c r="A12" s="3">
        <v>6</v>
      </c>
      <c r="B12" s="4" t="s">
        <v>34</v>
      </c>
      <c r="C12" s="4" t="s">
        <v>35</v>
      </c>
      <c r="D12" s="4" t="s">
        <v>28</v>
      </c>
      <c r="E12" s="5">
        <v>31667</v>
      </c>
      <c r="F12" s="6">
        <v>469.85911249999998</v>
      </c>
      <c r="G12" s="7">
        <v>2.5728643999999998E-2</v>
      </c>
      <c r="H12" s="47"/>
    </row>
    <row r="13" spans="1:14" ht="17.100000000000001" customHeight="1" x14ac:dyDescent="0.2">
      <c r="A13" s="3">
        <v>7</v>
      </c>
      <c r="B13" s="4" t="s">
        <v>241</v>
      </c>
      <c r="C13" s="4" t="s">
        <v>242</v>
      </c>
      <c r="D13" s="4" t="s">
        <v>243</v>
      </c>
      <c r="E13" s="5">
        <v>91611</v>
      </c>
      <c r="F13" s="6">
        <v>465.79612950000001</v>
      </c>
      <c r="G13" s="7">
        <v>2.5506162999999998E-2</v>
      </c>
      <c r="H13" s="47"/>
      <c r="J13" s="147" t="s">
        <v>1120</v>
      </c>
    </row>
    <row r="14" spans="1:14" ht="17.100000000000001" customHeight="1" x14ac:dyDescent="0.2">
      <c r="A14" s="3">
        <v>8</v>
      </c>
      <c r="B14" s="4" t="s">
        <v>185</v>
      </c>
      <c r="C14" s="4" t="s">
        <v>186</v>
      </c>
      <c r="D14" s="4" t="s">
        <v>88</v>
      </c>
      <c r="E14" s="5">
        <v>86795</v>
      </c>
      <c r="F14" s="6">
        <v>456.28131500000001</v>
      </c>
      <c r="G14" s="7">
        <v>2.4985147999999999E-2</v>
      </c>
      <c r="H14" s="47"/>
    </row>
    <row r="15" spans="1:14" ht="17.100000000000001" customHeight="1" x14ac:dyDescent="0.2">
      <c r="A15" s="3">
        <v>9</v>
      </c>
      <c r="B15" s="4" t="s">
        <v>177</v>
      </c>
      <c r="C15" s="4" t="s">
        <v>178</v>
      </c>
      <c r="D15" s="4" t="s">
        <v>91</v>
      </c>
      <c r="E15" s="5">
        <v>551852</v>
      </c>
      <c r="F15" s="6">
        <v>452.51864</v>
      </c>
      <c r="G15" s="7">
        <v>2.4779110999999999E-2</v>
      </c>
      <c r="H15" s="47"/>
    </row>
    <row r="16" spans="1:14" ht="17.100000000000001" customHeight="1" x14ac:dyDescent="0.2">
      <c r="A16" s="3">
        <v>10</v>
      </c>
      <c r="B16" s="4" t="s">
        <v>467</v>
      </c>
      <c r="C16" s="4" t="s">
        <v>468</v>
      </c>
      <c r="D16" s="4" t="s">
        <v>28</v>
      </c>
      <c r="E16" s="5">
        <v>64998</v>
      </c>
      <c r="F16" s="6">
        <v>432.98417699999999</v>
      </c>
      <c r="G16" s="7">
        <v>2.3709438999999999E-2</v>
      </c>
      <c r="H16" s="47"/>
    </row>
    <row r="17" spans="1:8" ht="17.100000000000001" customHeight="1" x14ac:dyDescent="0.2">
      <c r="A17" s="3">
        <v>11</v>
      </c>
      <c r="B17" s="4" t="s">
        <v>189</v>
      </c>
      <c r="C17" s="4" t="s">
        <v>190</v>
      </c>
      <c r="D17" s="4" t="s">
        <v>191</v>
      </c>
      <c r="E17" s="5">
        <v>82518</v>
      </c>
      <c r="F17" s="6">
        <v>427.154427</v>
      </c>
      <c r="G17" s="7">
        <v>2.3390212000000001E-2</v>
      </c>
      <c r="H17" s="47"/>
    </row>
    <row r="18" spans="1:8" ht="29.1" customHeight="1" x14ac:dyDescent="0.2">
      <c r="A18" s="3">
        <v>12</v>
      </c>
      <c r="B18" s="4" t="s">
        <v>175</v>
      </c>
      <c r="C18" s="4" t="s">
        <v>176</v>
      </c>
      <c r="D18" s="4" t="s">
        <v>88</v>
      </c>
      <c r="E18" s="5">
        <v>119766</v>
      </c>
      <c r="F18" s="6">
        <v>407.384049</v>
      </c>
      <c r="G18" s="7">
        <v>2.2307621999999999E-2</v>
      </c>
      <c r="H18" s="47"/>
    </row>
    <row r="19" spans="1:8" ht="17.100000000000001" customHeight="1" x14ac:dyDescent="0.2">
      <c r="A19" s="3">
        <v>13</v>
      </c>
      <c r="B19" s="4" t="s">
        <v>169</v>
      </c>
      <c r="C19" s="4" t="s">
        <v>170</v>
      </c>
      <c r="D19" s="4" t="s">
        <v>171</v>
      </c>
      <c r="E19" s="5">
        <v>35713</v>
      </c>
      <c r="F19" s="6">
        <v>378.664939</v>
      </c>
      <c r="G19" s="7">
        <v>2.0735014999999999E-2</v>
      </c>
      <c r="H19" s="47"/>
    </row>
    <row r="20" spans="1:8" ht="17.100000000000001" customHeight="1" x14ac:dyDescent="0.2">
      <c r="A20" s="3">
        <v>14</v>
      </c>
      <c r="B20" s="4" t="s">
        <v>263</v>
      </c>
      <c r="C20" s="4" t="s">
        <v>264</v>
      </c>
      <c r="D20" s="4" t="s">
        <v>28</v>
      </c>
      <c r="E20" s="5">
        <v>45088</v>
      </c>
      <c r="F20" s="6">
        <v>377.74726399999997</v>
      </c>
      <c r="G20" s="7">
        <v>2.0684764000000001E-2</v>
      </c>
      <c r="H20" s="47"/>
    </row>
    <row r="21" spans="1:8" ht="17.100000000000001" customHeight="1" x14ac:dyDescent="0.2">
      <c r="A21" s="3">
        <v>15</v>
      </c>
      <c r="B21" s="4" t="s">
        <v>265</v>
      </c>
      <c r="C21" s="4" t="s">
        <v>266</v>
      </c>
      <c r="D21" s="4" t="s">
        <v>97</v>
      </c>
      <c r="E21" s="5">
        <v>30347</v>
      </c>
      <c r="F21" s="6">
        <v>359.21743900000001</v>
      </c>
      <c r="G21" s="7">
        <v>1.9670104000000001E-2</v>
      </c>
      <c r="H21" s="47"/>
    </row>
    <row r="22" spans="1:8" ht="17.100000000000001" customHeight="1" x14ac:dyDescent="0.2">
      <c r="A22" s="3">
        <v>16</v>
      </c>
      <c r="B22" s="4" t="s">
        <v>172</v>
      </c>
      <c r="C22" s="4" t="s">
        <v>173</v>
      </c>
      <c r="D22" s="4" t="s">
        <v>174</v>
      </c>
      <c r="E22" s="5">
        <v>32200</v>
      </c>
      <c r="F22" s="6">
        <v>349.37</v>
      </c>
      <c r="G22" s="7">
        <v>1.9130876000000002E-2</v>
      </c>
      <c r="H22" s="47"/>
    </row>
    <row r="23" spans="1:8" ht="17.100000000000001" customHeight="1" x14ac:dyDescent="0.2">
      <c r="A23" s="3">
        <v>17</v>
      </c>
      <c r="B23" s="4" t="s">
        <v>207</v>
      </c>
      <c r="C23" s="4" t="s">
        <v>208</v>
      </c>
      <c r="D23" s="4" t="s">
        <v>209</v>
      </c>
      <c r="E23" s="5">
        <v>124748</v>
      </c>
      <c r="F23" s="6">
        <v>346.86181399999998</v>
      </c>
      <c r="G23" s="7">
        <v>1.8993532E-2</v>
      </c>
      <c r="H23" s="47"/>
    </row>
    <row r="24" spans="1:8" ht="17.100000000000001" customHeight="1" x14ac:dyDescent="0.2">
      <c r="A24" s="3">
        <v>18</v>
      </c>
      <c r="B24" s="4" t="s">
        <v>228</v>
      </c>
      <c r="C24" s="4" t="s">
        <v>229</v>
      </c>
      <c r="D24" s="4" t="s">
        <v>191</v>
      </c>
      <c r="E24" s="5">
        <v>10158</v>
      </c>
      <c r="F24" s="6">
        <v>345.554844</v>
      </c>
      <c r="G24" s="7">
        <v>1.8921964999999999E-2</v>
      </c>
      <c r="H24" s="47"/>
    </row>
    <row r="25" spans="1:8" ht="17.100000000000001" customHeight="1" x14ac:dyDescent="0.2">
      <c r="A25" s="3">
        <v>19</v>
      </c>
      <c r="B25" s="4" t="s">
        <v>220</v>
      </c>
      <c r="C25" s="4" t="s">
        <v>221</v>
      </c>
      <c r="D25" s="4" t="s">
        <v>91</v>
      </c>
      <c r="E25" s="5">
        <v>44577</v>
      </c>
      <c r="F25" s="6">
        <v>331.51914900000003</v>
      </c>
      <c r="G25" s="7">
        <v>1.8153394999999999E-2</v>
      </c>
      <c r="H25" s="47"/>
    </row>
    <row r="26" spans="1:8" ht="17.100000000000001" customHeight="1" x14ac:dyDescent="0.2">
      <c r="A26" s="3">
        <v>20</v>
      </c>
      <c r="B26" s="4" t="s">
        <v>192</v>
      </c>
      <c r="C26" s="4" t="s">
        <v>193</v>
      </c>
      <c r="D26" s="4" t="s">
        <v>184</v>
      </c>
      <c r="E26" s="5">
        <v>27031</v>
      </c>
      <c r="F26" s="6">
        <v>326.04792200000003</v>
      </c>
      <c r="G26" s="7">
        <v>1.7853800999999999E-2</v>
      </c>
      <c r="H26" s="47"/>
    </row>
    <row r="27" spans="1:8" ht="17.100000000000001" customHeight="1" x14ac:dyDescent="0.2">
      <c r="A27" s="3">
        <v>21</v>
      </c>
      <c r="B27" s="4" t="s">
        <v>471</v>
      </c>
      <c r="C27" s="4" t="s">
        <v>472</v>
      </c>
      <c r="D27" s="4" t="s">
        <v>88</v>
      </c>
      <c r="E27" s="5">
        <v>32500</v>
      </c>
      <c r="F27" s="6">
        <v>299.91000000000003</v>
      </c>
      <c r="G27" s="7">
        <v>1.6422534999999999E-2</v>
      </c>
      <c r="H27" s="47"/>
    </row>
    <row r="28" spans="1:8" ht="29.1" customHeight="1" x14ac:dyDescent="0.2">
      <c r="A28" s="3">
        <v>22</v>
      </c>
      <c r="B28" s="4" t="s">
        <v>469</v>
      </c>
      <c r="C28" s="4" t="s">
        <v>470</v>
      </c>
      <c r="D28" s="4" t="s">
        <v>40</v>
      </c>
      <c r="E28" s="5">
        <v>15644</v>
      </c>
      <c r="F28" s="6">
        <v>293.18420400000002</v>
      </c>
      <c r="G28" s="7">
        <v>1.6054242E-2</v>
      </c>
      <c r="H28" s="47"/>
    </row>
    <row r="29" spans="1:8" ht="17.100000000000001" customHeight="1" x14ac:dyDescent="0.2">
      <c r="A29" s="3">
        <v>23</v>
      </c>
      <c r="B29" s="4" t="s">
        <v>182</v>
      </c>
      <c r="C29" s="4" t="s">
        <v>183</v>
      </c>
      <c r="D29" s="4" t="s">
        <v>184</v>
      </c>
      <c r="E29" s="5">
        <v>22068</v>
      </c>
      <c r="F29" s="6">
        <v>288.63840599999997</v>
      </c>
      <c r="G29" s="7">
        <v>1.5805323E-2</v>
      </c>
      <c r="H29" s="47"/>
    </row>
    <row r="30" spans="1:8" ht="29.1" customHeight="1" x14ac:dyDescent="0.2">
      <c r="A30" s="3">
        <v>24</v>
      </c>
      <c r="B30" s="4" t="s">
        <v>179</v>
      </c>
      <c r="C30" s="4" t="s">
        <v>180</v>
      </c>
      <c r="D30" s="4" t="s">
        <v>181</v>
      </c>
      <c r="E30" s="5">
        <v>42321</v>
      </c>
      <c r="F30" s="6">
        <v>259.70281649999998</v>
      </c>
      <c r="G30" s="7">
        <v>1.4220862000000001E-2</v>
      </c>
      <c r="H30" s="47"/>
    </row>
    <row r="31" spans="1:8" ht="29.1" customHeight="1" x14ac:dyDescent="0.2">
      <c r="A31" s="3">
        <v>25</v>
      </c>
      <c r="B31" s="4" t="s">
        <v>230</v>
      </c>
      <c r="C31" s="4" t="s">
        <v>231</v>
      </c>
      <c r="D31" s="4" t="s">
        <v>204</v>
      </c>
      <c r="E31" s="5">
        <v>69018</v>
      </c>
      <c r="F31" s="6">
        <v>253.330569</v>
      </c>
      <c r="G31" s="7">
        <v>1.3871929E-2</v>
      </c>
      <c r="H31" s="47"/>
    </row>
    <row r="32" spans="1:8" ht="17.100000000000001" customHeight="1" x14ac:dyDescent="0.2">
      <c r="A32" s="3">
        <v>26</v>
      </c>
      <c r="B32" s="4" t="s">
        <v>473</v>
      </c>
      <c r="C32" s="4" t="s">
        <v>474</v>
      </c>
      <c r="D32" s="4" t="s">
        <v>45</v>
      </c>
      <c r="E32" s="5">
        <v>37237</v>
      </c>
      <c r="F32" s="6">
        <v>251.3683685</v>
      </c>
      <c r="G32" s="7">
        <v>1.3764482E-2</v>
      </c>
      <c r="H32" s="47"/>
    </row>
    <row r="33" spans="1:8" ht="17.100000000000001" customHeight="1" x14ac:dyDescent="0.2">
      <c r="A33" s="3">
        <v>27</v>
      </c>
      <c r="B33" s="4" t="s">
        <v>187</v>
      </c>
      <c r="C33" s="4" t="s">
        <v>188</v>
      </c>
      <c r="D33" s="4" t="s">
        <v>91</v>
      </c>
      <c r="E33" s="5">
        <v>57610</v>
      </c>
      <c r="F33" s="6">
        <v>245.62023500000001</v>
      </c>
      <c r="G33" s="7">
        <v>1.3449724999999999E-2</v>
      </c>
      <c r="H33" s="47"/>
    </row>
    <row r="34" spans="1:8" ht="17.100000000000001" customHeight="1" x14ac:dyDescent="0.2">
      <c r="A34" s="3">
        <v>28</v>
      </c>
      <c r="B34" s="4" t="s">
        <v>334</v>
      </c>
      <c r="C34" s="4" t="s">
        <v>335</v>
      </c>
      <c r="D34" s="4" t="s">
        <v>94</v>
      </c>
      <c r="E34" s="5">
        <v>5394</v>
      </c>
      <c r="F34" s="6">
        <v>235.71240599999999</v>
      </c>
      <c r="G34" s="7">
        <v>1.2907190000000001E-2</v>
      </c>
      <c r="H34" s="47"/>
    </row>
    <row r="35" spans="1:8" ht="29.1" customHeight="1" x14ac:dyDescent="0.2">
      <c r="A35" s="3">
        <v>29</v>
      </c>
      <c r="B35" s="4" t="s">
        <v>52</v>
      </c>
      <c r="C35" s="4" t="s">
        <v>53</v>
      </c>
      <c r="D35" s="4" t="s">
        <v>25</v>
      </c>
      <c r="E35" s="5">
        <v>10728</v>
      </c>
      <c r="F35" s="6">
        <v>226.24815599999999</v>
      </c>
      <c r="G35" s="7">
        <v>1.2388944000000001E-2</v>
      </c>
      <c r="H35" s="47"/>
    </row>
    <row r="36" spans="1:8" ht="17.100000000000001" customHeight="1" x14ac:dyDescent="0.2">
      <c r="A36" s="3">
        <v>30</v>
      </c>
      <c r="B36" s="4" t="s">
        <v>267</v>
      </c>
      <c r="C36" s="4" t="s">
        <v>268</v>
      </c>
      <c r="D36" s="4" t="s">
        <v>171</v>
      </c>
      <c r="E36" s="5">
        <v>29851</v>
      </c>
      <c r="F36" s="6">
        <v>225.8675915</v>
      </c>
      <c r="G36" s="7">
        <v>1.2368105000000001E-2</v>
      </c>
      <c r="H36" s="47"/>
    </row>
    <row r="37" spans="1:8" ht="29.1" customHeight="1" x14ac:dyDescent="0.2">
      <c r="A37" s="3">
        <v>31</v>
      </c>
      <c r="B37" s="4" t="s">
        <v>275</v>
      </c>
      <c r="C37" s="4" t="s">
        <v>276</v>
      </c>
      <c r="D37" s="4" t="s">
        <v>238</v>
      </c>
      <c r="E37" s="5">
        <v>41627</v>
      </c>
      <c r="F37" s="6">
        <v>220.872862</v>
      </c>
      <c r="G37" s="7">
        <v>1.2094603000000001E-2</v>
      </c>
      <c r="H37" s="47"/>
    </row>
    <row r="38" spans="1:8" ht="29.1" customHeight="1" x14ac:dyDescent="0.2">
      <c r="A38" s="3">
        <v>32</v>
      </c>
      <c r="B38" s="4" t="s">
        <v>196</v>
      </c>
      <c r="C38" s="4" t="s">
        <v>197</v>
      </c>
      <c r="D38" s="4" t="s">
        <v>198</v>
      </c>
      <c r="E38" s="5">
        <v>16998</v>
      </c>
      <c r="F38" s="6">
        <v>216.087075</v>
      </c>
      <c r="G38" s="7">
        <v>1.1832542E-2</v>
      </c>
      <c r="H38" s="47"/>
    </row>
    <row r="39" spans="1:8" ht="17.100000000000001" customHeight="1" x14ac:dyDescent="0.2">
      <c r="A39" s="3">
        <v>33</v>
      </c>
      <c r="B39" s="4" t="s">
        <v>194</v>
      </c>
      <c r="C39" s="4" t="s">
        <v>195</v>
      </c>
      <c r="D39" s="4" t="s">
        <v>174</v>
      </c>
      <c r="E39" s="5">
        <v>42900</v>
      </c>
      <c r="F39" s="6">
        <v>213.3417</v>
      </c>
      <c r="G39" s="7">
        <v>1.168221E-2</v>
      </c>
      <c r="H39" s="47"/>
    </row>
    <row r="40" spans="1:8" ht="29.1" customHeight="1" x14ac:dyDescent="0.2">
      <c r="A40" s="3">
        <v>34</v>
      </c>
      <c r="B40" s="4" t="s">
        <v>202</v>
      </c>
      <c r="C40" s="4" t="s">
        <v>203</v>
      </c>
      <c r="D40" s="4" t="s">
        <v>204</v>
      </c>
      <c r="E40" s="5">
        <v>44802</v>
      </c>
      <c r="F40" s="6">
        <v>208.19489400000001</v>
      </c>
      <c r="G40" s="7">
        <v>1.140038E-2</v>
      </c>
      <c r="H40" s="47"/>
    </row>
    <row r="41" spans="1:8" ht="17.100000000000001" customHeight="1" x14ac:dyDescent="0.2">
      <c r="A41" s="3">
        <v>35</v>
      </c>
      <c r="B41" s="4" t="s">
        <v>32</v>
      </c>
      <c r="C41" s="4" t="s">
        <v>33</v>
      </c>
      <c r="D41" s="4" t="s">
        <v>28</v>
      </c>
      <c r="E41" s="5">
        <v>5865</v>
      </c>
      <c r="F41" s="6">
        <v>207.20165249999999</v>
      </c>
      <c r="G41" s="7">
        <v>1.1345991999999999E-2</v>
      </c>
      <c r="H41" s="47"/>
    </row>
    <row r="42" spans="1:8" ht="29.1" customHeight="1" x14ac:dyDescent="0.2">
      <c r="A42" s="3">
        <v>36</v>
      </c>
      <c r="B42" s="4" t="s">
        <v>224</v>
      </c>
      <c r="C42" s="4" t="s">
        <v>225</v>
      </c>
      <c r="D42" s="4" t="s">
        <v>181</v>
      </c>
      <c r="E42" s="5">
        <v>44870</v>
      </c>
      <c r="F42" s="6">
        <v>203.66493</v>
      </c>
      <c r="G42" s="7">
        <v>1.1152327E-2</v>
      </c>
      <c r="H42" s="47"/>
    </row>
    <row r="43" spans="1:8" ht="17.100000000000001" customHeight="1" x14ac:dyDescent="0.2">
      <c r="A43" s="3">
        <v>37</v>
      </c>
      <c r="B43" s="4" t="s">
        <v>271</v>
      </c>
      <c r="C43" s="4" t="s">
        <v>272</v>
      </c>
      <c r="D43" s="4" t="s">
        <v>94</v>
      </c>
      <c r="E43" s="5">
        <v>10936</v>
      </c>
      <c r="F43" s="6">
        <v>201.36456799999999</v>
      </c>
      <c r="G43" s="7">
        <v>1.1026363000000001E-2</v>
      </c>
      <c r="H43" s="47"/>
    </row>
    <row r="44" spans="1:8" ht="17.100000000000001" customHeight="1" x14ac:dyDescent="0.2">
      <c r="A44" s="3">
        <v>38</v>
      </c>
      <c r="B44" s="4" t="s">
        <v>477</v>
      </c>
      <c r="C44" s="4" t="s">
        <v>478</v>
      </c>
      <c r="D44" s="4" t="s">
        <v>91</v>
      </c>
      <c r="E44" s="5">
        <v>19196</v>
      </c>
      <c r="F44" s="6">
        <v>194.99296799999999</v>
      </c>
      <c r="G44" s="7">
        <v>1.0677466E-2</v>
      </c>
      <c r="H44" s="47"/>
    </row>
    <row r="45" spans="1:8" ht="17.100000000000001" customHeight="1" x14ac:dyDescent="0.2">
      <c r="A45" s="3">
        <v>39</v>
      </c>
      <c r="B45" s="4" t="s">
        <v>475</v>
      </c>
      <c r="C45" s="4" t="s">
        <v>476</v>
      </c>
      <c r="D45" s="4" t="s">
        <v>28</v>
      </c>
      <c r="E45" s="5">
        <v>25628</v>
      </c>
      <c r="F45" s="6">
        <v>183.72713200000001</v>
      </c>
      <c r="G45" s="7">
        <v>1.0060569E-2</v>
      </c>
      <c r="H45" s="47"/>
    </row>
    <row r="46" spans="1:8" ht="17.100000000000001" customHeight="1" x14ac:dyDescent="0.2">
      <c r="A46" s="3">
        <v>40</v>
      </c>
      <c r="B46" s="4" t="s">
        <v>95</v>
      </c>
      <c r="C46" s="4" t="s">
        <v>96</v>
      </c>
      <c r="D46" s="4" t="s">
        <v>97</v>
      </c>
      <c r="E46" s="5">
        <v>40384</v>
      </c>
      <c r="F46" s="6">
        <v>179.46649600000001</v>
      </c>
      <c r="G46" s="7">
        <v>9.8272640000000005E-3</v>
      </c>
      <c r="H46" s="47"/>
    </row>
    <row r="47" spans="1:8" ht="17.100000000000001" customHeight="1" x14ac:dyDescent="0.2">
      <c r="A47" s="3">
        <v>41</v>
      </c>
      <c r="B47" s="4" t="s">
        <v>210</v>
      </c>
      <c r="C47" s="4" t="s">
        <v>211</v>
      </c>
      <c r="D47" s="4" t="s">
        <v>16</v>
      </c>
      <c r="E47" s="5">
        <v>81545</v>
      </c>
      <c r="F47" s="6">
        <v>177.11573999999999</v>
      </c>
      <c r="G47" s="7">
        <v>9.6985409999999998E-3</v>
      </c>
      <c r="H47" s="47"/>
    </row>
    <row r="48" spans="1:8" ht="29.1" customHeight="1" x14ac:dyDescent="0.2">
      <c r="A48" s="3">
        <v>42</v>
      </c>
      <c r="B48" s="4" t="s">
        <v>390</v>
      </c>
      <c r="C48" s="4" t="s">
        <v>391</v>
      </c>
      <c r="D48" s="4" t="s">
        <v>201</v>
      </c>
      <c r="E48" s="5">
        <v>28959</v>
      </c>
      <c r="F48" s="6">
        <v>176.67885899999999</v>
      </c>
      <c r="G48" s="7">
        <v>9.6746179999999994E-3</v>
      </c>
      <c r="H48" s="47"/>
    </row>
    <row r="49" spans="1:8" ht="17.100000000000001" customHeight="1" x14ac:dyDescent="0.2">
      <c r="A49" s="3">
        <v>43</v>
      </c>
      <c r="B49" s="4" t="s">
        <v>226</v>
      </c>
      <c r="C49" s="4" t="s">
        <v>227</v>
      </c>
      <c r="D49" s="4" t="s">
        <v>13</v>
      </c>
      <c r="E49" s="5">
        <v>235040</v>
      </c>
      <c r="F49" s="6">
        <v>171.93176</v>
      </c>
      <c r="G49" s="7">
        <v>9.4146760000000003E-3</v>
      </c>
      <c r="H49" s="47"/>
    </row>
    <row r="50" spans="1:8" ht="29.1" customHeight="1" x14ac:dyDescent="0.2">
      <c r="A50" s="3">
        <v>44</v>
      </c>
      <c r="B50" s="4" t="s">
        <v>236</v>
      </c>
      <c r="C50" s="4" t="s">
        <v>237</v>
      </c>
      <c r="D50" s="4" t="s">
        <v>238</v>
      </c>
      <c r="E50" s="5">
        <v>43436</v>
      </c>
      <c r="F50" s="6">
        <v>166.555342</v>
      </c>
      <c r="G50" s="7">
        <v>9.1202729999999999E-3</v>
      </c>
      <c r="H50" s="47"/>
    </row>
    <row r="51" spans="1:8" ht="29.1" customHeight="1" x14ac:dyDescent="0.2">
      <c r="A51" s="3">
        <v>45</v>
      </c>
      <c r="B51" s="4" t="s">
        <v>205</v>
      </c>
      <c r="C51" s="4" t="s">
        <v>206</v>
      </c>
      <c r="D51" s="4" t="s">
        <v>204</v>
      </c>
      <c r="E51" s="5">
        <v>10472</v>
      </c>
      <c r="F51" s="6">
        <v>164.68790799999999</v>
      </c>
      <c r="G51" s="7">
        <v>9.0180150000000008E-3</v>
      </c>
      <c r="H51" s="47"/>
    </row>
    <row r="52" spans="1:8" ht="29.1" customHeight="1" x14ac:dyDescent="0.2">
      <c r="A52" s="3">
        <v>46</v>
      </c>
      <c r="B52" s="4" t="s">
        <v>212</v>
      </c>
      <c r="C52" s="4" t="s">
        <v>213</v>
      </c>
      <c r="D52" s="4" t="s">
        <v>214</v>
      </c>
      <c r="E52" s="5">
        <v>174591</v>
      </c>
      <c r="F52" s="6">
        <v>164.11554000000001</v>
      </c>
      <c r="G52" s="7">
        <v>8.9866730000000006E-3</v>
      </c>
      <c r="H52" s="47"/>
    </row>
    <row r="53" spans="1:8" ht="29.1" customHeight="1" x14ac:dyDescent="0.2">
      <c r="A53" s="3">
        <v>47</v>
      </c>
      <c r="B53" s="4" t="s">
        <v>290</v>
      </c>
      <c r="C53" s="4" t="s">
        <v>291</v>
      </c>
      <c r="D53" s="4" t="s">
        <v>292</v>
      </c>
      <c r="E53" s="5">
        <v>52168</v>
      </c>
      <c r="F53" s="6">
        <v>160.312264</v>
      </c>
      <c r="G53" s="7">
        <v>8.7784130000000005E-3</v>
      </c>
      <c r="H53" s="47"/>
    </row>
    <row r="54" spans="1:8" ht="17.100000000000001" customHeight="1" x14ac:dyDescent="0.2">
      <c r="A54" s="3">
        <v>48</v>
      </c>
      <c r="B54" s="4" t="s">
        <v>479</v>
      </c>
      <c r="C54" s="4" t="s">
        <v>480</v>
      </c>
      <c r="D54" s="4" t="s">
        <v>88</v>
      </c>
      <c r="E54" s="5">
        <v>17492</v>
      </c>
      <c r="F54" s="6">
        <v>158.08394999999999</v>
      </c>
      <c r="G54" s="7">
        <v>8.6563939999999995E-3</v>
      </c>
      <c r="H54" s="47"/>
    </row>
    <row r="55" spans="1:8" ht="17.100000000000001" customHeight="1" x14ac:dyDescent="0.2">
      <c r="A55" s="3">
        <v>49</v>
      </c>
      <c r="B55" s="4" t="s">
        <v>269</v>
      </c>
      <c r="C55" s="4" t="s">
        <v>270</v>
      </c>
      <c r="D55" s="4" t="s">
        <v>91</v>
      </c>
      <c r="E55" s="5">
        <v>320700</v>
      </c>
      <c r="F55" s="6">
        <v>157.62405000000001</v>
      </c>
      <c r="G55" s="7">
        <v>8.6312109999999997E-3</v>
      </c>
      <c r="H55" s="47"/>
    </row>
    <row r="56" spans="1:8" ht="29.1" customHeight="1" x14ac:dyDescent="0.2">
      <c r="A56" s="3">
        <v>50</v>
      </c>
      <c r="B56" s="4" t="s">
        <v>256</v>
      </c>
      <c r="C56" s="4" t="s">
        <v>257</v>
      </c>
      <c r="D56" s="4" t="s">
        <v>88</v>
      </c>
      <c r="E56" s="5">
        <v>10609</v>
      </c>
      <c r="F56" s="6">
        <v>157.14581250000001</v>
      </c>
      <c r="G56" s="7">
        <v>8.6050239999999993E-3</v>
      </c>
      <c r="H56" s="47"/>
    </row>
    <row r="57" spans="1:8" ht="53.1" customHeight="1" x14ac:dyDescent="0.2">
      <c r="A57" s="3">
        <v>51</v>
      </c>
      <c r="B57" s="4" t="s">
        <v>422</v>
      </c>
      <c r="C57" s="4" t="s">
        <v>423</v>
      </c>
      <c r="D57" s="4" t="s">
        <v>62</v>
      </c>
      <c r="E57" s="5">
        <v>74468</v>
      </c>
      <c r="F57" s="6">
        <v>154.89344</v>
      </c>
      <c r="G57" s="7">
        <v>8.4816879999999994E-3</v>
      </c>
      <c r="H57" s="47"/>
    </row>
    <row r="58" spans="1:8" ht="17.100000000000001" customHeight="1" x14ac:dyDescent="0.2">
      <c r="A58" s="3">
        <v>52</v>
      </c>
      <c r="B58" s="4" t="s">
        <v>215</v>
      </c>
      <c r="C58" s="4" t="s">
        <v>216</v>
      </c>
      <c r="D58" s="4" t="s">
        <v>217</v>
      </c>
      <c r="E58" s="5">
        <v>55539</v>
      </c>
      <c r="F58" s="6">
        <v>147.0395025</v>
      </c>
      <c r="G58" s="7">
        <v>8.0516200000000007E-3</v>
      </c>
      <c r="H58" s="47"/>
    </row>
    <row r="59" spans="1:8" ht="17.100000000000001" customHeight="1" x14ac:dyDescent="0.2">
      <c r="A59" s="3">
        <v>53</v>
      </c>
      <c r="B59" s="4" t="s">
        <v>481</v>
      </c>
      <c r="C59" s="4" t="s">
        <v>482</v>
      </c>
      <c r="D59" s="4" t="s">
        <v>28</v>
      </c>
      <c r="E59" s="5">
        <v>29124</v>
      </c>
      <c r="F59" s="6">
        <v>146.05686</v>
      </c>
      <c r="G59" s="7">
        <v>7.997812E-3</v>
      </c>
      <c r="H59" s="47"/>
    </row>
    <row r="60" spans="1:8" ht="17.100000000000001" customHeight="1" x14ac:dyDescent="0.2">
      <c r="A60" s="3">
        <v>54</v>
      </c>
      <c r="B60" s="4" t="s">
        <v>483</v>
      </c>
      <c r="C60" s="4" t="s">
        <v>484</v>
      </c>
      <c r="D60" s="4" t="s">
        <v>303</v>
      </c>
      <c r="E60" s="5">
        <v>19644</v>
      </c>
      <c r="F60" s="6">
        <v>145.63079400000001</v>
      </c>
      <c r="G60" s="7">
        <v>7.9744819999999998E-3</v>
      </c>
      <c r="H60" s="47"/>
    </row>
    <row r="61" spans="1:8" ht="17.100000000000001" customHeight="1" x14ac:dyDescent="0.2">
      <c r="A61" s="3">
        <v>55</v>
      </c>
      <c r="B61" s="4" t="s">
        <v>222</v>
      </c>
      <c r="C61" s="4" t="s">
        <v>223</v>
      </c>
      <c r="D61" s="4" t="s">
        <v>13</v>
      </c>
      <c r="E61" s="5">
        <v>39951</v>
      </c>
      <c r="F61" s="6">
        <v>142.50521699999999</v>
      </c>
      <c r="G61" s="7">
        <v>7.8033310000000002E-3</v>
      </c>
      <c r="H61" s="47"/>
    </row>
    <row r="62" spans="1:8" ht="41.1" customHeight="1" x14ac:dyDescent="0.2">
      <c r="A62" s="3">
        <v>56</v>
      </c>
      <c r="B62" s="4" t="s">
        <v>283</v>
      </c>
      <c r="C62" s="4" t="s">
        <v>284</v>
      </c>
      <c r="D62" s="4" t="s">
        <v>285</v>
      </c>
      <c r="E62" s="5">
        <v>19348</v>
      </c>
      <c r="F62" s="6">
        <v>138.37689599999999</v>
      </c>
      <c r="G62" s="7">
        <v>7.577271E-3</v>
      </c>
      <c r="H62" s="47"/>
    </row>
    <row r="63" spans="1:8" ht="17.100000000000001" customHeight="1" x14ac:dyDescent="0.2">
      <c r="A63" s="3">
        <v>57</v>
      </c>
      <c r="B63" s="4" t="s">
        <v>281</v>
      </c>
      <c r="C63" s="4" t="s">
        <v>282</v>
      </c>
      <c r="D63" s="4" t="s">
        <v>94</v>
      </c>
      <c r="E63" s="5">
        <v>21471</v>
      </c>
      <c r="F63" s="6">
        <v>134.65537649999999</v>
      </c>
      <c r="G63" s="7">
        <v>7.3734869999999997E-3</v>
      </c>
      <c r="H63" s="47"/>
    </row>
    <row r="64" spans="1:8" ht="17.100000000000001" customHeight="1" x14ac:dyDescent="0.2">
      <c r="A64" s="3">
        <v>58</v>
      </c>
      <c r="B64" s="4" t="s">
        <v>244</v>
      </c>
      <c r="C64" s="4" t="s">
        <v>245</v>
      </c>
      <c r="D64" s="4" t="s">
        <v>88</v>
      </c>
      <c r="E64" s="5">
        <v>70796</v>
      </c>
      <c r="F64" s="6">
        <v>134.30001200000001</v>
      </c>
      <c r="G64" s="7">
        <v>7.3540280000000003E-3</v>
      </c>
      <c r="H64" s="47"/>
    </row>
    <row r="65" spans="1:8" ht="17.100000000000001" customHeight="1" x14ac:dyDescent="0.2">
      <c r="A65" s="3">
        <v>59</v>
      </c>
      <c r="B65" s="4" t="s">
        <v>288</v>
      </c>
      <c r="C65" s="4" t="s">
        <v>289</v>
      </c>
      <c r="D65" s="4" t="s">
        <v>19</v>
      </c>
      <c r="E65" s="5">
        <v>68597</v>
      </c>
      <c r="F65" s="6">
        <v>132.46080699999999</v>
      </c>
      <c r="G65" s="7">
        <v>7.2533169999999996E-3</v>
      </c>
      <c r="H65" s="47"/>
    </row>
    <row r="66" spans="1:8" ht="17.100000000000001" customHeight="1" x14ac:dyDescent="0.2">
      <c r="A66" s="3">
        <v>60</v>
      </c>
      <c r="B66" s="4" t="s">
        <v>485</v>
      </c>
      <c r="C66" s="4" t="s">
        <v>486</v>
      </c>
      <c r="D66" s="4" t="s">
        <v>174</v>
      </c>
      <c r="E66" s="5">
        <v>219877</v>
      </c>
      <c r="F66" s="6">
        <v>122.47148900000001</v>
      </c>
      <c r="G66" s="7">
        <v>6.70632E-3</v>
      </c>
      <c r="H66" s="47"/>
    </row>
    <row r="67" spans="1:8" ht="17.100000000000001" customHeight="1" x14ac:dyDescent="0.2">
      <c r="A67" s="3">
        <v>61</v>
      </c>
      <c r="B67" s="4" t="s">
        <v>487</v>
      </c>
      <c r="C67" s="4" t="s">
        <v>488</v>
      </c>
      <c r="D67" s="4" t="s">
        <v>28</v>
      </c>
      <c r="E67" s="5">
        <v>5136</v>
      </c>
      <c r="F67" s="6">
        <v>122.098128</v>
      </c>
      <c r="G67" s="7">
        <v>6.685875E-3</v>
      </c>
      <c r="H67" s="47"/>
    </row>
    <row r="68" spans="1:8" ht="17.100000000000001" customHeight="1" x14ac:dyDescent="0.2">
      <c r="A68" s="3">
        <v>62</v>
      </c>
      <c r="B68" s="4" t="s">
        <v>246</v>
      </c>
      <c r="C68" s="4" t="s">
        <v>247</v>
      </c>
      <c r="D68" s="4" t="s">
        <v>94</v>
      </c>
      <c r="E68" s="5">
        <v>21910</v>
      </c>
      <c r="F68" s="6">
        <v>110.02106499999999</v>
      </c>
      <c r="G68" s="7">
        <v>6.0245569999999998E-3</v>
      </c>
      <c r="H68" s="47"/>
    </row>
    <row r="69" spans="1:8" ht="17.100000000000001" customHeight="1" x14ac:dyDescent="0.2">
      <c r="A69" s="3">
        <v>63</v>
      </c>
      <c r="B69" s="4" t="s">
        <v>239</v>
      </c>
      <c r="C69" s="4" t="s">
        <v>240</v>
      </c>
      <c r="D69" s="4" t="s">
        <v>88</v>
      </c>
      <c r="E69" s="5">
        <v>17279</v>
      </c>
      <c r="F69" s="6">
        <v>99.034588499999998</v>
      </c>
      <c r="G69" s="7">
        <v>5.422957E-3</v>
      </c>
      <c r="H69" s="47"/>
    </row>
    <row r="70" spans="1:8" ht="17.100000000000001" customHeight="1" x14ac:dyDescent="0.2">
      <c r="A70" s="3">
        <v>64</v>
      </c>
      <c r="B70" s="4" t="s">
        <v>234</v>
      </c>
      <c r="C70" s="4" t="s">
        <v>235</v>
      </c>
      <c r="D70" s="4" t="s">
        <v>114</v>
      </c>
      <c r="E70" s="5">
        <v>14169</v>
      </c>
      <c r="F70" s="6">
        <v>95.527398000000005</v>
      </c>
      <c r="G70" s="7">
        <v>5.2309089999999997E-3</v>
      </c>
      <c r="H70" s="47"/>
    </row>
    <row r="71" spans="1:8" ht="29.1" customHeight="1" x14ac:dyDescent="0.2">
      <c r="A71" s="3">
        <v>65</v>
      </c>
      <c r="B71" s="4" t="s">
        <v>250</v>
      </c>
      <c r="C71" s="4" t="s">
        <v>251</v>
      </c>
      <c r="D71" s="4" t="s">
        <v>204</v>
      </c>
      <c r="E71" s="5">
        <v>2097</v>
      </c>
      <c r="F71" s="6">
        <v>87.882124500000003</v>
      </c>
      <c r="G71" s="7">
        <v>4.8122679999999998E-3</v>
      </c>
      <c r="H71" s="47"/>
    </row>
    <row r="72" spans="1:8" ht="29.1" customHeight="1" x14ac:dyDescent="0.2">
      <c r="A72" s="3">
        <v>66</v>
      </c>
      <c r="B72" s="4" t="s">
        <v>277</v>
      </c>
      <c r="C72" s="4" t="s">
        <v>278</v>
      </c>
      <c r="D72" s="4" t="s">
        <v>201</v>
      </c>
      <c r="E72" s="5">
        <v>16020</v>
      </c>
      <c r="F72" s="6">
        <v>75.318029999999993</v>
      </c>
      <c r="G72" s="7">
        <v>4.1242809999999996E-3</v>
      </c>
      <c r="H72" s="47"/>
    </row>
    <row r="73" spans="1:8" ht="29.1" customHeight="1" x14ac:dyDescent="0.2">
      <c r="A73" s="3">
        <v>67</v>
      </c>
      <c r="B73" s="4" t="s">
        <v>286</v>
      </c>
      <c r="C73" s="4" t="s">
        <v>287</v>
      </c>
      <c r="D73" s="4" t="s">
        <v>204</v>
      </c>
      <c r="E73" s="5">
        <v>34046</v>
      </c>
      <c r="F73" s="6">
        <v>74.424555999999995</v>
      </c>
      <c r="G73" s="7">
        <v>4.0753559999999996E-3</v>
      </c>
      <c r="H73" s="47"/>
    </row>
    <row r="74" spans="1:8" ht="17.100000000000001" customHeight="1" x14ac:dyDescent="0.2">
      <c r="A74" s="3">
        <v>68</v>
      </c>
      <c r="B74" s="4" t="s">
        <v>252</v>
      </c>
      <c r="C74" s="4" t="s">
        <v>253</v>
      </c>
      <c r="D74" s="4" t="s">
        <v>97</v>
      </c>
      <c r="E74" s="5">
        <v>110125</v>
      </c>
      <c r="F74" s="6">
        <v>71.856562499999995</v>
      </c>
      <c r="G74" s="7">
        <v>3.9347369999999998E-3</v>
      </c>
      <c r="H74" s="47"/>
    </row>
    <row r="75" spans="1:8" ht="17.100000000000001" customHeight="1" x14ac:dyDescent="0.2">
      <c r="A75" s="3">
        <v>69</v>
      </c>
      <c r="B75" s="4" t="s">
        <v>489</v>
      </c>
      <c r="C75" s="4" t="s">
        <v>490</v>
      </c>
      <c r="D75" s="4" t="s">
        <v>312</v>
      </c>
      <c r="E75" s="5">
        <v>9457</v>
      </c>
      <c r="F75" s="6">
        <v>55.994897000000002</v>
      </c>
      <c r="G75" s="7">
        <v>3.0661799999999999E-3</v>
      </c>
      <c r="H75" s="47"/>
    </row>
    <row r="76" spans="1:8" ht="29.1" customHeight="1" x14ac:dyDescent="0.2">
      <c r="A76" s="3">
        <v>70</v>
      </c>
      <c r="B76" s="4" t="s">
        <v>258</v>
      </c>
      <c r="C76" s="4" t="s">
        <v>259</v>
      </c>
      <c r="D76" s="4" t="s">
        <v>201</v>
      </c>
      <c r="E76" s="5">
        <v>6324</v>
      </c>
      <c r="F76" s="6">
        <v>33.703758000000001</v>
      </c>
      <c r="G76" s="7">
        <v>1.8455570000000001E-3</v>
      </c>
      <c r="H76" s="47"/>
    </row>
    <row r="77" spans="1:8" ht="14.1" customHeight="1" x14ac:dyDescent="0.2">
      <c r="A77" s="1"/>
      <c r="B77" s="1"/>
      <c r="C77" s="2" t="s">
        <v>122</v>
      </c>
      <c r="D77" s="1"/>
      <c r="E77" s="1" t="s">
        <v>123</v>
      </c>
      <c r="F77" s="9">
        <v>17102.769404999999</v>
      </c>
      <c r="G77" s="10">
        <v>0.93651705299999999</v>
      </c>
      <c r="H77" s="47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47"/>
    </row>
    <row r="79" spans="1:8" ht="14.1" customHeight="1" x14ac:dyDescent="0.2">
      <c r="A79" s="1"/>
      <c r="B79" s="1"/>
      <c r="C79" s="2" t="s">
        <v>124</v>
      </c>
      <c r="D79" s="1"/>
      <c r="E79" s="1"/>
      <c r="F79" s="1"/>
      <c r="G79" s="1"/>
      <c r="H79" s="47"/>
    </row>
    <row r="80" spans="1:8" ht="14.1" customHeight="1" x14ac:dyDescent="0.2">
      <c r="A80" s="1"/>
      <c r="B80" s="1"/>
      <c r="C80" s="2" t="s">
        <v>122</v>
      </c>
      <c r="D80" s="1"/>
      <c r="E80" s="1" t="s">
        <v>123</v>
      </c>
      <c r="F80" s="13">
        <v>0</v>
      </c>
      <c r="G80" s="14">
        <v>0</v>
      </c>
      <c r="H80" s="47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47"/>
    </row>
    <row r="82" spans="1:8" ht="14.1" customHeight="1" x14ac:dyDescent="0.2">
      <c r="A82" s="1"/>
      <c r="B82" s="1"/>
      <c r="C82" s="2" t="s">
        <v>125</v>
      </c>
      <c r="D82" s="1"/>
      <c r="E82" s="1"/>
      <c r="F82" s="1"/>
      <c r="G82" s="1"/>
      <c r="H82" s="47"/>
    </row>
    <row r="83" spans="1:8" ht="14.1" customHeight="1" x14ac:dyDescent="0.2">
      <c r="A83" s="1"/>
      <c r="B83" s="1"/>
      <c r="C83" s="2" t="s">
        <v>122</v>
      </c>
      <c r="D83" s="1"/>
      <c r="E83" s="1" t="s">
        <v>123</v>
      </c>
      <c r="F83" s="13">
        <v>0</v>
      </c>
      <c r="G83" s="14">
        <v>0</v>
      </c>
      <c r="H83" s="47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126</v>
      </c>
      <c r="D85" s="1"/>
      <c r="E85" s="1"/>
      <c r="F85" s="1"/>
      <c r="G85" s="1"/>
      <c r="H85" s="47"/>
    </row>
    <row r="86" spans="1:8" ht="14.1" customHeight="1" x14ac:dyDescent="0.2">
      <c r="A86" s="1"/>
      <c r="B86" s="1"/>
      <c r="C86" s="2" t="s">
        <v>122</v>
      </c>
      <c r="D86" s="1"/>
      <c r="E86" s="1" t="s">
        <v>123</v>
      </c>
      <c r="F86" s="13">
        <v>0</v>
      </c>
      <c r="G86" s="14">
        <v>0</v>
      </c>
      <c r="H86" s="47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47"/>
    </row>
    <row r="88" spans="1:8" ht="14.1" customHeight="1" x14ac:dyDescent="0.2">
      <c r="A88" s="1"/>
      <c r="B88" s="1"/>
      <c r="C88" s="2" t="s">
        <v>127</v>
      </c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122</v>
      </c>
      <c r="D89" s="1"/>
      <c r="E89" s="1" t="s">
        <v>123</v>
      </c>
      <c r="F89" s="13">
        <v>0</v>
      </c>
      <c r="G89" s="14">
        <v>0</v>
      </c>
      <c r="H89" s="47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47"/>
    </row>
    <row r="91" spans="1:8" ht="14.1" customHeight="1" x14ac:dyDescent="0.2">
      <c r="A91" s="1"/>
      <c r="B91" s="1"/>
      <c r="C91" s="2" t="s">
        <v>128</v>
      </c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122</v>
      </c>
      <c r="D92" s="1"/>
      <c r="E92" s="1" t="s">
        <v>123</v>
      </c>
      <c r="F92" s="13">
        <v>0</v>
      </c>
      <c r="G92" s="14">
        <v>0</v>
      </c>
      <c r="H92" s="47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47"/>
    </row>
    <row r="94" spans="1:8" ht="18" customHeight="1" x14ac:dyDescent="0.2">
      <c r="A94" s="1"/>
      <c r="B94" s="1"/>
      <c r="C94" s="2" t="s">
        <v>129</v>
      </c>
      <c r="D94" s="1"/>
      <c r="E94" s="1"/>
      <c r="F94" s="9">
        <v>17102.769404999999</v>
      </c>
      <c r="G94" s="10">
        <v>0.93651705299999999</v>
      </c>
      <c r="H94" s="47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130</v>
      </c>
      <c r="D96" s="1"/>
      <c r="E96" s="1"/>
      <c r="F96" s="12"/>
      <c r="G96" s="12"/>
      <c r="H96" s="47"/>
    </row>
    <row r="97" spans="1:8" ht="24" customHeight="1" x14ac:dyDescent="0.2">
      <c r="A97" s="1"/>
      <c r="B97" s="1"/>
      <c r="C97" s="2" t="s">
        <v>10</v>
      </c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122</v>
      </c>
      <c r="D98" s="1"/>
      <c r="E98" s="1" t="s">
        <v>123</v>
      </c>
      <c r="F98" s="13">
        <v>0</v>
      </c>
      <c r="G98" s="14">
        <v>0</v>
      </c>
      <c r="H98" s="47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47"/>
    </row>
    <row r="100" spans="1:8" ht="14.1" customHeight="1" x14ac:dyDescent="0.2">
      <c r="A100" s="1"/>
      <c r="B100" s="1"/>
      <c r="C100" s="2" t="s">
        <v>131</v>
      </c>
      <c r="D100" s="1"/>
      <c r="E100" s="1"/>
      <c r="F100" s="1"/>
      <c r="G100" s="1"/>
      <c r="H100" s="47"/>
    </row>
    <row r="101" spans="1:8" ht="14.1" customHeight="1" x14ac:dyDescent="0.2">
      <c r="A101" s="1"/>
      <c r="B101" s="1"/>
      <c r="C101" s="2" t="s">
        <v>122</v>
      </c>
      <c r="D101" s="1"/>
      <c r="E101" s="1" t="s">
        <v>123</v>
      </c>
      <c r="F101" s="13">
        <v>0</v>
      </c>
      <c r="G101" s="14">
        <v>0</v>
      </c>
      <c r="H101" s="47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47"/>
    </row>
    <row r="103" spans="1:8" ht="14.1" customHeight="1" x14ac:dyDescent="0.2">
      <c r="A103" s="1"/>
      <c r="B103" s="1"/>
      <c r="C103" s="2" t="s">
        <v>132</v>
      </c>
      <c r="D103" s="1"/>
      <c r="E103" s="1"/>
      <c r="F103" s="1"/>
      <c r="G103" s="1"/>
      <c r="H103" s="47"/>
    </row>
    <row r="104" spans="1:8" ht="14.1" customHeight="1" x14ac:dyDescent="0.2">
      <c r="A104" s="1"/>
      <c r="B104" s="1"/>
      <c r="C104" s="2" t="s">
        <v>122</v>
      </c>
      <c r="D104" s="1"/>
      <c r="E104" s="1" t="s">
        <v>123</v>
      </c>
      <c r="F104" s="13">
        <v>0</v>
      </c>
      <c r="G104" s="14">
        <v>0</v>
      </c>
      <c r="H104" s="47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47"/>
    </row>
    <row r="106" spans="1:8" ht="14.1" customHeight="1" x14ac:dyDescent="0.2">
      <c r="A106" s="1"/>
      <c r="B106" s="1"/>
      <c r="C106" s="2" t="s">
        <v>133</v>
      </c>
      <c r="D106" s="1"/>
      <c r="E106" s="1"/>
      <c r="F106" s="12"/>
      <c r="G106" s="12"/>
      <c r="H106" s="47"/>
    </row>
    <row r="107" spans="1:8" ht="14.1" customHeight="1" x14ac:dyDescent="0.2">
      <c r="A107" s="1"/>
      <c r="B107" s="1"/>
      <c r="C107" s="2" t="s">
        <v>122</v>
      </c>
      <c r="D107" s="1"/>
      <c r="E107" s="1" t="s">
        <v>123</v>
      </c>
      <c r="F107" s="13">
        <v>0</v>
      </c>
      <c r="G107" s="14">
        <v>0</v>
      </c>
      <c r="H107" s="47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47"/>
    </row>
    <row r="109" spans="1:8" ht="14.1" customHeight="1" x14ac:dyDescent="0.2">
      <c r="A109" s="1"/>
      <c r="B109" s="1"/>
      <c r="C109" s="2" t="s">
        <v>134</v>
      </c>
      <c r="D109" s="1"/>
      <c r="E109" s="1"/>
      <c r="F109" s="9">
        <v>0</v>
      </c>
      <c r="G109" s="10">
        <v>0</v>
      </c>
      <c r="H109" s="47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47"/>
    </row>
    <row r="111" spans="1:8" ht="14.1" customHeight="1" x14ac:dyDescent="0.2">
      <c r="A111" s="1"/>
      <c r="B111" s="1"/>
      <c r="C111" s="2" t="s">
        <v>135</v>
      </c>
      <c r="D111" s="1"/>
      <c r="E111" s="1"/>
      <c r="F111" s="12"/>
      <c r="G111" s="12"/>
      <c r="H111" s="47"/>
    </row>
    <row r="112" spans="1:8" ht="14.1" customHeight="1" x14ac:dyDescent="0.2">
      <c r="A112" s="1"/>
      <c r="B112" s="1"/>
      <c r="C112" s="2" t="s">
        <v>136</v>
      </c>
      <c r="D112" s="1"/>
      <c r="E112" s="1"/>
      <c r="F112" s="12"/>
      <c r="G112" s="12"/>
      <c r="H112" s="47"/>
    </row>
    <row r="113" spans="1:8" ht="14.1" customHeight="1" x14ac:dyDescent="0.2">
      <c r="A113" s="1"/>
      <c r="B113" s="1"/>
      <c r="C113" s="2" t="s">
        <v>122</v>
      </c>
      <c r="D113" s="1"/>
      <c r="E113" s="1" t="s">
        <v>123</v>
      </c>
      <c r="F113" s="13">
        <v>0</v>
      </c>
      <c r="G113" s="14">
        <v>0</v>
      </c>
      <c r="H113" s="47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47"/>
    </row>
    <row r="115" spans="1:8" ht="14.1" customHeight="1" x14ac:dyDescent="0.2">
      <c r="A115" s="1"/>
      <c r="B115" s="1"/>
      <c r="C115" s="2" t="s">
        <v>137</v>
      </c>
      <c r="D115" s="1"/>
      <c r="E115" s="1"/>
      <c r="F115" s="12"/>
      <c r="G115" s="12"/>
      <c r="H115" s="47"/>
    </row>
    <row r="116" spans="1:8" ht="14.1" customHeight="1" x14ac:dyDescent="0.2">
      <c r="A116" s="1"/>
      <c r="B116" s="1"/>
      <c r="C116" s="2" t="s">
        <v>122</v>
      </c>
      <c r="D116" s="1"/>
      <c r="E116" s="1" t="s">
        <v>123</v>
      </c>
      <c r="F116" s="13">
        <v>0</v>
      </c>
      <c r="G116" s="14">
        <v>0</v>
      </c>
      <c r="H116" s="47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47"/>
    </row>
    <row r="118" spans="1:8" ht="14.1" customHeight="1" x14ac:dyDescent="0.2">
      <c r="A118" s="1"/>
      <c r="B118" s="1"/>
      <c r="C118" s="2" t="s">
        <v>138</v>
      </c>
      <c r="D118" s="1"/>
      <c r="E118" s="1"/>
      <c r="F118" s="12"/>
      <c r="G118" s="12"/>
      <c r="H118" s="47"/>
    </row>
    <row r="119" spans="1:8" ht="14.1" customHeight="1" x14ac:dyDescent="0.2">
      <c r="A119" s="1"/>
      <c r="B119" s="1"/>
      <c r="C119" s="2" t="s">
        <v>122</v>
      </c>
      <c r="D119" s="1"/>
      <c r="E119" s="1" t="s">
        <v>123</v>
      </c>
      <c r="F119" s="13">
        <v>0</v>
      </c>
      <c r="G119" s="14">
        <v>0</v>
      </c>
      <c r="H119" s="47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47"/>
    </row>
    <row r="121" spans="1:8" ht="14.1" customHeight="1" x14ac:dyDescent="0.2">
      <c r="A121" s="1"/>
      <c r="B121" s="1"/>
      <c r="C121" s="2" t="s">
        <v>139</v>
      </c>
      <c r="D121" s="1"/>
      <c r="E121" s="1"/>
      <c r="F121" s="12"/>
      <c r="G121" s="12"/>
      <c r="H121" s="47"/>
    </row>
    <row r="122" spans="1:8" ht="17.100000000000001" customHeight="1" x14ac:dyDescent="0.2">
      <c r="A122" s="3">
        <v>1</v>
      </c>
      <c r="B122" s="4"/>
      <c r="C122" s="4" t="s">
        <v>140</v>
      </c>
      <c r="D122" s="4"/>
      <c r="E122" s="8"/>
      <c r="F122" s="6">
        <v>766.42767490000006</v>
      </c>
      <c r="G122" s="7">
        <v>4.1968208E-2</v>
      </c>
      <c r="H122" s="47">
        <v>4.6730752161314033</v>
      </c>
    </row>
    <row r="123" spans="1:8" ht="14.1" customHeight="1" x14ac:dyDescent="0.2">
      <c r="A123" s="1"/>
      <c r="B123" s="1"/>
      <c r="C123" s="2" t="s">
        <v>122</v>
      </c>
      <c r="D123" s="1"/>
      <c r="E123" s="1" t="s">
        <v>123</v>
      </c>
      <c r="F123" s="9">
        <v>766.42767490000006</v>
      </c>
      <c r="G123" s="10">
        <v>4.1968208E-2</v>
      </c>
      <c r="H123" s="47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47"/>
    </row>
    <row r="125" spans="1:8" ht="14.1" customHeight="1" x14ac:dyDescent="0.2">
      <c r="A125" s="1"/>
      <c r="B125" s="1"/>
      <c r="C125" s="2" t="s">
        <v>141</v>
      </c>
      <c r="D125" s="1"/>
      <c r="E125" s="1"/>
      <c r="F125" s="9">
        <v>766.42767490000006</v>
      </c>
      <c r="G125" s="10">
        <v>4.1968208E-2</v>
      </c>
      <c r="H125" s="47"/>
    </row>
    <row r="126" spans="1:8" ht="14.1" customHeight="1" x14ac:dyDescent="0.2">
      <c r="A126" s="1"/>
      <c r="B126" s="1"/>
      <c r="C126" s="12"/>
      <c r="D126" s="1"/>
      <c r="E126" s="1"/>
      <c r="F126" s="1"/>
      <c r="G126" s="1"/>
      <c r="H126" s="47"/>
    </row>
    <row r="127" spans="1:8" ht="14.1" customHeight="1" x14ac:dyDescent="0.2">
      <c r="A127" s="1"/>
      <c r="B127" s="1"/>
      <c r="C127" s="2" t="s">
        <v>142</v>
      </c>
      <c r="D127" s="1"/>
      <c r="E127" s="1"/>
      <c r="F127" s="1"/>
      <c r="G127" s="1"/>
      <c r="H127" s="47"/>
    </row>
    <row r="128" spans="1:8" ht="14.1" customHeight="1" x14ac:dyDescent="0.2">
      <c r="A128" s="1"/>
      <c r="B128" s="1"/>
      <c r="C128" s="2" t="s">
        <v>143</v>
      </c>
      <c r="D128" s="1"/>
      <c r="E128" s="1"/>
      <c r="F128" s="1"/>
      <c r="G128" s="1"/>
      <c r="H128" s="47"/>
    </row>
    <row r="129" spans="1:8" ht="14.1" customHeight="1" x14ac:dyDescent="0.2">
      <c r="A129" s="1"/>
      <c r="B129" s="1"/>
      <c r="C129" s="2" t="s">
        <v>122</v>
      </c>
      <c r="D129" s="1"/>
      <c r="E129" s="1" t="s">
        <v>123</v>
      </c>
      <c r="F129" s="13">
        <v>0</v>
      </c>
      <c r="G129" s="14">
        <v>0</v>
      </c>
      <c r="H129" s="47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47"/>
    </row>
    <row r="131" spans="1:8" ht="14.1" customHeight="1" x14ac:dyDescent="0.2">
      <c r="A131" s="1"/>
      <c r="B131" s="1"/>
      <c r="C131" s="2" t="s">
        <v>144</v>
      </c>
      <c r="D131" s="1"/>
      <c r="E131" s="1"/>
      <c r="F131" s="1"/>
      <c r="G131" s="1"/>
      <c r="H131" s="47"/>
    </row>
    <row r="132" spans="1:8" ht="14.1" customHeight="1" x14ac:dyDescent="0.2">
      <c r="A132" s="1"/>
      <c r="B132" s="1"/>
      <c r="C132" s="2" t="s">
        <v>145</v>
      </c>
      <c r="D132" s="1"/>
      <c r="E132" s="1"/>
      <c r="F132" s="1"/>
      <c r="G132" s="1"/>
      <c r="H132" s="47"/>
    </row>
    <row r="133" spans="1:8" ht="14.1" customHeight="1" x14ac:dyDescent="0.2">
      <c r="A133" s="1"/>
      <c r="B133" s="1"/>
      <c r="C133" s="2" t="s">
        <v>122</v>
      </c>
      <c r="D133" s="1"/>
      <c r="E133" s="1" t="s">
        <v>123</v>
      </c>
      <c r="F133" s="13">
        <v>0</v>
      </c>
      <c r="G133" s="14">
        <v>0</v>
      </c>
      <c r="H133" s="47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47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47"/>
    </row>
    <row r="136" spans="1:8" ht="24" customHeight="1" x14ac:dyDescent="0.2">
      <c r="A136" s="1"/>
      <c r="B136" s="1"/>
      <c r="C136" s="2" t="s">
        <v>146</v>
      </c>
      <c r="D136" s="1"/>
      <c r="E136" s="1"/>
      <c r="F136" s="12"/>
      <c r="G136" s="12"/>
      <c r="H136" s="47"/>
    </row>
    <row r="137" spans="1:8" ht="14.1" customHeight="1" x14ac:dyDescent="0.2">
      <c r="A137" s="1"/>
      <c r="B137" s="1"/>
      <c r="C137" s="2" t="s">
        <v>122</v>
      </c>
      <c r="D137" s="1"/>
      <c r="E137" s="1" t="s">
        <v>123</v>
      </c>
      <c r="F137" s="13">
        <v>0</v>
      </c>
      <c r="G137" s="14">
        <v>0</v>
      </c>
      <c r="H137" s="47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47"/>
    </row>
    <row r="139" spans="1:8" ht="14.1" customHeight="1" x14ac:dyDescent="0.2">
      <c r="A139" s="1"/>
      <c r="B139" s="4"/>
      <c r="C139" s="4"/>
      <c r="D139" s="2"/>
      <c r="E139" s="1"/>
      <c r="F139" s="4"/>
      <c r="G139" s="8"/>
      <c r="H139" s="47"/>
    </row>
    <row r="140" spans="1:8" ht="18" customHeight="1" x14ac:dyDescent="0.2">
      <c r="A140" s="8"/>
      <c r="B140" s="4"/>
      <c r="C140" s="4" t="s">
        <v>147</v>
      </c>
      <c r="D140" s="4"/>
      <c r="E140" s="8"/>
      <c r="F140" s="6">
        <v>392.90438640999997</v>
      </c>
      <c r="G140" s="7">
        <v>2.1514741E-2</v>
      </c>
      <c r="H140" s="47"/>
    </row>
    <row r="141" spans="1:8" ht="14.1" customHeight="1" x14ac:dyDescent="0.2">
      <c r="A141" s="11"/>
      <c r="B141" s="11"/>
      <c r="C141" s="2" t="s">
        <v>148</v>
      </c>
      <c r="D141" s="15"/>
      <c r="E141" s="15"/>
      <c r="F141" s="9">
        <v>18262.10146631</v>
      </c>
      <c r="G141" s="14">
        <v>1.0000000019999999</v>
      </c>
      <c r="H141" s="47"/>
    </row>
    <row r="142" spans="1:8" ht="14.1" customHeight="1" x14ac:dyDescent="0.2">
      <c r="A142" s="18"/>
      <c r="B142" s="18"/>
      <c r="C142" s="18"/>
      <c r="D142" s="20"/>
      <c r="E142" s="20"/>
      <c r="F142" s="20"/>
      <c r="G142" s="20"/>
    </row>
    <row r="143" spans="1:8" ht="14.1" customHeight="1" x14ac:dyDescent="0.2">
      <c r="A143" s="18"/>
      <c r="B143" s="257" t="s">
        <v>150</v>
      </c>
      <c r="C143" s="258"/>
      <c r="D143" s="12" t="s">
        <v>123</v>
      </c>
      <c r="E143" s="21"/>
      <c r="F143" s="20"/>
      <c r="G143" s="20"/>
    </row>
    <row r="144" spans="1:8" ht="29.1" customHeight="1" x14ac:dyDescent="0.2">
      <c r="A144" s="18"/>
      <c r="B144" s="259" t="s">
        <v>151</v>
      </c>
      <c r="C144" s="260"/>
      <c r="D144" s="2" t="s">
        <v>152</v>
      </c>
      <c r="E144" s="21"/>
      <c r="F144" s="20"/>
      <c r="G144" s="20"/>
    </row>
    <row r="145" spans="1:7" ht="17.100000000000001" customHeight="1" x14ac:dyDescent="0.2">
      <c r="A145" s="18"/>
      <c r="B145" s="259" t="s">
        <v>153</v>
      </c>
      <c r="C145" s="260"/>
      <c r="D145" s="2" t="s">
        <v>152</v>
      </c>
      <c r="E145" s="21"/>
      <c r="F145" s="20"/>
      <c r="G145" s="20"/>
    </row>
    <row r="146" spans="1:7" ht="17.100000000000001" customHeight="1" x14ac:dyDescent="0.2">
      <c r="A146" s="18"/>
      <c r="B146" s="259" t="s">
        <v>154</v>
      </c>
      <c r="C146" s="260"/>
      <c r="D146" s="12" t="s">
        <v>123</v>
      </c>
      <c r="E146" s="21"/>
      <c r="F146" s="20"/>
      <c r="G146" s="20"/>
    </row>
    <row r="147" spans="1:7" ht="24" customHeight="1" x14ac:dyDescent="0.2">
      <c r="A147" s="22"/>
      <c r="B147" s="23" t="s">
        <v>123</v>
      </c>
      <c r="C147" s="23" t="s">
        <v>155</v>
      </c>
      <c r="D147" s="23" t="s">
        <v>156</v>
      </c>
      <c r="E147" s="22"/>
      <c r="F147" s="22"/>
      <c r="G147" s="22"/>
    </row>
    <row r="148" spans="1:7" ht="18" customHeight="1" x14ac:dyDescent="0.2">
      <c r="A148" s="22"/>
      <c r="B148" s="23" t="s">
        <v>157</v>
      </c>
      <c r="C148" s="23" t="s">
        <v>158</v>
      </c>
      <c r="D148" s="23" t="s">
        <v>159</v>
      </c>
      <c r="E148" s="22"/>
      <c r="F148" s="22"/>
      <c r="G148" s="22"/>
    </row>
    <row r="149" spans="1:7" ht="17.100000000000001" customHeight="1" x14ac:dyDescent="0.2">
      <c r="A149" s="22"/>
      <c r="B149" s="4" t="s">
        <v>160</v>
      </c>
      <c r="C149" s="24">
        <v>17.931100000000001</v>
      </c>
      <c r="D149" s="24">
        <v>17.356000000000002</v>
      </c>
      <c r="E149" s="22"/>
      <c r="F149" s="19"/>
      <c r="G149" s="25"/>
    </row>
    <row r="150" spans="1:7" ht="17.100000000000001" customHeight="1" x14ac:dyDescent="0.2">
      <c r="A150" s="22"/>
      <c r="B150" s="4" t="s">
        <v>1101</v>
      </c>
      <c r="C150" s="24">
        <v>17.2913</v>
      </c>
      <c r="D150" s="24">
        <v>16.736699999999999</v>
      </c>
      <c r="E150" s="22"/>
      <c r="F150" s="19"/>
      <c r="G150" s="25"/>
    </row>
    <row r="151" spans="1:7" ht="17.100000000000001" customHeight="1" x14ac:dyDescent="0.2">
      <c r="A151" s="22"/>
      <c r="B151" s="4" t="s">
        <v>161</v>
      </c>
      <c r="C151" s="24">
        <v>17.365600000000001</v>
      </c>
      <c r="D151" s="24">
        <v>16.8004</v>
      </c>
      <c r="E151" s="22"/>
      <c r="F151" s="19"/>
      <c r="G151" s="25"/>
    </row>
    <row r="152" spans="1:7" ht="17.100000000000001" customHeight="1" x14ac:dyDescent="0.2">
      <c r="A152" s="22"/>
      <c r="B152" s="4" t="s">
        <v>1102</v>
      </c>
      <c r="C152" s="24">
        <v>16.729900000000001</v>
      </c>
      <c r="D152" s="24">
        <v>16.185400000000001</v>
      </c>
      <c r="E152" s="22"/>
      <c r="F152" s="19"/>
      <c r="G152" s="25"/>
    </row>
    <row r="153" spans="1:7" ht="14.1" customHeight="1" x14ac:dyDescent="0.2">
      <c r="A153" s="22"/>
      <c r="B153" s="22"/>
      <c r="C153" s="22"/>
      <c r="D153" s="22"/>
      <c r="E153" s="22"/>
      <c r="F153" s="22"/>
      <c r="G153" s="22"/>
    </row>
    <row r="154" spans="1:7" ht="17.100000000000001" customHeight="1" x14ac:dyDescent="0.2">
      <c r="A154" s="22"/>
      <c r="B154" s="259" t="s">
        <v>1103</v>
      </c>
      <c r="C154" s="260"/>
      <c r="D154" s="2" t="s">
        <v>152</v>
      </c>
      <c r="E154" s="22"/>
      <c r="F154" s="22"/>
      <c r="G154" s="22"/>
    </row>
    <row r="155" spans="1:7" ht="18" customHeight="1" x14ac:dyDescent="0.2">
      <c r="A155" s="22"/>
      <c r="B155" s="26"/>
      <c r="C155" s="26"/>
      <c r="D155" s="27"/>
      <c r="E155" s="22"/>
      <c r="F155" s="22"/>
      <c r="G155" s="22"/>
    </row>
    <row r="156" spans="1:7" ht="29.1" customHeight="1" x14ac:dyDescent="0.2">
      <c r="A156" s="22"/>
      <c r="B156" s="259" t="s">
        <v>162</v>
      </c>
      <c r="C156" s="260"/>
      <c r="D156" s="2" t="s">
        <v>152</v>
      </c>
      <c r="E156" s="22"/>
      <c r="F156" s="22"/>
      <c r="G156" s="22"/>
    </row>
    <row r="157" spans="1:7" ht="29.1" customHeight="1" x14ac:dyDescent="0.2">
      <c r="A157" s="22"/>
      <c r="B157" s="259" t="s">
        <v>163</v>
      </c>
      <c r="C157" s="260"/>
      <c r="D157" s="2" t="s">
        <v>152</v>
      </c>
      <c r="E157" s="22"/>
      <c r="F157" s="22"/>
      <c r="G157" s="22"/>
    </row>
    <row r="158" spans="1:7" ht="17.100000000000001" customHeight="1" x14ac:dyDescent="0.2">
      <c r="A158" s="22"/>
      <c r="B158" s="259" t="s">
        <v>164</v>
      </c>
      <c r="C158" s="260"/>
      <c r="D158" s="28">
        <v>0.30651083019761516</v>
      </c>
      <c r="E158" s="22"/>
      <c r="F158" s="19"/>
      <c r="G158" s="25"/>
    </row>
    <row r="159" spans="1:7" ht="17.100000000000001" customHeight="1" x14ac:dyDescent="0.2">
      <c r="A159" s="22"/>
      <c r="B159" s="259" t="s">
        <v>165</v>
      </c>
      <c r="C159" s="260"/>
      <c r="D159" s="2" t="s">
        <v>152</v>
      </c>
      <c r="E159" s="22"/>
      <c r="F159" s="22"/>
      <c r="G159" s="22"/>
    </row>
    <row r="164" spans="10:15" x14ac:dyDescent="0.2">
      <c r="J164" s="148"/>
      <c r="K164" s="148"/>
      <c r="L164" s="148"/>
      <c r="M164" s="148"/>
      <c r="N164" s="148"/>
      <c r="O164" s="148"/>
    </row>
  </sheetData>
  <mergeCells count="13">
    <mergeCell ref="J2:N2"/>
    <mergeCell ref="A1:H1"/>
    <mergeCell ref="A2:H2"/>
    <mergeCell ref="A3:H3"/>
    <mergeCell ref="B143:C143"/>
    <mergeCell ref="B158:C158"/>
    <mergeCell ref="B159:C159"/>
    <mergeCell ref="B144:C144"/>
    <mergeCell ref="B145:C145"/>
    <mergeCell ref="B146:C146"/>
    <mergeCell ref="B154:C154"/>
    <mergeCell ref="B156:C156"/>
    <mergeCell ref="B157:C15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16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496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261</v>
      </c>
      <c r="C7" s="4" t="s">
        <v>262</v>
      </c>
      <c r="D7" s="4" t="s">
        <v>80</v>
      </c>
      <c r="E7" s="5">
        <v>125500</v>
      </c>
      <c r="F7" s="6">
        <v>240.52074999999999</v>
      </c>
      <c r="G7" s="7">
        <v>3.4737709999999998E-2</v>
      </c>
      <c r="H7" s="47"/>
    </row>
    <row r="8" spans="1:14" ht="17.100000000000001" customHeight="1" x14ac:dyDescent="0.2">
      <c r="A8" s="3">
        <v>2</v>
      </c>
      <c r="B8" s="4" t="s">
        <v>254</v>
      </c>
      <c r="C8" s="4" t="s">
        <v>255</v>
      </c>
      <c r="D8" s="4" t="s">
        <v>28</v>
      </c>
      <c r="E8" s="5">
        <v>18325</v>
      </c>
      <c r="F8" s="6">
        <v>211.20478750000001</v>
      </c>
      <c r="G8" s="7">
        <v>3.0503690999999999E-2</v>
      </c>
      <c r="H8" s="47"/>
    </row>
    <row r="9" spans="1:14" ht="29.1" customHeight="1" x14ac:dyDescent="0.2">
      <c r="A9" s="3">
        <v>3</v>
      </c>
      <c r="B9" s="4" t="s">
        <v>199</v>
      </c>
      <c r="C9" s="4" t="s">
        <v>200</v>
      </c>
      <c r="D9" s="4" t="s">
        <v>201</v>
      </c>
      <c r="E9" s="5">
        <v>5487</v>
      </c>
      <c r="F9" s="6">
        <v>200.363292</v>
      </c>
      <c r="G9" s="7">
        <v>2.8937885E-2</v>
      </c>
      <c r="H9" s="47"/>
    </row>
    <row r="10" spans="1:14" ht="17.100000000000001" customHeight="1" x14ac:dyDescent="0.2">
      <c r="A10" s="3">
        <v>4</v>
      </c>
      <c r="B10" s="4" t="s">
        <v>86</v>
      </c>
      <c r="C10" s="4" t="s">
        <v>87</v>
      </c>
      <c r="D10" s="4" t="s">
        <v>88</v>
      </c>
      <c r="E10" s="5">
        <v>43096</v>
      </c>
      <c r="F10" s="6">
        <v>186.907352</v>
      </c>
      <c r="G10" s="7">
        <v>2.6994483E-2</v>
      </c>
      <c r="H10" s="47"/>
    </row>
    <row r="11" spans="1:14" ht="17.100000000000001" customHeight="1" x14ac:dyDescent="0.2">
      <c r="A11" s="3">
        <v>5</v>
      </c>
      <c r="B11" s="4" t="s">
        <v>34</v>
      </c>
      <c r="C11" s="4" t="s">
        <v>35</v>
      </c>
      <c r="D11" s="4" t="s">
        <v>28</v>
      </c>
      <c r="E11" s="5">
        <v>12093</v>
      </c>
      <c r="F11" s="6">
        <v>179.42988750000001</v>
      </c>
      <c r="G11" s="7">
        <v>2.5914534999999999E-2</v>
      </c>
      <c r="H11" s="47"/>
    </row>
    <row r="12" spans="1:14" ht="17.100000000000001" customHeight="1" x14ac:dyDescent="0.2">
      <c r="A12" s="3">
        <v>6</v>
      </c>
      <c r="B12" s="4" t="s">
        <v>26</v>
      </c>
      <c r="C12" s="4" t="s">
        <v>27</v>
      </c>
      <c r="D12" s="4" t="s">
        <v>28</v>
      </c>
      <c r="E12" s="5">
        <v>10555</v>
      </c>
      <c r="F12" s="6">
        <v>177.6459275</v>
      </c>
      <c r="G12" s="7">
        <v>2.5656882999999998E-2</v>
      </c>
      <c r="H12" s="47"/>
    </row>
    <row r="13" spans="1:14" ht="17.100000000000001" customHeight="1" x14ac:dyDescent="0.2">
      <c r="A13" s="3">
        <v>7</v>
      </c>
      <c r="B13" s="4" t="s">
        <v>241</v>
      </c>
      <c r="C13" s="4" t="s">
        <v>242</v>
      </c>
      <c r="D13" s="4" t="s">
        <v>243</v>
      </c>
      <c r="E13" s="5">
        <v>34698</v>
      </c>
      <c r="F13" s="6">
        <v>176.42198099999999</v>
      </c>
      <c r="G13" s="7">
        <v>2.5480111999999999E-2</v>
      </c>
      <c r="H13" s="47"/>
      <c r="J13" s="147" t="s">
        <v>1120</v>
      </c>
    </row>
    <row r="14" spans="1:14" ht="17.100000000000001" customHeight="1" x14ac:dyDescent="0.2">
      <c r="A14" s="3">
        <v>8</v>
      </c>
      <c r="B14" s="4" t="s">
        <v>177</v>
      </c>
      <c r="C14" s="4" t="s">
        <v>178</v>
      </c>
      <c r="D14" s="4" t="s">
        <v>91</v>
      </c>
      <c r="E14" s="5">
        <v>210200</v>
      </c>
      <c r="F14" s="6">
        <v>172.364</v>
      </c>
      <c r="G14" s="7">
        <v>2.4894029000000002E-2</v>
      </c>
      <c r="H14" s="47"/>
    </row>
    <row r="15" spans="1:14" ht="17.100000000000001" customHeight="1" x14ac:dyDescent="0.2">
      <c r="A15" s="3">
        <v>9</v>
      </c>
      <c r="B15" s="4" t="s">
        <v>185</v>
      </c>
      <c r="C15" s="4" t="s">
        <v>186</v>
      </c>
      <c r="D15" s="4" t="s">
        <v>88</v>
      </c>
      <c r="E15" s="5">
        <v>32456</v>
      </c>
      <c r="F15" s="6">
        <v>170.62119200000001</v>
      </c>
      <c r="G15" s="7">
        <v>2.4642320999999998E-2</v>
      </c>
      <c r="H15" s="47"/>
    </row>
    <row r="16" spans="1:14" ht="17.100000000000001" customHeight="1" x14ac:dyDescent="0.2">
      <c r="A16" s="3">
        <v>10</v>
      </c>
      <c r="B16" s="4" t="s">
        <v>189</v>
      </c>
      <c r="C16" s="4" t="s">
        <v>190</v>
      </c>
      <c r="D16" s="4" t="s">
        <v>191</v>
      </c>
      <c r="E16" s="5">
        <v>31217</v>
      </c>
      <c r="F16" s="6">
        <v>161.59480049999999</v>
      </c>
      <c r="G16" s="7">
        <v>2.3338665000000001E-2</v>
      </c>
      <c r="H16" s="47"/>
    </row>
    <row r="17" spans="1:8" ht="17.100000000000001" customHeight="1" x14ac:dyDescent="0.2">
      <c r="A17" s="3">
        <v>11</v>
      </c>
      <c r="B17" s="4" t="s">
        <v>471</v>
      </c>
      <c r="C17" s="4" t="s">
        <v>472</v>
      </c>
      <c r="D17" s="4" t="s">
        <v>88</v>
      </c>
      <c r="E17" s="5">
        <v>17407</v>
      </c>
      <c r="F17" s="6">
        <v>160.63179600000001</v>
      </c>
      <c r="G17" s="7">
        <v>2.3199581E-2</v>
      </c>
      <c r="H17" s="47"/>
    </row>
    <row r="18" spans="1:8" ht="17.100000000000001" customHeight="1" x14ac:dyDescent="0.2">
      <c r="A18" s="3">
        <v>12</v>
      </c>
      <c r="B18" s="4" t="s">
        <v>467</v>
      </c>
      <c r="C18" s="4" t="s">
        <v>468</v>
      </c>
      <c r="D18" s="4" t="s">
        <v>28</v>
      </c>
      <c r="E18" s="5">
        <v>24026</v>
      </c>
      <c r="F18" s="6">
        <v>160.04919899999999</v>
      </c>
      <c r="G18" s="7">
        <v>2.3115439000000002E-2</v>
      </c>
      <c r="H18" s="47"/>
    </row>
    <row r="19" spans="1:8" ht="17.100000000000001" customHeight="1" x14ac:dyDescent="0.2">
      <c r="A19" s="3">
        <v>13</v>
      </c>
      <c r="B19" s="4" t="s">
        <v>263</v>
      </c>
      <c r="C19" s="4" t="s">
        <v>264</v>
      </c>
      <c r="D19" s="4" t="s">
        <v>28</v>
      </c>
      <c r="E19" s="5">
        <v>17446</v>
      </c>
      <c r="F19" s="6">
        <v>146.162588</v>
      </c>
      <c r="G19" s="7">
        <v>2.1109836E-2</v>
      </c>
      <c r="H19" s="47"/>
    </row>
    <row r="20" spans="1:8" ht="17.100000000000001" customHeight="1" x14ac:dyDescent="0.2">
      <c r="A20" s="3">
        <v>14</v>
      </c>
      <c r="B20" s="4" t="s">
        <v>169</v>
      </c>
      <c r="C20" s="4" t="s">
        <v>170</v>
      </c>
      <c r="D20" s="4" t="s">
        <v>171</v>
      </c>
      <c r="E20" s="5">
        <v>13510</v>
      </c>
      <c r="F20" s="6">
        <v>143.24653000000001</v>
      </c>
      <c r="G20" s="7">
        <v>2.0688677999999999E-2</v>
      </c>
      <c r="H20" s="47"/>
    </row>
    <row r="21" spans="1:8" ht="17.100000000000001" customHeight="1" x14ac:dyDescent="0.2">
      <c r="A21" s="3">
        <v>15</v>
      </c>
      <c r="B21" s="4" t="s">
        <v>265</v>
      </c>
      <c r="C21" s="4" t="s">
        <v>266</v>
      </c>
      <c r="D21" s="4" t="s">
        <v>97</v>
      </c>
      <c r="E21" s="5">
        <v>11320</v>
      </c>
      <c r="F21" s="6">
        <v>133.99484000000001</v>
      </c>
      <c r="G21" s="7">
        <v>1.9352484E-2</v>
      </c>
      <c r="H21" s="47"/>
    </row>
    <row r="22" spans="1:8" ht="29.1" customHeight="1" x14ac:dyDescent="0.2">
      <c r="A22" s="3">
        <v>16</v>
      </c>
      <c r="B22" s="4" t="s">
        <v>175</v>
      </c>
      <c r="C22" s="4" t="s">
        <v>176</v>
      </c>
      <c r="D22" s="4" t="s">
        <v>88</v>
      </c>
      <c r="E22" s="5">
        <v>38799</v>
      </c>
      <c r="F22" s="6">
        <v>131.97479849999999</v>
      </c>
      <c r="G22" s="7">
        <v>1.9060734999999999E-2</v>
      </c>
      <c r="H22" s="47"/>
    </row>
    <row r="23" spans="1:8" ht="17.100000000000001" customHeight="1" x14ac:dyDescent="0.2">
      <c r="A23" s="3">
        <v>17</v>
      </c>
      <c r="B23" s="4" t="s">
        <v>172</v>
      </c>
      <c r="C23" s="4" t="s">
        <v>173</v>
      </c>
      <c r="D23" s="4" t="s">
        <v>174</v>
      </c>
      <c r="E23" s="5">
        <v>12162</v>
      </c>
      <c r="F23" s="6">
        <v>131.95769999999999</v>
      </c>
      <c r="G23" s="7">
        <v>1.9058265000000001E-2</v>
      </c>
      <c r="H23" s="47"/>
    </row>
    <row r="24" spans="1:8" ht="17.100000000000001" customHeight="1" x14ac:dyDescent="0.2">
      <c r="A24" s="3">
        <v>18</v>
      </c>
      <c r="B24" s="4" t="s">
        <v>228</v>
      </c>
      <c r="C24" s="4" t="s">
        <v>229</v>
      </c>
      <c r="D24" s="4" t="s">
        <v>191</v>
      </c>
      <c r="E24" s="5">
        <v>3812</v>
      </c>
      <c r="F24" s="6">
        <v>129.676616</v>
      </c>
      <c r="G24" s="7">
        <v>1.8728814999999999E-2</v>
      </c>
      <c r="H24" s="47"/>
    </row>
    <row r="25" spans="1:8" ht="17.100000000000001" customHeight="1" x14ac:dyDescent="0.2">
      <c r="A25" s="3">
        <v>19</v>
      </c>
      <c r="B25" s="4" t="s">
        <v>207</v>
      </c>
      <c r="C25" s="4" t="s">
        <v>208</v>
      </c>
      <c r="D25" s="4" t="s">
        <v>209</v>
      </c>
      <c r="E25" s="5">
        <v>46520</v>
      </c>
      <c r="F25" s="6">
        <v>129.34886</v>
      </c>
      <c r="G25" s="7">
        <v>1.8681478000000001E-2</v>
      </c>
      <c r="H25" s="47"/>
    </row>
    <row r="26" spans="1:8" ht="17.100000000000001" customHeight="1" x14ac:dyDescent="0.2">
      <c r="A26" s="3">
        <v>20</v>
      </c>
      <c r="B26" s="4" t="s">
        <v>220</v>
      </c>
      <c r="C26" s="4" t="s">
        <v>221</v>
      </c>
      <c r="D26" s="4" t="s">
        <v>91</v>
      </c>
      <c r="E26" s="5">
        <v>16888</v>
      </c>
      <c r="F26" s="6">
        <v>125.596056</v>
      </c>
      <c r="G26" s="7">
        <v>1.8139472E-2</v>
      </c>
      <c r="H26" s="47"/>
    </row>
    <row r="27" spans="1:8" ht="17.100000000000001" customHeight="1" x14ac:dyDescent="0.2">
      <c r="A27" s="3">
        <v>21</v>
      </c>
      <c r="B27" s="4" t="s">
        <v>192</v>
      </c>
      <c r="C27" s="4" t="s">
        <v>193</v>
      </c>
      <c r="D27" s="4" t="s">
        <v>184</v>
      </c>
      <c r="E27" s="5">
        <v>10225</v>
      </c>
      <c r="F27" s="6">
        <v>123.33395</v>
      </c>
      <c r="G27" s="7">
        <v>1.7812761999999999E-2</v>
      </c>
      <c r="H27" s="47"/>
    </row>
    <row r="28" spans="1:8" ht="29.1" customHeight="1" x14ac:dyDescent="0.2">
      <c r="A28" s="3">
        <v>22</v>
      </c>
      <c r="B28" s="4" t="s">
        <v>469</v>
      </c>
      <c r="C28" s="4" t="s">
        <v>470</v>
      </c>
      <c r="D28" s="4" t="s">
        <v>40</v>
      </c>
      <c r="E28" s="5">
        <v>6054</v>
      </c>
      <c r="F28" s="6">
        <v>113.45801400000001</v>
      </c>
      <c r="G28" s="7">
        <v>1.6386410000000001E-2</v>
      </c>
      <c r="H28" s="47"/>
    </row>
    <row r="29" spans="1:8" ht="17.100000000000001" customHeight="1" x14ac:dyDescent="0.2">
      <c r="A29" s="3">
        <v>23</v>
      </c>
      <c r="B29" s="4" t="s">
        <v>182</v>
      </c>
      <c r="C29" s="4" t="s">
        <v>183</v>
      </c>
      <c r="D29" s="4" t="s">
        <v>184</v>
      </c>
      <c r="E29" s="5">
        <v>8355</v>
      </c>
      <c r="F29" s="6">
        <v>109.2792225</v>
      </c>
      <c r="G29" s="7">
        <v>1.5782879E-2</v>
      </c>
      <c r="H29" s="47"/>
    </row>
    <row r="30" spans="1:8" ht="29.1" customHeight="1" x14ac:dyDescent="0.2">
      <c r="A30" s="3">
        <v>24</v>
      </c>
      <c r="B30" s="4" t="s">
        <v>179</v>
      </c>
      <c r="C30" s="4" t="s">
        <v>180</v>
      </c>
      <c r="D30" s="4" t="s">
        <v>181</v>
      </c>
      <c r="E30" s="5">
        <v>16028</v>
      </c>
      <c r="F30" s="6">
        <v>98.355822000000003</v>
      </c>
      <c r="G30" s="7">
        <v>1.4205244000000001E-2</v>
      </c>
      <c r="H30" s="47"/>
    </row>
    <row r="31" spans="1:8" ht="17.100000000000001" customHeight="1" x14ac:dyDescent="0.2">
      <c r="A31" s="3">
        <v>25</v>
      </c>
      <c r="B31" s="4" t="s">
        <v>473</v>
      </c>
      <c r="C31" s="4" t="s">
        <v>474</v>
      </c>
      <c r="D31" s="4" t="s">
        <v>45</v>
      </c>
      <c r="E31" s="5">
        <v>14316</v>
      </c>
      <c r="F31" s="6">
        <v>96.640158</v>
      </c>
      <c r="G31" s="7">
        <v>1.3957456E-2</v>
      </c>
      <c r="H31" s="47"/>
    </row>
    <row r="32" spans="1:8" ht="29.1" customHeight="1" x14ac:dyDescent="0.2">
      <c r="A32" s="3">
        <v>26</v>
      </c>
      <c r="B32" s="4" t="s">
        <v>230</v>
      </c>
      <c r="C32" s="4" t="s">
        <v>231</v>
      </c>
      <c r="D32" s="4" t="s">
        <v>204</v>
      </c>
      <c r="E32" s="5">
        <v>25867</v>
      </c>
      <c r="F32" s="6">
        <v>94.944823499999998</v>
      </c>
      <c r="G32" s="7">
        <v>1.3712604E-2</v>
      </c>
      <c r="H32" s="47"/>
    </row>
    <row r="33" spans="1:8" ht="17.100000000000001" customHeight="1" x14ac:dyDescent="0.2">
      <c r="A33" s="3">
        <v>27</v>
      </c>
      <c r="B33" s="4" t="s">
        <v>187</v>
      </c>
      <c r="C33" s="4" t="s">
        <v>188</v>
      </c>
      <c r="D33" s="4" t="s">
        <v>91</v>
      </c>
      <c r="E33" s="5">
        <v>21794</v>
      </c>
      <c r="F33" s="6">
        <v>92.918718999999996</v>
      </c>
      <c r="G33" s="7">
        <v>1.3419979E-2</v>
      </c>
      <c r="H33" s="47"/>
    </row>
    <row r="34" spans="1:8" ht="17.100000000000001" customHeight="1" x14ac:dyDescent="0.2">
      <c r="A34" s="3">
        <v>28</v>
      </c>
      <c r="B34" s="4" t="s">
        <v>334</v>
      </c>
      <c r="C34" s="4" t="s">
        <v>335</v>
      </c>
      <c r="D34" s="4" t="s">
        <v>94</v>
      </c>
      <c r="E34" s="5">
        <v>2040</v>
      </c>
      <c r="F34" s="6">
        <v>89.145960000000002</v>
      </c>
      <c r="G34" s="7">
        <v>1.2875091E-2</v>
      </c>
      <c r="H34" s="47"/>
    </row>
    <row r="35" spans="1:8" ht="29.1" customHeight="1" x14ac:dyDescent="0.2">
      <c r="A35" s="3">
        <v>29</v>
      </c>
      <c r="B35" s="4" t="s">
        <v>52</v>
      </c>
      <c r="C35" s="4" t="s">
        <v>53</v>
      </c>
      <c r="D35" s="4" t="s">
        <v>25</v>
      </c>
      <c r="E35" s="5">
        <v>4064</v>
      </c>
      <c r="F35" s="6">
        <v>85.707728000000003</v>
      </c>
      <c r="G35" s="7">
        <v>1.2378517E-2</v>
      </c>
      <c r="H35" s="47"/>
    </row>
    <row r="36" spans="1:8" ht="17.100000000000001" customHeight="1" x14ac:dyDescent="0.2">
      <c r="A36" s="3">
        <v>30</v>
      </c>
      <c r="B36" s="4" t="s">
        <v>267</v>
      </c>
      <c r="C36" s="4" t="s">
        <v>268</v>
      </c>
      <c r="D36" s="4" t="s">
        <v>171</v>
      </c>
      <c r="E36" s="5">
        <v>11291</v>
      </c>
      <c r="F36" s="6">
        <v>85.433351500000001</v>
      </c>
      <c r="G36" s="7">
        <v>1.233889E-2</v>
      </c>
      <c r="H36" s="47"/>
    </row>
    <row r="37" spans="1:8" ht="29.1" customHeight="1" x14ac:dyDescent="0.2">
      <c r="A37" s="3">
        <v>31</v>
      </c>
      <c r="B37" s="4" t="s">
        <v>275</v>
      </c>
      <c r="C37" s="4" t="s">
        <v>276</v>
      </c>
      <c r="D37" s="4" t="s">
        <v>238</v>
      </c>
      <c r="E37" s="5">
        <v>15722</v>
      </c>
      <c r="F37" s="6">
        <v>83.420931999999993</v>
      </c>
      <c r="G37" s="7">
        <v>1.2048242000000001E-2</v>
      </c>
      <c r="H37" s="47"/>
    </row>
    <row r="38" spans="1:8" ht="29.1" customHeight="1" x14ac:dyDescent="0.2">
      <c r="A38" s="3">
        <v>32</v>
      </c>
      <c r="B38" s="4" t="s">
        <v>196</v>
      </c>
      <c r="C38" s="4" t="s">
        <v>197</v>
      </c>
      <c r="D38" s="4" t="s">
        <v>198</v>
      </c>
      <c r="E38" s="5">
        <v>6442</v>
      </c>
      <c r="F38" s="6">
        <v>81.893924999999996</v>
      </c>
      <c r="G38" s="7">
        <v>1.1827700999999999E-2</v>
      </c>
      <c r="H38" s="47"/>
    </row>
    <row r="39" spans="1:8" ht="17.100000000000001" customHeight="1" x14ac:dyDescent="0.2">
      <c r="A39" s="3">
        <v>33</v>
      </c>
      <c r="B39" s="4" t="s">
        <v>194</v>
      </c>
      <c r="C39" s="4" t="s">
        <v>195</v>
      </c>
      <c r="D39" s="4" t="s">
        <v>174</v>
      </c>
      <c r="E39" s="5">
        <v>16224</v>
      </c>
      <c r="F39" s="6">
        <v>80.681951999999995</v>
      </c>
      <c r="G39" s="7">
        <v>1.1652658999999999E-2</v>
      </c>
      <c r="H39" s="47"/>
    </row>
    <row r="40" spans="1:8" ht="29.1" customHeight="1" x14ac:dyDescent="0.2">
      <c r="A40" s="3">
        <v>34</v>
      </c>
      <c r="B40" s="4" t="s">
        <v>202</v>
      </c>
      <c r="C40" s="4" t="s">
        <v>203</v>
      </c>
      <c r="D40" s="4" t="s">
        <v>204</v>
      </c>
      <c r="E40" s="5">
        <v>16682</v>
      </c>
      <c r="F40" s="6">
        <v>77.521253999999999</v>
      </c>
      <c r="G40" s="7">
        <v>1.1196167999999999E-2</v>
      </c>
      <c r="H40" s="47"/>
    </row>
    <row r="41" spans="1:8" ht="29.1" customHeight="1" x14ac:dyDescent="0.2">
      <c r="A41" s="3">
        <v>35</v>
      </c>
      <c r="B41" s="4" t="s">
        <v>224</v>
      </c>
      <c r="C41" s="4" t="s">
        <v>225</v>
      </c>
      <c r="D41" s="4" t="s">
        <v>181</v>
      </c>
      <c r="E41" s="5">
        <v>16994</v>
      </c>
      <c r="F41" s="6">
        <v>77.135766000000004</v>
      </c>
      <c r="G41" s="7">
        <v>1.1140493E-2</v>
      </c>
      <c r="H41" s="47"/>
    </row>
    <row r="42" spans="1:8" ht="17.100000000000001" customHeight="1" x14ac:dyDescent="0.2">
      <c r="A42" s="3">
        <v>36</v>
      </c>
      <c r="B42" s="4" t="s">
        <v>271</v>
      </c>
      <c r="C42" s="4" t="s">
        <v>272</v>
      </c>
      <c r="D42" s="4" t="s">
        <v>94</v>
      </c>
      <c r="E42" s="5">
        <v>4132</v>
      </c>
      <c r="F42" s="6">
        <v>76.082515999999998</v>
      </c>
      <c r="G42" s="7">
        <v>1.0988375999999999E-2</v>
      </c>
      <c r="H42" s="47"/>
    </row>
    <row r="43" spans="1:8" ht="17.100000000000001" customHeight="1" x14ac:dyDescent="0.2">
      <c r="A43" s="3">
        <v>37</v>
      </c>
      <c r="B43" s="4" t="s">
        <v>32</v>
      </c>
      <c r="C43" s="4" t="s">
        <v>33</v>
      </c>
      <c r="D43" s="4" t="s">
        <v>28</v>
      </c>
      <c r="E43" s="5">
        <v>2150</v>
      </c>
      <c r="F43" s="6">
        <v>75.956275000000005</v>
      </c>
      <c r="G43" s="7">
        <v>1.0970143E-2</v>
      </c>
      <c r="H43" s="47"/>
    </row>
    <row r="44" spans="1:8" ht="17.100000000000001" customHeight="1" x14ac:dyDescent="0.2">
      <c r="A44" s="3">
        <v>38</v>
      </c>
      <c r="B44" s="4" t="s">
        <v>477</v>
      </c>
      <c r="C44" s="4" t="s">
        <v>478</v>
      </c>
      <c r="D44" s="4" t="s">
        <v>91</v>
      </c>
      <c r="E44" s="5">
        <v>7194</v>
      </c>
      <c r="F44" s="6">
        <v>73.076651999999996</v>
      </c>
      <c r="G44" s="7">
        <v>1.0554248E-2</v>
      </c>
      <c r="H44" s="47"/>
    </row>
    <row r="45" spans="1:8" ht="17.100000000000001" customHeight="1" x14ac:dyDescent="0.2">
      <c r="A45" s="3">
        <v>39</v>
      </c>
      <c r="B45" s="4" t="s">
        <v>475</v>
      </c>
      <c r="C45" s="4" t="s">
        <v>476</v>
      </c>
      <c r="D45" s="4" t="s">
        <v>28</v>
      </c>
      <c r="E45" s="5">
        <v>9582</v>
      </c>
      <c r="F45" s="6">
        <v>68.693358000000003</v>
      </c>
      <c r="G45" s="7">
        <v>9.9211809999999994E-3</v>
      </c>
      <c r="H45" s="47"/>
    </row>
    <row r="46" spans="1:8" ht="17.100000000000001" customHeight="1" x14ac:dyDescent="0.2">
      <c r="A46" s="3">
        <v>40</v>
      </c>
      <c r="B46" s="4" t="s">
        <v>210</v>
      </c>
      <c r="C46" s="4" t="s">
        <v>211</v>
      </c>
      <c r="D46" s="4" t="s">
        <v>16</v>
      </c>
      <c r="E46" s="5">
        <v>30905</v>
      </c>
      <c r="F46" s="6">
        <v>67.125659999999996</v>
      </c>
      <c r="G46" s="7">
        <v>9.6947630000000003E-3</v>
      </c>
      <c r="H46" s="47"/>
    </row>
    <row r="47" spans="1:8" ht="29.1" customHeight="1" x14ac:dyDescent="0.2">
      <c r="A47" s="3">
        <v>41</v>
      </c>
      <c r="B47" s="4" t="s">
        <v>390</v>
      </c>
      <c r="C47" s="4" t="s">
        <v>391</v>
      </c>
      <c r="D47" s="4" t="s">
        <v>201</v>
      </c>
      <c r="E47" s="5">
        <v>10979</v>
      </c>
      <c r="F47" s="6">
        <v>66.982878999999997</v>
      </c>
      <c r="G47" s="7">
        <v>9.6741420000000002E-3</v>
      </c>
      <c r="H47" s="47"/>
    </row>
    <row r="48" spans="1:8" ht="17.100000000000001" customHeight="1" x14ac:dyDescent="0.2">
      <c r="A48" s="3">
        <v>42</v>
      </c>
      <c r="B48" s="4" t="s">
        <v>226</v>
      </c>
      <c r="C48" s="4" t="s">
        <v>227</v>
      </c>
      <c r="D48" s="4" t="s">
        <v>13</v>
      </c>
      <c r="E48" s="5">
        <v>88984</v>
      </c>
      <c r="F48" s="6">
        <v>65.091796000000002</v>
      </c>
      <c r="G48" s="7">
        <v>9.4010180000000006E-3</v>
      </c>
      <c r="H48" s="47"/>
    </row>
    <row r="49" spans="1:8" ht="29.1" customHeight="1" x14ac:dyDescent="0.2">
      <c r="A49" s="3">
        <v>43</v>
      </c>
      <c r="B49" s="4" t="s">
        <v>236</v>
      </c>
      <c r="C49" s="4" t="s">
        <v>237</v>
      </c>
      <c r="D49" s="4" t="s">
        <v>238</v>
      </c>
      <c r="E49" s="5">
        <v>16397</v>
      </c>
      <c r="F49" s="6">
        <v>62.8742965</v>
      </c>
      <c r="G49" s="7">
        <v>9.0807509999999998E-3</v>
      </c>
      <c r="H49" s="47"/>
    </row>
    <row r="50" spans="1:8" ht="29.1" customHeight="1" x14ac:dyDescent="0.2">
      <c r="A50" s="3">
        <v>44</v>
      </c>
      <c r="B50" s="4" t="s">
        <v>212</v>
      </c>
      <c r="C50" s="4" t="s">
        <v>213</v>
      </c>
      <c r="D50" s="4" t="s">
        <v>214</v>
      </c>
      <c r="E50" s="5">
        <v>65904</v>
      </c>
      <c r="F50" s="6">
        <v>61.949759999999998</v>
      </c>
      <c r="G50" s="7">
        <v>8.9472230000000007E-3</v>
      </c>
      <c r="H50" s="47"/>
    </row>
    <row r="51" spans="1:8" ht="29.1" customHeight="1" x14ac:dyDescent="0.2">
      <c r="A51" s="3">
        <v>45</v>
      </c>
      <c r="B51" s="4" t="s">
        <v>205</v>
      </c>
      <c r="C51" s="4" t="s">
        <v>206</v>
      </c>
      <c r="D51" s="4" t="s">
        <v>204</v>
      </c>
      <c r="E51" s="5">
        <v>3920</v>
      </c>
      <c r="F51" s="6">
        <v>61.647880000000001</v>
      </c>
      <c r="G51" s="7">
        <v>8.9036229999999994E-3</v>
      </c>
      <c r="H51" s="47"/>
    </row>
    <row r="52" spans="1:8" ht="29.1" customHeight="1" x14ac:dyDescent="0.2">
      <c r="A52" s="3">
        <v>46</v>
      </c>
      <c r="B52" s="4" t="s">
        <v>290</v>
      </c>
      <c r="C52" s="4" t="s">
        <v>291</v>
      </c>
      <c r="D52" s="4" t="s">
        <v>292</v>
      </c>
      <c r="E52" s="5">
        <v>19523</v>
      </c>
      <c r="F52" s="6">
        <v>59.994179000000003</v>
      </c>
      <c r="G52" s="7">
        <v>8.664784E-3</v>
      </c>
      <c r="H52" s="47"/>
    </row>
    <row r="53" spans="1:8" ht="17.100000000000001" customHeight="1" x14ac:dyDescent="0.2">
      <c r="A53" s="3">
        <v>47</v>
      </c>
      <c r="B53" s="4" t="s">
        <v>479</v>
      </c>
      <c r="C53" s="4" t="s">
        <v>480</v>
      </c>
      <c r="D53" s="4" t="s">
        <v>88</v>
      </c>
      <c r="E53" s="5">
        <v>6623</v>
      </c>
      <c r="F53" s="6">
        <v>59.855362499999998</v>
      </c>
      <c r="G53" s="7">
        <v>8.6447350000000006E-3</v>
      </c>
      <c r="H53" s="47"/>
    </row>
    <row r="54" spans="1:8" ht="17.100000000000001" customHeight="1" x14ac:dyDescent="0.2">
      <c r="A54" s="3">
        <v>48</v>
      </c>
      <c r="B54" s="4" t="s">
        <v>269</v>
      </c>
      <c r="C54" s="4" t="s">
        <v>270</v>
      </c>
      <c r="D54" s="4" t="s">
        <v>91</v>
      </c>
      <c r="E54" s="5">
        <v>121452</v>
      </c>
      <c r="F54" s="6">
        <v>59.693657999999999</v>
      </c>
      <c r="G54" s="7">
        <v>8.6213809999999991E-3</v>
      </c>
      <c r="H54" s="47"/>
    </row>
    <row r="55" spans="1:8" ht="53.1" customHeight="1" x14ac:dyDescent="0.2">
      <c r="A55" s="3">
        <v>49</v>
      </c>
      <c r="B55" s="4" t="s">
        <v>422</v>
      </c>
      <c r="C55" s="4" t="s">
        <v>423</v>
      </c>
      <c r="D55" s="4" t="s">
        <v>62</v>
      </c>
      <c r="E55" s="5">
        <v>28232</v>
      </c>
      <c r="F55" s="6">
        <v>58.722560000000001</v>
      </c>
      <c r="G55" s="7">
        <v>8.4811279999999992E-3</v>
      </c>
      <c r="H55" s="47"/>
    </row>
    <row r="56" spans="1:8" ht="29.1" customHeight="1" x14ac:dyDescent="0.2">
      <c r="A56" s="3">
        <v>50</v>
      </c>
      <c r="B56" s="4" t="s">
        <v>256</v>
      </c>
      <c r="C56" s="4" t="s">
        <v>257</v>
      </c>
      <c r="D56" s="4" t="s">
        <v>88</v>
      </c>
      <c r="E56" s="5">
        <v>3957</v>
      </c>
      <c r="F56" s="6">
        <v>58.613062499999998</v>
      </c>
      <c r="G56" s="7">
        <v>8.4653139999999998E-3</v>
      </c>
      <c r="H56" s="47"/>
    </row>
    <row r="57" spans="1:8" ht="17.100000000000001" customHeight="1" x14ac:dyDescent="0.2">
      <c r="A57" s="3">
        <v>51</v>
      </c>
      <c r="B57" s="4" t="s">
        <v>481</v>
      </c>
      <c r="C57" s="4" t="s">
        <v>482</v>
      </c>
      <c r="D57" s="4" t="s">
        <v>28</v>
      </c>
      <c r="E57" s="5">
        <v>11028</v>
      </c>
      <c r="F57" s="6">
        <v>55.305419999999998</v>
      </c>
      <c r="G57" s="7">
        <v>7.9875999999999992E-3</v>
      </c>
      <c r="H57" s="47"/>
    </row>
    <row r="58" spans="1:8" ht="17.100000000000001" customHeight="1" x14ac:dyDescent="0.2">
      <c r="A58" s="3">
        <v>52</v>
      </c>
      <c r="B58" s="4" t="s">
        <v>215</v>
      </c>
      <c r="C58" s="4" t="s">
        <v>216</v>
      </c>
      <c r="D58" s="4" t="s">
        <v>217</v>
      </c>
      <c r="E58" s="5">
        <v>20765</v>
      </c>
      <c r="F58" s="6">
        <v>54.975337500000002</v>
      </c>
      <c r="G58" s="7">
        <v>7.9399280000000006E-3</v>
      </c>
      <c r="H58" s="47"/>
    </row>
    <row r="59" spans="1:8" ht="17.100000000000001" customHeight="1" x14ac:dyDescent="0.2">
      <c r="A59" s="3">
        <v>53</v>
      </c>
      <c r="B59" s="4" t="s">
        <v>483</v>
      </c>
      <c r="C59" s="4" t="s">
        <v>484</v>
      </c>
      <c r="D59" s="4" t="s">
        <v>303</v>
      </c>
      <c r="E59" s="5">
        <v>7374</v>
      </c>
      <c r="F59" s="6">
        <v>54.667149000000002</v>
      </c>
      <c r="G59" s="7">
        <v>7.8954170000000001E-3</v>
      </c>
      <c r="H59" s="47"/>
    </row>
    <row r="60" spans="1:8" ht="17.100000000000001" customHeight="1" x14ac:dyDescent="0.2">
      <c r="A60" s="3">
        <v>54</v>
      </c>
      <c r="B60" s="4" t="s">
        <v>222</v>
      </c>
      <c r="C60" s="4" t="s">
        <v>223</v>
      </c>
      <c r="D60" s="4" t="s">
        <v>13</v>
      </c>
      <c r="E60" s="5">
        <v>15004</v>
      </c>
      <c r="F60" s="6">
        <v>53.519267999999997</v>
      </c>
      <c r="G60" s="7">
        <v>7.7296320000000002E-3</v>
      </c>
      <c r="H60" s="47"/>
    </row>
    <row r="61" spans="1:8" ht="41.1" customHeight="1" x14ac:dyDescent="0.2">
      <c r="A61" s="3">
        <v>55</v>
      </c>
      <c r="B61" s="4" t="s">
        <v>283</v>
      </c>
      <c r="C61" s="4" t="s">
        <v>284</v>
      </c>
      <c r="D61" s="4" t="s">
        <v>285</v>
      </c>
      <c r="E61" s="5">
        <v>7412</v>
      </c>
      <c r="F61" s="6">
        <v>53.010624</v>
      </c>
      <c r="G61" s="7">
        <v>7.6561700000000003E-3</v>
      </c>
      <c r="H61" s="47"/>
    </row>
    <row r="62" spans="1:8" ht="17.100000000000001" customHeight="1" x14ac:dyDescent="0.2">
      <c r="A62" s="3">
        <v>56</v>
      </c>
      <c r="B62" s="4" t="s">
        <v>281</v>
      </c>
      <c r="C62" s="4" t="s">
        <v>282</v>
      </c>
      <c r="D62" s="4" t="s">
        <v>94</v>
      </c>
      <c r="E62" s="5">
        <v>8028</v>
      </c>
      <c r="F62" s="6">
        <v>50.347602000000002</v>
      </c>
      <c r="G62" s="7">
        <v>7.2715569999999997E-3</v>
      </c>
      <c r="H62" s="47"/>
    </row>
    <row r="63" spans="1:8" ht="17.100000000000001" customHeight="1" x14ac:dyDescent="0.2">
      <c r="A63" s="3">
        <v>57</v>
      </c>
      <c r="B63" s="4" t="s">
        <v>244</v>
      </c>
      <c r="C63" s="4" t="s">
        <v>245</v>
      </c>
      <c r="D63" s="4" t="s">
        <v>88</v>
      </c>
      <c r="E63" s="5">
        <v>26481</v>
      </c>
      <c r="F63" s="6">
        <v>50.234456999999999</v>
      </c>
      <c r="G63" s="7">
        <v>7.2552160000000001E-3</v>
      </c>
      <c r="H63" s="47"/>
    </row>
    <row r="64" spans="1:8" ht="17.100000000000001" customHeight="1" x14ac:dyDescent="0.2">
      <c r="A64" s="3">
        <v>58</v>
      </c>
      <c r="B64" s="4" t="s">
        <v>288</v>
      </c>
      <c r="C64" s="4" t="s">
        <v>289</v>
      </c>
      <c r="D64" s="4" t="s">
        <v>19</v>
      </c>
      <c r="E64" s="5">
        <v>25942</v>
      </c>
      <c r="F64" s="6">
        <v>50.094002000000003</v>
      </c>
      <c r="G64" s="7">
        <v>7.2349299999999997E-3</v>
      </c>
      <c r="H64" s="47"/>
    </row>
    <row r="65" spans="1:8" ht="17.100000000000001" customHeight="1" x14ac:dyDescent="0.2">
      <c r="A65" s="3">
        <v>59</v>
      </c>
      <c r="B65" s="4" t="s">
        <v>95</v>
      </c>
      <c r="C65" s="4" t="s">
        <v>96</v>
      </c>
      <c r="D65" s="4" t="s">
        <v>97</v>
      </c>
      <c r="E65" s="5">
        <v>10971</v>
      </c>
      <c r="F65" s="6">
        <v>48.755124000000002</v>
      </c>
      <c r="G65" s="7">
        <v>7.0415599999999997E-3</v>
      </c>
      <c r="H65" s="47"/>
    </row>
    <row r="66" spans="1:8" ht="17.100000000000001" customHeight="1" x14ac:dyDescent="0.2">
      <c r="A66" s="3">
        <v>60</v>
      </c>
      <c r="B66" s="4" t="s">
        <v>485</v>
      </c>
      <c r="C66" s="4" t="s">
        <v>486</v>
      </c>
      <c r="D66" s="4" t="s">
        <v>174</v>
      </c>
      <c r="E66" s="5">
        <v>83814</v>
      </c>
      <c r="F66" s="6">
        <v>46.684398000000002</v>
      </c>
      <c r="G66" s="7">
        <v>6.7424909999999998E-3</v>
      </c>
      <c r="H66" s="47"/>
    </row>
    <row r="67" spans="1:8" ht="17.100000000000001" customHeight="1" x14ac:dyDescent="0.2">
      <c r="A67" s="3">
        <v>61</v>
      </c>
      <c r="B67" s="4" t="s">
        <v>487</v>
      </c>
      <c r="C67" s="4" t="s">
        <v>488</v>
      </c>
      <c r="D67" s="4" t="s">
        <v>28</v>
      </c>
      <c r="E67" s="5">
        <v>1920</v>
      </c>
      <c r="F67" s="6">
        <v>45.644159999999999</v>
      </c>
      <c r="G67" s="7">
        <v>6.5922530000000002E-3</v>
      </c>
      <c r="H67" s="47"/>
    </row>
    <row r="68" spans="1:8" ht="17.100000000000001" customHeight="1" x14ac:dyDescent="0.2">
      <c r="A68" s="3">
        <v>62</v>
      </c>
      <c r="B68" s="4" t="s">
        <v>246</v>
      </c>
      <c r="C68" s="4" t="s">
        <v>247</v>
      </c>
      <c r="D68" s="4" t="s">
        <v>94</v>
      </c>
      <c r="E68" s="5">
        <v>8175</v>
      </c>
      <c r="F68" s="6">
        <v>41.050762499999998</v>
      </c>
      <c r="G68" s="7">
        <v>5.9288420000000001E-3</v>
      </c>
      <c r="H68" s="47"/>
    </row>
    <row r="69" spans="1:8" ht="17.100000000000001" customHeight="1" x14ac:dyDescent="0.2">
      <c r="A69" s="3">
        <v>63</v>
      </c>
      <c r="B69" s="4" t="s">
        <v>239</v>
      </c>
      <c r="C69" s="4" t="s">
        <v>240</v>
      </c>
      <c r="D69" s="4" t="s">
        <v>88</v>
      </c>
      <c r="E69" s="5">
        <v>6547</v>
      </c>
      <c r="F69" s="6">
        <v>37.524130499999998</v>
      </c>
      <c r="G69" s="7">
        <v>5.4195010000000002E-3</v>
      </c>
      <c r="H69" s="47"/>
    </row>
    <row r="70" spans="1:8" ht="17.100000000000001" customHeight="1" x14ac:dyDescent="0.2">
      <c r="A70" s="3">
        <v>64</v>
      </c>
      <c r="B70" s="4" t="s">
        <v>234</v>
      </c>
      <c r="C70" s="4" t="s">
        <v>235</v>
      </c>
      <c r="D70" s="4" t="s">
        <v>114</v>
      </c>
      <c r="E70" s="5">
        <v>5369</v>
      </c>
      <c r="F70" s="6">
        <v>36.197797999999999</v>
      </c>
      <c r="G70" s="7">
        <v>5.2279420000000002E-3</v>
      </c>
      <c r="H70" s="47"/>
    </row>
    <row r="71" spans="1:8" ht="29.1" customHeight="1" x14ac:dyDescent="0.2">
      <c r="A71" s="3">
        <v>65</v>
      </c>
      <c r="B71" s="4" t="s">
        <v>250</v>
      </c>
      <c r="C71" s="4" t="s">
        <v>251</v>
      </c>
      <c r="D71" s="4" t="s">
        <v>204</v>
      </c>
      <c r="E71" s="5">
        <v>792</v>
      </c>
      <c r="F71" s="6">
        <v>33.191532000000002</v>
      </c>
      <c r="G71" s="7">
        <v>4.7937559999999997E-3</v>
      </c>
      <c r="H71" s="47"/>
    </row>
    <row r="72" spans="1:8" ht="29.1" customHeight="1" x14ac:dyDescent="0.2">
      <c r="A72" s="3">
        <v>66</v>
      </c>
      <c r="B72" s="4" t="s">
        <v>277</v>
      </c>
      <c r="C72" s="4" t="s">
        <v>278</v>
      </c>
      <c r="D72" s="4" t="s">
        <v>201</v>
      </c>
      <c r="E72" s="5">
        <v>6070</v>
      </c>
      <c r="F72" s="6">
        <v>28.538105000000002</v>
      </c>
      <c r="G72" s="7">
        <v>4.121675E-3</v>
      </c>
      <c r="H72" s="47"/>
    </row>
    <row r="73" spans="1:8" ht="29.1" customHeight="1" x14ac:dyDescent="0.2">
      <c r="A73" s="3">
        <v>67</v>
      </c>
      <c r="B73" s="4" t="s">
        <v>286</v>
      </c>
      <c r="C73" s="4" t="s">
        <v>287</v>
      </c>
      <c r="D73" s="4" t="s">
        <v>204</v>
      </c>
      <c r="E73" s="5">
        <v>12902</v>
      </c>
      <c r="F73" s="6">
        <v>28.203772000000001</v>
      </c>
      <c r="G73" s="7">
        <v>4.0733879999999998E-3</v>
      </c>
      <c r="H73" s="47"/>
    </row>
    <row r="74" spans="1:8" ht="17.100000000000001" customHeight="1" x14ac:dyDescent="0.2">
      <c r="A74" s="3">
        <v>68</v>
      </c>
      <c r="B74" s="4" t="s">
        <v>252</v>
      </c>
      <c r="C74" s="4" t="s">
        <v>253</v>
      </c>
      <c r="D74" s="4" t="s">
        <v>97</v>
      </c>
      <c r="E74" s="5">
        <v>41500</v>
      </c>
      <c r="F74" s="6">
        <v>27.078749999999999</v>
      </c>
      <c r="G74" s="7">
        <v>3.9109050000000001E-3</v>
      </c>
      <c r="H74" s="47"/>
    </row>
    <row r="75" spans="1:8" ht="17.100000000000001" customHeight="1" x14ac:dyDescent="0.2">
      <c r="A75" s="3">
        <v>69</v>
      </c>
      <c r="B75" s="4" t="s">
        <v>489</v>
      </c>
      <c r="C75" s="4" t="s">
        <v>490</v>
      </c>
      <c r="D75" s="4" t="s">
        <v>312</v>
      </c>
      <c r="E75" s="5">
        <v>3918</v>
      </c>
      <c r="F75" s="6">
        <v>23.198478000000001</v>
      </c>
      <c r="G75" s="7">
        <v>3.350488E-3</v>
      </c>
      <c r="H75" s="47"/>
    </row>
    <row r="76" spans="1:8" ht="29.1" customHeight="1" x14ac:dyDescent="0.2">
      <c r="A76" s="3">
        <v>70</v>
      </c>
      <c r="B76" s="4" t="s">
        <v>258</v>
      </c>
      <c r="C76" s="4" t="s">
        <v>259</v>
      </c>
      <c r="D76" s="4" t="s">
        <v>201</v>
      </c>
      <c r="E76" s="5">
        <v>1852</v>
      </c>
      <c r="F76" s="6">
        <v>9.870234</v>
      </c>
      <c r="G76" s="7">
        <v>1.425529E-3</v>
      </c>
      <c r="H76" s="47"/>
    </row>
    <row r="77" spans="1:8" ht="14.1" customHeight="1" x14ac:dyDescent="0.2">
      <c r="A77" s="1"/>
      <c r="B77" s="1"/>
      <c r="C77" s="2" t="s">
        <v>122</v>
      </c>
      <c r="D77" s="1"/>
      <c r="E77" s="1" t="s">
        <v>123</v>
      </c>
      <c r="F77" s="9">
        <v>6464.0355289999998</v>
      </c>
      <c r="G77" s="10">
        <v>0.93358178199999997</v>
      </c>
      <c r="H77" s="47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47"/>
    </row>
    <row r="79" spans="1:8" ht="14.1" customHeight="1" x14ac:dyDescent="0.2">
      <c r="A79" s="1"/>
      <c r="B79" s="1"/>
      <c r="C79" s="2" t="s">
        <v>124</v>
      </c>
      <c r="D79" s="1"/>
      <c r="E79" s="1"/>
      <c r="F79" s="1"/>
      <c r="G79" s="1"/>
      <c r="H79" s="47"/>
    </row>
    <row r="80" spans="1:8" ht="14.1" customHeight="1" x14ac:dyDescent="0.2">
      <c r="A80" s="1"/>
      <c r="B80" s="1"/>
      <c r="C80" s="2" t="s">
        <v>122</v>
      </c>
      <c r="D80" s="1"/>
      <c r="E80" s="1" t="s">
        <v>123</v>
      </c>
      <c r="F80" s="13">
        <v>0</v>
      </c>
      <c r="G80" s="14">
        <v>0</v>
      </c>
      <c r="H80" s="47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47"/>
    </row>
    <row r="82" spans="1:8" ht="14.1" customHeight="1" x14ac:dyDescent="0.2">
      <c r="A82" s="1"/>
      <c r="B82" s="1"/>
      <c r="C82" s="2" t="s">
        <v>125</v>
      </c>
      <c r="D82" s="1"/>
      <c r="E82" s="1"/>
      <c r="F82" s="1"/>
      <c r="G82" s="1"/>
      <c r="H82" s="47"/>
    </row>
    <row r="83" spans="1:8" ht="14.1" customHeight="1" x14ac:dyDescent="0.2">
      <c r="A83" s="1"/>
      <c r="B83" s="1"/>
      <c r="C83" s="2" t="s">
        <v>122</v>
      </c>
      <c r="D83" s="1"/>
      <c r="E83" s="1" t="s">
        <v>123</v>
      </c>
      <c r="F83" s="13">
        <v>0</v>
      </c>
      <c r="G83" s="14">
        <v>0</v>
      </c>
      <c r="H83" s="47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126</v>
      </c>
      <c r="D85" s="1"/>
      <c r="E85" s="1"/>
      <c r="F85" s="1"/>
      <c r="G85" s="1"/>
      <c r="H85" s="47"/>
    </row>
    <row r="86" spans="1:8" ht="14.1" customHeight="1" x14ac:dyDescent="0.2">
      <c r="A86" s="1"/>
      <c r="B86" s="1"/>
      <c r="C86" s="2" t="s">
        <v>122</v>
      </c>
      <c r="D86" s="1"/>
      <c r="E86" s="1" t="s">
        <v>123</v>
      </c>
      <c r="F86" s="13">
        <v>0</v>
      </c>
      <c r="G86" s="14">
        <v>0</v>
      </c>
      <c r="H86" s="47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47"/>
    </row>
    <row r="88" spans="1:8" ht="14.1" customHeight="1" x14ac:dyDescent="0.2">
      <c r="A88" s="1"/>
      <c r="B88" s="1"/>
      <c r="C88" s="2" t="s">
        <v>127</v>
      </c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122</v>
      </c>
      <c r="D89" s="1"/>
      <c r="E89" s="1" t="s">
        <v>123</v>
      </c>
      <c r="F89" s="13">
        <v>0</v>
      </c>
      <c r="G89" s="14">
        <v>0</v>
      </c>
      <c r="H89" s="47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47"/>
    </row>
    <row r="91" spans="1:8" ht="14.1" customHeight="1" x14ac:dyDescent="0.2">
      <c r="A91" s="1"/>
      <c r="B91" s="1"/>
      <c r="C91" s="2" t="s">
        <v>128</v>
      </c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122</v>
      </c>
      <c r="D92" s="1"/>
      <c r="E92" s="1" t="s">
        <v>123</v>
      </c>
      <c r="F92" s="13">
        <v>0</v>
      </c>
      <c r="G92" s="14">
        <v>0</v>
      </c>
      <c r="H92" s="47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47"/>
    </row>
    <row r="94" spans="1:8" ht="18" customHeight="1" x14ac:dyDescent="0.2">
      <c r="A94" s="1"/>
      <c r="B94" s="1"/>
      <c r="C94" s="2" t="s">
        <v>129</v>
      </c>
      <c r="D94" s="1"/>
      <c r="E94" s="1"/>
      <c r="F94" s="9">
        <v>6464.0355289999998</v>
      </c>
      <c r="G94" s="10">
        <v>0.93358178199999997</v>
      </c>
      <c r="H94" s="47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130</v>
      </c>
      <c r="D96" s="1"/>
      <c r="E96" s="1"/>
      <c r="F96" s="12"/>
      <c r="G96" s="12"/>
      <c r="H96" s="47"/>
    </row>
    <row r="97" spans="1:8" ht="24" customHeight="1" x14ac:dyDescent="0.2">
      <c r="A97" s="1"/>
      <c r="B97" s="1"/>
      <c r="C97" s="2" t="s">
        <v>10</v>
      </c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122</v>
      </c>
      <c r="D98" s="1"/>
      <c r="E98" s="1" t="s">
        <v>123</v>
      </c>
      <c r="F98" s="13">
        <v>0</v>
      </c>
      <c r="G98" s="14">
        <v>0</v>
      </c>
      <c r="H98" s="47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47"/>
    </row>
    <row r="100" spans="1:8" ht="14.1" customHeight="1" x14ac:dyDescent="0.2">
      <c r="A100" s="1"/>
      <c r="B100" s="1"/>
      <c r="C100" s="2" t="s">
        <v>131</v>
      </c>
      <c r="D100" s="1"/>
      <c r="E100" s="1"/>
      <c r="F100" s="1"/>
      <c r="G100" s="1"/>
      <c r="H100" s="47"/>
    </row>
    <row r="101" spans="1:8" ht="14.1" customHeight="1" x14ac:dyDescent="0.2">
      <c r="A101" s="1"/>
      <c r="B101" s="1"/>
      <c r="C101" s="2" t="s">
        <v>122</v>
      </c>
      <c r="D101" s="1"/>
      <c r="E101" s="1" t="s">
        <v>123</v>
      </c>
      <c r="F101" s="13">
        <v>0</v>
      </c>
      <c r="G101" s="14">
        <v>0</v>
      </c>
      <c r="H101" s="47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47"/>
    </row>
    <row r="103" spans="1:8" ht="14.1" customHeight="1" x14ac:dyDescent="0.2">
      <c r="A103" s="1"/>
      <c r="B103" s="1"/>
      <c r="C103" s="2" t="s">
        <v>132</v>
      </c>
      <c r="D103" s="1"/>
      <c r="E103" s="1"/>
      <c r="F103" s="1"/>
      <c r="G103" s="1"/>
      <c r="H103" s="47"/>
    </row>
    <row r="104" spans="1:8" ht="14.1" customHeight="1" x14ac:dyDescent="0.2">
      <c r="A104" s="1"/>
      <c r="B104" s="1"/>
      <c r="C104" s="2" t="s">
        <v>122</v>
      </c>
      <c r="D104" s="1"/>
      <c r="E104" s="1" t="s">
        <v>123</v>
      </c>
      <c r="F104" s="13">
        <v>0</v>
      </c>
      <c r="G104" s="14">
        <v>0</v>
      </c>
      <c r="H104" s="47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47"/>
    </row>
    <row r="106" spans="1:8" ht="14.1" customHeight="1" x14ac:dyDescent="0.2">
      <c r="A106" s="1"/>
      <c r="B106" s="1"/>
      <c r="C106" s="2" t="s">
        <v>133</v>
      </c>
      <c r="D106" s="1"/>
      <c r="E106" s="1"/>
      <c r="F106" s="12"/>
      <c r="G106" s="12"/>
      <c r="H106" s="47"/>
    </row>
    <row r="107" spans="1:8" ht="14.1" customHeight="1" x14ac:dyDescent="0.2">
      <c r="A107" s="1"/>
      <c r="B107" s="1"/>
      <c r="C107" s="2" t="s">
        <v>122</v>
      </c>
      <c r="D107" s="1"/>
      <c r="E107" s="1" t="s">
        <v>123</v>
      </c>
      <c r="F107" s="13">
        <v>0</v>
      </c>
      <c r="G107" s="14">
        <v>0</v>
      </c>
      <c r="H107" s="47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47"/>
    </row>
    <row r="109" spans="1:8" ht="14.1" customHeight="1" x14ac:dyDescent="0.2">
      <c r="A109" s="1"/>
      <c r="B109" s="1"/>
      <c r="C109" s="2" t="s">
        <v>134</v>
      </c>
      <c r="D109" s="1"/>
      <c r="E109" s="1"/>
      <c r="F109" s="9">
        <v>0</v>
      </c>
      <c r="G109" s="10">
        <v>0</v>
      </c>
      <c r="H109" s="47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47"/>
    </row>
    <row r="111" spans="1:8" ht="14.1" customHeight="1" x14ac:dyDescent="0.2">
      <c r="A111" s="1"/>
      <c r="B111" s="1"/>
      <c r="C111" s="2" t="s">
        <v>135</v>
      </c>
      <c r="D111" s="1"/>
      <c r="E111" s="1"/>
      <c r="F111" s="12"/>
      <c r="G111" s="12"/>
      <c r="H111" s="47"/>
    </row>
    <row r="112" spans="1:8" ht="14.1" customHeight="1" x14ac:dyDescent="0.2">
      <c r="A112" s="1"/>
      <c r="B112" s="1"/>
      <c r="C112" s="2" t="s">
        <v>136</v>
      </c>
      <c r="D112" s="1"/>
      <c r="E112" s="1"/>
      <c r="F112" s="12"/>
      <c r="G112" s="12"/>
      <c r="H112" s="47"/>
    </row>
    <row r="113" spans="1:8" ht="14.1" customHeight="1" x14ac:dyDescent="0.2">
      <c r="A113" s="1"/>
      <c r="B113" s="1"/>
      <c r="C113" s="2" t="s">
        <v>122</v>
      </c>
      <c r="D113" s="1"/>
      <c r="E113" s="1" t="s">
        <v>123</v>
      </c>
      <c r="F113" s="13">
        <v>0</v>
      </c>
      <c r="G113" s="14">
        <v>0</v>
      </c>
      <c r="H113" s="47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47"/>
    </row>
    <row r="115" spans="1:8" ht="14.1" customHeight="1" x14ac:dyDescent="0.2">
      <c r="A115" s="1"/>
      <c r="B115" s="1"/>
      <c r="C115" s="2" t="s">
        <v>137</v>
      </c>
      <c r="D115" s="1"/>
      <c r="E115" s="1"/>
      <c r="F115" s="12"/>
      <c r="G115" s="12"/>
      <c r="H115" s="47"/>
    </row>
    <row r="116" spans="1:8" ht="14.1" customHeight="1" x14ac:dyDescent="0.2">
      <c r="A116" s="1"/>
      <c r="B116" s="1"/>
      <c r="C116" s="2" t="s">
        <v>122</v>
      </c>
      <c r="D116" s="1"/>
      <c r="E116" s="1" t="s">
        <v>123</v>
      </c>
      <c r="F116" s="13">
        <v>0</v>
      </c>
      <c r="G116" s="14">
        <v>0</v>
      </c>
      <c r="H116" s="47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47"/>
    </row>
    <row r="118" spans="1:8" ht="14.1" customHeight="1" x14ac:dyDescent="0.2">
      <c r="A118" s="1"/>
      <c r="B118" s="1"/>
      <c r="C118" s="2" t="s">
        <v>138</v>
      </c>
      <c r="D118" s="1"/>
      <c r="E118" s="1"/>
      <c r="F118" s="12"/>
      <c r="G118" s="12"/>
      <c r="H118" s="47"/>
    </row>
    <row r="119" spans="1:8" ht="14.1" customHeight="1" x14ac:dyDescent="0.2">
      <c r="A119" s="1"/>
      <c r="B119" s="1"/>
      <c r="C119" s="2" t="s">
        <v>122</v>
      </c>
      <c r="D119" s="1"/>
      <c r="E119" s="1" t="s">
        <v>123</v>
      </c>
      <c r="F119" s="13">
        <v>0</v>
      </c>
      <c r="G119" s="14">
        <v>0</v>
      </c>
      <c r="H119" s="47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47"/>
    </row>
    <row r="121" spans="1:8" ht="14.1" customHeight="1" x14ac:dyDescent="0.2">
      <c r="A121" s="1"/>
      <c r="B121" s="1"/>
      <c r="C121" s="2" t="s">
        <v>139</v>
      </c>
      <c r="D121" s="1"/>
      <c r="E121" s="1"/>
      <c r="F121" s="12"/>
      <c r="G121" s="12"/>
      <c r="H121" s="47"/>
    </row>
    <row r="122" spans="1:8" ht="17.100000000000001" customHeight="1" x14ac:dyDescent="0.2">
      <c r="A122" s="3">
        <v>1</v>
      </c>
      <c r="B122" s="4"/>
      <c r="C122" s="4" t="s">
        <v>140</v>
      </c>
      <c r="D122" s="4"/>
      <c r="E122" s="8"/>
      <c r="F122" s="6">
        <v>378.22357620000002</v>
      </c>
      <c r="G122" s="7">
        <v>5.4625726999999999E-2</v>
      </c>
      <c r="H122" s="47">
        <v>4.6730752161314033</v>
      </c>
    </row>
    <row r="123" spans="1:8" ht="14.1" customHeight="1" x14ac:dyDescent="0.2">
      <c r="A123" s="1"/>
      <c r="B123" s="1"/>
      <c r="C123" s="2" t="s">
        <v>122</v>
      </c>
      <c r="D123" s="1"/>
      <c r="E123" s="1" t="s">
        <v>123</v>
      </c>
      <c r="F123" s="9">
        <v>378.22357620000002</v>
      </c>
      <c r="G123" s="10">
        <v>5.4625726999999999E-2</v>
      </c>
      <c r="H123" s="47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47"/>
    </row>
    <row r="125" spans="1:8" ht="14.1" customHeight="1" x14ac:dyDescent="0.2">
      <c r="A125" s="1"/>
      <c r="B125" s="1"/>
      <c r="C125" s="2" t="s">
        <v>141</v>
      </c>
      <c r="D125" s="1"/>
      <c r="E125" s="1"/>
      <c r="F125" s="9">
        <v>378.22357620000002</v>
      </c>
      <c r="G125" s="10">
        <v>5.4625726999999999E-2</v>
      </c>
      <c r="H125" s="47"/>
    </row>
    <row r="126" spans="1:8" ht="14.1" customHeight="1" x14ac:dyDescent="0.2">
      <c r="A126" s="1"/>
      <c r="B126" s="1"/>
      <c r="C126" s="12"/>
      <c r="D126" s="1"/>
      <c r="E126" s="1"/>
      <c r="F126" s="1"/>
      <c r="G126" s="1"/>
      <c r="H126" s="47"/>
    </row>
    <row r="127" spans="1:8" ht="14.1" customHeight="1" x14ac:dyDescent="0.2">
      <c r="A127" s="1"/>
      <c r="B127" s="1"/>
      <c r="C127" s="2" t="s">
        <v>142</v>
      </c>
      <c r="D127" s="1"/>
      <c r="E127" s="1"/>
      <c r="F127" s="1"/>
      <c r="G127" s="1"/>
      <c r="H127" s="47"/>
    </row>
    <row r="128" spans="1:8" ht="14.1" customHeight="1" x14ac:dyDescent="0.2">
      <c r="A128" s="1"/>
      <c r="B128" s="1"/>
      <c r="C128" s="2" t="s">
        <v>143</v>
      </c>
      <c r="D128" s="1"/>
      <c r="E128" s="1"/>
      <c r="F128" s="1"/>
      <c r="G128" s="1"/>
      <c r="H128" s="47"/>
    </row>
    <row r="129" spans="1:8" ht="14.1" customHeight="1" x14ac:dyDescent="0.2">
      <c r="A129" s="1"/>
      <c r="B129" s="1"/>
      <c r="C129" s="2" t="s">
        <v>122</v>
      </c>
      <c r="D129" s="1"/>
      <c r="E129" s="1" t="s">
        <v>123</v>
      </c>
      <c r="F129" s="13">
        <v>0</v>
      </c>
      <c r="G129" s="14">
        <v>0</v>
      </c>
      <c r="H129" s="47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47"/>
    </row>
    <row r="131" spans="1:8" ht="14.1" customHeight="1" x14ac:dyDescent="0.2">
      <c r="A131" s="1"/>
      <c r="B131" s="1"/>
      <c r="C131" s="2" t="s">
        <v>144</v>
      </c>
      <c r="D131" s="1"/>
      <c r="E131" s="1"/>
      <c r="F131" s="1"/>
      <c r="G131" s="1"/>
      <c r="H131" s="47"/>
    </row>
    <row r="132" spans="1:8" ht="14.1" customHeight="1" x14ac:dyDescent="0.2">
      <c r="A132" s="1"/>
      <c r="B132" s="1"/>
      <c r="C132" s="2" t="s">
        <v>145</v>
      </c>
      <c r="D132" s="1"/>
      <c r="E132" s="1"/>
      <c r="F132" s="1"/>
      <c r="G132" s="1"/>
      <c r="H132" s="47"/>
    </row>
    <row r="133" spans="1:8" ht="14.1" customHeight="1" x14ac:dyDescent="0.2">
      <c r="A133" s="1"/>
      <c r="B133" s="1"/>
      <c r="C133" s="2" t="s">
        <v>122</v>
      </c>
      <c r="D133" s="1"/>
      <c r="E133" s="1" t="s">
        <v>123</v>
      </c>
      <c r="F133" s="13">
        <v>0</v>
      </c>
      <c r="G133" s="14">
        <v>0</v>
      </c>
      <c r="H133" s="47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47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47"/>
    </row>
    <row r="136" spans="1:8" ht="24" customHeight="1" x14ac:dyDescent="0.2">
      <c r="A136" s="1"/>
      <c r="B136" s="1"/>
      <c r="C136" s="2" t="s">
        <v>146</v>
      </c>
      <c r="D136" s="1"/>
      <c r="E136" s="1"/>
      <c r="F136" s="12"/>
      <c r="G136" s="12"/>
      <c r="H136" s="47"/>
    </row>
    <row r="137" spans="1:8" ht="14.1" customHeight="1" x14ac:dyDescent="0.2">
      <c r="A137" s="1"/>
      <c r="B137" s="1"/>
      <c r="C137" s="2" t="s">
        <v>122</v>
      </c>
      <c r="D137" s="1"/>
      <c r="E137" s="1" t="s">
        <v>123</v>
      </c>
      <c r="F137" s="13">
        <v>0</v>
      </c>
      <c r="G137" s="14">
        <v>0</v>
      </c>
      <c r="H137" s="47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47"/>
    </row>
    <row r="139" spans="1:8" ht="14.1" customHeight="1" x14ac:dyDescent="0.2">
      <c r="A139" s="1"/>
      <c r="B139" s="4"/>
      <c r="C139" s="4"/>
      <c r="D139" s="2"/>
      <c r="E139" s="1"/>
      <c r="F139" s="4"/>
      <c r="G139" s="8"/>
      <c r="H139" s="47"/>
    </row>
    <row r="140" spans="1:8" ht="18" customHeight="1" x14ac:dyDescent="0.2">
      <c r="A140" s="8"/>
      <c r="B140" s="4"/>
      <c r="C140" s="4" t="s">
        <v>147</v>
      </c>
      <c r="D140" s="4"/>
      <c r="E140" s="8"/>
      <c r="F140" s="6">
        <v>81.650147899999993</v>
      </c>
      <c r="G140" s="7">
        <v>1.1792492E-2</v>
      </c>
      <c r="H140" s="47"/>
    </row>
    <row r="141" spans="1:8" ht="14.1" customHeight="1" x14ac:dyDescent="0.2">
      <c r="A141" s="11"/>
      <c r="B141" s="11"/>
      <c r="C141" s="2" t="s">
        <v>148</v>
      </c>
      <c r="D141" s="15"/>
      <c r="E141" s="15"/>
      <c r="F141" s="9">
        <v>6923.9092726999997</v>
      </c>
      <c r="G141" s="10">
        <v>1.0000000040000001</v>
      </c>
      <c r="H141" s="47"/>
    </row>
    <row r="142" spans="1:8" ht="14.1" customHeight="1" x14ac:dyDescent="0.2">
      <c r="A142" s="16"/>
      <c r="B142" s="16"/>
      <c r="C142" s="16"/>
      <c r="D142" s="17"/>
      <c r="E142" s="17"/>
      <c r="F142" s="17"/>
      <c r="G142" s="17"/>
    </row>
    <row r="143" spans="1:8" ht="14.1" customHeight="1" x14ac:dyDescent="0.2">
      <c r="A143" s="18"/>
      <c r="B143" s="18"/>
      <c r="C143" s="18"/>
      <c r="D143" s="20"/>
      <c r="E143" s="20"/>
      <c r="F143" s="20"/>
      <c r="G143" s="20"/>
    </row>
    <row r="144" spans="1:8" ht="14.1" customHeight="1" x14ac:dyDescent="0.2">
      <c r="A144" s="18"/>
      <c r="B144" s="257" t="s">
        <v>150</v>
      </c>
      <c r="C144" s="258"/>
      <c r="D144" s="12" t="s">
        <v>123</v>
      </c>
      <c r="E144" s="21"/>
      <c r="F144" s="20"/>
      <c r="G144" s="20"/>
    </row>
    <row r="145" spans="1:7" ht="29.1" customHeight="1" x14ac:dyDescent="0.2">
      <c r="A145" s="18"/>
      <c r="B145" s="259" t="s">
        <v>151</v>
      </c>
      <c r="C145" s="260"/>
      <c r="D145" s="2" t="s">
        <v>152</v>
      </c>
      <c r="E145" s="21"/>
      <c r="F145" s="20"/>
      <c r="G145" s="20"/>
    </row>
    <row r="146" spans="1:7" ht="17.100000000000001" customHeight="1" x14ac:dyDescent="0.2">
      <c r="A146" s="18"/>
      <c r="B146" s="259" t="s">
        <v>153</v>
      </c>
      <c r="C146" s="260"/>
      <c r="D146" s="2" t="s">
        <v>152</v>
      </c>
      <c r="E146" s="21"/>
      <c r="F146" s="20"/>
      <c r="G146" s="20"/>
    </row>
    <row r="147" spans="1:7" ht="17.100000000000001" customHeight="1" x14ac:dyDescent="0.2">
      <c r="A147" s="18"/>
      <c r="B147" s="259" t="s">
        <v>154</v>
      </c>
      <c r="C147" s="260"/>
      <c r="D147" s="12" t="s">
        <v>123</v>
      </c>
      <c r="E147" s="21"/>
      <c r="F147" s="20"/>
      <c r="G147" s="20"/>
    </row>
    <row r="148" spans="1:7" ht="24" customHeight="1" x14ac:dyDescent="0.2">
      <c r="A148" s="22"/>
      <c r="B148" s="23" t="s">
        <v>123</v>
      </c>
      <c r="C148" s="23" t="s">
        <v>155</v>
      </c>
      <c r="D148" s="23" t="s">
        <v>156</v>
      </c>
      <c r="E148" s="22"/>
      <c r="F148" s="22"/>
      <c r="G148" s="22"/>
    </row>
    <row r="149" spans="1:7" ht="18" customHeight="1" x14ac:dyDescent="0.2">
      <c r="A149" s="22"/>
      <c r="B149" s="23" t="s">
        <v>157</v>
      </c>
      <c r="C149" s="23" t="s">
        <v>158</v>
      </c>
      <c r="D149" s="23" t="s">
        <v>159</v>
      </c>
      <c r="E149" s="22"/>
      <c r="F149" s="22"/>
      <c r="G149" s="22"/>
    </row>
    <row r="150" spans="1:7" ht="17.100000000000001" customHeight="1" x14ac:dyDescent="0.2">
      <c r="A150" s="22"/>
      <c r="B150" s="4" t="s">
        <v>160</v>
      </c>
      <c r="C150" s="24">
        <v>18.063500000000001</v>
      </c>
      <c r="D150" s="24">
        <v>17.491</v>
      </c>
      <c r="E150" s="22"/>
      <c r="F150" s="19"/>
      <c r="G150" s="25"/>
    </row>
    <row r="151" spans="1:7" ht="17.100000000000001" customHeight="1" x14ac:dyDescent="0.2">
      <c r="A151" s="22"/>
      <c r="B151" s="4" t="s">
        <v>1101</v>
      </c>
      <c r="C151" s="24">
        <v>17.421299999999999</v>
      </c>
      <c r="D151" s="24">
        <v>16.8691</v>
      </c>
      <c r="E151" s="22"/>
      <c r="F151" s="19"/>
      <c r="G151" s="25"/>
    </row>
    <row r="152" spans="1:7" ht="17.100000000000001" customHeight="1" x14ac:dyDescent="0.2">
      <c r="A152" s="22"/>
      <c r="B152" s="4" t="s">
        <v>161</v>
      </c>
      <c r="C152" s="24">
        <v>17.659199999999998</v>
      </c>
      <c r="D152" s="24">
        <v>17.0916</v>
      </c>
      <c r="E152" s="22"/>
      <c r="F152" s="19"/>
      <c r="G152" s="25"/>
    </row>
    <row r="153" spans="1:7" ht="17.100000000000001" customHeight="1" x14ac:dyDescent="0.2">
      <c r="A153" s="22"/>
      <c r="B153" s="4" t="s">
        <v>1102</v>
      </c>
      <c r="C153" s="24">
        <v>17.020600000000002</v>
      </c>
      <c r="D153" s="24">
        <v>16.473600000000001</v>
      </c>
      <c r="E153" s="22"/>
      <c r="F153" s="19"/>
      <c r="G153" s="25"/>
    </row>
    <row r="154" spans="1:7" ht="14.1" customHeight="1" x14ac:dyDescent="0.2">
      <c r="A154" s="22"/>
      <c r="B154" s="22"/>
      <c r="C154" s="22"/>
      <c r="D154" s="22"/>
      <c r="E154" s="22"/>
      <c r="F154" s="22"/>
      <c r="G154" s="22"/>
    </row>
    <row r="155" spans="1:7" ht="17.100000000000001" customHeight="1" x14ac:dyDescent="0.2">
      <c r="A155" s="22"/>
      <c r="B155" s="259" t="s">
        <v>1103</v>
      </c>
      <c r="C155" s="260"/>
      <c r="D155" s="2" t="s">
        <v>152</v>
      </c>
      <c r="E155" s="22"/>
      <c r="F155" s="22"/>
      <c r="G155" s="22"/>
    </row>
    <row r="156" spans="1:7" ht="18" customHeight="1" x14ac:dyDescent="0.2">
      <c r="A156" s="22"/>
      <c r="B156" s="26"/>
      <c r="C156" s="26"/>
      <c r="D156" s="27"/>
      <c r="E156" s="22"/>
      <c r="F156" s="22"/>
      <c r="G156" s="22"/>
    </row>
    <row r="157" spans="1:7" ht="29.1" customHeight="1" x14ac:dyDescent="0.2">
      <c r="A157" s="22"/>
      <c r="B157" s="259" t="s">
        <v>162</v>
      </c>
      <c r="C157" s="260"/>
      <c r="D157" s="2" t="s">
        <v>152</v>
      </c>
      <c r="E157" s="22"/>
      <c r="F157" s="22"/>
      <c r="G157" s="22"/>
    </row>
    <row r="158" spans="1:7" ht="29.1" customHeight="1" x14ac:dyDescent="0.2">
      <c r="A158" s="22"/>
      <c r="B158" s="259" t="s">
        <v>163</v>
      </c>
      <c r="C158" s="260"/>
      <c r="D158" s="2" t="s">
        <v>152</v>
      </c>
      <c r="E158" s="22"/>
      <c r="F158" s="22"/>
      <c r="G158" s="22"/>
    </row>
    <row r="159" spans="1:7" ht="17.100000000000001" customHeight="1" x14ac:dyDescent="0.2">
      <c r="A159" s="22"/>
      <c r="B159" s="259" t="s">
        <v>164</v>
      </c>
      <c r="C159" s="260"/>
      <c r="D159" s="28">
        <v>0.31998612647474994</v>
      </c>
      <c r="E159" s="22"/>
      <c r="F159" s="19"/>
      <c r="G159" s="25"/>
    </row>
    <row r="160" spans="1:7" ht="17.100000000000001" customHeight="1" x14ac:dyDescent="0.2">
      <c r="A160" s="22"/>
      <c r="B160" s="259" t="s">
        <v>165</v>
      </c>
      <c r="C160" s="260"/>
      <c r="D160" s="2" t="s">
        <v>152</v>
      </c>
      <c r="E160" s="22"/>
      <c r="F160" s="22"/>
      <c r="G160" s="22"/>
    </row>
    <row r="163" spans="10:15" x14ac:dyDescent="0.2">
      <c r="J163" s="148"/>
      <c r="K163" s="148"/>
      <c r="L163" s="148"/>
      <c r="M163" s="148"/>
      <c r="N163" s="148"/>
      <c r="O163" s="148"/>
    </row>
  </sheetData>
  <mergeCells count="13">
    <mergeCell ref="J2:N2"/>
    <mergeCell ref="A1:H1"/>
    <mergeCell ref="A2:H2"/>
    <mergeCell ref="A3:H3"/>
    <mergeCell ref="B144:C144"/>
    <mergeCell ref="B159:C159"/>
    <mergeCell ref="B160:C160"/>
    <mergeCell ref="B145:C145"/>
    <mergeCell ref="B146:C146"/>
    <mergeCell ref="B147:C147"/>
    <mergeCell ref="B155:C155"/>
    <mergeCell ref="B157:C157"/>
    <mergeCell ref="B158:C15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O16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497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261</v>
      </c>
      <c r="C7" s="4" t="s">
        <v>262</v>
      </c>
      <c r="D7" s="4" t="s">
        <v>80</v>
      </c>
      <c r="E7" s="5">
        <v>64786</v>
      </c>
      <c r="F7" s="6">
        <v>124.162369</v>
      </c>
      <c r="G7" s="7">
        <v>3.4614852000000002E-2</v>
      </c>
      <c r="H7" s="47"/>
    </row>
    <row r="8" spans="1:14" ht="17.100000000000001" customHeight="1" x14ac:dyDescent="0.2">
      <c r="A8" s="3">
        <v>2</v>
      </c>
      <c r="B8" s="4" t="s">
        <v>34</v>
      </c>
      <c r="C8" s="4" t="s">
        <v>35</v>
      </c>
      <c r="D8" s="4" t="s">
        <v>28</v>
      </c>
      <c r="E8" s="5">
        <v>7409</v>
      </c>
      <c r="F8" s="6">
        <v>109.9310375</v>
      </c>
      <c r="G8" s="7">
        <v>3.0647342000000001E-2</v>
      </c>
      <c r="H8" s="47"/>
    </row>
    <row r="9" spans="1:14" ht="17.100000000000001" customHeight="1" x14ac:dyDescent="0.2">
      <c r="A9" s="3">
        <v>3</v>
      </c>
      <c r="B9" s="4" t="s">
        <v>254</v>
      </c>
      <c r="C9" s="4" t="s">
        <v>255</v>
      </c>
      <c r="D9" s="4" t="s">
        <v>28</v>
      </c>
      <c r="E9" s="5">
        <v>9491</v>
      </c>
      <c r="F9" s="6">
        <v>109.3885205</v>
      </c>
      <c r="G9" s="7">
        <v>3.0496095000000001E-2</v>
      </c>
      <c r="H9" s="47"/>
    </row>
    <row r="10" spans="1:14" ht="29.1" customHeight="1" x14ac:dyDescent="0.2">
      <c r="A10" s="3">
        <v>4</v>
      </c>
      <c r="B10" s="4" t="s">
        <v>199</v>
      </c>
      <c r="C10" s="4" t="s">
        <v>200</v>
      </c>
      <c r="D10" s="4" t="s">
        <v>201</v>
      </c>
      <c r="E10" s="5">
        <v>2845</v>
      </c>
      <c r="F10" s="6">
        <v>103.88802</v>
      </c>
      <c r="G10" s="7">
        <v>2.8962627000000001E-2</v>
      </c>
      <c r="H10" s="47"/>
    </row>
    <row r="11" spans="1:14" ht="17.100000000000001" customHeight="1" x14ac:dyDescent="0.2">
      <c r="A11" s="3">
        <v>5</v>
      </c>
      <c r="B11" s="4" t="s">
        <v>86</v>
      </c>
      <c r="C11" s="4" t="s">
        <v>87</v>
      </c>
      <c r="D11" s="4" t="s">
        <v>88</v>
      </c>
      <c r="E11" s="5">
        <v>22311</v>
      </c>
      <c r="F11" s="6">
        <v>96.762806999999995</v>
      </c>
      <c r="G11" s="7">
        <v>2.6976211E-2</v>
      </c>
      <c r="H11" s="47"/>
    </row>
    <row r="12" spans="1:14" ht="17.100000000000001" customHeight="1" x14ac:dyDescent="0.2">
      <c r="A12" s="3">
        <v>6</v>
      </c>
      <c r="B12" s="4" t="s">
        <v>26</v>
      </c>
      <c r="C12" s="4" t="s">
        <v>27</v>
      </c>
      <c r="D12" s="4" t="s">
        <v>28</v>
      </c>
      <c r="E12" s="5">
        <v>5450</v>
      </c>
      <c r="F12" s="6">
        <v>91.726224999999999</v>
      </c>
      <c r="G12" s="7">
        <v>2.5572076999999999E-2</v>
      </c>
      <c r="H12" s="47"/>
    </row>
    <row r="13" spans="1:14" ht="17.100000000000001" customHeight="1" x14ac:dyDescent="0.2">
      <c r="A13" s="3">
        <v>7</v>
      </c>
      <c r="B13" s="4" t="s">
        <v>241</v>
      </c>
      <c r="C13" s="4" t="s">
        <v>242</v>
      </c>
      <c r="D13" s="4" t="s">
        <v>243</v>
      </c>
      <c r="E13" s="5">
        <v>17981</v>
      </c>
      <c r="F13" s="6">
        <v>91.424394500000005</v>
      </c>
      <c r="G13" s="7">
        <v>2.5487930999999998E-2</v>
      </c>
      <c r="H13" s="47"/>
    </row>
    <row r="14" spans="1:14" ht="17.100000000000001" customHeight="1" x14ac:dyDescent="0.2">
      <c r="A14" s="3">
        <v>8</v>
      </c>
      <c r="B14" s="4" t="s">
        <v>185</v>
      </c>
      <c r="C14" s="4" t="s">
        <v>186</v>
      </c>
      <c r="D14" s="4" t="s">
        <v>88</v>
      </c>
      <c r="E14" s="5">
        <v>17190</v>
      </c>
      <c r="F14" s="6">
        <v>90.367829999999998</v>
      </c>
      <c r="G14" s="7">
        <v>2.5193374000000001E-2</v>
      </c>
      <c r="H14" s="47"/>
      <c r="J14" s="147" t="s">
        <v>1120</v>
      </c>
    </row>
    <row r="15" spans="1:14" ht="17.100000000000001" customHeight="1" x14ac:dyDescent="0.2">
      <c r="A15" s="3">
        <v>9</v>
      </c>
      <c r="B15" s="4" t="s">
        <v>177</v>
      </c>
      <c r="C15" s="4" t="s">
        <v>178</v>
      </c>
      <c r="D15" s="4" t="s">
        <v>91</v>
      </c>
      <c r="E15" s="5">
        <v>108727</v>
      </c>
      <c r="F15" s="6">
        <v>89.156139999999994</v>
      </c>
      <c r="G15" s="7">
        <v>2.4855571E-2</v>
      </c>
      <c r="H15" s="47"/>
    </row>
    <row r="16" spans="1:14" ht="17.100000000000001" customHeight="1" x14ac:dyDescent="0.2">
      <c r="A16" s="3">
        <v>10</v>
      </c>
      <c r="B16" s="4" t="s">
        <v>263</v>
      </c>
      <c r="C16" s="4" t="s">
        <v>264</v>
      </c>
      <c r="D16" s="4" t="s">
        <v>28</v>
      </c>
      <c r="E16" s="5">
        <v>10379</v>
      </c>
      <c r="F16" s="6">
        <v>86.955262000000005</v>
      </c>
      <c r="G16" s="7">
        <v>2.4241994999999999E-2</v>
      </c>
      <c r="H16" s="47"/>
    </row>
    <row r="17" spans="1:8" ht="17.100000000000001" customHeight="1" x14ac:dyDescent="0.2">
      <c r="A17" s="3">
        <v>11</v>
      </c>
      <c r="B17" s="4" t="s">
        <v>471</v>
      </c>
      <c r="C17" s="4" t="s">
        <v>472</v>
      </c>
      <c r="D17" s="4" t="s">
        <v>88</v>
      </c>
      <c r="E17" s="5">
        <v>9128</v>
      </c>
      <c r="F17" s="6">
        <v>84.233183999999994</v>
      </c>
      <c r="G17" s="7">
        <v>2.3483114999999999E-2</v>
      </c>
      <c r="H17" s="47"/>
    </row>
    <row r="18" spans="1:8" ht="17.100000000000001" customHeight="1" x14ac:dyDescent="0.2">
      <c r="A18" s="3">
        <v>12</v>
      </c>
      <c r="B18" s="4" t="s">
        <v>189</v>
      </c>
      <c r="C18" s="4" t="s">
        <v>190</v>
      </c>
      <c r="D18" s="4" t="s">
        <v>191</v>
      </c>
      <c r="E18" s="5">
        <v>16149</v>
      </c>
      <c r="F18" s="6">
        <v>83.595298499999998</v>
      </c>
      <c r="G18" s="7">
        <v>2.3305281000000001E-2</v>
      </c>
      <c r="H18" s="47"/>
    </row>
    <row r="19" spans="1:8" ht="29.1" customHeight="1" x14ac:dyDescent="0.2">
      <c r="A19" s="3">
        <v>13</v>
      </c>
      <c r="B19" s="4" t="s">
        <v>175</v>
      </c>
      <c r="C19" s="4" t="s">
        <v>176</v>
      </c>
      <c r="D19" s="4" t="s">
        <v>88</v>
      </c>
      <c r="E19" s="5">
        <v>23448</v>
      </c>
      <c r="F19" s="6">
        <v>79.758371999999994</v>
      </c>
      <c r="G19" s="7">
        <v>2.2235596E-2</v>
      </c>
      <c r="H19" s="47"/>
    </row>
    <row r="20" spans="1:8" ht="17.100000000000001" customHeight="1" x14ac:dyDescent="0.2">
      <c r="A20" s="3">
        <v>14</v>
      </c>
      <c r="B20" s="4" t="s">
        <v>169</v>
      </c>
      <c r="C20" s="4" t="s">
        <v>170</v>
      </c>
      <c r="D20" s="4" t="s">
        <v>171</v>
      </c>
      <c r="E20" s="5">
        <v>6988</v>
      </c>
      <c r="F20" s="6">
        <v>74.093763999999993</v>
      </c>
      <c r="G20" s="7">
        <v>2.0656377E-2</v>
      </c>
      <c r="H20" s="47"/>
    </row>
    <row r="21" spans="1:8" ht="17.100000000000001" customHeight="1" x14ac:dyDescent="0.2">
      <c r="A21" s="3">
        <v>15</v>
      </c>
      <c r="B21" s="4" t="s">
        <v>265</v>
      </c>
      <c r="C21" s="4" t="s">
        <v>266</v>
      </c>
      <c r="D21" s="4" t="s">
        <v>97</v>
      </c>
      <c r="E21" s="5">
        <v>6219</v>
      </c>
      <c r="F21" s="6">
        <v>73.614303000000007</v>
      </c>
      <c r="G21" s="7">
        <v>2.0522709E-2</v>
      </c>
      <c r="H21" s="47"/>
    </row>
    <row r="22" spans="1:8" ht="17.100000000000001" customHeight="1" x14ac:dyDescent="0.2">
      <c r="A22" s="3">
        <v>16</v>
      </c>
      <c r="B22" s="4" t="s">
        <v>228</v>
      </c>
      <c r="C22" s="4" t="s">
        <v>229</v>
      </c>
      <c r="D22" s="4" t="s">
        <v>191</v>
      </c>
      <c r="E22" s="5">
        <v>2021</v>
      </c>
      <c r="F22" s="6">
        <v>68.750377999999998</v>
      </c>
      <c r="G22" s="7">
        <v>1.916671E-2</v>
      </c>
      <c r="H22" s="47"/>
    </row>
    <row r="23" spans="1:8" ht="17.100000000000001" customHeight="1" x14ac:dyDescent="0.2">
      <c r="A23" s="3">
        <v>17</v>
      </c>
      <c r="B23" s="4" t="s">
        <v>207</v>
      </c>
      <c r="C23" s="4" t="s">
        <v>208</v>
      </c>
      <c r="D23" s="4" t="s">
        <v>209</v>
      </c>
      <c r="E23" s="5">
        <v>24683</v>
      </c>
      <c r="F23" s="6">
        <v>68.631081499999993</v>
      </c>
      <c r="G23" s="7">
        <v>1.9133451999999999E-2</v>
      </c>
      <c r="H23" s="47"/>
    </row>
    <row r="24" spans="1:8" ht="17.100000000000001" customHeight="1" x14ac:dyDescent="0.2">
      <c r="A24" s="3">
        <v>18</v>
      </c>
      <c r="B24" s="4" t="s">
        <v>172</v>
      </c>
      <c r="C24" s="4" t="s">
        <v>173</v>
      </c>
      <c r="D24" s="4" t="s">
        <v>174</v>
      </c>
      <c r="E24" s="5">
        <v>6299</v>
      </c>
      <c r="F24" s="6">
        <v>68.344149999999999</v>
      </c>
      <c r="G24" s="7">
        <v>1.9053458999999998E-2</v>
      </c>
      <c r="H24" s="47"/>
    </row>
    <row r="25" spans="1:8" ht="17.100000000000001" customHeight="1" x14ac:dyDescent="0.2">
      <c r="A25" s="3">
        <v>19</v>
      </c>
      <c r="B25" s="4" t="s">
        <v>220</v>
      </c>
      <c r="C25" s="4" t="s">
        <v>221</v>
      </c>
      <c r="D25" s="4" t="s">
        <v>91</v>
      </c>
      <c r="E25" s="5">
        <v>8757</v>
      </c>
      <c r="F25" s="6">
        <v>65.125809000000004</v>
      </c>
      <c r="G25" s="7">
        <v>1.8156228E-2</v>
      </c>
      <c r="H25" s="47"/>
    </row>
    <row r="26" spans="1:8" ht="17.100000000000001" customHeight="1" x14ac:dyDescent="0.2">
      <c r="A26" s="3">
        <v>20</v>
      </c>
      <c r="B26" s="4" t="s">
        <v>192</v>
      </c>
      <c r="C26" s="4" t="s">
        <v>193</v>
      </c>
      <c r="D26" s="4" t="s">
        <v>184</v>
      </c>
      <c r="E26" s="5">
        <v>5299</v>
      </c>
      <c r="F26" s="6">
        <v>63.916538000000003</v>
      </c>
      <c r="G26" s="7">
        <v>1.7819097999999998E-2</v>
      </c>
      <c r="H26" s="47"/>
    </row>
    <row r="27" spans="1:8" ht="29.1" customHeight="1" x14ac:dyDescent="0.2">
      <c r="A27" s="3">
        <v>21</v>
      </c>
      <c r="B27" s="4" t="s">
        <v>469</v>
      </c>
      <c r="C27" s="4" t="s">
        <v>470</v>
      </c>
      <c r="D27" s="4" t="s">
        <v>40</v>
      </c>
      <c r="E27" s="5">
        <v>3075</v>
      </c>
      <c r="F27" s="6">
        <v>57.628574999999998</v>
      </c>
      <c r="G27" s="7">
        <v>1.6066095999999998E-2</v>
      </c>
      <c r="H27" s="47"/>
    </row>
    <row r="28" spans="1:8" ht="17.100000000000001" customHeight="1" x14ac:dyDescent="0.2">
      <c r="A28" s="3">
        <v>22</v>
      </c>
      <c r="B28" s="4" t="s">
        <v>182</v>
      </c>
      <c r="C28" s="4" t="s">
        <v>183</v>
      </c>
      <c r="D28" s="4" t="s">
        <v>184</v>
      </c>
      <c r="E28" s="5">
        <v>4311</v>
      </c>
      <c r="F28" s="6">
        <v>56.385724500000002</v>
      </c>
      <c r="G28" s="7">
        <v>1.5719606000000001E-2</v>
      </c>
      <c r="H28" s="47"/>
    </row>
    <row r="29" spans="1:8" ht="29.1" customHeight="1" x14ac:dyDescent="0.2">
      <c r="A29" s="3">
        <v>23</v>
      </c>
      <c r="B29" s="4" t="s">
        <v>179</v>
      </c>
      <c r="C29" s="4" t="s">
        <v>180</v>
      </c>
      <c r="D29" s="4" t="s">
        <v>181</v>
      </c>
      <c r="E29" s="5">
        <v>8297</v>
      </c>
      <c r="F29" s="6">
        <v>50.914540500000001</v>
      </c>
      <c r="G29" s="7">
        <v>1.4194310999999999E-2</v>
      </c>
      <c r="H29" s="47"/>
    </row>
    <row r="30" spans="1:8" ht="29.1" customHeight="1" x14ac:dyDescent="0.2">
      <c r="A30" s="3">
        <v>24</v>
      </c>
      <c r="B30" s="4" t="s">
        <v>230</v>
      </c>
      <c r="C30" s="4" t="s">
        <v>231</v>
      </c>
      <c r="D30" s="4" t="s">
        <v>204</v>
      </c>
      <c r="E30" s="5">
        <v>13484</v>
      </c>
      <c r="F30" s="6">
        <v>49.493022000000003</v>
      </c>
      <c r="G30" s="7">
        <v>1.3798009999999999E-2</v>
      </c>
      <c r="H30" s="47"/>
    </row>
    <row r="31" spans="1:8" ht="17.100000000000001" customHeight="1" x14ac:dyDescent="0.2">
      <c r="A31" s="3">
        <v>25</v>
      </c>
      <c r="B31" s="4" t="s">
        <v>187</v>
      </c>
      <c r="C31" s="4" t="s">
        <v>188</v>
      </c>
      <c r="D31" s="4" t="s">
        <v>91</v>
      </c>
      <c r="E31" s="5">
        <v>11274</v>
      </c>
      <c r="F31" s="6">
        <v>48.066699</v>
      </c>
      <c r="G31" s="7">
        <v>1.340037E-2</v>
      </c>
      <c r="H31" s="47"/>
    </row>
    <row r="32" spans="1:8" ht="17.100000000000001" customHeight="1" x14ac:dyDescent="0.2">
      <c r="A32" s="3">
        <v>26</v>
      </c>
      <c r="B32" s="4" t="s">
        <v>334</v>
      </c>
      <c r="C32" s="4" t="s">
        <v>335</v>
      </c>
      <c r="D32" s="4" t="s">
        <v>94</v>
      </c>
      <c r="E32" s="5">
        <v>1054</v>
      </c>
      <c r="F32" s="6">
        <v>46.058745999999999</v>
      </c>
      <c r="G32" s="7">
        <v>1.2840579E-2</v>
      </c>
      <c r="H32" s="47"/>
    </row>
    <row r="33" spans="1:8" ht="29.1" customHeight="1" x14ac:dyDescent="0.2">
      <c r="A33" s="3">
        <v>27</v>
      </c>
      <c r="B33" s="4" t="s">
        <v>52</v>
      </c>
      <c r="C33" s="4" t="s">
        <v>53</v>
      </c>
      <c r="D33" s="4" t="s">
        <v>25</v>
      </c>
      <c r="E33" s="5">
        <v>2108</v>
      </c>
      <c r="F33" s="6">
        <v>44.456665999999998</v>
      </c>
      <c r="G33" s="7">
        <v>1.2393940000000001E-2</v>
      </c>
      <c r="H33" s="47"/>
    </row>
    <row r="34" spans="1:8" ht="17.100000000000001" customHeight="1" x14ac:dyDescent="0.2">
      <c r="A34" s="3">
        <v>28</v>
      </c>
      <c r="B34" s="4" t="s">
        <v>267</v>
      </c>
      <c r="C34" s="4" t="s">
        <v>268</v>
      </c>
      <c r="D34" s="4" t="s">
        <v>171</v>
      </c>
      <c r="E34" s="5">
        <v>5849</v>
      </c>
      <c r="F34" s="6">
        <v>44.256458500000001</v>
      </c>
      <c r="G34" s="7">
        <v>1.2338124000000001E-2</v>
      </c>
      <c r="H34" s="47"/>
    </row>
    <row r="35" spans="1:8" ht="29.1" customHeight="1" x14ac:dyDescent="0.2">
      <c r="A35" s="3">
        <v>29</v>
      </c>
      <c r="B35" s="4" t="s">
        <v>275</v>
      </c>
      <c r="C35" s="4" t="s">
        <v>276</v>
      </c>
      <c r="D35" s="4" t="s">
        <v>238</v>
      </c>
      <c r="E35" s="5">
        <v>8180</v>
      </c>
      <c r="F35" s="6">
        <v>43.403080000000003</v>
      </c>
      <c r="G35" s="7">
        <v>1.2100214E-2</v>
      </c>
      <c r="H35" s="47"/>
    </row>
    <row r="36" spans="1:8" ht="29.1" customHeight="1" x14ac:dyDescent="0.2">
      <c r="A36" s="3">
        <v>30</v>
      </c>
      <c r="B36" s="4" t="s">
        <v>196</v>
      </c>
      <c r="C36" s="4" t="s">
        <v>197</v>
      </c>
      <c r="D36" s="4" t="s">
        <v>198</v>
      </c>
      <c r="E36" s="5">
        <v>3341</v>
      </c>
      <c r="F36" s="6">
        <v>42.472462499999999</v>
      </c>
      <c r="G36" s="7">
        <v>1.1840768999999999E-2</v>
      </c>
      <c r="H36" s="47"/>
    </row>
    <row r="37" spans="1:8" ht="17.100000000000001" customHeight="1" x14ac:dyDescent="0.2">
      <c r="A37" s="3">
        <v>31</v>
      </c>
      <c r="B37" s="4" t="s">
        <v>194</v>
      </c>
      <c r="C37" s="4" t="s">
        <v>195</v>
      </c>
      <c r="D37" s="4" t="s">
        <v>174</v>
      </c>
      <c r="E37" s="5">
        <v>8404</v>
      </c>
      <c r="F37" s="6">
        <v>41.793092000000001</v>
      </c>
      <c r="G37" s="7">
        <v>1.1651369999999999E-2</v>
      </c>
      <c r="H37" s="47"/>
    </row>
    <row r="38" spans="1:8" ht="29.1" customHeight="1" x14ac:dyDescent="0.2">
      <c r="A38" s="3">
        <v>32</v>
      </c>
      <c r="B38" s="4" t="s">
        <v>202</v>
      </c>
      <c r="C38" s="4" t="s">
        <v>203</v>
      </c>
      <c r="D38" s="4" t="s">
        <v>204</v>
      </c>
      <c r="E38" s="5">
        <v>8846</v>
      </c>
      <c r="F38" s="6">
        <v>41.107362000000002</v>
      </c>
      <c r="G38" s="7">
        <v>1.1460197E-2</v>
      </c>
      <c r="H38" s="47"/>
    </row>
    <row r="39" spans="1:8" ht="17.100000000000001" customHeight="1" x14ac:dyDescent="0.2">
      <c r="A39" s="3">
        <v>33</v>
      </c>
      <c r="B39" s="4" t="s">
        <v>473</v>
      </c>
      <c r="C39" s="4" t="s">
        <v>474</v>
      </c>
      <c r="D39" s="4" t="s">
        <v>45</v>
      </c>
      <c r="E39" s="5">
        <v>6024</v>
      </c>
      <c r="F39" s="6">
        <v>40.665011999999997</v>
      </c>
      <c r="G39" s="7">
        <v>1.1336875999999999E-2</v>
      </c>
      <c r="H39" s="47"/>
    </row>
    <row r="40" spans="1:8" ht="29.1" customHeight="1" x14ac:dyDescent="0.2">
      <c r="A40" s="3">
        <v>34</v>
      </c>
      <c r="B40" s="4" t="s">
        <v>224</v>
      </c>
      <c r="C40" s="4" t="s">
        <v>225</v>
      </c>
      <c r="D40" s="4" t="s">
        <v>181</v>
      </c>
      <c r="E40" s="5">
        <v>8758</v>
      </c>
      <c r="F40" s="6">
        <v>39.752561999999998</v>
      </c>
      <c r="G40" s="7">
        <v>1.1082497E-2</v>
      </c>
      <c r="H40" s="47"/>
    </row>
    <row r="41" spans="1:8" ht="17.100000000000001" customHeight="1" x14ac:dyDescent="0.2">
      <c r="A41" s="3">
        <v>35</v>
      </c>
      <c r="B41" s="4" t="s">
        <v>271</v>
      </c>
      <c r="C41" s="4" t="s">
        <v>272</v>
      </c>
      <c r="D41" s="4" t="s">
        <v>94</v>
      </c>
      <c r="E41" s="5">
        <v>2139</v>
      </c>
      <c r="F41" s="6">
        <v>39.385407000000001</v>
      </c>
      <c r="G41" s="7">
        <v>1.0980139E-2</v>
      </c>
      <c r="H41" s="47"/>
    </row>
    <row r="42" spans="1:8" ht="17.100000000000001" customHeight="1" x14ac:dyDescent="0.2">
      <c r="A42" s="3">
        <v>36</v>
      </c>
      <c r="B42" s="4" t="s">
        <v>477</v>
      </c>
      <c r="C42" s="4" t="s">
        <v>478</v>
      </c>
      <c r="D42" s="4" t="s">
        <v>91</v>
      </c>
      <c r="E42" s="5">
        <v>3781</v>
      </c>
      <c r="F42" s="6">
        <v>38.407398000000001</v>
      </c>
      <c r="G42" s="7">
        <v>1.0707482000000001E-2</v>
      </c>
      <c r="H42" s="47"/>
    </row>
    <row r="43" spans="1:8" ht="17.100000000000001" customHeight="1" x14ac:dyDescent="0.2">
      <c r="A43" s="3">
        <v>37</v>
      </c>
      <c r="B43" s="4" t="s">
        <v>467</v>
      </c>
      <c r="C43" s="4" t="s">
        <v>468</v>
      </c>
      <c r="D43" s="4" t="s">
        <v>28</v>
      </c>
      <c r="E43" s="5">
        <v>5737</v>
      </c>
      <c r="F43" s="6">
        <v>38.217025499999998</v>
      </c>
      <c r="G43" s="7">
        <v>1.0654409E-2</v>
      </c>
      <c r="H43" s="47"/>
    </row>
    <row r="44" spans="1:8" ht="17.100000000000001" customHeight="1" x14ac:dyDescent="0.2">
      <c r="A44" s="3">
        <v>38</v>
      </c>
      <c r="B44" s="4" t="s">
        <v>475</v>
      </c>
      <c r="C44" s="4" t="s">
        <v>476</v>
      </c>
      <c r="D44" s="4" t="s">
        <v>28</v>
      </c>
      <c r="E44" s="5">
        <v>5096</v>
      </c>
      <c r="F44" s="6">
        <v>36.533223999999997</v>
      </c>
      <c r="G44" s="7">
        <v>1.0184987E-2</v>
      </c>
      <c r="H44" s="47"/>
    </row>
    <row r="45" spans="1:8" ht="17.100000000000001" customHeight="1" x14ac:dyDescent="0.2">
      <c r="A45" s="3">
        <v>39</v>
      </c>
      <c r="B45" s="4" t="s">
        <v>32</v>
      </c>
      <c r="C45" s="4" t="s">
        <v>33</v>
      </c>
      <c r="D45" s="4" t="s">
        <v>28</v>
      </c>
      <c r="E45" s="5">
        <v>1021</v>
      </c>
      <c r="F45" s="6">
        <v>36.070398500000003</v>
      </c>
      <c r="G45" s="7">
        <v>1.0055957000000001E-2</v>
      </c>
      <c r="H45" s="47"/>
    </row>
    <row r="46" spans="1:8" ht="17.100000000000001" customHeight="1" x14ac:dyDescent="0.2">
      <c r="A46" s="3">
        <v>40</v>
      </c>
      <c r="B46" s="4" t="s">
        <v>483</v>
      </c>
      <c r="C46" s="4" t="s">
        <v>484</v>
      </c>
      <c r="D46" s="4" t="s">
        <v>303</v>
      </c>
      <c r="E46" s="5">
        <v>4863</v>
      </c>
      <c r="F46" s="6">
        <v>36.0518505</v>
      </c>
      <c r="G46" s="7">
        <v>1.0050786000000001E-2</v>
      </c>
      <c r="H46" s="47"/>
    </row>
    <row r="47" spans="1:8" ht="29.1" customHeight="1" x14ac:dyDescent="0.2">
      <c r="A47" s="3">
        <v>41</v>
      </c>
      <c r="B47" s="4" t="s">
        <v>390</v>
      </c>
      <c r="C47" s="4" t="s">
        <v>391</v>
      </c>
      <c r="D47" s="4" t="s">
        <v>201</v>
      </c>
      <c r="E47" s="5">
        <v>5691</v>
      </c>
      <c r="F47" s="6">
        <v>34.720790999999998</v>
      </c>
      <c r="G47" s="7">
        <v>9.6797040000000008E-3</v>
      </c>
      <c r="H47" s="47"/>
    </row>
    <row r="48" spans="1:8" ht="17.100000000000001" customHeight="1" x14ac:dyDescent="0.2">
      <c r="A48" s="3">
        <v>42</v>
      </c>
      <c r="B48" s="4" t="s">
        <v>210</v>
      </c>
      <c r="C48" s="4" t="s">
        <v>211</v>
      </c>
      <c r="D48" s="4" t="s">
        <v>16</v>
      </c>
      <c r="E48" s="5">
        <v>15972</v>
      </c>
      <c r="F48" s="6">
        <v>34.691184</v>
      </c>
      <c r="G48" s="7">
        <v>9.6714499999999998E-3</v>
      </c>
      <c r="H48" s="47"/>
    </row>
    <row r="49" spans="1:8" ht="29.1" customHeight="1" x14ac:dyDescent="0.2">
      <c r="A49" s="3">
        <v>43</v>
      </c>
      <c r="B49" s="4" t="s">
        <v>256</v>
      </c>
      <c r="C49" s="4" t="s">
        <v>257</v>
      </c>
      <c r="D49" s="4" t="s">
        <v>88</v>
      </c>
      <c r="E49" s="5">
        <v>2300</v>
      </c>
      <c r="F49" s="6">
        <v>34.068750000000001</v>
      </c>
      <c r="G49" s="7">
        <v>9.4979239999999996E-3</v>
      </c>
      <c r="H49" s="47"/>
    </row>
    <row r="50" spans="1:8" ht="29.1" customHeight="1" x14ac:dyDescent="0.2">
      <c r="A50" s="3">
        <v>44</v>
      </c>
      <c r="B50" s="4" t="s">
        <v>236</v>
      </c>
      <c r="C50" s="4" t="s">
        <v>237</v>
      </c>
      <c r="D50" s="4" t="s">
        <v>238</v>
      </c>
      <c r="E50" s="5">
        <v>8568</v>
      </c>
      <c r="F50" s="6">
        <v>32.853996000000002</v>
      </c>
      <c r="G50" s="7">
        <v>9.1592659999999992E-3</v>
      </c>
      <c r="H50" s="47"/>
    </row>
    <row r="51" spans="1:8" ht="29.1" customHeight="1" x14ac:dyDescent="0.2">
      <c r="A51" s="3">
        <v>45</v>
      </c>
      <c r="B51" s="4" t="s">
        <v>205</v>
      </c>
      <c r="C51" s="4" t="s">
        <v>206</v>
      </c>
      <c r="D51" s="4" t="s">
        <v>204</v>
      </c>
      <c r="E51" s="5">
        <v>2084</v>
      </c>
      <c r="F51" s="6">
        <v>32.774025999999999</v>
      </c>
      <c r="G51" s="7">
        <v>9.1369720000000001E-3</v>
      </c>
      <c r="H51" s="47"/>
    </row>
    <row r="52" spans="1:8" ht="29.1" customHeight="1" x14ac:dyDescent="0.2">
      <c r="A52" s="3">
        <v>46</v>
      </c>
      <c r="B52" s="4" t="s">
        <v>212</v>
      </c>
      <c r="C52" s="4" t="s">
        <v>213</v>
      </c>
      <c r="D52" s="4" t="s">
        <v>214</v>
      </c>
      <c r="E52" s="5">
        <v>34295</v>
      </c>
      <c r="F52" s="6">
        <v>32.237299999999998</v>
      </c>
      <c r="G52" s="7">
        <v>8.9873390000000004E-3</v>
      </c>
      <c r="H52" s="47"/>
    </row>
    <row r="53" spans="1:8" ht="29.1" customHeight="1" x14ac:dyDescent="0.2">
      <c r="A53" s="3">
        <v>47</v>
      </c>
      <c r="B53" s="4" t="s">
        <v>290</v>
      </c>
      <c r="C53" s="4" t="s">
        <v>291</v>
      </c>
      <c r="D53" s="4" t="s">
        <v>292</v>
      </c>
      <c r="E53" s="5">
        <v>10365</v>
      </c>
      <c r="F53" s="6">
        <v>31.851645000000001</v>
      </c>
      <c r="G53" s="7">
        <v>8.8798239999999997E-3</v>
      </c>
      <c r="H53" s="47"/>
    </row>
    <row r="54" spans="1:8" ht="17.100000000000001" customHeight="1" x14ac:dyDescent="0.2">
      <c r="A54" s="3">
        <v>48</v>
      </c>
      <c r="B54" s="4" t="s">
        <v>479</v>
      </c>
      <c r="C54" s="4" t="s">
        <v>480</v>
      </c>
      <c r="D54" s="4" t="s">
        <v>88</v>
      </c>
      <c r="E54" s="5">
        <v>3437</v>
      </c>
      <c r="F54" s="6">
        <v>31.061887500000001</v>
      </c>
      <c r="G54" s="7">
        <v>8.6596499999999996E-3</v>
      </c>
      <c r="H54" s="47"/>
    </row>
    <row r="55" spans="1:8" ht="17.100000000000001" customHeight="1" x14ac:dyDescent="0.2">
      <c r="A55" s="3">
        <v>49</v>
      </c>
      <c r="B55" s="4" t="s">
        <v>269</v>
      </c>
      <c r="C55" s="4" t="s">
        <v>270</v>
      </c>
      <c r="D55" s="4" t="s">
        <v>91</v>
      </c>
      <c r="E55" s="5">
        <v>62967</v>
      </c>
      <c r="F55" s="6">
        <v>30.948280499999999</v>
      </c>
      <c r="G55" s="7">
        <v>8.6279779999999997E-3</v>
      </c>
      <c r="H55" s="47"/>
    </row>
    <row r="56" spans="1:8" ht="53.1" customHeight="1" x14ac:dyDescent="0.2">
      <c r="A56" s="3">
        <v>50</v>
      </c>
      <c r="B56" s="4" t="s">
        <v>422</v>
      </c>
      <c r="C56" s="4" t="s">
        <v>423</v>
      </c>
      <c r="D56" s="4" t="s">
        <v>62</v>
      </c>
      <c r="E56" s="5">
        <v>14626</v>
      </c>
      <c r="F56" s="6">
        <v>30.422080000000001</v>
      </c>
      <c r="G56" s="7">
        <v>8.4812800000000008E-3</v>
      </c>
      <c r="H56" s="47"/>
    </row>
    <row r="57" spans="1:8" ht="17.100000000000001" customHeight="1" x14ac:dyDescent="0.2">
      <c r="A57" s="3">
        <v>51</v>
      </c>
      <c r="B57" s="4" t="s">
        <v>215</v>
      </c>
      <c r="C57" s="4" t="s">
        <v>216</v>
      </c>
      <c r="D57" s="4" t="s">
        <v>217</v>
      </c>
      <c r="E57" s="5">
        <v>11014</v>
      </c>
      <c r="F57" s="6">
        <v>29.159565000000001</v>
      </c>
      <c r="G57" s="7">
        <v>8.1293070000000005E-3</v>
      </c>
      <c r="H57" s="47"/>
    </row>
    <row r="58" spans="1:8" ht="17.100000000000001" customHeight="1" x14ac:dyDescent="0.2">
      <c r="A58" s="3">
        <v>52</v>
      </c>
      <c r="B58" s="4" t="s">
        <v>222</v>
      </c>
      <c r="C58" s="4" t="s">
        <v>223</v>
      </c>
      <c r="D58" s="4" t="s">
        <v>13</v>
      </c>
      <c r="E58" s="5">
        <v>8109</v>
      </c>
      <c r="F58" s="6">
        <v>28.924803000000001</v>
      </c>
      <c r="G58" s="7">
        <v>8.0638580000000001E-3</v>
      </c>
      <c r="H58" s="47"/>
    </row>
    <row r="59" spans="1:8" ht="17.100000000000001" customHeight="1" x14ac:dyDescent="0.2">
      <c r="A59" s="3">
        <v>53</v>
      </c>
      <c r="B59" s="4" t="s">
        <v>481</v>
      </c>
      <c r="C59" s="4" t="s">
        <v>482</v>
      </c>
      <c r="D59" s="4" t="s">
        <v>28</v>
      </c>
      <c r="E59" s="5">
        <v>5719</v>
      </c>
      <c r="F59" s="6">
        <v>28.680785</v>
      </c>
      <c r="G59" s="7">
        <v>7.9958289999999994E-3</v>
      </c>
      <c r="H59" s="47"/>
    </row>
    <row r="60" spans="1:8" ht="41.1" customHeight="1" x14ac:dyDescent="0.2">
      <c r="A60" s="3">
        <v>54</v>
      </c>
      <c r="B60" s="4" t="s">
        <v>283</v>
      </c>
      <c r="C60" s="4" t="s">
        <v>284</v>
      </c>
      <c r="D60" s="4" t="s">
        <v>285</v>
      </c>
      <c r="E60" s="5">
        <v>3829</v>
      </c>
      <c r="F60" s="6">
        <v>27.385007999999999</v>
      </c>
      <c r="G60" s="7">
        <v>7.6345839999999998E-3</v>
      </c>
      <c r="H60" s="47"/>
    </row>
    <row r="61" spans="1:8" ht="17.100000000000001" customHeight="1" x14ac:dyDescent="0.2">
      <c r="A61" s="3">
        <v>55</v>
      </c>
      <c r="B61" s="4" t="s">
        <v>281</v>
      </c>
      <c r="C61" s="4" t="s">
        <v>282</v>
      </c>
      <c r="D61" s="4" t="s">
        <v>94</v>
      </c>
      <c r="E61" s="5">
        <v>4265</v>
      </c>
      <c r="F61" s="6">
        <v>26.747947499999999</v>
      </c>
      <c r="G61" s="7">
        <v>7.4569789999999999E-3</v>
      </c>
      <c r="H61" s="47"/>
    </row>
    <row r="62" spans="1:8" ht="17.100000000000001" customHeight="1" x14ac:dyDescent="0.2">
      <c r="A62" s="3">
        <v>56</v>
      </c>
      <c r="B62" s="4" t="s">
        <v>244</v>
      </c>
      <c r="C62" s="4" t="s">
        <v>245</v>
      </c>
      <c r="D62" s="4" t="s">
        <v>88</v>
      </c>
      <c r="E62" s="5">
        <v>14021</v>
      </c>
      <c r="F62" s="6">
        <v>26.597836999999998</v>
      </c>
      <c r="G62" s="7">
        <v>7.4151310000000002E-3</v>
      </c>
      <c r="H62" s="47"/>
    </row>
    <row r="63" spans="1:8" ht="17.100000000000001" customHeight="1" x14ac:dyDescent="0.2">
      <c r="A63" s="3">
        <v>57</v>
      </c>
      <c r="B63" s="4" t="s">
        <v>288</v>
      </c>
      <c r="C63" s="4" t="s">
        <v>289</v>
      </c>
      <c r="D63" s="4" t="s">
        <v>19</v>
      </c>
      <c r="E63" s="5">
        <v>13436</v>
      </c>
      <c r="F63" s="6">
        <v>25.944915999999999</v>
      </c>
      <c r="G63" s="7">
        <v>7.2331050000000001E-3</v>
      </c>
      <c r="H63" s="47"/>
    </row>
    <row r="64" spans="1:8" ht="17.100000000000001" customHeight="1" x14ac:dyDescent="0.2">
      <c r="A64" s="3">
        <v>58</v>
      </c>
      <c r="B64" s="4" t="s">
        <v>95</v>
      </c>
      <c r="C64" s="4" t="s">
        <v>96</v>
      </c>
      <c r="D64" s="4" t="s">
        <v>97</v>
      </c>
      <c r="E64" s="5">
        <v>5816</v>
      </c>
      <c r="F64" s="6">
        <v>25.846304</v>
      </c>
      <c r="G64" s="7">
        <v>7.2056129999999996E-3</v>
      </c>
      <c r="H64" s="47"/>
    </row>
    <row r="65" spans="1:8" ht="17.100000000000001" customHeight="1" x14ac:dyDescent="0.2">
      <c r="A65" s="3">
        <v>59</v>
      </c>
      <c r="B65" s="4" t="s">
        <v>487</v>
      </c>
      <c r="C65" s="4" t="s">
        <v>488</v>
      </c>
      <c r="D65" s="4" t="s">
        <v>28</v>
      </c>
      <c r="E65" s="5">
        <v>1026</v>
      </c>
      <c r="F65" s="6">
        <v>24.391098</v>
      </c>
      <c r="G65" s="7">
        <v>6.7999209999999996E-3</v>
      </c>
      <c r="H65" s="47"/>
    </row>
    <row r="66" spans="1:8" ht="17.100000000000001" customHeight="1" x14ac:dyDescent="0.2">
      <c r="A66" s="3">
        <v>60</v>
      </c>
      <c r="B66" s="4" t="s">
        <v>485</v>
      </c>
      <c r="C66" s="4" t="s">
        <v>486</v>
      </c>
      <c r="D66" s="4" t="s">
        <v>174</v>
      </c>
      <c r="E66" s="5">
        <v>42526</v>
      </c>
      <c r="F66" s="6">
        <v>23.686982</v>
      </c>
      <c r="G66" s="7">
        <v>6.603622E-3</v>
      </c>
      <c r="H66" s="47"/>
    </row>
    <row r="67" spans="1:8" ht="17.100000000000001" customHeight="1" x14ac:dyDescent="0.2">
      <c r="A67" s="3">
        <v>61</v>
      </c>
      <c r="B67" s="4" t="s">
        <v>246</v>
      </c>
      <c r="C67" s="4" t="s">
        <v>247</v>
      </c>
      <c r="D67" s="4" t="s">
        <v>94</v>
      </c>
      <c r="E67" s="5">
        <v>4235</v>
      </c>
      <c r="F67" s="6">
        <v>21.266052500000001</v>
      </c>
      <c r="G67" s="7">
        <v>5.9286989999999999E-3</v>
      </c>
      <c r="H67" s="47"/>
    </row>
    <row r="68" spans="1:8" ht="17.100000000000001" customHeight="1" x14ac:dyDescent="0.2">
      <c r="A68" s="3">
        <v>62</v>
      </c>
      <c r="B68" s="4" t="s">
        <v>239</v>
      </c>
      <c r="C68" s="4" t="s">
        <v>240</v>
      </c>
      <c r="D68" s="4" t="s">
        <v>88</v>
      </c>
      <c r="E68" s="5">
        <v>3383</v>
      </c>
      <c r="F68" s="6">
        <v>19.389664499999999</v>
      </c>
      <c r="G68" s="7">
        <v>5.4055860000000004E-3</v>
      </c>
      <c r="H68" s="47"/>
    </row>
    <row r="69" spans="1:8" ht="17.100000000000001" customHeight="1" x14ac:dyDescent="0.2">
      <c r="A69" s="3">
        <v>63</v>
      </c>
      <c r="B69" s="4" t="s">
        <v>234</v>
      </c>
      <c r="C69" s="4" t="s">
        <v>235</v>
      </c>
      <c r="D69" s="4" t="s">
        <v>114</v>
      </c>
      <c r="E69" s="5">
        <v>2788</v>
      </c>
      <c r="F69" s="6">
        <v>18.796696000000001</v>
      </c>
      <c r="G69" s="7">
        <v>5.2402739999999996E-3</v>
      </c>
      <c r="H69" s="47"/>
    </row>
    <row r="70" spans="1:8" ht="29.1" customHeight="1" x14ac:dyDescent="0.2">
      <c r="A70" s="3">
        <v>64</v>
      </c>
      <c r="B70" s="4" t="s">
        <v>250</v>
      </c>
      <c r="C70" s="4" t="s">
        <v>251</v>
      </c>
      <c r="D70" s="4" t="s">
        <v>204</v>
      </c>
      <c r="E70" s="5">
        <v>411</v>
      </c>
      <c r="F70" s="6">
        <v>17.224393500000001</v>
      </c>
      <c r="G70" s="7">
        <v>4.801937E-3</v>
      </c>
      <c r="H70" s="47"/>
    </row>
    <row r="71" spans="1:8" ht="17.100000000000001" customHeight="1" x14ac:dyDescent="0.2">
      <c r="A71" s="3">
        <v>65</v>
      </c>
      <c r="B71" s="4" t="s">
        <v>226</v>
      </c>
      <c r="C71" s="4" t="s">
        <v>227</v>
      </c>
      <c r="D71" s="4" t="s">
        <v>13</v>
      </c>
      <c r="E71" s="5">
        <v>21843</v>
      </c>
      <c r="F71" s="6">
        <v>15.9781545</v>
      </c>
      <c r="G71" s="7">
        <v>4.4545009999999996E-3</v>
      </c>
      <c r="H71" s="47"/>
    </row>
    <row r="72" spans="1:8" ht="29.1" customHeight="1" x14ac:dyDescent="0.2">
      <c r="A72" s="3">
        <v>66</v>
      </c>
      <c r="B72" s="4" t="s">
        <v>277</v>
      </c>
      <c r="C72" s="4" t="s">
        <v>278</v>
      </c>
      <c r="D72" s="4" t="s">
        <v>201</v>
      </c>
      <c r="E72" s="5">
        <v>3145</v>
      </c>
      <c r="F72" s="6">
        <v>14.786217499999999</v>
      </c>
      <c r="G72" s="7">
        <v>4.1222050000000003E-3</v>
      </c>
      <c r="H72" s="47"/>
    </row>
    <row r="73" spans="1:8" ht="29.1" customHeight="1" x14ac:dyDescent="0.2">
      <c r="A73" s="3">
        <v>67</v>
      </c>
      <c r="B73" s="4" t="s">
        <v>286</v>
      </c>
      <c r="C73" s="4" t="s">
        <v>287</v>
      </c>
      <c r="D73" s="4" t="s">
        <v>204</v>
      </c>
      <c r="E73" s="5">
        <v>6683</v>
      </c>
      <c r="F73" s="6">
        <v>14.609038</v>
      </c>
      <c r="G73" s="7">
        <v>4.0728099999999996E-3</v>
      </c>
      <c r="H73" s="47"/>
    </row>
    <row r="74" spans="1:8" ht="17.100000000000001" customHeight="1" x14ac:dyDescent="0.2">
      <c r="A74" s="3">
        <v>68</v>
      </c>
      <c r="B74" s="4" t="s">
        <v>252</v>
      </c>
      <c r="C74" s="4" t="s">
        <v>253</v>
      </c>
      <c r="D74" s="4" t="s">
        <v>97</v>
      </c>
      <c r="E74" s="5">
        <v>21125</v>
      </c>
      <c r="F74" s="6">
        <v>13.784062499999999</v>
      </c>
      <c r="G74" s="7">
        <v>3.8428170000000001E-3</v>
      </c>
      <c r="H74" s="47"/>
    </row>
    <row r="75" spans="1:8" ht="17.100000000000001" customHeight="1" x14ac:dyDescent="0.2">
      <c r="A75" s="3">
        <v>69</v>
      </c>
      <c r="B75" s="4" t="s">
        <v>489</v>
      </c>
      <c r="C75" s="4" t="s">
        <v>490</v>
      </c>
      <c r="D75" s="4" t="s">
        <v>312</v>
      </c>
      <c r="E75" s="5">
        <v>2029</v>
      </c>
      <c r="F75" s="6">
        <v>12.013709</v>
      </c>
      <c r="G75" s="7">
        <v>3.349266E-3</v>
      </c>
      <c r="H75" s="47"/>
    </row>
    <row r="76" spans="1:8" ht="29.1" customHeight="1" x14ac:dyDescent="0.2">
      <c r="A76" s="3">
        <v>70</v>
      </c>
      <c r="B76" s="4" t="s">
        <v>258</v>
      </c>
      <c r="C76" s="4" t="s">
        <v>259</v>
      </c>
      <c r="D76" s="4" t="s">
        <v>201</v>
      </c>
      <c r="E76" s="5">
        <v>982</v>
      </c>
      <c r="F76" s="6">
        <v>5.2335690000000001</v>
      </c>
      <c r="G76" s="7">
        <v>1.4590510000000001E-3</v>
      </c>
      <c r="H76" s="47"/>
    </row>
    <row r="77" spans="1:8" ht="17.100000000000001" customHeight="1" x14ac:dyDescent="0.2">
      <c r="A77" s="3">
        <v>71</v>
      </c>
      <c r="B77" s="4" t="s">
        <v>493</v>
      </c>
      <c r="C77" s="4" t="s">
        <v>494</v>
      </c>
      <c r="D77" s="4" t="s">
        <v>28</v>
      </c>
      <c r="E77" s="5">
        <v>33</v>
      </c>
      <c r="F77" s="6">
        <v>0.33953699999999998</v>
      </c>
      <c r="G77" s="7">
        <v>9.4658000000000001E-5</v>
      </c>
      <c r="H77" s="47"/>
    </row>
    <row r="78" spans="1:8" ht="14.1" customHeight="1" x14ac:dyDescent="0.2">
      <c r="A78" s="1"/>
      <c r="B78" s="1"/>
      <c r="C78" s="2" t="s">
        <v>122</v>
      </c>
      <c r="D78" s="1"/>
      <c r="E78" s="1" t="s">
        <v>123</v>
      </c>
      <c r="F78" s="9">
        <v>3341.3610684999999</v>
      </c>
      <c r="G78" s="10">
        <v>0.93152795899999996</v>
      </c>
      <c r="H78" s="47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124</v>
      </c>
      <c r="D80" s="1"/>
      <c r="E80" s="1"/>
      <c r="F80" s="1"/>
      <c r="G80" s="1"/>
      <c r="H80" s="47"/>
    </row>
    <row r="81" spans="1:8" ht="14.1" customHeight="1" x14ac:dyDescent="0.2">
      <c r="A81" s="1"/>
      <c r="B81" s="1"/>
      <c r="C81" s="2" t="s">
        <v>122</v>
      </c>
      <c r="D81" s="1"/>
      <c r="E81" s="1" t="s">
        <v>123</v>
      </c>
      <c r="F81" s="13">
        <v>0</v>
      </c>
      <c r="G81" s="14">
        <v>0</v>
      </c>
      <c r="H81" s="47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125</v>
      </c>
      <c r="D83" s="1"/>
      <c r="E83" s="1"/>
      <c r="F83" s="1"/>
      <c r="G83" s="1"/>
      <c r="H83" s="47"/>
    </row>
    <row r="84" spans="1:8" ht="14.1" customHeight="1" x14ac:dyDescent="0.2">
      <c r="A84" s="1"/>
      <c r="B84" s="1"/>
      <c r="C84" s="2" t="s">
        <v>122</v>
      </c>
      <c r="D84" s="1"/>
      <c r="E84" s="1" t="s">
        <v>123</v>
      </c>
      <c r="F84" s="13">
        <v>0</v>
      </c>
      <c r="G84" s="14">
        <v>0</v>
      </c>
      <c r="H84" s="47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126</v>
      </c>
      <c r="D86" s="1"/>
      <c r="E86" s="1"/>
      <c r="F86" s="1"/>
      <c r="G86" s="1"/>
      <c r="H86" s="47"/>
    </row>
    <row r="87" spans="1:8" ht="14.1" customHeight="1" x14ac:dyDescent="0.2">
      <c r="A87" s="1"/>
      <c r="B87" s="1"/>
      <c r="C87" s="2" t="s">
        <v>122</v>
      </c>
      <c r="D87" s="1"/>
      <c r="E87" s="1" t="s">
        <v>123</v>
      </c>
      <c r="F87" s="13">
        <v>0</v>
      </c>
      <c r="G87" s="14">
        <v>0</v>
      </c>
      <c r="H87" s="47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127</v>
      </c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122</v>
      </c>
      <c r="D90" s="1"/>
      <c r="E90" s="1" t="s">
        <v>123</v>
      </c>
      <c r="F90" s="13">
        <v>0</v>
      </c>
      <c r="G90" s="14">
        <v>0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128</v>
      </c>
      <c r="D92" s="1"/>
      <c r="E92" s="1"/>
      <c r="F92" s="12"/>
      <c r="G92" s="12"/>
      <c r="H92" s="47"/>
    </row>
    <row r="93" spans="1:8" ht="14.1" customHeight="1" x14ac:dyDescent="0.2">
      <c r="A93" s="1"/>
      <c r="B93" s="1"/>
      <c r="C93" s="2" t="s">
        <v>122</v>
      </c>
      <c r="D93" s="1"/>
      <c r="E93" s="1" t="s">
        <v>123</v>
      </c>
      <c r="F93" s="13">
        <v>0</v>
      </c>
      <c r="G93" s="14">
        <v>0</v>
      </c>
      <c r="H93" s="47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47"/>
    </row>
    <row r="95" spans="1:8" ht="18" customHeight="1" x14ac:dyDescent="0.2">
      <c r="A95" s="1"/>
      <c r="B95" s="1"/>
      <c r="C95" s="2" t="s">
        <v>129</v>
      </c>
      <c r="D95" s="1"/>
      <c r="E95" s="1"/>
      <c r="F95" s="9">
        <v>3341.3610684999999</v>
      </c>
      <c r="G95" s="10">
        <v>0.93152795899999996</v>
      </c>
      <c r="H95" s="47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47"/>
    </row>
    <row r="97" spans="1:8" ht="14.1" customHeight="1" x14ac:dyDescent="0.2">
      <c r="A97" s="1"/>
      <c r="B97" s="1"/>
      <c r="C97" s="2" t="s">
        <v>130</v>
      </c>
      <c r="D97" s="1"/>
      <c r="E97" s="1"/>
      <c r="F97" s="12"/>
      <c r="G97" s="12"/>
      <c r="H97" s="47"/>
    </row>
    <row r="98" spans="1:8" ht="24" customHeight="1" x14ac:dyDescent="0.2">
      <c r="A98" s="1"/>
      <c r="B98" s="1"/>
      <c r="C98" s="2" t="s">
        <v>10</v>
      </c>
      <c r="D98" s="1"/>
      <c r="E98" s="1"/>
      <c r="F98" s="12"/>
      <c r="G98" s="12"/>
      <c r="H98" s="47"/>
    </row>
    <row r="99" spans="1:8" ht="14.1" customHeight="1" x14ac:dyDescent="0.2">
      <c r="A99" s="1"/>
      <c r="B99" s="1"/>
      <c r="C99" s="2" t="s">
        <v>122</v>
      </c>
      <c r="D99" s="1"/>
      <c r="E99" s="1" t="s">
        <v>123</v>
      </c>
      <c r="F99" s="13">
        <v>0</v>
      </c>
      <c r="G99" s="14">
        <v>0</v>
      </c>
      <c r="H99" s="47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47"/>
    </row>
    <row r="101" spans="1:8" ht="14.1" customHeight="1" x14ac:dyDescent="0.2">
      <c r="A101" s="1"/>
      <c r="B101" s="1"/>
      <c r="C101" s="2" t="s">
        <v>131</v>
      </c>
      <c r="D101" s="1"/>
      <c r="E101" s="1"/>
      <c r="F101" s="1"/>
      <c r="G101" s="1"/>
      <c r="H101" s="47"/>
    </row>
    <row r="102" spans="1:8" ht="14.1" customHeight="1" x14ac:dyDescent="0.2">
      <c r="A102" s="1"/>
      <c r="B102" s="1"/>
      <c r="C102" s="2" t="s">
        <v>122</v>
      </c>
      <c r="D102" s="1"/>
      <c r="E102" s="1" t="s">
        <v>123</v>
      </c>
      <c r="F102" s="13">
        <v>0</v>
      </c>
      <c r="G102" s="14">
        <v>0</v>
      </c>
      <c r="H102" s="47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2" t="s">
        <v>132</v>
      </c>
      <c r="D104" s="1"/>
      <c r="E104" s="1"/>
      <c r="F104" s="1"/>
      <c r="G104" s="1"/>
      <c r="H104" s="47"/>
    </row>
    <row r="105" spans="1:8" ht="14.1" customHeight="1" x14ac:dyDescent="0.2">
      <c r="A105" s="1"/>
      <c r="B105" s="1"/>
      <c r="C105" s="2" t="s">
        <v>122</v>
      </c>
      <c r="D105" s="1"/>
      <c r="E105" s="1" t="s">
        <v>123</v>
      </c>
      <c r="F105" s="13">
        <v>0</v>
      </c>
      <c r="G105" s="14">
        <v>0</v>
      </c>
      <c r="H105" s="47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47"/>
    </row>
    <row r="107" spans="1:8" ht="14.1" customHeight="1" x14ac:dyDescent="0.2">
      <c r="A107" s="1"/>
      <c r="B107" s="1"/>
      <c r="C107" s="2" t="s">
        <v>133</v>
      </c>
      <c r="D107" s="1"/>
      <c r="E107" s="1"/>
      <c r="F107" s="12"/>
      <c r="G107" s="12"/>
      <c r="H107" s="47"/>
    </row>
    <row r="108" spans="1:8" ht="14.1" customHeight="1" x14ac:dyDescent="0.2">
      <c r="A108" s="1"/>
      <c r="B108" s="1"/>
      <c r="C108" s="2" t="s">
        <v>122</v>
      </c>
      <c r="D108" s="1"/>
      <c r="E108" s="1" t="s">
        <v>123</v>
      </c>
      <c r="F108" s="13">
        <v>0</v>
      </c>
      <c r="G108" s="14">
        <v>0</v>
      </c>
      <c r="H108" s="47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2" t="s">
        <v>134</v>
      </c>
      <c r="D110" s="1"/>
      <c r="E110" s="1"/>
      <c r="F110" s="9">
        <v>0</v>
      </c>
      <c r="G110" s="10">
        <v>0</v>
      </c>
      <c r="H110" s="47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47"/>
    </row>
    <row r="112" spans="1:8" ht="14.1" customHeight="1" x14ac:dyDescent="0.2">
      <c r="A112" s="1"/>
      <c r="B112" s="1"/>
      <c r="C112" s="2" t="s">
        <v>135</v>
      </c>
      <c r="D112" s="1"/>
      <c r="E112" s="1"/>
      <c r="F112" s="12"/>
      <c r="G112" s="12"/>
      <c r="H112" s="47"/>
    </row>
    <row r="113" spans="1:8" ht="14.1" customHeight="1" x14ac:dyDescent="0.2">
      <c r="A113" s="1"/>
      <c r="B113" s="1"/>
      <c r="C113" s="2" t="s">
        <v>136</v>
      </c>
      <c r="D113" s="1"/>
      <c r="E113" s="1"/>
      <c r="F113" s="12"/>
      <c r="G113" s="12"/>
      <c r="H113" s="47"/>
    </row>
    <row r="114" spans="1:8" ht="14.1" customHeight="1" x14ac:dyDescent="0.2">
      <c r="A114" s="1"/>
      <c r="B114" s="1"/>
      <c r="C114" s="2" t="s">
        <v>122</v>
      </c>
      <c r="D114" s="1"/>
      <c r="E114" s="1" t="s">
        <v>123</v>
      </c>
      <c r="F114" s="13">
        <v>0</v>
      </c>
      <c r="G114" s="14">
        <v>0</v>
      </c>
      <c r="H114" s="47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47"/>
    </row>
    <row r="116" spans="1:8" ht="14.1" customHeight="1" x14ac:dyDescent="0.2">
      <c r="A116" s="1"/>
      <c r="B116" s="1"/>
      <c r="C116" s="2" t="s">
        <v>137</v>
      </c>
      <c r="D116" s="1"/>
      <c r="E116" s="1"/>
      <c r="F116" s="12"/>
      <c r="G116" s="12"/>
      <c r="H116" s="47"/>
    </row>
    <row r="117" spans="1:8" ht="14.1" customHeight="1" x14ac:dyDescent="0.2">
      <c r="A117" s="1"/>
      <c r="B117" s="1"/>
      <c r="C117" s="2" t="s">
        <v>122</v>
      </c>
      <c r="D117" s="1"/>
      <c r="E117" s="1" t="s">
        <v>123</v>
      </c>
      <c r="F117" s="13">
        <v>0</v>
      </c>
      <c r="G117" s="14">
        <v>0</v>
      </c>
      <c r="H117" s="47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47"/>
    </row>
    <row r="119" spans="1:8" ht="14.1" customHeight="1" x14ac:dyDescent="0.2">
      <c r="A119" s="1"/>
      <c r="B119" s="1"/>
      <c r="C119" s="2" t="s">
        <v>138</v>
      </c>
      <c r="D119" s="1"/>
      <c r="E119" s="1"/>
      <c r="F119" s="12"/>
      <c r="G119" s="12"/>
      <c r="H119" s="47"/>
    </row>
    <row r="120" spans="1:8" ht="14.1" customHeight="1" x14ac:dyDescent="0.2">
      <c r="A120" s="1"/>
      <c r="B120" s="1"/>
      <c r="C120" s="2" t="s">
        <v>122</v>
      </c>
      <c r="D120" s="1"/>
      <c r="E120" s="1" t="s">
        <v>123</v>
      </c>
      <c r="F120" s="13">
        <v>0</v>
      </c>
      <c r="G120" s="14">
        <v>0</v>
      </c>
      <c r="H120" s="47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47"/>
    </row>
    <row r="122" spans="1:8" ht="14.1" customHeight="1" x14ac:dyDescent="0.2">
      <c r="A122" s="1"/>
      <c r="B122" s="1"/>
      <c r="C122" s="2" t="s">
        <v>139</v>
      </c>
      <c r="D122" s="1"/>
      <c r="E122" s="1"/>
      <c r="F122" s="12"/>
      <c r="G122" s="12"/>
      <c r="H122" s="47"/>
    </row>
    <row r="123" spans="1:8" ht="17.100000000000001" customHeight="1" x14ac:dyDescent="0.2">
      <c r="A123" s="3">
        <v>1</v>
      </c>
      <c r="B123" s="4"/>
      <c r="C123" s="4" t="s">
        <v>140</v>
      </c>
      <c r="D123" s="4"/>
      <c r="E123" s="8"/>
      <c r="F123" s="6">
        <v>201.77746669999999</v>
      </c>
      <c r="G123" s="7">
        <v>5.625293E-2</v>
      </c>
      <c r="H123" s="47">
        <v>4.6730752161314033</v>
      </c>
    </row>
    <row r="124" spans="1:8" ht="14.1" customHeight="1" x14ac:dyDescent="0.2">
      <c r="A124" s="1"/>
      <c r="B124" s="1"/>
      <c r="C124" s="2" t="s">
        <v>122</v>
      </c>
      <c r="D124" s="1"/>
      <c r="E124" s="1" t="s">
        <v>123</v>
      </c>
      <c r="F124" s="9">
        <v>201.77746669999999</v>
      </c>
      <c r="G124" s="10">
        <v>5.625293E-2</v>
      </c>
      <c r="H124" s="47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47"/>
    </row>
    <row r="126" spans="1:8" ht="14.1" customHeight="1" x14ac:dyDescent="0.2">
      <c r="A126" s="1"/>
      <c r="B126" s="1"/>
      <c r="C126" s="2" t="s">
        <v>141</v>
      </c>
      <c r="D126" s="1"/>
      <c r="E126" s="1"/>
      <c r="F126" s="9">
        <v>201.77746669999999</v>
      </c>
      <c r="G126" s="10">
        <v>5.625293E-2</v>
      </c>
      <c r="H126" s="47"/>
    </row>
    <row r="127" spans="1:8" ht="14.1" customHeight="1" x14ac:dyDescent="0.2">
      <c r="A127" s="1"/>
      <c r="B127" s="1"/>
      <c r="C127" s="12"/>
      <c r="D127" s="1"/>
      <c r="E127" s="1"/>
      <c r="F127" s="1"/>
      <c r="G127" s="1"/>
      <c r="H127" s="47"/>
    </row>
    <row r="128" spans="1:8" ht="14.1" customHeight="1" x14ac:dyDescent="0.2">
      <c r="A128" s="1"/>
      <c r="B128" s="1"/>
      <c r="C128" s="2" t="s">
        <v>142</v>
      </c>
      <c r="D128" s="1"/>
      <c r="E128" s="1"/>
      <c r="F128" s="1"/>
      <c r="G128" s="1"/>
      <c r="H128" s="47"/>
    </row>
    <row r="129" spans="1:8" ht="14.1" customHeight="1" x14ac:dyDescent="0.2">
      <c r="A129" s="1"/>
      <c r="B129" s="1"/>
      <c r="C129" s="2" t="s">
        <v>143</v>
      </c>
      <c r="D129" s="1"/>
      <c r="E129" s="1"/>
      <c r="F129" s="1"/>
      <c r="G129" s="1"/>
      <c r="H129" s="47"/>
    </row>
    <row r="130" spans="1:8" ht="14.1" customHeight="1" x14ac:dyDescent="0.2">
      <c r="A130" s="1"/>
      <c r="B130" s="1"/>
      <c r="C130" s="2" t="s">
        <v>122</v>
      </c>
      <c r="D130" s="1"/>
      <c r="E130" s="1" t="s">
        <v>123</v>
      </c>
      <c r="F130" s="13">
        <v>0</v>
      </c>
      <c r="G130" s="14">
        <v>0</v>
      </c>
      <c r="H130" s="47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47"/>
    </row>
    <row r="132" spans="1:8" ht="14.1" customHeight="1" x14ac:dyDescent="0.2">
      <c r="A132" s="1"/>
      <c r="B132" s="1"/>
      <c r="C132" s="2" t="s">
        <v>144</v>
      </c>
      <c r="D132" s="1"/>
      <c r="E132" s="1"/>
      <c r="F132" s="1"/>
      <c r="G132" s="1"/>
      <c r="H132" s="47"/>
    </row>
    <row r="133" spans="1:8" ht="14.1" customHeight="1" x14ac:dyDescent="0.2">
      <c r="A133" s="1"/>
      <c r="B133" s="1"/>
      <c r="C133" s="2" t="s">
        <v>145</v>
      </c>
      <c r="D133" s="1"/>
      <c r="E133" s="1"/>
      <c r="F133" s="1"/>
      <c r="G133" s="1"/>
      <c r="H133" s="47"/>
    </row>
    <row r="134" spans="1:8" ht="14.1" customHeight="1" x14ac:dyDescent="0.2">
      <c r="A134" s="1"/>
      <c r="B134" s="1"/>
      <c r="C134" s="2" t="s">
        <v>122</v>
      </c>
      <c r="D134" s="1"/>
      <c r="E134" s="1" t="s">
        <v>123</v>
      </c>
      <c r="F134" s="13">
        <v>0</v>
      </c>
      <c r="G134" s="14">
        <v>0</v>
      </c>
      <c r="H134" s="47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47"/>
    </row>
    <row r="136" spans="1:8" ht="14.1" customHeight="1" x14ac:dyDescent="0.2">
      <c r="A136" s="1"/>
      <c r="B136" s="1"/>
      <c r="C136" s="11"/>
      <c r="D136" s="1"/>
      <c r="E136" s="1"/>
      <c r="F136" s="12"/>
      <c r="G136" s="12"/>
      <c r="H136" s="47"/>
    </row>
    <row r="137" spans="1:8" ht="24" customHeight="1" x14ac:dyDescent="0.2">
      <c r="A137" s="1"/>
      <c r="B137" s="1"/>
      <c r="C137" s="2" t="s">
        <v>146</v>
      </c>
      <c r="D137" s="1"/>
      <c r="E137" s="1"/>
      <c r="F137" s="12"/>
      <c r="G137" s="12"/>
      <c r="H137" s="47"/>
    </row>
    <row r="138" spans="1:8" ht="14.1" customHeight="1" x14ac:dyDescent="0.2">
      <c r="A138" s="1"/>
      <c r="B138" s="1"/>
      <c r="C138" s="2" t="s">
        <v>122</v>
      </c>
      <c r="D138" s="1"/>
      <c r="E138" s="1" t="s">
        <v>123</v>
      </c>
      <c r="F138" s="13">
        <v>0</v>
      </c>
      <c r="G138" s="14">
        <v>0</v>
      </c>
      <c r="H138" s="47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47"/>
    </row>
    <row r="140" spans="1:8" ht="14.1" customHeight="1" x14ac:dyDescent="0.2">
      <c r="A140" s="1"/>
      <c r="B140" s="4"/>
      <c r="C140" s="4"/>
      <c r="D140" s="2"/>
      <c r="E140" s="1"/>
      <c r="F140" s="4"/>
      <c r="G140" s="8"/>
      <c r="H140" s="47"/>
    </row>
    <row r="141" spans="1:8" ht="18" customHeight="1" x14ac:dyDescent="0.2">
      <c r="A141" s="8"/>
      <c r="B141" s="4"/>
      <c r="C141" s="4" t="s">
        <v>147</v>
      </c>
      <c r="D141" s="4"/>
      <c r="E141" s="8"/>
      <c r="F141" s="6">
        <v>43.829571889999997</v>
      </c>
      <c r="G141" s="7">
        <v>1.2219114E-2</v>
      </c>
      <c r="H141" s="47"/>
    </row>
    <row r="142" spans="1:8" ht="14.1" customHeight="1" x14ac:dyDescent="0.2">
      <c r="A142" s="11"/>
      <c r="B142" s="11"/>
      <c r="C142" s="2" t="s">
        <v>148</v>
      </c>
      <c r="D142" s="15"/>
      <c r="E142" s="15"/>
      <c r="F142" s="9">
        <v>3586.9681070900001</v>
      </c>
      <c r="G142" s="10">
        <v>1.000000003</v>
      </c>
      <c r="H142" s="47"/>
    </row>
    <row r="143" spans="1:8" ht="14.1" customHeight="1" x14ac:dyDescent="0.2">
      <c r="A143" s="16"/>
      <c r="B143" s="16"/>
      <c r="C143" s="16"/>
      <c r="D143" s="17"/>
      <c r="E143" s="17"/>
      <c r="F143" s="17"/>
      <c r="G143" s="17"/>
    </row>
    <row r="144" spans="1:8" ht="14.1" customHeight="1" x14ac:dyDescent="0.2">
      <c r="A144" s="18"/>
      <c r="B144" s="257" t="s">
        <v>150</v>
      </c>
      <c r="C144" s="258"/>
      <c r="D144" s="12" t="s">
        <v>123</v>
      </c>
      <c r="E144" s="21"/>
      <c r="F144" s="20"/>
      <c r="G144" s="20"/>
    </row>
    <row r="145" spans="1:7" ht="29.1" customHeight="1" x14ac:dyDescent="0.2">
      <c r="A145" s="18"/>
      <c r="B145" s="259" t="s">
        <v>151</v>
      </c>
      <c r="C145" s="260"/>
      <c r="D145" s="2" t="s">
        <v>152</v>
      </c>
      <c r="E145" s="21"/>
      <c r="F145" s="20"/>
      <c r="G145" s="20"/>
    </row>
    <row r="146" spans="1:7" ht="17.100000000000001" customHeight="1" x14ac:dyDescent="0.2">
      <c r="A146" s="18"/>
      <c r="B146" s="259" t="s">
        <v>153</v>
      </c>
      <c r="C146" s="260"/>
      <c r="D146" s="2" t="s">
        <v>152</v>
      </c>
      <c r="E146" s="21"/>
      <c r="F146" s="20"/>
      <c r="G146" s="20"/>
    </row>
    <row r="147" spans="1:7" ht="17.100000000000001" customHeight="1" x14ac:dyDescent="0.2">
      <c r="A147" s="18"/>
      <c r="B147" s="259" t="s">
        <v>154</v>
      </c>
      <c r="C147" s="260"/>
      <c r="D147" s="12" t="s">
        <v>123</v>
      </c>
      <c r="E147" s="21"/>
      <c r="F147" s="20"/>
      <c r="G147" s="20"/>
    </row>
    <row r="148" spans="1:7" ht="24" customHeight="1" x14ac:dyDescent="0.2">
      <c r="A148" s="22"/>
      <c r="B148" s="23" t="s">
        <v>123</v>
      </c>
      <c r="C148" s="23" t="s">
        <v>155</v>
      </c>
      <c r="D148" s="23" t="s">
        <v>156</v>
      </c>
      <c r="E148" s="22"/>
      <c r="F148" s="22"/>
      <c r="G148" s="22"/>
    </row>
    <row r="149" spans="1:7" ht="18" customHeight="1" x14ac:dyDescent="0.2">
      <c r="A149" s="22"/>
      <c r="B149" s="23" t="s">
        <v>157</v>
      </c>
      <c r="C149" s="23" t="s">
        <v>158</v>
      </c>
      <c r="D149" s="23" t="s">
        <v>159</v>
      </c>
      <c r="E149" s="22"/>
      <c r="F149" s="22"/>
      <c r="G149" s="22"/>
    </row>
    <row r="150" spans="1:7" ht="17.100000000000001" customHeight="1" x14ac:dyDescent="0.2">
      <c r="A150" s="22"/>
      <c r="B150" s="4" t="s">
        <v>160</v>
      </c>
      <c r="C150" s="24">
        <v>20.314900000000002</v>
      </c>
      <c r="D150" s="24">
        <v>19.683299999999999</v>
      </c>
      <c r="E150" s="22"/>
      <c r="F150" s="19"/>
      <c r="G150" s="25"/>
    </row>
    <row r="151" spans="1:7" ht="17.100000000000001" customHeight="1" x14ac:dyDescent="0.2">
      <c r="A151" s="22"/>
      <c r="B151" s="4" t="s">
        <v>1101</v>
      </c>
      <c r="C151" s="24">
        <v>19.044499999999999</v>
      </c>
      <c r="D151" s="24">
        <v>18.452400000000001</v>
      </c>
      <c r="E151" s="22"/>
      <c r="F151" s="19"/>
      <c r="G151" s="25"/>
    </row>
    <row r="152" spans="1:7" ht="17.100000000000001" customHeight="1" x14ac:dyDescent="0.2">
      <c r="A152" s="22"/>
      <c r="B152" s="4" t="s">
        <v>161</v>
      </c>
      <c r="C152" s="24">
        <v>19.901399999999999</v>
      </c>
      <c r="D152" s="24">
        <v>19.273800000000001</v>
      </c>
      <c r="E152" s="22"/>
      <c r="F152" s="19"/>
      <c r="G152" s="25"/>
    </row>
    <row r="153" spans="1:7" ht="17.100000000000001" customHeight="1" x14ac:dyDescent="0.2">
      <c r="A153" s="22"/>
      <c r="B153" s="4" t="s">
        <v>1102</v>
      </c>
      <c r="C153" s="24">
        <v>18.638200000000001</v>
      </c>
      <c r="D153" s="24">
        <v>18.0505</v>
      </c>
      <c r="E153" s="22"/>
      <c r="F153" s="19"/>
      <c r="G153" s="25"/>
    </row>
    <row r="154" spans="1:7" ht="14.1" customHeight="1" x14ac:dyDescent="0.2">
      <c r="A154" s="22"/>
      <c r="B154" s="22"/>
      <c r="C154" s="22"/>
      <c r="D154" s="22"/>
      <c r="E154" s="22"/>
      <c r="F154" s="22"/>
      <c r="G154" s="22"/>
    </row>
    <row r="155" spans="1:7" ht="17.100000000000001" customHeight="1" x14ac:dyDescent="0.2">
      <c r="A155" s="22"/>
      <c r="B155" s="259" t="s">
        <v>1103</v>
      </c>
      <c r="C155" s="260"/>
      <c r="D155" s="2" t="s">
        <v>152</v>
      </c>
      <c r="E155" s="22"/>
      <c r="F155" s="22"/>
      <c r="G155" s="22"/>
    </row>
    <row r="156" spans="1:7" ht="18" customHeight="1" x14ac:dyDescent="0.2">
      <c r="A156" s="22"/>
      <c r="B156" s="26"/>
      <c r="C156" s="26"/>
      <c r="D156" s="27"/>
      <c r="E156" s="22"/>
      <c r="F156" s="22"/>
      <c r="G156" s="22"/>
    </row>
    <row r="157" spans="1:7" ht="29.1" customHeight="1" x14ac:dyDescent="0.2">
      <c r="A157" s="22"/>
      <c r="B157" s="259" t="s">
        <v>162</v>
      </c>
      <c r="C157" s="260"/>
      <c r="D157" s="2" t="s">
        <v>152</v>
      </c>
      <c r="E157" s="22"/>
      <c r="F157" s="22"/>
      <c r="G157" s="22"/>
    </row>
    <row r="158" spans="1:7" ht="29.1" customHeight="1" x14ac:dyDescent="0.2">
      <c r="A158" s="22"/>
      <c r="B158" s="259" t="s">
        <v>163</v>
      </c>
      <c r="C158" s="260"/>
      <c r="D158" s="2" t="s">
        <v>152</v>
      </c>
      <c r="E158" s="22"/>
      <c r="F158" s="22"/>
      <c r="G158" s="22"/>
    </row>
    <row r="159" spans="1:7" ht="17.100000000000001" customHeight="1" x14ac:dyDescent="0.2">
      <c r="A159" s="22"/>
      <c r="B159" s="259" t="s">
        <v>164</v>
      </c>
      <c r="C159" s="260"/>
      <c r="D159" s="28">
        <v>0.32220054815699456</v>
      </c>
      <c r="E159" s="22"/>
      <c r="F159" s="19"/>
      <c r="G159" s="25"/>
    </row>
    <row r="160" spans="1:7" ht="17.100000000000001" customHeight="1" x14ac:dyDescent="0.2">
      <c r="A160" s="22"/>
      <c r="B160" s="259" t="s">
        <v>165</v>
      </c>
      <c r="C160" s="260"/>
      <c r="D160" s="2" t="s">
        <v>152</v>
      </c>
      <c r="E160" s="22"/>
      <c r="F160" s="22"/>
      <c r="G160" s="22"/>
    </row>
    <row r="162" spans="10:15" x14ac:dyDescent="0.2">
      <c r="J162" s="148"/>
      <c r="K162" s="148"/>
      <c r="L162" s="148"/>
      <c r="M162" s="148"/>
      <c r="N162" s="148"/>
      <c r="O162" s="148"/>
    </row>
  </sheetData>
  <mergeCells count="13">
    <mergeCell ref="J2:N2"/>
    <mergeCell ref="A1:H1"/>
    <mergeCell ref="A2:H2"/>
    <mergeCell ref="A3:H3"/>
    <mergeCell ref="B144:C144"/>
    <mergeCell ref="B159:C159"/>
    <mergeCell ref="B160:C160"/>
    <mergeCell ref="B145:C145"/>
    <mergeCell ref="B146:C146"/>
    <mergeCell ref="B147:C147"/>
    <mergeCell ref="B155:C155"/>
    <mergeCell ref="B157:C157"/>
    <mergeCell ref="B158:C15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O15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498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34</v>
      </c>
      <c r="C7" s="4" t="s">
        <v>35</v>
      </c>
      <c r="D7" s="4" t="s">
        <v>28</v>
      </c>
      <c r="E7" s="5">
        <v>33960</v>
      </c>
      <c r="F7" s="6">
        <v>503.88150000000002</v>
      </c>
      <c r="G7" s="7">
        <v>4.0261870999999998E-2</v>
      </c>
      <c r="H7" s="47"/>
    </row>
    <row r="8" spans="1:14" ht="17.100000000000001" customHeight="1" x14ac:dyDescent="0.2">
      <c r="A8" s="3">
        <v>2</v>
      </c>
      <c r="B8" s="4" t="s">
        <v>261</v>
      </c>
      <c r="C8" s="4" t="s">
        <v>262</v>
      </c>
      <c r="D8" s="4" t="s">
        <v>80</v>
      </c>
      <c r="E8" s="5">
        <v>221101</v>
      </c>
      <c r="F8" s="6">
        <v>423.74006650000001</v>
      </c>
      <c r="G8" s="7">
        <v>3.3858293999999997E-2</v>
      </c>
      <c r="H8" s="47"/>
    </row>
    <row r="9" spans="1:14" ht="29.1" customHeight="1" x14ac:dyDescent="0.2">
      <c r="A9" s="3">
        <v>3</v>
      </c>
      <c r="B9" s="4" t="s">
        <v>175</v>
      </c>
      <c r="C9" s="4" t="s">
        <v>176</v>
      </c>
      <c r="D9" s="4" t="s">
        <v>88</v>
      </c>
      <c r="E9" s="5">
        <v>120960</v>
      </c>
      <c r="F9" s="6">
        <v>411.44544000000002</v>
      </c>
      <c r="G9" s="7">
        <v>3.2875911000000001E-2</v>
      </c>
      <c r="H9" s="47"/>
    </row>
    <row r="10" spans="1:14" ht="17.100000000000001" customHeight="1" x14ac:dyDescent="0.2">
      <c r="A10" s="3">
        <v>4</v>
      </c>
      <c r="B10" s="4" t="s">
        <v>92</v>
      </c>
      <c r="C10" s="4" t="s">
        <v>93</v>
      </c>
      <c r="D10" s="4" t="s">
        <v>94</v>
      </c>
      <c r="E10" s="5">
        <v>16980</v>
      </c>
      <c r="F10" s="6">
        <v>388.92689999999999</v>
      </c>
      <c r="G10" s="7">
        <v>3.1076601999999998E-2</v>
      </c>
      <c r="H10" s="47"/>
    </row>
    <row r="11" spans="1:14" ht="29.1" customHeight="1" x14ac:dyDescent="0.2">
      <c r="A11" s="3">
        <v>5</v>
      </c>
      <c r="B11" s="4" t="s">
        <v>199</v>
      </c>
      <c r="C11" s="4" t="s">
        <v>200</v>
      </c>
      <c r="D11" s="4" t="s">
        <v>201</v>
      </c>
      <c r="E11" s="5">
        <v>9882</v>
      </c>
      <c r="F11" s="6">
        <v>360.851112</v>
      </c>
      <c r="G11" s="7">
        <v>2.8833248999999998E-2</v>
      </c>
      <c r="H11" s="47"/>
    </row>
    <row r="12" spans="1:14" ht="17.100000000000001" customHeight="1" x14ac:dyDescent="0.2">
      <c r="A12" s="3">
        <v>6</v>
      </c>
      <c r="B12" s="4" t="s">
        <v>207</v>
      </c>
      <c r="C12" s="4" t="s">
        <v>208</v>
      </c>
      <c r="D12" s="4" t="s">
        <v>209</v>
      </c>
      <c r="E12" s="5">
        <v>127326</v>
      </c>
      <c r="F12" s="6">
        <v>354.029943</v>
      </c>
      <c r="G12" s="7">
        <v>2.8288213999999999E-2</v>
      </c>
      <c r="H12" s="47"/>
      <c r="J12" s="147" t="s">
        <v>1120</v>
      </c>
    </row>
    <row r="13" spans="1:14" ht="17.100000000000001" customHeight="1" x14ac:dyDescent="0.2">
      <c r="A13" s="3">
        <v>7</v>
      </c>
      <c r="B13" s="4" t="s">
        <v>86</v>
      </c>
      <c r="C13" s="4" t="s">
        <v>87</v>
      </c>
      <c r="D13" s="4" t="s">
        <v>88</v>
      </c>
      <c r="E13" s="5">
        <v>76173</v>
      </c>
      <c r="F13" s="6">
        <v>330.362301</v>
      </c>
      <c r="G13" s="7">
        <v>2.6397087999999999E-2</v>
      </c>
      <c r="H13" s="47"/>
    </row>
    <row r="14" spans="1:14" ht="17.100000000000001" customHeight="1" x14ac:dyDescent="0.2">
      <c r="A14" s="3">
        <v>8</v>
      </c>
      <c r="B14" s="4" t="s">
        <v>241</v>
      </c>
      <c r="C14" s="4" t="s">
        <v>242</v>
      </c>
      <c r="D14" s="4" t="s">
        <v>243</v>
      </c>
      <c r="E14" s="5">
        <v>64027</v>
      </c>
      <c r="F14" s="6">
        <v>325.54528149999999</v>
      </c>
      <c r="G14" s="7">
        <v>2.6012192E-2</v>
      </c>
      <c r="H14" s="47"/>
    </row>
    <row r="15" spans="1:14" ht="17.100000000000001" customHeight="1" x14ac:dyDescent="0.2">
      <c r="A15" s="3">
        <v>9</v>
      </c>
      <c r="B15" s="4" t="s">
        <v>26</v>
      </c>
      <c r="C15" s="4" t="s">
        <v>27</v>
      </c>
      <c r="D15" s="4" t="s">
        <v>28</v>
      </c>
      <c r="E15" s="5">
        <v>19181</v>
      </c>
      <c r="F15" s="6">
        <v>322.82582050000002</v>
      </c>
      <c r="G15" s="7">
        <v>2.5794897000000001E-2</v>
      </c>
      <c r="H15" s="47"/>
    </row>
    <row r="16" spans="1:14" ht="29.1" customHeight="1" x14ac:dyDescent="0.2">
      <c r="A16" s="3">
        <v>10</v>
      </c>
      <c r="B16" s="4" t="s">
        <v>469</v>
      </c>
      <c r="C16" s="4" t="s">
        <v>470</v>
      </c>
      <c r="D16" s="4" t="s">
        <v>40</v>
      </c>
      <c r="E16" s="5">
        <v>16976</v>
      </c>
      <c r="F16" s="6">
        <v>318.14721600000001</v>
      </c>
      <c r="G16" s="7">
        <v>2.5421060999999998E-2</v>
      </c>
      <c r="H16" s="47"/>
    </row>
    <row r="17" spans="1:8" ht="17.100000000000001" customHeight="1" x14ac:dyDescent="0.2">
      <c r="A17" s="3">
        <v>11</v>
      </c>
      <c r="B17" s="4" t="s">
        <v>177</v>
      </c>
      <c r="C17" s="4" t="s">
        <v>178</v>
      </c>
      <c r="D17" s="4" t="s">
        <v>91</v>
      </c>
      <c r="E17" s="5">
        <v>384936</v>
      </c>
      <c r="F17" s="6">
        <v>315.64751999999999</v>
      </c>
      <c r="G17" s="7">
        <v>2.5221325999999999E-2</v>
      </c>
      <c r="H17" s="47"/>
    </row>
    <row r="18" spans="1:8" ht="17.100000000000001" customHeight="1" x14ac:dyDescent="0.2">
      <c r="A18" s="3">
        <v>12</v>
      </c>
      <c r="B18" s="4" t="s">
        <v>254</v>
      </c>
      <c r="C18" s="4" t="s">
        <v>255</v>
      </c>
      <c r="D18" s="4" t="s">
        <v>28</v>
      </c>
      <c r="E18" s="5">
        <v>26141</v>
      </c>
      <c r="F18" s="6">
        <v>301.2880955</v>
      </c>
      <c r="G18" s="7">
        <v>2.4073958999999999E-2</v>
      </c>
      <c r="H18" s="47"/>
    </row>
    <row r="19" spans="1:8" ht="17.100000000000001" customHeight="1" x14ac:dyDescent="0.2">
      <c r="A19" s="3">
        <v>13</v>
      </c>
      <c r="B19" s="4" t="s">
        <v>265</v>
      </c>
      <c r="C19" s="4" t="s">
        <v>266</v>
      </c>
      <c r="D19" s="4" t="s">
        <v>97</v>
      </c>
      <c r="E19" s="5">
        <v>21498</v>
      </c>
      <c r="F19" s="6">
        <v>254.47182599999999</v>
      </c>
      <c r="G19" s="7">
        <v>2.0333177000000001E-2</v>
      </c>
      <c r="H19" s="47"/>
    </row>
    <row r="20" spans="1:8" ht="17.100000000000001" customHeight="1" x14ac:dyDescent="0.2">
      <c r="A20" s="3">
        <v>14</v>
      </c>
      <c r="B20" s="4" t="s">
        <v>169</v>
      </c>
      <c r="C20" s="4" t="s">
        <v>170</v>
      </c>
      <c r="D20" s="4" t="s">
        <v>171</v>
      </c>
      <c r="E20" s="5">
        <v>23695</v>
      </c>
      <c r="F20" s="6">
        <v>251.23808500000001</v>
      </c>
      <c r="G20" s="7">
        <v>2.0074789999999999E-2</v>
      </c>
      <c r="H20" s="47"/>
    </row>
    <row r="21" spans="1:8" ht="17.100000000000001" customHeight="1" x14ac:dyDescent="0.2">
      <c r="A21" s="3">
        <v>15</v>
      </c>
      <c r="B21" s="4" t="s">
        <v>263</v>
      </c>
      <c r="C21" s="4" t="s">
        <v>264</v>
      </c>
      <c r="D21" s="4" t="s">
        <v>28</v>
      </c>
      <c r="E21" s="5">
        <v>28310</v>
      </c>
      <c r="F21" s="6">
        <v>237.18118000000001</v>
      </c>
      <c r="G21" s="7">
        <v>1.8951595000000002E-2</v>
      </c>
      <c r="H21" s="47"/>
    </row>
    <row r="22" spans="1:8" ht="17.100000000000001" customHeight="1" x14ac:dyDescent="0.2">
      <c r="A22" s="3">
        <v>16</v>
      </c>
      <c r="B22" s="4" t="s">
        <v>172</v>
      </c>
      <c r="C22" s="4" t="s">
        <v>173</v>
      </c>
      <c r="D22" s="4" t="s">
        <v>174</v>
      </c>
      <c r="E22" s="5">
        <v>21555</v>
      </c>
      <c r="F22" s="6">
        <v>233.87174999999999</v>
      </c>
      <c r="G22" s="7">
        <v>1.8687160000000001E-2</v>
      </c>
      <c r="H22" s="47"/>
    </row>
    <row r="23" spans="1:8" ht="17.100000000000001" customHeight="1" x14ac:dyDescent="0.2">
      <c r="A23" s="3">
        <v>17</v>
      </c>
      <c r="B23" s="4" t="s">
        <v>220</v>
      </c>
      <c r="C23" s="4" t="s">
        <v>221</v>
      </c>
      <c r="D23" s="4" t="s">
        <v>91</v>
      </c>
      <c r="E23" s="5">
        <v>30235</v>
      </c>
      <c r="F23" s="6">
        <v>224.85769500000001</v>
      </c>
      <c r="G23" s="7">
        <v>1.7966906000000001E-2</v>
      </c>
      <c r="H23" s="47"/>
    </row>
    <row r="24" spans="1:8" ht="17.100000000000001" customHeight="1" x14ac:dyDescent="0.2">
      <c r="A24" s="3">
        <v>18</v>
      </c>
      <c r="B24" s="4" t="s">
        <v>192</v>
      </c>
      <c r="C24" s="4" t="s">
        <v>193</v>
      </c>
      <c r="D24" s="4" t="s">
        <v>184</v>
      </c>
      <c r="E24" s="5">
        <v>18321</v>
      </c>
      <c r="F24" s="6">
        <v>220.98790199999999</v>
      </c>
      <c r="G24" s="7">
        <v>1.7657696000000001E-2</v>
      </c>
      <c r="H24" s="47"/>
    </row>
    <row r="25" spans="1:8" ht="17.100000000000001" customHeight="1" x14ac:dyDescent="0.2">
      <c r="A25" s="3">
        <v>19</v>
      </c>
      <c r="B25" s="4" t="s">
        <v>189</v>
      </c>
      <c r="C25" s="4" t="s">
        <v>190</v>
      </c>
      <c r="D25" s="4" t="s">
        <v>191</v>
      </c>
      <c r="E25" s="5">
        <v>40028</v>
      </c>
      <c r="F25" s="6">
        <v>207.20494199999999</v>
      </c>
      <c r="G25" s="7">
        <v>1.6556390000000001E-2</v>
      </c>
      <c r="H25" s="47"/>
    </row>
    <row r="26" spans="1:8" ht="17.100000000000001" customHeight="1" x14ac:dyDescent="0.2">
      <c r="A26" s="3">
        <v>20</v>
      </c>
      <c r="B26" s="4" t="s">
        <v>182</v>
      </c>
      <c r="C26" s="4" t="s">
        <v>183</v>
      </c>
      <c r="D26" s="4" t="s">
        <v>184</v>
      </c>
      <c r="E26" s="5">
        <v>14772</v>
      </c>
      <c r="F26" s="6">
        <v>193.210374</v>
      </c>
      <c r="G26" s="7">
        <v>1.5438176E-2</v>
      </c>
      <c r="H26" s="47"/>
    </row>
    <row r="27" spans="1:8" ht="17.100000000000001" customHeight="1" x14ac:dyDescent="0.2">
      <c r="A27" s="3">
        <v>21</v>
      </c>
      <c r="B27" s="4" t="s">
        <v>471</v>
      </c>
      <c r="C27" s="4" t="s">
        <v>472</v>
      </c>
      <c r="D27" s="4" t="s">
        <v>88</v>
      </c>
      <c r="E27" s="5">
        <v>20160</v>
      </c>
      <c r="F27" s="6">
        <v>186.03648000000001</v>
      </c>
      <c r="G27" s="7">
        <v>1.4864957E-2</v>
      </c>
      <c r="H27" s="47"/>
    </row>
    <row r="28" spans="1:8" ht="17.100000000000001" customHeight="1" x14ac:dyDescent="0.2">
      <c r="A28" s="3">
        <v>22</v>
      </c>
      <c r="B28" s="4" t="s">
        <v>477</v>
      </c>
      <c r="C28" s="4" t="s">
        <v>478</v>
      </c>
      <c r="D28" s="4" t="s">
        <v>91</v>
      </c>
      <c r="E28" s="5">
        <v>17966</v>
      </c>
      <c r="F28" s="6">
        <v>182.498628</v>
      </c>
      <c r="G28" s="7">
        <v>1.458227E-2</v>
      </c>
      <c r="H28" s="47"/>
    </row>
    <row r="29" spans="1:8" ht="17.100000000000001" customHeight="1" x14ac:dyDescent="0.2">
      <c r="A29" s="3">
        <v>23</v>
      </c>
      <c r="B29" s="4" t="s">
        <v>481</v>
      </c>
      <c r="C29" s="4" t="s">
        <v>482</v>
      </c>
      <c r="D29" s="4" t="s">
        <v>28</v>
      </c>
      <c r="E29" s="5">
        <v>36323</v>
      </c>
      <c r="F29" s="6">
        <v>182.15984499999999</v>
      </c>
      <c r="G29" s="7">
        <v>1.4555200000000001E-2</v>
      </c>
      <c r="H29" s="47"/>
    </row>
    <row r="30" spans="1:8" ht="29.1" customHeight="1" x14ac:dyDescent="0.2">
      <c r="A30" s="3">
        <v>24</v>
      </c>
      <c r="B30" s="4" t="s">
        <v>179</v>
      </c>
      <c r="C30" s="4" t="s">
        <v>180</v>
      </c>
      <c r="D30" s="4" t="s">
        <v>181</v>
      </c>
      <c r="E30" s="5">
        <v>28411</v>
      </c>
      <c r="F30" s="6">
        <v>174.34410149999999</v>
      </c>
      <c r="G30" s="7">
        <v>1.3930695E-2</v>
      </c>
      <c r="H30" s="47"/>
    </row>
    <row r="31" spans="1:8" ht="29.1" customHeight="1" x14ac:dyDescent="0.2">
      <c r="A31" s="3">
        <v>25</v>
      </c>
      <c r="B31" s="4" t="s">
        <v>230</v>
      </c>
      <c r="C31" s="4" t="s">
        <v>231</v>
      </c>
      <c r="D31" s="4" t="s">
        <v>204</v>
      </c>
      <c r="E31" s="5">
        <v>46637</v>
      </c>
      <c r="F31" s="6">
        <v>171.18110849999999</v>
      </c>
      <c r="G31" s="7">
        <v>1.3677961000000001E-2</v>
      </c>
      <c r="H31" s="47"/>
    </row>
    <row r="32" spans="1:8" ht="17.100000000000001" customHeight="1" x14ac:dyDescent="0.2">
      <c r="A32" s="3">
        <v>26</v>
      </c>
      <c r="B32" s="4" t="s">
        <v>473</v>
      </c>
      <c r="C32" s="4" t="s">
        <v>474</v>
      </c>
      <c r="D32" s="4" t="s">
        <v>45</v>
      </c>
      <c r="E32" s="5">
        <v>25232</v>
      </c>
      <c r="F32" s="6">
        <v>170.32861600000001</v>
      </c>
      <c r="G32" s="7">
        <v>1.3609843999999999E-2</v>
      </c>
      <c r="H32" s="47"/>
    </row>
    <row r="33" spans="1:8" ht="17.100000000000001" customHeight="1" x14ac:dyDescent="0.2">
      <c r="A33" s="3">
        <v>27</v>
      </c>
      <c r="B33" s="4" t="s">
        <v>187</v>
      </c>
      <c r="C33" s="4" t="s">
        <v>188</v>
      </c>
      <c r="D33" s="4" t="s">
        <v>91</v>
      </c>
      <c r="E33" s="5">
        <v>38223</v>
      </c>
      <c r="F33" s="6">
        <v>162.96376050000001</v>
      </c>
      <c r="G33" s="7">
        <v>1.3021367000000001E-2</v>
      </c>
      <c r="H33" s="47"/>
    </row>
    <row r="34" spans="1:8" ht="29.1" customHeight="1" x14ac:dyDescent="0.2">
      <c r="A34" s="3">
        <v>28</v>
      </c>
      <c r="B34" s="4" t="s">
        <v>499</v>
      </c>
      <c r="C34" s="4" t="s">
        <v>500</v>
      </c>
      <c r="D34" s="4" t="s">
        <v>204</v>
      </c>
      <c r="E34" s="5">
        <v>2436</v>
      </c>
      <c r="F34" s="6">
        <v>156.81506400000001</v>
      </c>
      <c r="G34" s="7">
        <v>1.2530065E-2</v>
      </c>
      <c r="H34" s="47"/>
    </row>
    <row r="35" spans="1:8" ht="29.1" customHeight="1" x14ac:dyDescent="0.2">
      <c r="A35" s="3">
        <v>29</v>
      </c>
      <c r="B35" s="4" t="s">
        <v>202</v>
      </c>
      <c r="C35" s="4" t="s">
        <v>203</v>
      </c>
      <c r="D35" s="4" t="s">
        <v>204</v>
      </c>
      <c r="E35" s="5">
        <v>33409</v>
      </c>
      <c r="F35" s="6">
        <v>155.251623</v>
      </c>
      <c r="G35" s="7">
        <v>1.2405141E-2</v>
      </c>
      <c r="H35" s="47"/>
    </row>
    <row r="36" spans="1:8" ht="17.100000000000001" customHeight="1" x14ac:dyDescent="0.2">
      <c r="A36" s="3">
        <v>30</v>
      </c>
      <c r="B36" s="4" t="s">
        <v>185</v>
      </c>
      <c r="C36" s="4" t="s">
        <v>186</v>
      </c>
      <c r="D36" s="4" t="s">
        <v>88</v>
      </c>
      <c r="E36" s="5">
        <v>29252</v>
      </c>
      <c r="F36" s="6">
        <v>153.77776399999999</v>
      </c>
      <c r="G36" s="7">
        <v>1.2287374E-2</v>
      </c>
      <c r="H36" s="47"/>
    </row>
    <row r="37" spans="1:8" ht="29.1" customHeight="1" x14ac:dyDescent="0.2">
      <c r="A37" s="3">
        <v>31</v>
      </c>
      <c r="B37" s="4" t="s">
        <v>275</v>
      </c>
      <c r="C37" s="4" t="s">
        <v>276</v>
      </c>
      <c r="D37" s="4" t="s">
        <v>238</v>
      </c>
      <c r="E37" s="5">
        <v>28703</v>
      </c>
      <c r="F37" s="6">
        <v>152.29811799999999</v>
      </c>
      <c r="G37" s="7">
        <v>1.2169144999999999E-2</v>
      </c>
      <c r="H37" s="47"/>
    </row>
    <row r="38" spans="1:8" ht="17.100000000000001" customHeight="1" x14ac:dyDescent="0.2">
      <c r="A38" s="3">
        <v>32</v>
      </c>
      <c r="B38" s="4" t="s">
        <v>267</v>
      </c>
      <c r="C38" s="4" t="s">
        <v>268</v>
      </c>
      <c r="D38" s="4" t="s">
        <v>171</v>
      </c>
      <c r="E38" s="5">
        <v>19892</v>
      </c>
      <c r="F38" s="6">
        <v>150.51281800000001</v>
      </c>
      <c r="G38" s="7">
        <v>1.2026494E-2</v>
      </c>
      <c r="H38" s="47"/>
    </row>
    <row r="39" spans="1:8" ht="29.1" customHeight="1" x14ac:dyDescent="0.2">
      <c r="A39" s="3">
        <v>33</v>
      </c>
      <c r="B39" s="4" t="s">
        <v>196</v>
      </c>
      <c r="C39" s="4" t="s">
        <v>197</v>
      </c>
      <c r="D39" s="4" t="s">
        <v>198</v>
      </c>
      <c r="E39" s="5">
        <v>11589</v>
      </c>
      <c r="F39" s="6">
        <v>147.3251625</v>
      </c>
      <c r="G39" s="7">
        <v>1.1771789E-2</v>
      </c>
      <c r="H39" s="47"/>
    </row>
    <row r="40" spans="1:8" ht="17.100000000000001" customHeight="1" x14ac:dyDescent="0.2">
      <c r="A40" s="3">
        <v>34</v>
      </c>
      <c r="B40" s="4" t="s">
        <v>194</v>
      </c>
      <c r="C40" s="4" t="s">
        <v>195</v>
      </c>
      <c r="D40" s="4" t="s">
        <v>174</v>
      </c>
      <c r="E40" s="5">
        <v>28472</v>
      </c>
      <c r="F40" s="6">
        <v>141.59125599999999</v>
      </c>
      <c r="G40" s="7">
        <v>1.131363E-2</v>
      </c>
      <c r="H40" s="47"/>
    </row>
    <row r="41" spans="1:8" ht="29.1" customHeight="1" x14ac:dyDescent="0.2">
      <c r="A41" s="3">
        <v>35</v>
      </c>
      <c r="B41" s="4" t="s">
        <v>256</v>
      </c>
      <c r="C41" s="4" t="s">
        <v>257</v>
      </c>
      <c r="D41" s="4" t="s">
        <v>88</v>
      </c>
      <c r="E41" s="5">
        <v>9500</v>
      </c>
      <c r="F41" s="6">
        <v>140.71875</v>
      </c>
      <c r="G41" s="7">
        <v>1.1243914000000001E-2</v>
      </c>
      <c r="H41" s="47"/>
    </row>
    <row r="42" spans="1:8" ht="17.100000000000001" customHeight="1" x14ac:dyDescent="0.2">
      <c r="A42" s="3">
        <v>36</v>
      </c>
      <c r="B42" s="4" t="s">
        <v>467</v>
      </c>
      <c r="C42" s="4" t="s">
        <v>468</v>
      </c>
      <c r="D42" s="4" t="s">
        <v>28</v>
      </c>
      <c r="E42" s="5">
        <v>20871</v>
      </c>
      <c r="F42" s="6">
        <v>139.03216649999999</v>
      </c>
      <c r="G42" s="7">
        <v>1.110915E-2</v>
      </c>
      <c r="H42" s="47"/>
    </row>
    <row r="43" spans="1:8" ht="17.100000000000001" customHeight="1" x14ac:dyDescent="0.2">
      <c r="A43" s="3">
        <v>37</v>
      </c>
      <c r="B43" s="4" t="s">
        <v>32</v>
      </c>
      <c r="C43" s="4" t="s">
        <v>33</v>
      </c>
      <c r="D43" s="4" t="s">
        <v>28</v>
      </c>
      <c r="E43" s="5">
        <v>3907</v>
      </c>
      <c r="F43" s="6">
        <v>138.02844949999999</v>
      </c>
      <c r="G43" s="7">
        <v>1.1028949999999999E-2</v>
      </c>
      <c r="H43" s="47"/>
    </row>
    <row r="44" spans="1:8" ht="17.100000000000001" customHeight="1" x14ac:dyDescent="0.2">
      <c r="A44" s="3">
        <v>38</v>
      </c>
      <c r="B44" s="4" t="s">
        <v>475</v>
      </c>
      <c r="C44" s="4" t="s">
        <v>476</v>
      </c>
      <c r="D44" s="4" t="s">
        <v>28</v>
      </c>
      <c r="E44" s="5">
        <v>19126</v>
      </c>
      <c r="F44" s="6">
        <v>137.114294</v>
      </c>
      <c r="G44" s="7">
        <v>1.0955905E-2</v>
      </c>
      <c r="H44" s="47"/>
    </row>
    <row r="45" spans="1:8" ht="29.1" customHeight="1" x14ac:dyDescent="0.2">
      <c r="A45" s="3">
        <v>39</v>
      </c>
      <c r="B45" s="4" t="s">
        <v>224</v>
      </c>
      <c r="C45" s="4" t="s">
        <v>225</v>
      </c>
      <c r="D45" s="4" t="s">
        <v>181</v>
      </c>
      <c r="E45" s="5">
        <v>29888</v>
      </c>
      <c r="F45" s="6">
        <v>135.661632</v>
      </c>
      <c r="G45" s="7">
        <v>1.0839833E-2</v>
      </c>
      <c r="H45" s="47"/>
    </row>
    <row r="46" spans="1:8" ht="17.100000000000001" customHeight="1" x14ac:dyDescent="0.2">
      <c r="A46" s="3">
        <v>40</v>
      </c>
      <c r="B46" s="4" t="s">
        <v>271</v>
      </c>
      <c r="C46" s="4" t="s">
        <v>272</v>
      </c>
      <c r="D46" s="4" t="s">
        <v>94</v>
      </c>
      <c r="E46" s="5">
        <v>7197</v>
      </c>
      <c r="F46" s="6">
        <v>132.518361</v>
      </c>
      <c r="G46" s="7">
        <v>1.0588673999999999E-2</v>
      </c>
      <c r="H46" s="47"/>
    </row>
    <row r="47" spans="1:8" ht="17.100000000000001" customHeight="1" x14ac:dyDescent="0.2">
      <c r="A47" s="3">
        <v>41</v>
      </c>
      <c r="B47" s="4" t="s">
        <v>501</v>
      </c>
      <c r="C47" s="4" t="s">
        <v>502</v>
      </c>
      <c r="D47" s="4" t="s">
        <v>88</v>
      </c>
      <c r="E47" s="5">
        <v>8109</v>
      </c>
      <c r="F47" s="6">
        <v>126.5693265</v>
      </c>
      <c r="G47" s="7">
        <v>1.0113326000000001E-2</v>
      </c>
      <c r="H47" s="47"/>
    </row>
    <row r="48" spans="1:8" ht="29.1" customHeight="1" x14ac:dyDescent="0.2">
      <c r="A48" s="3">
        <v>42</v>
      </c>
      <c r="B48" s="4" t="s">
        <v>205</v>
      </c>
      <c r="C48" s="4" t="s">
        <v>206</v>
      </c>
      <c r="D48" s="4" t="s">
        <v>204</v>
      </c>
      <c r="E48" s="5">
        <v>7795</v>
      </c>
      <c r="F48" s="6">
        <v>122.58806749999999</v>
      </c>
      <c r="G48" s="7">
        <v>9.7952100000000004E-3</v>
      </c>
      <c r="H48" s="47"/>
    </row>
    <row r="49" spans="1:8" ht="29.1" customHeight="1" x14ac:dyDescent="0.2">
      <c r="A49" s="3">
        <v>43</v>
      </c>
      <c r="B49" s="4" t="s">
        <v>390</v>
      </c>
      <c r="C49" s="4" t="s">
        <v>391</v>
      </c>
      <c r="D49" s="4" t="s">
        <v>201</v>
      </c>
      <c r="E49" s="5">
        <v>19852</v>
      </c>
      <c r="F49" s="6">
        <v>121.117052</v>
      </c>
      <c r="G49" s="7">
        <v>9.6776710000000005E-3</v>
      </c>
      <c r="H49" s="47"/>
    </row>
    <row r="50" spans="1:8" ht="17.100000000000001" customHeight="1" x14ac:dyDescent="0.2">
      <c r="A50" s="3">
        <v>44</v>
      </c>
      <c r="B50" s="4" t="s">
        <v>210</v>
      </c>
      <c r="C50" s="4" t="s">
        <v>211</v>
      </c>
      <c r="D50" s="4" t="s">
        <v>16</v>
      </c>
      <c r="E50" s="5">
        <v>54899</v>
      </c>
      <c r="F50" s="6">
        <v>119.240628</v>
      </c>
      <c r="G50" s="7">
        <v>9.5277379999999991E-3</v>
      </c>
      <c r="H50" s="47"/>
    </row>
    <row r="51" spans="1:8" ht="29.1" customHeight="1" x14ac:dyDescent="0.2">
      <c r="A51" s="3">
        <v>45</v>
      </c>
      <c r="B51" s="4" t="s">
        <v>236</v>
      </c>
      <c r="C51" s="4" t="s">
        <v>237</v>
      </c>
      <c r="D51" s="4" t="s">
        <v>238</v>
      </c>
      <c r="E51" s="5">
        <v>30368</v>
      </c>
      <c r="F51" s="6">
        <v>116.446096</v>
      </c>
      <c r="G51" s="7">
        <v>9.3044449999999997E-3</v>
      </c>
      <c r="H51" s="47"/>
    </row>
    <row r="52" spans="1:8" ht="29.1" customHeight="1" x14ac:dyDescent="0.2">
      <c r="A52" s="3">
        <v>46</v>
      </c>
      <c r="B52" s="4" t="s">
        <v>290</v>
      </c>
      <c r="C52" s="4" t="s">
        <v>291</v>
      </c>
      <c r="D52" s="4" t="s">
        <v>292</v>
      </c>
      <c r="E52" s="5">
        <v>36994</v>
      </c>
      <c r="F52" s="6">
        <v>113.682562</v>
      </c>
      <c r="G52" s="7">
        <v>9.0836289999999993E-3</v>
      </c>
      <c r="H52" s="47"/>
    </row>
    <row r="53" spans="1:8" ht="29.1" customHeight="1" x14ac:dyDescent="0.2">
      <c r="A53" s="3">
        <v>47</v>
      </c>
      <c r="B53" s="4" t="s">
        <v>212</v>
      </c>
      <c r="C53" s="4" t="s">
        <v>213</v>
      </c>
      <c r="D53" s="4" t="s">
        <v>214</v>
      </c>
      <c r="E53" s="5">
        <v>119858</v>
      </c>
      <c r="F53" s="6">
        <v>112.66652000000001</v>
      </c>
      <c r="G53" s="7">
        <v>9.0024440000000001E-3</v>
      </c>
      <c r="H53" s="47"/>
    </row>
    <row r="54" spans="1:8" ht="17.100000000000001" customHeight="1" x14ac:dyDescent="0.2">
      <c r="A54" s="3">
        <v>48</v>
      </c>
      <c r="B54" s="4" t="s">
        <v>269</v>
      </c>
      <c r="C54" s="4" t="s">
        <v>270</v>
      </c>
      <c r="D54" s="4" t="s">
        <v>91</v>
      </c>
      <c r="E54" s="5">
        <v>214883</v>
      </c>
      <c r="F54" s="6">
        <v>105.61499449999999</v>
      </c>
      <c r="G54" s="7">
        <v>8.4390030000000005E-3</v>
      </c>
      <c r="H54" s="47"/>
    </row>
    <row r="55" spans="1:8" ht="53.1" customHeight="1" x14ac:dyDescent="0.2">
      <c r="A55" s="3">
        <v>49</v>
      </c>
      <c r="B55" s="4" t="s">
        <v>422</v>
      </c>
      <c r="C55" s="4" t="s">
        <v>423</v>
      </c>
      <c r="D55" s="4" t="s">
        <v>62</v>
      </c>
      <c r="E55" s="5">
        <v>50508</v>
      </c>
      <c r="F55" s="6">
        <v>105.05664</v>
      </c>
      <c r="G55" s="7">
        <v>8.3943879999999992E-3</v>
      </c>
      <c r="H55" s="47"/>
    </row>
    <row r="56" spans="1:8" ht="17.100000000000001" customHeight="1" x14ac:dyDescent="0.2">
      <c r="A56" s="3">
        <v>50</v>
      </c>
      <c r="B56" s="4" t="s">
        <v>483</v>
      </c>
      <c r="C56" s="4" t="s">
        <v>484</v>
      </c>
      <c r="D56" s="4" t="s">
        <v>303</v>
      </c>
      <c r="E56" s="5">
        <v>14087</v>
      </c>
      <c r="F56" s="6">
        <v>104.43397450000001</v>
      </c>
      <c r="G56" s="7">
        <v>8.3446349999999996E-3</v>
      </c>
      <c r="H56" s="47"/>
    </row>
    <row r="57" spans="1:8" ht="17.100000000000001" customHeight="1" x14ac:dyDescent="0.2">
      <c r="A57" s="3">
        <v>51</v>
      </c>
      <c r="B57" s="4" t="s">
        <v>281</v>
      </c>
      <c r="C57" s="4" t="s">
        <v>282</v>
      </c>
      <c r="D57" s="4" t="s">
        <v>94</v>
      </c>
      <c r="E57" s="5">
        <v>16139</v>
      </c>
      <c r="F57" s="6">
        <v>101.2157385</v>
      </c>
      <c r="G57" s="7">
        <v>8.0874870000000008E-3</v>
      </c>
      <c r="H57" s="47"/>
    </row>
    <row r="58" spans="1:8" ht="17.100000000000001" customHeight="1" x14ac:dyDescent="0.2">
      <c r="A58" s="3">
        <v>52</v>
      </c>
      <c r="B58" s="4" t="s">
        <v>493</v>
      </c>
      <c r="C58" s="4" t="s">
        <v>494</v>
      </c>
      <c r="D58" s="4" t="s">
        <v>28</v>
      </c>
      <c r="E58" s="5">
        <v>9598</v>
      </c>
      <c r="F58" s="6">
        <v>98.753822</v>
      </c>
      <c r="G58" s="7">
        <v>7.8907709999999995E-3</v>
      </c>
      <c r="H58" s="47"/>
    </row>
    <row r="59" spans="1:8" ht="17.100000000000001" customHeight="1" x14ac:dyDescent="0.2">
      <c r="A59" s="3">
        <v>53</v>
      </c>
      <c r="B59" s="4" t="s">
        <v>244</v>
      </c>
      <c r="C59" s="4" t="s">
        <v>245</v>
      </c>
      <c r="D59" s="4" t="s">
        <v>88</v>
      </c>
      <c r="E59" s="5">
        <v>51244</v>
      </c>
      <c r="F59" s="6">
        <v>97.209868</v>
      </c>
      <c r="G59" s="7">
        <v>7.7674040000000003E-3</v>
      </c>
      <c r="H59" s="47"/>
    </row>
    <row r="60" spans="1:8" ht="41.1" customHeight="1" x14ac:dyDescent="0.2">
      <c r="A60" s="3">
        <v>54</v>
      </c>
      <c r="B60" s="4" t="s">
        <v>283</v>
      </c>
      <c r="C60" s="4" t="s">
        <v>284</v>
      </c>
      <c r="D60" s="4" t="s">
        <v>285</v>
      </c>
      <c r="E60" s="5">
        <v>12942</v>
      </c>
      <c r="F60" s="6">
        <v>92.561183999999997</v>
      </c>
      <c r="G60" s="7">
        <v>7.3959580000000002E-3</v>
      </c>
      <c r="H60" s="47"/>
    </row>
    <row r="61" spans="1:8" ht="17.100000000000001" customHeight="1" x14ac:dyDescent="0.2">
      <c r="A61" s="3">
        <v>55</v>
      </c>
      <c r="B61" s="4" t="s">
        <v>288</v>
      </c>
      <c r="C61" s="4" t="s">
        <v>289</v>
      </c>
      <c r="D61" s="4" t="s">
        <v>19</v>
      </c>
      <c r="E61" s="5">
        <v>45602</v>
      </c>
      <c r="F61" s="6">
        <v>88.057462000000001</v>
      </c>
      <c r="G61" s="7">
        <v>7.036095E-3</v>
      </c>
      <c r="H61" s="47"/>
    </row>
    <row r="62" spans="1:8" ht="17.100000000000001" customHeight="1" x14ac:dyDescent="0.2">
      <c r="A62" s="3">
        <v>56</v>
      </c>
      <c r="B62" s="4" t="s">
        <v>248</v>
      </c>
      <c r="C62" s="4" t="s">
        <v>249</v>
      </c>
      <c r="D62" s="4" t="s">
        <v>174</v>
      </c>
      <c r="E62" s="5">
        <v>63181</v>
      </c>
      <c r="F62" s="6">
        <v>84.536178000000007</v>
      </c>
      <c r="G62" s="7">
        <v>6.7547320000000003E-3</v>
      </c>
      <c r="H62" s="47"/>
    </row>
    <row r="63" spans="1:8" ht="29.1" customHeight="1" x14ac:dyDescent="0.2">
      <c r="A63" s="3">
        <v>57</v>
      </c>
      <c r="B63" s="4" t="s">
        <v>503</v>
      </c>
      <c r="C63" s="4" t="s">
        <v>504</v>
      </c>
      <c r="D63" s="4" t="s">
        <v>204</v>
      </c>
      <c r="E63" s="5">
        <v>2024</v>
      </c>
      <c r="F63" s="6">
        <v>82.586284000000006</v>
      </c>
      <c r="G63" s="7">
        <v>6.5989289999999999E-3</v>
      </c>
      <c r="H63" s="47"/>
    </row>
    <row r="64" spans="1:8" ht="17.100000000000001" customHeight="1" x14ac:dyDescent="0.2">
      <c r="A64" s="3">
        <v>58</v>
      </c>
      <c r="B64" s="4" t="s">
        <v>246</v>
      </c>
      <c r="C64" s="4" t="s">
        <v>247</v>
      </c>
      <c r="D64" s="4" t="s">
        <v>94</v>
      </c>
      <c r="E64" s="5">
        <v>15982</v>
      </c>
      <c r="F64" s="6">
        <v>80.253613000000001</v>
      </c>
      <c r="G64" s="7">
        <v>6.4125409999999999E-3</v>
      </c>
      <c r="H64" s="47"/>
    </row>
    <row r="65" spans="1:8" ht="29.1" customHeight="1" x14ac:dyDescent="0.2">
      <c r="A65" s="3">
        <v>59</v>
      </c>
      <c r="B65" s="4" t="s">
        <v>505</v>
      </c>
      <c r="C65" s="4" t="s">
        <v>506</v>
      </c>
      <c r="D65" s="4" t="s">
        <v>59</v>
      </c>
      <c r="E65" s="5">
        <v>103230</v>
      </c>
      <c r="F65" s="6">
        <v>79.590329999999994</v>
      </c>
      <c r="G65" s="7">
        <v>6.3595420000000001E-3</v>
      </c>
      <c r="H65" s="47"/>
    </row>
    <row r="66" spans="1:8" ht="17.100000000000001" customHeight="1" x14ac:dyDescent="0.2">
      <c r="A66" s="3">
        <v>60</v>
      </c>
      <c r="B66" s="4" t="s">
        <v>239</v>
      </c>
      <c r="C66" s="4" t="s">
        <v>240</v>
      </c>
      <c r="D66" s="4" t="s">
        <v>88</v>
      </c>
      <c r="E66" s="5">
        <v>11620</v>
      </c>
      <c r="F66" s="6">
        <v>66.600030000000004</v>
      </c>
      <c r="G66" s="7">
        <v>5.3215720000000001E-3</v>
      </c>
      <c r="H66" s="47"/>
    </row>
    <row r="67" spans="1:8" ht="17.100000000000001" customHeight="1" x14ac:dyDescent="0.2">
      <c r="A67" s="3">
        <v>61</v>
      </c>
      <c r="B67" s="4" t="s">
        <v>234</v>
      </c>
      <c r="C67" s="4" t="s">
        <v>235</v>
      </c>
      <c r="D67" s="4" t="s">
        <v>114</v>
      </c>
      <c r="E67" s="5">
        <v>9697</v>
      </c>
      <c r="F67" s="6">
        <v>65.377173999999997</v>
      </c>
      <c r="G67" s="7">
        <v>5.2238620000000001E-3</v>
      </c>
      <c r="H67" s="47"/>
    </row>
    <row r="68" spans="1:8" ht="29.1" customHeight="1" x14ac:dyDescent="0.2">
      <c r="A68" s="3">
        <v>62</v>
      </c>
      <c r="B68" s="4" t="s">
        <v>250</v>
      </c>
      <c r="C68" s="4" t="s">
        <v>251</v>
      </c>
      <c r="D68" s="4" t="s">
        <v>204</v>
      </c>
      <c r="E68" s="5">
        <v>1438</v>
      </c>
      <c r="F68" s="6">
        <v>60.264423000000001</v>
      </c>
      <c r="G68" s="7">
        <v>4.8153349999999996E-3</v>
      </c>
      <c r="H68" s="47"/>
    </row>
    <row r="69" spans="1:8" ht="17.100000000000001" customHeight="1" x14ac:dyDescent="0.2">
      <c r="A69" s="3">
        <v>63</v>
      </c>
      <c r="B69" s="4" t="s">
        <v>479</v>
      </c>
      <c r="C69" s="4" t="s">
        <v>480</v>
      </c>
      <c r="D69" s="4" t="s">
        <v>88</v>
      </c>
      <c r="E69" s="5">
        <v>5957</v>
      </c>
      <c r="F69" s="6">
        <v>53.836387500000001</v>
      </c>
      <c r="G69" s="7">
        <v>4.3017130000000004E-3</v>
      </c>
      <c r="H69" s="47"/>
    </row>
    <row r="70" spans="1:8" ht="29.1" customHeight="1" x14ac:dyDescent="0.2">
      <c r="A70" s="3">
        <v>64</v>
      </c>
      <c r="B70" s="4" t="s">
        <v>277</v>
      </c>
      <c r="C70" s="4" t="s">
        <v>278</v>
      </c>
      <c r="D70" s="4" t="s">
        <v>201</v>
      </c>
      <c r="E70" s="5">
        <v>10835</v>
      </c>
      <c r="F70" s="6">
        <v>50.940752500000002</v>
      </c>
      <c r="G70" s="7">
        <v>4.0703420000000002E-3</v>
      </c>
      <c r="H70" s="47"/>
    </row>
    <row r="71" spans="1:8" ht="29.1" customHeight="1" x14ac:dyDescent="0.2">
      <c r="A71" s="3">
        <v>65</v>
      </c>
      <c r="B71" s="4" t="s">
        <v>286</v>
      </c>
      <c r="C71" s="4" t="s">
        <v>287</v>
      </c>
      <c r="D71" s="4" t="s">
        <v>204</v>
      </c>
      <c r="E71" s="5">
        <v>23079</v>
      </c>
      <c r="F71" s="6">
        <v>50.450693999999999</v>
      </c>
      <c r="G71" s="7">
        <v>4.0311849999999996E-3</v>
      </c>
      <c r="H71" s="47"/>
    </row>
    <row r="72" spans="1:8" ht="17.100000000000001" customHeight="1" x14ac:dyDescent="0.2">
      <c r="A72" s="3">
        <v>66</v>
      </c>
      <c r="B72" s="4" t="s">
        <v>252</v>
      </c>
      <c r="C72" s="4" t="s">
        <v>253</v>
      </c>
      <c r="D72" s="4" t="s">
        <v>97</v>
      </c>
      <c r="E72" s="5">
        <v>72875</v>
      </c>
      <c r="F72" s="6">
        <v>47.550937500000003</v>
      </c>
      <c r="G72" s="7">
        <v>3.7994840000000001E-3</v>
      </c>
      <c r="H72" s="47"/>
    </row>
    <row r="73" spans="1:8" ht="17.100000000000001" customHeight="1" x14ac:dyDescent="0.2">
      <c r="A73" s="3">
        <v>67</v>
      </c>
      <c r="B73" s="4" t="s">
        <v>489</v>
      </c>
      <c r="C73" s="4" t="s">
        <v>490</v>
      </c>
      <c r="D73" s="4" t="s">
        <v>312</v>
      </c>
      <c r="E73" s="5">
        <v>7010</v>
      </c>
      <c r="F73" s="6">
        <v>41.506210000000003</v>
      </c>
      <c r="G73" s="7">
        <v>3.3164890000000002E-3</v>
      </c>
      <c r="H73" s="47"/>
    </row>
    <row r="74" spans="1:8" ht="17.100000000000001" customHeight="1" x14ac:dyDescent="0.2">
      <c r="A74" s="3">
        <v>68</v>
      </c>
      <c r="B74" s="4" t="s">
        <v>226</v>
      </c>
      <c r="C74" s="4" t="s">
        <v>227</v>
      </c>
      <c r="D74" s="4" t="s">
        <v>13</v>
      </c>
      <c r="E74" s="5">
        <v>47153</v>
      </c>
      <c r="F74" s="6">
        <v>34.492419499999997</v>
      </c>
      <c r="G74" s="7">
        <v>2.756063E-3</v>
      </c>
      <c r="H74" s="47"/>
    </row>
    <row r="75" spans="1:8" ht="14.1" customHeight="1" x14ac:dyDescent="0.2">
      <c r="A75" s="1"/>
      <c r="B75" s="1"/>
      <c r="C75" s="2" t="s">
        <v>122</v>
      </c>
      <c r="D75" s="1"/>
      <c r="E75" s="1" t="s">
        <v>123</v>
      </c>
      <c r="F75" s="9">
        <v>11713.0723165</v>
      </c>
      <c r="G75" s="10">
        <v>0.93591490499999996</v>
      </c>
      <c r="H75" s="47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47"/>
    </row>
    <row r="77" spans="1:8" ht="14.1" customHeight="1" x14ac:dyDescent="0.2">
      <c r="A77" s="1"/>
      <c r="B77" s="1"/>
      <c r="C77" s="2" t="s">
        <v>124</v>
      </c>
      <c r="D77" s="1"/>
      <c r="E77" s="1"/>
      <c r="F77" s="1"/>
      <c r="G77" s="1"/>
      <c r="H77" s="47"/>
    </row>
    <row r="78" spans="1:8" ht="14.1" customHeight="1" x14ac:dyDescent="0.2">
      <c r="A78" s="1"/>
      <c r="B78" s="1"/>
      <c r="C78" s="2" t="s">
        <v>122</v>
      </c>
      <c r="D78" s="1"/>
      <c r="E78" s="1" t="s">
        <v>123</v>
      </c>
      <c r="F78" s="13">
        <v>0</v>
      </c>
      <c r="G78" s="14">
        <v>0</v>
      </c>
      <c r="H78" s="47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125</v>
      </c>
      <c r="D80" s="1"/>
      <c r="E80" s="1"/>
      <c r="F80" s="1"/>
      <c r="G80" s="1"/>
      <c r="H80" s="47"/>
    </row>
    <row r="81" spans="1:8" ht="14.1" customHeight="1" x14ac:dyDescent="0.2">
      <c r="A81" s="1"/>
      <c r="B81" s="1"/>
      <c r="C81" s="2" t="s">
        <v>122</v>
      </c>
      <c r="D81" s="1"/>
      <c r="E81" s="1" t="s">
        <v>123</v>
      </c>
      <c r="F81" s="13">
        <v>0</v>
      </c>
      <c r="G81" s="14">
        <v>0</v>
      </c>
      <c r="H81" s="47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126</v>
      </c>
      <c r="D83" s="1"/>
      <c r="E83" s="1"/>
      <c r="F83" s="1"/>
      <c r="G83" s="1"/>
      <c r="H83" s="47"/>
    </row>
    <row r="84" spans="1:8" ht="14.1" customHeight="1" x14ac:dyDescent="0.2">
      <c r="A84" s="1"/>
      <c r="B84" s="1"/>
      <c r="C84" s="2" t="s">
        <v>122</v>
      </c>
      <c r="D84" s="1"/>
      <c r="E84" s="1" t="s">
        <v>123</v>
      </c>
      <c r="F84" s="13">
        <v>0</v>
      </c>
      <c r="G84" s="14">
        <v>0</v>
      </c>
      <c r="H84" s="47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127</v>
      </c>
      <c r="D86" s="1"/>
      <c r="E86" s="1"/>
      <c r="F86" s="12"/>
      <c r="G86" s="12"/>
      <c r="H86" s="47"/>
    </row>
    <row r="87" spans="1:8" ht="14.1" customHeight="1" x14ac:dyDescent="0.2">
      <c r="A87" s="1"/>
      <c r="B87" s="1"/>
      <c r="C87" s="2" t="s">
        <v>122</v>
      </c>
      <c r="D87" s="1"/>
      <c r="E87" s="1" t="s">
        <v>123</v>
      </c>
      <c r="F87" s="13">
        <v>0</v>
      </c>
      <c r="G87" s="14">
        <v>0</v>
      </c>
      <c r="H87" s="47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128</v>
      </c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122</v>
      </c>
      <c r="D90" s="1"/>
      <c r="E90" s="1" t="s">
        <v>123</v>
      </c>
      <c r="F90" s="13">
        <v>0</v>
      </c>
      <c r="G90" s="14">
        <v>0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8" customHeight="1" x14ac:dyDescent="0.2">
      <c r="A92" s="1"/>
      <c r="B92" s="1"/>
      <c r="C92" s="2" t="s">
        <v>129</v>
      </c>
      <c r="D92" s="1"/>
      <c r="E92" s="1"/>
      <c r="F92" s="9">
        <v>11713.0723165</v>
      </c>
      <c r="G92" s="10">
        <v>0.93591490499999996</v>
      </c>
      <c r="H92" s="47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47"/>
    </row>
    <row r="94" spans="1:8" ht="14.1" customHeight="1" x14ac:dyDescent="0.2">
      <c r="A94" s="1"/>
      <c r="B94" s="1"/>
      <c r="C94" s="2" t="s">
        <v>130</v>
      </c>
      <c r="D94" s="1"/>
      <c r="E94" s="1"/>
      <c r="F94" s="12"/>
      <c r="G94" s="12"/>
      <c r="H94" s="47"/>
    </row>
    <row r="95" spans="1:8" ht="24" customHeight="1" x14ac:dyDescent="0.2">
      <c r="A95" s="1"/>
      <c r="B95" s="1"/>
      <c r="C95" s="2" t="s">
        <v>10</v>
      </c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122</v>
      </c>
      <c r="D96" s="1"/>
      <c r="E96" s="1" t="s">
        <v>123</v>
      </c>
      <c r="F96" s="13">
        <v>0</v>
      </c>
      <c r="G96" s="14">
        <v>0</v>
      </c>
      <c r="H96" s="47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131</v>
      </c>
      <c r="D98" s="1"/>
      <c r="E98" s="1"/>
      <c r="F98" s="1"/>
      <c r="G98" s="1"/>
      <c r="H98" s="47"/>
    </row>
    <row r="99" spans="1:8" ht="14.1" customHeight="1" x14ac:dyDescent="0.2">
      <c r="A99" s="1"/>
      <c r="B99" s="1"/>
      <c r="C99" s="2" t="s">
        <v>122</v>
      </c>
      <c r="D99" s="1"/>
      <c r="E99" s="1" t="s">
        <v>123</v>
      </c>
      <c r="F99" s="13">
        <v>0</v>
      </c>
      <c r="G99" s="14">
        <v>0</v>
      </c>
      <c r="H99" s="47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47"/>
    </row>
    <row r="101" spans="1:8" ht="14.1" customHeight="1" x14ac:dyDescent="0.2">
      <c r="A101" s="1"/>
      <c r="B101" s="1"/>
      <c r="C101" s="2" t="s">
        <v>132</v>
      </c>
      <c r="D101" s="1"/>
      <c r="E101" s="1"/>
      <c r="F101" s="1"/>
      <c r="G101" s="1"/>
      <c r="H101" s="47"/>
    </row>
    <row r="102" spans="1:8" ht="14.1" customHeight="1" x14ac:dyDescent="0.2">
      <c r="A102" s="1"/>
      <c r="B102" s="1"/>
      <c r="C102" s="2" t="s">
        <v>122</v>
      </c>
      <c r="D102" s="1"/>
      <c r="E102" s="1" t="s">
        <v>123</v>
      </c>
      <c r="F102" s="13">
        <v>0</v>
      </c>
      <c r="G102" s="14">
        <v>0</v>
      </c>
      <c r="H102" s="47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2" t="s">
        <v>133</v>
      </c>
      <c r="D104" s="1"/>
      <c r="E104" s="1"/>
      <c r="F104" s="12"/>
      <c r="G104" s="12"/>
      <c r="H104" s="47"/>
    </row>
    <row r="105" spans="1:8" ht="14.1" customHeight="1" x14ac:dyDescent="0.2">
      <c r="A105" s="1"/>
      <c r="B105" s="1"/>
      <c r="C105" s="2" t="s">
        <v>122</v>
      </c>
      <c r="D105" s="1"/>
      <c r="E105" s="1" t="s">
        <v>123</v>
      </c>
      <c r="F105" s="13">
        <v>0</v>
      </c>
      <c r="G105" s="14">
        <v>0</v>
      </c>
      <c r="H105" s="47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47"/>
    </row>
    <row r="107" spans="1:8" ht="14.1" customHeight="1" x14ac:dyDescent="0.2">
      <c r="A107" s="1"/>
      <c r="B107" s="1"/>
      <c r="C107" s="2" t="s">
        <v>134</v>
      </c>
      <c r="D107" s="1"/>
      <c r="E107" s="1"/>
      <c r="F107" s="9">
        <v>0</v>
      </c>
      <c r="G107" s="10">
        <v>0</v>
      </c>
      <c r="H107" s="47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47"/>
    </row>
    <row r="109" spans="1:8" ht="14.1" customHeight="1" x14ac:dyDescent="0.2">
      <c r="A109" s="1"/>
      <c r="B109" s="1"/>
      <c r="C109" s="2" t="s">
        <v>135</v>
      </c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2" t="s">
        <v>136</v>
      </c>
      <c r="D110" s="1"/>
      <c r="E110" s="1"/>
      <c r="F110" s="12"/>
      <c r="G110" s="12"/>
      <c r="H110" s="47"/>
    </row>
    <row r="111" spans="1:8" ht="14.1" customHeight="1" x14ac:dyDescent="0.2">
      <c r="A111" s="1"/>
      <c r="B111" s="1"/>
      <c r="C111" s="2" t="s">
        <v>122</v>
      </c>
      <c r="D111" s="1"/>
      <c r="E111" s="1" t="s">
        <v>123</v>
      </c>
      <c r="F111" s="13">
        <v>0</v>
      </c>
      <c r="G111" s="14">
        <v>0</v>
      </c>
      <c r="H111" s="47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47"/>
    </row>
    <row r="113" spans="1:8" ht="14.1" customHeight="1" x14ac:dyDescent="0.2">
      <c r="A113" s="1"/>
      <c r="B113" s="1"/>
      <c r="C113" s="2" t="s">
        <v>137</v>
      </c>
      <c r="D113" s="1"/>
      <c r="E113" s="1"/>
      <c r="F113" s="12"/>
      <c r="G113" s="12"/>
      <c r="H113" s="47"/>
    </row>
    <row r="114" spans="1:8" ht="14.1" customHeight="1" x14ac:dyDescent="0.2">
      <c r="A114" s="1"/>
      <c r="B114" s="1"/>
      <c r="C114" s="2" t="s">
        <v>122</v>
      </c>
      <c r="D114" s="1"/>
      <c r="E114" s="1" t="s">
        <v>123</v>
      </c>
      <c r="F114" s="13">
        <v>0</v>
      </c>
      <c r="G114" s="14">
        <v>0</v>
      </c>
      <c r="H114" s="47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47"/>
    </row>
    <row r="116" spans="1:8" ht="14.1" customHeight="1" x14ac:dyDescent="0.2">
      <c r="A116" s="1"/>
      <c r="B116" s="1"/>
      <c r="C116" s="2" t="s">
        <v>138</v>
      </c>
      <c r="D116" s="1"/>
      <c r="E116" s="1"/>
      <c r="F116" s="12"/>
      <c r="G116" s="12"/>
      <c r="H116" s="47"/>
    </row>
    <row r="117" spans="1:8" ht="14.1" customHeight="1" x14ac:dyDescent="0.2">
      <c r="A117" s="1"/>
      <c r="B117" s="1"/>
      <c r="C117" s="2" t="s">
        <v>122</v>
      </c>
      <c r="D117" s="1"/>
      <c r="E117" s="1" t="s">
        <v>123</v>
      </c>
      <c r="F117" s="13">
        <v>0</v>
      </c>
      <c r="G117" s="14">
        <v>0</v>
      </c>
      <c r="H117" s="47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47"/>
    </row>
    <row r="119" spans="1:8" ht="14.1" customHeight="1" x14ac:dyDescent="0.2">
      <c r="A119" s="1"/>
      <c r="B119" s="1"/>
      <c r="C119" s="2" t="s">
        <v>139</v>
      </c>
      <c r="D119" s="1"/>
      <c r="E119" s="1"/>
      <c r="F119" s="12"/>
      <c r="G119" s="12"/>
      <c r="H119" s="47"/>
    </row>
    <row r="120" spans="1:8" ht="17.100000000000001" customHeight="1" x14ac:dyDescent="0.2">
      <c r="A120" s="3">
        <v>1</v>
      </c>
      <c r="B120" s="4"/>
      <c r="C120" s="4" t="s">
        <v>140</v>
      </c>
      <c r="D120" s="4"/>
      <c r="E120" s="8"/>
      <c r="F120" s="6">
        <v>673.72534340000004</v>
      </c>
      <c r="G120" s="7">
        <v>5.3832980000000002E-2</v>
      </c>
      <c r="H120" s="47">
        <v>4.6730752161314033</v>
      </c>
    </row>
    <row r="121" spans="1:8" ht="14.1" customHeight="1" x14ac:dyDescent="0.2">
      <c r="A121" s="1"/>
      <c r="B121" s="1"/>
      <c r="C121" s="2" t="s">
        <v>122</v>
      </c>
      <c r="D121" s="1"/>
      <c r="E121" s="1" t="s">
        <v>123</v>
      </c>
      <c r="F121" s="9">
        <v>673.72534340000004</v>
      </c>
      <c r="G121" s="10">
        <v>5.3832980000000002E-2</v>
      </c>
      <c r="H121" s="47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47"/>
    </row>
    <row r="123" spans="1:8" ht="14.1" customHeight="1" x14ac:dyDescent="0.2">
      <c r="A123" s="1"/>
      <c r="B123" s="1"/>
      <c r="C123" s="2" t="s">
        <v>141</v>
      </c>
      <c r="D123" s="1"/>
      <c r="E123" s="1"/>
      <c r="F123" s="9">
        <v>673.72534340000004</v>
      </c>
      <c r="G123" s="10">
        <v>5.3832980000000002E-2</v>
      </c>
      <c r="H123" s="47"/>
    </row>
    <row r="124" spans="1:8" ht="14.1" customHeight="1" x14ac:dyDescent="0.2">
      <c r="A124" s="1"/>
      <c r="B124" s="1"/>
      <c r="C124" s="12"/>
      <c r="D124" s="1"/>
      <c r="E124" s="1"/>
      <c r="F124" s="1"/>
      <c r="G124" s="1"/>
      <c r="H124" s="47"/>
    </row>
    <row r="125" spans="1:8" ht="14.1" customHeight="1" x14ac:dyDescent="0.2">
      <c r="A125" s="1"/>
      <c r="B125" s="1"/>
      <c r="C125" s="2" t="s">
        <v>142</v>
      </c>
      <c r="D125" s="1"/>
      <c r="E125" s="1"/>
      <c r="F125" s="1"/>
      <c r="G125" s="1"/>
      <c r="H125" s="47"/>
    </row>
    <row r="126" spans="1:8" ht="14.1" customHeight="1" x14ac:dyDescent="0.2">
      <c r="A126" s="1"/>
      <c r="B126" s="1"/>
      <c r="C126" s="2" t="s">
        <v>143</v>
      </c>
      <c r="D126" s="1"/>
      <c r="E126" s="1"/>
      <c r="F126" s="1"/>
      <c r="G126" s="1"/>
      <c r="H126" s="47"/>
    </row>
    <row r="127" spans="1:8" ht="14.1" customHeight="1" x14ac:dyDescent="0.2">
      <c r="A127" s="1"/>
      <c r="B127" s="1"/>
      <c r="C127" s="2" t="s">
        <v>122</v>
      </c>
      <c r="D127" s="1"/>
      <c r="E127" s="1" t="s">
        <v>123</v>
      </c>
      <c r="F127" s="13">
        <v>0</v>
      </c>
      <c r="G127" s="14">
        <v>0</v>
      </c>
      <c r="H127" s="47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47"/>
    </row>
    <row r="129" spans="1:8" ht="14.1" customHeight="1" x14ac:dyDescent="0.2">
      <c r="A129" s="1"/>
      <c r="B129" s="1"/>
      <c r="C129" s="2" t="s">
        <v>144</v>
      </c>
      <c r="D129" s="1"/>
      <c r="E129" s="1"/>
      <c r="F129" s="1"/>
      <c r="G129" s="1"/>
      <c r="H129" s="47"/>
    </row>
    <row r="130" spans="1:8" ht="14.1" customHeight="1" x14ac:dyDescent="0.2">
      <c r="A130" s="1"/>
      <c r="B130" s="1"/>
      <c r="C130" s="2" t="s">
        <v>145</v>
      </c>
      <c r="D130" s="1"/>
      <c r="E130" s="1"/>
      <c r="F130" s="1"/>
      <c r="G130" s="1"/>
      <c r="H130" s="47"/>
    </row>
    <row r="131" spans="1:8" ht="14.1" customHeight="1" x14ac:dyDescent="0.2">
      <c r="A131" s="1"/>
      <c r="B131" s="1"/>
      <c r="C131" s="2" t="s">
        <v>122</v>
      </c>
      <c r="D131" s="1"/>
      <c r="E131" s="1" t="s">
        <v>123</v>
      </c>
      <c r="F131" s="13">
        <v>0</v>
      </c>
      <c r="G131" s="14">
        <v>0</v>
      </c>
      <c r="H131" s="47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47"/>
    </row>
    <row r="133" spans="1:8" ht="14.1" customHeight="1" x14ac:dyDescent="0.2">
      <c r="A133" s="1"/>
      <c r="B133" s="1"/>
      <c r="C133" s="11"/>
      <c r="D133" s="1"/>
      <c r="E133" s="1"/>
      <c r="F133" s="12"/>
      <c r="G133" s="12"/>
      <c r="H133" s="47"/>
    </row>
    <row r="134" spans="1:8" ht="24" customHeight="1" x14ac:dyDescent="0.2">
      <c r="A134" s="1"/>
      <c r="B134" s="1"/>
      <c r="C134" s="2" t="s">
        <v>146</v>
      </c>
      <c r="D134" s="1"/>
      <c r="E134" s="1"/>
      <c r="F134" s="12"/>
      <c r="G134" s="12"/>
      <c r="H134" s="47"/>
    </row>
    <row r="135" spans="1:8" ht="14.1" customHeight="1" x14ac:dyDescent="0.2">
      <c r="A135" s="1"/>
      <c r="B135" s="1"/>
      <c r="C135" s="2" t="s">
        <v>122</v>
      </c>
      <c r="D135" s="1"/>
      <c r="E135" s="1" t="s">
        <v>123</v>
      </c>
      <c r="F135" s="13">
        <v>0</v>
      </c>
      <c r="G135" s="14">
        <v>0</v>
      </c>
      <c r="H135" s="47"/>
    </row>
    <row r="136" spans="1:8" ht="14.1" customHeight="1" x14ac:dyDescent="0.2">
      <c r="A136" s="1"/>
      <c r="B136" s="1"/>
      <c r="C136" s="11"/>
      <c r="D136" s="1"/>
      <c r="E136" s="1"/>
      <c r="F136" s="12"/>
      <c r="G136" s="12"/>
      <c r="H136" s="47"/>
    </row>
    <row r="137" spans="1:8" ht="14.1" customHeight="1" x14ac:dyDescent="0.2">
      <c r="A137" s="1"/>
      <c r="B137" s="4"/>
      <c r="C137" s="4"/>
      <c r="D137" s="2"/>
      <c r="E137" s="1"/>
      <c r="F137" s="4"/>
      <c r="G137" s="8"/>
      <c r="H137" s="47"/>
    </row>
    <row r="138" spans="1:8" ht="18" customHeight="1" x14ac:dyDescent="0.2">
      <c r="A138" s="8"/>
      <c r="B138" s="4"/>
      <c r="C138" s="4" t="s">
        <v>147</v>
      </c>
      <c r="D138" s="4"/>
      <c r="E138" s="8"/>
      <c r="F138" s="6">
        <v>128.30624950000001</v>
      </c>
      <c r="G138" s="7">
        <v>1.0252112000000001E-2</v>
      </c>
      <c r="H138" s="47"/>
    </row>
    <row r="139" spans="1:8" ht="14.1" customHeight="1" x14ac:dyDescent="0.2">
      <c r="A139" s="11"/>
      <c r="B139" s="11"/>
      <c r="C139" s="2" t="s">
        <v>148</v>
      </c>
      <c r="D139" s="15"/>
      <c r="E139" s="15"/>
      <c r="F139" s="9">
        <v>12515.103909400001</v>
      </c>
      <c r="G139" s="10">
        <v>0.99999999699999997</v>
      </c>
      <c r="H139" s="47"/>
    </row>
    <row r="140" spans="1:8" ht="14.1" customHeight="1" x14ac:dyDescent="0.2">
      <c r="A140" s="18"/>
      <c r="B140" s="18"/>
      <c r="C140" s="18"/>
      <c r="D140" s="20"/>
      <c r="E140" s="20"/>
      <c r="F140" s="20"/>
      <c r="G140" s="20"/>
    </row>
    <row r="141" spans="1:8" ht="14.1" customHeight="1" x14ac:dyDescent="0.2">
      <c r="A141" s="18"/>
      <c r="B141" s="257" t="s">
        <v>150</v>
      </c>
      <c r="C141" s="258"/>
      <c r="D141" s="12" t="s">
        <v>123</v>
      </c>
      <c r="E141" s="21"/>
      <c r="F141" s="20"/>
      <c r="G141" s="20"/>
    </row>
    <row r="142" spans="1:8" ht="29.1" customHeight="1" x14ac:dyDescent="0.2">
      <c r="A142" s="18"/>
      <c r="B142" s="259" t="s">
        <v>151</v>
      </c>
      <c r="C142" s="260"/>
      <c r="D142" s="2" t="s">
        <v>152</v>
      </c>
      <c r="E142" s="21"/>
      <c r="F142" s="20"/>
      <c r="G142" s="20"/>
    </row>
    <row r="143" spans="1:8" ht="17.100000000000001" customHeight="1" x14ac:dyDescent="0.2">
      <c r="A143" s="18"/>
      <c r="B143" s="259" t="s">
        <v>153</v>
      </c>
      <c r="C143" s="260"/>
      <c r="D143" s="2" t="s">
        <v>152</v>
      </c>
      <c r="E143" s="21"/>
      <c r="F143" s="20"/>
      <c r="G143" s="20"/>
    </row>
    <row r="144" spans="1:8" ht="17.100000000000001" customHeight="1" x14ac:dyDescent="0.2">
      <c r="A144" s="18"/>
      <c r="B144" s="259" t="s">
        <v>154</v>
      </c>
      <c r="C144" s="260"/>
      <c r="D144" s="12" t="s">
        <v>123</v>
      </c>
      <c r="E144" s="21"/>
      <c r="F144" s="20"/>
      <c r="G144" s="20"/>
    </row>
    <row r="145" spans="1:15" ht="24" customHeight="1" x14ac:dyDescent="0.2">
      <c r="A145" s="22"/>
      <c r="B145" s="23" t="s">
        <v>123</v>
      </c>
      <c r="C145" s="23" t="s">
        <v>155</v>
      </c>
      <c r="D145" s="23" t="s">
        <v>156</v>
      </c>
      <c r="E145" s="22"/>
      <c r="F145" s="22"/>
      <c r="G145" s="22"/>
    </row>
    <row r="146" spans="1:15" ht="18" customHeight="1" x14ac:dyDescent="0.2">
      <c r="A146" s="22"/>
      <c r="B146" s="23" t="s">
        <v>157</v>
      </c>
      <c r="C146" s="23" t="s">
        <v>158</v>
      </c>
      <c r="D146" s="23" t="s">
        <v>159</v>
      </c>
      <c r="E146" s="22"/>
      <c r="F146" s="22"/>
      <c r="G146" s="22"/>
    </row>
    <row r="147" spans="1:15" ht="17.100000000000001" customHeight="1" x14ac:dyDescent="0.2">
      <c r="A147" s="22"/>
      <c r="B147" s="4" t="s">
        <v>160</v>
      </c>
      <c r="C147" s="24">
        <v>20.3108</v>
      </c>
      <c r="D147" s="24">
        <v>19.7334</v>
      </c>
      <c r="E147" s="22"/>
      <c r="F147" s="19"/>
      <c r="G147" s="25"/>
    </row>
    <row r="148" spans="1:15" ht="17.100000000000001" customHeight="1" x14ac:dyDescent="0.2">
      <c r="A148" s="22"/>
      <c r="B148" s="4" t="s">
        <v>1101</v>
      </c>
      <c r="C148" s="24">
        <v>19.063700000000001</v>
      </c>
      <c r="D148" s="24">
        <v>18.521799999999999</v>
      </c>
      <c r="E148" s="22"/>
      <c r="F148" s="19"/>
      <c r="G148" s="25"/>
    </row>
    <row r="149" spans="1:15" ht="17.100000000000001" customHeight="1" x14ac:dyDescent="0.2">
      <c r="A149" s="22"/>
      <c r="B149" s="4" t="s">
        <v>161</v>
      </c>
      <c r="C149" s="24">
        <v>19.966899999999999</v>
      </c>
      <c r="D149" s="24">
        <v>19.392700000000001</v>
      </c>
      <c r="E149" s="22"/>
      <c r="F149" s="19"/>
      <c r="G149" s="25"/>
    </row>
    <row r="150" spans="1:15" ht="17.100000000000001" customHeight="1" x14ac:dyDescent="0.2">
      <c r="A150" s="22"/>
      <c r="B150" s="4" t="s">
        <v>1102</v>
      </c>
      <c r="C150" s="24">
        <v>18.725200000000001</v>
      </c>
      <c r="D150" s="24">
        <v>18.186699999999998</v>
      </c>
      <c r="E150" s="22"/>
      <c r="F150" s="19"/>
      <c r="G150" s="25"/>
    </row>
    <row r="151" spans="1:15" ht="14.1" customHeight="1" x14ac:dyDescent="0.2">
      <c r="A151" s="22"/>
      <c r="B151" s="22"/>
      <c r="C151" s="22"/>
      <c r="D151" s="22"/>
      <c r="E151" s="22"/>
      <c r="F151" s="22"/>
      <c r="G151" s="22"/>
    </row>
    <row r="152" spans="1:15" ht="17.100000000000001" customHeight="1" x14ac:dyDescent="0.2">
      <c r="A152" s="22"/>
      <c r="B152" s="259" t="s">
        <v>1103</v>
      </c>
      <c r="C152" s="260"/>
      <c r="D152" s="2" t="s">
        <v>152</v>
      </c>
      <c r="E152" s="22"/>
      <c r="F152" s="22"/>
      <c r="G152" s="22"/>
    </row>
    <row r="153" spans="1:15" ht="18" customHeight="1" x14ac:dyDescent="0.2">
      <c r="A153" s="22"/>
      <c r="B153" s="26"/>
      <c r="C153" s="26"/>
      <c r="D153" s="27"/>
      <c r="E153" s="22"/>
      <c r="F153" s="22"/>
      <c r="G153" s="22"/>
    </row>
    <row r="154" spans="1:15" ht="29.1" customHeight="1" x14ac:dyDescent="0.2">
      <c r="A154" s="22"/>
      <c r="B154" s="259" t="s">
        <v>162</v>
      </c>
      <c r="C154" s="260"/>
      <c r="D154" s="2" t="s">
        <v>152</v>
      </c>
      <c r="E154" s="22"/>
      <c r="F154" s="22"/>
      <c r="G154" s="22"/>
    </row>
    <row r="155" spans="1:15" ht="29.1" customHeight="1" x14ac:dyDescent="0.2">
      <c r="A155" s="22"/>
      <c r="B155" s="259" t="s">
        <v>163</v>
      </c>
      <c r="C155" s="260"/>
      <c r="D155" s="2" t="s">
        <v>152</v>
      </c>
      <c r="E155" s="22"/>
      <c r="F155" s="22"/>
      <c r="G155" s="22"/>
    </row>
    <row r="156" spans="1:15" ht="17.100000000000001" customHeight="1" x14ac:dyDescent="0.2">
      <c r="A156" s="22"/>
      <c r="B156" s="259" t="s">
        <v>164</v>
      </c>
      <c r="C156" s="260"/>
      <c r="D156" s="28">
        <v>0.41768271815078101</v>
      </c>
      <c r="E156" s="22"/>
      <c r="F156" s="19"/>
      <c r="G156" s="25"/>
      <c r="J156" s="148"/>
      <c r="K156" s="148"/>
      <c r="L156" s="148"/>
      <c r="M156" s="148"/>
      <c r="N156" s="148"/>
      <c r="O156" s="148"/>
    </row>
    <row r="157" spans="1:15" ht="17.100000000000001" customHeight="1" x14ac:dyDescent="0.2">
      <c r="A157" s="22"/>
      <c r="B157" s="259" t="s">
        <v>165</v>
      </c>
      <c r="C157" s="260"/>
      <c r="D157" s="2" t="s">
        <v>152</v>
      </c>
      <c r="E157" s="22"/>
      <c r="F157" s="22"/>
      <c r="G157" s="22"/>
    </row>
  </sheetData>
  <mergeCells count="13">
    <mergeCell ref="J2:N2"/>
    <mergeCell ref="A1:H1"/>
    <mergeCell ref="A2:H2"/>
    <mergeCell ref="A3:H3"/>
    <mergeCell ref="B141:C141"/>
    <mergeCell ref="B156:C156"/>
    <mergeCell ref="B157:C157"/>
    <mergeCell ref="B142:C142"/>
    <mergeCell ref="B143:C143"/>
    <mergeCell ref="B144:C144"/>
    <mergeCell ref="B152:C152"/>
    <mergeCell ref="B154:C154"/>
    <mergeCell ref="B155:C15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N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507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261</v>
      </c>
      <c r="C7" s="4" t="s">
        <v>262</v>
      </c>
      <c r="D7" s="4" t="s">
        <v>80</v>
      </c>
      <c r="E7" s="5">
        <v>52212</v>
      </c>
      <c r="F7" s="6">
        <v>100.06429799999999</v>
      </c>
      <c r="G7" s="7">
        <v>3.1368755999999998E-2</v>
      </c>
      <c r="H7" s="47"/>
    </row>
    <row r="8" spans="1:14" ht="17.100000000000001" customHeight="1" x14ac:dyDescent="0.2">
      <c r="A8" s="3">
        <v>2</v>
      </c>
      <c r="B8" s="4" t="s">
        <v>254</v>
      </c>
      <c r="C8" s="4" t="s">
        <v>255</v>
      </c>
      <c r="D8" s="4" t="s">
        <v>28</v>
      </c>
      <c r="E8" s="5">
        <v>8534</v>
      </c>
      <c r="F8" s="6">
        <v>98.358616999999995</v>
      </c>
      <c r="G8" s="7">
        <v>3.0834048999999999E-2</v>
      </c>
      <c r="H8" s="47"/>
    </row>
    <row r="9" spans="1:14" ht="17.100000000000001" customHeight="1" x14ac:dyDescent="0.2">
      <c r="A9" s="3">
        <v>3</v>
      </c>
      <c r="B9" s="4" t="s">
        <v>467</v>
      </c>
      <c r="C9" s="4" t="s">
        <v>468</v>
      </c>
      <c r="D9" s="4" t="s">
        <v>28</v>
      </c>
      <c r="E9" s="5">
        <v>14341</v>
      </c>
      <c r="F9" s="6">
        <v>95.532571500000003</v>
      </c>
      <c r="G9" s="7">
        <v>2.9948123E-2</v>
      </c>
      <c r="H9" s="47"/>
    </row>
    <row r="10" spans="1:14" ht="29.1" customHeight="1" x14ac:dyDescent="0.2">
      <c r="A10" s="3">
        <v>4</v>
      </c>
      <c r="B10" s="4" t="s">
        <v>175</v>
      </c>
      <c r="C10" s="4" t="s">
        <v>176</v>
      </c>
      <c r="D10" s="4" t="s">
        <v>88</v>
      </c>
      <c r="E10" s="5">
        <v>27823</v>
      </c>
      <c r="F10" s="6">
        <v>94.639934499999995</v>
      </c>
      <c r="G10" s="7">
        <v>2.9668294000000001E-2</v>
      </c>
      <c r="H10" s="47"/>
    </row>
    <row r="11" spans="1:14" ht="17.100000000000001" customHeight="1" x14ac:dyDescent="0.2">
      <c r="A11" s="3">
        <v>5</v>
      </c>
      <c r="B11" s="4" t="s">
        <v>185</v>
      </c>
      <c r="C11" s="4" t="s">
        <v>186</v>
      </c>
      <c r="D11" s="4" t="s">
        <v>88</v>
      </c>
      <c r="E11" s="5">
        <v>17758</v>
      </c>
      <c r="F11" s="6">
        <v>93.353806000000006</v>
      </c>
      <c r="G11" s="7">
        <v>2.9265111E-2</v>
      </c>
      <c r="H11" s="47"/>
    </row>
    <row r="12" spans="1:14" ht="29.1" customHeight="1" x14ac:dyDescent="0.2">
      <c r="A12" s="3">
        <v>6</v>
      </c>
      <c r="B12" s="4" t="s">
        <v>199</v>
      </c>
      <c r="C12" s="4" t="s">
        <v>200</v>
      </c>
      <c r="D12" s="4" t="s">
        <v>201</v>
      </c>
      <c r="E12" s="5">
        <v>2544</v>
      </c>
      <c r="F12" s="6">
        <v>92.896704</v>
      </c>
      <c r="G12" s="7">
        <v>2.9121815999999998E-2</v>
      </c>
      <c r="H12" s="47"/>
      <c r="J12" s="147" t="s">
        <v>1117</v>
      </c>
    </row>
    <row r="13" spans="1:14" ht="17.100000000000001" customHeight="1" x14ac:dyDescent="0.2">
      <c r="A13" s="3">
        <v>7</v>
      </c>
      <c r="B13" s="4" t="s">
        <v>241</v>
      </c>
      <c r="C13" s="4" t="s">
        <v>242</v>
      </c>
      <c r="D13" s="4" t="s">
        <v>243</v>
      </c>
      <c r="E13" s="5">
        <v>16846</v>
      </c>
      <c r="F13" s="6">
        <v>85.653486999999998</v>
      </c>
      <c r="G13" s="7">
        <v>2.6851169000000001E-2</v>
      </c>
      <c r="H13" s="47"/>
    </row>
    <row r="14" spans="1:14" ht="17.100000000000001" customHeight="1" x14ac:dyDescent="0.2">
      <c r="A14" s="3">
        <v>8</v>
      </c>
      <c r="B14" s="4" t="s">
        <v>86</v>
      </c>
      <c r="C14" s="4" t="s">
        <v>87</v>
      </c>
      <c r="D14" s="4" t="s">
        <v>88</v>
      </c>
      <c r="E14" s="5">
        <v>19114</v>
      </c>
      <c r="F14" s="6">
        <v>82.897418000000002</v>
      </c>
      <c r="G14" s="7">
        <v>2.5987179999999999E-2</v>
      </c>
      <c r="H14" s="47"/>
    </row>
    <row r="15" spans="1:14" ht="17.100000000000001" customHeight="1" x14ac:dyDescent="0.2">
      <c r="A15" s="3">
        <v>9</v>
      </c>
      <c r="B15" s="4" t="s">
        <v>34</v>
      </c>
      <c r="C15" s="4" t="s">
        <v>35</v>
      </c>
      <c r="D15" s="4" t="s">
        <v>28</v>
      </c>
      <c r="E15" s="5">
        <v>5488</v>
      </c>
      <c r="F15" s="6">
        <v>81.428200000000004</v>
      </c>
      <c r="G15" s="7">
        <v>2.55266E-2</v>
      </c>
      <c r="H15" s="47"/>
    </row>
    <row r="16" spans="1:14" ht="17.100000000000001" customHeight="1" x14ac:dyDescent="0.2">
      <c r="A16" s="3">
        <v>10</v>
      </c>
      <c r="B16" s="4" t="s">
        <v>265</v>
      </c>
      <c r="C16" s="4" t="s">
        <v>266</v>
      </c>
      <c r="D16" s="4" t="s">
        <v>97</v>
      </c>
      <c r="E16" s="5">
        <v>6440</v>
      </c>
      <c r="F16" s="6">
        <v>76.230279999999993</v>
      </c>
      <c r="G16" s="7">
        <v>2.3897125000000002E-2</v>
      </c>
      <c r="H16" s="47"/>
    </row>
    <row r="17" spans="1:8" ht="17.100000000000001" customHeight="1" x14ac:dyDescent="0.2">
      <c r="A17" s="3">
        <v>11</v>
      </c>
      <c r="B17" s="4" t="s">
        <v>177</v>
      </c>
      <c r="C17" s="4" t="s">
        <v>178</v>
      </c>
      <c r="D17" s="4" t="s">
        <v>91</v>
      </c>
      <c r="E17" s="5">
        <v>91263</v>
      </c>
      <c r="F17" s="6">
        <v>74.835660000000004</v>
      </c>
      <c r="G17" s="7">
        <v>2.3459931E-2</v>
      </c>
      <c r="H17" s="47"/>
    </row>
    <row r="18" spans="1:8" ht="17.100000000000001" customHeight="1" x14ac:dyDescent="0.2">
      <c r="A18" s="3">
        <v>12</v>
      </c>
      <c r="B18" s="4" t="s">
        <v>228</v>
      </c>
      <c r="C18" s="4" t="s">
        <v>229</v>
      </c>
      <c r="D18" s="4" t="s">
        <v>191</v>
      </c>
      <c r="E18" s="5">
        <v>2123</v>
      </c>
      <c r="F18" s="6">
        <v>72.220213999999999</v>
      </c>
      <c r="G18" s="7">
        <v>2.2640026000000001E-2</v>
      </c>
      <c r="H18" s="47"/>
    </row>
    <row r="19" spans="1:8" ht="17.100000000000001" customHeight="1" x14ac:dyDescent="0.2">
      <c r="A19" s="3">
        <v>13</v>
      </c>
      <c r="B19" s="4" t="s">
        <v>189</v>
      </c>
      <c r="C19" s="4" t="s">
        <v>190</v>
      </c>
      <c r="D19" s="4" t="s">
        <v>191</v>
      </c>
      <c r="E19" s="5">
        <v>13845</v>
      </c>
      <c r="F19" s="6">
        <v>71.668642500000004</v>
      </c>
      <c r="G19" s="7">
        <v>2.2467115999999999E-2</v>
      </c>
      <c r="H19" s="47"/>
    </row>
    <row r="20" spans="1:8" ht="17.100000000000001" customHeight="1" x14ac:dyDescent="0.2">
      <c r="A20" s="3">
        <v>14</v>
      </c>
      <c r="B20" s="4" t="s">
        <v>263</v>
      </c>
      <c r="C20" s="4" t="s">
        <v>264</v>
      </c>
      <c r="D20" s="4" t="s">
        <v>28</v>
      </c>
      <c r="E20" s="5">
        <v>8295</v>
      </c>
      <c r="F20" s="6">
        <v>69.495509999999996</v>
      </c>
      <c r="G20" s="7">
        <v>2.1785868999999999E-2</v>
      </c>
      <c r="H20" s="47"/>
    </row>
    <row r="21" spans="1:8" ht="17.100000000000001" customHeight="1" x14ac:dyDescent="0.2">
      <c r="A21" s="3">
        <v>15</v>
      </c>
      <c r="B21" s="4" t="s">
        <v>207</v>
      </c>
      <c r="C21" s="4" t="s">
        <v>208</v>
      </c>
      <c r="D21" s="4" t="s">
        <v>209</v>
      </c>
      <c r="E21" s="5">
        <v>24416</v>
      </c>
      <c r="F21" s="6">
        <v>67.888688000000002</v>
      </c>
      <c r="G21" s="7">
        <v>2.1282153000000002E-2</v>
      </c>
      <c r="H21" s="47"/>
    </row>
    <row r="22" spans="1:8" ht="17.100000000000001" customHeight="1" x14ac:dyDescent="0.2">
      <c r="A22" s="3">
        <v>16</v>
      </c>
      <c r="B22" s="4" t="s">
        <v>26</v>
      </c>
      <c r="C22" s="4" t="s">
        <v>27</v>
      </c>
      <c r="D22" s="4" t="s">
        <v>28</v>
      </c>
      <c r="E22" s="5">
        <v>3892</v>
      </c>
      <c r="F22" s="6">
        <v>65.504306</v>
      </c>
      <c r="G22" s="7">
        <v>2.0534683000000001E-2</v>
      </c>
      <c r="H22" s="47"/>
    </row>
    <row r="23" spans="1:8" ht="17.100000000000001" customHeight="1" x14ac:dyDescent="0.2">
      <c r="A23" s="3">
        <v>17</v>
      </c>
      <c r="B23" s="4" t="s">
        <v>471</v>
      </c>
      <c r="C23" s="4" t="s">
        <v>472</v>
      </c>
      <c r="D23" s="4" t="s">
        <v>88</v>
      </c>
      <c r="E23" s="5">
        <v>6741</v>
      </c>
      <c r="F23" s="6">
        <v>62.205947999999999</v>
      </c>
      <c r="G23" s="7">
        <v>1.9500693999999999E-2</v>
      </c>
      <c r="H23" s="47"/>
    </row>
    <row r="24" spans="1:8" ht="17.100000000000001" customHeight="1" x14ac:dyDescent="0.2">
      <c r="A24" s="3">
        <v>18</v>
      </c>
      <c r="B24" s="4" t="s">
        <v>172</v>
      </c>
      <c r="C24" s="4" t="s">
        <v>173</v>
      </c>
      <c r="D24" s="4" t="s">
        <v>174</v>
      </c>
      <c r="E24" s="5">
        <v>5630</v>
      </c>
      <c r="F24" s="6">
        <v>61.085500000000003</v>
      </c>
      <c r="G24" s="7">
        <v>1.9149448999999999E-2</v>
      </c>
      <c r="H24" s="47"/>
    </row>
    <row r="25" spans="1:8" ht="17.100000000000001" customHeight="1" x14ac:dyDescent="0.2">
      <c r="A25" s="3">
        <v>19</v>
      </c>
      <c r="B25" s="4" t="s">
        <v>95</v>
      </c>
      <c r="C25" s="4" t="s">
        <v>96</v>
      </c>
      <c r="D25" s="4" t="s">
        <v>97</v>
      </c>
      <c r="E25" s="5">
        <v>13250</v>
      </c>
      <c r="F25" s="6">
        <v>58.883000000000003</v>
      </c>
      <c r="G25" s="7">
        <v>1.8458995999999998E-2</v>
      </c>
      <c r="H25" s="47"/>
    </row>
    <row r="26" spans="1:8" ht="29.1" customHeight="1" x14ac:dyDescent="0.2">
      <c r="A26" s="3">
        <v>20</v>
      </c>
      <c r="B26" s="4" t="s">
        <v>202</v>
      </c>
      <c r="C26" s="4" t="s">
        <v>203</v>
      </c>
      <c r="D26" s="4" t="s">
        <v>204</v>
      </c>
      <c r="E26" s="5">
        <v>12470</v>
      </c>
      <c r="F26" s="6">
        <v>57.948090000000001</v>
      </c>
      <c r="G26" s="7">
        <v>1.8165915000000001E-2</v>
      </c>
      <c r="H26" s="47"/>
    </row>
    <row r="27" spans="1:8" ht="29.1" customHeight="1" x14ac:dyDescent="0.2">
      <c r="A27" s="3">
        <v>21</v>
      </c>
      <c r="B27" s="4" t="s">
        <v>469</v>
      </c>
      <c r="C27" s="4" t="s">
        <v>470</v>
      </c>
      <c r="D27" s="4" t="s">
        <v>40</v>
      </c>
      <c r="E27" s="5">
        <v>2999</v>
      </c>
      <c r="F27" s="6">
        <v>56.204259</v>
      </c>
      <c r="G27" s="7">
        <v>1.7619248000000001E-2</v>
      </c>
      <c r="H27" s="47"/>
    </row>
    <row r="28" spans="1:8" ht="29.1" customHeight="1" x14ac:dyDescent="0.2">
      <c r="A28" s="3">
        <v>22</v>
      </c>
      <c r="B28" s="4" t="s">
        <v>205</v>
      </c>
      <c r="C28" s="4" t="s">
        <v>206</v>
      </c>
      <c r="D28" s="4" t="s">
        <v>204</v>
      </c>
      <c r="E28" s="5">
        <v>3496</v>
      </c>
      <c r="F28" s="6">
        <v>54.979844</v>
      </c>
      <c r="G28" s="7">
        <v>1.7235410999999999E-2</v>
      </c>
      <c r="H28" s="47"/>
    </row>
    <row r="29" spans="1:8" ht="17.100000000000001" customHeight="1" x14ac:dyDescent="0.2">
      <c r="A29" s="3">
        <v>23</v>
      </c>
      <c r="B29" s="4" t="s">
        <v>182</v>
      </c>
      <c r="C29" s="4" t="s">
        <v>183</v>
      </c>
      <c r="D29" s="4" t="s">
        <v>184</v>
      </c>
      <c r="E29" s="5">
        <v>4118</v>
      </c>
      <c r="F29" s="6">
        <v>53.861381000000002</v>
      </c>
      <c r="G29" s="7">
        <v>1.6884789000000001E-2</v>
      </c>
      <c r="H29" s="47"/>
    </row>
    <row r="30" spans="1:8" ht="17.100000000000001" customHeight="1" x14ac:dyDescent="0.2">
      <c r="A30" s="3">
        <v>24</v>
      </c>
      <c r="B30" s="4" t="s">
        <v>222</v>
      </c>
      <c r="C30" s="4" t="s">
        <v>223</v>
      </c>
      <c r="D30" s="4" t="s">
        <v>13</v>
      </c>
      <c r="E30" s="5">
        <v>14751</v>
      </c>
      <c r="F30" s="6">
        <v>52.616816999999998</v>
      </c>
      <c r="G30" s="7">
        <v>1.6494635000000001E-2</v>
      </c>
      <c r="H30" s="47"/>
    </row>
    <row r="31" spans="1:8" ht="17.100000000000001" customHeight="1" x14ac:dyDescent="0.2">
      <c r="A31" s="3">
        <v>25</v>
      </c>
      <c r="B31" s="4" t="s">
        <v>226</v>
      </c>
      <c r="C31" s="4" t="s">
        <v>227</v>
      </c>
      <c r="D31" s="4" t="s">
        <v>13</v>
      </c>
      <c r="E31" s="5">
        <v>70325</v>
      </c>
      <c r="F31" s="6">
        <v>51.4427375</v>
      </c>
      <c r="G31" s="7">
        <v>1.6126577999999999E-2</v>
      </c>
      <c r="H31" s="47"/>
    </row>
    <row r="32" spans="1:8" ht="17.100000000000001" customHeight="1" x14ac:dyDescent="0.2">
      <c r="A32" s="3">
        <v>26</v>
      </c>
      <c r="B32" s="4" t="s">
        <v>334</v>
      </c>
      <c r="C32" s="4" t="s">
        <v>335</v>
      </c>
      <c r="D32" s="4" t="s">
        <v>94</v>
      </c>
      <c r="E32" s="5">
        <v>1151</v>
      </c>
      <c r="F32" s="6">
        <v>50.297548999999997</v>
      </c>
      <c r="G32" s="7">
        <v>1.5767577000000001E-2</v>
      </c>
      <c r="H32" s="47"/>
    </row>
    <row r="33" spans="1:8" ht="29.1" customHeight="1" x14ac:dyDescent="0.2">
      <c r="A33" s="3">
        <v>27</v>
      </c>
      <c r="B33" s="4" t="s">
        <v>230</v>
      </c>
      <c r="C33" s="4" t="s">
        <v>231</v>
      </c>
      <c r="D33" s="4" t="s">
        <v>204</v>
      </c>
      <c r="E33" s="5">
        <v>13550</v>
      </c>
      <c r="F33" s="6">
        <v>49.735275000000001</v>
      </c>
      <c r="G33" s="7">
        <v>1.5591312E-2</v>
      </c>
      <c r="H33" s="47"/>
    </row>
    <row r="34" spans="1:8" ht="29.1" customHeight="1" x14ac:dyDescent="0.2">
      <c r="A34" s="3">
        <v>28</v>
      </c>
      <c r="B34" s="4" t="s">
        <v>52</v>
      </c>
      <c r="C34" s="4" t="s">
        <v>53</v>
      </c>
      <c r="D34" s="4" t="s">
        <v>25</v>
      </c>
      <c r="E34" s="5">
        <v>2327</v>
      </c>
      <c r="F34" s="6">
        <v>49.075266499999998</v>
      </c>
      <c r="G34" s="7">
        <v>1.5384409E-2</v>
      </c>
      <c r="H34" s="47"/>
    </row>
    <row r="35" spans="1:8" ht="29.1" customHeight="1" x14ac:dyDescent="0.2">
      <c r="A35" s="3">
        <v>29</v>
      </c>
      <c r="B35" s="4" t="s">
        <v>275</v>
      </c>
      <c r="C35" s="4" t="s">
        <v>276</v>
      </c>
      <c r="D35" s="4" t="s">
        <v>238</v>
      </c>
      <c r="E35" s="5">
        <v>9101</v>
      </c>
      <c r="F35" s="6">
        <v>48.289906000000002</v>
      </c>
      <c r="G35" s="7">
        <v>1.5138209E-2</v>
      </c>
      <c r="H35" s="47"/>
    </row>
    <row r="36" spans="1:8" ht="29.1" customHeight="1" x14ac:dyDescent="0.2">
      <c r="A36" s="3">
        <v>30</v>
      </c>
      <c r="B36" s="4" t="s">
        <v>179</v>
      </c>
      <c r="C36" s="4" t="s">
        <v>180</v>
      </c>
      <c r="D36" s="4" t="s">
        <v>181</v>
      </c>
      <c r="E36" s="5">
        <v>7830</v>
      </c>
      <c r="F36" s="6">
        <v>48.048794999999998</v>
      </c>
      <c r="G36" s="7">
        <v>1.5062624E-2</v>
      </c>
      <c r="H36" s="47"/>
    </row>
    <row r="37" spans="1:8" ht="17.100000000000001" customHeight="1" x14ac:dyDescent="0.2">
      <c r="A37" s="3">
        <v>31</v>
      </c>
      <c r="B37" s="4" t="s">
        <v>477</v>
      </c>
      <c r="C37" s="4" t="s">
        <v>478</v>
      </c>
      <c r="D37" s="4" t="s">
        <v>91</v>
      </c>
      <c r="E37" s="5">
        <v>4638</v>
      </c>
      <c r="F37" s="6">
        <v>47.112803999999997</v>
      </c>
      <c r="G37" s="7">
        <v>1.4769203999999999E-2</v>
      </c>
      <c r="H37" s="47"/>
    </row>
    <row r="38" spans="1:8" ht="29.1" customHeight="1" x14ac:dyDescent="0.2">
      <c r="A38" s="3">
        <v>32</v>
      </c>
      <c r="B38" s="4" t="s">
        <v>212</v>
      </c>
      <c r="C38" s="4" t="s">
        <v>213</v>
      </c>
      <c r="D38" s="4" t="s">
        <v>214</v>
      </c>
      <c r="E38" s="5">
        <v>49629</v>
      </c>
      <c r="F38" s="6">
        <v>46.651260000000001</v>
      </c>
      <c r="G38" s="7">
        <v>1.4624517E-2</v>
      </c>
      <c r="H38" s="47"/>
    </row>
    <row r="39" spans="1:8" ht="17.100000000000001" customHeight="1" x14ac:dyDescent="0.2">
      <c r="A39" s="3">
        <v>33</v>
      </c>
      <c r="B39" s="4" t="s">
        <v>483</v>
      </c>
      <c r="C39" s="4" t="s">
        <v>484</v>
      </c>
      <c r="D39" s="4" t="s">
        <v>303</v>
      </c>
      <c r="E39" s="5">
        <v>6215</v>
      </c>
      <c r="F39" s="6">
        <v>46.0749025</v>
      </c>
      <c r="G39" s="7">
        <v>1.4443836999999999E-2</v>
      </c>
      <c r="H39" s="47"/>
    </row>
    <row r="40" spans="1:8" ht="17.100000000000001" customHeight="1" x14ac:dyDescent="0.2">
      <c r="A40" s="3">
        <v>34</v>
      </c>
      <c r="B40" s="4" t="s">
        <v>267</v>
      </c>
      <c r="C40" s="4" t="s">
        <v>268</v>
      </c>
      <c r="D40" s="4" t="s">
        <v>171</v>
      </c>
      <c r="E40" s="5">
        <v>6040</v>
      </c>
      <c r="F40" s="6">
        <v>45.701659999999997</v>
      </c>
      <c r="G40" s="7">
        <v>1.432683E-2</v>
      </c>
      <c r="H40" s="47"/>
    </row>
    <row r="41" spans="1:8" ht="17.100000000000001" customHeight="1" x14ac:dyDescent="0.2">
      <c r="A41" s="3">
        <v>35</v>
      </c>
      <c r="B41" s="4" t="s">
        <v>187</v>
      </c>
      <c r="C41" s="4" t="s">
        <v>188</v>
      </c>
      <c r="D41" s="4" t="s">
        <v>91</v>
      </c>
      <c r="E41" s="5">
        <v>10566</v>
      </c>
      <c r="F41" s="6">
        <v>45.048141000000001</v>
      </c>
      <c r="G41" s="7">
        <v>1.4121961000000001E-2</v>
      </c>
      <c r="H41" s="47"/>
    </row>
    <row r="42" spans="1:8" ht="17.100000000000001" customHeight="1" x14ac:dyDescent="0.2">
      <c r="A42" s="3">
        <v>36</v>
      </c>
      <c r="B42" s="4" t="s">
        <v>192</v>
      </c>
      <c r="C42" s="4" t="s">
        <v>193</v>
      </c>
      <c r="D42" s="4" t="s">
        <v>184</v>
      </c>
      <c r="E42" s="5">
        <v>3672</v>
      </c>
      <c r="F42" s="6">
        <v>44.291663999999997</v>
      </c>
      <c r="G42" s="7">
        <v>1.3884815999999999E-2</v>
      </c>
      <c r="H42" s="47"/>
    </row>
    <row r="43" spans="1:8" ht="17.100000000000001" customHeight="1" x14ac:dyDescent="0.2">
      <c r="A43" s="3">
        <v>37</v>
      </c>
      <c r="B43" s="4" t="s">
        <v>215</v>
      </c>
      <c r="C43" s="4" t="s">
        <v>216</v>
      </c>
      <c r="D43" s="4" t="s">
        <v>217</v>
      </c>
      <c r="E43" s="5">
        <v>14444</v>
      </c>
      <c r="F43" s="6">
        <v>38.240490000000001</v>
      </c>
      <c r="G43" s="7">
        <v>1.1987858000000001E-2</v>
      </c>
      <c r="H43" s="47"/>
    </row>
    <row r="44" spans="1:8" ht="17.100000000000001" customHeight="1" x14ac:dyDescent="0.2">
      <c r="A44" s="3">
        <v>38</v>
      </c>
      <c r="B44" s="4" t="s">
        <v>194</v>
      </c>
      <c r="C44" s="4" t="s">
        <v>195</v>
      </c>
      <c r="D44" s="4" t="s">
        <v>174</v>
      </c>
      <c r="E44" s="5">
        <v>7638</v>
      </c>
      <c r="F44" s="6">
        <v>37.983773999999997</v>
      </c>
      <c r="G44" s="7">
        <v>1.1907381E-2</v>
      </c>
      <c r="H44" s="47"/>
    </row>
    <row r="45" spans="1:8" ht="17.100000000000001" customHeight="1" x14ac:dyDescent="0.2">
      <c r="A45" s="3">
        <v>39</v>
      </c>
      <c r="B45" s="4" t="s">
        <v>169</v>
      </c>
      <c r="C45" s="4" t="s">
        <v>170</v>
      </c>
      <c r="D45" s="4" t="s">
        <v>171</v>
      </c>
      <c r="E45" s="5">
        <v>3553</v>
      </c>
      <c r="F45" s="6">
        <v>37.672459000000003</v>
      </c>
      <c r="G45" s="7">
        <v>1.1809788E-2</v>
      </c>
      <c r="H45" s="47"/>
    </row>
    <row r="46" spans="1:8" ht="53.1" customHeight="1" x14ac:dyDescent="0.2">
      <c r="A46" s="3">
        <v>40</v>
      </c>
      <c r="B46" s="4" t="s">
        <v>422</v>
      </c>
      <c r="C46" s="4" t="s">
        <v>423</v>
      </c>
      <c r="D46" s="4" t="s">
        <v>62</v>
      </c>
      <c r="E46" s="5">
        <v>17679</v>
      </c>
      <c r="F46" s="6">
        <v>36.772320000000001</v>
      </c>
      <c r="G46" s="7">
        <v>1.1527607E-2</v>
      </c>
      <c r="H46" s="47"/>
    </row>
    <row r="47" spans="1:8" ht="17.100000000000001" customHeight="1" x14ac:dyDescent="0.2">
      <c r="A47" s="3">
        <v>41</v>
      </c>
      <c r="B47" s="4" t="s">
        <v>220</v>
      </c>
      <c r="C47" s="4" t="s">
        <v>221</v>
      </c>
      <c r="D47" s="4" t="s">
        <v>91</v>
      </c>
      <c r="E47" s="5">
        <v>4937</v>
      </c>
      <c r="F47" s="6">
        <v>36.716468999999996</v>
      </c>
      <c r="G47" s="7">
        <v>1.1510098999999999E-2</v>
      </c>
      <c r="H47" s="47"/>
    </row>
    <row r="48" spans="1:8" ht="17.100000000000001" customHeight="1" x14ac:dyDescent="0.2">
      <c r="A48" s="3">
        <v>42</v>
      </c>
      <c r="B48" s="4" t="s">
        <v>281</v>
      </c>
      <c r="C48" s="4" t="s">
        <v>282</v>
      </c>
      <c r="D48" s="4" t="s">
        <v>94</v>
      </c>
      <c r="E48" s="5">
        <v>5643</v>
      </c>
      <c r="F48" s="6">
        <v>35.390074499999997</v>
      </c>
      <c r="G48" s="7">
        <v>1.1094293E-2</v>
      </c>
      <c r="H48" s="47"/>
    </row>
    <row r="49" spans="1:8" ht="29.1" customHeight="1" x14ac:dyDescent="0.2">
      <c r="A49" s="3">
        <v>43</v>
      </c>
      <c r="B49" s="4" t="s">
        <v>196</v>
      </c>
      <c r="C49" s="4" t="s">
        <v>197</v>
      </c>
      <c r="D49" s="4" t="s">
        <v>198</v>
      </c>
      <c r="E49" s="5">
        <v>2627</v>
      </c>
      <c r="F49" s="6">
        <v>33.395737500000003</v>
      </c>
      <c r="G49" s="7">
        <v>1.0469096000000001E-2</v>
      </c>
      <c r="H49" s="47"/>
    </row>
    <row r="50" spans="1:8" ht="29.1" customHeight="1" x14ac:dyDescent="0.2">
      <c r="A50" s="3">
        <v>44</v>
      </c>
      <c r="B50" s="4" t="s">
        <v>290</v>
      </c>
      <c r="C50" s="4" t="s">
        <v>291</v>
      </c>
      <c r="D50" s="4" t="s">
        <v>292</v>
      </c>
      <c r="E50" s="5">
        <v>10096</v>
      </c>
      <c r="F50" s="6">
        <v>31.025008</v>
      </c>
      <c r="G50" s="7">
        <v>9.7259059999999994E-3</v>
      </c>
      <c r="H50" s="47"/>
    </row>
    <row r="51" spans="1:8" ht="29.1" customHeight="1" x14ac:dyDescent="0.2">
      <c r="A51" s="3">
        <v>45</v>
      </c>
      <c r="B51" s="4" t="s">
        <v>390</v>
      </c>
      <c r="C51" s="4" t="s">
        <v>391</v>
      </c>
      <c r="D51" s="4" t="s">
        <v>201</v>
      </c>
      <c r="E51" s="5">
        <v>5060</v>
      </c>
      <c r="F51" s="6">
        <v>30.87106</v>
      </c>
      <c r="G51" s="7">
        <v>9.6776450000000003E-3</v>
      </c>
      <c r="H51" s="47"/>
    </row>
    <row r="52" spans="1:8" ht="17.100000000000001" customHeight="1" x14ac:dyDescent="0.2">
      <c r="A52" s="3">
        <v>46</v>
      </c>
      <c r="B52" s="4" t="s">
        <v>473</v>
      </c>
      <c r="C52" s="4" t="s">
        <v>474</v>
      </c>
      <c r="D52" s="4" t="s">
        <v>45</v>
      </c>
      <c r="E52" s="5">
        <v>4484</v>
      </c>
      <c r="F52" s="6">
        <v>30.269241999999998</v>
      </c>
      <c r="G52" s="7">
        <v>9.4889829999999994E-3</v>
      </c>
      <c r="H52" s="47"/>
    </row>
    <row r="53" spans="1:8" ht="17.100000000000001" customHeight="1" x14ac:dyDescent="0.2">
      <c r="A53" s="3">
        <v>47</v>
      </c>
      <c r="B53" s="4" t="s">
        <v>210</v>
      </c>
      <c r="C53" s="4" t="s">
        <v>211</v>
      </c>
      <c r="D53" s="4" t="s">
        <v>16</v>
      </c>
      <c r="E53" s="5">
        <v>13664</v>
      </c>
      <c r="F53" s="6">
        <v>29.678208000000001</v>
      </c>
      <c r="G53" s="7">
        <v>9.303703E-3</v>
      </c>
      <c r="H53" s="47"/>
    </row>
    <row r="54" spans="1:8" ht="17.100000000000001" customHeight="1" x14ac:dyDescent="0.2">
      <c r="A54" s="3">
        <v>48</v>
      </c>
      <c r="B54" s="4" t="s">
        <v>269</v>
      </c>
      <c r="C54" s="4" t="s">
        <v>270</v>
      </c>
      <c r="D54" s="4" t="s">
        <v>91</v>
      </c>
      <c r="E54" s="5">
        <v>59081</v>
      </c>
      <c r="F54" s="6">
        <v>29.038311499999999</v>
      </c>
      <c r="G54" s="7">
        <v>9.1031040000000008E-3</v>
      </c>
      <c r="H54" s="47"/>
    </row>
    <row r="55" spans="1:8" ht="17.100000000000001" customHeight="1" x14ac:dyDescent="0.2">
      <c r="A55" s="3">
        <v>49</v>
      </c>
      <c r="B55" s="4" t="s">
        <v>475</v>
      </c>
      <c r="C55" s="4" t="s">
        <v>476</v>
      </c>
      <c r="D55" s="4" t="s">
        <v>28</v>
      </c>
      <c r="E55" s="5">
        <v>3895</v>
      </c>
      <c r="F55" s="6">
        <v>27.923255000000001</v>
      </c>
      <c r="G55" s="7">
        <v>8.7535489999999994E-3</v>
      </c>
      <c r="H55" s="47"/>
    </row>
    <row r="56" spans="1:8" ht="17.100000000000001" customHeight="1" x14ac:dyDescent="0.2">
      <c r="A56" s="3">
        <v>50</v>
      </c>
      <c r="B56" s="4" t="s">
        <v>234</v>
      </c>
      <c r="C56" s="4" t="s">
        <v>235</v>
      </c>
      <c r="D56" s="4" t="s">
        <v>114</v>
      </c>
      <c r="E56" s="5">
        <v>3908</v>
      </c>
      <c r="F56" s="6">
        <v>26.347736000000001</v>
      </c>
      <c r="G56" s="7">
        <v>8.2596460000000007E-3</v>
      </c>
      <c r="H56" s="47"/>
    </row>
    <row r="57" spans="1:8" ht="29.1" customHeight="1" x14ac:dyDescent="0.2">
      <c r="A57" s="3">
        <v>51</v>
      </c>
      <c r="B57" s="4" t="s">
        <v>250</v>
      </c>
      <c r="C57" s="4" t="s">
        <v>251</v>
      </c>
      <c r="D57" s="4" t="s">
        <v>204</v>
      </c>
      <c r="E57" s="5">
        <v>596</v>
      </c>
      <c r="F57" s="6">
        <v>24.977466</v>
      </c>
      <c r="G57" s="7">
        <v>7.830086E-3</v>
      </c>
      <c r="H57" s="47"/>
    </row>
    <row r="58" spans="1:8" ht="17.100000000000001" customHeight="1" x14ac:dyDescent="0.2">
      <c r="A58" s="3">
        <v>52</v>
      </c>
      <c r="B58" s="4" t="s">
        <v>239</v>
      </c>
      <c r="C58" s="4" t="s">
        <v>240</v>
      </c>
      <c r="D58" s="4" t="s">
        <v>88</v>
      </c>
      <c r="E58" s="5">
        <v>4052</v>
      </c>
      <c r="F58" s="6">
        <v>23.224038</v>
      </c>
      <c r="G58" s="7">
        <v>7.2804109999999997E-3</v>
      </c>
      <c r="H58" s="47"/>
    </row>
    <row r="59" spans="1:8" ht="17.100000000000001" customHeight="1" x14ac:dyDescent="0.2">
      <c r="A59" s="3">
        <v>53</v>
      </c>
      <c r="B59" s="4" t="s">
        <v>248</v>
      </c>
      <c r="C59" s="4" t="s">
        <v>249</v>
      </c>
      <c r="D59" s="4" t="s">
        <v>174</v>
      </c>
      <c r="E59" s="5">
        <v>16207</v>
      </c>
      <c r="F59" s="6">
        <v>21.684965999999999</v>
      </c>
      <c r="G59" s="7">
        <v>6.7979329999999999E-3</v>
      </c>
      <c r="H59" s="47"/>
    </row>
    <row r="60" spans="1:8" ht="17.100000000000001" customHeight="1" x14ac:dyDescent="0.2">
      <c r="A60" s="3">
        <v>54</v>
      </c>
      <c r="B60" s="4" t="s">
        <v>487</v>
      </c>
      <c r="C60" s="4" t="s">
        <v>488</v>
      </c>
      <c r="D60" s="4" t="s">
        <v>28</v>
      </c>
      <c r="E60" s="5">
        <v>815</v>
      </c>
      <c r="F60" s="6">
        <v>19.374994999999998</v>
      </c>
      <c r="G60" s="7">
        <v>6.0737899999999999E-3</v>
      </c>
      <c r="H60" s="47"/>
    </row>
    <row r="61" spans="1:8" ht="17.100000000000001" customHeight="1" x14ac:dyDescent="0.2">
      <c r="A61" s="3">
        <v>55</v>
      </c>
      <c r="B61" s="4" t="s">
        <v>252</v>
      </c>
      <c r="C61" s="4" t="s">
        <v>253</v>
      </c>
      <c r="D61" s="4" t="s">
        <v>97</v>
      </c>
      <c r="E61" s="5">
        <v>22875</v>
      </c>
      <c r="F61" s="6">
        <v>14.9259375</v>
      </c>
      <c r="G61" s="7">
        <v>4.6790720000000003E-3</v>
      </c>
      <c r="H61" s="47"/>
    </row>
    <row r="62" spans="1:8" ht="17.100000000000001" customHeight="1" x14ac:dyDescent="0.2">
      <c r="A62" s="3">
        <v>56</v>
      </c>
      <c r="B62" s="4" t="s">
        <v>489</v>
      </c>
      <c r="C62" s="4" t="s">
        <v>490</v>
      </c>
      <c r="D62" s="4" t="s">
        <v>312</v>
      </c>
      <c r="E62" s="5">
        <v>2232</v>
      </c>
      <c r="F62" s="6">
        <v>13.215672</v>
      </c>
      <c r="G62" s="7">
        <v>4.1429279999999997E-3</v>
      </c>
      <c r="H62" s="47"/>
    </row>
    <row r="63" spans="1:8" ht="29.1" customHeight="1" x14ac:dyDescent="0.2">
      <c r="A63" s="3">
        <v>57</v>
      </c>
      <c r="B63" s="4" t="s">
        <v>258</v>
      </c>
      <c r="C63" s="4" t="s">
        <v>259</v>
      </c>
      <c r="D63" s="4" t="s">
        <v>201</v>
      </c>
      <c r="E63" s="5">
        <v>2348</v>
      </c>
      <c r="F63" s="6">
        <v>12.513666000000001</v>
      </c>
      <c r="G63" s="7">
        <v>3.9228589999999999E-3</v>
      </c>
      <c r="H63" s="47"/>
    </row>
    <row r="64" spans="1:8" ht="17.100000000000001" customHeight="1" x14ac:dyDescent="0.2">
      <c r="A64" s="3">
        <v>58</v>
      </c>
      <c r="B64" s="4" t="s">
        <v>288</v>
      </c>
      <c r="C64" s="4" t="s">
        <v>289</v>
      </c>
      <c r="D64" s="4" t="s">
        <v>19</v>
      </c>
      <c r="E64" s="5">
        <v>4701</v>
      </c>
      <c r="F64" s="6">
        <v>9.0776310000000002</v>
      </c>
      <c r="G64" s="7">
        <v>2.84571E-3</v>
      </c>
      <c r="H64" s="47"/>
    </row>
    <row r="65" spans="1:8" ht="17.100000000000001" customHeight="1" x14ac:dyDescent="0.2">
      <c r="A65" s="3">
        <v>59</v>
      </c>
      <c r="B65" s="4" t="s">
        <v>493</v>
      </c>
      <c r="C65" s="4" t="s">
        <v>494</v>
      </c>
      <c r="D65" s="4" t="s">
        <v>28</v>
      </c>
      <c r="E65" s="5">
        <v>664</v>
      </c>
      <c r="F65" s="6">
        <v>6.8318960000000004</v>
      </c>
      <c r="G65" s="7">
        <v>2.1417039999999999E-3</v>
      </c>
      <c r="H65" s="47"/>
    </row>
    <row r="66" spans="1:8" ht="14.1" customHeight="1" x14ac:dyDescent="0.2">
      <c r="A66" s="1"/>
      <c r="B66" s="1"/>
      <c r="C66" s="2" t="s">
        <v>122</v>
      </c>
      <c r="D66" s="1"/>
      <c r="E66" s="1" t="s">
        <v>123</v>
      </c>
      <c r="F66" s="9">
        <v>2959.373548</v>
      </c>
      <c r="G66" s="10">
        <v>0.92772216299999999</v>
      </c>
      <c r="H66" s="47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47"/>
    </row>
    <row r="68" spans="1:8" ht="14.1" customHeight="1" x14ac:dyDescent="0.2">
      <c r="A68" s="1"/>
      <c r="B68" s="1"/>
      <c r="C68" s="2" t="s">
        <v>124</v>
      </c>
      <c r="D68" s="1"/>
      <c r="E68" s="1"/>
      <c r="F68" s="1"/>
      <c r="G68" s="1"/>
      <c r="H68" s="47"/>
    </row>
    <row r="69" spans="1:8" ht="14.1" customHeight="1" x14ac:dyDescent="0.2">
      <c r="A69" s="1"/>
      <c r="B69" s="1"/>
      <c r="C69" s="2" t="s">
        <v>122</v>
      </c>
      <c r="D69" s="1"/>
      <c r="E69" s="1" t="s">
        <v>123</v>
      </c>
      <c r="F69" s="13">
        <v>0</v>
      </c>
      <c r="G69" s="14">
        <v>0</v>
      </c>
      <c r="H69" s="47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47"/>
    </row>
    <row r="71" spans="1:8" ht="14.1" customHeight="1" x14ac:dyDescent="0.2">
      <c r="A71" s="1"/>
      <c r="B71" s="1"/>
      <c r="C71" s="2" t="s">
        <v>125</v>
      </c>
      <c r="D71" s="1"/>
      <c r="E71" s="1"/>
      <c r="F71" s="1"/>
      <c r="G71" s="1"/>
      <c r="H71" s="47"/>
    </row>
    <row r="72" spans="1:8" ht="14.1" customHeight="1" x14ac:dyDescent="0.2">
      <c r="A72" s="1"/>
      <c r="B72" s="1"/>
      <c r="C72" s="2" t="s">
        <v>122</v>
      </c>
      <c r="D72" s="1"/>
      <c r="E72" s="1" t="s">
        <v>123</v>
      </c>
      <c r="F72" s="13">
        <v>0</v>
      </c>
      <c r="G72" s="14">
        <v>0</v>
      </c>
      <c r="H72" s="47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47"/>
    </row>
    <row r="74" spans="1:8" ht="14.1" customHeight="1" x14ac:dyDescent="0.2">
      <c r="A74" s="1"/>
      <c r="B74" s="1"/>
      <c r="C74" s="2" t="s">
        <v>126</v>
      </c>
      <c r="D74" s="1"/>
      <c r="E74" s="1"/>
      <c r="F74" s="1"/>
      <c r="G74" s="1"/>
      <c r="H74" s="47"/>
    </row>
    <row r="75" spans="1:8" ht="14.1" customHeight="1" x14ac:dyDescent="0.2">
      <c r="A75" s="1"/>
      <c r="B75" s="1"/>
      <c r="C75" s="2" t="s">
        <v>122</v>
      </c>
      <c r="D75" s="1"/>
      <c r="E75" s="1" t="s">
        <v>123</v>
      </c>
      <c r="F75" s="13">
        <v>0</v>
      </c>
      <c r="G75" s="14">
        <v>0</v>
      </c>
      <c r="H75" s="47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47"/>
    </row>
    <row r="77" spans="1:8" ht="14.1" customHeight="1" x14ac:dyDescent="0.2">
      <c r="A77" s="1"/>
      <c r="B77" s="1"/>
      <c r="C77" s="2" t="s">
        <v>127</v>
      </c>
      <c r="D77" s="1"/>
      <c r="E77" s="1"/>
      <c r="F77" s="12"/>
      <c r="G77" s="12"/>
      <c r="H77" s="47"/>
    </row>
    <row r="78" spans="1:8" ht="14.1" customHeight="1" x14ac:dyDescent="0.2">
      <c r="A78" s="1"/>
      <c r="B78" s="1"/>
      <c r="C78" s="2" t="s">
        <v>122</v>
      </c>
      <c r="D78" s="1"/>
      <c r="E78" s="1" t="s">
        <v>123</v>
      </c>
      <c r="F78" s="13">
        <v>0</v>
      </c>
      <c r="G78" s="14">
        <v>0</v>
      </c>
      <c r="H78" s="47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128</v>
      </c>
      <c r="D80" s="1"/>
      <c r="E80" s="1"/>
      <c r="F80" s="12"/>
      <c r="G80" s="12"/>
      <c r="H80" s="47"/>
    </row>
    <row r="81" spans="1:8" ht="14.1" customHeight="1" x14ac:dyDescent="0.2">
      <c r="A81" s="1"/>
      <c r="B81" s="1"/>
      <c r="C81" s="2" t="s">
        <v>122</v>
      </c>
      <c r="D81" s="1"/>
      <c r="E81" s="1" t="s">
        <v>123</v>
      </c>
      <c r="F81" s="13">
        <v>0</v>
      </c>
      <c r="G81" s="14">
        <v>0</v>
      </c>
      <c r="H81" s="47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47"/>
    </row>
    <row r="83" spans="1:8" ht="18" customHeight="1" x14ac:dyDescent="0.2">
      <c r="A83" s="1"/>
      <c r="B83" s="1"/>
      <c r="C83" s="2" t="s">
        <v>129</v>
      </c>
      <c r="D83" s="1"/>
      <c r="E83" s="1"/>
      <c r="F83" s="9">
        <v>2959.373548</v>
      </c>
      <c r="G83" s="10">
        <v>0.92772216299999999</v>
      </c>
      <c r="H83" s="47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130</v>
      </c>
      <c r="D85" s="1"/>
      <c r="E85" s="1"/>
      <c r="F85" s="12"/>
      <c r="G85" s="12"/>
      <c r="H85" s="47"/>
    </row>
    <row r="86" spans="1:8" ht="24" customHeight="1" x14ac:dyDescent="0.2">
      <c r="A86" s="1"/>
      <c r="B86" s="1"/>
      <c r="C86" s="2" t="s">
        <v>10</v>
      </c>
      <c r="D86" s="1"/>
      <c r="E86" s="1"/>
      <c r="F86" s="12"/>
      <c r="G86" s="12"/>
      <c r="H86" s="47"/>
    </row>
    <row r="87" spans="1:8" ht="14.1" customHeight="1" x14ac:dyDescent="0.2">
      <c r="A87" s="1"/>
      <c r="B87" s="1"/>
      <c r="C87" s="2" t="s">
        <v>122</v>
      </c>
      <c r="D87" s="1"/>
      <c r="E87" s="1" t="s">
        <v>123</v>
      </c>
      <c r="F87" s="13">
        <v>0</v>
      </c>
      <c r="G87" s="14">
        <v>0</v>
      </c>
      <c r="H87" s="47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131</v>
      </c>
      <c r="D89" s="1"/>
      <c r="E89" s="1"/>
      <c r="F89" s="1"/>
      <c r="G89" s="1"/>
      <c r="H89" s="47"/>
    </row>
    <row r="90" spans="1:8" ht="14.1" customHeight="1" x14ac:dyDescent="0.2">
      <c r="A90" s="1"/>
      <c r="B90" s="1"/>
      <c r="C90" s="2" t="s">
        <v>122</v>
      </c>
      <c r="D90" s="1"/>
      <c r="E90" s="1" t="s">
        <v>123</v>
      </c>
      <c r="F90" s="13">
        <v>0</v>
      </c>
      <c r="G90" s="14">
        <v>0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132</v>
      </c>
      <c r="D92" s="1"/>
      <c r="E92" s="1"/>
      <c r="F92" s="1"/>
      <c r="G92" s="1"/>
      <c r="H92" s="47"/>
    </row>
    <row r="93" spans="1:8" ht="14.1" customHeight="1" x14ac:dyDescent="0.2">
      <c r="A93" s="1"/>
      <c r="B93" s="1"/>
      <c r="C93" s="2" t="s">
        <v>122</v>
      </c>
      <c r="D93" s="1"/>
      <c r="E93" s="1" t="s">
        <v>123</v>
      </c>
      <c r="F93" s="13">
        <v>0</v>
      </c>
      <c r="G93" s="14">
        <v>0</v>
      </c>
      <c r="H93" s="47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47"/>
    </row>
    <row r="95" spans="1:8" ht="14.1" customHeight="1" x14ac:dyDescent="0.2">
      <c r="A95" s="1"/>
      <c r="B95" s="1"/>
      <c r="C95" s="2" t="s">
        <v>133</v>
      </c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122</v>
      </c>
      <c r="D96" s="1"/>
      <c r="E96" s="1" t="s">
        <v>123</v>
      </c>
      <c r="F96" s="13">
        <v>0</v>
      </c>
      <c r="G96" s="14">
        <v>0</v>
      </c>
      <c r="H96" s="47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134</v>
      </c>
      <c r="D98" s="1"/>
      <c r="E98" s="1"/>
      <c r="F98" s="9">
        <v>0</v>
      </c>
      <c r="G98" s="10">
        <v>0</v>
      </c>
      <c r="H98" s="47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47"/>
    </row>
    <row r="100" spans="1:8" ht="14.1" customHeight="1" x14ac:dyDescent="0.2">
      <c r="A100" s="1"/>
      <c r="B100" s="1"/>
      <c r="C100" s="2" t="s">
        <v>135</v>
      </c>
      <c r="D100" s="1"/>
      <c r="E100" s="1"/>
      <c r="F100" s="12"/>
      <c r="G100" s="12"/>
      <c r="H100" s="47"/>
    </row>
    <row r="101" spans="1:8" ht="14.1" customHeight="1" x14ac:dyDescent="0.2">
      <c r="A101" s="1"/>
      <c r="B101" s="1"/>
      <c r="C101" s="2" t="s">
        <v>136</v>
      </c>
      <c r="D101" s="1"/>
      <c r="E101" s="1"/>
      <c r="F101" s="12"/>
      <c r="G101" s="12"/>
      <c r="H101" s="47"/>
    </row>
    <row r="102" spans="1:8" ht="14.1" customHeight="1" x14ac:dyDescent="0.2">
      <c r="A102" s="1"/>
      <c r="B102" s="1"/>
      <c r="C102" s="2" t="s">
        <v>122</v>
      </c>
      <c r="D102" s="1"/>
      <c r="E102" s="1" t="s">
        <v>123</v>
      </c>
      <c r="F102" s="13">
        <v>0</v>
      </c>
      <c r="G102" s="14">
        <v>0</v>
      </c>
      <c r="H102" s="47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2" t="s">
        <v>137</v>
      </c>
      <c r="D104" s="1"/>
      <c r="E104" s="1"/>
      <c r="F104" s="12"/>
      <c r="G104" s="12"/>
      <c r="H104" s="47"/>
    </row>
    <row r="105" spans="1:8" ht="14.1" customHeight="1" x14ac:dyDescent="0.2">
      <c r="A105" s="1"/>
      <c r="B105" s="1"/>
      <c r="C105" s="2" t="s">
        <v>122</v>
      </c>
      <c r="D105" s="1"/>
      <c r="E105" s="1" t="s">
        <v>123</v>
      </c>
      <c r="F105" s="13">
        <v>0</v>
      </c>
      <c r="G105" s="14">
        <v>0</v>
      </c>
      <c r="H105" s="47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47"/>
    </row>
    <row r="107" spans="1:8" ht="14.1" customHeight="1" x14ac:dyDescent="0.2">
      <c r="A107" s="1"/>
      <c r="B107" s="1"/>
      <c r="C107" s="2" t="s">
        <v>138</v>
      </c>
      <c r="D107" s="1"/>
      <c r="E107" s="1"/>
      <c r="F107" s="12"/>
      <c r="G107" s="12"/>
      <c r="H107" s="47"/>
    </row>
    <row r="108" spans="1:8" ht="14.1" customHeight="1" x14ac:dyDescent="0.2">
      <c r="A108" s="1"/>
      <c r="B108" s="1"/>
      <c r="C108" s="2" t="s">
        <v>122</v>
      </c>
      <c r="D108" s="1"/>
      <c r="E108" s="1" t="s">
        <v>123</v>
      </c>
      <c r="F108" s="13">
        <v>0</v>
      </c>
      <c r="G108" s="14">
        <v>0</v>
      </c>
      <c r="H108" s="47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2" t="s">
        <v>139</v>
      </c>
      <c r="D110" s="1"/>
      <c r="E110" s="1"/>
      <c r="F110" s="12"/>
      <c r="G110" s="12"/>
      <c r="H110" s="47"/>
    </row>
    <row r="111" spans="1:8" ht="17.100000000000001" customHeight="1" x14ac:dyDescent="0.2">
      <c r="A111" s="3">
        <v>1</v>
      </c>
      <c r="B111" s="4"/>
      <c r="C111" s="4" t="s">
        <v>140</v>
      </c>
      <c r="D111" s="4"/>
      <c r="E111" s="8"/>
      <c r="F111" s="6">
        <v>186.6588022</v>
      </c>
      <c r="G111" s="7">
        <v>5.8514919999999998E-2</v>
      </c>
      <c r="H111" s="47">
        <v>4.6730752161314033</v>
      </c>
    </row>
    <row r="112" spans="1:8" ht="14.1" customHeight="1" x14ac:dyDescent="0.2">
      <c r="A112" s="1"/>
      <c r="B112" s="1"/>
      <c r="C112" s="2" t="s">
        <v>122</v>
      </c>
      <c r="D112" s="1"/>
      <c r="E112" s="1" t="s">
        <v>123</v>
      </c>
      <c r="F112" s="9">
        <v>186.6588022</v>
      </c>
      <c r="G112" s="10">
        <v>5.8514919999999998E-2</v>
      </c>
      <c r="H112" s="47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47"/>
    </row>
    <row r="114" spans="1:8" ht="14.1" customHeight="1" x14ac:dyDescent="0.2">
      <c r="A114" s="1"/>
      <c r="B114" s="1"/>
      <c r="C114" s="2" t="s">
        <v>141</v>
      </c>
      <c r="D114" s="1"/>
      <c r="E114" s="1"/>
      <c r="F114" s="9">
        <v>186.6588022</v>
      </c>
      <c r="G114" s="10">
        <v>5.8514919999999998E-2</v>
      </c>
      <c r="H114" s="47"/>
    </row>
    <row r="115" spans="1:8" ht="14.1" customHeight="1" x14ac:dyDescent="0.2">
      <c r="A115" s="1"/>
      <c r="B115" s="1"/>
      <c r="C115" s="12"/>
      <c r="D115" s="1"/>
      <c r="E115" s="1"/>
      <c r="F115" s="1"/>
      <c r="G115" s="1"/>
      <c r="H115" s="47"/>
    </row>
    <row r="116" spans="1:8" ht="14.1" customHeight="1" x14ac:dyDescent="0.2">
      <c r="A116" s="1"/>
      <c r="B116" s="1"/>
      <c r="C116" s="2" t="s">
        <v>142</v>
      </c>
      <c r="D116" s="1"/>
      <c r="E116" s="1"/>
      <c r="F116" s="1"/>
      <c r="G116" s="1"/>
      <c r="H116" s="47"/>
    </row>
    <row r="117" spans="1:8" ht="14.1" customHeight="1" x14ac:dyDescent="0.2">
      <c r="A117" s="1"/>
      <c r="B117" s="1"/>
      <c r="C117" s="2" t="s">
        <v>143</v>
      </c>
      <c r="D117" s="1"/>
      <c r="E117" s="1"/>
      <c r="F117" s="1"/>
      <c r="G117" s="1"/>
      <c r="H117" s="47"/>
    </row>
    <row r="118" spans="1:8" ht="14.1" customHeight="1" x14ac:dyDescent="0.2">
      <c r="A118" s="1"/>
      <c r="B118" s="1"/>
      <c r="C118" s="2" t="s">
        <v>122</v>
      </c>
      <c r="D118" s="1"/>
      <c r="E118" s="1" t="s">
        <v>123</v>
      </c>
      <c r="F118" s="13">
        <v>0</v>
      </c>
      <c r="G118" s="14">
        <v>0</v>
      </c>
      <c r="H118" s="47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47"/>
    </row>
    <row r="120" spans="1:8" ht="14.1" customHeight="1" x14ac:dyDescent="0.2">
      <c r="A120" s="1"/>
      <c r="B120" s="1"/>
      <c r="C120" s="2" t="s">
        <v>144</v>
      </c>
      <c r="D120" s="1"/>
      <c r="E120" s="1"/>
      <c r="F120" s="1"/>
      <c r="G120" s="1"/>
      <c r="H120" s="47"/>
    </row>
    <row r="121" spans="1:8" ht="14.1" customHeight="1" x14ac:dyDescent="0.2">
      <c r="A121" s="1"/>
      <c r="B121" s="1"/>
      <c r="C121" s="2" t="s">
        <v>145</v>
      </c>
      <c r="D121" s="1"/>
      <c r="E121" s="1"/>
      <c r="F121" s="1"/>
      <c r="G121" s="1"/>
      <c r="H121" s="47"/>
    </row>
    <row r="122" spans="1:8" ht="14.1" customHeight="1" x14ac:dyDescent="0.2">
      <c r="A122" s="1"/>
      <c r="B122" s="1"/>
      <c r="C122" s="2" t="s">
        <v>122</v>
      </c>
      <c r="D122" s="1"/>
      <c r="E122" s="1" t="s">
        <v>123</v>
      </c>
      <c r="F122" s="13">
        <v>0</v>
      </c>
      <c r="G122" s="14">
        <v>0</v>
      </c>
      <c r="H122" s="47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47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47"/>
    </row>
    <row r="125" spans="1:8" ht="24" customHeight="1" x14ac:dyDescent="0.2">
      <c r="A125" s="1"/>
      <c r="B125" s="1"/>
      <c r="C125" s="2" t="s">
        <v>146</v>
      </c>
      <c r="D125" s="1"/>
      <c r="E125" s="1"/>
      <c r="F125" s="12"/>
      <c r="G125" s="12"/>
      <c r="H125" s="47"/>
    </row>
    <row r="126" spans="1:8" ht="14.1" customHeight="1" x14ac:dyDescent="0.2">
      <c r="A126" s="1"/>
      <c r="B126" s="1"/>
      <c r="C126" s="2" t="s">
        <v>122</v>
      </c>
      <c r="D126" s="1"/>
      <c r="E126" s="1" t="s">
        <v>123</v>
      </c>
      <c r="F126" s="13">
        <v>0</v>
      </c>
      <c r="G126" s="14">
        <v>0</v>
      </c>
      <c r="H126" s="47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47"/>
    </row>
    <row r="128" spans="1:8" ht="14.1" customHeight="1" x14ac:dyDescent="0.2">
      <c r="A128" s="1"/>
      <c r="B128" s="4"/>
      <c r="C128" s="4"/>
      <c r="D128" s="2"/>
      <c r="E128" s="1"/>
      <c r="F128" s="4"/>
      <c r="G128" s="8"/>
      <c r="H128" s="47"/>
    </row>
    <row r="129" spans="1:8" ht="18" customHeight="1" x14ac:dyDescent="0.2">
      <c r="A129" s="8"/>
      <c r="B129" s="4"/>
      <c r="C129" s="4" t="s">
        <v>147</v>
      </c>
      <c r="D129" s="4"/>
      <c r="E129" s="8"/>
      <c r="F129" s="6">
        <v>43.902812089999998</v>
      </c>
      <c r="G129" s="7">
        <v>1.3762917E-2</v>
      </c>
      <c r="H129" s="47"/>
    </row>
    <row r="130" spans="1:8" ht="14.1" customHeight="1" x14ac:dyDescent="0.2">
      <c r="A130" s="11"/>
      <c r="B130" s="11"/>
      <c r="C130" s="2" t="s">
        <v>148</v>
      </c>
      <c r="D130" s="15"/>
      <c r="E130" s="15"/>
      <c r="F130" s="9">
        <v>3189.9351622899999</v>
      </c>
      <c r="G130" s="10">
        <v>1</v>
      </c>
      <c r="H130" s="47"/>
    </row>
    <row r="131" spans="1:8" ht="14.1" customHeight="1" x14ac:dyDescent="0.2">
      <c r="A131" s="16"/>
      <c r="B131" s="16"/>
      <c r="C131" s="16"/>
      <c r="D131" s="17"/>
      <c r="E131" s="17"/>
      <c r="F131" s="17"/>
      <c r="G131" s="17"/>
    </row>
    <row r="132" spans="1:8" ht="14.1" customHeight="1" x14ac:dyDescent="0.2">
      <c r="A132" s="18"/>
      <c r="B132" s="257" t="s">
        <v>150</v>
      </c>
      <c r="C132" s="258"/>
      <c r="D132" s="12" t="s">
        <v>123</v>
      </c>
      <c r="E132" s="21"/>
      <c r="F132" s="20"/>
      <c r="G132" s="20"/>
    </row>
    <row r="133" spans="1:8" ht="29.1" customHeight="1" x14ac:dyDescent="0.2">
      <c r="A133" s="18"/>
      <c r="B133" s="259" t="s">
        <v>151</v>
      </c>
      <c r="C133" s="260"/>
      <c r="D133" s="2" t="s">
        <v>152</v>
      </c>
      <c r="E133" s="21"/>
      <c r="F133" s="20"/>
      <c r="G133" s="20"/>
    </row>
    <row r="134" spans="1:8" ht="17.100000000000001" customHeight="1" x14ac:dyDescent="0.2">
      <c r="A134" s="18"/>
      <c r="B134" s="259" t="s">
        <v>153</v>
      </c>
      <c r="C134" s="260"/>
      <c r="D134" s="2" t="s">
        <v>152</v>
      </c>
      <c r="E134" s="21"/>
      <c r="F134" s="20"/>
      <c r="G134" s="20"/>
    </row>
    <row r="135" spans="1:8" ht="17.100000000000001" customHeight="1" x14ac:dyDescent="0.2">
      <c r="A135" s="18"/>
      <c r="B135" s="259" t="s">
        <v>154</v>
      </c>
      <c r="C135" s="260"/>
      <c r="D135" s="12" t="s">
        <v>123</v>
      </c>
      <c r="E135" s="21"/>
      <c r="F135" s="20"/>
      <c r="G135" s="20"/>
    </row>
    <row r="136" spans="1:8" ht="24" customHeight="1" x14ac:dyDescent="0.2">
      <c r="A136" s="22"/>
      <c r="B136" s="23" t="s">
        <v>123</v>
      </c>
      <c r="C136" s="23" t="s">
        <v>155</v>
      </c>
      <c r="D136" s="23" t="s">
        <v>156</v>
      </c>
      <c r="E136" s="22"/>
      <c r="F136" s="22"/>
      <c r="G136" s="22"/>
    </row>
    <row r="137" spans="1:8" ht="18" customHeight="1" x14ac:dyDescent="0.2">
      <c r="A137" s="22"/>
      <c r="B137" s="23" t="s">
        <v>157</v>
      </c>
      <c r="C137" s="23" t="s">
        <v>158</v>
      </c>
      <c r="D137" s="23" t="s">
        <v>159</v>
      </c>
      <c r="E137" s="22"/>
      <c r="F137" s="22"/>
      <c r="G137" s="22"/>
    </row>
    <row r="138" spans="1:8" ht="17.100000000000001" customHeight="1" x14ac:dyDescent="0.2">
      <c r="A138" s="22"/>
      <c r="B138" s="4" t="s">
        <v>160</v>
      </c>
      <c r="C138" s="24">
        <v>15.1623</v>
      </c>
      <c r="D138" s="24">
        <v>14.6242</v>
      </c>
      <c r="E138" s="22"/>
      <c r="F138" s="19"/>
      <c r="G138" s="25"/>
    </row>
    <row r="139" spans="1:8" ht="17.100000000000001" customHeight="1" x14ac:dyDescent="0.2">
      <c r="A139" s="22"/>
      <c r="B139" s="4" t="s">
        <v>1101</v>
      </c>
      <c r="C139" s="24">
        <v>15.1622</v>
      </c>
      <c r="D139" s="24">
        <v>14.6242</v>
      </c>
      <c r="E139" s="22"/>
      <c r="F139" s="19"/>
      <c r="G139" s="25"/>
    </row>
    <row r="140" spans="1:8" ht="17.100000000000001" customHeight="1" x14ac:dyDescent="0.2">
      <c r="A140" s="22"/>
      <c r="B140" s="4" t="s">
        <v>161</v>
      </c>
      <c r="C140" s="24">
        <v>14.7872</v>
      </c>
      <c r="D140" s="24">
        <v>14.2577</v>
      </c>
      <c r="E140" s="22"/>
      <c r="F140" s="19"/>
      <c r="G140" s="25"/>
    </row>
    <row r="141" spans="1:8" ht="17.100000000000001" customHeight="1" x14ac:dyDescent="0.2">
      <c r="A141" s="22"/>
      <c r="B141" s="4" t="s">
        <v>1102</v>
      </c>
      <c r="C141" s="24">
        <v>14.7872</v>
      </c>
      <c r="D141" s="24">
        <v>14.2578</v>
      </c>
      <c r="E141" s="22"/>
      <c r="F141" s="19"/>
      <c r="G141" s="25"/>
    </row>
    <row r="142" spans="1:8" ht="14.1" customHeight="1" x14ac:dyDescent="0.2">
      <c r="A142" s="22"/>
      <c r="B142" s="22"/>
      <c r="C142" s="22"/>
      <c r="D142" s="22"/>
      <c r="E142" s="22"/>
      <c r="F142" s="22"/>
      <c r="G142" s="22"/>
    </row>
    <row r="143" spans="1:8" ht="17.100000000000001" customHeight="1" x14ac:dyDescent="0.2">
      <c r="A143" s="22"/>
      <c r="B143" s="259" t="s">
        <v>1103</v>
      </c>
      <c r="C143" s="260"/>
      <c r="D143" s="2" t="s">
        <v>152</v>
      </c>
      <c r="E143" s="22"/>
      <c r="F143" s="22"/>
      <c r="G143" s="22"/>
    </row>
    <row r="144" spans="1:8" ht="18" customHeight="1" x14ac:dyDescent="0.2">
      <c r="A144" s="22"/>
      <c r="B144" s="26"/>
      <c r="C144" s="26"/>
      <c r="D144" s="27"/>
      <c r="E144" s="22"/>
      <c r="F144" s="22"/>
      <c r="G144" s="22"/>
    </row>
    <row r="145" spans="1:14" ht="29.1" customHeight="1" x14ac:dyDescent="0.2">
      <c r="A145" s="22"/>
      <c r="B145" s="259" t="s">
        <v>162</v>
      </c>
      <c r="C145" s="260"/>
      <c r="D145" s="2" t="s">
        <v>152</v>
      </c>
      <c r="E145" s="22"/>
      <c r="F145" s="22"/>
      <c r="G145" s="22"/>
    </row>
    <row r="146" spans="1:14" ht="29.1" customHeight="1" x14ac:dyDescent="0.2">
      <c r="A146" s="22"/>
      <c r="B146" s="259" t="s">
        <v>163</v>
      </c>
      <c r="C146" s="260"/>
      <c r="D146" s="2" t="s">
        <v>152</v>
      </c>
      <c r="E146" s="22"/>
      <c r="F146" s="22"/>
      <c r="G146" s="22"/>
    </row>
    <row r="147" spans="1:14" ht="17.100000000000001" customHeight="1" x14ac:dyDescent="0.2">
      <c r="A147" s="22"/>
      <c r="B147" s="259" t="s">
        <v>164</v>
      </c>
      <c r="C147" s="260"/>
      <c r="D147" s="28">
        <v>0.2001666694836336</v>
      </c>
      <c r="E147" s="22"/>
      <c r="F147" s="19"/>
      <c r="G147" s="25"/>
    </row>
    <row r="148" spans="1:14" ht="17.100000000000001" customHeight="1" x14ac:dyDescent="0.2">
      <c r="A148" s="22"/>
      <c r="B148" s="259" t="s">
        <v>165</v>
      </c>
      <c r="C148" s="260"/>
      <c r="D148" s="2" t="s">
        <v>152</v>
      </c>
      <c r="E148" s="22"/>
      <c r="F148" s="22"/>
      <c r="G148" s="22"/>
    </row>
    <row r="155" spans="1:14" x14ac:dyDescent="0.2">
      <c r="J155" s="148"/>
      <c r="K155" s="148"/>
      <c r="L155" s="148"/>
      <c r="M155" s="148"/>
      <c r="N155" s="148"/>
    </row>
  </sheetData>
  <mergeCells count="13">
    <mergeCell ref="J2:N2"/>
    <mergeCell ref="A1:H1"/>
    <mergeCell ref="A2:H2"/>
    <mergeCell ref="A3:H3"/>
    <mergeCell ref="B132:C132"/>
    <mergeCell ref="B147:C147"/>
    <mergeCell ref="B148:C148"/>
    <mergeCell ref="B133:C133"/>
    <mergeCell ref="B134:C134"/>
    <mergeCell ref="B135:C135"/>
    <mergeCell ref="B143:C143"/>
    <mergeCell ref="B145:C145"/>
    <mergeCell ref="B146:C14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N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508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29.1" customHeight="1" x14ac:dyDescent="0.2">
      <c r="A7" s="3">
        <v>1</v>
      </c>
      <c r="B7" s="4" t="s">
        <v>199</v>
      </c>
      <c r="C7" s="4" t="s">
        <v>200</v>
      </c>
      <c r="D7" s="4" t="s">
        <v>201</v>
      </c>
      <c r="E7" s="5">
        <v>1808</v>
      </c>
      <c r="F7" s="6">
        <v>66.020927999999998</v>
      </c>
      <c r="G7" s="7">
        <v>3.2972369000000001E-2</v>
      </c>
      <c r="H7" s="47"/>
    </row>
    <row r="8" spans="1:14" ht="17.100000000000001" customHeight="1" x14ac:dyDescent="0.2">
      <c r="A8" s="3">
        <v>2</v>
      </c>
      <c r="B8" s="4" t="s">
        <v>261</v>
      </c>
      <c r="C8" s="4" t="s">
        <v>262</v>
      </c>
      <c r="D8" s="4" t="s">
        <v>80</v>
      </c>
      <c r="E8" s="5">
        <v>33671</v>
      </c>
      <c r="F8" s="6">
        <v>64.530471500000004</v>
      </c>
      <c r="G8" s="7">
        <v>3.2228000999999999E-2</v>
      </c>
      <c r="H8" s="47"/>
    </row>
    <row r="9" spans="1:14" ht="17.100000000000001" customHeight="1" x14ac:dyDescent="0.2">
      <c r="A9" s="3">
        <v>3</v>
      </c>
      <c r="B9" s="4" t="s">
        <v>185</v>
      </c>
      <c r="C9" s="4" t="s">
        <v>186</v>
      </c>
      <c r="D9" s="4" t="s">
        <v>88</v>
      </c>
      <c r="E9" s="5">
        <v>11929</v>
      </c>
      <c r="F9" s="6">
        <v>62.710752999999997</v>
      </c>
      <c r="G9" s="7">
        <v>3.1319192000000003E-2</v>
      </c>
      <c r="H9" s="47"/>
    </row>
    <row r="10" spans="1:14" ht="17.100000000000001" customHeight="1" x14ac:dyDescent="0.2">
      <c r="A10" s="3">
        <v>4</v>
      </c>
      <c r="B10" s="4" t="s">
        <v>254</v>
      </c>
      <c r="C10" s="4" t="s">
        <v>255</v>
      </c>
      <c r="D10" s="4" t="s">
        <v>28</v>
      </c>
      <c r="E10" s="5">
        <v>5321</v>
      </c>
      <c r="F10" s="6">
        <v>61.327185499999999</v>
      </c>
      <c r="G10" s="7">
        <v>3.0628206000000002E-2</v>
      </c>
      <c r="H10" s="47"/>
    </row>
    <row r="11" spans="1:14" ht="29.1" customHeight="1" x14ac:dyDescent="0.2">
      <c r="A11" s="3">
        <v>5</v>
      </c>
      <c r="B11" s="4" t="s">
        <v>175</v>
      </c>
      <c r="C11" s="4" t="s">
        <v>176</v>
      </c>
      <c r="D11" s="4" t="s">
        <v>88</v>
      </c>
      <c r="E11" s="5">
        <v>17793</v>
      </c>
      <c r="F11" s="6">
        <v>60.522889499999998</v>
      </c>
      <c r="G11" s="7">
        <v>3.0226523000000002E-2</v>
      </c>
      <c r="H11" s="47"/>
    </row>
    <row r="12" spans="1:14" ht="17.100000000000001" customHeight="1" x14ac:dyDescent="0.2">
      <c r="A12" s="3">
        <v>6</v>
      </c>
      <c r="B12" s="4" t="s">
        <v>467</v>
      </c>
      <c r="C12" s="4" t="s">
        <v>468</v>
      </c>
      <c r="D12" s="4" t="s">
        <v>28</v>
      </c>
      <c r="E12" s="5">
        <v>8948</v>
      </c>
      <c r="F12" s="6">
        <v>59.607101999999998</v>
      </c>
      <c r="G12" s="7">
        <v>2.9769157000000001E-2</v>
      </c>
      <c r="H12" s="47"/>
    </row>
    <row r="13" spans="1:14" ht="17.100000000000001" customHeight="1" x14ac:dyDescent="0.2">
      <c r="A13" s="3">
        <v>7</v>
      </c>
      <c r="B13" s="4" t="s">
        <v>241</v>
      </c>
      <c r="C13" s="4" t="s">
        <v>242</v>
      </c>
      <c r="D13" s="4" t="s">
        <v>243</v>
      </c>
      <c r="E13" s="5">
        <v>10907</v>
      </c>
      <c r="F13" s="6">
        <v>55.456641500000003</v>
      </c>
      <c r="G13" s="7">
        <v>2.7696321999999999E-2</v>
      </c>
      <c r="H13" s="47"/>
      <c r="J13" s="147" t="s">
        <v>1117</v>
      </c>
    </row>
    <row r="14" spans="1:14" ht="17.100000000000001" customHeight="1" x14ac:dyDescent="0.2">
      <c r="A14" s="3">
        <v>8</v>
      </c>
      <c r="B14" s="4" t="s">
        <v>86</v>
      </c>
      <c r="C14" s="4" t="s">
        <v>87</v>
      </c>
      <c r="D14" s="4" t="s">
        <v>88</v>
      </c>
      <c r="E14" s="5">
        <v>12315</v>
      </c>
      <c r="F14" s="6">
        <v>53.410155000000003</v>
      </c>
      <c r="G14" s="7">
        <v>2.6674258999999999E-2</v>
      </c>
      <c r="H14" s="47"/>
    </row>
    <row r="15" spans="1:14" ht="17.100000000000001" customHeight="1" x14ac:dyDescent="0.2">
      <c r="A15" s="3">
        <v>9</v>
      </c>
      <c r="B15" s="4" t="s">
        <v>34</v>
      </c>
      <c r="C15" s="4" t="s">
        <v>35</v>
      </c>
      <c r="D15" s="4" t="s">
        <v>28</v>
      </c>
      <c r="E15" s="5">
        <v>3493</v>
      </c>
      <c r="F15" s="6">
        <v>51.8273875</v>
      </c>
      <c r="G15" s="7">
        <v>2.5883789000000001E-2</v>
      </c>
      <c r="H15" s="47"/>
    </row>
    <row r="16" spans="1:14" ht="17.100000000000001" customHeight="1" x14ac:dyDescent="0.2">
      <c r="A16" s="3">
        <v>10</v>
      </c>
      <c r="B16" s="4" t="s">
        <v>177</v>
      </c>
      <c r="C16" s="4" t="s">
        <v>178</v>
      </c>
      <c r="D16" s="4" t="s">
        <v>91</v>
      </c>
      <c r="E16" s="5">
        <v>59758</v>
      </c>
      <c r="F16" s="6">
        <v>49.001559999999998</v>
      </c>
      <c r="G16" s="7">
        <v>2.4472506000000002E-2</v>
      </c>
      <c r="H16" s="47"/>
    </row>
    <row r="17" spans="1:8" ht="17.100000000000001" customHeight="1" x14ac:dyDescent="0.2">
      <c r="A17" s="3">
        <v>11</v>
      </c>
      <c r="B17" s="4" t="s">
        <v>189</v>
      </c>
      <c r="C17" s="4" t="s">
        <v>190</v>
      </c>
      <c r="D17" s="4" t="s">
        <v>191</v>
      </c>
      <c r="E17" s="5">
        <v>8856</v>
      </c>
      <c r="F17" s="6">
        <v>45.843083999999998</v>
      </c>
      <c r="G17" s="7">
        <v>2.289509E-2</v>
      </c>
      <c r="H17" s="47"/>
    </row>
    <row r="18" spans="1:8" ht="17.100000000000001" customHeight="1" x14ac:dyDescent="0.2">
      <c r="A18" s="3">
        <v>12</v>
      </c>
      <c r="B18" s="4" t="s">
        <v>228</v>
      </c>
      <c r="C18" s="4" t="s">
        <v>229</v>
      </c>
      <c r="D18" s="4" t="s">
        <v>191</v>
      </c>
      <c r="E18" s="5">
        <v>1308</v>
      </c>
      <c r="F18" s="6">
        <v>44.495544000000002</v>
      </c>
      <c r="G18" s="7">
        <v>2.2222097999999999E-2</v>
      </c>
      <c r="H18" s="47"/>
    </row>
    <row r="19" spans="1:8" ht="17.100000000000001" customHeight="1" x14ac:dyDescent="0.2">
      <c r="A19" s="3">
        <v>13</v>
      </c>
      <c r="B19" s="4" t="s">
        <v>263</v>
      </c>
      <c r="C19" s="4" t="s">
        <v>264</v>
      </c>
      <c r="D19" s="4" t="s">
        <v>28</v>
      </c>
      <c r="E19" s="5">
        <v>5309</v>
      </c>
      <c r="F19" s="6">
        <v>44.478802000000002</v>
      </c>
      <c r="G19" s="7">
        <v>2.2213736000000001E-2</v>
      </c>
      <c r="H19" s="47"/>
    </row>
    <row r="20" spans="1:8" ht="17.100000000000001" customHeight="1" x14ac:dyDescent="0.2">
      <c r="A20" s="3">
        <v>14</v>
      </c>
      <c r="B20" s="4" t="s">
        <v>207</v>
      </c>
      <c r="C20" s="4" t="s">
        <v>208</v>
      </c>
      <c r="D20" s="4" t="s">
        <v>209</v>
      </c>
      <c r="E20" s="5">
        <v>15930</v>
      </c>
      <c r="F20" s="6">
        <v>44.293365000000001</v>
      </c>
      <c r="G20" s="7">
        <v>2.2121124999999998E-2</v>
      </c>
      <c r="H20" s="47"/>
    </row>
    <row r="21" spans="1:8" ht="17.100000000000001" customHeight="1" x14ac:dyDescent="0.2">
      <c r="A21" s="3">
        <v>15</v>
      </c>
      <c r="B21" s="4" t="s">
        <v>265</v>
      </c>
      <c r="C21" s="4" t="s">
        <v>266</v>
      </c>
      <c r="D21" s="4" t="s">
        <v>97</v>
      </c>
      <c r="E21" s="5">
        <v>3688</v>
      </c>
      <c r="F21" s="6">
        <v>43.654856000000002</v>
      </c>
      <c r="G21" s="7">
        <v>2.1802239000000001E-2</v>
      </c>
      <c r="H21" s="47"/>
    </row>
    <row r="22" spans="1:8" ht="17.100000000000001" customHeight="1" x14ac:dyDescent="0.2">
      <c r="A22" s="3">
        <v>16</v>
      </c>
      <c r="B22" s="4" t="s">
        <v>471</v>
      </c>
      <c r="C22" s="4" t="s">
        <v>472</v>
      </c>
      <c r="D22" s="4" t="s">
        <v>88</v>
      </c>
      <c r="E22" s="5">
        <v>4578</v>
      </c>
      <c r="F22" s="6">
        <v>42.245784</v>
      </c>
      <c r="G22" s="7">
        <v>2.1098516000000001E-2</v>
      </c>
      <c r="H22" s="47"/>
    </row>
    <row r="23" spans="1:8" ht="17.100000000000001" customHeight="1" x14ac:dyDescent="0.2">
      <c r="A23" s="3">
        <v>17</v>
      </c>
      <c r="B23" s="4" t="s">
        <v>172</v>
      </c>
      <c r="C23" s="4" t="s">
        <v>173</v>
      </c>
      <c r="D23" s="4" t="s">
        <v>174</v>
      </c>
      <c r="E23" s="5">
        <v>3795</v>
      </c>
      <c r="F23" s="6">
        <v>41.175750000000001</v>
      </c>
      <c r="G23" s="7">
        <v>2.0564116E-2</v>
      </c>
      <c r="H23" s="47"/>
    </row>
    <row r="24" spans="1:8" ht="17.100000000000001" customHeight="1" x14ac:dyDescent="0.2">
      <c r="A24" s="3">
        <v>18</v>
      </c>
      <c r="B24" s="4" t="s">
        <v>26</v>
      </c>
      <c r="C24" s="4" t="s">
        <v>27</v>
      </c>
      <c r="D24" s="4" t="s">
        <v>28</v>
      </c>
      <c r="E24" s="5">
        <v>2365</v>
      </c>
      <c r="F24" s="6">
        <v>39.804132500000001</v>
      </c>
      <c r="G24" s="7">
        <v>1.9879099000000001E-2</v>
      </c>
      <c r="H24" s="47"/>
    </row>
    <row r="25" spans="1:8" ht="17.100000000000001" customHeight="1" x14ac:dyDescent="0.2">
      <c r="A25" s="3">
        <v>19</v>
      </c>
      <c r="B25" s="4" t="s">
        <v>169</v>
      </c>
      <c r="C25" s="4" t="s">
        <v>170</v>
      </c>
      <c r="D25" s="4" t="s">
        <v>171</v>
      </c>
      <c r="E25" s="5">
        <v>3437</v>
      </c>
      <c r="F25" s="6">
        <v>36.442511000000003</v>
      </c>
      <c r="G25" s="7">
        <v>1.8200227999999999E-2</v>
      </c>
      <c r="H25" s="47"/>
    </row>
    <row r="26" spans="1:8" ht="29.1" customHeight="1" x14ac:dyDescent="0.2">
      <c r="A26" s="3">
        <v>20</v>
      </c>
      <c r="B26" s="4" t="s">
        <v>469</v>
      </c>
      <c r="C26" s="4" t="s">
        <v>470</v>
      </c>
      <c r="D26" s="4" t="s">
        <v>40</v>
      </c>
      <c r="E26" s="5">
        <v>1942</v>
      </c>
      <c r="F26" s="6">
        <v>36.395021999999997</v>
      </c>
      <c r="G26" s="7">
        <v>1.8176510999999999E-2</v>
      </c>
      <c r="H26" s="47"/>
    </row>
    <row r="27" spans="1:8" ht="17.100000000000001" customHeight="1" x14ac:dyDescent="0.2">
      <c r="A27" s="3">
        <v>21</v>
      </c>
      <c r="B27" s="4" t="s">
        <v>95</v>
      </c>
      <c r="C27" s="4" t="s">
        <v>96</v>
      </c>
      <c r="D27" s="4" t="s">
        <v>97</v>
      </c>
      <c r="E27" s="5">
        <v>7883</v>
      </c>
      <c r="F27" s="6">
        <v>35.032052</v>
      </c>
      <c r="G27" s="7">
        <v>1.7495811999999999E-2</v>
      </c>
      <c r="H27" s="47"/>
    </row>
    <row r="28" spans="1:8" ht="17.100000000000001" customHeight="1" x14ac:dyDescent="0.2">
      <c r="A28" s="3">
        <v>22</v>
      </c>
      <c r="B28" s="4" t="s">
        <v>182</v>
      </c>
      <c r="C28" s="4" t="s">
        <v>183</v>
      </c>
      <c r="D28" s="4" t="s">
        <v>184</v>
      </c>
      <c r="E28" s="5">
        <v>2656</v>
      </c>
      <c r="F28" s="6">
        <v>34.739151999999997</v>
      </c>
      <c r="G28" s="7">
        <v>1.7349531000000001E-2</v>
      </c>
      <c r="H28" s="47"/>
    </row>
    <row r="29" spans="1:8" ht="17.100000000000001" customHeight="1" x14ac:dyDescent="0.2">
      <c r="A29" s="3">
        <v>23</v>
      </c>
      <c r="B29" s="4" t="s">
        <v>477</v>
      </c>
      <c r="C29" s="4" t="s">
        <v>478</v>
      </c>
      <c r="D29" s="4" t="s">
        <v>91</v>
      </c>
      <c r="E29" s="5">
        <v>3328</v>
      </c>
      <c r="F29" s="6">
        <v>33.805824000000001</v>
      </c>
      <c r="G29" s="7">
        <v>1.6883406E-2</v>
      </c>
      <c r="H29" s="47"/>
    </row>
    <row r="30" spans="1:8" ht="29.1" customHeight="1" x14ac:dyDescent="0.2">
      <c r="A30" s="3">
        <v>24</v>
      </c>
      <c r="B30" s="4" t="s">
        <v>202</v>
      </c>
      <c r="C30" s="4" t="s">
        <v>203</v>
      </c>
      <c r="D30" s="4" t="s">
        <v>204</v>
      </c>
      <c r="E30" s="5">
        <v>7139</v>
      </c>
      <c r="F30" s="6">
        <v>33.174933000000003</v>
      </c>
      <c r="G30" s="7">
        <v>1.6568323999999999E-2</v>
      </c>
      <c r="H30" s="47"/>
    </row>
    <row r="31" spans="1:8" ht="29.1" customHeight="1" x14ac:dyDescent="0.2">
      <c r="A31" s="3">
        <v>25</v>
      </c>
      <c r="B31" s="4" t="s">
        <v>52</v>
      </c>
      <c r="C31" s="4" t="s">
        <v>53</v>
      </c>
      <c r="D31" s="4" t="s">
        <v>25</v>
      </c>
      <c r="E31" s="5">
        <v>1515</v>
      </c>
      <c r="F31" s="6">
        <v>31.950592499999999</v>
      </c>
      <c r="G31" s="7">
        <v>1.5956860999999999E-2</v>
      </c>
      <c r="H31" s="47"/>
    </row>
    <row r="32" spans="1:8" ht="29.1" customHeight="1" x14ac:dyDescent="0.2">
      <c r="A32" s="3">
        <v>26</v>
      </c>
      <c r="B32" s="4" t="s">
        <v>179</v>
      </c>
      <c r="C32" s="4" t="s">
        <v>180</v>
      </c>
      <c r="D32" s="4" t="s">
        <v>181</v>
      </c>
      <c r="E32" s="5">
        <v>5082</v>
      </c>
      <c r="F32" s="6">
        <v>31.185693000000001</v>
      </c>
      <c r="G32" s="7">
        <v>1.5574852E-2</v>
      </c>
      <c r="H32" s="47"/>
    </row>
    <row r="33" spans="1:8" ht="17.100000000000001" customHeight="1" x14ac:dyDescent="0.2">
      <c r="A33" s="3">
        <v>27</v>
      </c>
      <c r="B33" s="4" t="s">
        <v>334</v>
      </c>
      <c r="C33" s="4" t="s">
        <v>335</v>
      </c>
      <c r="D33" s="4" t="s">
        <v>94</v>
      </c>
      <c r="E33" s="5">
        <v>700</v>
      </c>
      <c r="F33" s="6">
        <v>30.589300000000001</v>
      </c>
      <c r="G33" s="7">
        <v>1.5277000000000001E-2</v>
      </c>
      <c r="H33" s="47"/>
    </row>
    <row r="34" spans="1:8" ht="17.100000000000001" customHeight="1" x14ac:dyDescent="0.2">
      <c r="A34" s="3">
        <v>28</v>
      </c>
      <c r="B34" s="4" t="s">
        <v>226</v>
      </c>
      <c r="C34" s="4" t="s">
        <v>227</v>
      </c>
      <c r="D34" s="4" t="s">
        <v>13</v>
      </c>
      <c r="E34" s="5">
        <v>40346</v>
      </c>
      <c r="F34" s="6">
        <v>29.513099</v>
      </c>
      <c r="G34" s="7">
        <v>1.4739520000000001E-2</v>
      </c>
      <c r="H34" s="47"/>
    </row>
    <row r="35" spans="1:8" ht="29.1" customHeight="1" x14ac:dyDescent="0.2">
      <c r="A35" s="3">
        <v>29</v>
      </c>
      <c r="B35" s="4" t="s">
        <v>212</v>
      </c>
      <c r="C35" s="4" t="s">
        <v>213</v>
      </c>
      <c r="D35" s="4" t="s">
        <v>214</v>
      </c>
      <c r="E35" s="5">
        <v>31221</v>
      </c>
      <c r="F35" s="6">
        <v>29.347740000000002</v>
      </c>
      <c r="G35" s="7">
        <v>1.4656936000000001E-2</v>
      </c>
      <c r="H35" s="47"/>
    </row>
    <row r="36" spans="1:8" ht="17.100000000000001" customHeight="1" x14ac:dyDescent="0.2">
      <c r="A36" s="3">
        <v>30</v>
      </c>
      <c r="B36" s="4" t="s">
        <v>267</v>
      </c>
      <c r="C36" s="4" t="s">
        <v>268</v>
      </c>
      <c r="D36" s="4" t="s">
        <v>171</v>
      </c>
      <c r="E36" s="5">
        <v>3807</v>
      </c>
      <c r="F36" s="6">
        <v>28.8056655</v>
      </c>
      <c r="G36" s="7">
        <v>1.4386212000000001E-2</v>
      </c>
      <c r="H36" s="47"/>
    </row>
    <row r="37" spans="1:8" ht="17.100000000000001" customHeight="1" x14ac:dyDescent="0.2">
      <c r="A37" s="3">
        <v>31</v>
      </c>
      <c r="B37" s="4" t="s">
        <v>192</v>
      </c>
      <c r="C37" s="4" t="s">
        <v>193</v>
      </c>
      <c r="D37" s="4" t="s">
        <v>184</v>
      </c>
      <c r="E37" s="5">
        <v>2367</v>
      </c>
      <c r="F37" s="6">
        <v>28.550754000000001</v>
      </c>
      <c r="G37" s="7">
        <v>1.4258903E-2</v>
      </c>
      <c r="H37" s="47"/>
    </row>
    <row r="38" spans="1:8" ht="29.1" customHeight="1" x14ac:dyDescent="0.2">
      <c r="A38" s="3">
        <v>32</v>
      </c>
      <c r="B38" s="4" t="s">
        <v>205</v>
      </c>
      <c r="C38" s="4" t="s">
        <v>206</v>
      </c>
      <c r="D38" s="4" t="s">
        <v>204</v>
      </c>
      <c r="E38" s="5">
        <v>1815</v>
      </c>
      <c r="F38" s="6">
        <v>28.543597500000001</v>
      </c>
      <c r="G38" s="7">
        <v>1.4255329000000001E-2</v>
      </c>
      <c r="H38" s="47"/>
    </row>
    <row r="39" spans="1:8" ht="17.100000000000001" customHeight="1" x14ac:dyDescent="0.2">
      <c r="A39" s="3">
        <v>33</v>
      </c>
      <c r="B39" s="4" t="s">
        <v>483</v>
      </c>
      <c r="C39" s="4" t="s">
        <v>484</v>
      </c>
      <c r="D39" s="4" t="s">
        <v>303</v>
      </c>
      <c r="E39" s="5">
        <v>3820</v>
      </c>
      <c r="F39" s="6">
        <v>28.319569999999999</v>
      </c>
      <c r="G39" s="7">
        <v>1.4143444E-2</v>
      </c>
      <c r="H39" s="47"/>
    </row>
    <row r="40" spans="1:8" ht="17.100000000000001" customHeight="1" x14ac:dyDescent="0.2">
      <c r="A40" s="3">
        <v>34</v>
      </c>
      <c r="B40" s="4" t="s">
        <v>222</v>
      </c>
      <c r="C40" s="4" t="s">
        <v>223</v>
      </c>
      <c r="D40" s="4" t="s">
        <v>13</v>
      </c>
      <c r="E40" s="5">
        <v>7838</v>
      </c>
      <c r="F40" s="6">
        <v>27.958145999999999</v>
      </c>
      <c r="G40" s="7">
        <v>1.3962941E-2</v>
      </c>
      <c r="H40" s="47"/>
    </row>
    <row r="41" spans="1:8" ht="29.1" customHeight="1" x14ac:dyDescent="0.2">
      <c r="A41" s="3">
        <v>35</v>
      </c>
      <c r="B41" s="4" t="s">
        <v>230</v>
      </c>
      <c r="C41" s="4" t="s">
        <v>231</v>
      </c>
      <c r="D41" s="4" t="s">
        <v>204</v>
      </c>
      <c r="E41" s="5">
        <v>7291</v>
      </c>
      <c r="F41" s="6">
        <v>26.761615500000001</v>
      </c>
      <c r="G41" s="7">
        <v>1.3365366E-2</v>
      </c>
      <c r="H41" s="47"/>
    </row>
    <row r="42" spans="1:8" ht="17.100000000000001" customHeight="1" x14ac:dyDescent="0.2">
      <c r="A42" s="3">
        <v>36</v>
      </c>
      <c r="B42" s="4" t="s">
        <v>187</v>
      </c>
      <c r="C42" s="4" t="s">
        <v>188</v>
      </c>
      <c r="D42" s="4" t="s">
        <v>91</v>
      </c>
      <c r="E42" s="5">
        <v>6030</v>
      </c>
      <c r="F42" s="6">
        <v>25.708905000000001</v>
      </c>
      <c r="G42" s="7">
        <v>1.2839618000000001E-2</v>
      </c>
      <c r="H42" s="47"/>
    </row>
    <row r="43" spans="1:8" ht="17.100000000000001" customHeight="1" x14ac:dyDescent="0.2">
      <c r="A43" s="3">
        <v>37</v>
      </c>
      <c r="B43" s="4" t="s">
        <v>215</v>
      </c>
      <c r="C43" s="4" t="s">
        <v>216</v>
      </c>
      <c r="D43" s="4" t="s">
        <v>217</v>
      </c>
      <c r="E43" s="5">
        <v>9664</v>
      </c>
      <c r="F43" s="6">
        <v>25.585439999999998</v>
      </c>
      <c r="G43" s="7">
        <v>1.2777957E-2</v>
      </c>
      <c r="H43" s="47"/>
    </row>
    <row r="44" spans="1:8" ht="17.100000000000001" customHeight="1" x14ac:dyDescent="0.2">
      <c r="A44" s="3">
        <v>38</v>
      </c>
      <c r="B44" s="4" t="s">
        <v>194</v>
      </c>
      <c r="C44" s="4" t="s">
        <v>195</v>
      </c>
      <c r="D44" s="4" t="s">
        <v>174</v>
      </c>
      <c r="E44" s="5">
        <v>4776</v>
      </c>
      <c r="F44" s="6">
        <v>23.751048000000001</v>
      </c>
      <c r="G44" s="7">
        <v>1.1861818999999999E-2</v>
      </c>
      <c r="H44" s="47"/>
    </row>
    <row r="45" spans="1:8" ht="17.100000000000001" customHeight="1" x14ac:dyDescent="0.2">
      <c r="A45" s="3">
        <v>39</v>
      </c>
      <c r="B45" s="4" t="s">
        <v>220</v>
      </c>
      <c r="C45" s="4" t="s">
        <v>221</v>
      </c>
      <c r="D45" s="4" t="s">
        <v>91</v>
      </c>
      <c r="E45" s="5">
        <v>3092</v>
      </c>
      <c r="F45" s="6">
        <v>22.995204000000001</v>
      </c>
      <c r="G45" s="7">
        <v>1.1484334000000001E-2</v>
      </c>
      <c r="H45" s="47"/>
    </row>
    <row r="46" spans="1:8" ht="53.1" customHeight="1" x14ac:dyDescent="0.2">
      <c r="A46" s="3">
        <v>40</v>
      </c>
      <c r="B46" s="4" t="s">
        <v>422</v>
      </c>
      <c r="C46" s="4" t="s">
        <v>423</v>
      </c>
      <c r="D46" s="4" t="s">
        <v>62</v>
      </c>
      <c r="E46" s="5">
        <v>10454</v>
      </c>
      <c r="F46" s="6">
        <v>21.744319999999998</v>
      </c>
      <c r="G46" s="7">
        <v>1.0859613000000001E-2</v>
      </c>
      <c r="H46" s="47"/>
    </row>
    <row r="47" spans="1:8" ht="29.1" customHeight="1" x14ac:dyDescent="0.2">
      <c r="A47" s="3">
        <v>41</v>
      </c>
      <c r="B47" s="4" t="s">
        <v>196</v>
      </c>
      <c r="C47" s="4" t="s">
        <v>197</v>
      </c>
      <c r="D47" s="4" t="s">
        <v>198</v>
      </c>
      <c r="E47" s="5">
        <v>1669</v>
      </c>
      <c r="F47" s="6">
        <v>21.217162500000001</v>
      </c>
      <c r="G47" s="7">
        <v>1.0596339E-2</v>
      </c>
      <c r="H47" s="47"/>
    </row>
    <row r="48" spans="1:8" ht="17.100000000000001" customHeight="1" x14ac:dyDescent="0.2">
      <c r="A48" s="3">
        <v>42</v>
      </c>
      <c r="B48" s="4" t="s">
        <v>281</v>
      </c>
      <c r="C48" s="4" t="s">
        <v>282</v>
      </c>
      <c r="D48" s="4" t="s">
        <v>94</v>
      </c>
      <c r="E48" s="5">
        <v>3304</v>
      </c>
      <c r="F48" s="6">
        <v>20.721036000000002</v>
      </c>
      <c r="G48" s="7">
        <v>1.0348562E-2</v>
      </c>
      <c r="H48" s="47"/>
    </row>
    <row r="49" spans="1:8" ht="29.1" customHeight="1" x14ac:dyDescent="0.2">
      <c r="A49" s="3">
        <v>43</v>
      </c>
      <c r="B49" s="4" t="s">
        <v>275</v>
      </c>
      <c r="C49" s="4" t="s">
        <v>276</v>
      </c>
      <c r="D49" s="4" t="s">
        <v>238</v>
      </c>
      <c r="E49" s="5">
        <v>3872</v>
      </c>
      <c r="F49" s="6">
        <v>20.544832</v>
      </c>
      <c r="G49" s="7">
        <v>1.0260561E-2</v>
      </c>
      <c r="H49" s="47"/>
    </row>
    <row r="50" spans="1:8" ht="29.1" customHeight="1" x14ac:dyDescent="0.2">
      <c r="A50" s="3">
        <v>44</v>
      </c>
      <c r="B50" s="4" t="s">
        <v>250</v>
      </c>
      <c r="C50" s="4" t="s">
        <v>251</v>
      </c>
      <c r="D50" s="4" t="s">
        <v>204</v>
      </c>
      <c r="E50" s="5">
        <v>472</v>
      </c>
      <c r="F50" s="6">
        <v>19.780812000000001</v>
      </c>
      <c r="G50" s="7">
        <v>9.8789919999999996E-3</v>
      </c>
      <c r="H50" s="47"/>
    </row>
    <row r="51" spans="1:8" ht="29.1" customHeight="1" x14ac:dyDescent="0.2">
      <c r="A51" s="3">
        <v>45</v>
      </c>
      <c r="B51" s="4" t="s">
        <v>390</v>
      </c>
      <c r="C51" s="4" t="s">
        <v>391</v>
      </c>
      <c r="D51" s="4" t="s">
        <v>201</v>
      </c>
      <c r="E51" s="5">
        <v>3180</v>
      </c>
      <c r="F51" s="6">
        <v>19.40118</v>
      </c>
      <c r="G51" s="7">
        <v>9.689395E-3</v>
      </c>
      <c r="H51" s="47"/>
    </row>
    <row r="52" spans="1:8" ht="29.1" customHeight="1" x14ac:dyDescent="0.2">
      <c r="A52" s="3">
        <v>46</v>
      </c>
      <c r="B52" s="4" t="s">
        <v>290</v>
      </c>
      <c r="C52" s="4" t="s">
        <v>291</v>
      </c>
      <c r="D52" s="4" t="s">
        <v>292</v>
      </c>
      <c r="E52" s="5">
        <v>6271</v>
      </c>
      <c r="F52" s="6">
        <v>19.270783000000002</v>
      </c>
      <c r="G52" s="7">
        <v>9.6242719999999997E-3</v>
      </c>
      <c r="H52" s="47"/>
    </row>
    <row r="53" spans="1:8" ht="17.100000000000001" customHeight="1" x14ac:dyDescent="0.2">
      <c r="A53" s="3">
        <v>47</v>
      </c>
      <c r="B53" s="4" t="s">
        <v>473</v>
      </c>
      <c r="C53" s="4" t="s">
        <v>474</v>
      </c>
      <c r="D53" s="4" t="s">
        <v>45</v>
      </c>
      <c r="E53" s="5">
        <v>2841</v>
      </c>
      <c r="F53" s="6">
        <v>19.1781705</v>
      </c>
      <c r="G53" s="7">
        <v>9.5780190000000001E-3</v>
      </c>
      <c r="H53" s="47"/>
    </row>
    <row r="54" spans="1:8" ht="17.100000000000001" customHeight="1" x14ac:dyDescent="0.2">
      <c r="A54" s="3">
        <v>48</v>
      </c>
      <c r="B54" s="4" t="s">
        <v>269</v>
      </c>
      <c r="C54" s="4" t="s">
        <v>270</v>
      </c>
      <c r="D54" s="4" t="s">
        <v>91</v>
      </c>
      <c r="E54" s="5">
        <v>38221</v>
      </c>
      <c r="F54" s="6">
        <v>18.785621500000001</v>
      </c>
      <c r="G54" s="7">
        <v>9.3819709999999994E-3</v>
      </c>
      <c r="H54" s="47"/>
    </row>
    <row r="55" spans="1:8" ht="17.100000000000001" customHeight="1" x14ac:dyDescent="0.2">
      <c r="A55" s="3">
        <v>49</v>
      </c>
      <c r="B55" s="4" t="s">
        <v>210</v>
      </c>
      <c r="C55" s="4" t="s">
        <v>211</v>
      </c>
      <c r="D55" s="4" t="s">
        <v>16</v>
      </c>
      <c r="E55" s="5">
        <v>8543</v>
      </c>
      <c r="F55" s="6">
        <v>18.555395999999998</v>
      </c>
      <c r="G55" s="7">
        <v>9.2669910000000005E-3</v>
      </c>
      <c r="H55" s="47"/>
    </row>
    <row r="56" spans="1:8" ht="17.100000000000001" customHeight="1" x14ac:dyDescent="0.2">
      <c r="A56" s="3">
        <v>50</v>
      </c>
      <c r="B56" s="4" t="s">
        <v>475</v>
      </c>
      <c r="C56" s="4" t="s">
        <v>476</v>
      </c>
      <c r="D56" s="4" t="s">
        <v>28</v>
      </c>
      <c r="E56" s="5">
        <v>2300</v>
      </c>
      <c r="F56" s="6">
        <v>16.488700000000001</v>
      </c>
      <c r="G56" s="7">
        <v>8.2348360000000006E-3</v>
      </c>
      <c r="H56" s="47"/>
    </row>
    <row r="57" spans="1:8" ht="17.100000000000001" customHeight="1" x14ac:dyDescent="0.2">
      <c r="A57" s="3">
        <v>51</v>
      </c>
      <c r="B57" s="4" t="s">
        <v>234</v>
      </c>
      <c r="C57" s="4" t="s">
        <v>235</v>
      </c>
      <c r="D57" s="4" t="s">
        <v>114</v>
      </c>
      <c r="E57" s="5">
        <v>2336</v>
      </c>
      <c r="F57" s="6">
        <v>15.749312</v>
      </c>
      <c r="G57" s="7">
        <v>7.8655689999999993E-3</v>
      </c>
      <c r="H57" s="47"/>
    </row>
    <row r="58" spans="1:8" ht="17.100000000000001" customHeight="1" x14ac:dyDescent="0.2">
      <c r="A58" s="3">
        <v>52</v>
      </c>
      <c r="B58" s="4" t="s">
        <v>239</v>
      </c>
      <c r="C58" s="4" t="s">
        <v>240</v>
      </c>
      <c r="D58" s="4" t="s">
        <v>88</v>
      </c>
      <c r="E58" s="5">
        <v>2393</v>
      </c>
      <c r="F58" s="6">
        <v>13.715479500000001</v>
      </c>
      <c r="G58" s="7">
        <v>6.8498259999999998E-3</v>
      </c>
      <c r="H58" s="47"/>
    </row>
    <row r="59" spans="1:8" ht="17.100000000000001" customHeight="1" x14ac:dyDescent="0.2">
      <c r="A59" s="3">
        <v>53</v>
      </c>
      <c r="B59" s="4" t="s">
        <v>248</v>
      </c>
      <c r="C59" s="4" t="s">
        <v>249</v>
      </c>
      <c r="D59" s="4" t="s">
        <v>174</v>
      </c>
      <c r="E59" s="5">
        <v>10135</v>
      </c>
      <c r="F59" s="6">
        <v>13.56063</v>
      </c>
      <c r="G59" s="7">
        <v>6.7724899999999999E-3</v>
      </c>
      <c r="H59" s="47"/>
    </row>
    <row r="60" spans="1:8" ht="17.100000000000001" customHeight="1" x14ac:dyDescent="0.2">
      <c r="A60" s="3">
        <v>54</v>
      </c>
      <c r="B60" s="4" t="s">
        <v>487</v>
      </c>
      <c r="C60" s="4" t="s">
        <v>488</v>
      </c>
      <c r="D60" s="4" t="s">
        <v>28</v>
      </c>
      <c r="E60" s="5">
        <v>473</v>
      </c>
      <c r="F60" s="6">
        <v>11.244629</v>
      </c>
      <c r="G60" s="7">
        <v>5.615826E-3</v>
      </c>
      <c r="H60" s="47"/>
    </row>
    <row r="61" spans="1:8" ht="17.100000000000001" customHeight="1" x14ac:dyDescent="0.2">
      <c r="A61" s="3">
        <v>55</v>
      </c>
      <c r="B61" s="4" t="s">
        <v>252</v>
      </c>
      <c r="C61" s="4" t="s">
        <v>253</v>
      </c>
      <c r="D61" s="4" t="s">
        <v>97</v>
      </c>
      <c r="E61" s="5">
        <v>14375</v>
      </c>
      <c r="F61" s="6">
        <v>9.3796874999999993</v>
      </c>
      <c r="G61" s="7">
        <v>4.6844319999999997E-3</v>
      </c>
      <c r="H61" s="47"/>
    </row>
    <row r="62" spans="1:8" ht="29.1" customHeight="1" x14ac:dyDescent="0.2">
      <c r="A62" s="3">
        <v>56</v>
      </c>
      <c r="B62" s="4" t="s">
        <v>258</v>
      </c>
      <c r="C62" s="4" t="s">
        <v>259</v>
      </c>
      <c r="D62" s="4" t="s">
        <v>201</v>
      </c>
      <c r="E62" s="5">
        <v>1125</v>
      </c>
      <c r="F62" s="6">
        <v>5.9956874999999998</v>
      </c>
      <c r="G62" s="7">
        <v>2.9943840000000001E-3</v>
      </c>
      <c r="H62" s="47"/>
    </row>
    <row r="63" spans="1:8" ht="17.100000000000001" customHeight="1" x14ac:dyDescent="0.2">
      <c r="A63" s="3">
        <v>57</v>
      </c>
      <c r="B63" s="4" t="s">
        <v>288</v>
      </c>
      <c r="C63" s="4" t="s">
        <v>289</v>
      </c>
      <c r="D63" s="4" t="s">
        <v>19</v>
      </c>
      <c r="E63" s="5">
        <v>3100</v>
      </c>
      <c r="F63" s="6">
        <v>5.9861000000000004</v>
      </c>
      <c r="G63" s="7">
        <v>2.9895960000000002E-3</v>
      </c>
      <c r="H63" s="47"/>
    </row>
    <row r="64" spans="1:8" ht="17.100000000000001" customHeight="1" x14ac:dyDescent="0.2">
      <c r="A64" s="3">
        <v>58</v>
      </c>
      <c r="B64" s="4" t="s">
        <v>244</v>
      </c>
      <c r="C64" s="4" t="s">
        <v>245</v>
      </c>
      <c r="D64" s="4" t="s">
        <v>88</v>
      </c>
      <c r="E64" s="5">
        <v>2084</v>
      </c>
      <c r="F64" s="6">
        <v>3.9533480000000001</v>
      </c>
      <c r="G64" s="7">
        <v>1.9743930000000001E-3</v>
      </c>
      <c r="H64" s="47"/>
    </row>
    <row r="65" spans="1:8" ht="17.100000000000001" customHeight="1" x14ac:dyDescent="0.2">
      <c r="A65" s="3">
        <v>59</v>
      </c>
      <c r="B65" s="4" t="s">
        <v>493</v>
      </c>
      <c r="C65" s="4" t="s">
        <v>494</v>
      </c>
      <c r="D65" s="4" t="s">
        <v>28</v>
      </c>
      <c r="E65" s="5">
        <v>363</v>
      </c>
      <c r="F65" s="6">
        <v>3.7349070000000002</v>
      </c>
      <c r="G65" s="7">
        <v>1.865298E-3</v>
      </c>
      <c r="H65" s="47"/>
    </row>
    <row r="66" spans="1:8" ht="14.1" customHeight="1" x14ac:dyDescent="0.2">
      <c r="A66" s="1"/>
      <c r="B66" s="1"/>
      <c r="C66" s="2" t="s">
        <v>122</v>
      </c>
      <c r="D66" s="1"/>
      <c r="E66" s="1" t="s">
        <v>123</v>
      </c>
      <c r="F66" s="9">
        <v>1858.5700489999999</v>
      </c>
      <c r="G66" s="10">
        <v>0.92821261200000005</v>
      </c>
      <c r="H66" s="47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47"/>
    </row>
    <row r="68" spans="1:8" ht="14.1" customHeight="1" x14ac:dyDescent="0.2">
      <c r="A68" s="1"/>
      <c r="B68" s="1"/>
      <c r="C68" s="2" t="s">
        <v>124</v>
      </c>
      <c r="D68" s="1"/>
      <c r="E68" s="1"/>
      <c r="F68" s="1"/>
      <c r="G68" s="1"/>
      <c r="H68" s="47"/>
    </row>
    <row r="69" spans="1:8" ht="14.1" customHeight="1" x14ac:dyDescent="0.2">
      <c r="A69" s="1"/>
      <c r="B69" s="1"/>
      <c r="C69" s="2" t="s">
        <v>122</v>
      </c>
      <c r="D69" s="1"/>
      <c r="E69" s="1" t="s">
        <v>123</v>
      </c>
      <c r="F69" s="13">
        <v>0</v>
      </c>
      <c r="G69" s="14">
        <v>0</v>
      </c>
      <c r="H69" s="47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47"/>
    </row>
    <row r="71" spans="1:8" ht="14.1" customHeight="1" x14ac:dyDescent="0.2">
      <c r="A71" s="1"/>
      <c r="B71" s="1"/>
      <c r="C71" s="2" t="s">
        <v>125</v>
      </c>
      <c r="D71" s="1"/>
      <c r="E71" s="1"/>
      <c r="F71" s="1"/>
      <c r="G71" s="1"/>
      <c r="H71" s="47"/>
    </row>
    <row r="72" spans="1:8" ht="14.1" customHeight="1" x14ac:dyDescent="0.2">
      <c r="A72" s="1"/>
      <c r="B72" s="1"/>
      <c r="C72" s="2" t="s">
        <v>122</v>
      </c>
      <c r="D72" s="1"/>
      <c r="E72" s="1" t="s">
        <v>123</v>
      </c>
      <c r="F72" s="13">
        <v>0</v>
      </c>
      <c r="G72" s="14">
        <v>0</v>
      </c>
      <c r="H72" s="47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47"/>
    </row>
    <row r="74" spans="1:8" ht="14.1" customHeight="1" x14ac:dyDescent="0.2">
      <c r="A74" s="1"/>
      <c r="B74" s="1"/>
      <c r="C74" s="2" t="s">
        <v>126</v>
      </c>
      <c r="D74" s="1"/>
      <c r="E74" s="1"/>
      <c r="F74" s="1"/>
      <c r="G74" s="1"/>
      <c r="H74" s="47"/>
    </row>
    <row r="75" spans="1:8" ht="14.1" customHeight="1" x14ac:dyDescent="0.2">
      <c r="A75" s="1"/>
      <c r="B75" s="1"/>
      <c r="C75" s="2" t="s">
        <v>122</v>
      </c>
      <c r="D75" s="1"/>
      <c r="E75" s="1" t="s">
        <v>123</v>
      </c>
      <c r="F75" s="13">
        <v>0</v>
      </c>
      <c r="G75" s="14">
        <v>0</v>
      </c>
      <c r="H75" s="47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47"/>
    </row>
    <row r="77" spans="1:8" ht="14.1" customHeight="1" x14ac:dyDescent="0.2">
      <c r="A77" s="1"/>
      <c r="B77" s="1"/>
      <c r="C77" s="2" t="s">
        <v>127</v>
      </c>
      <c r="D77" s="1"/>
      <c r="E77" s="1"/>
      <c r="F77" s="12"/>
      <c r="G77" s="12"/>
      <c r="H77" s="47"/>
    </row>
    <row r="78" spans="1:8" ht="14.1" customHeight="1" x14ac:dyDescent="0.2">
      <c r="A78" s="1"/>
      <c r="B78" s="1"/>
      <c r="C78" s="2" t="s">
        <v>122</v>
      </c>
      <c r="D78" s="1"/>
      <c r="E78" s="1" t="s">
        <v>123</v>
      </c>
      <c r="F78" s="13">
        <v>0</v>
      </c>
      <c r="G78" s="14">
        <v>0</v>
      </c>
      <c r="H78" s="47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128</v>
      </c>
      <c r="D80" s="1"/>
      <c r="E80" s="1"/>
      <c r="F80" s="12"/>
      <c r="G80" s="12"/>
      <c r="H80" s="47"/>
    </row>
    <row r="81" spans="1:8" ht="14.1" customHeight="1" x14ac:dyDescent="0.2">
      <c r="A81" s="1"/>
      <c r="B81" s="1"/>
      <c r="C81" s="2" t="s">
        <v>122</v>
      </c>
      <c r="D81" s="1"/>
      <c r="E81" s="1" t="s">
        <v>123</v>
      </c>
      <c r="F81" s="13">
        <v>0</v>
      </c>
      <c r="G81" s="14">
        <v>0</v>
      </c>
      <c r="H81" s="47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47"/>
    </row>
    <row r="83" spans="1:8" ht="18" customHeight="1" x14ac:dyDescent="0.2">
      <c r="A83" s="1"/>
      <c r="B83" s="1"/>
      <c r="C83" s="2" t="s">
        <v>129</v>
      </c>
      <c r="D83" s="1"/>
      <c r="E83" s="1"/>
      <c r="F83" s="9">
        <v>1858.5700489999999</v>
      </c>
      <c r="G83" s="10">
        <v>0.92821261200000005</v>
      </c>
      <c r="H83" s="47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130</v>
      </c>
      <c r="D85" s="1"/>
      <c r="E85" s="1"/>
      <c r="F85" s="12"/>
      <c r="G85" s="12"/>
      <c r="H85" s="47"/>
    </row>
    <row r="86" spans="1:8" ht="24" customHeight="1" x14ac:dyDescent="0.2">
      <c r="A86" s="1"/>
      <c r="B86" s="1"/>
      <c r="C86" s="2" t="s">
        <v>10</v>
      </c>
      <c r="D86" s="1"/>
      <c r="E86" s="1"/>
      <c r="F86" s="12"/>
      <c r="G86" s="12"/>
      <c r="H86" s="47"/>
    </row>
    <row r="87" spans="1:8" ht="14.1" customHeight="1" x14ac:dyDescent="0.2">
      <c r="A87" s="1"/>
      <c r="B87" s="1"/>
      <c r="C87" s="2" t="s">
        <v>122</v>
      </c>
      <c r="D87" s="1"/>
      <c r="E87" s="1" t="s">
        <v>123</v>
      </c>
      <c r="F87" s="13">
        <v>0</v>
      </c>
      <c r="G87" s="14">
        <v>0</v>
      </c>
      <c r="H87" s="47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131</v>
      </c>
      <c r="D89" s="1"/>
      <c r="E89" s="1"/>
      <c r="F89" s="1"/>
      <c r="G89" s="1"/>
      <c r="H89" s="47"/>
    </row>
    <row r="90" spans="1:8" ht="14.1" customHeight="1" x14ac:dyDescent="0.2">
      <c r="A90" s="1"/>
      <c r="B90" s="1"/>
      <c r="C90" s="2" t="s">
        <v>122</v>
      </c>
      <c r="D90" s="1"/>
      <c r="E90" s="1" t="s">
        <v>123</v>
      </c>
      <c r="F90" s="13">
        <v>0</v>
      </c>
      <c r="G90" s="14">
        <v>0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132</v>
      </c>
      <c r="D92" s="1"/>
      <c r="E92" s="1"/>
      <c r="F92" s="1"/>
      <c r="G92" s="1"/>
      <c r="H92" s="47"/>
    </row>
    <row r="93" spans="1:8" ht="14.1" customHeight="1" x14ac:dyDescent="0.2">
      <c r="A93" s="1"/>
      <c r="B93" s="1"/>
      <c r="C93" s="2" t="s">
        <v>122</v>
      </c>
      <c r="D93" s="1"/>
      <c r="E93" s="1" t="s">
        <v>123</v>
      </c>
      <c r="F93" s="13">
        <v>0</v>
      </c>
      <c r="G93" s="14">
        <v>0</v>
      </c>
      <c r="H93" s="47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47"/>
    </row>
    <row r="95" spans="1:8" ht="14.1" customHeight="1" x14ac:dyDescent="0.2">
      <c r="A95" s="1"/>
      <c r="B95" s="1"/>
      <c r="C95" s="2" t="s">
        <v>133</v>
      </c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122</v>
      </c>
      <c r="D96" s="1"/>
      <c r="E96" s="1" t="s">
        <v>123</v>
      </c>
      <c r="F96" s="13">
        <v>0</v>
      </c>
      <c r="G96" s="14">
        <v>0</v>
      </c>
      <c r="H96" s="47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134</v>
      </c>
      <c r="D98" s="1"/>
      <c r="E98" s="1"/>
      <c r="F98" s="9">
        <v>0</v>
      </c>
      <c r="G98" s="10">
        <v>0</v>
      </c>
      <c r="H98" s="47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47"/>
    </row>
    <row r="100" spans="1:8" ht="14.1" customHeight="1" x14ac:dyDescent="0.2">
      <c r="A100" s="1"/>
      <c r="B100" s="1"/>
      <c r="C100" s="2" t="s">
        <v>135</v>
      </c>
      <c r="D100" s="1"/>
      <c r="E100" s="1"/>
      <c r="F100" s="12"/>
      <c r="G100" s="12"/>
      <c r="H100" s="47"/>
    </row>
    <row r="101" spans="1:8" ht="14.1" customHeight="1" x14ac:dyDescent="0.2">
      <c r="A101" s="1"/>
      <c r="B101" s="1"/>
      <c r="C101" s="2" t="s">
        <v>136</v>
      </c>
      <c r="D101" s="1"/>
      <c r="E101" s="1"/>
      <c r="F101" s="12"/>
      <c r="G101" s="12"/>
      <c r="H101" s="47"/>
    </row>
    <row r="102" spans="1:8" ht="14.1" customHeight="1" x14ac:dyDescent="0.2">
      <c r="A102" s="1"/>
      <c r="B102" s="1"/>
      <c r="C102" s="2" t="s">
        <v>122</v>
      </c>
      <c r="D102" s="1"/>
      <c r="E102" s="1" t="s">
        <v>123</v>
      </c>
      <c r="F102" s="13">
        <v>0</v>
      </c>
      <c r="G102" s="14">
        <v>0</v>
      </c>
      <c r="H102" s="47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2" t="s">
        <v>137</v>
      </c>
      <c r="D104" s="1"/>
      <c r="E104" s="1"/>
      <c r="F104" s="12"/>
      <c r="G104" s="12"/>
      <c r="H104" s="47"/>
    </row>
    <row r="105" spans="1:8" ht="14.1" customHeight="1" x14ac:dyDescent="0.2">
      <c r="A105" s="1"/>
      <c r="B105" s="1"/>
      <c r="C105" s="2" t="s">
        <v>122</v>
      </c>
      <c r="D105" s="1"/>
      <c r="E105" s="1" t="s">
        <v>123</v>
      </c>
      <c r="F105" s="13">
        <v>0</v>
      </c>
      <c r="G105" s="14">
        <v>0</v>
      </c>
      <c r="H105" s="47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47"/>
    </row>
    <row r="107" spans="1:8" ht="14.1" customHeight="1" x14ac:dyDescent="0.2">
      <c r="A107" s="1"/>
      <c r="B107" s="1"/>
      <c r="C107" s="2" t="s">
        <v>138</v>
      </c>
      <c r="D107" s="1"/>
      <c r="E107" s="1"/>
      <c r="F107" s="12"/>
      <c r="G107" s="12"/>
      <c r="H107" s="47"/>
    </row>
    <row r="108" spans="1:8" ht="14.1" customHeight="1" x14ac:dyDescent="0.2">
      <c r="A108" s="1"/>
      <c r="B108" s="1"/>
      <c r="C108" s="2" t="s">
        <v>122</v>
      </c>
      <c r="D108" s="1"/>
      <c r="E108" s="1" t="s">
        <v>123</v>
      </c>
      <c r="F108" s="13">
        <v>0</v>
      </c>
      <c r="G108" s="14">
        <v>0</v>
      </c>
      <c r="H108" s="47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2" t="s">
        <v>139</v>
      </c>
      <c r="D110" s="1"/>
      <c r="E110" s="1"/>
      <c r="F110" s="12"/>
      <c r="G110" s="12"/>
      <c r="H110" s="47"/>
    </row>
    <row r="111" spans="1:8" ht="17.100000000000001" customHeight="1" x14ac:dyDescent="0.2">
      <c r="A111" s="3">
        <v>1</v>
      </c>
      <c r="B111" s="4"/>
      <c r="C111" s="4" t="s">
        <v>140</v>
      </c>
      <c r="D111" s="4"/>
      <c r="E111" s="8"/>
      <c r="F111" s="6">
        <v>112.2109336</v>
      </c>
      <c r="G111" s="7">
        <v>5.6040720000000002E-2</v>
      </c>
      <c r="H111" s="47">
        <v>4.6730752161314033</v>
      </c>
    </row>
    <row r="112" spans="1:8" ht="14.1" customHeight="1" x14ac:dyDescent="0.2">
      <c r="A112" s="1"/>
      <c r="B112" s="1"/>
      <c r="C112" s="2" t="s">
        <v>122</v>
      </c>
      <c r="D112" s="1"/>
      <c r="E112" s="1" t="s">
        <v>123</v>
      </c>
      <c r="F112" s="9">
        <v>112.2109336</v>
      </c>
      <c r="G112" s="10">
        <v>5.6040720000000002E-2</v>
      </c>
      <c r="H112" s="47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47"/>
    </row>
    <row r="114" spans="1:8" ht="14.1" customHeight="1" x14ac:dyDescent="0.2">
      <c r="A114" s="1"/>
      <c r="B114" s="1"/>
      <c r="C114" s="2" t="s">
        <v>141</v>
      </c>
      <c r="D114" s="1"/>
      <c r="E114" s="1"/>
      <c r="F114" s="9">
        <v>112.2109336</v>
      </c>
      <c r="G114" s="10">
        <v>5.6040720000000002E-2</v>
      </c>
      <c r="H114" s="47"/>
    </row>
    <row r="115" spans="1:8" ht="14.1" customHeight="1" x14ac:dyDescent="0.2">
      <c r="A115" s="1"/>
      <c r="B115" s="1"/>
      <c r="C115" s="12"/>
      <c r="D115" s="1"/>
      <c r="E115" s="1"/>
      <c r="F115" s="1"/>
      <c r="G115" s="1"/>
      <c r="H115" s="47"/>
    </row>
    <row r="116" spans="1:8" ht="14.1" customHeight="1" x14ac:dyDescent="0.2">
      <c r="A116" s="1"/>
      <c r="B116" s="1"/>
      <c r="C116" s="2" t="s">
        <v>142</v>
      </c>
      <c r="D116" s="1"/>
      <c r="E116" s="1"/>
      <c r="F116" s="1"/>
      <c r="G116" s="1"/>
      <c r="H116" s="47"/>
    </row>
    <row r="117" spans="1:8" ht="14.1" customHeight="1" x14ac:dyDescent="0.2">
      <c r="A117" s="1"/>
      <c r="B117" s="1"/>
      <c r="C117" s="2" t="s">
        <v>143</v>
      </c>
      <c r="D117" s="1"/>
      <c r="E117" s="1"/>
      <c r="F117" s="1"/>
      <c r="G117" s="1"/>
      <c r="H117" s="47"/>
    </row>
    <row r="118" spans="1:8" ht="14.1" customHeight="1" x14ac:dyDescent="0.2">
      <c r="A118" s="1"/>
      <c r="B118" s="1"/>
      <c r="C118" s="2" t="s">
        <v>122</v>
      </c>
      <c r="D118" s="1"/>
      <c r="E118" s="1" t="s">
        <v>123</v>
      </c>
      <c r="F118" s="13">
        <v>0</v>
      </c>
      <c r="G118" s="14">
        <v>0</v>
      </c>
      <c r="H118" s="47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47"/>
    </row>
    <row r="120" spans="1:8" ht="14.1" customHeight="1" x14ac:dyDescent="0.2">
      <c r="A120" s="1"/>
      <c r="B120" s="1"/>
      <c r="C120" s="2" t="s">
        <v>144</v>
      </c>
      <c r="D120" s="1"/>
      <c r="E120" s="1"/>
      <c r="F120" s="1"/>
      <c r="G120" s="1"/>
      <c r="H120" s="47"/>
    </row>
    <row r="121" spans="1:8" ht="14.1" customHeight="1" x14ac:dyDescent="0.2">
      <c r="A121" s="1"/>
      <c r="B121" s="1"/>
      <c r="C121" s="2" t="s">
        <v>145</v>
      </c>
      <c r="D121" s="1"/>
      <c r="E121" s="1"/>
      <c r="F121" s="1"/>
      <c r="G121" s="1"/>
      <c r="H121" s="47"/>
    </row>
    <row r="122" spans="1:8" ht="14.1" customHeight="1" x14ac:dyDescent="0.2">
      <c r="A122" s="1"/>
      <c r="B122" s="1"/>
      <c r="C122" s="2" t="s">
        <v>122</v>
      </c>
      <c r="D122" s="1"/>
      <c r="E122" s="1" t="s">
        <v>123</v>
      </c>
      <c r="F122" s="13">
        <v>0</v>
      </c>
      <c r="G122" s="14">
        <v>0</v>
      </c>
      <c r="H122" s="47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47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47"/>
    </row>
    <row r="125" spans="1:8" ht="24" customHeight="1" x14ac:dyDescent="0.2">
      <c r="A125" s="1"/>
      <c r="B125" s="1"/>
      <c r="C125" s="2" t="s">
        <v>146</v>
      </c>
      <c r="D125" s="1"/>
      <c r="E125" s="1"/>
      <c r="F125" s="12"/>
      <c r="G125" s="12"/>
      <c r="H125" s="47"/>
    </row>
    <row r="126" spans="1:8" ht="14.1" customHeight="1" x14ac:dyDescent="0.2">
      <c r="A126" s="1"/>
      <c r="B126" s="1"/>
      <c r="C126" s="2" t="s">
        <v>122</v>
      </c>
      <c r="D126" s="1"/>
      <c r="E126" s="1" t="s">
        <v>123</v>
      </c>
      <c r="F126" s="13">
        <v>0</v>
      </c>
      <c r="G126" s="14">
        <v>0</v>
      </c>
      <c r="H126" s="47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47"/>
    </row>
    <row r="128" spans="1:8" ht="14.1" customHeight="1" x14ac:dyDescent="0.2">
      <c r="A128" s="1"/>
      <c r="B128" s="4"/>
      <c r="C128" s="4"/>
      <c r="D128" s="2"/>
      <c r="E128" s="1"/>
      <c r="F128" s="4"/>
      <c r="G128" s="8"/>
      <c r="H128" s="47"/>
    </row>
    <row r="129" spans="1:8" ht="18" customHeight="1" x14ac:dyDescent="0.2">
      <c r="A129" s="8"/>
      <c r="B129" s="4"/>
      <c r="C129" s="4" t="s">
        <v>147</v>
      </c>
      <c r="D129" s="4"/>
      <c r="E129" s="8"/>
      <c r="F129" s="6">
        <v>31.529716100000002</v>
      </c>
      <c r="G129" s="7">
        <v>1.5746665E-2</v>
      </c>
      <c r="H129" s="47"/>
    </row>
    <row r="130" spans="1:8" ht="14.1" customHeight="1" x14ac:dyDescent="0.2">
      <c r="A130" s="11"/>
      <c r="B130" s="11"/>
      <c r="C130" s="2" t="s">
        <v>148</v>
      </c>
      <c r="D130" s="15"/>
      <c r="E130" s="15"/>
      <c r="F130" s="9">
        <v>2002.3106987000001</v>
      </c>
      <c r="G130" s="10">
        <v>0.99999999699999997</v>
      </c>
      <c r="H130" s="47"/>
    </row>
    <row r="131" spans="1:8" ht="14.1" customHeight="1" x14ac:dyDescent="0.2">
      <c r="A131" s="16"/>
      <c r="B131" s="16"/>
      <c r="C131" s="16"/>
      <c r="D131" s="17"/>
      <c r="E131" s="17"/>
      <c r="F131" s="17"/>
      <c r="G131" s="17"/>
    </row>
    <row r="132" spans="1:8" ht="14.1" customHeight="1" x14ac:dyDescent="0.2">
      <c r="A132" s="18"/>
      <c r="B132" s="257" t="s">
        <v>150</v>
      </c>
      <c r="C132" s="258"/>
      <c r="D132" s="12" t="s">
        <v>123</v>
      </c>
      <c r="E132" s="21"/>
      <c r="F132" s="20"/>
      <c r="G132" s="20"/>
    </row>
    <row r="133" spans="1:8" ht="29.1" customHeight="1" x14ac:dyDescent="0.2">
      <c r="A133" s="18"/>
      <c r="B133" s="259" t="s">
        <v>151</v>
      </c>
      <c r="C133" s="260"/>
      <c r="D133" s="2" t="s">
        <v>152</v>
      </c>
      <c r="E133" s="21"/>
      <c r="F133" s="20"/>
      <c r="G133" s="20"/>
    </row>
    <row r="134" spans="1:8" ht="17.100000000000001" customHeight="1" x14ac:dyDescent="0.2">
      <c r="A134" s="18"/>
      <c r="B134" s="259" t="s">
        <v>153</v>
      </c>
      <c r="C134" s="260"/>
      <c r="D134" s="2" t="s">
        <v>152</v>
      </c>
      <c r="E134" s="21"/>
      <c r="F134" s="20"/>
      <c r="G134" s="20"/>
    </row>
    <row r="135" spans="1:8" ht="17.100000000000001" customHeight="1" x14ac:dyDescent="0.2">
      <c r="A135" s="18"/>
      <c r="B135" s="259" t="s">
        <v>154</v>
      </c>
      <c r="C135" s="260"/>
      <c r="D135" s="12" t="s">
        <v>123</v>
      </c>
      <c r="E135" s="21"/>
      <c r="F135" s="20"/>
      <c r="G135" s="20"/>
    </row>
    <row r="136" spans="1:8" ht="24" customHeight="1" x14ac:dyDescent="0.2">
      <c r="A136" s="22"/>
      <c r="B136" s="23" t="s">
        <v>123</v>
      </c>
      <c r="C136" s="23" t="s">
        <v>155</v>
      </c>
      <c r="D136" s="23" t="s">
        <v>156</v>
      </c>
      <c r="E136" s="22"/>
      <c r="F136" s="22"/>
      <c r="G136" s="22"/>
    </row>
    <row r="137" spans="1:8" ht="18" customHeight="1" x14ac:dyDescent="0.2">
      <c r="A137" s="22"/>
      <c r="B137" s="23" t="s">
        <v>157</v>
      </c>
      <c r="C137" s="23" t="s">
        <v>158</v>
      </c>
      <c r="D137" s="23" t="s">
        <v>159</v>
      </c>
      <c r="E137" s="22"/>
      <c r="F137" s="22"/>
      <c r="G137" s="22"/>
    </row>
    <row r="138" spans="1:8" ht="17.100000000000001" customHeight="1" x14ac:dyDescent="0.2">
      <c r="A138" s="22"/>
      <c r="B138" s="4" t="s">
        <v>160</v>
      </c>
      <c r="C138" s="24">
        <v>17.3108</v>
      </c>
      <c r="D138" s="24">
        <v>16.694299999999998</v>
      </c>
      <c r="E138" s="22"/>
      <c r="F138" s="19"/>
      <c r="G138" s="25"/>
    </row>
    <row r="139" spans="1:8" ht="17.100000000000001" customHeight="1" x14ac:dyDescent="0.2">
      <c r="A139" s="22"/>
      <c r="B139" s="4" t="s">
        <v>1101</v>
      </c>
      <c r="C139" s="24">
        <v>16.7163</v>
      </c>
      <c r="D139" s="24">
        <v>16.120899999999999</v>
      </c>
      <c r="E139" s="22"/>
      <c r="F139" s="19"/>
      <c r="G139" s="25"/>
    </row>
    <row r="140" spans="1:8" ht="17.100000000000001" customHeight="1" x14ac:dyDescent="0.2">
      <c r="A140" s="22"/>
      <c r="B140" s="4" t="s">
        <v>161</v>
      </c>
      <c r="C140" s="24">
        <v>17.0945</v>
      </c>
      <c r="D140" s="24">
        <v>16.484100000000002</v>
      </c>
      <c r="E140" s="22"/>
      <c r="F140" s="19"/>
      <c r="G140" s="25"/>
    </row>
    <row r="141" spans="1:8" ht="17.100000000000001" customHeight="1" x14ac:dyDescent="0.2">
      <c r="A141" s="22"/>
      <c r="B141" s="4" t="s">
        <v>1102</v>
      </c>
      <c r="C141" s="24">
        <v>16.5014</v>
      </c>
      <c r="D141" s="24">
        <v>15.912100000000001</v>
      </c>
      <c r="E141" s="22"/>
      <c r="F141" s="19"/>
      <c r="G141" s="25"/>
    </row>
    <row r="142" spans="1:8" ht="14.1" customHeight="1" x14ac:dyDescent="0.2">
      <c r="A142" s="22"/>
      <c r="B142" s="22"/>
      <c r="C142" s="22"/>
      <c r="D142" s="22"/>
      <c r="E142" s="22"/>
      <c r="F142" s="22"/>
      <c r="G142" s="22"/>
    </row>
    <row r="143" spans="1:8" ht="17.100000000000001" customHeight="1" x14ac:dyDescent="0.2">
      <c r="A143" s="22"/>
      <c r="B143" s="259" t="s">
        <v>1103</v>
      </c>
      <c r="C143" s="260"/>
      <c r="D143" s="2" t="s">
        <v>152</v>
      </c>
      <c r="E143" s="22"/>
      <c r="F143" s="22"/>
      <c r="G143" s="22"/>
    </row>
    <row r="144" spans="1:8" ht="18" customHeight="1" x14ac:dyDescent="0.2">
      <c r="A144" s="22"/>
      <c r="B144" s="26"/>
      <c r="C144" s="26"/>
      <c r="D144" s="27"/>
      <c r="E144" s="22"/>
      <c r="F144" s="22"/>
      <c r="G144" s="22"/>
    </row>
    <row r="145" spans="1:14" ht="29.1" customHeight="1" x14ac:dyDescent="0.2">
      <c r="A145" s="22"/>
      <c r="B145" s="259" t="s">
        <v>162</v>
      </c>
      <c r="C145" s="260"/>
      <c r="D145" s="2" t="s">
        <v>152</v>
      </c>
      <c r="E145" s="22"/>
      <c r="F145" s="22"/>
      <c r="G145" s="22"/>
    </row>
    <row r="146" spans="1:14" ht="29.1" customHeight="1" x14ac:dyDescent="0.2">
      <c r="A146" s="22"/>
      <c r="B146" s="259" t="s">
        <v>163</v>
      </c>
      <c r="C146" s="260"/>
      <c r="D146" s="2" t="s">
        <v>152</v>
      </c>
      <c r="E146" s="22"/>
      <c r="F146" s="22"/>
      <c r="G146" s="22"/>
    </row>
    <row r="147" spans="1:14" ht="17.100000000000001" customHeight="1" x14ac:dyDescent="0.2">
      <c r="A147" s="22"/>
      <c r="B147" s="259" t="s">
        <v>164</v>
      </c>
      <c r="C147" s="260"/>
      <c r="D147" s="28">
        <v>0.1945305042967948</v>
      </c>
      <c r="E147" s="22"/>
      <c r="F147" s="19"/>
      <c r="G147" s="25"/>
    </row>
    <row r="148" spans="1:14" ht="17.100000000000001" customHeight="1" x14ac:dyDescent="0.2">
      <c r="A148" s="22"/>
      <c r="B148" s="259" t="s">
        <v>165</v>
      </c>
      <c r="C148" s="260"/>
      <c r="D148" s="2" t="s">
        <v>152</v>
      </c>
      <c r="E148" s="22"/>
      <c r="F148" s="22"/>
      <c r="G148" s="22"/>
    </row>
    <row r="155" spans="1:14" x14ac:dyDescent="0.2">
      <c r="J155" s="148"/>
      <c r="K155" s="148"/>
      <c r="L155" s="148"/>
      <c r="M155" s="148"/>
      <c r="N155" s="148"/>
    </row>
  </sheetData>
  <mergeCells count="13">
    <mergeCell ref="J2:N2"/>
    <mergeCell ref="A1:H1"/>
    <mergeCell ref="A2:H2"/>
    <mergeCell ref="A3:H3"/>
    <mergeCell ref="B132:C132"/>
    <mergeCell ref="B147:C147"/>
    <mergeCell ref="B148:C148"/>
    <mergeCell ref="B133:C133"/>
    <mergeCell ref="B134:C134"/>
    <mergeCell ref="B135:C135"/>
    <mergeCell ref="B143:C143"/>
    <mergeCell ref="B145:C145"/>
    <mergeCell ref="B146:C14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N13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509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5610</v>
      </c>
      <c r="F7" s="6">
        <v>145.61596499999999</v>
      </c>
      <c r="G7" s="7">
        <v>9.1411654999999994E-2</v>
      </c>
      <c r="H7" s="47"/>
    </row>
    <row r="8" spans="1:14" ht="17.100000000000001" customHeight="1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19709</v>
      </c>
      <c r="F8" s="6">
        <v>139.382048</v>
      </c>
      <c r="G8" s="7">
        <v>8.7498260999999994E-2</v>
      </c>
      <c r="H8" s="47"/>
    </row>
    <row r="9" spans="1:14" ht="17.100000000000001" customHeight="1" x14ac:dyDescent="0.2">
      <c r="A9" s="3">
        <v>3</v>
      </c>
      <c r="B9" s="4" t="s">
        <v>393</v>
      </c>
      <c r="C9" s="4" t="s">
        <v>394</v>
      </c>
      <c r="D9" s="4" t="s">
        <v>191</v>
      </c>
      <c r="E9" s="5">
        <v>8300</v>
      </c>
      <c r="F9" s="6">
        <v>121.3377</v>
      </c>
      <c r="G9" s="7">
        <v>7.6170768999999999E-2</v>
      </c>
      <c r="H9" s="47"/>
    </row>
    <row r="10" spans="1:14" ht="17.100000000000001" customHeight="1" x14ac:dyDescent="0.2">
      <c r="A10" s="3">
        <v>4</v>
      </c>
      <c r="B10" s="4" t="s">
        <v>358</v>
      </c>
      <c r="C10" s="4" t="s">
        <v>359</v>
      </c>
      <c r="D10" s="4" t="s">
        <v>19</v>
      </c>
      <c r="E10" s="5">
        <v>7350</v>
      </c>
      <c r="F10" s="6">
        <v>99.078000000000003</v>
      </c>
      <c r="G10" s="7">
        <v>6.2197054000000002E-2</v>
      </c>
      <c r="H10" s="47"/>
    </row>
    <row r="11" spans="1:14" ht="17.100000000000001" customHeight="1" x14ac:dyDescent="0.2">
      <c r="A11" s="3">
        <v>5</v>
      </c>
      <c r="B11" s="4" t="s">
        <v>46</v>
      </c>
      <c r="C11" s="4" t="s">
        <v>47</v>
      </c>
      <c r="D11" s="4" t="s">
        <v>19</v>
      </c>
      <c r="E11" s="5">
        <v>17595</v>
      </c>
      <c r="F11" s="6">
        <v>81.975104999999999</v>
      </c>
      <c r="G11" s="7">
        <v>5.1460565999999999E-2</v>
      </c>
      <c r="H11" s="47"/>
    </row>
    <row r="12" spans="1:14" ht="29.1" customHeight="1" x14ac:dyDescent="0.2">
      <c r="A12" s="3">
        <v>6</v>
      </c>
      <c r="B12" s="4" t="s">
        <v>395</v>
      </c>
      <c r="C12" s="4" t="s">
        <v>396</v>
      </c>
      <c r="D12" s="4" t="s">
        <v>91</v>
      </c>
      <c r="E12" s="5">
        <v>3376</v>
      </c>
      <c r="F12" s="6">
        <v>73.287896000000003</v>
      </c>
      <c r="G12" s="7">
        <v>4.6007096999999997E-2</v>
      </c>
      <c r="H12" s="47"/>
    </row>
    <row r="13" spans="1:14" ht="29.1" customHeight="1" x14ac:dyDescent="0.2">
      <c r="A13" s="3">
        <v>7</v>
      </c>
      <c r="B13" s="4" t="s">
        <v>199</v>
      </c>
      <c r="C13" s="4" t="s">
        <v>200</v>
      </c>
      <c r="D13" s="4" t="s">
        <v>201</v>
      </c>
      <c r="E13" s="5">
        <v>1505</v>
      </c>
      <c r="F13" s="6">
        <v>54.956580000000002</v>
      </c>
      <c r="G13" s="7">
        <v>3.4499459000000003E-2</v>
      </c>
      <c r="H13" s="47"/>
      <c r="J13" s="147" t="s">
        <v>1117</v>
      </c>
    </row>
    <row r="14" spans="1:14" ht="17.100000000000001" customHeight="1" x14ac:dyDescent="0.2">
      <c r="A14" s="3">
        <v>8</v>
      </c>
      <c r="B14" s="4" t="s">
        <v>304</v>
      </c>
      <c r="C14" s="4" t="s">
        <v>305</v>
      </c>
      <c r="D14" s="4" t="s">
        <v>19</v>
      </c>
      <c r="E14" s="5">
        <v>8341</v>
      </c>
      <c r="F14" s="6">
        <v>53.115487999999999</v>
      </c>
      <c r="G14" s="7">
        <v>3.3343696999999999E-2</v>
      </c>
      <c r="H14" s="47"/>
    </row>
    <row r="15" spans="1:14" ht="17.100000000000001" customHeight="1" x14ac:dyDescent="0.2">
      <c r="A15" s="3">
        <v>9</v>
      </c>
      <c r="B15" s="4" t="s">
        <v>11</v>
      </c>
      <c r="C15" s="4" t="s">
        <v>12</v>
      </c>
      <c r="D15" s="4" t="s">
        <v>13</v>
      </c>
      <c r="E15" s="5">
        <v>3340</v>
      </c>
      <c r="F15" s="6">
        <v>52.045549999999999</v>
      </c>
      <c r="G15" s="7">
        <v>3.2672035000000002E-2</v>
      </c>
      <c r="H15" s="47"/>
    </row>
    <row r="16" spans="1:14" ht="17.100000000000001" customHeight="1" x14ac:dyDescent="0.2">
      <c r="A16" s="3">
        <v>10</v>
      </c>
      <c r="B16" s="4" t="s">
        <v>20</v>
      </c>
      <c r="C16" s="4" t="s">
        <v>21</v>
      </c>
      <c r="D16" s="4" t="s">
        <v>22</v>
      </c>
      <c r="E16" s="5">
        <v>6757</v>
      </c>
      <c r="F16" s="6">
        <v>46.282071500000001</v>
      </c>
      <c r="G16" s="7">
        <v>2.9053961999999999E-2</v>
      </c>
      <c r="H16" s="47"/>
    </row>
    <row r="17" spans="1:8" ht="29.1" customHeight="1" x14ac:dyDescent="0.2">
      <c r="A17" s="3">
        <v>11</v>
      </c>
      <c r="B17" s="4" t="s">
        <v>23</v>
      </c>
      <c r="C17" s="4" t="s">
        <v>24</v>
      </c>
      <c r="D17" s="4" t="s">
        <v>25</v>
      </c>
      <c r="E17" s="5">
        <v>746</v>
      </c>
      <c r="F17" s="6">
        <v>41.830458</v>
      </c>
      <c r="G17" s="7">
        <v>2.6259424E-2</v>
      </c>
      <c r="H17" s="47"/>
    </row>
    <row r="18" spans="1:8" ht="29.1" customHeight="1" x14ac:dyDescent="0.2">
      <c r="A18" s="3">
        <v>12</v>
      </c>
      <c r="B18" s="4" t="s">
        <v>340</v>
      </c>
      <c r="C18" s="4" t="s">
        <v>341</v>
      </c>
      <c r="D18" s="4" t="s">
        <v>342</v>
      </c>
      <c r="E18" s="5">
        <v>4000</v>
      </c>
      <c r="F18" s="6">
        <v>38.125999999999998</v>
      </c>
      <c r="G18" s="7">
        <v>2.3933919000000001E-2</v>
      </c>
      <c r="H18" s="47"/>
    </row>
    <row r="19" spans="1:8" ht="17.100000000000001" customHeight="1" x14ac:dyDescent="0.2">
      <c r="A19" s="3">
        <v>13</v>
      </c>
      <c r="B19" s="4" t="s">
        <v>207</v>
      </c>
      <c r="C19" s="4" t="s">
        <v>208</v>
      </c>
      <c r="D19" s="4" t="s">
        <v>209</v>
      </c>
      <c r="E19" s="5">
        <v>13359</v>
      </c>
      <c r="F19" s="6">
        <v>37.144699500000002</v>
      </c>
      <c r="G19" s="7">
        <v>2.3317899999999999E-2</v>
      </c>
      <c r="H19" s="47"/>
    </row>
    <row r="20" spans="1:8" ht="17.100000000000001" customHeight="1" x14ac:dyDescent="0.2">
      <c r="A20" s="3">
        <v>14</v>
      </c>
      <c r="B20" s="4" t="s">
        <v>442</v>
      </c>
      <c r="C20" s="4" t="s">
        <v>443</v>
      </c>
      <c r="D20" s="4" t="s">
        <v>85</v>
      </c>
      <c r="E20" s="5">
        <v>9000</v>
      </c>
      <c r="F20" s="6">
        <v>37.061999999999998</v>
      </c>
      <c r="G20" s="7">
        <v>2.3265984E-2</v>
      </c>
      <c r="H20" s="47"/>
    </row>
    <row r="21" spans="1:8" ht="17.100000000000001" customHeight="1" x14ac:dyDescent="0.2">
      <c r="A21" s="3">
        <v>15</v>
      </c>
      <c r="B21" s="4" t="s">
        <v>399</v>
      </c>
      <c r="C21" s="4" t="s">
        <v>400</v>
      </c>
      <c r="D21" s="4" t="s">
        <v>321</v>
      </c>
      <c r="E21" s="5">
        <v>3200</v>
      </c>
      <c r="F21" s="6">
        <v>34.611199999999997</v>
      </c>
      <c r="G21" s="7">
        <v>2.1727474E-2</v>
      </c>
      <c r="H21" s="47"/>
    </row>
    <row r="22" spans="1:8" ht="17.100000000000001" customHeight="1" x14ac:dyDescent="0.2">
      <c r="A22" s="3">
        <v>16</v>
      </c>
      <c r="B22" s="4" t="s">
        <v>412</v>
      </c>
      <c r="C22" s="4" t="s">
        <v>413</v>
      </c>
      <c r="D22" s="4" t="s">
        <v>405</v>
      </c>
      <c r="E22" s="5">
        <v>12606</v>
      </c>
      <c r="F22" s="6">
        <v>34.477409999999999</v>
      </c>
      <c r="G22" s="7">
        <v>2.1643486E-2</v>
      </c>
      <c r="H22" s="47"/>
    </row>
    <row r="23" spans="1:8" ht="17.100000000000001" customHeight="1" x14ac:dyDescent="0.2">
      <c r="A23" s="3">
        <v>17</v>
      </c>
      <c r="B23" s="4" t="s">
        <v>397</v>
      </c>
      <c r="C23" s="4" t="s">
        <v>398</v>
      </c>
      <c r="D23" s="4" t="s">
        <v>191</v>
      </c>
      <c r="E23" s="5">
        <v>960</v>
      </c>
      <c r="F23" s="6">
        <v>31.364159999999998</v>
      </c>
      <c r="G23" s="7">
        <v>1.9689116999999999E-2</v>
      </c>
      <c r="H23" s="47"/>
    </row>
    <row r="24" spans="1:8" ht="17.100000000000001" customHeight="1" x14ac:dyDescent="0.2">
      <c r="A24" s="3">
        <v>18</v>
      </c>
      <c r="B24" s="4" t="s">
        <v>408</v>
      </c>
      <c r="C24" s="4" t="s">
        <v>409</v>
      </c>
      <c r="D24" s="4" t="s">
        <v>191</v>
      </c>
      <c r="E24" s="5">
        <v>3000</v>
      </c>
      <c r="F24" s="6">
        <v>29.197500000000002</v>
      </c>
      <c r="G24" s="7">
        <v>1.8328977999999999E-2</v>
      </c>
      <c r="H24" s="47"/>
    </row>
    <row r="25" spans="1:8" ht="17.100000000000001" customHeight="1" x14ac:dyDescent="0.2">
      <c r="A25" s="3">
        <v>19</v>
      </c>
      <c r="B25" s="4" t="s">
        <v>92</v>
      </c>
      <c r="C25" s="4" t="s">
        <v>93</v>
      </c>
      <c r="D25" s="4" t="s">
        <v>94</v>
      </c>
      <c r="E25" s="5">
        <v>1240</v>
      </c>
      <c r="F25" s="6">
        <v>28.402200000000001</v>
      </c>
      <c r="G25" s="7">
        <v>1.7829721999999999E-2</v>
      </c>
      <c r="H25" s="47"/>
    </row>
    <row r="26" spans="1:8" ht="17.100000000000001" customHeight="1" x14ac:dyDescent="0.2">
      <c r="A26" s="3">
        <v>20</v>
      </c>
      <c r="B26" s="4" t="s">
        <v>462</v>
      </c>
      <c r="C26" s="4" t="s">
        <v>463</v>
      </c>
      <c r="D26" s="4" t="s">
        <v>88</v>
      </c>
      <c r="E26" s="5">
        <v>1421</v>
      </c>
      <c r="F26" s="6">
        <v>27.585162499999999</v>
      </c>
      <c r="G26" s="7">
        <v>1.7316819000000001E-2</v>
      </c>
      <c r="H26" s="47"/>
    </row>
    <row r="27" spans="1:8" ht="17.100000000000001" customHeight="1" x14ac:dyDescent="0.2">
      <c r="A27" s="3">
        <v>21</v>
      </c>
      <c r="B27" s="4" t="s">
        <v>420</v>
      </c>
      <c r="C27" s="4" t="s">
        <v>421</v>
      </c>
      <c r="D27" s="4" t="s">
        <v>19</v>
      </c>
      <c r="E27" s="5">
        <v>1570</v>
      </c>
      <c r="F27" s="6">
        <v>26.079270000000001</v>
      </c>
      <c r="G27" s="7">
        <v>1.6371482999999999E-2</v>
      </c>
      <c r="H27" s="47"/>
    </row>
    <row r="28" spans="1:8" ht="17.100000000000001" customHeight="1" x14ac:dyDescent="0.2">
      <c r="A28" s="3">
        <v>22</v>
      </c>
      <c r="B28" s="4" t="s">
        <v>306</v>
      </c>
      <c r="C28" s="4" t="s">
        <v>307</v>
      </c>
      <c r="D28" s="4" t="s">
        <v>19</v>
      </c>
      <c r="E28" s="5">
        <v>25574</v>
      </c>
      <c r="F28" s="6">
        <v>24.909075999999999</v>
      </c>
      <c r="G28" s="7">
        <v>1.5636883000000001E-2</v>
      </c>
      <c r="H28" s="47"/>
    </row>
    <row r="29" spans="1:8" ht="17.100000000000001" customHeight="1" x14ac:dyDescent="0.2">
      <c r="A29" s="3">
        <v>23</v>
      </c>
      <c r="B29" s="4" t="s">
        <v>294</v>
      </c>
      <c r="C29" s="4" t="s">
        <v>295</v>
      </c>
      <c r="D29" s="4" t="s">
        <v>296</v>
      </c>
      <c r="E29" s="5">
        <v>3088</v>
      </c>
      <c r="F29" s="6">
        <v>24.412184</v>
      </c>
      <c r="G29" s="7">
        <v>1.5324954999999999E-2</v>
      </c>
      <c r="H29" s="47"/>
    </row>
    <row r="30" spans="1:8" ht="17.100000000000001" customHeight="1" x14ac:dyDescent="0.2">
      <c r="A30" s="3">
        <v>24</v>
      </c>
      <c r="B30" s="4" t="s">
        <v>299</v>
      </c>
      <c r="C30" s="4" t="s">
        <v>300</v>
      </c>
      <c r="D30" s="4" t="s">
        <v>19</v>
      </c>
      <c r="E30" s="5">
        <v>25000</v>
      </c>
      <c r="F30" s="6">
        <v>22.55</v>
      </c>
      <c r="G30" s="7">
        <v>1.4155953000000001E-2</v>
      </c>
      <c r="H30" s="47"/>
    </row>
    <row r="31" spans="1:8" ht="29.1" customHeight="1" x14ac:dyDescent="0.2">
      <c r="A31" s="3">
        <v>25</v>
      </c>
      <c r="B31" s="4" t="s">
        <v>401</v>
      </c>
      <c r="C31" s="4" t="s">
        <v>402</v>
      </c>
      <c r="D31" s="4" t="s">
        <v>204</v>
      </c>
      <c r="E31" s="5">
        <v>2650</v>
      </c>
      <c r="F31" s="6">
        <v>22.010899999999999</v>
      </c>
      <c r="G31" s="7">
        <v>1.3817529E-2</v>
      </c>
      <c r="H31" s="47"/>
    </row>
    <row r="32" spans="1:8" ht="17.100000000000001" customHeight="1" x14ac:dyDescent="0.2">
      <c r="A32" s="3">
        <v>26</v>
      </c>
      <c r="B32" s="4" t="s">
        <v>416</v>
      </c>
      <c r="C32" s="4" t="s">
        <v>417</v>
      </c>
      <c r="D32" s="4" t="s">
        <v>19</v>
      </c>
      <c r="E32" s="5">
        <v>2719</v>
      </c>
      <c r="F32" s="6">
        <v>21.598376500000001</v>
      </c>
      <c r="G32" s="7">
        <v>1.3558564E-2</v>
      </c>
      <c r="H32" s="47"/>
    </row>
    <row r="33" spans="1:8" ht="29.1" customHeight="1" x14ac:dyDescent="0.2">
      <c r="A33" s="3">
        <v>27</v>
      </c>
      <c r="B33" s="4" t="s">
        <v>179</v>
      </c>
      <c r="C33" s="4" t="s">
        <v>180</v>
      </c>
      <c r="D33" s="4" t="s">
        <v>181</v>
      </c>
      <c r="E33" s="5">
        <v>3500</v>
      </c>
      <c r="F33" s="6">
        <v>21.47775</v>
      </c>
      <c r="G33" s="7">
        <v>1.3482839E-2</v>
      </c>
      <c r="H33" s="47"/>
    </row>
    <row r="34" spans="1:8" ht="17.100000000000001" customHeight="1" x14ac:dyDescent="0.2">
      <c r="A34" s="3">
        <v>28</v>
      </c>
      <c r="B34" s="4" t="s">
        <v>43</v>
      </c>
      <c r="C34" s="4" t="s">
        <v>44</v>
      </c>
      <c r="D34" s="4" t="s">
        <v>45</v>
      </c>
      <c r="E34" s="5">
        <v>3551</v>
      </c>
      <c r="F34" s="6">
        <v>21.103593</v>
      </c>
      <c r="G34" s="7">
        <v>1.3247959E-2</v>
      </c>
      <c r="H34" s="47"/>
    </row>
    <row r="35" spans="1:8" ht="17.100000000000001" customHeight="1" x14ac:dyDescent="0.2">
      <c r="A35" s="3">
        <v>29</v>
      </c>
      <c r="B35" s="4" t="s">
        <v>338</v>
      </c>
      <c r="C35" s="4" t="s">
        <v>339</v>
      </c>
      <c r="D35" s="4" t="s">
        <v>114</v>
      </c>
      <c r="E35" s="5">
        <v>6000</v>
      </c>
      <c r="F35" s="6">
        <v>19.754999999999999</v>
      </c>
      <c r="G35" s="7">
        <v>1.2401369000000001E-2</v>
      </c>
      <c r="H35" s="47"/>
    </row>
    <row r="36" spans="1:8" ht="17.100000000000001" customHeight="1" x14ac:dyDescent="0.2">
      <c r="A36" s="3">
        <v>30</v>
      </c>
      <c r="B36" s="4" t="s">
        <v>69</v>
      </c>
      <c r="C36" s="4" t="s">
        <v>70</v>
      </c>
      <c r="D36" s="4" t="s">
        <v>16</v>
      </c>
      <c r="E36" s="5">
        <v>5912</v>
      </c>
      <c r="F36" s="6">
        <v>18.232607999999999</v>
      </c>
      <c r="G36" s="7">
        <v>1.1445673999999999E-2</v>
      </c>
      <c r="H36" s="47"/>
    </row>
    <row r="37" spans="1:8" ht="17.100000000000001" customHeight="1" x14ac:dyDescent="0.2">
      <c r="A37" s="3">
        <v>31</v>
      </c>
      <c r="B37" s="4" t="s">
        <v>403</v>
      </c>
      <c r="C37" s="4" t="s">
        <v>404</v>
      </c>
      <c r="D37" s="4" t="s">
        <v>405</v>
      </c>
      <c r="E37" s="5">
        <v>788</v>
      </c>
      <c r="F37" s="6">
        <v>17.577127999999998</v>
      </c>
      <c r="G37" s="7">
        <v>1.1034191E-2</v>
      </c>
      <c r="H37" s="47"/>
    </row>
    <row r="38" spans="1:8" ht="29.1" customHeight="1" x14ac:dyDescent="0.2">
      <c r="A38" s="3">
        <v>32</v>
      </c>
      <c r="B38" s="4" t="s">
        <v>510</v>
      </c>
      <c r="C38" s="4" t="s">
        <v>511</v>
      </c>
      <c r="D38" s="4" t="s">
        <v>204</v>
      </c>
      <c r="E38" s="5">
        <v>1814</v>
      </c>
      <c r="F38" s="6">
        <v>16.638007999999999</v>
      </c>
      <c r="G38" s="7">
        <v>1.044465E-2</v>
      </c>
      <c r="H38" s="47"/>
    </row>
    <row r="39" spans="1:8" ht="17.100000000000001" customHeight="1" x14ac:dyDescent="0.2">
      <c r="A39" s="3">
        <v>33</v>
      </c>
      <c r="B39" s="4" t="s">
        <v>512</v>
      </c>
      <c r="C39" s="4" t="s">
        <v>513</v>
      </c>
      <c r="D39" s="4" t="s">
        <v>312</v>
      </c>
      <c r="E39" s="5">
        <v>7000</v>
      </c>
      <c r="F39" s="6">
        <v>16.593499999999999</v>
      </c>
      <c r="G39" s="7">
        <v>1.0416709999999999E-2</v>
      </c>
      <c r="H39" s="47"/>
    </row>
    <row r="40" spans="1:8" ht="29.1" customHeight="1" x14ac:dyDescent="0.2">
      <c r="A40" s="3">
        <v>34</v>
      </c>
      <c r="B40" s="4" t="s">
        <v>514</v>
      </c>
      <c r="C40" s="4" t="s">
        <v>515</v>
      </c>
      <c r="D40" s="4" t="s">
        <v>25</v>
      </c>
      <c r="E40" s="5">
        <v>1871</v>
      </c>
      <c r="F40" s="6">
        <v>16.295474500000001</v>
      </c>
      <c r="G40" s="7">
        <v>1.0229622000000001E-2</v>
      </c>
      <c r="H40" s="47"/>
    </row>
    <row r="41" spans="1:8" ht="29.1" customHeight="1" x14ac:dyDescent="0.2">
      <c r="A41" s="3">
        <v>35</v>
      </c>
      <c r="B41" s="4" t="s">
        <v>370</v>
      </c>
      <c r="C41" s="4" t="s">
        <v>371</v>
      </c>
      <c r="D41" s="4" t="s">
        <v>238</v>
      </c>
      <c r="E41" s="5">
        <v>2272</v>
      </c>
      <c r="F41" s="6">
        <v>16.048272000000001</v>
      </c>
      <c r="G41" s="7">
        <v>1.0074438999999999E-2</v>
      </c>
      <c r="H41" s="47"/>
    </row>
    <row r="42" spans="1:8" ht="17.100000000000001" customHeight="1" x14ac:dyDescent="0.2">
      <c r="A42" s="3">
        <v>36</v>
      </c>
      <c r="B42" s="4" t="s">
        <v>210</v>
      </c>
      <c r="C42" s="4" t="s">
        <v>211</v>
      </c>
      <c r="D42" s="4" t="s">
        <v>16</v>
      </c>
      <c r="E42" s="5">
        <v>6915</v>
      </c>
      <c r="F42" s="6">
        <v>15.01938</v>
      </c>
      <c r="G42" s="7">
        <v>9.4285429999999993E-3</v>
      </c>
      <c r="H42" s="47"/>
    </row>
    <row r="43" spans="1:8" ht="29.1" customHeight="1" x14ac:dyDescent="0.2">
      <c r="A43" s="3">
        <v>37</v>
      </c>
      <c r="B43" s="4" t="s">
        <v>330</v>
      </c>
      <c r="C43" s="4" t="s">
        <v>331</v>
      </c>
      <c r="D43" s="4" t="s">
        <v>204</v>
      </c>
      <c r="E43" s="5">
        <v>462</v>
      </c>
      <c r="F43" s="6">
        <v>12.481854</v>
      </c>
      <c r="G43" s="7">
        <v>7.8355899999999999E-3</v>
      </c>
      <c r="H43" s="47"/>
    </row>
    <row r="44" spans="1:8" ht="17.100000000000001" customHeight="1" x14ac:dyDescent="0.2">
      <c r="A44" s="3">
        <v>38</v>
      </c>
      <c r="B44" s="4" t="s">
        <v>410</v>
      </c>
      <c r="C44" s="4" t="s">
        <v>411</v>
      </c>
      <c r="D44" s="4" t="s">
        <v>191</v>
      </c>
      <c r="E44" s="5">
        <v>2582</v>
      </c>
      <c r="F44" s="6">
        <v>10.742411000000001</v>
      </c>
      <c r="G44" s="7">
        <v>6.7436390000000001E-3</v>
      </c>
      <c r="H44" s="47"/>
    </row>
    <row r="45" spans="1:8" ht="17.100000000000001" customHeight="1" x14ac:dyDescent="0.2">
      <c r="A45" s="3">
        <v>39</v>
      </c>
      <c r="B45" s="4" t="s">
        <v>429</v>
      </c>
      <c r="C45" s="45" t="s">
        <v>1012</v>
      </c>
      <c r="D45" s="4" t="s">
        <v>22</v>
      </c>
      <c r="E45" s="5">
        <v>482</v>
      </c>
      <c r="F45" s="6">
        <v>1.457568</v>
      </c>
      <c r="G45" s="7">
        <v>9.1500100000000003E-4</v>
      </c>
      <c r="H45" s="47"/>
    </row>
    <row r="46" spans="1:8" ht="14.1" customHeight="1" x14ac:dyDescent="0.2">
      <c r="A46" s="1"/>
      <c r="B46" s="1"/>
      <c r="C46" s="2" t="s">
        <v>122</v>
      </c>
      <c r="D46" s="1"/>
      <c r="E46" s="1" t="s">
        <v>123</v>
      </c>
      <c r="F46" s="9">
        <v>1551.8595465000001</v>
      </c>
      <c r="G46" s="10">
        <v>0.97419297100000002</v>
      </c>
      <c r="H46" s="47"/>
    </row>
    <row r="47" spans="1:8" ht="14.1" customHeight="1" x14ac:dyDescent="0.2">
      <c r="A47" s="1"/>
      <c r="B47" s="1"/>
      <c r="C47" s="11"/>
      <c r="D47" s="1"/>
      <c r="E47" s="1"/>
      <c r="F47" s="12"/>
      <c r="G47" s="12"/>
      <c r="H47" s="47"/>
    </row>
    <row r="48" spans="1:8" ht="14.1" customHeight="1" x14ac:dyDescent="0.2">
      <c r="A48" s="1"/>
      <c r="B48" s="1"/>
      <c r="C48" s="2" t="s">
        <v>124</v>
      </c>
      <c r="D48" s="1"/>
      <c r="E48" s="1"/>
      <c r="F48" s="1"/>
      <c r="G48" s="1"/>
      <c r="H48" s="47"/>
    </row>
    <row r="49" spans="1:8" ht="14.1" customHeight="1" x14ac:dyDescent="0.2">
      <c r="A49" s="1"/>
      <c r="B49" s="1"/>
      <c r="C49" s="2" t="s">
        <v>122</v>
      </c>
      <c r="D49" s="1"/>
      <c r="E49" s="1" t="s">
        <v>123</v>
      </c>
      <c r="F49" s="13">
        <v>0</v>
      </c>
      <c r="G49" s="14">
        <v>0</v>
      </c>
      <c r="H49" s="47"/>
    </row>
    <row r="50" spans="1:8" ht="14.1" customHeight="1" x14ac:dyDescent="0.2">
      <c r="A50" s="1"/>
      <c r="B50" s="1"/>
      <c r="C50" s="11"/>
      <c r="D50" s="1"/>
      <c r="E50" s="1"/>
      <c r="F50" s="12"/>
      <c r="G50" s="12"/>
      <c r="H50" s="47"/>
    </row>
    <row r="51" spans="1:8" ht="14.1" customHeight="1" x14ac:dyDescent="0.2">
      <c r="A51" s="1"/>
      <c r="B51" s="1"/>
      <c r="C51" s="2" t="s">
        <v>125</v>
      </c>
      <c r="D51" s="1"/>
      <c r="E51" s="1"/>
      <c r="F51" s="1"/>
      <c r="G51" s="1"/>
      <c r="H51" s="47"/>
    </row>
    <row r="52" spans="1:8" ht="14.1" customHeight="1" x14ac:dyDescent="0.2">
      <c r="A52" s="1"/>
      <c r="B52" s="1"/>
      <c r="C52" s="2" t="s">
        <v>122</v>
      </c>
      <c r="D52" s="1"/>
      <c r="E52" s="1" t="s">
        <v>123</v>
      </c>
      <c r="F52" s="13">
        <v>0</v>
      </c>
      <c r="G52" s="14">
        <v>0</v>
      </c>
      <c r="H52" s="47"/>
    </row>
    <row r="53" spans="1:8" ht="14.1" customHeight="1" x14ac:dyDescent="0.2">
      <c r="A53" s="1"/>
      <c r="B53" s="1"/>
      <c r="C53" s="11"/>
      <c r="D53" s="1"/>
      <c r="E53" s="1"/>
      <c r="F53" s="12"/>
      <c r="G53" s="12"/>
      <c r="H53" s="47"/>
    </row>
    <row r="54" spans="1:8" ht="14.1" customHeight="1" x14ac:dyDescent="0.2">
      <c r="A54" s="1"/>
      <c r="B54" s="1"/>
      <c r="C54" s="2" t="s">
        <v>126</v>
      </c>
      <c r="D54" s="1"/>
      <c r="E54" s="1"/>
      <c r="F54" s="1"/>
      <c r="G54" s="1"/>
      <c r="H54" s="47"/>
    </row>
    <row r="55" spans="1:8" ht="14.1" customHeight="1" x14ac:dyDescent="0.2">
      <c r="A55" s="1"/>
      <c r="B55" s="1"/>
      <c r="C55" s="2" t="s">
        <v>122</v>
      </c>
      <c r="D55" s="1"/>
      <c r="E55" s="1" t="s">
        <v>123</v>
      </c>
      <c r="F55" s="9">
        <v>0</v>
      </c>
      <c r="G55" s="10">
        <v>0</v>
      </c>
      <c r="H55" s="47"/>
    </row>
    <row r="56" spans="1:8" ht="14.1" customHeight="1" x14ac:dyDescent="0.2">
      <c r="A56" s="1"/>
      <c r="B56" s="1"/>
      <c r="C56" s="11"/>
      <c r="D56" s="1"/>
      <c r="E56" s="1"/>
      <c r="F56" s="12"/>
      <c r="G56" s="12"/>
      <c r="H56" s="47"/>
    </row>
    <row r="57" spans="1:8" ht="14.1" customHeight="1" x14ac:dyDescent="0.2">
      <c r="A57" s="1"/>
      <c r="B57" s="1"/>
      <c r="C57" s="2" t="s">
        <v>127</v>
      </c>
      <c r="D57" s="1"/>
      <c r="E57" s="1"/>
      <c r="F57" s="12"/>
      <c r="G57" s="12"/>
      <c r="H57" s="47"/>
    </row>
    <row r="58" spans="1:8" ht="14.1" customHeight="1" x14ac:dyDescent="0.2">
      <c r="A58" s="1"/>
      <c r="B58" s="1"/>
      <c r="C58" s="2" t="s">
        <v>122</v>
      </c>
      <c r="D58" s="1"/>
      <c r="E58" s="1" t="s">
        <v>123</v>
      </c>
      <c r="F58" s="13">
        <v>0</v>
      </c>
      <c r="G58" s="14">
        <v>0</v>
      </c>
      <c r="H58" s="47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47"/>
    </row>
    <row r="60" spans="1:8" ht="14.1" customHeight="1" x14ac:dyDescent="0.2">
      <c r="A60" s="1"/>
      <c r="B60" s="1"/>
      <c r="C60" s="2" t="s">
        <v>128</v>
      </c>
      <c r="D60" s="1"/>
      <c r="E60" s="1"/>
      <c r="F60" s="12"/>
      <c r="G60" s="12"/>
      <c r="H60" s="47"/>
    </row>
    <row r="61" spans="1:8" ht="14.1" customHeight="1" x14ac:dyDescent="0.2">
      <c r="A61" s="1"/>
      <c r="B61" s="1"/>
      <c r="C61" s="2" t="s">
        <v>122</v>
      </c>
      <c r="D61" s="1"/>
      <c r="E61" s="1" t="s">
        <v>123</v>
      </c>
      <c r="F61" s="13">
        <v>0</v>
      </c>
      <c r="G61" s="14">
        <v>0</v>
      </c>
      <c r="H61" s="47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47"/>
    </row>
    <row r="63" spans="1:8" ht="18" customHeight="1" x14ac:dyDescent="0.2">
      <c r="A63" s="1"/>
      <c r="B63" s="1"/>
      <c r="C63" s="2" t="s">
        <v>129</v>
      </c>
      <c r="D63" s="1"/>
      <c r="E63" s="1"/>
      <c r="F63" s="9">
        <v>1551.8595465000001</v>
      </c>
      <c r="G63" s="10">
        <v>0.97419297100000002</v>
      </c>
      <c r="H63" s="47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47"/>
    </row>
    <row r="65" spans="1:8" ht="14.1" customHeight="1" x14ac:dyDescent="0.2">
      <c r="A65" s="1"/>
      <c r="B65" s="1"/>
      <c r="C65" s="2" t="s">
        <v>130</v>
      </c>
      <c r="D65" s="1"/>
      <c r="E65" s="1"/>
      <c r="F65" s="12"/>
      <c r="G65" s="12"/>
      <c r="H65" s="47"/>
    </row>
    <row r="66" spans="1:8" ht="24" customHeight="1" x14ac:dyDescent="0.2">
      <c r="A66" s="1"/>
      <c r="B66" s="1"/>
      <c r="C66" s="2" t="s">
        <v>10</v>
      </c>
      <c r="D66" s="1"/>
      <c r="E66" s="1"/>
      <c r="F66" s="12"/>
      <c r="G66" s="12"/>
      <c r="H66" s="47"/>
    </row>
    <row r="67" spans="1:8" ht="14.1" customHeight="1" x14ac:dyDescent="0.2">
      <c r="A67" s="1"/>
      <c r="B67" s="1"/>
      <c r="C67" s="2" t="s">
        <v>122</v>
      </c>
      <c r="D67" s="1"/>
      <c r="E67" s="1" t="s">
        <v>123</v>
      </c>
      <c r="F67" s="13">
        <v>0</v>
      </c>
      <c r="G67" s="14">
        <v>0</v>
      </c>
      <c r="H67" s="47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47"/>
    </row>
    <row r="69" spans="1:8" ht="14.1" customHeight="1" x14ac:dyDescent="0.2">
      <c r="A69" s="1"/>
      <c r="B69" s="1"/>
      <c r="C69" s="2" t="s">
        <v>131</v>
      </c>
      <c r="D69" s="1"/>
      <c r="E69" s="1"/>
      <c r="F69" s="1"/>
      <c r="G69" s="1"/>
      <c r="H69" s="47"/>
    </row>
    <row r="70" spans="1:8" ht="14.1" customHeight="1" x14ac:dyDescent="0.2">
      <c r="A70" s="1"/>
      <c r="B70" s="1"/>
      <c r="C70" s="2" t="s">
        <v>122</v>
      </c>
      <c r="D70" s="1"/>
      <c r="E70" s="1" t="s">
        <v>123</v>
      </c>
      <c r="F70" s="13">
        <v>0</v>
      </c>
      <c r="G70" s="14">
        <v>0</v>
      </c>
      <c r="H70" s="47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47"/>
    </row>
    <row r="72" spans="1:8" ht="14.1" customHeight="1" x14ac:dyDescent="0.2">
      <c r="A72" s="1"/>
      <c r="B72" s="1"/>
      <c r="C72" s="2" t="s">
        <v>132</v>
      </c>
      <c r="D72" s="1"/>
      <c r="E72" s="1"/>
      <c r="F72" s="1"/>
      <c r="G72" s="1"/>
      <c r="H72" s="47"/>
    </row>
    <row r="73" spans="1:8" ht="14.1" customHeight="1" x14ac:dyDescent="0.2">
      <c r="A73" s="1"/>
      <c r="B73" s="1"/>
      <c r="C73" s="2" t="s">
        <v>122</v>
      </c>
      <c r="D73" s="1"/>
      <c r="E73" s="1" t="s">
        <v>123</v>
      </c>
      <c r="F73" s="13">
        <v>0</v>
      </c>
      <c r="G73" s="14">
        <v>0</v>
      </c>
      <c r="H73" s="47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47"/>
    </row>
    <row r="75" spans="1:8" ht="14.1" customHeight="1" x14ac:dyDescent="0.2">
      <c r="A75" s="1"/>
      <c r="B75" s="1"/>
      <c r="C75" s="2" t="s">
        <v>133</v>
      </c>
      <c r="D75" s="1"/>
      <c r="E75" s="1"/>
      <c r="F75" s="12"/>
      <c r="G75" s="12"/>
      <c r="H75" s="47"/>
    </row>
    <row r="76" spans="1:8" ht="14.1" customHeight="1" x14ac:dyDescent="0.2">
      <c r="A76" s="1"/>
      <c r="B76" s="1"/>
      <c r="C76" s="2" t="s">
        <v>122</v>
      </c>
      <c r="D76" s="1"/>
      <c r="E76" s="1" t="s">
        <v>123</v>
      </c>
      <c r="F76" s="13">
        <v>0</v>
      </c>
      <c r="G76" s="14">
        <v>0</v>
      </c>
      <c r="H76" s="47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47"/>
    </row>
    <row r="78" spans="1:8" ht="14.1" customHeight="1" x14ac:dyDescent="0.2">
      <c r="A78" s="1"/>
      <c r="B78" s="1"/>
      <c r="C78" s="2" t="s">
        <v>134</v>
      </c>
      <c r="D78" s="1"/>
      <c r="E78" s="1"/>
      <c r="F78" s="9">
        <v>0</v>
      </c>
      <c r="G78" s="10">
        <v>0</v>
      </c>
      <c r="H78" s="47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135</v>
      </c>
      <c r="D80" s="1"/>
      <c r="E80" s="1"/>
      <c r="F80" s="12"/>
      <c r="G80" s="12"/>
      <c r="H80" s="47"/>
    </row>
    <row r="81" spans="1:8" ht="14.1" customHeight="1" x14ac:dyDescent="0.2">
      <c r="A81" s="1"/>
      <c r="B81" s="1"/>
      <c r="C81" s="2" t="s">
        <v>136</v>
      </c>
      <c r="D81" s="1"/>
      <c r="E81" s="1"/>
      <c r="F81" s="12"/>
      <c r="G81" s="12"/>
      <c r="H81" s="47"/>
    </row>
    <row r="82" spans="1:8" ht="14.1" customHeight="1" x14ac:dyDescent="0.2">
      <c r="A82" s="1"/>
      <c r="B82" s="1"/>
      <c r="C82" s="2" t="s">
        <v>122</v>
      </c>
      <c r="D82" s="1"/>
      <c r="E82" s="1" t="s">
        <v>123</v>
      </c>
      <c r="F82" s="13">
        <v>0</v>
      </c>
      <c r="G82" s="14">
        <v>0</v>
      </c>
      <c r="H82" s="47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47"/>
    </row>
    <row r="84" spans="1:8" ht="14.1" customHeight="1" x14ac:dyDescent="0.2">
      <c r="A84" s="1"/>
      <c r="B84" s="1"/>
      <c r="C84" s="2" t="s">
        <v>137</v>
      </c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122</v>
      </c>
      <c r="D85" s="1"/>
      <c r="E85" s="1" t="s">
        <v>123</v>
      </c>
      <c r="F85" s="13">
        <v>0</v>
      </c>
      <c r="G85" s="14">
        <v>0</v>
      </c>
      <c r="H85" s="47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47"/>
    </row>
    <row r="87" spans="1:8" ht="14.1" customHeight="1" x14ac:dyDescent="0.2">
      <c r="A87" s="1"/>
      <c r="B87" s="1"/>
      <c r="C87" s="2" t="s">
        <v>138</v>
      </c>
      <c r="D87" s="1"/>
      <c r="E87" s="1"/>
      <c r="F87" s="12"/>
      <c r="G87" s="12"/>
      <c r="H87" s="47"/>
    </row>
    <row r="88" spans="1:8" ht="14.1" customHeight="1" x14ac:dyDescent="0.2">
      <c r="A88" s="1"/>
      <c r="B88" s="1"/>
      <c r="C88" s="2" t="s">
        <v>122</v>
      </c>
      <c r="D88" s="1"/>
      <c r="E88" s="1" t="s">
        <v>123</v>
      </c>
      <c r="F88" s="13">
        <v>0</v>
      </c>
      <c r="G88" s="14">
        <v>0</v>
      </c>
      <c r="H88" s="47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139</v>
      </c>
      <c r="D90" s="1"/>
      <c r="E90" s="1"/>
      <c r="F90" s="12"/>
      <c r="G90" s="12"/>
      <c r="H90" s="47"/>
    </row>
    <row r="91" spans="1:8" ht="17.100000000000001" customHeight="1" x14ac:dyDescent="0.2">
      <c r="A91" s="3">
        <v>1</v>
      </c>
      <c r="B91" s="4"/>
      <c r="C91" s="4" t="s">
        <v>140</v>
      </c>
      <c r="D91" s="4"/>
      <c r="E91" s="8"/>
      <c r="F91" s="6">
        <v>37.006062300000004</v>
      </c>
      <c r="G91" s="7">
        <v>2.3230869000000001E-2</v>
      </c>
      <c r="H91" s="47">
        <v>4.6730752161314033</v>
      </c>
    </row>
    <row r="92" spans="1:8" ht="14.1" customHeight="1" x14ac:dyDescent="0.2">
      <c r="A92" s="1"/>
      <c r="B92" s="1"/>
      <c r="C92" s="2" t="s">
        <v>122</v>
      </c>
      <c r="D92" s="1"/>
      <c r="E92" s="1" t="s">
        <v>123</v>
      </c>
      <c r="F92" s="9">
        <v>37.006062300000004</v>
      </c>
      <c r="G92" s="10">
        <v>2.3230869000000001E-2</v>
      </c>
      <c r="H92" s="47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47"/>
    </row>
    <row r="94" spans="1:8" ht="14.1" customHeight="1" x14ac:dyDescent="0.2">
      <c r="A94" s="1"/>
      <c r="B94" s="1"/>
      <c r="C94" s="2" t="s">
        <v>141</v>
      </c>
      <c r="D94" s="1"/>
      <c r="E94" s="1"/>
      <c r="F94" s="9">
        <v>37.006062300000004</v>
      </c>
      <c r="G94" s="10">
        <v>2.3230869000000001E-2</v>
      </c>
      <c r="H94" s="47"/>
    </row>
    <row r="95" spans="1:8" ht="14.1" customHeight="1" x14ac:dyDescent="0.2">
      <c r="A95" s="1"/>
      <c r="B95" s="1"/>
      <c r="C95" s="12"/>
      <c r="D95" s="1"/>
      <c r="E95" s="1"/>
      <c r="F95" s="1"/>
      <c r="G95" s="1"/>
      <c r="H95" s="47"/>
    </row>
    <row r="96" spans="1:8" ht="14.1" customHeight="1" x14ac:dyDescent="0.2">
      <c r="A96" s="1"/>
      <c r="B96" s="1"/>
      <c r="C96" s="2" t="s">
        <v>142</v>
      </c>
      <c r="D96" s="1"/>
      <c r="E96" s="1"/>
      <c r="F96" s="1"/>
      <c r="G96" s="1"/>
      <c r="H96" s="47"/>
    </row>
    <row r="97" spans="1:8" ht="14.1" customHeight="1" x14ac:dyDescent="0.2">
      <c r="A97" s="1"/>
      <c r="B97" s="1"/>
      <c r="C97" s="2" t="s">
        <v>143</v>
      </c>
      <c r="D97" s="1"/>
      <c r="E97" s="1"/>
      <c r="F97" s="1"/>
      <c r="G97" s="1"/>
      <c r="H97" s="47"/>
    </row>
    <row r="98" spans="1:8" ht="14.1" customHeight="1" x14ac:dyDescent="0.2">
      <c r="A98" s="1"/>
      <c r="B98" s="1"/>
      <c r="C98" s="2" t="s">
        <v>122</v>
      </c>
      <c r="D98" s="1"/>
      <c r="E98" s="1" t="s">
        <v>123</v>
      </c>
      <c r="F98" s="13">
        <v>0</v>
      </c>
      <c r="G98" s="14">
        <v>0</v>
      </c>
      <c r="H98" s="47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47"/>
    </row>
    <row r="100" spans="1:8" ht="14.1" customHeight="1" x14ac:dyDescent="0.2">
      <c r="A100" s="1"/>
      <c r="B100" s="1"/>
      <c r="C100" s="2" t="s">
        <v>144</v>
      </c>
      <c r="D100" s="1"/>
      <c r="E100" s="1"/>
      <c r="F100" s="1"/>
      <c r="G100" s="1"/>
      <c r="H100" s="47"/>
    </row>
    <row r="101" spans="1:8" ht="14.1" customHeight="1" x14ac:dyDescent="0.2">
      <c r="A101" s="1"/>
      <c r="B101" s="1"/>
      <c r="C101" s="2" t="s">
        <v>145</v>
      </c>
      <c r="D101" s="1"/>
      <c r="E101" s="1"/>
      <c r="F101" s="1"/>
      <c r="G101" s="1"/>
      <c r="H101" s="47"/>
    </row>
    <row r="102" spans="1:8" ht="14.1" customHeight="1" x14ac:dyDescent="0.2">
      <c r="A102" s="1"/>
      <c r="B102" s="1"/>
      <c r="C102" s="2" t="s">
        <v>122</v>
      </c>
      <c r="D102" s="1"/>
      <c r="E102" s="1" t="s">
        <v>123</v>
      </c>
      <c r="F102" s="13">
        <v>0</v>
      </c>
      <c r="G102" s="14">
        <v>0</v>
      </c>
      <c r="H102" s="47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47"/>
    </row>
    <row r="105" spans="1:8" ht="24" customHeight="1" x14ac:dyDescent="0.2">
      <c r="A105" s="1"/>
      <c r="B105" s="1"/>
      <c r="C105" s="2" t="s">
        <v>146</v>
      </c>
      <c r="D105" s="1"/>
      <c r="E105" s="1"/>
      <c r="F105" s="12"/>
      <c r="G105" s="12"/>
      <c r="H105" s="47"/>
    </row>
    <row r="106" spans="1:8" ht="14.1" customHeight="1" x14ac:dyDescent="0.2">
      <c r="A106" s="1"/>
      <c r="B106" s="1"/>
      <c r="C106" s="2" t="s">
        <v>122</v>
      </c>
      <c r="D106" s="1"/>
      <c r="E106" s="1" t="s">
        <v>123</v>
      </c>
      <c r="F106" s="13">
        <v>0</v>
      </c>
      <c r="G106" s="14">
        <v>0</v>
      </c>
      <c r="H106" s="47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47"/>
    </row>
    <row r="108" spans="1:8" ht="14.1" customHeight="1" x14ac:dyDescent="0.2">
      <c r="A108" s="1"/>
      <c r="B108" s="4"/>
      <c r="C108" s="4"/>
      <c r="D108" s="2"/>
      <c r="E108" s="1"/>
      <c r="F108" s="4"/>
      <c r="G108" s="8"/>
      <c r="H108" s="47"/>
    </row>
    <row r="109" spans="1:8" ht="18" customHeight="1" x14ac:dyDescent="0.2">
      <c r="A109" s="8"/>
      <c r="B109" s="4"/>
      <c r="C109" s="4" t="s">
        <v>147</v>
      </c>
      <c r="D109" s="4"/>
      <c r="E109" s="8"/>
      <c r="F109" s="6">
        <v>4.1037402199999997</v>
      </c>
      <c r="G109" s="7">
        <v>2.5761579999999998E-3</v>
      </c>
      <c r="H109" s="47"/>
    </row>
    <row r="110" spans="1:8" ht="14.1" customHeight="1" x14ac:dyDescent="0.2">
      <c r="A110" s="11"/>
      <c r="B110" s="11"/>
      <c r="C110" s="2" t="s">
        <v>148</v>
      </c>
      <c r="D110" s="15"/>
      <c r="E110" s="15"/>
      <c r="F110" s="9">
        <v>1592.96934902</v>
      </c>
      <c r="G110" s="10">
        <v>0.99999999799999995</v>
      </c>
      <c r="H110" s="47"/>
    </row>
    <row r="111" spans="1:8" ht="14.1" customHeight="1" x14ac:dyDescent="0.2">
      <c r="A111" s="16"/>
      <c r="B111" s="16"/>
      <c r="C111" s="16"/>
      <c r="D111" s="17"/>
      <c r="E111" s="17"/>
      <c r="F111" s="17"/>
      <c r="G111" s="17"/>
    </row>
    <row r="112" spans="1:8" ht="14.1" customHeight="1" x14ac:dyDescent="0.2">
      <c r="A112" s="18"/>
      <c r="B112" s="257" t="s">
        <v>150</v>
      </c>
      <c r="C112" s="258"/>
      <c r="D112" s="12" t="s">
        <v>123</v>
      </c>
      <c r="E112" s="21"/>
      <c r="F112" s="20"/>
      <c r="G112" s="20"/>
    </row>
    <row r="113" spans="1:7" ht="29.1" customHeight="1" x14ac:dyDescent="0.2">
      <c r="A113" s="18"/>
      <c r="B113" s="259" t="s">
        <v>151</v>
      </c>
      <c r="C113" s="260"/>
      <c r="D113" s="2" t="s">
        <v>152</v>
      </c>
      <c r="E113" s="21"/>
      <c r="F113" s="20"/>
      <c r="G113" s="20"/>
    </row>
    <row r="114" spans="1:7" ht="17.100000000000001" customHeight="1" x14ac:dyDescent="0.2">
      <c r="A114" s="18"/>
      <c r="B114" s="259" t="s">
        <v>153</v>
      </c>
      <c r="C114" s="260"/>
      <c r="D114" s="2" t="s">
        <v>152</v>
      </c>
      <c r="E114" s="21"/>
      <c r="F114" s="20"/>
      <c r="G114" s="20"/>
    </row>
    <row r="115" spans="1:7" ht="17.100000000000001" customHeight="1" x14ac:dyDescent="0.2">
      <c r="A115" s="18"/>
      <c r="B115" s="259" t="s">
        <v>154</v>
      </c>
      <c r="C115" s="260"/>
      <c r="D115" s="12" t="s">
        <v>123</v>
      </c>
      <c r="E115" s="21"/>
      <c r="F115" s="20"/>
      <c r="G115" s="20"/>
    </row>
    <row r="116" spans="1:7" ht="24" customHeight="1" x14ac:dyDescent="0.2">
      <c r="A116" s="22"/>
      <c r="B116" s="23" t="s">
        <v>123</v>
      </c>
      <c r="C116" s="23" t="s">
        <v>155</v>
      </c>
      <c r="D116" s="23" t="s">
        <v>156</v>
      </c>
      <c r="E116" s="22"/>
      <c r="F116" s="22"/>
      <c r="G116" s="22"/>
    </row>
    <row r="117" spans="1:7" ht="18" customHeight="1" x14ac:dyDescent="0.2">
      <c r="A117" s="22"/>
      <c r="B117" s="23" t="s">
        <v>157</v>
      </c>
      <c r="C117" s="23" t="s">
        <v>158</v>
      </c>
      <c r="D117" s="23" t="s">
        <v>159</v>
      </c>
      <c r="E117" s="22"/>
      <c r="F117" s="22"/>
      <c r="G117" s="22"/>
    </row>
    <row r="118" spans="1:7" ht="17.100000000000001" customHeight="1" x14ac:dyDescent="0.2">
      <c r="A118" s="22"/>
      <c r="B118" s="4" t="s">
        <v>160</v>
      </c>
      <c r="C118" s="24">
        <v>21.1983</v>
      </c>
      <c r="D118" s="24">
        <v>20.269200000000001</v>
      </c>
      <c r="E118" s="22"/>
      <c r="F118" s="19"/>
      <c r="G118" s="25"/>
    </row>
    <row r="119" spans="1:7" ht="17.100000000000001" customHeight="1" x14ac:dyDescent="0.2">
      <c r="A119" s="22"/>
      <c r="B119" s="4" t="s">
        <v>1101</v>
      </c>
      <c r="C119" s="24">
        <v>17.659099999999999</v>
      </c>
      <c r="D119" s="24">
        <v>16.885100000000001</v>
      </c>
      <c r="E119" s="22"/>
      <c r="F119" s="19"/>
      <c r="G119" s="25"/>
    </row>
    <row r="120" spans="1:7" ht="17.100000000000001" customHeight="1" x14ac:dyDescent="0.2">
      <c r="A120" s="22"/>
      <c r="B120" s="4" t="s">
        <v>161</v>
      </c>
      <c r="C120" s="24">
        <v>20.7164</v>
      </c>
      <c r="D120" s="24">
        <v>19.802600000000002</v>
      </c>
      <c r="E120" s="22"/>
      <c r="F120" s="19"/>
      <c r="G120" s="25"/>
    </row>
    <row r="121" spans="1:7" ht="17.100000000000001" customHeight="1" x14ac:dyDescent="0.2">
      <c r="A121" s="22"/>
      <c r="B121" s="4" t="s">
        <v>1102</v>
      </c>
      <c r="C121" s="24">
        <v>17.198699999999999</v>
      </c>
      <c r="D121" s="24">
        <v>16.440100000000001</v>
      </c>
      <c r="E121" s="22"/>
      <c r="F121" s="19"/>
      <c r="G121" s="25"/>
    </row>
    <row r="122" spans="1:7" ht="14.1" customHeight="1" x14ac:dyDescent="0.2">
      <c r="A122" s="22"/>
      <c r="B122" s="22"/>
      <c r="C122" s="22"/>
      <c r="D122" s="22"/>
      <c r="E122" s="22"/>
      <c r="F122" s="22"/>
      <c r="G122" s="22"/>
    </row>
    <row r="123" spans="1:7" ht="17.100000000000001" customHeight="1" x14ac:dyDescent="0.2">
      <c r="A123" s="22"/>
      <c r="B123" s="259" t="s">
        <v>1103</v>
      </c>
      <c r="C123" s="260"/>
      <c r="D123" s="2" t="s">
        <v>152</v>
      </c>
      <c r="E123" s="22"/>
      <c r="F123" s="22"/>
      <c r="G123" s="22"/>
    </row>
    <row r="124" spans="1:7" ht="18" customHeight="1" x14ac:dyDescent="0.2">
      <c r="A124" s="22"/>
      <c r="B124" s="26"/>
      <c r="C124" s="26"/>
      <c r="D124" s="27"/>
      <c r="E124" s="22"/>
      <c r="F124" s="22"/>
      <c r="G124" s="22"/>
    </row>
    <row r="125" spans="1:7" ht="29.1" customHeight="1" x14ac:dyDescent="0.2">
      <c r="A125" s="22"/>
      <c r="B125" s="259" t="s">
        <v>162</v>
      </c>
      <c r="C125" s="260"/>
      <c r="D125" s="2" t="s">
        <v>152</v>
      </c>
      <c r="E125" s="22"/>
      <c r="F125" s="22"/>
      <c r="G125" s="22"/>
    </row>
    <row r="126" spans="1:7" ht="29.1" customHeight="1" x14ac:dyDescent="0.2">
      <c r="A126" s="22"/>
      <c r="B126" s="259" t="s">
        <v>163</v>
      </c>
      <c r="C126" s="260"/>
      <c r="D126" s="2" t="s">
        <v>152</v>
      </c>
      <c r="E126" s="22"/>
      <c r="F126" s="22"/>
      <c r="G126" s="22"/>
    </row>
    <row r="127" spans="1:7" ht="17.100000000000001" customHeight="1" x14ac:dyDescent="0.2">
      <c r="A127" s="22"/>
      <c r="B127" s="259" t="s">
        <v>164</v>
      </c>
      <c r="C127" s="260"/>
      <c r="D127" s="28">
        <v>4.1341174372176291E-2</v>
      </c>
      <c r="E127" s="22"/>
      <c r="F127" s="19"/>
      <c r="G127" s="25"/>
    </row>
    <row r="128" spans="1:7" ht="17.100000000000001" customHeight="1" x14ac:dyDescent="0.2">
      <c r="A128" s="22"/>
      <c r="B128" s="259" t="s">
        <v>165</v>
      </c>
      <c r="C128" s="260"/>
      <c r="D128" s="2" t="s">
        <v>152</v>
      </c>
      <c r="E128" s="22"/>
      <c r="F128" s="22"/>
      <c r="G128" s="22"/>
    </row>
    <row r="130" spans="10:14" x14ac:dyDescent="0.2">
      <c r="J130" s="148"/>
      <c r="K130" s="148"/>
      <c r="L130" s="148"/>
      <c r="M130" s="148"/>
      <c r="N130" s="148"/>
    </row>
  </sheetData>
  <mergeCells count="13">
    <mergeCell ref="J2:N2"/>
    <mergeCell ref="A1:H1"/>
    <mergeCell ref="A2:H2"/>
    <mergeCell ref="A3:H3"/>
    <mergeCell ref="B112:C112"/>
    <mergeCell ref="B127:C127"/>
    <mergeCell ref="B128:C128"/>
    <mergeCell ref="B113:C113"/>
    <mergeCell ref="B114:C114"/>
    <mergeCell ref="B115:C115"/>
    <mergeCell ref="B123:C123"/>
    <mergeCell ref="B125:C125"/>
    <mergeCell ref="B126:C12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O12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516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3744</v>
      </c>
      <c r="F7" s="6">
        <v>97.181135999999995</v>
      </c>
      <c r="G7" s="7">
        <v>9.2962469000000006E-2</v>
      </c>
      <c r="H7" s="47"/>
    </row>
    <row r="8" spans="1:14" ht="17.100000000000001" customHeight="1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13152</v>
      </c>
      <c r="F8" s="6">
        <v>93.010943999999995</v>
      </c>
      <c r="G8" s="7">
        <v>8.8973307000000001E-2</v>
      </c>
      <c r="H8" s="47"/>
    </row>
    <row r="9" spans="1:14" ht="17.100000000000001" customHeight="1" x14ac:dyDescent="0.2">
      <c r="A9" s="3">
        <v>3</v>
      </c>
      <c r="B9" s="4" t="s">
        <v>393</v>
      </c>
      <c r="C9" s="4" t="s">
        <v>394</v>
      </c>
      <c r="D9" s="4" t="s">
        <v>191</v>
      </c>
      <c r="E9" s="5">
        <v>5779</v>
      </c>
      <c r="F9" s="6">
        <v>84.483200999999994</v>
      </c>
      <c r="G9" s="7">
        <v>8.0815756000000002E-2</v>
      </c>
      <c r="H9" s="47"/>
    </row>
    <row r="10" spans="1:14" ht="17.100000000000001" customHeight="1" x14ac:dyDescent="0.2">
      <c r="A10" s="3">
        <v>4</v>
      </c>
      <c r="B10" s="4" t="s">
        <v>358</v>
      </c>
      <c r="C10" s="4" t="s">
        <v>359</v>
      </c>
      <c r="D10" s="4" t="s">
        <v>19</v>
      </c>
      <c r="E10" s="5">
        <v>4906</v>
      </c>
      <c r="F10" s="6">
        <v>66.13288</v>
      </c>
      <c r="G10" s="7">
        <v>6.3262028999999997E-2</v>
      </c>
      <c r="H10" s="47"/>
    </row>
    <row r="11" spans="1:14" ht="17.100000000000001" customHeight="1" x14ac:dyDescent="0.2">
      <c r="A11" s="3">
        <v>5</v>
      </c>
      <c r="B11" s="4" t="s">
        <v>46</v>
      </c>
      <c r="C11" s="4" t="s">
        <v>47</v>
      </c>
      <c r="D11" s="4" t="s">
        <v>19</v>
      </c>
      <c r="E11" s="5">
        <v>12485</v>
      </c>
      <c r="F11" s="6">
        <v>58.167614999999998</v>
      </c>
      <c r="G11" s="7">
        <v>5.5642538999999998E-2</v>
      </c>
      <c r="H11" s="47"/>
    </row>
    <row r="12" spans="1:14" ht="29.1" customHeight="1" x14ac:dyDescent="0.2">
      <c r="A12" s="3">
        <v>6</v>
      </c>
      <c r="B12" s="4" t="s">
        <v>395</v>
      </c>
      <c r="C12" s="4" t="s">
        <v>396</v>
      </c>
      <c r="D12" s="4" t="s">
        <v>91</v>
      </c>
      <c r="E12" s="5">
        <v>2230</v>
      </c>
      <c r="F12" s="6">
        <v>48.409954999999997</v>
      </c>
      <c r="G12" s="7">
        <v>4.6308462000000002E-2</v>
      </c>
      <c r="H12" s="47"/>
    </row>
    <row r="13" spans="1:14" ht="17.100000000000001" customHeight="1" x14ac:dyDescent="0.2">
      <c r="A13" s="3">
        <v>7</v>
      </c>
      <c r="B13" s="4" t="s">
        <v>11</v>
      </c>
      <c r="C13" s="4" t="s">
        <v>12</v>
      </c>
      <c r="D13" s="4" t="s">
        <v>13</v>
      </c>
      <c r="E13" s="5">
        <v>2233</v>
      </c>
      <c r="F13" s="6">
        <v>34.795722499999997</v>
      </c>
      <c r="G13" s="7">
        <v>3.3285228E-2</v>
      </c>
      <c r="H13" s="47"/>
      <c r="J13" s="147" t="s">
        <v>1117</v>
      </c>
    </row>
    <row r="14" spans="1:14" ht="17.100000000000001" customHeight="1" x14ac:dyDescent="0.2">
      <c r="A14" s="3">
        <v>8</v>
      </c>
      <c r="B14" s="4" t="s">
        <v>304</v>
      </c>
      <c r="C14" s="4" t="s">
        <v>305</v>
      </c>
      <c r="D14" s="4" t="s">
        <v>19</v>
      </c>
      <c r="E14" s="5">
        <v>5335</v>
      </c>
      <c r="F14" s="6">
        <v>33.973280000000003</v>
      </c>
      <c r="G14" s="7">
        <v>3.2498487999999999E-2</v>
      </c>
      <c r="H14" s="47"/>
    </row>
    <row r="15" spans="1:14" ht="17.100000000000001" customHeight="1" x14ac:dyDescent="0.2">
      <c r="A15" s="3">
        <v>9</v>
      </c>
      <c r="B15" s="4" t="s">
        <v>20</v>
      </c>
      <c r="C15" s="4" t="s">
        <v>21</v>
      </c>
      <c r="D15" s="4" t="s">
        <v>22</v>
      </c>
      <c r="E15" s="5">
        <v>4570</v>
      </c>
      <c r="F15" s="6">
        <v>31.302215</v>
      </c>
      <c r="G15" s="7">
        <v>2.9943375000000001E-2</v>
      </c>
      <c r="H15" s="47"/>
    </row>
    <row r="16" spans="1:14" ht="17.100000000000001" customHeight="1" x14ac:dyDescent="0.2">
      <c r="A16" s="3">
        <v>10</v>
      </c>
      <c r="B16" s="4" t="s">
        <v>442</v>
      </c>
      <c r="C16" s="4" t="s">
        <v>443</v>
      </c>
      <c r="D16" s="4" t="s">
        <v>85</v>
      </c>
      <c r="E16" s="5">
        <v>7590</v>
      </c>
      <c r="F16" s="6">
        <v>31.25562</v>
      </c>
      <c r="G16" s="7">
        <v>2.9898803000000002E-2</v>
      </c>
      <c r="H16" s="47"/>
    </row>
    <row r="17" spans="1:8" ht="29.1" customHeight="1" x14ac:dyDescent="0.2">
      <c r="A17" s="3">
        <v>11</v>
      </c>
      <c r="B17" s="4" t="s">
        <v>23</v>
      </c>
      <c r="C17" s="4" t="s">
        <v>24</v>
      </c>
      <c r="D17" s="4" t="s">
        <v>25</v>
      </c>
      <c r="E17" s="5">
        <v>501</v>
      </c>
      <c r="F17" s="6">
        <v>28.092573000000002</v>
      </c>
      <c r="G17" s="7">
        <v>2.6873065000000002E-2</v>
      </c>
      <c r="H17" s="47"/>
    </row>
    <row r="18" spans="1:8" ht="17.100000000000001" customHeight="1" x14ac:dyDescent="0.2">
      <c r="A18" s="3">
        <v>12</v>
      </c>
      <c r="B18" s="4" t="s">
        <v>412</v>
      </c>
      <c r="C18" s="4" t="s">
        <v>413</v>
      </c>
      <c r="D18" s="4" t="s">
        <v>405</v>
      </c>
      <c r="E18" s="5">
        <v>8677</v>
      </c>
      <c r="F18" s="6">
        <v>23.731594999999999</v>
      </c>
      <c r="G18" s="7">
        <v>2.2701398000000001E-2</v>
      </c>
      <c r="H18" s="47"/>
    </row>
    <row r="19" spans="1:8" ht="17.100000000000001" customHeight="1" x14ac:dyDescent="0.2">
      <c r="A19" s="3">
        <v>13</v>
      </c>
      <c r="B19" s="4" t="s">
        <v>397</v>
      </c>
      <c r="C19" s="4" t="s">
        <v>398</v>
      </c>
      <c r="D19" s="4" t="s">
        <v>191</v>
      </c>
      <c r="E19" s="5">
        <v>672</v>
      </c>
      <c r="F19" s="6">
        <v>21.954912</v>
      </c>
      <c r="G19" s="7">
        <v>2.1001842E-2</v>
      </c>
      <c r="H19" s="47"/>
    </row>
    <row r="20" spans="1:8" ht="17.100000000000001" customHeight="1" x14ac:dyDescent="0.2">
      <c r="A20" s="3">
        <v>14</v>
      </c>
      <c r="B20" s="4" t="s">
        <v>420</v>
      </c>
      <c r="C20" s="4" t="s">
        <v>421</v>
      </c>
      <c r="D20" s="4" t="s">
        <v>19</v>
      </c>
      <c r="E20" s="5">
        <v>1213</v>
      </c>
      <c r="F20" s="6">
        <v>20.149142999999999</v>
      </c>
      <c r="G20" s="7">
        <v>1.9274461999999999E-2</v>
      </c>
      <c r="H20" s="47"/>
    </row>
    <row r="21" spans="1:8" ht="17.100000000000001" customHeight="1" x14ac:dyDescent="0.2">
      <c r="A21" s="3">
        <v>15</v>
      </c>
      <c r="B21" s="4" t="s">
        <v>399</v>
      </c>
      <c r="C21" s="4" t="s">
        <v>400</v>
      </c>
      <c r="D21" s="4" t="s">
        <v>321</v>
      </c>
      <c r="E21" s="5">
        <v>1859</v>
      </c>
      <c r="F21" s="6">
        <v>20.106943999999999</v>
      </c>
      <c r="G21" s="7">
        <v>1.9234095E-2</v>
      </c>
      <c r="H21" s="47"/>
    </row>
    <row r="22" spans="1:8" ht="29.1" customHeight="1" x14ac:dyDescent="0.2">
      <c r="A22" s="3">
        <v>16</v>
      </c>
      <c r="B22" s="4" t="s">
        <v>340</v>
      </c>
      <c r="C22" s="4" t="s">
        <v>341</v>
      </c>
      <c r="D22" s="4" t="s">
        <v>342</v>
      </c>
      <c r="E22" s="5">
        <v>2059</v>
      </c>
      <c r="F22" s="6">
        <v>19.625358500000001</v>
      </c>
      <c r="G22" s="7">
        <v>1.8773415000000002E-2</v>
      </c>
      <c r="H22" s="47"/>
    </row>
    <row r="23" spans="1:8" ht="29.1" customHeight="1" x14ac:dyDescent="0.2">
      <c r="A23" s="3">
        <v>17</v>
      </c>
      <c r="B23" s="4" t="s">
        <v>199</v>
      </c>
      <c r="C23" s="4" t="s">
        <v>200</v>
      </c>
      <c r="D23" s="4" t="s">
        <v>201</v>
      </c>
      <c r="E23" s="5">
        <v>526</v>
      </c>
      <c r="F23" s="6">
        <v>19.207415999999998</v>
      </c>
      <c r="G23" s="7">
        <v>1.8373614999999999E-2</v>
      </c>
      <c r="H23" s="47"/>
    </row>
    <row r="24" spans="1:8" ht="17.100000000000001" customHeight="1" x14ac:dyDescent="0.2">
      <c r="A24" s="3">
        <v>18</v>
      </c>
      <c r="B24" s="4" t="s">
        <v>92</v>
      </c>
      <c r="C24" s="4" t="s">
        <v>93</v>
      </c>
      <c r="D24" s="4" t="s">
        <v>94</v>
      </c>
      <c r="E24" s="5">
        <v>827</v>
      </c>
      <c r="F24" s="6">
        <v>18.942435</v>
      </c>
      <c r="G24" s="7">
        <v>1.8120137000000001E-2</v>
      </c>
      <c r="H24" s="47"/>
    </row>
    <row r="25" spans="1:8" ht="17.100000000000001" customHeight="1" x14ac:dyDescent="0.2">
      <c r="A25" s="3">
        <v>19</v>
      </c>
      <c r="B25" s="4" t="s">
        <v>299</v>
      </c>
      <c r="C25" s="4" t="s">
        <v>300</v>
      </c>
      <c r="D25" s="4" t="s">
        <v>19</v>
      </c>
      <c r="E25" s="5">
        <v>20799</v>
      </c>
      <c r="F25" s="6">
        <v>18.760698000000001</v>
      </c>
      <c r="G25" s="7">
        <v>1.794629E-2</v>
      </c>
      <c r="H25" s="47"/>
    </row>
    <row r="26" spans="1:8" ht="17.100000000000001" customHeight="1" x14ac:dyDescent="0.2">
      <c r="A26" s="3">
        <v>20</v>
      </c>
      <c r="B26" s="4" t="s">
        <v>462</v>
      </c>
      <c r="C26" s="4" t="s">
        <v>463</v>
      </c>
      <c r="D26" s="4" t="s">
        <v>88</v>
      </c>
      <c r="E26" s="5">
        <v>959</v>
      </c>
      <c r="F26" s="6">
        <v>18.616587500000001</v>
      </c>
      <c r="G26" s="7">
        <v>1.7808435000000001E-2</v>
      </c>
      <c r="H26" s="47"/>
    </row>
    <row r="27" spans="1:8" ht="17.100000000000001" customHeight="1" x14ac:dyDescent="0.2">
      <c r="A27" s="3">
        <v>21</v>
      </c>
      <c r="B27" s="4" t="s">
        <v>408</v>
      </c>
      <c r="C27" s="4" t="s">
        <v>409</v>
      </c>
      <c r="D27" s="4" t="s">
        <v>191</v>
      </c>
      <c r="E27" s="5">
        <v>1859</v>
      </c>
      <c r="F27" s="6">
        <v>18.092717499999999</v>
      </c>
      <c r="G27" s="7">
        <v>1.7307306000000001E-2</v>
      </c>
      <c r="H27" s="47"/>
    </row>
    <row r="28" spans="1:8" ht="29.1" customHeight="1" x14ac:dyDescent="0.2">
      <c r="A28" s="3">
        <v>22</v>
      </c>
      <c r="B28" s="4" t="s">
        <v>179</v>
      </c>
      <c r="C28" s="4" t="s">
        <v>180</v>
      </c>
      <c r="D28" s="4" t="s">
        <v>181</v>
      </c>
      <c r="E28" s="5">
        <v>2788</v>
      </c>
      <c r="F28" s="6">
        <v>17.108561999999999</v>
      </c>
      <c r="G28" s="7">
        <v>1.6365873E-2</v>
      </c>
      <c r="H28" s="47"/>
    </row>
    <row r="29" spans="1:8" ht="17.100000000000001" customHeight="1" x14ac:dyDescent="0.2">
      <c r="A29" s="3">
        <v>23</v>
      </c>
      <c r="B29" s="4" t="s">
        <v>207</v>
      </c>
      <c r="C29" s="4" t="s">
        <v>208</v>
      </c>
      <c r="D29" s="4" t="s">
        <v>209</v>
      </c>
      <c r="E29" s="5">
        <v>5791</v>
      </c>
      <c r="F29" s="6">
        <v>16.101875499999998</v>
      </c>
      <c r="G29" s="7">
        <v>1.5402887000000001E-2</v>
      </c>
      <c r="H29" s="47"/>
    </row>
    <row r="30" spans="1:8" ht="17.100000000000001" customHeight="1" x14ac:dyDescent="0.2">
      <c r="A30" s="3">
        <v>24</v>
      </c>
      <c r="B30" s="4" t="s">
        <v>294</v>
      </c>
      <c r="C30" s="4" t="s">
        <v>295</v>
      </c>
      <c r="D30" s="4" t="s">
        <v>296</v>
      </c>
      <c r="E30" s="5">
        <v>2032</v>
      </c>
      <c r="F30" s="6">
        <v>16.063976</v>
      </c>
      <c r="G30" s="7">
        <v>1.5366632999999999E-2</v>
      </c>
      <c r="H30" s="47"/>
    </row>
    <row r="31" spans="1:8" ht="17.100000000000001" customHeight="1" x14ac:dyDescent="0.2">
      <c r="A31" s="3">
        <v>25</v>
      </c>
      <c r="B31" s="4" t="s">
        <v>210</v>
      </c>
      <c r="C31" s="4" t="s">
        <v>211</v>
      </c>
      <c r="D31" s="4" t="s">
        <v>16</v>
      </c>
      <c r="E31" s="5">
        <v>6777</v>
      </c>
      <c r="F31" s="6">
        <v>14.719644000000001</v>
      </c>
      <c r="G31" s="7">
        <v>1.4080659000000001E-2</v>
      </c>
      <c r="H31" s="47"/>
    </row>
    <row r="32" spans="1:8" ht="17.100000000000001" customHeight="1" x14ac:dyDescent="0.2">
      <c r="A32" s="3">
        <v>26</v>
      </c>
      <c r="B32" s="4" t="s">
        <v>416</v>
      </c>
      <c r="C32" s="4" t="s">
        <v>417</v>
      </c>
      <c r="D32" s="4" t="s">
        <v>19</v>
      </c>
      <c r="E32" s="5">
        <v>1787</v>
      </c>
      <c r="F32" s="6">
        <v>14.1950345</v>
      </c>
      <c r="G32" s="7">
        <v>1.3578823E-2</v>
      </c>
      <c r="H32" s="47"/>
    </row>
    <row r="33" spans="1:8" ht="17.100000000000001" customHeight="1" x14ac:dyDescent="0.2">
      <c r="A33" s="3">
        <v>27</v>
      </c>
      <c r="B33" s="4" t="s">
        <v>43</v>
      </c>
      <c r="C33" s="4" t="s">
        <v>44</v>
      </c>
      <c r="D33" s="4" t="s">
        <v>45</v>
      </c>
      <c r="E33" s="5">
        <v>2372</v>
      </c>
      <c r="F33" s="6">
        <v>14.096795999999999</v>
      </c>
      <c r="G33" s="7">
        <v>1.3484849E-2</v>
      </c>
      <c r="H33" s="47"/>
    </row>
    <row r="34" spans="1:8" ht="17.100000000000001" customHeight="1" x14ac:dyDescent="0.2">
      <c r="A34" s="3">
        <v>28</v>
      </c>
      <c r="B34" s="4" t="s">
        <v>338</v>
      </c>
      <c r="C34" s="4" t="s">
        <v>339</v>
      </c>
      <c r="D34" s="4" t="s">
        <v>114</v>
      </c>
      <c r="E34" s="5">
        <v>3810</v>
      </c>
      <c r="F34" s="6">
        <v>12.544425</v>
      </c>
      <c r="G34" s="7">
        <v>1.1999867000000001E-2</v>
      </c>
      <c r="H34" s="47"/>
    </row>
    <row r="35" spans="1:8" ht="17.100000000000001" customHeight="1" x14ac:dyDescent="0.2">
      <c r="A35" s="3">
        <v>29</v>
      </c>
      <c r="B35" s="4" t="s">
        <v>69</v>
      </c>
      <c r="C35" s="4" t="s">
        <v>70</v>
      </c>
      <c r="D35" s="4" t="s">
        <v>16</v>
      </c>
      <c r="E35" s="5">
        <v>3989</v>
      </c>
      <c r="F35" s="6">
        <v>12.302076</v>
      </c>
      <c r="G35" s="7">
        <v>1.1768038999999999E-2</v>
      </c>
      <c r="H35" s="47"/>
    </row>
    <row r="36" spans="1:8" ht="17.100000000000001" customHeight="1" x14ac:dyDescent="0.2">
      <c r="A36" s="3">
        <v>30</v>
      </c>
      <c r="B36" s="4" t="s">
        <v>306</v>
      </c>
      <c r="C36" s="4" t="s">
        <v>307</v>
      </c>
      <c r="D36" s="4" t="s">
        <v>19</v>
      </c>
      <c r="E36" s="5">
        <v>12176</v>
      </c>
      <c r="F36" s="6">
        <v>11.859424000000001</v>
      </c>
      <c r="G36" s="7">
        <v>1.1344602000000001E-2</v>
      </c>
      <c r="H36" s="47"/>
    </row>
    <row r="37" spans="1:8" ht="17.100000000000001" customHeight="1" x14ac:dyDescent="0.2">
      <c r="A37" s="3">
        <v>31</v>
      </c>
      <c r="B37" s="4" t="s">
        <v>403</v>
      </c>
      <c r="C37" s="4" t="s">
        <v>404</v>
      </c>
      <c r="D37" s="4" t="s">
        <v>405</v>
      </c>
      <c r="E37" s="5">
        <v>517</v>
      </c>
      <c r="F37" s="6">
        <v>11.532202</v>
      </c>
      <c r="G37" s="7">
        <v>1.1031585E-2</v>
      </c>
      <c r="H37" s="47"/>
    </row>
    <row r="38" spans="1:8" ht="29.1" customHeight="1" x14ac:dyDescent="0.2">
      <c r="A38" s="3">
        <v>32</v>
      </c>
      <c r="B38" s="4" t="s">
        <v>510</v>
      </c>
      <c r="C38" s="4" t="s">
        <v>511</v>
      </c>
      <c r="D38" s="4" t="s">
        <v>204</v>
      </c>
      <c r="E38" s="5">
        <v>1213</v>
      </c>
      <c r="F38" s="6">
        <v>11.125636</v>
      </c>
      <c r="G38" s="7">
        <v>1.0642667999999999E-2</v>
      </c>
      <c r="H38" s="47"/>
    </row>
    <row r="39" spans="1:8" ht="29.1" customHeight="1" x14ac:dyDescent="0.2">
      <c r="A39" s="3">
        <v>33</v>
      </c>
      <c r="B39" s="4" t="s">
        <v>514</v>
      </c>
      <c r="C39" s="4" t="s">
        <v>515</v>
      </c>
      <c r="D39" s="4" t="s">
        <v>25</v>
      </c>
      <c r="E39" s="5">
        <v>1266</v>
      </c>
      <c r="F39" s="6">
        <v>11.026227</v>
      </c>
      <c r="G39" s="7">
        <v>1.0547575E-2</v>
      </c>
      <c r="H39" s="47"/>
    </row>
    <row r="40" spans="1:8" ht="17.100000000000001" customHeight="1" x14ac:dyDescent="0.2">
      <c r="A40" s="3">
        <v>34</v>
      </c>
      <c r="B40" s="4" t="s">
        <v>512</v>
      </c>
      <c r="C40" s="4" t="s">
        <v>513</v>
      </c>
      <c r="D40" s="4" t="s">
        <v>312</v>
      </c>
      <c r="E40" s="5">
        <v>4646</v>
      </c>
      <c r="F40" s="6">
        <v>11.013343000000001</v>
      </c>
      <c r="G40" s="7">
        <v>1.0535249999999999E-2</v>
      </c>
      <c r="H40" s="47"/>
    </row>
    <row r="41" spans="1:8" ht="29.1" customHeight="1" x14ac:dyDescent="0.2">
      <c r="A41" s="3">
        <v>35</v>
      </c>
      <c r="B41" s="4" t="s">
        <v>370</v>
      </c>
      <c r="C41" s="4" t="s">
        <v>371</v>
      </c>
      <c r="D41" s="4" t="s">
        <v>238</v>
      </c>
      <c r="E41" s="5">
        <v>1535</v>
      </c>
      <c r="F41" s="6">
        <v>10.8424725</v>
      </c>
      <c r="G41" s="7">
        <v>1.0371797E-2</v>
      </c>
      <c r="H41" s="47"/>
    </row>
    <row r="42" spans="1:8" ht="29.1" customHeight="1" x14ac:dyDescent="0.2">
      <c r="A42" s="3">
        <v>36</v>
      </c>
      <c r="B42" s="4" t="s">
        <v>330</v>
      </c>
      <c r="C42" s="4" t="s">
        <v>331</v>
      </c>
      <c r="D42" s="4" t="s">
        <v>204</v>
      </c>
      <c r="E42" s="5">
        <v>311</v>
      </c>
      <c r="F42" s="6">
        <v>8.4022869999999994</v>
      </c>
      <c r="G42" s="7">
        <v>8.0375410000000005E-3</v>
      </c>
      <c r="H42" s="47"/>
    </row>
    <row r="43" spans="1:8" ht="17.100000000000001" customHeight="1" x14ac:dyDescent="0.2">
      <c r="A43" s="3">
        <v>37</v>
      </c>
      <c r="B43" s="4" t="s">
        <v>410</v>
      </c>
      <c r="C43" s="4" t="s">
        <v>411</v>
      </c>
      <c r="D43" s="4" t="s">
        <v>191</v>
      </c>
      <c r="E43" s="5">
        <v>1742</v>
      </c>
      <c r="F43" s="6">
        <v>7.2475909999999999</v>
      </c>
      <c r="G43" s="7">
        <v>6.9329709999999996E-3</v>
      </c>
      <c r="H43" s="47"/>
    </row>
    <row r="44" spans="1:8" ht="17.100000000000001" customHeight="1" x14ac:dyDescent="0.2">
      <c r="A44" s="3">
        <v>38</v>
      </c>
      <c r="B44" s="4" t="s">
        <v>429</v>
      </c>
      <c r="C44" s="45" t="s">
        <v>1012</v>
      </c>
      <c r="D44" s="4" t="s">
        <v>22</v>
      </c>
      <c r="E44" s="5">
        <v>327</v>
      </c>
      <c r="F44" s="6">
        <v>0.98884799999999995</v>
      </c>
      <c r="G44" s="7">
        <v>9.4592199999999997E-4</v>
      </c>
      <c r="H44" s="47"/>
    </row>
    <row r="45" spans="1:8" ht="14.1" customHeight="1" x14ac:dyDescent="0.2">
      <c r="A45" s="1"/>
      <c r="B45" s="1"/>
      <c r="C45" s="2" t="s">
        <v>122</v>
      </c>
      <c r="D45" s="1"/>
      <c r="E45" s="1" t="s">
        <v>123</v>
      </c>
      <c r="F45" s="9">
        <v>1007.1633675000003</v>
      </c>
      <c r="G45" s="10">
        <v>0.96344205700000007</v>
      </c>
      <c r="H45" s="47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47"/>
    </row>
    <row r="47" spans="1:8" ht="14.1" customHeight="1" x14ac:dyDescent="0.2">
      <c r="A47" s="1"/>
      <c r="B47" s="1"/>
      <c r="C47" s="2" t="s">
        <v>124</v>
      </c>
      <c r="D47" s="1"/>
      <c r="E47" s="1"/>
      <c r="F47" s="1"/>
      <c r="G47" s="1"/>
      <c r="H47" s="47"/>
    </row>
    <row r="48" spans="1:8" ht="14.1" customHeight="1" x14ac:dyDescent="0.2">
      <c r="A48" s="1"/>
      <c r="B48" s="1"/>
      <c r="C48" s="2" t="s">
        <v>122</v>
      </c>
      <c r="D48" s="1"/>
      <c r="E48" s="1" t="s">
        <v>123</v>
      </c>
      <c r="F48" s="13">
        <v>0</v>
      </c>
      <c r="G48" s="14">
        <v>0</v>
      </c>
      <c r="H48" s="47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47"/>
    </row>
    <row r="50" spans="1:8" ht="14.1" customHeight="1" x14ac:dyDescent="0.2">
      <c r="A50" s="1"/>
      <c r="B50" s="1"/>
      <c r="C50" s="2" t="s">
        <v>125</v>
      </c>
      <c r="D50" s="1"/>
      <c r="E50" s="1"/>
      <c r="F50" s="1"/>
      <c r="G50" s="1"/>
      <c r="H50" s="47"/>
    </row>
    <row r="51" spans="1:8" ht="14.1" customHeight="1" x14ac:dyDescent="0.2">
      <c r="A51" s="1"/>
      <c r="B51" s="1"/>
      <c r="C51" s="2" t="s">
        <v>122</v>
      </c>
      <c r="D51" s="1"/>
      <c r="E51" s="1" t="s">
        <v>123</v>
      </c>
      <c r="F51" s="13">
        <v>0</v>
      </c>
      <c r="G51" s="14">
        <v>0</v>
      </c>
      <c r="H51" s="47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47"/>
    </row>
    <row r="53" spans="1:8" ht="14.1" customHeight="1" x14ac:dyDescent="0.2">
      <c r="A53" s="1"/>
      <c r="B53" s="1"/>
      <c r="C53" s="2" t="s">
        <v>126</v>
      </c>
      <c r="D53" s="1"/>
      <c r="E53" s="1"/>
      <c r="F53" s="1"/>
      <c r="G53" s="1"/>
      <c r="H53" s="47"/>
    </row>
    <row r="54" spans="1:8" ht="14.1" customHeight="1" x14ac:dyDescent="0.2">
      <c r="A54" s="1"/>
      <c r="B54" s="1"/>
      <c r="C54" s="2" t="s">
        <v>122</v>
      </c>
      <c r="D54" s="1"/>
      <c r="E54" s="1" t="s">
        <v>123</v>
      </c>
      <c r="F54" s="9">
        <v>0</v>
      </c>
      <c r="G54" s="10">
        <v>0</v>
      </c>
      <c r="H54" s="47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47"/>
    </row>
    <row r="56" spans="1:8" ht="14.1" customHeight="1" x14ac:dyDescent="0.2">
      <c r="A56" s="1"/>
      <c r="B56" s="1"/>
      <c r="C56" s="2" t="s">
        <v>127</v>
      </c>
      <c r="D56" s="1"/>
      <c r="E56" s="1"/>
      <c r="F56" s="12"/>
      <c r="G56" s="12"/>
      <c r="H56" s="47"/>
    </row>
    <row r="57" spans="1:8" ht="14.1" customHeight="1" x14ac:dyDescent="0.2">
      <c r="A57" s="1"/>
      <c r="B57" s="1"/>
      <c r="C57" s="2" t="s">
        <v>122</v>
      </c>
      <c r="D57" s="1"/>
      <c r="E57" s="1" t="s">
        <v>123</v>
      </c>
      <c r="F57" s="13">
        <v>0</v>
      </c>
      <c r="G57" s="14">
        <v>0</v>
      </c>
      <c r="H57" s="47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47"/>
    </row>
    <row r="59" spans="1:8" ht="14.1" customHeight="1" x14ac:dyDescent="0.2">
      <c r="A59" s="1"/>
      <c r="B59" s="1"/>
      <c r="C59" s="2" t="s">
        <v>128</v>
      </c>
      <c r="D59" s="1"/>
      <c r="E59" s="1"/>
      <c r="F59" s="12"/>
      <c r="G59" s="12"/>
      <c r="H59" s="47"/>
    </row>
    <row r="60" spans="1:8" ht="14.1" customHeight="1" x14ac:dyDescent="0.2">
      <c r="A60" s="1"/>
      <c r="B60" s="1"/>
      <c r="C60" s="2" t="s">
        <v>122</v>
      </c>
      <c r="D60" s="1"/>
      <c r="E60" s="1" t="s">
        <v>123</v>
      </c>
      <c r="F60" s="13">
        <v>0</v>
      </c>
      <c r="G60" s="14">
        <v>0</v>
      </c>
      <c r="H60" s="47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47"/>
    </row>
    <row r="62" spans="1:8" ht="18" customHeight="1" x14ac:dyDescent="0.2">
      <c r="A62" s="1"/>
      <c r="B62" s="1"/>
      <c r="C62" s="2" t="s">
        <v>129</v>
      </c>
      <c r="D62" s="1"/>
      <c r="E62" s="1"/>
      <c r="F62" s="9">
        <v>1007.1633675</v>
      </c>
      <c r="G62" s="10">
        <v>0.96344205699999996</v>
      </c>
      <c r="H62" s="47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47"/>
    </row>
    <row r="64" spans="1:8" ht="14.1" customHeight="1" x14ac:dyDescent="0.2">
      <c r="A64" s="1"/>
      <c r="B64" s="1"/>
      <c r="C64" s="2" t="s">
        <v>130</v>
      </c>
      <c r="D64" s="1"/>
      <c r="E64" s="1"/>
      <c r="F64" s="12"/>
      <c r="G64" s="12"/>
      <c r="H64" s="47"/>
    </row>
    <row r="65" spans="1:8" ht="24" customHeight="1" x14ac:dyDescent="0.2">
      <c r="A65" s="1"/>
      <c r="B65" s="1"/>
      <c r="C65" s="2" t="s">
        <v>10</v>
      </c>
      <c r="D65" s="1"/>
      <c r="E65" s="1"/>
      <c r="F65" s="12"/>
      <c r="G65" s="12"/>
      <c r="H65" s="47"/>
    </row>
    <row r="66" spans="1:8" ht="14.1" customHeight="1" x14ac:dyDescent="0.2">
      <c r="A66" s="1"/>
      <c r="B66" s="1"/>
      <c r="C66" s="2" t="s">
        <v>122</v>
      </c>
      <c r="D66" s="1"/>
      <c r="E66" s="1" t="s">
        <v>123</v>
      </c>
      <c r="F66" s="13">
        <v>0</v>
      </c>
      <c r="G66" s="14">
        <v>0</v>
      </c>
      <c r="H66" s="47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47"/>
    </row>
    <row r="68" spans="1:8" ht="14.1" customHeight="1" x14ac:dyDescent="0.2">
      <c r="A68" s="1"/>
      <c r="B68" s="1"/>
      <c r="C68" s="2" t="s">
        <v>131</v>
      </c>
      <c r="D68" s="1"/>
      <c r="E68" s="1"/>
      <c r="F68" s="1"/>
      <c r="G68" s="1"/>
      <c r="H68" s="47"/>
    </row>
    <row r="69" spans="1:8" ht="14.1" customHeight="1" x14ac:dyDescent="0.2">
      <c r="A69" s="1"/>
      <c r="B69" s="1"/>
      <c r="C69" s="2" t="s">
        <v>122</v>
      </c>
      <c r="D69" s="1"/>
      <c r="E69" s="1" t="s">
        <v>123</v>
      </c>
      <c r="F69" s="13">
        <v>0</v>
      </c>
      <c r="G69" s="14">
        <v>0</v>
      </c>
      <c r="H69" s="47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47"/>
    </row>
    <row r="71" spans="1:8" ht="14.1" customHeight="1" x14ac:dyDescent="0.2">
      <c r="A71" s="1"/>
      <c r="B71" s="1"/>
      <c r="C71" s="2" t="s">
        <v>132</v>
      </c>
      <c r="D71" s="1"/>
      <c r="E71" s="1"/>
      <c r="F71" s="1"/>
      <c r="G71" s="1"/>
      <c r="H71" s="47"/>
    </row>
    <row r="72" spans="1:8" ht="14.1" customHeight="1" x14ac:dyDescent="0.2">
      <c r="A72" s="1"/>
      <c r="B72" s="1"/>
      <c r="C72" s="2" t="s">
        <v>122</v>
      </c>
      <c r="D72" s="1"/>
      <c r="E72" s="1" t="s">
        <v>123</v>
      </c>
      <c r="F72" s="13">
        <v>0</v>
      </c>
      <c r="G72" s="14">
        <v>0</v>
      </c>
      <c r="H72" s="47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47"/>
    </row>
    <row r="74" spans="1:8" ht="14.1" customHeight="1" x14ac:dyDescent="0.2">
      <c r="A74" s="1"/>
      <c r="B74" s="1"/>
      <c r="C74" s="2" t="s">
        <v>133</v>
      </c>
      <c r="D74" s="1"/>
      <c r="E74" s="1"/>
      <c r="F74" s="12"/>
      <c r="G74" s="12"/>
      <c r="H74" s="47"/>
    </row>
    <row r="75" spans="1:8" ht="14.1" customHeight="1" x14ac:dyDescent="0.2">
      <c r="A75" s="1"/>
      <c r="B75" s="1"/>
      <c r="C75" s="2" t="s">
        <v>122</v>
      </c>
      <c r="D75" s="1"/>
      <c r="E75" s="1" t="s">
        <v>123</v>
      </c>
      <c r="F75" s="13">
        <v>0</v>
      </c>
      <c r="G75" s="14">
        <v>0</v>
      </c>
      <c r="H75" s="47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47"/>
    </row>
    <row r="77" spans="1:8" ht="14.1" customHeight="1" x14ac:dyDescent="0.2">
      <c r="A77" s="1"/>
      <c r="B77" s="1"/>
      <c r="C77" s="2" t="s">
        <v>134</v>
      </c>
      <c r="D77" s="1"/>
      <c r="E77" s="1"/>
      <c r="F77" s="9">
        <v>0</v>
      </c>
      <c r="G77" s="10">
        <v>0</v>
      </c>
      <c r="H77" s="47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47"/>
    </row>
    <row r="79" spans="1:8" ht="14.1" customHeight="1" x14ac:dyDescent="0.2">
      <c r="A79" s="1"/>
      <c r="B79" s="1"/>
      <c r="C79" s="2" t="s">
        <v>135</v>
      </c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136</v>
      </c>
      <c r="D80" s="1"/>
      <c r="E80" s="1"/>
      <c r="F80" s="12"/>
      <c r="G80" s="12"/>
      <c r="H80" s="47"/>
    </row>
    <row r="81" spans="1:8" ht="14.1" customHeight="1" x14ac:dyDescent="0.2">
      <c r="A81" s="1"/>
      <c r="B81" s="1"/>
      <c r="C81" s="2" t="s">
        <v>122</v>
      </c>
      <c r="D81" s="1"/>
      <c r="E81" s="1" t="s">
        <v>123</v>
      </c>
      <c r="F81" s="13">
        <v>0</v>
      </c>
      <c r="G81" s="14">
        <v>0</v>
      </c>
      <c r="H81" s="47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137</v>
      </c>
      <c r="D83" s="1"/>
      <c r="E83" s="1"/>
      <c r="F83" s="12"/>
      <c r="G83" s="12"/>
      <c r="H83" s="47"/>
    </row>
    <row r="84" spans="1:8" ht="14.1" customHeight="1" x14ac:dyDescent="0.2">
      <c r="A84" s="1"/>
      <c r="B84" s="1"/>
      <c r="C84" s="2" t="s">
        <v>122</v>
      </c>
      <c r="D84" s="1"/>
      <c r="E84" s="1" t="s">
        <v>123</v>
      </c>
      <c r="F84" s="13">
        <v>0</v>
      </c>
      <c r="G84" s="14">
        <v>0</v>
      </c>
      <c r="H84" s="47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138</v>
      </c>
      <c r="D86" s="1"/>
      <c r="E86" s="1"/>
      <c r="F86" s="12"/>
      <c r="G86" s="12"/>
      <c r="H86" s="47"/>
    </row>
    <row r="87" spans="1:8" ht="14.1" customHeight="1" x14ac:dyDescent="0.2">
      <c r="A87" s="1"/>
      <c r="B87" s="1"/>
      <c r="C87" s="2" t="s">
        <v>122</v>
      </c>
      <c r="D87" s="1"/>
      <c r="E87" s="1" t="s">
        <v>123</v>
      </c>
      <c r="F87" s="13">
        <v>0</v>
      </c>
      <c r="G87" s="14">
        <v>0</v>
      </c>
      <c r="H87" s="47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139</v>
      </c>
      <c r="D89" s="1"/>
      <c r="E89" s="1"/>
      <c r="F89" s="12"/>
      <c r="G89" s="12"/>
      <c r="H89" s="47"/>
    </row>
    <row r="90" spans="1:8" ht="17.100000000000001" customHeight="1" x14ac:dyDescent="0.2">
      <c r="A90" s="3">
        <v>1</v>
      </c>
      <c r="B90" s="4"/>
      <c r="C90" s="4" t="s">
        <v>140</v>
      </c>
      <c r="D90" s="4"/>
      <c r="E90" s="8"/>
      <c r="F90" s="6">
        <v>34.512781599999997</v>
      </c>
      <c r="G90" s="7">
        <v>3.301457E-2</v>
      </c>
      <c r="H90" s="47">
        <v>4.6730752161314033</v>
      </c>
    </row>
    <row r="91" spans="1:8" ht="14.1" customHeight="1" x14ac:dyDescent="0.2">
      <c r="A91" s="1"/>
      <c r="B91" s="1"/>
      <c r="C91" s="2" t="s">
        <v>122</v>
      </c>
      <c r="D91" s="1"/>
      <c r="E91" s="1" t="s">
        <v>123</v>
      </c>
      <c r="F91" s="9">
        <v>34.512781599999997</v>
      </c>
      <c r="G91" s="10">
        <v>3.301457E-2</v>
      </c>
      <c r="H91" s="47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47"/>
    </row>
    <row r="93" spans="1:8" ht="14.1" customHeight="1" x14ac:dyDescent="0.2">
      <c r="A93" s="1"/>
      <c r="B93" s="1"/>
      <c r="C93" s="2" t="s">
        <v>141</v>
      </c>
      <c r="D93" s="1"/>
      <c r="E93" s="1"/>
      <c r="F93" s="9">
        <v>34.512781599999997</v>
      </c>
      <c r="G93" s="10">
        <v>3.301457E-2</v>
      </c>
      <c r="H93" s="47"/>
    </row>
    <row r="94" spans="1:8" ht="14.1" customHeight="1" x14ac:dyDescent="0.2">
      <c r="A94" s="1"/>
      <c r="B94" s="1"/>
      <c r="C94" s="12"/>
      <c r="D94" s="1"/>
      <c r="E94" s="1"/>
      <c r="F94" s="1"/>
      <c r="G94" s="1"/>
      <c r="H94" s="47"/>
    </row>
    <row r="95" spans="1:8" ht="14.1" customHeight="1" x14ac:dyDescent="0.2">
      <c r="A95" s="1"/>
      <c r="B95" s="1"/>
      <c r="C95" s="2" t="s">
        <v>142</v>
      </c>
      <c r="D95" s="1"/>
      <c r="E95" s="1"/>
      <c r="F95" s="1"/>
      <c r="G95" s="1"/>
      <c r="H95" s="47"/>
    </row>
    <row r="96" spans="1:8" ht="14.1" customHeight="1" x14ac:dyDescent="0.2">
      <c r="A96" s="1"/>
      <c r="B96" s="1"/>
      <c r="C96" s="2" t="s">
        <v>143</v>
      </c>
      <c r="D96" s="1"/>
      <c r="E96" s="1"/>
      <c r="F96" s="1"/>
      <c r="G96" s="1"/>
      <c r="H96" s="47"/>
    </row>
    <row r="97" spans="1:8" ht="14.1" customHeight="1" x14ac:dyDescent="0.2">
      <c r="A97" s="1"/>
      <c r="B97" s="1"/>
      <c r="C97" s="2" t="s">
        <v>122</v>
      </c>
      <c r="D97" s="1"/>
      <c r="E97" s="1" t="s">
        <v>123</v>
      </c>
      <c r="F97" s="13">
        <v>0</v>
      </c>
      <c r="G97" s="14">
        <v>0</v>
      </c>
      <c r="H97" s="47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47"/>
    </row>
    <row r="99" spans="1:8" ht="14.1" customHeight="1" x14ac:dyDescent="0.2">
      <c r="A99" s="1"/>
      <c r="B99" s="1"/>
      <c r="C99" s="2" t="s">
        <v>144</v>
      </c>
      <c r="D99" s="1"/>
      <c r="E99" s="1"/>
      <c r="F99" s="1"/>
      <c r="G99" s="1"/>
      <c r="H99" s="47"/>
    </row>
    <row r="100" spans="1:8" ht="14.1" customHeight="1" x14ac:dyDescent="0.2">
      <c r="A100" s="1"/>
      <c r="B100" s="1"/>
      <c r="C100" s="2" t="s">
        <v>145</v>
      </c>
      <c r="D100" s="1"/>
      <c r="E100" s="1"/>
      <c r="F100" s="1"/>
      <c r="G100" s="1"/>
      <c r="H100" s="47"/>
    </row>
    <row r="101" spans="1:8" ht="14.1" customHeight="1" x14ac:dyDescent="0.2">
      <c r="A101" s="1"/>
      <c r="B101" s="1"/>
      <c r="C101" s="2" t="s">
        <v>122</v>
      </c>
      <c r="D101" s="1"/>
      <c r="E101" s="1" t="s">
        <v>123</v>
      </c>
      <c r="F101" s="13">
        <v>0</v>
      </c>
      <c r="G101" s="14">
        <v>0</v>
      </c>
      <c r="H101" s="47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47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47"/>
    </row>
    <row r="104" spans="1:8" ht="24" customHeight="1" x14ac:dyDescent="0.2">
      <c r="A104" s="1"/>
      <c r="B104" s="1"/>
      <c r="C104" s="2" t="s">
        <v>146</v>
      </c>
      <c r="D104" s="1"/>
      <c r="E104" s="1"/>
      <c r="F104" s="12"/>
      <c r="G104" s="12"/>
      <c r="H104" s="47"/>
    </row>
    <row r="105" spans="1:8" ht="14.1" customHeight="1" x14ac:dyDescent="0.2">
      <c r="A105" s="1"/>
      <c r="B105" s="1"/>
      <c r="C105" s="2" t="s">
        <v>122</v>
      </c>
      <c r="D105" s="1"/>
      <c r="E105" s="1" t="s">
        <v>123</v>
      </c>
      <c r="F105" s="13">
        <v>0</v>
      </c>
      <c r="G105" s="14">
        <v>0</v>
      </c>
      <c r="H105" s="47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47"/>
    </row>
    <row r="107" spans="1:8" ht="14.1" customHeight="1" x14ac:dyDescent="0.2">
      <c r="A107" s="1"/>
      <c r="B107" s="4"/>
      <c r="C107" s="4"/>
      <c r="D107" s="2"/>
      <c r="E107" s="1"/>
      <c r="F107" s="4"/>
      <c r="G107" s="8"/>
      <c r="H107" s="47"/>
    </row>
    <row r="108" spans="1:8" ht="18" customHeight="1" x14ac:dyDescent="0.2">
      <c r="A108" s="8"/>
      <c r="B108" s="4"/>
      <c r="C108" s="4" t="s">
        <v>147</v>
      </c>
      <c r="D108" s="4"/>
      <c r="E108" s="8"/>
      <c r="F108" s="6">
        <v>3.70417489</v>
      </c>
      <c r="G108" s="7">
        <v>3.5433750000000001E-3</v>
      </c>
      <c r="H108" s="47"/>
    </row>
    <row r="109" spans="1:8" ht="14.1" customHeight="1" x14ac:dyDescent="0.2">
      <c r="A109" s="11"/>
      <c r="B109" s="11"/>
      <c r="C109" s="2" t="s">
        <v>148</v>
      </c>
      <c r="D109" s="15"/>
      <c r="E109" s="15"/>
      <c r="F109" s="9">
        <v>1045.3803239900001</v>
      </c>
      <c r="G109" s="10">
        <v>1.0000000019999999</v>
      </c>
      <c r="H109" s="47"/>
    </row>
    <row r="110" spans="1:8" ht="14.1" customHeight="1" x14ac:dyDescent="0.2">
      <c r="A110" s="18"/>
      <c r="B110" s="18"/>
      <c r="C110" s="18"/>
      <c r="D110" s="20"/>
      <c r="E110" s="20"/>
      <c r="F110" s="20"/>
      <c r="G110" s="20"/>
    </row>
    <row r="111" spans="1:8" ht="14.1" customHeight="1" x14ac:dyDescent="0.2">
      <c r="A111" s="18"/>
      <c r="B111" s="257" t="s">
        <v>150</v>
      </c>
      <c r="C111" s="258"/>
      <c r="D111" s="12" t="s">
        <v>123</v>
      </c>
      <c r="E111" s="21"/>
      <c r="F111" s="20"/>
      <c r="G111" s="20"/>
    </row>
    <row r="112" spans="1:8" ht="29.1" customHeight="1" x14ac:dyDescent="0.2">
      <c r="A112" s="18"/>
      <c r="B112" s="259" t="s">
        <v>151</v>
      </c>
      <c r="C112" s="260"/>
      <c r="D112" s="2" t="s">
        <v>152</v>
      </c>
      <c r="E112" s="21"/>
      <c r="F112" s="20"/>
      <c r="G112" s="20"/>
    </row>
    <row r="113" spans="1:15" ht="17.100000000000001" customHeight="1" x14ac:dyDescent="0.2">
      <c r="A113" s="18"/>
      <c r="B113" s="259" t="s">
        <v>153</v>
      </c>
      <c r="C113" s="260"/>
      <c r="D113" s="2" t="s">
        <v>152</v>
      </c>
      <c r="E113" s="21"/>
      <c r="F113" s="20"/>
      <c r="G113" s="20"/>
    </row>
    <row r="114" spans="1:15" ht="17.100000000000001" customHeight="1" x14ac:dyDescent="0.2">
      <c r="A114" s="18"/>
      <c r="B114" s="259" t="s">
        <v>154</v>
      </c>
      <c r="C114" s="260"/>
      <c r="D114" s="12" t="s">
        <v>123</v>
      </c>
      <c r="E114" s="21"/>
      <c r="F114" s="20"/>
      <c r="G114" s="20"/>
    </row>
    <row r="115" spans="1:15" ht="24" customHeight="1" x14ac:dyDescent="0.2">
      <c r="A115" s="22"/>
      <c r="B115" s="23" t="s">
        <v>123</v>
      </c>
      <c r="C115" s="23" t="s">
        <v>155</v>
      </c>
      <c r="D115" s="23" t="s">
        <v>156</v>
      </c>
      <c r="E115" s="22"/>
      <c r="F115" s="22"/>
      <c r="G115" s="22"/>
    </row>
    <row r="116" spans="1:15" ht="18" customHeight="1" x14ac:dyDescent="0.2">
      <c r="A116" s="22"/>
      <c r="B116" s="23" t="s">
        <v>157</v>
      </c>
      <c r="C116" s="23" t="s">
        <v>158</v>
      </c>
      <c r="D116" s="23" t="s">
        <v>159</v>
      </c>
      <c r="E116" s="22"/>
      <c r="F116" s="22"/>
      <c r="G116" s="22"/>
    </row>
    <row r="117" spans="1:15" ht="17.100000000000001" customHeight="1" x14ac:dyDescent="0.2">
      <c r="A117" s="22"/>
      <c r="B117" s="4" t="s">
        <v>160</v>
      </c>
      <c r="C117" s="24">
        <v>23.106200000000001</v>
      </c>
      <c r="D117" s="24">
        <v>22.095099999999999</v>
      </c>
      <c r="E117" s="22"/>
      <c r="F117" s="19"/>
      <c r="G117" s="25"/>
    </row>
    <row r="118" spans="1:15" ht="17.100000000000001" customHeight="1" x14ac:dyDescent="0.2">
      <c r="A118" s="22"/>
      <c r="B118" s="4" t="s">
        <v>1101</v>
      </c>
      <c r="C118" s="24">
        <v>18.721499999999999</v>
      </c>
      <c r="D118" s="24">
        <v>17.902200000000001</v>
      </c>
      <c r="E118" s="22"/>
      <c r="F118" s="19"/>
      <c r="G118" s="25"/>
    </row>
    <row r="119" spans="1:15" ht="17.100000000000001" customHeight="1" x14ac:dyDescent="0.2">
      <c r="A119" s="22"/>
      <c r="B119" s="4" t="s">
        <v>161</v>
      </c>
      <c r="C119" s="24">
        <v>22.5627</v>
      </c>
      <c r="D119" s="24">
        <v>21.572099999999999</v>
      </c>
      <c r="E119" s="22"/>
      <c r="F119" s="19"/>
      <c r="G119" s="25"/>
    </row>
    <row r="120" spans="1:15" ht="17.100000000000001" customHeight="1" x14ac:dyDescent="0.2">
      <c r="A120" s="22"/>
      <c r="B120" s="4" t="s">
        <v>1102</v>
      </c>
      <c r="C120" s="24">
        <v>18.210899999999999</v>
      </c>
      <c r="D120" s="24">
        <v>17.4114</v>
      </c>
      <c r="E120" s="22"/>
      <c r="F120" s="19"/>
      <c r="G120" s="25"/>
    </row>
    <row r="121" spans="1:15" ht="14.1" customHeight="1" x14ac:dyDescent="0.2">
      <c r="A121" s="22"/>
      <c r="B121" s="22"/>
      <c r="C121" s="22"/>
      <c r="D121" s="22"/>
      <c r="E121" s="22"/>
      <c r="F121" s="22"/>
      <c r="G121" s="22"/>
    </row>
    <row r="122" spans="1:15" ht="17.100000000000001" customHeight="1" x14ac:dyDescent="0.2">
      <c r="A122" s="22"/>
      <c r="B122" s="259" t="s">
        <v>1103</v>
      </c>
      <c r="C122" s="260"/>
      <c r="D122" s="2" t="s">
        <v>152</v>
      </c>
      <c r="E122" s="22"/>
      <c r="F122" s="22"/>
      <c r="G122" s="22"/>
    </row>
    <row r="123" spans="1:15" ht="18" customHeight="1" x14ac:dyDescent="0.2">
      <c r="A123" s="22"/>
      <c r="B123" s="26"/>
      <c r="C123" s="26"/>
      <c r="D123" s="27"/>
      <c r="E123" s="22"/>
      <c r="F123" s="22"/>
      <c r="G123" s="22"/>
    </row>
    <row r="124" spans="1:15" ht="29.1" customHeight="1" x14ac:dyDescent="0.2">
      <c r="A124" s="22"/>
      <c r="B124" s="259" t="s">
        <v>162</v>
      </c>
      <c r="C124" s="260"/>
      <c r="D124" s="2" t="s">
        <v>152</v>
      </c>
      <c r="E124" s="22"/>
      <c r="F124" s="22"/>
      <c r="G124" s="22"/>
    </row>
    <row r="125" spans="1:15" ht="29.1" customHeight="1" x14ac:dyDescent="0.2">
      <c r="A125" s="22"/>
      <c r="B125" s="259" t="s">
        <v>163</v>
      </c>
      <c r="C125" s="260"/>
      <c r="D125" s="2" t="s">
        <v>152</v>
      </c>
      <c r="E125" s="22"/>
      <c r="F125" s="22"/>
      <c r="G125" s="22"/>
    </row>
    <row r="126" spans="1:15" ht="17.100000000000001" customHeight="1" x14ac:dyDescent="0.2">
      <c r="A126" s="22"/>
      <c r="B126" s="259" t="s">
        <v>164</v>
      </c>
      <c r="C126" s="260"/>
      <c r="D126" s="28">
        <v>4.5875926155840276E-2</v>
      </c>
      <c r="E126" s="22"/>
      <c r="F126" s="19"/>
      <c r="G126" s="25"/>
    </row>
    <row r="127" spans="1:15" ht="17.100000000000001" customHeight="1" x14ac:dyDescent="0.2">
      <c r="A127" s="22"/>
      <c r="B127" s="259" t="s">
        <v>165</v>
      </c>
      <c r="C127" s="260"/>
      <c r="D127" s="2" t="s">
        <v>152</v>
      </c>
      <c r="E127" s="22"/>
      <c r="F127" s="22"/>
      <c r="G127" s="22"/>
      <c r="J127" s="148"/>
      <c r="K127" s="148"/>
      <c r="L127" s="148"/>
      <c r="M127" s="148"/>
      <c r="N127" s="148"/>
      <c r="O127" s="148"/>
    </row>
  </sheetData>
  <mergeCells count="13">
    <mergeCell ref="J2:N2"/>
    <mergeCell ref="A1:H1"/>
    <mergeCell ref="A2:H2"/>
    <mergeCell ref="A3:H3"/>
    <mergeCell ref="B111:C111"/>
    <mergeCell ref="B126:C126"/>
    <mergeCell ref="B127:C127"/>
    <mergeCell ref="B112:C112"/>
    <mergeCell ref="B113:C113"/>
    <mergeCell ref="B114:C114"/>
    <mergeCell ref="B122:C122"/>
    <mergeCell ref="B124:C124"/>
    <mergeCell ref="B125:C12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O15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517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29.1" customHeight="1" x14ac:dyDescent="0.2">
      <c r="A7" s="3">
        <v>1</v>
      </c>
      <c r="B7" s="4" t="s">
        <v>199</v>
      </c>
      <c r="C7" s="4" t="s">
        <v>200</v>
      </c>
      <c r="D7" s="4" t="s">
        <v>201</v>
      </c>
      <c r="E7" s="5">
        <v>6170</v>
      </c>
      <c r="F7" s="6">
        <v>225.30372</v>
      </c>
      <c r="G7" s="7">
        <v>3.4239152000000002E-2</v>
      </c>
      <c r="H7" s="47"/>
    </row>
    <row r="8" spans="1:14" ht="17.100000000000001" customHeight="1" x14ac:dyDescent="0.2">
      <c r="A8" s="3">
        <v>2</v>
      </c>
      <c r="B8" s="4" t="s">
        <v>185</v>
      </c>
      <c r="C8" s="4" t="s">
        <v>186</v>
      </c>
      <c r="D8" s="4" t="s">
        <v>88</v>
      </c>
      <c r="E8" s="5">
        <v>42158</v>
      </c>
      <c r="F8" s="6">
        <v>221.624606</v>
      </c>
      <c r="G8" s="7">
        <v>3.3680041000000001E-2</v>
      </c>
      <c r="H8" s="47"/>
    </row>
    <row r="9" spans="1:14" ht="17.100000000000001" customHeight="1" x14ac:dyDescent="0.2">
      <c r="A9" s="3">
        <v>3</v>
      </c>
      <c r="B9" s="4" t="s">
        <v>261</v>
      </c>
      <c r="C9" s="4" t="s">
        <v>262</v>
      </c>
      <c r="D9" s="4" t="s">
        <v>80</v>
      </c>
      <c r="E9" s="5">
        <v>109742</v>
      </c>
      <c r="F9" s="6">
        <v>210.32054299999999</v>
      </c>
      <c r="G9" s="7">
        <v>3.1962175000000002E-2</v>
      </c>
      <c r="H9" s="47"/>
    </row>
    <row r="10" spans="1:14" ht="17.100000000000001" customHeight="1" x14ac:dyDescent="0.2">
      <c r="A10" s="3">
        <v>4</v>
      </c>
      <c r="B10" s="4" t="s">
        <v>254</v>
      </c>
      <c r="C10" s="4" t="s">
        <v>255</v>
      </c>
      <c r="D10" s="4" t="s">
        <v>28</v>
      </c>
      <c r="E10" s="5">
        <v>17663</v>
      </c>
      <c r="F10" s="6">
        <v>203.5749065</v>
      </c>
      <c r="G10" s="7">
        <v>3.0937048000000002E-2</v>
      </c>
      <c r="H10" s="47"/>
    </row>
    <row r="11" spans="1:14" ht="17.100000000000001" customHeight="1" x14ac:dyDescent="0.2">
      <c r="A11" s="3">
        <v>5</v>
      </c>
      <c r="B11" s="4" t="s">
        <v>207</v>
      </c>
      <c r="C11" s="4" t="s">
        <v>208</v>
      </c>
      <c r="D11" s="4" t="s">
        <v>209</v>
      </c>
      <c r="E11" s="5">
        <v>72529</v>
      </c>
      <c r="F11" s="6">
        <v>201.66688450000001</v>
      </c>
      <c r="G11" s="7">
        <v>3.0647087999999999E-2</v>
      </c>
      <c r="H11" s="47"/>
    </row>
    <row r="12" spans="1:14" ht="17.100000000000001" customHeight="1" x14ac:dyDescent="0.2">
      <c r="A12" s="3">
        <v>6</v>
      </c>
      <c r="B12" s="4" t="s">
        <v>189</v>
      </c>
      <c r="C12" s="4" t="s">
        <v>190</v>
      </c>
      <c r="D12" s="4" t="s">
        <v>191</v>
      </c>
      <c r="E12" s="5">
        <v>37699</v>
      </c>
      <c r="F12" s="6">
        <v>195.14887350000001</v>
      </c>
      <c r="G12" s="7">
        <v>2.9656554000000002E-2</v>
      </c>
      <c r="H12" s="47"/>
      <c r="J12" s="147" t="s">
        <v>1121</v>
      </c>
    </row>
    <row r="13" spans="1:14" ht="17.100000000000001" customHeight="1" x14ac:dyDescent="0.2">
      <c r="A13" s="3">
        <v>7</v>
      </c>
      <c r="B13" s="4" t="s">
        <v>192</v>
      </c>
      <c r="C13" s="4" t="s">
        <v>193</v>
      </c>
      <c r="D13" s="4" t="s">
        <v>184</v>
      </c>
      <c r="E13" s="5">
        <v>16028</v>
      </c>
      <c r="F13" s="6">
        <v>193.329736</v>
      </c>
      <c r="G13" s="7">
        <v>2.9380100999999999E-2</v>
      </c>
      <c r="H13" s="47"/>
    </row>
    <row r="14" spans="1:14" ht="17.100000000000001" customHeight="1" x14ac:dyDescent="0.2">
      <c r="A14" s="3">
        <v>8</v>
      </c>
      <c r="B14" s="4" t="s">
        <v>86</v>
      </c>
      <c r="C14" s="4" t="s">
        <v>87</v>
      </c>
      <c r="D14" s="4" t="s">
        <v>88</v>
      </c>
      <c r="E14" s="5">
        <v>44275</v>
      </c>
      <c r="F14" s="6">
        <v>192.02067500000001</v>
      </c>
      <c r="G14" s="7">
        <v>2.9181164999999998E-2</v>
      </c>
      <c r="H14" s="47"/>
    </row>
    <row r="15" spans="1:14" ht="17.100000000000001" customHeight="1" x14ac:dyDescent="0.2">
      <c r="A15" s="3">
        <v>9</v>
      </c>
      <c r="B15" s="4" t="s">
        <v>241</v>
      </c>
      <c r="C15" s="4" t="s">
        <v>242</v>
      </c>
      <c r="D15" s="4" t="s">
        <v>243</v>
      </c>
      <c r="E15" s="5">
        <v>36966</v>
      </c>
      <c r="F15" s="6">
        <v>187.95362700000001</v>
      </c>
      <c r="G15" s="7">
        <v>2.8563100000000001E-2</v>
      </c>
      <c r="H15" s="47"/>
    </row>
    <row r="16" spans="1:14" ht="17.100000000000001" customHeight="1" x14ac:dyDescent="0.2">
      <c r="A16" s="3">
        <v>10</v>
      </c>
      <c r="B16" s="4" t="s">
        <v>34</v>
      </c>
      <c r="C16" s="4" t="s">
        <v>35</v>
      </c>
      <c r="D16" s="4" t="s">
        <v>28</v>
      </c>
      <c r="E16" s="5">
        <v>12434</v>
      </c>
      <c r="F16" s="6">
        <v>184.489475</v>
      </c>
      <c r="G16" s="7">
        <v>2.8036657E-2</v>
      </c>
      <c r="H16" s="47"/>
    </row>
    <row r="17" spans="1:8" ht="17.100000000000001" customHeight="1" x14ac:dyDescent="0.2">
      <c r="A17" s="3">
        <v>11</v>
      </c>
      <c r="B17" s="4" t="s">
        <v>95</v>
      </c>
      <c r="C17" s="4" t="s">
        <v>96</v>
      </c>
      <c r="D17" s="4" t="s">
        <v>97</v>
      </c>
      <c r="E17" s="5">
        <v>40332</v>
      </c>
      <c r="F17" s="6">
        <v>179.23540800000001</v>
      </c>
      <c r="G17" s="7">
        <v>2.7238202E-2</v>
      </c>
      <c r="H17" s="47"/>
    </row>
    <row r="18" spans="1:8" ht="17.100000000000001" customHeight="1" x14ac:dyDescent="0.2">
      <c r="A18" s="3">
        <v>12</v>
      </c>
      <c r="B18" s="4" t="s">
        <v>26</v>
      </c>
      <c r="C18" s="4" t="s">
        <v>27</v>
      </c>
      <c r="D18" s="4" t="s">
        <v>28</v>
      </c>
      <c r="E18" s="5">
        <v>10116</v>
      </c>
      <c r="F18" s="6">
        <v>170.257338</v>
      </c>
      <c r="G18" s="7">
        <v>2.5873815000000001E-2</v>
      </c>
      <c r="H18" s="47"/>
    </row>
    <row r="19" spans="1:8" ht="29.1" customHeight="1" x14ac:dyDescent="0.2">
      <c r="A19" s="3">
        <v>13</v>
      </c>
      <c r="B19" s="4" t="s">
        <v>469</v>
      </c>
      <c r="C19" s="4" t="s">
        <v>470</v>
      </c>
      <c r="D19" s="4" t="s">
        <v>40</v>
      </c>
      <c r="E19" s="5">
        <v>9062</v>
      </c>
      <c r="F19" s="6">
        <v>169.83094199999999</v>
      </c>
      <c r="G19" s="7">
        <v>2.5809016000000001E-2</v>
      </c>
      <c r="H19" s="47"/>
    </row>
    <row r="20" spans="1:8" ht="17.100000000000001" customHeight="1" x14ac:dyDescent="0.2">
      <c r="A20" s="3">
        <v>14</v>
      </c>
      <c r="B20" s="4" t="s">
        <v>222</v>
      </c>
      <c r="C20" s="4" t="s">
        <v>223</v>
      </c>
      <c r="D20" s="4" t="s">
        <v>13</v>
      </c>
      <c r="E20" s="5">
        <v>44883</v>
      </c>
      <c r="F20" s="6">
        <v>160.09766099999999</v>
      </c>
      <c r="G20" s="7">
        <v>2.4329859999999998E-2</v>
      </c>
      <c r="H20" s="47"/>
    </row>
    <row r="21" spans="1:8" ht="17.100000000000001" customHeight="1" x14ac:dyDescent="0.2">
      <c r="A21" s="3">
        <v>15</v>
      </c>
      <c r="B21" s="4" t="s">
        <v>177</v>
      </c>
      <c r="C21" s="4" t="s">
        <v>178</v>
      </c>
      <c r="D21" s="4" t="s">
        <v>91</v>
      </c>
      <c r="E21" s="5">
        <v>192978</v>
      </c>
      <c r="F21" s="6">
        <v>158.24196000000001</v>
      </c>
      <c r="G21" s="7">
        <v>2.4047852000000002E-2</v>
      </c>
      <c r="H21" s="47"/>
    </row>
    <row r="22" spans="1:8" ht="17.100000000000001" customHeight="1" x14ac:dyDescent="0.2">
      <c r="A22" s="3">
        <v>16</v>
      </c>
      <c r="B22" s="4" t="s">
        <v>263</v>
      </c>
      <c r="C22" s="4" t="s">
        <v>264</v>
      </c>
      <c r="D22" s="4" t="s">
        <v>28</v>
      </c>
      <c r="E22" s="5">
        <v>17296</v>
      </c>
      <c r="F22" s="6">
        <v>144.905888</v>
      </c>
      <c r="G22" s="7">
        <v>2.2021183999999999E-2</v>
      </c>
      <c r="H22" s="47"/>
    </row>
    <row r="23" spans="1:8" ht="17.100000000000001" customHeight="1" x14ac:dyDescent="0.2">
      <c r="A23" s="3">
        <v>17</v>
      </c>
      <c r="B23" s="4" t="s">
        <v>172</v>
      </c>
      <c r="C23" s="4" t="s">
        <v>173</v>
      </c>
      <c r="D23" s="4" t="s">
        <v>174</v>
      </c>
      <c r="E23" s="5">
        <v>12562</v>
      </c>
      <c r="F23" s="6">
        <v>136.29769999999999</v>
      </c>
      <c r="G23" s="7">
        <v>2.0713006999999999E-2</v>
      </c>
      <c r="H23" s="47"/>
    </row>
    <row r="24" spans="1:8" ht="29.1" customHeight="1" x14ac:dyDescent="0.2">
      <c r="A24" s="3">
        <v>18</v>
      </c>
      <c r="B24" s="4" t="s">
        <v>230</v>
      </c>
      <c r="C24" s="4" t="s">
        <v>231</v>
      </c>
      <c r="D24" s="4" t="s">
        <v>204</v>
      </c>
      <c r="E24" s="5">
        <v>36034</v>
      </c>
      <c r="F24" s="6">
        <v>132.26279700000001</v>
      </c>
      <c r="G24" s="7">
        <v>2.0099828E-2</v>
      </c>
      <c r="H24" s="47"/>
    </row>
    <row r="25" spans="1:8" ht="17.100000000000001" customHeight="1" x14ac:dyDescent="0.2">
      <c r="A25" s="3">
        <v>19</v>
      </c>
      <c r="B25" s="4" t="s">
        <v>220</v>
      </c>
      <c r="C25" s="4" t="s">
        <v>221</v>
      </c>
      <c r="D25" s="4" t="s">
        <v>91</v>
      </c>
      <c r="E25" s="5">
        <v>17235</v>
      </c>
      <c r="F25" s="6">
        <v>128.176695</v>
      </c>
      <c r="G25" s="7">
        <v>1.9478867E-2</v>
      </c>
      <c r="H25" s="47"/>
    </row>
    <row r="26" spans="1:8" ht="29.1" customHeight="1" x14ac:dyDescent="0.2">
      <c r="A26" s="3">
        <v>20</v>
      </c>
      <c r="B26" s="4" t="s">
        <v>52</v>
      </c>
      <c r="C26" s="4" t="s">
        <v>53</v>
      </c>
      <c r="D26" s="4" t="s">
        <v>25</v>
      </c>
      <c r="E26" s="5">
        <v>5414</v>
      </c>
      <c r="F26" s="6">
        <v>114.17855299999999</v>
      </c>
      <c r="G26" s="7">
        <v>1.7351585999999999E-2</v>
      </c>
      <c r="H26" s="47"/>
    </row>
    <row r="27" spans="1:8" ht="17.100000000000001" customHeight="1" x14ac:dyDescent="0.2">
      <c r="A27" s="3">
        <v>21</v>
      </c>
      <c r="B27" s="4" t="s">
        <v>182</v>
      </c>
      <c r="C27" s="4" t="s">
        <v>183</v>
      </c>
      <c r="D27" s="4" t="s">
        <v>184</v>
      </c>
      <c r="E27" s="5">
        <v>8551</v>
      </c>
      <c r="F27" s="6">
        <v>111.8428045</v>
      </c>
      <c r="G27" s="7">
        <v>1.6996625000000001E-2</v>
      </c>
      <c r="H27" s="47"/>
    </row>
    <row r="28" spans="1:8" ht="29.1" customHeight="1" x14ac:dyDescent="0.2">
      <c r="A28" s="3">
        <v>22</v>
      </c>
      <c r="B28" s="4" t="s">
        <v>275</v>
      </c>
      <c r="C28" s="4" t="s">
        <v>276</v>
      </c>
      <c r="D28" s="4" t="s">
        <v>238</v>
      </c>
      <c r="E28" s="5">
        <v>21059</v>
      </c>
      <c r="F28" s="6">
        <v>111.739054</v>
      </c>
      <c r="G28" s="7">
        <v>1.6980858000000001E-2</v>
      </c>
      <c r="H28" s="47"/>
    </row>
    <row r="29" spans="1:8" ht="17.100000000000001" customHeight="1" x14ac:dyDescent="0.2">
      <c r="A29" s="3">
        <v>23</v>
      </c>
      <c r="B29" s="4" t="s">
        <v>471</v>
      </c>
      <c r="C29" s="4" t="s">
        <v>472</v>
      </c>
      <c r="D29" s="4" t="s">
        <v>88</v>
      </c>
      <c r="E29" s="5">
        <v>11132</v>
      </c>
      <c r="F29" s="6">
        <v>102.726096</v>
      </c>
      <c r="G29" s="7">
        <v>1.5611168999999999E-2</v>
      </c>
      <c r="H29" s="47"/>
    </row>
    <row r="30" spans="1:8" ht="17.100000000000001" customHeight="1" x14ac:dyDescent="0.2">
      <c r="A30" s="3">
        <v>24</v>
      </c>
      <c r="B30" s="4" t="s">
        <v>187</v>
      </c>
      <c r="C30" s="4" t="s">
        <v>188</v>
      </c>
      <c r="D30" s="4" t="s">
        <v>91</v>
      </c>
      <c r="E30" s="5">
        <v>23946</v>
      </c>
      <c r="F30" s="6">
        <v>102.093771</v>
      </c>
      <c r="G30" s="7">
        <v>1.5515075E-2</v>
      </c>
      <c r="H30" s="47"/>
    </row>
    <row r="31" spans="1:8" ht="17.100000000000001" customHeight="1" x14ac:dyDescent="0.2">
      <c r="A31" s="3">
        <v>25</v>
      </c>
      <c r="B31" s="4" t="s">
        <v>215</v>
      </c>
      <c r="C31" s="4" t="s">
        <v>216</v>
      </c>
      <c r="D31" s="4" t="s">
        <v>217</v>
      </c>
      <c r="E31" s="5">
        <v>38459</v>
      </c>
      <c r="F31" s="6">
        <v>101.82020249999999</v>
      </c>
      <c r="G31" s="7">
        <v>1.5473501000000001E-2</v>
      </c>
      <c r="H31" s="47"/>
    </row>
    <row r="32" spans="1:8" ht="29.1" customHeight="1" x14ac:dyDescent="0.2">
      <c r="A32" s="3">
        <v>26</v>
      </c>
      <c r="B32" s="4" t="s">
        <v>212</v>
      </c>
      <c r="C32" s="4" t="s">
        <v>213</v>
      </c>
      <c r="D32" s="4" t="s">
        <v>214</v>
      </c>
      <c r="E32" s="5">
        <v>107569</v>
      </c>
      <c r="F32" s="6">
        <v>101.11485999999999</v>
      </c>
      <c r="G32" s="7">
        <v>1.5366311000000001E-2</v>
      </c>
      <c r="H32" s="47"/>
    </row>
    <row r="33" spans="1:8" ht="29.1" customHeight="1" x14ac:dyDescent="0.2">
      <c r="A33" s="3">
        <v>27</v>
      </c>
      <c r="B33" s="4" t="s">
        <v>179</v>
      </c>
      <c r="C33" s="4" t="s">
        <v>180</v>
      </c>
      <c r="D33" s="4" t="s">
        <v>181</v>
      </c>
      <c r="E33" s="5">
        <v>16350</v>
      </c>
      <c r="F33" s="6">
        <v>100.33177499999999</v>
      </c>
      <c r="G33" s="7">
        <v>1.5247306E-2</v>
      </c>
      <c r="H33" s="47"/>
    </row>
    <row r="34" spans="1:8" ht="29.1" customHeight="1" x14ac:dyDescent="0.2">
      <c r="A34" s="3">
        <v>28</v>
      </c>
      <c r="B34" s="4" t="s">
        <v>290</v>
      </c>
      <c r="C34" s="4" t="s">
        <v>291</v>
      </c>
      <c r="D34" s="4" t="s">
        <v>292</v>
      </c>
      <c r="E34" s="5">
        <v>32139</v>
      </c>
      <c r="F34" s="6">
        <v>98.763147000000004</v>
      </c>
      <c r="G34" s="7">
        <v>1.5008924E-2</v>
      </c>
      <c r="H34" s="47"/>
    </row>
    <row r="35" spans="1:8" ht="17.100000000000001" customHeight="1" x14ac:dyDescent="0.2">
      <c r="A35" s="3">
        <v>29</v>
      </c>
      <c r="B35" s="4" t="s">
        <v>267</v>
      </c>
      <c r="C35" s="4" t="s">
        <v>268</v>
      </c>
      <c r="D35" s="4" t="s">
        <v>171</v>
      </c>
      <c r="E35" s="5">
        <v>12295</v>
      </c>
      <c r="F35" s="6">
        <v>93.030117500000003</v>
      </c>
      <c r="G35" s="7">
        <v>1.4137682E-2</v>
      </c>
      <c r="H35" s="47"/>
    </row>
    <row r="36" spans="1:8" ht="17.100000000000001" customHeight="1" x14ac:dyDescent="0.2">
      <c r="A36" s="3">
        <v>30</v>
      </c>
      <c r="B36" s="4" t="s">
        <v>281</v>
      </c>
      <c r="C36" s="4" t="s">
        <v>282</v>
      </c>
      <c r="D36" s="4" t="s">
        <v>94</v>
      </c>
      <c r="E36" s="5">
        <v>14616</v>
      </c>
      <c r="F36" s="6">
        <v>91.664243999999997</v>
      </c>
      <c r="G36" s="7">
        <v>1.3930111E-2</v>
      </c>
      <c r="H36" s="47"/>
    </row>
    <row r="37" spans="1:8" ht="17.100000000000001" customHeight="1" x14ac:dyDescent="0.2">
      <c r="A37" s="3">
        <v>31</v>
      </c>
      <c r="B37" s="4" t="s">
        <v>194</v>
      </c>
      <c r="C37" s="4" t="s">
        <v>195</v>
      </c>
      <c r="D37" s="4" t="s">
        <v>174</v>
      </c>
      <c r="E37" s="5">
        <v>17730</v>
      </c>
      <c r="F37" s="6">
        <v>88.171289999999999</v>
      </c>
      <c r="G37" s="7">
        <v>1.3399291000000001E-2</v>
      </c>
      <c r="H37" s="47"/>
    </row>
    <row r="38" spans="1:8" ht="17.100000000000001" customHeight="1" x14ac:dyDescent="0.2">
      <c r="A38" s="3">
        <v>32</v>
      </c>
      <c r="B38" s="4" t="s">
        <v>248</v>
      </c>
      <c r="C38" s="4" t="s">
        <v>249</v>
      </c>
      <c r="D38" s="4" t="s">
        <v>174</v>
      </c>
      <c r="E38" s="5">
        <v>65797</v>
      </c>
      <c r="F38" s="6">
        <v>88.036385999999993</v>
      </c>
      <c r="G38" s="7">
        <v>1.337879E-2</v>
      </c>
      <c r="H38" s="47"/>
    </row>
    <row r="39" spans="1:8" ht="29.1" customHeight="1" x14ac:dyDescent="0.2">
      <c r="A39" s="3">
        <v>33</v>
      </c>
      <c r="B39" s="4" t="s">
        <v>224</v>
      </c>
      <c r="C39" s="4" t="s">
        <v>225</v>
      </c>
      <c r="D39" s="4" t="s">
        <v>181</v>
      </c>
      <c r="E39" s="5">
        <v>19323</v>
      </c>
      <c r="F39" s="6">
        <v>87.707097000000005</v>
      </c>
      <c r="G39" s="7">
        <v>1.3328748E-2</v>
      </c>
      <c r="H39" s="47"/>
    </row>
    <row r="40" spans="1:8" ht="29.1" customHeight="1" x14ac:dyDescent="0.2">
      <c r="A40" s="3">
        <v>34</v>
      </c>
      <c r="B40" s="4" t="s">
        <v>196</v>
      </c>
      <c r="C40" s="4" t="s">
        <v>197</v>
      </c>
      <c r="D40" s="4" t="s">
        <v>198</v>
      </c>
      <c r="E40" s="5">
        <v>6367</v>
      </c>
      <c r="F40" s="6">
        <v>80.940487500000003</v>
      </c>
      <c r="G40" s="7">
        <v>1.2300434000000001E-2</v>
      </c>
      <c r="H40" s="47"/>
    </row>
    <row r="41" spans="1:8" ht="17.100000000000001" customHeight="1" x14ac:dyDescent="0.2">
      <c r="A41" s="3">
        <v>35</v>
      </c>
      <c r="B41" s="4" t="s">
        <v>483</v>
      </c>
      <c r="C41" s="4" t="s">
        <v>484</v>
      </c>
      <c r="D41" s="4" t="s">
        <v>303</v>
      </c>
      <c r="E41" s="5">
        <v>10328</v>
      </c>
      <c r="F41" s="6">
        <v>76.566627999999994</v>
      </c>
      <c r="G41" s="7">
        <v>1.1635744E-2</v>
      </c>
      <c r="H41" s="47"/>
    </row>
    <row r="42" spans="1:8" ht="17.100000000000001" customHeight="1" x14ac:dyDescent="0.2">
      <c r="A42" s="3">
        <v>36</v>
      </c>
      <c r="B42" s="4" t="s">
        <v>226</v>
      </c>
      <c r="C42" s="4" t="s">
        <v>227</v>
      </c>
      <c r="D42" s="4" t="s">
        <v>13</v>
      </c>
      <c r="E42" s="5">
        <v>104608</v>
      </c>
      <c r="F42" s="6">
        <v>76.520752000000002</v>
      </c>
      <c r="G42" s="7">
        <v>1.1628772000000001E-2</v>
      </c>
      <c r="H42" s="47"/>
    </row>
    <row r="43" spans="1:8" ht="29.1" customHeight="1" x14ac:dyDescent="0.2">
      <c r="A43" s="3">
        <v>37</v>
      </c>
      <c r="B43" s="4" t="s">
        <v>256</v>
      </c>
      <c r="C43" s="4" t="s">
        <v>257</v>
      </c>
      <c r="D43" s="4" t="s">
        <v>88</v>
      </c>
      <c r="E43" s="5">
        <v>5046</v>
      </c>
      <c r="F43" s="6">
        <v>74.743875000000003</v>
      </c>
      <c r="G43" s="7">
        <v>1.1358742E-2</v>
      </c>
      <c r="H43" s="47"/>
    </row>
    <row r="44" spans="1:8" ht="29.1" customHeight="1" x14ac:dyDescent="0.2">
      <c r="A44" s="3">
        <v>38</v>
      </c>
      <c r="B44" s="4" t="s">
        <v>236</v>
      </c>
      <c r="C44" s="4" t="s">
        <v>237</v>
      </c>
      <c r="D44" s="4" t="s">
        <v>238</v>
      </c>
      <c r="E44" s="5">
        <v>18519</v>
      </c>
      <c r="F44" s="6">
        <v>71.011105499999999</v>
      </c>
      <c r="G44" s="7">
        <v>1.0791477000000001E-2</v>
      </c>
      <c r="H44" s="47"/>
    </row>
    <row r="45" spans="1:8" ht="53.1" customHeight="1" x14ac:dyDescent="0.2">
      <c r="A45" s="3">
        <v>39</v>
      </c>
      <c r="B45" s="4" t="s">
        <v>422</v>
      </c>
      <c r="C45" s="4" t="s">
        <v>423</v>
      </c>
      <c r="D45" s="4" t="s">
        <v>62</v>
      </c>
      <c r="E45" s="5">
        <v>33472</v>
      </c>
      <c r="F45" s="6">
        <v>69.621759999999995</v>
      </c>
      <c r="G45" s="7">
        <v>1.0580340000000001E-2</v>
      </c>
      <c r="H45" s="47"/>
    </row>
    <row r="46" spans="1:8" ht="29.1" customHeight="1" x14ac:dyDescent="0.2">
      <c r="A46" s="3">
        <v>40</v>
      </c>
      <c r="B46" s="4" t="s">
        <v>390</v>
      </c>
      <c r="C46" s="4" t="s">
        <v>391</v>
      </c>
      <c r="D46" s="4" t="s">
        <v>201</v>
      </c>
      <c r="E46" s="5">
        <v>10502</v>
      </c>
      <c r="F46" s="6">
        <v>64.072702000000007</v>
      </c>
      <c r="G46" s="7">
        <v>9.7370559999999991E-3</v>
      </c>
      <c r="H46" s="47"/>
    </row>
    <row r="47" spans="1:8" ht="17.100000000000001" customHeight="1" x14ac:dyDescent="0.2">
      <c r="A47" s="3">
        <v>41</v>
      </c>
      <c r="B47" s="4" t="s">
        <v>269</v>
      </c>
      <c r="C47" s="4" t="s">
        <v>270</v>
      </c>
      <c r="D47" s="4" t="s">
        <v>91</v>
      </c>
      <c r="E47" s="5">
        <v>124593</v>
      </c>
      <c r="F47" s="6">
        <v>61.2374595</v>
      </c>
      <c r="G47" s="7">
        <v>9.3061870000000005E-3</v>
      </c>
      <c r="H47" s="47"/>
    </row>
    <row r="48" spans="1:8" ht="17.100000000000001" customHeight="1" x14ac:dyDescent="0.2">
      <c r="A48" s="3">
        <v>42</v>
      </c>
      <c r="B48" s="4" t="s">
        <v>246</v>
      </c>
      <c r="C48" s="4" t="s">
        <v>247</v>
      </c>
      <c r="D48" s="4" t="s">
        <v>94</v>
      </c>
      <c r="E48" s="5">
        <v>10808</v>
      </c>
      <c r="F48" s="6">
        <v>54.272371999999997</v>
      </c>
      <c r="G48" s="7">
        <v>8.2477109999999996E-3</v>
      </c>
      <c r="H48" s="47"/>
    </row>
    <row r="49" spans="1:8" ht="17.100000000000001" customHeight="1" x14ac:dyDescent="0.2">
      <c r="A49" s="3">
        <v>43</v>
      </c>
      <c r="B49" s="4" t="s">
        <v>239</v>
      </c>
      <c r="C49" s="4" t="s">
        <v>240</v>
      </c>
      <c r="D49" s="4" t="s">
        <v>88</v>
      </c>
      <c r="E49" s="5">
        <v>9272</v>
      </c>
      <c r="F49" s="6">
        <v>53.142468000000001</v>
      </c>
      <c r="G49" s="7">
        <v>8.0760009999999993E-3</v>
      </c>
      <c r="H49" s="47"/>
    </row>
    <row r="50" spans="1:8" ht="29.1" customHeight="1" x14ac:dyDescent="0.2">
      <c r="A50" s="3">
        <v>44</v>
      </c>
      <c r="B50" s="4" t="s">
        <v>232</v>
      </c>
      <c r="C50" s="4" t="s">
        <v>233</v>
      </c>
      <c r="D50" s="4" t="s">
        <v>198</v>
      </c>
      <c r="E50" s="5">
        <v>26477</v>
      </c>
      <c r="F50" s="6">
        <v>52.106735999999998</v>
      </c>
      <c r="G50" s="7">
        <v>7.9186020000000003E-3</v>
      </c>
      <c r="H50" s="47"/>
    </row>
    <row r="51" spans="1:8" ht="17.100000000000001" customHeight="1" x14ac:dyDescent="0.2">
      <c r="A51" s="3">
        <v>45</v>
      </c>
      <c r="B51" s="4" t="s">
        <v>234</v>
      </c>
      <c r="C51" s="4" t="s">
        <v>235</v>
      </c>
      <c r="D51" s="4" t="s">
        <v>114</v>
      </c>
      <c r="E51" s="5">
        <v>7165</v>
      </c>
      <c r="F51" s="6">
        <v>48.306429999999999</v>
      </c>
      <c r="G51" s="7">
        <v>7.3410740000000004E-3</v>
      </c>
      <c r="H51" s="47"/>
    </row>
    <row r="52" spans="1:8" ht="17.100000000000001" customHeight="1" x14ac:dyDescent="0.2">
      <c r="A52" s="3">
        <v>46</v>
      </c>
      <c r="B52" s="4" t="s">
        <v>288</v>
      </c>
      <c r="C52" s="4" t="s">
        <v>289</v>
      </c>
      <c r="D52" s="4" t="s">
        <v>19</v>
      </c>
      <c r="E52" s="5">
        <v>23959</v>
      </c>
      <c r="F52" s="6">
        <v>46.264828999999999</v>
      </c>
      <c r="G52" s="7">
        <v>7.0308139999999998E-3</v>
      </c>
      <c r="H52" s="47"/>
    </row>
    <row r="53" spans="1:8" ht="17.100000000000001" customHeight="1" x14ac:dyDescent="0.2">
      <c r="A53" s="3">
        <v>47</v>
      </c>
      <c r="B53" s="4" t="s">
        <v>273</v>
      </c>
      <c r="C53" s="4" t="s">
        <v>274</v>
      </c>
      <c r="D53" s="4" t="s">
        <v>114</v>
      </c>
      <c r="E53" s="5">
        <v>23492</v>
      </c>
      <c r="F53" s="6">
        <v>45.398290000000003</v>
      </c>
      <c r="G53" s="7">
        <v>6.8991269999999997E-3</v>
      </c>
      <c r="H53" s="47"/>
    </row>
    <row r="54" spans="1:8" ht="17.100000000000001" customHeight="1" x14ac:dyDescent="0.2">
      <c r="A54" s="3">
        <v>48</v>
      </c>
      <c r="B54" s="4" t="s">
        <v>110</v>
      </c>
      <c r="C54" s="4" t="s">
        <v>111</v>
      </c>
      <c r="D54" s="4" t="s">
        <v>13</v>
      </c>
      <c r="E54" s="5">
        <v>39491</v>
      </c>
      <c r="F54" s="6">
        <v>45.375158999999996</v>
      </c>
      <c r="G54" s="7">
        <v>6.8956119999999997E-3</v>
      </c>
      <c r="H54" s="47"/>
    </row>
    <row r="55" spans="1:8" ht="29.1" customHeight="1" x14ac:dyDescent="0.2">
      <c r="A55" s="3">
        <v>49</v>
      </c>
      <c r="B55" s="4" t="s">
        <v>250</v>
      </c>
      <c r="C55" s="4" t="s">
        <v>251</v>
      </c>
      <c r="D55" s="4" t="s">
        <v>204</v>
      </c>
      <c r="E55" s="5">
        <v>1052</v>
      </c>
      <c r="F55" s="6">
        <v>44.087741999999999</v>
      </c>
      <c r="G55" s="7">
        <v>6.6999640000000001E-3</v>
      </c>
      <c r="H55" s="47"/>
    </row>
    <row r="56" spans="1:8" ht="17.100000000000001" customHeight="1" x14ac:dyDescent="0.2">
      <c r="A56" s="3">
        <v>50</v>
      </c>
      <c r="B56" s="4" t="s">
        <v>106</v>
      </c>
      <c r="C56" s="4" t="s">
        <v>107</v>
      </c>
      <c r="D56" s="4" t="s">
        <v>88</v>
      </c>
      <c r="E56" s="5">
        <v>1940</v>
      </c>
      <c r="F56" s="6">
        <v>43.585009999999997</v>
      </c>
      <c r="G56" s="7">
        <v>6.6235649999999997E-3</v>
      </c>
      <c r="H56" s="47"/>
    </row>
    <row r="57" spans="1:8" ht="17.100000000000001" customHeight="1" x14ac:dyDescent="0.2">
      <c r="A57" s="3">
        <v>51</v>
      </c>
      <c r="B57" s="4" t="s">
        <v>487</v>
      </c>
      <c r="C57" s="4" t="s">
        <v>488</v>
      </c>
      <c r="D57" s="4" t="s">
        <v>28</v>
      </c>
      <c r="E57" s="5">
        <v>1645</v>
      </c>
      <c r="F57" s="6">
        <v>39.106585000000003</v>
      </c>
      <c r="G57" s="7">
        <v>5.9429829999999998E-3</v>
      </c>
      <c r="H57" s="47"/>
    </row>
    <row r="58" spans="1:8" ht="17.100000000000001" customHeight="1" x14ac:dyDescent="0.2">
      <c r="A58" s="3">
        <v>52</v>
      </c>
      <c r="B58" s="4" t="s">
        <v>244</v>
      </c>
      <c r="C58" s="4" t="s">
        <v>245</v>
      </c>
      <c r="D58" s="4" t="s">
        <v>88</v>
      </c>
      <c r="E58" s="5">
        <v>20113</v>
      </c>
      <c r="F58" s="6">
        <v>38.154361000000002</v>
      </c>
      <c r="G58" s="7">
        <v>5.7982750000000003E-3</v>
      </c>
      <c r="H58" s="47"/>
    </row>
    <row r="59" spans="1:8" ht="17.100000000000001" customHeight="1" x14ac:dyDescent="0.2">
      <c r="A59" s="3">
        <v>53</v>
      </c>
      <c r="B59" s="4" t="s">
        <v>279</v>
      </c>
      <c r="C59" s="4" t="s">
        <v>280</v>
      </c>
      <c r="D59" s="4" t="s">
        <v>31</v>
      </c>
      <c r="E59" s="5">
        <v>40010</v>
      </c>
      <c r="F59" s="6">
        <v>30.427605</v>
      </c>
      <c r="G59" s="7">
        <v>4.6240489999999999E-3</v>
      </c>
      <c r="H59" s="47"/>
    </row>
    <row r="60" spans="1:8" ht="17.100000000000001" customHeight="1" x14ac:dyDescent="0.2">
      <c r="A60" s="3">
        <v>54</v>
      </c>
      <c r="B60" s="4" t="s">
        <v>252</v>
      </c>
      <c r="C60" s="4" t="s">
        <v>253</v>
      </c>
      <c r="D60" s="4" t="s">
        <v>97</v>
      </c>
      <c r="E60" s="5">
        <v>45125</v>
      </c>
      <c r="F60" s="6">
        <v>29.444062500000001</v>
      </c>
      <c r="G60" s="7">
        <v>4.474581E-3</v>
      </c>
      <c r="H60" s="47"/>
    </row>
    <row r="61" spans="1:8" ht="17.100000000000001" customHeight="1" x14ac:dyDescent="0.2">
      <c r="A61" s="3">
        <v>55</v>
      </c>
      <c r="B61" s="4" t="s">
        <v>489</v>
      </c>
      <c r="C61" s="4" t="s">
        <v>490</v>
      </c>
      <c r="D61" s="4" t="s">
        <v>312</v>
      </c>
      <c r="E61" s="5">
        <v>4284</v>
      </c>
      <c r="F61" s="6">
        <v>25.365563999999999</v>
      </c>
      <c r="G61" s="7">
        <v>3.8547759999999999E-3</v>
      </c>
      <c r="H61" s="47"/>
    </row>
    <row r="62" spans="1:8" ht="29.1" customHeight="1" x14ac:dyDescent="0.2">
      <c r="A62" s="3">
        <v>56</v>
      </c>
      <c r="B62" s="4" t="s">
        <v>258</v>
      </c>
      <c r="C62" s="4" t="s">
        <v>259</v>
      </c>
      <c r="D62" s="4" t="s">
        <v>201</v>
      </c>
      <c r="E62" s="5">
        <v>3563</v>
      </c>
      <c r="F62" s="6">
        <v>18.989008500000001</v>
      </c>
      <c r="G62" s="7">
        <v>2.8857380000000001E-3</v>
      </c>
      <c r="H62" s="47"/>
    </row>
    <row r="63" spans="1:8" ht="17.100000000000001" customHeight="1" x14ac:dyDescent="0.2">
      <c r="A63" s="3">
        <v>57</v>
      </c>
      <c r="B63" s="4" t="s">
        <v>493</v>
      </c>
      <c r="C63" s="4" t="s">
        <v>494</v>
      </c>
      <c r="D63" s="4" t="s">
        <v>28</v>
      </c>
      <c r="E63" s="5">
        <v>1046</v>
      </c>
      <c r="F63" s="6">
        <v>10.762294000000001</v>
      </c>
      <c r="G63" s="7">
        <v>1.6355339999999999E-3</v>
      </c>
      <c r="H63" s="47"/>
    </row>
    <row r="64" spans="1:8" ht="14.1" customHeight="1" x14ac:dyDescent="0.2">
      <c r="A64" s="1"/>
      <c r="B64" s="1"/>
      <c r="C64" s="2" t="s">
        <v>122</v>
      </c>
      <c r="D64" s="1"/>
      <c r="E64" s="1" t="s">
        <v>123</v>
      </c>
      <c r="F64" s="9">
        <v>5987.4621184999996</v>
      </c>
      <c r="G64" s="10">
        <v>0.90990784700000005</v>
      </c>
      <c r="H64" s="47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47"/>
    </row>
    <row r="66" spans="1:8" ht="14.1" customHeight="1" x14ac:dyDescent="0.2">
      <c r="A66" s="1"/>
      <c r="B66" s="1"/>
      <c r="C66" s="2" t="s">
        <v>124</v>
      </c>
      <c r="D66" s="1"/>
      <c r="E66" s="1"/>
      <c r="F66" s="1"/>
      <c r="G66" s="1"/>
      <c r="H66" s="47"/>
    </row>
    <row r="67" spans="1:8" ht="14.1" customHeight="1" x14ac:dyDescent="0.2">
      <c r="A67" s="1"/>
      <c r="B67" s="1"/>
      <c r="C67" s="2" t="s">
        <v>122</v>
      </c>
      <c r="D67" s="1"/>
      <c r="E67" s="1" t="s">
        <v>123</v>
      </c>
      <c r="F67" s="13">
        <v>0</v>
      </c>
      <c r="G67" s="14">
        <v>0</v>
      </c>
      <c r="H67" s="47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47"/>
    </row>
    <row r="69" spans="1:8" ht="14.1" customHeight="1" x14ac:dyDescent="0.2">
      <c r="A69" s="1"/>
      <c r="B69" s="1"/>
      <c r="C69" s="2" t="s">
        <v>125</v>
      </c>
      <c r="D69" s="1"/>
      <c r="E69" s="1"/>
      <c r="F69" s="1"/>
      <c r="G69" s="1"/>
      <c r="H69" s="47"/>
    </row>
    <row r="70" spans="1:8" ht="14.1" customHeight="1" x14ac:dyDescent="0.2">
      <c r="A70" s="1"/>
      <c r="B70" s="1"/>
      <c r="C70" s="2" t="s">
        <v>122</v>
      </c>
      <c r="D70" s="1"/>
      <c r="E70" s="1" t="s">
        <v>123</v>
      </c>
      <c r="F70" s="13">
        <v>0</v>
      </c>
      <c r="G70" s="14">
        <v>0</v>
      </c>
      <c r="H70" s="47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47"/>
    </row>
    <row r="72" spans="1:8" ht="14.1" customHeight="1" x14ac:dyDescent="0.2">
      <c r="A72" s="1"/>
      <c r="B72" s="1"/>
      <c r="C72" s="2" t="s">
        <v>126</v>
      </c>
      <c r="D72" s="1"/>
      <c r="E72" s="1"/>
      <c r="F72" s="1"/>
      <c r="G72" s="1"/>
      <c r="H72" s="47"/>
    </row>
    <row r="73" spans="1:8" ht="14.1" customHeight="1" x14ac:dyDescent="0.2">
      <c r="A73" s="1"/>
      <c r="B73" s="1"/>
      <c r="C73" s="2" t="s">
        <v>122</v>
      </c>
      <c r="D73" s="1"/>
      <c r="E73" s="1" t="s">
        <v>123</v>
      </c>
      <c r="F73" s="13">
        <v>0</v>
      </c>
      <c r="G73" s="14">
        <v>0</v>
      </c>
      <c r="H73" s="47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47"/>
    </row>
    <row r="75" spans="1:8" ht="14.1" customHeight="1" x14ac:dyDescent="0.2">
      <c r="A75" s="1"/>
      <c r="B75" s="1"/>
      <c r="C75" s="2" t="s">
        <v>127</v>
      </c>
      <c r="D75" s="1"/>
      <c r="E75" s="1"/>
      <c r="F75" s="12"/>
      <c r="G75" s="12"/>
      <c r="H75" s="47"/>
    </row>
    <row r="76" spans="1:8" ht="14.1" customHeight="1" x14ac:dyDescent="0.2">
      <c r="A76" s="1"/>
      <c r="B76" s="1"/>
      <c r="C76" s="2" t="s">
        <v>122</v>
      </c>
      <c r="D76" s="1"/>
      <c r="E76" s="1" t="s">
        <v>123</v>
      </c>
      <c r="F76" s="13">
        <v>0</v>
      </c>
      <c r="G76" s="14">
        <v>0</v>
      </c>
      <c r="H76" s="47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47"/>
    </row>
    <row r="78" spans="1:8" ht="14.1" customHeight="1" x14ac:dyDescent="0.2">
      <c r="A78" s="1"/>
      <c r="B78" s="1"/>
      <c r="C78" s="2" t="s">
        <v>128</v>
      </c>
      <c r="D78" s="1"/>
      <c r="E78" s="1"/>
      <c r="F78" s="12"/>
      <c r="G78" s="12"/>
      <c r="H78" s="47"/>
    </row>
    <row r="79" spans="1:8" ht="14.1" customHeight="1" x14ac:dyDescent="0.2">
      <c r="A79" s="1"/>
      <c r="B79" s="1"/>
      <c r="C79" s="2" t="s">
        <v>122</v>
      </c>
      <c r="D79" s="1"/>
      <c r="E79" s="1" t="s">
        <v>123</v>
      </c>
      <c r="F79" s="13">
        <v>0</v>
      </c>
      <c r="G79" s="14">
        <v>0</v>
      </c>
      <c r="H79" s="47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47"/>
    </row>
    <row r="81" spans="1:8" ht="18" customHeight="1" x14ac:dyDescent="0.2">
      <c r="A81" s="1"/>
      <c r="B81" s="1"/>
      <c r="C81" s="2" t="s">
        <v>129</v>
      </c>
      <c r="D81" s="1"/>
      <c r="E81" s="1"/>
      <c r="F81" s="9">
        <v>5987.4621184999996</v>
      </c>
      <c r="G81" s="10">
        <v>0.90990784700000005</v>
      </c>
      <c r="H81" s="47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130</v>
      </c>
      <c r="D83" s="1"/>
      <c r="E83" s="1"/>
      <c r="F83" s="12"/>
      <c r="G83" s="12"/>
      <c r="H83" s="47"/>
    </row>
    <row r="84" spans="1:8" ht="24" customHeight="1" x14ac:dyDescent="0.2">
      <c r="A84" s="1"/>
      <c r="B84" s="1"/>
      <c r="C84" s="2" t="s">
        <v>10</v>
      </c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122</v>
      </c>
      <c r="D85" s="1"/>
      <c r="E85" s="1" t="s">
        <v>123</v>
      </c>
      <c r="F85" s="13">
        <v>0</v>
      </c>
      <c r="G85" s="14">
        <v>0</v>
      </c>
      <c r="H85" s="47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47"/>
    </row>
    <row r="87" spans="1:8" ht="14.1" customHeight="1" x14ac:dyDescent="0.2">
      <c r="A87" s="1"/>
      <c r="B87" s="1"/>
      <c r="C87" s="2" t="s">
        <v>131</v>
      </c>
      <c r="D87" s="1"/>
      <c r="E87" s="1"/>
      <c r="F87" s="1"/>
      <c r="G87" s="1"/>
      <c r="H87" s="47"/>
    </row>
    <row r="88" spans="1:8" ht="14.1" customHeight="1" x14ac:dyDescent="0.2">
      <c r="A88" s="1"/>
      <c r="B88" s="1"/>
      <c r="C88" s="2" t="s">
        <v>122</v>
      </c>
      <c r="D88" s="1"/>
      <c r="E88" s="1" t="s">
        <v>123</v>
      </c>
      <c r="F88" s="13">
        <v>0</v>
      </c>
      <c r="G88" s="14">
        <v>0</v>
      </c>
      <c r="H88" s="47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132</v>
      </c>
      <c r="D90" s="1"/>
      <c r="E90" s="1"/>
      <c r="F90" s="1"/>
      <c r="G90" s="1"/>
      <c r="H90" s="47"/>
    </row>
    <row r="91" spans="1:8" ht="14.1" customHeight="1" x14ac:dyDescent="0.2">
      <c r="A91" s="1"/>
      <c r="B91" s="1"/>
      <c r="C91" s="2" t="s">
        <v>122</v>
      </c>
      <c r="D91" s="1"/>
      <c r="E91" s="1" t="s">
        <v>123</v>
      </c>
      <c r="F91" s="13">
        <v>0</v>
      </c>
      <c r="G91" s="14">
        <v>0</v>
      </c>
      <c r="H91" s="47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47"/>
    </row>
    <row r="93" spans="1:8" ht="14.1" customHeight="1" x14ac:dyDescent="0.2">
      <c r="A93" s="1"/>
      <c r="B93" s="1"/>
      <c r="C93" s="2" t="s">
        <v>133</v>
      </c>
      <c r="D93" s="1"/>
      <c r="E93" s="1"/>
      <c r="F93" s="12"/>
      <c r="G93" s="12"/>
      <c r="H93" s="47"/>
    </row>
    <row r="94" spans="1:8" ht="14.1" customHeight="1" x14ac:dyDescent="0.2">
      <c r="A94" s="1"/>
      <c r="B94" s="1"/>
      <c r="C94" s="2" t="s">
        <v>122</v>
      </c>
      <c r="D94" s="1"/>
      <c r="E94" s="1" t="s">
        <v>123</v>
      </c>
      <c r="F94" s="13">
        <v>0</v>
      </c>
      <c r="G94" s="14">
        <v>0</v>
      </c>
      <c r="H94" s="47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134</v>
      </c>
      <c r="D96" s="1"/>
      <c r="E96" s="1"/>
      <c r="F96" s="9">
        <v>0</v>
      </c>
      <c r="G96" s="10">
        <v>0</v>
      </c>
      <c r="H96" s="47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135</v>
      </c>
      <c r="D98" s="1"/>
      <c r="E98" s="1"/>
      <c r="F98" s="12"/>
      <c r="G98" s="12"/>
      <c r="H98" s="47"/>
    </row>
    <row r="99" spans="1:8" ht="14.1" customHeight="1" x14ac:dyDescent="0.2">
      <c r="A99" s="1"/>
      <c r="B99" s="1"/>
      <c r="C99" s="2" t="s">
        <v>136</v>
      </c>
      <c r="D99" s="1"/>
      <c r="E99" s="1"/>
      <c r="F99" s="12"/>
      <c r="G99" s="12"/>
      <c r="H99" s="47"/>
    </row>
    <row r="100" spans="1:8" ht="14.1" customHeight="1" x14ac:dyDescent="0.2">
      <c r="A100" s="1"/>
      <c r="B100" s="1"/>
      <c r="C100" s="2" t="s">
        <v>122</v>
      </c>
      <c r="D100" s="1"/>
      <c r="E100" s="1" t="s">
        <v>123</v>
      </c>
      <c r="F100" s="13">
        <v>0</v>
      </c>
      <c r="G100" s="14">
        <v>0</v>
      </c>
      <c r="H100" s="47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47"/>
    </row>
    <row r="102" spans="1:8" ht="14.1" customHeight="1" x14ac:dyDescent="0.2">
      <c r="A102" s="1"/>
      <c r="B102" s="1"/>
      <c r="C102" s="2" t="s">
        <v>137</v>
      </c>
      <c r="D102" s="1"/>
      <c r="E102" s="1"/>
      <c r="F102" s="12"/>
      <c r="G102" s="12"/>
      <c r="H102" s="47"/>
    </row>
    <row r="103" spans="1:8" ht="14.1" customHeight="1" x14ac:dyDescent="0.2">
      <c r="A103" s="1"/>
      <c r="B103" s="1"/>
      <c r="C103" s="2" t="s">
        <v>122</v>
      </c>
      <c r="D103" s="1"/>
      <c r="E103" s="1" t="s">
        <v>123</v>
      </c>
      <c r="F103" s="13">
        <v>0</v>
      </c>
      <c r="G103" s="14">
        <v>0</v>
      </c>
      <c r="H103" s="47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47"/>
    </row>
    <row r="105" spans="1:8" ht="14.1" customHeight="1" x14ac:dyDescent="0.2">
      <c r="A105" s="1"/>
      <c r="B105" s="1"/>
      <c r="C105" s="2" t="s">
        <v>138</v>
      </c>
      <c r="D105" s="1"/>
      <c r="E105" s="1"/>
      <c r="F105" s="12"/>
      <c r="G105" s="12"/>
      <c r="H105" s="47"/>
    </row>
    <row r="106" spans="1:8" ht="14.1" customHeight="1" x14ac:dyDescent="0.2">
      <c r="A106" s="1"/>
      <c r="B106" s="1"/>
      <c r="C106" s="2" t="s">
        <v>122</v>
      </c>
      <c r="D106" s="1"/>
      <c r="E106" s="1" t="s">
        <v>123</v>
      </c>
      <c r="F106" s="13">
        <v>0</v>
      </c>
      <c r="G106" s="14">
        <v>0</v>
      </c>
      <c r="H106" s="47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47"/>
    </row>
    <row r="108" spans="1:8" ht="14.1" customHeight="1" x14ac:dyDescent="0.2">
      <c r="A108" s="1"/>
      <c r="B108" s="1"/>
      <c r="C108" s="2" t="s">
        <v>139</v>
      </c>
      <c r="D108" s="1"/>
      <c r="E108" s="1"/>
      <c r="F108" s="12"/>
      <c r="G108" s="12"/>
      <c r="H108" s="47"/>
    </row>
    <row r="109" spans="1:8" ht="17.100000000000001" customHeight="1" x14ac:dyDescent="0.2">
      <c r="A109" s="3">
        <v>1</v>
      </c>
      <c r="B109" s="4"/>
      <c r="C109" s="4" t="s">
        <v>140</v>
      </c>
      <c r="D109" s="4"/>
      <c r="E109" s="8"/>
      <c r="F109" s="6">
        <v>474.32237270000002</v>
      </c>
      <c r="G109" s="7">
        <v>7.2082234999999995E-2</v>
      </c>
      <c r="H109" s="47">
        <v>4.6730752161314033</v>
      </c>
    </row>
    <row r="110" spans="1:8" ht="14.1" customHeight="1" x14ac:dyDescent="0.2">
      <c r="A110" s="1"/>
      <c r="B110" s="1"/>
      <c r="C110" s="2" t="s">
        <v>122</v>
      </c>
      <c r="D110" s="1"/>
      <c r="E110" s="1" t="s">
        <v>123</v>
      </c>
      <c r="F110" s="9">
        <v>474.32237270000002</v>
      </c>
      <c r="G110" s="10">
        <v>7.2082234999999995E-2</v>
      </c>
      <c r="H110" s="47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47"/>
    </row>
    <row r="112" spans="1:8" ht="14.1" customHeight="1" x14ac:dyDescent="0.2">
      <c r="A112" s="1"/>
      <c r="B112" s="1"/>
      <c r="C112" s="2" t="s">
        <v>141</v>
      </c>
      <c r="D112" s="1"/>
      <c r="E112" s="1"/>
      <c r="F112" s="9">
        <v>474.32237270000002</v>
      </c>
      <c r="G112" s="10">
        <v>7.2082234999999995E-2</v>
      </c>
      <c r="H112" s="47"/>
    </row>
    <row r="113" spans="1:8" ht="14.1" customHeight="1" x14ac:dyDescent="0.2">
      <c r="A113" s="1"/>
      <c r="B113" s="1"/>
      <c r="C113" s="12"/>
      <c r="D113" s="1"/>
      <c r="E113" s="1"/>
      <c r="F113" s="1"/>
      <c r="G113" s="1"/>
      <c r="H113" s="47"/>
    </row>
    <row r="114" spans="1:8" ht="14.1" customHeight="1" x14ac:dyDescent="0.2">
      <c r="A114" s="1"/>
      <c r="B114" s="1"/>
      <c r="C114" s="2" t="s">
        <v>142</v>
      </c>
      <c r="D114" s="1"/>
      <c r="E114" s="1"/>
      <c r="F114" s="1"/>
      <c r="G114" s="1"/>
      <c r="H114" s="47"/>
    </row>
    <row r="115" spans="1:8" ht="14.1" customHeight="1" x14ac:dyDescent="0.2">
      <c r="A115" s="1"/>
      <c r="B115" s="1"/>
      <c r="C115" s="2" t="s">
        <v>143</v>
      </c>
      <c r="D115" s="1"/>
      <c r="E115" s="1"/>
      <c r="F115" s="1"/>
      <c r="G115" s="1"/>
      <c r="H115" s="47"/>
    </row>
    <row r="116" spans="1:8" ht="14.1" customHeight="1" x14ac:dyDescent="0.2">
      <c r="A116" s="1"/>
      <c r="B116" s="1"/>
      <c r="C116" s="2" t="s">
        <v>122</v>
      </c>
      <c r="D116" s="1"/>
      <c r="E116" s="1" t="s">
        <v>123</v>
      </c>
      <c r="F116" s="13">
        <v>0</v>
      </c>
      <c r="G116" s="14">
        <v>0</v>
      </c>
      <c r="H116" s="47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47"/>
    </row>
    <row r="118" spans="1:8" ht="14.1" customHeight="1" x14ac:dyDescent="0.2">
      <c r="A118" s="1"/>
      <c r="B118" s="1"/>
      <c r="C118" s="2" t="s">
        <v>144</v>
      </c>
      <c r="D118" s="1"/>
      <c r="E118" s="1"/>
      <c r="F118" s="1"/>
      <c r="G118" s="1"/>
      <c r="H118" s="47"/>
    </row>
    <row r="119" spans="1:8" ht="14.1" customHeight="1" x14ac:dyDescent="0.2">
      <c r="A119" s="1"/>
      <c r="B119" s="1"/>
      <c r="C119" s="2" t="s">
        <v>145</v>
      </c>
      <c r="D119" s="1"/>
      <c r="E119" s="1"/>
      <c r="F119" s="1"/>
      <c r="G119" s="1"/>
      <c r="H119" s="47"/>
    </row>
    <row r="120" spans="1:8" ht="14.1" customHeight="1" x14ac:dyDescent="0.2">
      <c r="A120" s="1"/>
      <c r="B120" s="1"/>
      <c r="C120" s="2" t="s">
        <v>122</v>
      </c>
      <c r="D120" s="1"/>
      <c r="E120" s="1" t="s">
        <v>123</v>
      </c>
      <c r="F120" s="13">
        <v>0</v>
      </c>
      <c r="G120" s="14">
        <v>0</v>
      </c>
      <c r="H120" s="47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47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47"/>
    </row>
    <row r="123" spans="1:8" ht="24" customHeight="1" x14ac:dyDescent="0.2">
      <c r="A123" s="1"/>
      <c r="B123" s="1"/>
      <c r="C123" s="2" t="s">
        <v>146</v>
      </c>
      <c r="D123" s="1"/>
      <c r="E123" s="1"/>
      <c r="F123" s="12"/>
      <c r="G123" s="12"/>
      <c r="H123" s="47"/>
    </row>
    <row r="124" spans="1:8" ht="14.1" customHeight="1" x14ac:dyDescent="0.2">
      <c r="A124" s="1"/>
      <c r="B124" s="1"/>
      <c r="C124" s="2" t="s">
        <v>122</v>
      </c>
      <c r="D124" s="1"/>
      <c r="E124" s="1" t="s">
        <v>123</v>
      </c>
      <c r="F124" s="13">
        <v>0</v>
      </c>
      <c r="G124" s="14">
        <v>0</v>
      </c>
      <c r="H124" s="47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47"/>
    </row>
    <row r="126" spans="1:8" ht="14.1" customHeight="1" x14ac:dyDescent="0.2">
      <c r="A126" s="1"/>
      <c r="B126" s="4"/>
      <c r="C126" s="4"/>
      <c r="D126" s="2"/>
      <c r="E126" s="1"/>
      <c r="F126" s="4"/>
      <c r="G126" s="8"/>
      <c r="H126" s="47"/>
    </row>
    <row r="127" spans="1:8" ht="18" customHeight="1" x14ac:dyDescent="0.2">
      <c r="A127" s="8"/>
      <c r="B127" s="4"/>
      <c r="C127" s="4" t="s">
        <v>147</v>
      </c>
      <c r="D127" s="4"/>
      <c r="E127" s="8"/>
      <c r="F127" s="6">
        <v>118.510578</v>
      </c>
      <c r="G127" s="7">
        <v>1.8009918999999999E-2</v>
      </c>
      <c r="H127" s="47"/>
    </row>
    <row r="128" spans="1:8" ht="14.1" customHeight="1" x14ac:dyDescent="0.2">
      <c r="A128" s="11"/>
      <c r="B128" s="11"/>
      <c r="C128" s="2" t="s">
        <v>148</v>
      </c>
      <c r="D128" s="15"/>
      <c r="E128" s="15"/>
      <c r="F128" s="9">
        <v>6580.2950692000004</v>
      </c>
      <c r="G128" s="10">
        <v>1.0000000010000001</v>
      </c>
      <c r="H128" s="47"/>
    </row>
    <row r="129" spans="1:7" ht="14.1" customHeight="1" x14ac:dyDescent="0.2">
      <c r="A129" s="18"/>
      <c r="B129" s="18"/>
      <c r="C129" s="18"/>
      <c r="D129" s="20"/>
      <c r="E129" s="20"/>
      <c r="F129" s="20"/>
      <c r="G129" s="20"/>
    </row>
    <row r="130" spans="1:7" ht="14.1" customHeight="1" x14ac:dyDescent="0.2">
      <c r="A130" s="18"/>
      <c r="B130" s="257" t="s">
        <v>150</v>
      </c>
      <c r="C130" s="258"/>
      <c r="D130" s="12" t="s">
        <v>123</v>
      </c>
      <c r="E130" s="21"/>
      <c r="F130" s="20"/>
      <c r="G130" s="20"/>
    </row>
    <row r="131" spans="1:7" ht="29.1" customHeight="1" x14ac:dyDescent="0.2">
      <c r="A131" s="18"/>
      <c r="B131" s="259" t="s">
        <v>151</v>
      </c>
      <c r="C131" s="260"/>
      <c r="D131" s="2" t="s">
        <v>152</v>
      </c>
      <c r="E131" s="21"/>
      <c r="F131" s="20"/>
      <c r="G131" s="20"/>
    </row>
    <row r="132" spans="1:7" ht="17.100000000000001" customHeight="1" x14ac:dyDescent="0.2">
      <c r="A132" s="18"/>
      <c r="B132" s="259" t="s">
        <v>153</v>
      </c>
      <c r="C132" s="260"/>
      <c r="D132" s="2" t="s">
        <v>152</v>
      </c>
      <c r="E132" s="21"/>
      <c r="F132" s="20"/>
      <c r="G132" s="20"/>
    </row>
    <row r="133" spans="1:7" ht="17.100000000000001" customHeight="1" x14ac:dyDescent="0.2">
      <c r="A133" s="18"/>
      <c r="B133" s="259" t="s">
        <v>154</v>
      </c>
      <c r="C133" s="260"/>
      <c r="D133" s="12" t="s">
        <v>123</v>
      </c>
      <c r="E133" s="21"/>
      <c r="F133" s="20"/>
      <c r="G133" s="20"/>
    </row>
    <row r="134" spans="1:7" ht="24" customHeight="1" x14ac:dyDescent="0.2">
      <c r="A134" s="22"/>
      <c r="B134" s="23" t="s">
        <v>123</v>
      </c>
      <c r="C134" s="23" t="s">
        <v>155</v>
      </c>
      <c r="D134" s="23" t="s">
        <v>156</v>
      </c>
      <c r="E134" s="22"/>
      <c r="F134" s="22"/>
      <c r="G134" s="22"/>
    </row>
    <row r="135" spans="1:7" ht="18" customHeight="1" x14ac:dyDescent="0.2">
      <c r="A135" s="22"/>
      <c r="B135" s="23" t="s">
        <v>157</v>
      </c>
      <c r="C135" s="23" t="s">
        <v>158</v>
      </c>
      <c r="D135" s="23" t="s">
        <v>159</v>
      </c>
      <c r="E135" s="22"/>
      <c r="F135" s="22"/>
      <c r="G135" s="22"/>
    </row>
    <row r="136" spans="1:7" ht="17.100000000000001" customHeight="1" x14ac:dyDescent="0.2">
      <c r="A136" s="22"/>
      <c r="B136" s="4" t="s">
        <v>160</v>
      </c>
      <c r="C136" s="24">
        <v>17.964300000000001</v>
      </c>
      <c r="D136" s="24">
        <v>17.205300000000001</v>
      </c>
      <c r="E136" s="22"/>
      <c r="F136" s="19"/>
      <c r="G136" s="25"/>
    </row>
    <row r="137" spans="1:7" ht="17.100000000000001" customHeight="1" x14ac:dyDescent="0.2">
      <c r="A137" s="22"/>
      <c r="B137" s="4" t="s">
        <v>1101</v>
      </c>
      <c r="C137" s="24">
        <v>16.546399999999998</v>
      </c>
      <c r="D137" s="24">
        <v>15.847300000000001</v>
      </c>
      <c r="E137" s="22"/>
      <c r="F137" s="19"/>
      <c r="G137" s="25"/>
    </row>
    <row r="138" spans="1:7" ht="17.100000000000001" customHeight="1" x14ac:dyDescent="0.2">
      <c r="A138" s="22"/>
      <c r="B138" s="4" t="s">
        <v>161</v>
      </c>
      <c r="C138" s="24">
        <v>17.543399999999998</v>
      </c>
      <c r="D138" s="24">
        <v>16.799800000000001</v>
      </c>
      <c r="E138" s="22"/>
      <c r="F138" s="19"/>
      <c r="G138" s="25"/>
    </row>
    <row r="139" spans="1:7" ht="17.100000000000001" customHeight="1" x14ac:dyDescent="0.2">
      <c r="A139" s="22"/>
      <c r="B139" s="4" t="s">
        <v>1102</v>
      </c>
      <c r="C139" s="24">
        <v>16.143599999999999</v>
      </c>
      <c r="D139" s="24">
        <v>15.459300000000001</v>
      </c>
      <c r="E139" s="22"/>
      <c r="F139" s="19"/>
      <c r="G139" s="25"/>
    </row>
    <row r="140" spans="1:7" ht="14.1" customHeight="1" x14ac:dyDescent="0.2">
      <c r="A140" s="22"/>
      <c r="B140" s="22"/>
      <c r="C140" s="22"/>
      <c r="D140" s="22"/>
      <c r="E140" s="22"/>
      <c r="F140" s="22"/>
      <c r="G140" s="22"/>
    </row>
    <row r="141" spans="1:7" ht="17.100000000000001" customHeight="1" x14ac:dyDescent="0.2">
      <c r="A141" s="22"/>
      <c r="B141" s="259" t="s">
        <v>1103</v>
      </c>
      <c r="C141" s="260"/>
      <c r="D141" s="2" t="s">
        <v>152</v>
      </c>
      <c r="E141" s="22"/>
      <c r="F141" s="22"/>
      <c r="G141" s="22"/>
    </row>
    <row r="142" spans="1:7" ht="18" customHeight="1" x14ac:dyDescent="0.2">
      <c r="A142" s="22"/>
      <c r="B142" s="26"/>
      <c r="C142" s="26"/>
      <c r="D142" s="27"/>
      <c r="E142" s="22"/>
      <c r="F142" s="22"/>
      <c r="G142" s="22"/>
    </row>
    <row r="143" spans="1:7" ht="29.1" customHeight="1" x14ac:dyDescent="0.2">
      <c r="A143" s="22"/>
      <c r="B143" s="259" t="s">
        <v>162</v>
      </c>
      <c r="C143" s="260"/>
      <c r="D143" s="2" t="s">
        <v>152</v>
      </c>
      <c r="E143" s="22"/>
      <c r="F143" s="22"/>
      <c r="G143" s="22"/>
    </row>
    <row r="144" spans="1:7" ht="29.1" customHeight="1" x14ac:dyDescent="0.2">
      <c r="A144" s="22"/>
      <c r="B144" s="259" t="s">
        <v>163</v>
      </c>
      <c r="C144" s="260"/>
      <c r="D144" s="2" t="s">
        <v>152</v>
      </c>
      <c r="E144" s="22"/>
      <c r="F144" s="22"/>
      <c r="G144" s="22"/>
    </row>
    <row r="145" spans="1:15" ht="17.100000000000001" customHeight="1" x14ac:dyDescent="0.2">
      <c r="A145" s="22"/>
      <c r="B145" s="259" t="s">
        <v>164</v>
      </c>
      <c r="C145" s="260"/>
      <c r="D145" s="28">
        <v>0.19871663379867108</v>
      </c>
      <c r="E145" s="22"/>
      <c r="F145" s="19"/>
      <c r="G145" s="25"/>
    </row>
    <row r="146" spans="1:15" ht="17.100000000000001" customHeight="1" x14ac:dyDescent="0.2">
      <c r="A146" s="22"/>
      <c r="B146" s="259" t="s">
        <v>165</v>
      </c>
      <c r="C146" s="260"/>
      <c r="D146" s="2" t="s">
        <v>152</v>
      </c>
      <c r="E146" s="22"/>
      <c r="F146" s="22"/>
      <c r="G146" s="22"/>
    </row>
    <row r="156" spans="1:15" x14ac:dyDescent="0.2">
      <c r="J156" s="148"/>
      <c r="K156" s="148"/>
      <c r="L156" s="148"/>
      <c r="M156" s="148"/>
      <c r="N156" s="148"/>
      <c r="O156" s="148"/>
    </row>
  </sheetData>
  <mergeCells count="13">
    <mergeCell ref="J2:N2"/>
    <mergeCell ref="A1:H1"/>
    <mergeCell ref="A2:H2"/>
    <mergeCell ref="A3:H3"/>
    <mergeCell ref="B130:C130"/>
    <mergeCell ref="B145:C145"/>
    <mergeCell ref="B146:C146"/>
    <mergeCell ref="B131:C131"/>
    <mergeCell ref="B132:C132"/>
    <mergeCell ref="B133:C133"/>
    <mergeCell ref="B141:C141"/>
    <mergeCell ref="B143:C143"/>
    <mergeCell ref="B144:C14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O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518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29.1" customHeight="1" x14ac:dyDescent="0.2">
      <c r="A7" s="3">
        <v>1</v>
      </c>
      <c r="B7" s="4" t="s">
        <v>199</v>
      </c>
      <c r="C7" s="4" t="s">
        <v>200</v>
      </c>
      <c r="D7" s="4" t="s">
        <v>201</v>
      </c>
      <c r="E7" s="5">
        <v>2944</v>
      </c>
      <c r="F7" s="6">
        <v>107.50310399999999</v>
      </c>
      <c r="G7" s="7">
        <v>3.3619599E-2</v>
      </c>
      <c r="H7" s="47"/>
    </row>
    <row r="8" spans="1:14" ht="17.100000000000001" customHeight="1" x14ac:dyDescent="0.2">
      <c r="A8" s="3">
        <v>2</v>
      </c>
      <c r="B8" s="4" t="s">
        <v>185</v>
      </c>
      <c r="C8" s="4" t="s">
        <v>186</v>
      </c>
      <c r="D8" s="4" t="s">
        <v>88</v>
      </c>
      <c r="E8" s="5">
        <v>20331</v>
      </c>
      <c r="F8" s="6">
        <v>106.880067</v>
      </c>
      <c r="G8" s="7">
        <v>3.3424755E-2</v>
      </c>
      <c r="H8" s="47"/>
    </row>
    <row r="9" spans="1:14" ht="17.100000000000001" customHeight="1" x14ac:dyDescent="0.2">
      <c r="A9" s="3">
        <v>3</v>
      </c>
      <c r="B9" s="4" t="s">
        <v>261</v>
      </c>
      <c r="C9" s="4" t="s">
        <v>262</v>
      </c>
      <c r="D9" s="4" t="s">
        <v>80</v>
      </c>
      <c r="E9" s="5">
        <v>52896</v>
      </c>
      <c r="F9" s="6">
        <v>101.375184</v>
      </c>
      <c r="G9" s="7">
        <v>3.1703205999999998E-2</v>
      </c>
      <c r="H9" s="47"/>
    </row>
    <row r="10" spans="1:14" ht="17.100000000000001" customHeight="1" x14ac:dyDescent="0.2">
      <c r="A10" s="3">
        <v>4</v>
      </c>
      <c r="B10" s="4" t="s">
        <v>189</v>
      </c>
      <c r="C10" s="4" t="s">
        <v>190</v>
      </c>
      <c r="D10" s="4" t="s">
        <v>191</v>
      </c>
      <c r="E10" s="5">
        <v>19582</v>
      </c>
      <c r="F10" s="6">
        <v>101.36622300000001</v>
      </c>
      <c r="G10" s="7">
        <v>3.1700403000000002E-2</v>
      </c>
      <c r="H10" s="47"/>
    </row>
    <row r="11" spans="1:14" ht="17.100000000000001" customHeight="1" x14ac:dyDescent="0.2">
      <c r="A11" s="3">
        <v>5</v>
      </c>
      <c r="B11" s="4" t="s">
        <v>254</v>
      </c>
      <c r="C11" s="4" t="s">
        <v>255</v>
      </c>
      <c r="D11" s="4" t="s">
        <v>28</v>
      </c>
      <c r="E11" s="5">
        <v>8610</v>
      </c>
      <c r="F11" s="6">
        <v>99.234555</v>
      </c>
      <c r="G11" s="7">
        <v>3.1033763999999998E-2</v>
      </c>
      <c r="H11" s="47"/>
    </row>
    <row r="12" spans="1:14" ht="17.100000000000001" customHeight="1" x14ac:dyDescent="0.2">
      <c r="A12" s="3">
        <v>6</v>
      </c>
      <c r="B12" s="4" t="s">
        <v>207</v>
      </c>
      <c r="C12" s="4" t="s">
        <v>208</v>
      </c>
      <c r="D12" s="4" t="s">
        <v>209</v>
      </c>
      <c r="E12" s="5">
        <v>35324</v>
      </c>
      <c r="F12" s="6">
        <v>98.218382000000005</v>
      </c>
      <c r="G12" s="7">
        <v>3.0715974E-2</v>
      </c>
      <c r="H12" s="47"/>
    </row>
    <row r="13" spans="1:14" ht="17.100000000000001" customHeight="1" x14ac:dyDescent="0.2">
      <c r="A13" s="3">
        <v>7</v>
      </c>
      <c r="B13" s="4" t="s">
        <v>192</v>
      </c>
      <c r="C13" s="4" t="s">
        <v>193</v>
      </c>
      <c r="D13" s="4" t="s">
        <v>184</v>
      </c>
      <c r="E13" s="5">
        <v>7740</v>
      </c>
      <c r="F13" s="6">
        <v>93.359880000000004</v>
      </c>
      <c r="G13" s="7">
        <v>2.9196567999999999E-2</v>
      </c>
      <c r="H13" s="47"/>
      <c r="J13" s="147" t="s">
        <v>1121</v>
      </c>
    </row>
    <row r="14" spans="1:14" ht="17.100000000000001" customHeight="1" x14ac:dyDescent="0.2">
      <c r="A14" s="3">
        <v>8</v>
      </c>
      <c r="B14" s="4" t="s">
        <v>86</v>
      </c>
      <c r="C14" s="4" t="s">
        <v>87</v>
      </c>
      <c r="D14" s="4" t="s">
        <v>88</v>
      </c>
      <c r="E14" s="5">
        <v>21376</v>
      </c>
      <c r="F14" s="6">
        <v>92.707712000000001</v>
      </c>
      <c r="G14" s="7">
        <v>2.8992614999999999E-2</v>
      </c>
      <c r="H14" s="47"/>
    </row>
    <row r="15" spans="1:14" ht="17.100000000000001" customHeight="1" x14ac:dyDescent="0.2">
      <c r="A15" s="3">
        <v>9</v>
      </c>
      <c r="B15" s="4" t="s">
        <v>241</v>
      </c>
      <c r="C15" s="4" t="s">
        <v>242</v>
      </c>
      <c r="D15" s="4" t="s">
        <v>243</v>
      </c>
      <c r="E15" s="5">
        <v>18116</v>
      </c>
      <c r="F15" s="6">
        <v>92.110802000000007</v>
      </c>
      <c r="G15" s="7">
        <v>2.8805942000000001E-2</v>
      </c>
      <c r="H15" s="47"/>
    </row>
    <row r="16" spans="1:14" ht="17.100000000000001" customHeight="1" x14ac:dyDescent="0.2">
      <c r="A16" s="3">
        <v>10</v>
      </c>
      <c r="B16" s="4" t="s">
        <v>34</v>
      </c>
      <c r="C16" s="4" t="s">
        <v>35</v>
      </c>
      <c r="D16" s="4" t="s">
        <v>28</v>
      </c>
      <c r="E16" s="5">
        <v>5766</v>
      </c>
      <c r="F16" s="6">
        <v>85.553025000000005</v>
      </c>
      <c r="G16" s="7">
        <v>2.6755119000000001E-2</v>
      </c>
      <c r="H16" s="47"/>
    </row>
    <row r="17" spans="1:8" ht="17.100000000000001" customHeight="1" x14ac:dyDescent="0.2">
      <c r="A17" s="3">
        <v>11</v>
      </c>
      <c r="B17" s="4" t="s">
        <v>26</v>
      </c>
      <c r="C17" s="4" t="s">
        <v>27</v>
      </c>
      <c r="D17" s="4" t="s">
        <v>28</v>
      </c>
      <c r="E17" s="5">
        <v>4869</v>
      </c>
      <c r="F17" s="6">
        <v>81.9477045</v>
      </c>
      <c r="G17" s="7">
        <v>2.5627621999999999E-2</v>
      </c>
      <c r="H17" s="47"/>
    </row>
    <row r="18" spans="1:8" ht="17.100000000000001" customHeight="1" x14ac:dyDescent="0.2">
      <c r="A18" s="3">
        <v>12</v>
      </c>
      <c r="B18" s="4" t="s">
        <v>95</v>
      </c>
      <c r="C18" s="4" t="s">
        <v>96</v>
      </c>
      <c r="D18" s="4" t="s">
        <v>97</v>
      </c>
      <c r="E18" s="5">
        <v>18429</v>
      </c>
      <c r="F18" s="6">
        <v>81.898476000000002</v>
      </c>
      <c r="G18" s="7">
        <v>2.5612227000000001E-2</v>
      </c>
      <c r="H18" s="47"/>
    </row>
    <row r="19" spans="1:8" ht="29.1" customHeight="1" x14ac:dyDescent="0.2">
      <c r="A19" s="3">
        <v>13</v>
      </c>
      <c r="B19" s="4" t="s">
        <v>469</v>
      </c>
      <c r="C19" s="4" t="s">
        <v>470</v>
      </c>
      <c r="D19" s="4" t="s">
        <v>40</v>
      </c>
      <c r="E19" s="5">
        <v>4362</v>
      </c>
      <c r="F19" s="6">
        <v>81.748242000000005</v>
      </c>
      <c r="G19" s="7">
        <v>2.5565244000000001E-2</v>
      </c>
      <c r="H19" s="47"/>
    </row>
    <row r="20" spans="1:8" ht="17.100000000000001" customHeight="1" x14ac:dyDescent="0.2">
      <c r="A20" s="3">
        <v>14</v>
      </c>
      <c r="B20" s="4" t="s">
        <v>177</v>
      </c>
      <c r="C20" s="4" t="s">
        <v>178</v>
      </c>
      <c r="D20" s="4" t="s">
        <v>91</v>
      </c>
      <c r="E20" s="5">
        <v>88789</v>
      </c>
      <c r="F20" s="6">
        <v>72.806979999999996</v>
      </c>
      <c r="G20" s="7">
        <v>2.2769029999999999E-2</v>
      </c>
      <c r="H20" s="47"/>
    </row>
    <row r="21" spans="1:8" ht="17.100000000000001" customHeight="1" x14ac:dyDescent="0.2">
      <c r="A21" s="3">
        <v>15</v>
      </c>
      <c r="B21" s="4" t="s">
        <v>263</v>
      </c>
      <c r="C21" s="4" t="s">
        <v>264</v>
      </c>
      <c r="D21" s="4" t="s">
        <v>28</v>
      </c>
      <c r="E21" s="5">
        <v>8469</v>
      </c>
      <c r="F21" s="6">
        <v>70.953282000000002</v>
      </c>
      <c r="G21" s="7">
        <v>2.2189321000000001E-2</v>
      </c>
      <c r="H21" s="47"/>
    </row>
    <row r="22" spans="1:8" ht="29.1" customHeight="1" x14ac:dyDescent="0.2">
      <c r="A22" s="3">
        <v>16</v>
      </c>
      <c r="B22" s="4" t="s">
        <v>230</v>
      </c>
      <c r="C22" s="4" t="s">
        <v>231</v>
      </c>
      <c r="D22" s="4" t="s">
        <v>204</v>
      </c>
      <c r="E22" s="5">
        <v>18366</v>
      </c>
      <c r="F22" s="6">
        <v>67.412402999999998</v>
      </c>
      <c r="G22" s="7">
        <v>2.1081976999999998E-2</v>
      </c>
      <c r="H22" s="47"/>
    </row>
    <row r="23" spans="1:8" ht="17.100000000000001" customHeight="1" x14ac:dyDescent="0.2">
      <c r="A23" s="3">
        <v>17</v>
      </c>
      <c r="B23" s="4" t="s">
        <v>172</v>
      </c>
      <c r="C23" s="4" t="s">
        <v>173</v>
      </c>
      <c r="D23" s="4" t="s">
        <v>174</v>
      </c>
      <c r="E23" s="5">
        <v>6161</v>
      </c>
      <c r="F23" s="6">
        <v>66.846850000000003</v>
      </c>
      <c r="G23" s="7">
        <v>2.0905111000000001E-2</v>
      </c>
      <c r="H23" s="47"/>
    </row>
    <row r="24" spans="1:8" ht="17.100000000000001" customHeight="1" x14ac:dyDescent="0.2">
      <c r="A24" s="3">
        <v>18</v>
      </c>
      <c r="B24" s="4" t="s">
        <v>222</v>
      </c>
      <c r="C24" s="4" t="s">
        <v>223</v>
      </c>
      <c r="D24" s="4" t="s">
        <v>13</v>
      </c>
      <c r="E24" s="5">
        <v>17176</v>
      </c>
      <c r="F24" s="6">
        <v>61.266792000000002</v>
      </c>
      <c r="G24" s="7">
        <v>1.9160051000000001E-2</v>
      </c>
      <c r="H24" s="47"/>
    </row>
    <row r="25" spans="1:8" ht="17.100000000000001" customHeight="1" x14ac:dyDescent="0.2">
      <c r="A25" s="3">
        <v>19</v>
      </c>
      <c r="B25" s="4" t="s">
        <v>220</v>
      </c>
      <c r="C25" s="4" t="s">
        <v>221</v>
      </c>
      <c r="D25" s="4" t="s">
        <v>91</v>
      </c>
      <c r="E25" s="5">
        <v>8007</v>
      </c>
      <c r="F25" s="6">
        <v>59.548059000000002</v>
      </c>
      <c r="G25" s="7">
        <v>1.8622548999999999E-2</v>
      </c>
      <c r="H25" s="47"/>
    </row>
    <row r="26" spans="1:8" ht="17.100000000000001" customHeight="1" x14ac:dyDescent="0.2">
      <c r="A26" s="3">
        <v>20</v>
      </c>
      <c r="B26" s="4" t="s">
        <v>182</v>
      </c>
      <c r="C26" s="4" t="s">
        <v>183</v>
      </c>
      <c r="D26" s="4" t="s">
        <v>184</v>
      </c>
      <c r="E26" s="5">
        <v>4114</v>
      </c>
      <c r="F26" s="6">
        <v>53.809063000000002</v>
      </c>
      <c r="G26" s="7">
        <v>1.6827785000000001E-2</v>
      </c>
      <c r="H26" s="47"/>
    </row>
    <row r="27" spans="1:8" ht="29.1" customHeight="1" x14ac:dyDescent="0.2">
      <c r="A27" s="3">
        <v>21</v>
      </c>
      <c r="B27" s="4" t="s">
        <v>52</v>
      </c>
      <c r="C27" s="4" t="s">
        <v>53</v>
      </c>
      <c r="D27" s="4" t="s">
        <v>25</v>
      </c>
      <c r="E27" s="5">
        <v>2480</v>
      </c>
      <c r="F27" s="6">
        <v>52.301960000000001</v>
      </c>
      <c r="G27" s="7">
        <v>1.6356466E-2</v>
      </c>
      <c r="H27" s="47"/>
    </row>
    <row r="28" spans="1:8" ht="17.100000000000001" customHeight="1" x14ac:dyDescent="0.2">
      <c r="A28" s="3">
        <v>22</v>
      </c>
      <c r="B28" s="4" t="s">
        <v>471</v>
      </c>
      <c r="C28" s="4" t="s">
        <v>472</v>
      </c>
      <c r="D28" s="4" t="s">
        <v>88</v>
      </c>
      <c r="E28" s="5">
        <v>5646</v>
      </c>
      <c r="F28" s="6">
        <v>52.101287999999997</v>
      </c>
      <c r="G28" s="7">
        <v>1.6293709999999999E-2</v>
      </c>
      <c r="H28" s="47"/>
    </row>
    <row r="29" spans="1:8" ht="29.1" customHeight="1" x14ac:dyDescent="0.2">
      <c r="A29" s="3">
        <v>23</v>
      </c>
      <c r="B29" s="4" t="s">
        <v>275</v>
      </c>
      <c r="C29" s="4" t="s">
        <v>276</v>
      </c>
      <c r="D29" s="4" t="s">
        <v>238</v>
      </c>
      <c r="E29" s="5">
        <v>9605</v>
      </c>
      <c r="F29" s="6">
        <v>50.964129999999997</v>
      </c>
      <c r="G29" s="7">
        <v>1.5938085000000001E-2</v>
      </c>
      <c r="H29" s="47"/>
    </row>
    <row r="30" spans="1:8" ht="29.1" customHeight="1" x14ac:dyDescent="0.2">
      <c r="A30" s="3">
        <v>24</v>
      </c>
      <c r="B30" s="4" t="s">
        <v>179</v>
      </c>
      <c r="C30" s="4" t="s">
        <v>180</v>
      </c>
      <c r="D30" s="4" t="s">
        <v>181</v>
      </c>
      <c r="E30" s="5">
        <v>7893</v>
      </c>
      <c r="F30" s="6">
        <v>48.435394500000001</v>
      </c>
      <c r="G30" s="7">
        <v>1.5147269999999999E-2</v>
      </c>
      <c r="H30" s="47"/>
    </row>
    <row r="31" spans="1:8" ht="17.100000000000001" customHeight="1" x14ac:dyDescent="0.2">
      <c r="A31" s="3">
        <v>25</v>
      </c>
      <c r="B31" s="4" t="s">
        <v>187</v>
      </c>
      <c r="C31" s="4" t="s">
        <v>188</v>
      </c>
      <c r="D31" s="4" t="s">
        <v>91</v>
      </c>
      <c r="E31" s="5">
        <v>11325</v>
      </c>
      <c r="F31" s="6">
        <v>48.2841375</v>
      </c>
      <c r="G31" s="7">
        <v>1.5099967000000001E-2</v>
      </c>
      <c r="H31" s="47"/>
    </row>
    <row r="32" spans="1:8" ht="17.100000000000001" customHeight="1" x14ac:dyDescent="0.2">
      <c r="A32" s="3">
        <v>26</v>
      </c>
      <c r="B32" s="4" t="s">
        <v>215</v>
      </c>
      <c r="C32" s="4" t="s">
        <v>216</v>
      </c>
      <c r="D32" s="4" t="s">
        <v>217</v>
      </c>
      <c r="E32" s="5">
        <v>17911</v>
      </c>
      <c r="F32" s="6">
        <v>47.419372500000001</v>
      </c>
      <c r="G32" s="7">
        <v>1.4829528E-2</v>
      </c>
      <c r="H32" s="47"/>
    </row>
    <row r="33" spans="1:8" ht="29.1" customHeight="1" x14ac:dyDescent="0.2">
      <c r="A33" s="3">
        <v>27</v>
      </c>
      <c r="B33" s="4" t="s">
        <v>232</v>
      </c>
      <c r="C33" s="4" t="s">
        <v>233</v>
      </c>
      <c r="D33" s="4" t="s">
        <v>198</v>
      </c>
      <c r="E33" s="5">
        <v>23991</v>
      </c>
      <c r="F33" s="6">
        <v>47.214288000000003</v>
      </c>
      <c r="G33" s="7">
        <v>1.4765390999999999E-2</v>
      </c>
      <c r="H33" s="47"/>
    </row>
    <row r="34" spans="1:8" ht="17.100000000000001" customHeight="1" x14ac:dyDescent="0.2">
      <c r="A34" s="3">
        <v>28</v>
      </c>
      <c r="B34" s="4" t="s">
        <v>267</v>
      </c>
      <c r="C34" s="4" t="s">
        <v>268</v>
      </c>
      <c r="D34" s="4" t="s">
        <v>171</v>
      </c>
      <c r="E34" s="5">
        <v>5920</v>
      </c>
      <c r="F34" s="6">
        <v>44.793680000000002</v>
      </c>
      <c r="G34" s="7">
        <v>1.4008391E-2</v>
      </c>
      <c r="H34" s="47"/>
    </row>
    <row r="35" spans="1:8" ht="17.100000000000001" customHeight="1" x14ac:dyDescent="0.2">
      <c r="A35" s="3">
        <v>29</v>
      </c>
      <c r="B35" s="4" t="s">
        <v>194</v>
      </c>
      <c r="C35" s="4" t="s">
        <v>195</v>
      </c>
      <c r="D35" s="4" t="s">
        <v>174</v>
      </c>
      <c r="E35" s="5">
        <v>8650</v>
      </c>
      <c r="F35" s="6">
        <v>43.016449999999999</v>
      </c>
      <c r="G35" s="7">
        <v>1.3452596000000001E-2</v>
      </c>
      <c r="H35" s="47"/>
    </row>
    <row r="36" spans="1:8" ht="29.1" customHeight="1" x14ac:dyDescent="0.2">
      <c r="A36" s="3">
        <v>30</v>
      </c>
      <c r="B36" s="4" t="s">
        <v>290</v>
      </c>
      <c r="C36" s="4" t="s">
        <v>291</v>
      </c>
      <c r="D36" s="4" t="s">
        <v>292</v>
      </c>
      <c r="E36" s="5">
        <v>13939</v>
      </c>
      <c r="F36" s="6">
        <v>42.834547000000001</v>
      </c>
      <c r="G36" s="7">
        <v>1.3395709E-2</v>
      </c>
      <c r="H36" s="47"/>
    </row>
    <row r="37" spans="1:8" ht="17.100000000000001" customHeight="1" x14ac:dyDescent="0.2">
      <c r="A37" s="3">
        <v>31</v>
      </c>
      <c r="B37" s="4" t="s">
        <v>281</v>
      </c>
      <c r="C37" s="4" t="s">
        <v>282</v>
      </c>
      <c r="D37" s="4" t="s">
        <v>94</v>
      </c>
      <c r="E37" s="5">
        <v>6770</v>
      </c>
      <c r="F37" s="6">
        <v>42.458055000000002</v>
      </c>
      <c r="G37" s="7">
        <v>1.3277967999999999E-2</v>
      </c>
      <c r="H37" s="47"/>
    </row>
    <row r="38" spans="1:8" ht="29.1" customHeight="1" x14ac:dyDescent="0.2">
      <c r="A38" s="3">
        <v>32</v>
      </c>
      <c r="B38" s="4" t="s">
        <v>212</v>
      </c>
      <c r="C38" s="4" t="s">
        <v>213</v>
      </c>
      <c r="D38" s="4" t="s">
        <v>214</v>
      </c>
      <c r="E38" s="5">
        <v>44513</v>
      </c>
      <c r="F38" s="6">
        <v>41.842219999999998</v>
      </c>
      <c r="G38" s="7">
        <v>1.3085377E-2</v>
      </c>
      <c r="H38" s="47"/>
    </row>
    <row r="39" spans="1:8" ht="17.100000000000001" customHeight="1" x14ac:dyDescent="0.2">
      <c r="A39" s="3">
        <v>33</v>
      </c>
      <c r="B39" s="4" t="s">
        <v>248</v>
      </c>
      <c r="C39" s="4" t="s">
        <v>249</v>
      </c>
      <c r="D39" s="4" t="s">
        <v>174</v>
      </c>
      <c r="E39" s="5">
        <v>31256</v>
      </c>
      <c r="F39" s="6">
        <v>41.820528000000003</v>
      </c>
      <c r="G39" s="7">
        <v>1.3078592999999999E-2</v>
      </c>
      <c r="H39" s="47"/>
    </row>
    <row r="40" spans="1:8" ht="29.1" customHeight="1" x14ac:dyDescent="0.2">
      <c r="A40" s="3">
        <v>34</v>
      </c>
      <c r="B40" s="4" t="s">
        <v>224</v>
      </c>
      <c r="C40" s="4" t="s">
        <v>225</v>
      </c>
      <c r="D40" s="4" t="s">
        <v>181</v>
      </c>
      <c r="E40" s="5">
        <v>8864</v>
      </c>
      <c r="F40" s="6">
        <v>40.233696000000002</v>
      </c>
      <c r="G40" s="7">
        <v>1.2582341E-2</v>
      </c>
      <c r="H40" s="47"/>
    </row>
    <row r="41" spans="1:8" ht="29.1" customHeight="1" x14ac:dyDescent="0.2">
      <c r="A41" s="3">
        <v>35</v>
      </c>
      <c r="B41" s="4" t="s">
        <v>196</v>
      </c>
      <c r="C41" s="4" t="s">
        <v>197</v>
      </c>
      <c r="D41" s="4" t="s">
        <v>198</v>
      </c>
      <c r="E41" s="5">
        <v>3088</v>
      </c>
      <c r="F41" s="6">
        <v>39.2562</v>
      </c>
      <c r="G41" s="7">
        <v>1.2276647E-2</v>
      </c>
      <c r="H41" s="47"/>
    </row>
    <row r="42" spans="1:8" ht="17.100000000000001" customHeight="1" x14ac:dyDescent="0.2">
      <c r="A42" s="3">
        <v>36</v>
      </c>
      <c r="B42" s="4" t="s">
        <v>226</v>
      </c>
      <c r="C42" s="4" t="s">
        <v>227</v>
      </c>
      <c r="D42" s="4" t="s">
        <v>13</v>
      </c>
      <c r="E42" s="5">
        <v>50158</v>
      </c>
      <c r="F42" s="6">
        <v>36.690576999999998</v>
      </c>
      <c r="G42" s="7">
        <v>1.1474296E-2</v>
      </c>
      <c r="H42" s="47"/>
    </row>
    <row r="43" spans="1:8" ht="17.100000000000001" customHeight="1" x14ac:dyDescent="0.2">
      <c r="A43" s="3">
        <v>37</v>
      </c>
      <c r="B43" s="4" t="s">
        <v>483</v>
      </c>
      <c r="C43" s="4" t="s">
        <v>484</v>
      </c>
      <c r="D43" s="4" t="s">
        <v>303</v>
      </c>
      <c r="E43" s="5">
        <v>4775</v>
      </c>
      <c r="F43" s="6">
        <v>35.399462499999998</v>
      </c>
      <c r="G43" s="7">
        <v>1.1070524E-2</v>
      </c>
      <c r="H43" s="47"/>
    </row>
    <row r="44" spans="1:8" ht="29.1" customHeight="1" x14ac:dyDescent="0.2">
      <c r="A44" s="3">
        <v>38</v>
      </c>
      <c r="B44" s="4" t="s">
        <v>236</v>
      </c>
      <c r="C44" s="4" t="s">
        <v>237</v>
      </c>
      <c r="D44" s="4" t="s">
        <v>238</v>
      </c>
      <c r="E44" s="5">
        <v>8921</v>
      </c>
      <c r="F44" s="6">
        <v>34.2075745</v>
      </c>
      <c r="G44" s="7">
        <v>1.0697783000000001E-2</v>
      </c>
      <c r="H44" s="47"/>
    </row>
    <row r="45" spans="1:8" ht="17.100000000000001" customHeight="1" x14ac:dyDescent="0.2">
      <c r="A45" s="3">
        <v>39</v>
      </c>
      <c r="B45" s="4" t="s">
        <v>239</v>
      </c>
      <c r="C45" s="4" t="s">
        <v>240</v>
      </c>
      <c r="D45" s="4" t="s">
        <v>88</v>
      </c>
      <c r="E45" s="5">
        <v>5918</v>
      </c>
      <c r="F45" s="6">
        <v>33.919016999999997</v>
      </c>
      <c r="G45" s="7">
        <v>1.0607541999999999E-2</v>
      </c>
      <c r="H45" s="47"/>
    </row>
    <row r="46" spans="1:8" ht="53.1" customHeight="1" x14ac:dyDescent="0.2">
      <c r="A46" s="3">
        <v>40</v>
      </c>
      <c r="B46" s="4" t="s">
        <v>422</v>
      </c>
      <c r="C46" s="4" t="s">
        <v>423</v>
      </c>
      <c r="D46" s="4" t="s">
        <v>62</v>
      </c>
      <c r="E46" s="5">
        <v>15720</v>
      </c>
      <c r="F46" s="6">
        <v>32.697600000000001</v>
      </c>
      <c r="G46" s="7">
        <v>1.0225567E-2</v>
      </c>
      <c r="H46" s="47"/>
    </row>
    <row r="47" spans="1:8" ht="29.1" customHeight="1" x14ac:dyDescent="0.2">
      <c r="A47" s="3">
        <v>41</v>
      </c>
      <c r="B47" s="4" t="s">
        <v>390</v>
      </c>
      <c r="C47" s="4" t="s">
        <v>391</v>
      </c>
      <c r="D47" s="4" t="s">
        <v>201</v>
      </c>
      <c r="E47" s="5">
        <v>5097</v>
      </c>
      <c r="F47" s="6">
        <v>31.096796999999999</v>
      </c>
      <c r="G47" s="7">
        <v>9.7249459999999999E-3</v>
      </c>
      <c r="H47" s="47"/>
    </row>
    <row r="48" spans="1:8" ht="29.1" customHeight="1" x14ac:dyDescent="0.2">
      <c r="A48" s="3">
        <v>42</v>
      </c>
      <c r="B48" s="4" t="s">
        <v>256</v>
      </c>
      <c r="C48" s="4" t="s">
        <v>257</v>
      </c>
      <c r="D48" s="4" t="s">
        <v>88</v>
      </c>
      <c r="E48" s="5">
        <v>2075</v>
      </c>
      <c r="F48" s="6">
        <v>30.735937499999999</v>
      </c>
      <c r="G48" s="7">
        <v>9.6120930000000004E-3</v>
      </c>
      <c r="H48" s="47"/>
    </row>
    <row r="49" spans="1:8" ht="17.100000000000001" customHeight="1" x14ac:dyDescent="0.2">
      <c r="A49" s="3">
        <v>43</v>
      </c>
      <c r="B49" s="4" t="s">
        <v>487</v>
      </c>
      <c r="C49" s="4" t="s">
        <v>488</v>
      </c>
      <c r="D49" s="4" t="s">
        <v>28</v>
      </c>
      <c r="E49" s="5">
        <v>1289</v>
      </c>
      <c r="F49" s="6">
        <v>30.643397</v>
      </c>
      <c r="G49" s="7">
        <v>9.5831530000000005E-3</v>
      </c>
      <c r="H49" s="47"/>
    </row>
    <row r="50" spans="1:8" ht="17.100000000000001" customHeight="1" x14ac:dyDescent="0.2">
      <c r="A50" s="3">
        <v>44</v>
      </c>
      <c r="B50" s="4" t="s">
        <v>269</v>
      </c>
      <c r="C50" s="4" t="s">
        <v>270</v>
      </c>
      <c r="D50" s="4" t="s">
        <v>91</v>
      </c>
      <c r="E50" s="5">
        <v>60160</v>
      </c>
      <c r="F50" s="6">
        <v>29.568639999999998</v>
      </c>
      <c r="G50" s="7">
        <v>9.2470429999999999E-3</v>
      </c>
      <c r="H50" s="47"/>
    </row>
    <row r="51" spans="1:8" ht="17.100000000000001" customHeight="1" x14ac:dyDescent="0.2">
      <c r="A51" s="3">
        <v>45</v>
      </c>
      <c r="B51" s="4" t="s">
        <v>246</v>
      </c>
      <c r="C51" s="4" t="s">
        <v>247</v>
      </c>
      <c r="D51" s="4" t="s">
        <v>94</v>
      </c>
      <c r="E51" s="5">
        <v>5084</v>
      </c>
      <c r="F51" s="6">
        <v>25.529305999999998</v>
      </c>
      <c r="G51" s="7">
        <v>7.9838159999999995E-3</v>
      </c>
      <c r="H51" s="47"/>
    </row>
    <row r="52" spans="1:8" ht="17.100000000000001" customHeight="1" x14ac:dyDescent="0.2">
      <c r="A52" s="3">
        <v>46</v>
      </c>
      <c r="B52" s="4" t="s">
        <v>273</v>
      </c>
      <c r="C52" s="4" t="s">
        <v>274</v>
      </c>
      <c r="D52" s="4" t="s">
        <v>114</v>
      </c>
      <c r="E52" s="5">
        <v>12025</v>
      </c>
      <c r="F52" s="6">
        <v>23.238312499999999</v>
      </c>
      <c r="G52" s="7">
        <v>7.267351E-3</v>
      </c>
      <c r="H52" s="47"/>
    </row>
    <row r="53" spans="1:8" ht="17.100000000000001" customHeight="1" x14ac:dyDescent="0.2">
      <c r="A53" s="3">
        <v>47</v>
      </c>
      <c r="B53" s="4" t="s">
        <v>288</v>
      </c>
      <c r="C53" s="4" t="s">
        <v>289</v>
      </c>
      <c r="D53" s="4" t="s">
        <v>19</v>
      </c>
      <c r="E53" s="5">
        <v>11502</v>
      </c>
      <c r="F53" s="6">
        <v>22.210362</v>
      </c>
      <c r="G53" s="7">
        <v>6.9458779999999999E-3</v>
      </c>
      <c r="H53" s="47"/>
    </row>
    <row r="54" spans="1:8" ht="17.100000000000001" customHeight="1" x14ac:dyDescent="0.2">
      <c r="A54" s="3">
        <v>48</v>
      </c>
      <c r="B54" s="4" t="s">
        <v>234</v>
      </c>
      <c r="C54" s="4" t="s">
        <v>235</v>
      </c>
      <c r="D54" s="4" t="s">
        <v>114</v>
      </c>
      <c r="E54" s="5">
        <v>3248</v>
      </c>
      <c r="F54" s="6">
        <v>21.898015999999998</v>
      </c>
      <c r="G54" s="7">
        <v>6.8481979999999998E-3</v>
      </c>
      <c r="H54" s="47"/>
    </row>
    <row r="55" spans="1:8" ht="17.100000000000001" customHeight="1" x14ac:dyDescent="0.2">
      <c r="A55" s="3">
        <v>49</v>
      </c>
      <c r="B55" s="4" t="s">
        <v>106</v>
      </c>
      <c r="C55" s="4" t="s">
        <v>107</v>
      </c>
      <c r="D55" s="4" t="s">
        <v>88</v>
      </c>
      <c r="E55" s="5">
        <v>937</v>
      </c>
      <c r="F55" s="6">
        <v>21.0511105</v>
      </c>
      <c r="G55" s="7">
        <v>6.5833439999999997E-3</v>
      </c>
      <c r="H55" s="47"/>
    </row>
    <row r="56" spans="1:8" ht="29.1" customHeight="1" x14ac:dyDescent="0.2">
      <c r="A56" s="3">
        <v>50</v>
      </c>
      <c r="B56" s="4" t="s">
        <v>250</v>
      </c>
      <c r="C56" s="4" t="s">
        <v>251</v>
      </c>
      <c r="D56" s="4" t="s">
        <v>204</v>
      </c>
      <c r="E56" s="5">
        <v>482</v>
      </c>
      <c r="F56" s="6">
        <v>20.199897</v>
      </c>
      <c r="G56" s="7">
        <v>6.3171429999999999E-3</v>
      </c>
      <c r="H56" s="47"/>
    </row>
    <row r="57" spans="1:8" ht="17.100000000000001" customHeight="1" x14ac:dyDescent="0.2">
      <c r="A57" s="3">
        <v>51</v>
      </c>
      <c r="B57" s="4" t="s">
        <v>489</v>
      </c>
      <c r="C57" s="4" t="s">
        <v>490</v>
      </c>
      <c r="D57" s="4" t="s">
        <v>312</v>
      </c>
      <c r="E57" s="5">
        <v>3231</v>
      </c>
      <c r="F57" s="6">
        <v>19.130751</v>
      </c>
      <c r="G57" s="7">
        <v>5.9827869999999998E-3</v>
      </c>
      <c r="H57" s="47"/>
    </row>
    <row r="58" spans="1:8" ht="17.100000000000001" customHeight="1" x14ac:dyDescent="0.2">
      <c r="A58" s="3">
        <v>52</v>
      </c>
      <c r="B58" s="4" t="s">
        <v>110</v>
      </c>
      <c r="C58" s="4" t="s">
        <v>111</v>
      </c>
      <c r="D58" s="4" t="s">
        <v>13</v>
      </c>
      <c r="E58" s="5">
        <v>15969</v>
      </c>
      <c r="F58" s="6">
        <v>18.348381</v>
      </c>
      <c r="G58" s="7">
        <v>5.7381150000000002E-3</v>
      </c>
      <c r="H58" s="47"/>
    </row>
    <row r="59" spans="1:8" ht="17.100000000000001" customHeight="1" x14ac:dyDescent="0.2">
      <c r="A59" s="3">
        <v>53</v>
      </c>
      <c r="B59" s="4" t="s">
        <v>252</v>
      </c>
      <c r="C59" s="4" t="s">
        <v>253</v>
      </c>
      <c r="D59" s="4" t="s">
        <v>97</v>
      </c>
      <c r="E59" s="5">
        <v>21625</v>
      </c>
      <c r="F59" s="6">
        <v>14.110312499999999</v>
      </c>
      <c r="G59" s="7">
        <v>4.4127380000000003E-3</v>
      </c>
      <c r="H59" s="47"/>
    </row>
    <row r="60" spans="1:8" ht="29.1" customHeight="1" x14ac:dyDescent="0.2">
      <c r="A60" s="3">
        <v>54</v>
      </c>
      <c r="B60" s="4" t="s">
        <v>258</v>
      </c>
      <c r="C60" s="4" t="s">
        <v>259</v>
      </c>
      <c r="D60" s="4" t="s">
        <v>201</v>
      </c>
      <c r="E60" s="5">
        <v>1745</v>
      </c>
      <c r="F60" s="6">
        <v>9.2999775000000007</v>
      </c>
      <c r="G60" s="7">
        <v>2.9083949999999998E-3</v>
      </c>
      <c r="H60" s="47"/>
    </row>
    <row r="61" spans="1:8" ht="17.100000000000001" customHeight="1" x14ac:dyDescent="0.2">
      <c r="A61" s="3">
        <v>55</v>
      </c>
      <c r="B61" s="4" t="s">
        <v>493</v>
      </c>
      <c r="C61" s="4" t="s">
        <v>494</v>
      </c>
      <c r="D61" s="4" t="s">
        <v>28</v>
      </c>
      <c r="E61" s="5">
        <v>681</v>
      </c>
      <c r="F61" s="6">
        <v>7.0068089999999996</v>
      </c>
      <c r="G61" s="7">
        <v>2.1912490000000001E-3</v>
      </c>
      <c r="H61" s="47"/>
    </row>
    <row r="62" spans="1:8" ht="14.1" customHeight="1" x14ac:dyDescent="0.2">
      <c r="A62" s="1"/>
      <c r="B62" s="1"/>
      <c r="C62" s="2" t="s">
        <v>122</v>
      </c>
      <c r="D62" s="1"/>
      <c r="E62" s="1" t="s">
        <v>123</v>
      </c>
      <c r="F62" s="9">
        <v>2856.5049694999998</v>
      </c>
      <c r="G62" s="10">
        <v>0.89331886199999999</v>
      </c>
      <c r="H62" s="47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47"/>
    </row>
    <row r="64" spans="1:8" ht="14.1" customHeight="1" x14ac:dyDescent="0.2">
      <c r="A64" s="1"/>
      <c r="B64" s="1"/>
      <c r="C64" s="2" t="s">
        <v>124</v>
      </c>
      <c r="D64" s="1"/>
      <c r="E64" s="1"/>
      <c r="F64" s="1"/>
      <c r="G64" s="1"/>
      <c r="H64" s="47"/>
    </row>
    <row r="65" spans="1:8" ht="14.1" customHeight="1" x14ac:dyDescent="0.2">
      <c r="A65" s="1"/>
      <c r="B65" s="1"/>
      <c r="C65" s="2" t="s">
        <v>122</v>
      </c>
      <c r="D65" s="1"/>
      <c r="E65" s="1" t="s">
        <v>123</v>
      </c>
      <c r="F65" s="13">
        <v>0</v>
      </c>
      <c r="G65" s="14">
        <v>0</v>
      </c>
      <c r="H65" s="47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47"/>
    </row>
    <row r="67" spans="1:8" ht="14.1" customHeight="1" x14ac:dyDescent="0.2">
      <c r="A67" s="1"/>
      <c r="B67" s="1"/>
      <c r="C67" s="2" t="s">
        <v>125</v>
      </c>
      <c r="D67" s="1"/>
      <c r="E67" s="1"/>
      <c r="F67" s="1"/>
      <c r="G67" s="1"/>
      <c r="H67" s="47"/>
    </row>
    <row r="68" spans="1:8" ht="14.1" customHeight="1" x14ac:dyDescent="0.2">
      <c r="A68" s="1"/>
      <c r="B68" s="1"/>
      <c r="C68" s="2" t="s">
        <v>122</v>
      </c>
      <c r="D68" s="1"/>
      <c r="E68" s="1" t="s">
        <v>123</v>
      </c>
      <c r="F68" s="13">
        <v>0</v>
      </c>
      <c r="G68" s="14">
        <v>0</v>
      </c>
      <c r="H68" s="47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47"/>
    </row>
    <row r="70" spans="1:8" ht="14.1" customHeight="1" x14ac:dyDescent="0.2">
      <c r="A70" s="1"/>
      <c r="B70" s="1"/>
      <c r="C70" s="2" t="s">
        <v>126</v>
      </c>
      <c r="D70" s="1"/>
      <c r="E70" s="1"/>
      <c r="F70" s="1"/>
      <c r="G70" s="1"/>
      <c r="H70" s="47"/>
    </row>
    <row r="71" spans="1:8" ht="14.1" customHeight="1" x14ac:dyDescent="0.2">
      <c r="A71" s="1"/>
      <c r="B71" s="1"/>
      <c r="C71" s="2" t="s">
        <v>122</v>
      </c>
      <c r="D71" s="1"/>
      <c r="E71" s="1" t="s">
        <v>123</v>
      </c>
      <c r="F71" s="13">
        <v>0</v>
      </c>
      <c r="G71" s="14">
        <v>0</v>
      </c>
      <c r="H71" s="47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47"/>
    </row>
    <row r="73" spans="1:8" ht="14.1" customHeight="1" x14ac:dyDescent="0.2">
      <c r="A73" s="1"/>
      <c r="B73" s="1"/>
      <c r="C73" s="2" t="s">
        <v>127</v>
      </c>
      <c r="D73" s="1"/>
      <c r="E73" s="1"/>
      <c r="F73" s="12"/>
      <c r="G73" s="12"/>
      <c r="H73" s="47"/>
    </row>
    <row r="74" spans="1:8" ht="14.1" customHeight="1" x14ac:dyDescent="0.2">
      <c r="A74" s="1"/>
      <c r="B74" s="1"/>
      <c r="C74" s="2" t="s">
        <v>122</v>
      </c>
      <c r="D74" s="1"/>
      <c r="E74" s="1" t="s">
        <v>123</v>
      </c>
      <c r="F74" s="13">
        <v>0</v>
      </c>
      <c r="G74" s="14">
        <v>0</v>
      </c>
      <c r="H74" s="47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47"/>
    </row>
    <row r="76" spans="1:8" ht="14.1" customHeight="1" x14ac:dyDescent="0.2">
      <c r="A76" s="1"/>
      <c r="B76" s="1"/>
      <c r="C76" s="2" t="s">
        <v>128</v>
      </c>
      <c r="D76" s="1"/>
      <c r="E76" s="1"/>
      <c r="F76" s="12"/>
      <c r="G76" s="12"/>
      <c r="H76" s="47"/>
    </row>
    <row r="77" spans="1:8" ht="14.1" customHeight="1" x14ac:dyDescent="0.2">
      <c r="A77" s="1"/>
      <c r="B77" s="1"/>
      <c r="C77" s="2" t="s">
        <v>122</v>
      </c>
      <c r="D77" s="1"/>
      <c r="E77" s="1" t="s">
        <v>123</v>
      </c>
      <c r="F77" s="13">
        <v>0</v>
      </c>
      <c r="G77" s="14">
        <v>0</v>
      </c>
      <c r="H77" s="47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47"/>
    </row>
    <row r="79" spans="1:8" ht="18" customHeight="1" x14ac:dyDescent="0.2">
      <c r="A79" s="1"/>
      <c r="B79" s="1"/>
      <c r="C79" s="2" t="s">
        <v>129</v>
      </c>
      <c r="D79" s="1"/>
      <c r="E79" s="1"/>
      <c r="F79" s="9">
        <v>2856.5049694999998</v>
      </c>
      <c r="G79" s="10">
        <v>0.89331886199999999</v>
      </c>
      <c r="H79" s="47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47"/>
    </row>
    <row r="81" spans="1:8" ht="14.1" customHeight="1" x14ac:dyDescent="0.2">
      <c r="A81" s="1"/>
      <c r="B81" s="1"/>
      <c r="C81" s="2" t="s">
        <v>130</v>
      </c>
      <c r="D81" s="1"/>
      <c r="E81" s="1"/>
      <c r="F81" s="12"/>
      <c r="G81" s="12"/>
      <c r="H81" s="47"/>
    </row>
    <row r="82" spans="1:8" ht="24" customHeight="1" x14ac:dyDescent="0.2">
      <c r="A82" s="1"/>
      <c r="B82" s="1"/>
      <c r="C82" s="2" t="s">
        <v>10</v>
      </c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122</v>
      </c>
      <c r="D83" s="1"/>
      <c r="E83" s="1" t="s">
        <v>123</v>
      </c>
      <c r="F83" s="13">
        <v>0</v>
      </c>
      <c r="G83" s="14">
        <v>0</v>
      </c>
      <c r="H83" s="47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131</v>
      </c>
      <c r="D85" s="1"/>
      <c r="E85" s="1"/>
      <c r="F85" s="1"/>
      <c r="G85" s="1"/>
      <c r="H85" s="47"/>
    </row>
    <row r="86" spans="1:8" ht="14.1" customHeight="1" x14ac:dyDescent="0.2">
      <c r="A86" s="1"/>
      <c r="B86" s="1"/>
      <c r="C86" s="2" t="s">
        <v>122</v>
      </c>
      <c r="D86" s="1"/>
      <c r="E86" s="1" t="s">
        <v>123</v>
      </c>
      <c r="F86" s="13">
        <v>0</v>
      </c>
      <c r="G86" s="14">
        <v>0</v>
      </c>
      <c r="H86" s="47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47"/>
    </row>
    <row r="88" spans="1:8" ht="14.1" customHeight="1" x14ac:dyDescent="0.2">
      <c r="A88" s="1"/>
      <c r="B88" s="1"/>
      <c r="C88" s="2" t="s">
        <v>132</v>
      </c>
      <c r="D88" s="1"/>
      <c r="E88" s="1"/>
      <c r="F88" s="1"/>
      <c r="G88" s="1"/>
      <c r="H88" s="47"/>
    </row>
    <row r="89" spans="1:8" ht="14.1" customHeight="1" x14ac:dyDescent="0.2">
      <c r="A89" s="1"/>
      <c r="B89" s="1"/>
      <c r="C89" s="2" t="s">
        <v>122</v>
      </c>
      <c r="D89" s="1"/>
      <c r="E89" s="1" t="s">
        <v>123</v>
      </c>
      <c r="F89" s="13">
        <v>0</v>
      </c>
      <c r="G89" s="14">
        <v>0</v>
      </c>
      <c r="H89" s="47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47"/>
    </row>
    <row r="91" spans="1:8" ht="14.1" customHeight="1" x14ac:dyDescent="0.2">
      <c r="A91" s="1"/>
      <c r="B91" s="1"/>
      <c r="C91" s="2" t="s">
        <v>133</v>
      </c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122</v>
      </c>
      <c r="D92" s="1"/>
      <c r="E92" s="1" t="s">
        <v>123</v>
      </c>
      <c r="F92" s="13">
        <v>0</v>
      </c>
      <c r="G92" s="14">
        <v>0</v>
      </c>
      <c r="H92" s="47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47"/>
    </row>
    <row r="94" spans="1:8" ht="14.1" customHeight="1" x14ac:dyDescent="0.2">
      <c r="A94" s="1"/>
      <c r="B94" s="1"/>
      <c r="C94" s="2" t="s">
        <v>134</v>
      </c>
      <c r="D94" s="1"/>
      <c r="E94" s="1"/>
      <c r="F94" s="9">
        <v>0</v>
      </c>
      <c r="G94" s="10">
        <v>0</v>
      </c>
      <c r="H94" s="47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135</v>
      </c>
      <c r="D96" s="1"/>
      <c r="E96" s="1"/>
      <c r="F96" s="12"/>
      <c r="G96" s="12"/>
      <c r="H96" s="47"/>
    </row>
    <row r="97" spans="1:8" ht="14.1" customHeight="1" x14ac:dyDescent="0.2">
      <c r="A97" s="1"/>
      <c r="B97" s="1"/>
      <c r="C97" s="2" t="s">
        <v>136</v>
      </c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122</v>
      </c>
      <c r="D98" s="1"/>
      <c r="E98" s="1" t="s">
        <v>123</v>
      </c>
      <c r="F98" s="13">
        <v>0</v>
      </c>
      <c r="G98" s="14">
        <v>0</v>
      </c>
      <c r="H98" s="47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47"/>
    </row>
    <row r="100" spans="1:8" ht="14.1" customHeight="1" x14ac:dyDescent="0.2">
      <c r="A100" s="1"/>
      <c r="B100" s="1"/>
      <c r="C100" s="2" t="s">
        <v>137</v>
      </c>
      <c r="D100" s="1"/>
      <c r="E100" s="1"/>
      <c r="F100" s="12"/>
      <c r="G100" s="12"/>
      <c r="H100" s="47"/>
    </row>
    <row r="101" spans="1:8" ht="14.1" customHeight="1" x14ac:dyDescent="0.2">
      <c r="A101" s="1"/>
      <c r="B101" s="1"/>
      <c r="C101" s="2" t="s">
        <v>122</v>
      </c>
      <c r="D101" s="1"/>
      <c r="E101" s="1" t="s">
        <v>123</v>
      </c>
      <c r="F101" s="13">
        <v>0</v>
      </c>
      <c r="G101" s="14">
        <v>0</v>
      </c>
      <c r="H101" s="47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47"/>
    </row>
    <row r="103" spans="1:8" ht="14.1" customHeight="1" x14ac:dyDescent="0.2">
      <c r="A103" s="1"/>
      <c r="B103" s="1"/>
      <c r="C103" s="2" t="s">
        <v>138</v>
      </c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2" t="s">
        <v>122</v>
      </c>
      <c r="D104" s="1"/>
      <c r="E104" s="1" t="s">
        <v>123</v>
      </c>
      <c r="F104" s="13">
        <v>0</v>
      </c>
      <c r="G104" s="14">
        <v>0</v>
      </c>
      <c r="H104" s="47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47"/>
    </row>
    <row r="106" spans="1:8" ht="14.1" customHeight="1" x14ac:dyDescent="0.2">
      <c r="A106" s="1"/>
      <c r="B106" s="1"/>
      <c r="C106" s="2" t="s">
        <v>139</v>
      </c>
      <c r="D106" s="1"/>
      <c r="E106" s="1"/>
      <c r="F106" s="12"/>
      <c r="G106" s="12"/>
      <c r="H106" s="47"/>
    </row>
    <row r="107" spans="1:8" ht="17.100000000000001" customHeight="1" x14ac:dyDescent="0.2">
      <c r="A107" s="3">
        <v>1</v>
      </c>
      <c r="B107" s="4"/>
      <c r="C107" s="4" t="s">
        <v>140</v>
      </c>
      <c r="D107" s="4"/>
      <c r="E107" s="8"/>
      <c r="F107" s="6">
        <v>273.66416279999999</v>
      </c>
      <c r="G107" s="7">
        <v>8.5583382999999999E-2</v>
      </c>
      <c r="H107" s="47">
        <v>4.6730752161314033</v>
      </c>
    </row>
    <row r="108" spans="1:8" ht="14.1" customHeight="1" x14ac:dyDescent="0.2">
      <c r="A108" s="1"/>
      <c r="B108" s="1"/>
      <c r="C108" s="2" t="s">
        <v>122</v>
      </c>
      <c r="D108" s="1"/>
      <c r="E108" s="1" t="s">
        <v>123</v>
      </c>
      <c r="F108" s="9">
        <v>273.66416279999999</v>
      </c>
      <c r="G108" s="10">
        <v>8.5583382999999999E-2</v>
      </c>
      <c r="H108" s="47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2" t="s">
        <v>141</v>
      </c>
      <c r="D110" s="1"/>
      <c r="E110" s="1"/>
      <c r="F110" s="9">
        <v>273.66416279999999</v>
      </c>
      <c r="G110" s="10">
        <v>8.5583382999999999E-2</v>
      </c>
      <c r="H110" s="47"/>
    </row>
    <row r="111" spans="1:8" ht="14.1" customHeight="1" x14ac:dyDescent="0.2">
      <c r="A111" s="1"/>
      <c r="B111" s="1"/>
      <c r="C111" s="12"/>
      <c r="D111" s="1"/>
      <c r="E111" s="1"/>
      <c r="F111" s="1"/>
      <c r="G111" s="1"/>
      <c r="H111" s="47"/>
    </row>
    <row r="112" spans="1:8" ht="14.1" customHeight="1" x14ac:dyDescent="0.2">
      <c r="A112" s="1"/>
      <c r="B112" s="1"/>
      <c r="C112" s="2" t="s">
        <v>142</v>
      </c>
      <c r="D112" s="1"/>
      <c r="E112" s="1"/>
      <c r="F112" s="1"/>
      <c r="G112" s="1"/>
      <c r="H112" s="47"/>
    </row>
    <row r="113" spans="1:8" ht="14.1" customHeight="1" x14ac:dyDescent="0.2">
      <c r="A113" s="1"/>
      <c r="B113" s="1"/>
      <c r="C113" s="2" t="s">
        <v>143</v>
      </c>
      <c r="D113" s="1"/>
      <c r="E113" s="1"/>
      <c r="F113" s="1"/>
      <c r="G113" s="1"/>
      <c r="H113" s="47"/>
    </row>
    <row r="114" spans="1:8" ht="14.1" customHeight="1" x14ac:dyDescent="0.2">
      <c r="A114" s="1"/>
      <c r="B114" s="1"/>
      <c r="C114" s="2" t="s">
        <v>122</v>
      </c>
      <c r="D114" s="1"/>
      <c r="E114" s="1" t="s">
        <v>123</v>
      </c>
      <c r="F114" s="13">
        <v>0</v>
      </c>
      <c r="G114" s="14">
        <v>0</v>
      </c>
      <c r="H114" s="47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47"/>
    </row>
    <row r="116" spans="1:8" ht="14.1" customHeight="1" x14ac:dyDescent="0.2">
      <c r="A116" s="1"/>
      <c r="B116" s="1"/>
      <c r="C116" s="2" t="s">
        <v>144</v>
      </c>
      <c r="D116" s="1"/>
      <c r="E116" s="1"/>
      <c r="F116" s="1"/>
      <c r="G116" s="1"/>
      <c r="H116" s="47"/>
    </row>
    <row r="117" spans="1:8" ht="14.1" customHeight="1" x14ac:dyDescent="0.2">
      <c r="A117" s="1"/>
      <c r="B117" s="1"/>
      <c r="C117" s="2" t="s">
        <v>145</v>
      </c>
      <c r="D117" s="1"/>
      <c r="E117" s="1"/>
      <c r="F117" s="1"/>
      <c r="G117" s="1"/>
      <c r="H117" s="47"/>
    </row>
    <row r="118" spans="1:8" ht="14.1" customHeight="1" x14ac:dyDescent="0.2">
      <c r="A118" s="1"/>
      <c r="B118" s="1"/>
      <c r="C118" s="2" t="s">
        <v>122</v>
      </c>
      <c r="D118" s="1"/>
      <c r="E118" s="1" t="s">
        <v>123</v>
      </c>
      <c r="F118" s="13">
        <v>0</v>
      </c>
      <c r="G118" s="14">
        <v>0</v>
      </c>
      <c r="H118" s="47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47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47"/>
    </row>
    <row r="121" spans="1:8" ht="24" customHeight="1" x14ac:dyDescent="0.2">
      <c r="A121" s="1"/>
      <c r="B121" s="1"/>
      <c r="C121" s="2" t="s">
        <v>146</v>
      </c>
      <c r="D121" s="1"/>
      <c r="E121" s="1"/>
      <c r="F121" s="12"/>
      <c r="G121" s="12"/>
      <c r="H121" s="47"/>
    </row>
    <row r="122" spans="1:8" ht="14.1" customHeight="1" x14ac:dyDescent="0.2">
      <c r="A122" s="1"/>
      <c r="B122" s="1"/>
      <c r="C122" s="2" t="s">
        <v>122</v>
      </c>
      <c r="D122" s="1"/>
      <c r="E122" s="1" t="s">
        <v>123</v>
      </c>
      <c r="F122" s="13">
        <v>0</v>
      </c>
      <c r="G122" s="14">
        <v>0</v>
      </c>
      <c r="H122" s="47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47"/>
    </row>
    <row r="124" spans="1:8" ht="14.1" customHeight="1" x14ac:dyDescent="0.2">
      <c r="A124" s="1"/>
      <c r="B124" s="4"/>
      <c r="C124" s="4"/>
      <c r="D124" s="2"/>
      <c r="E124" s="1"/>
      <c r="F124" s="4"/>
      <c r="G124" s="8"/>
      <c r="H124" s="47"/>
    </row>
    <row r="125" spans="1:8" ht="18" customHeight="1" x14ac:dyDescent="0.2">
      <c r="A125" s="8"/>
      <c r="B125" s="4"/>
      <c r="C125" s="4" t="s">
        <v>147</v>
      </c>
      <c r="D125" s="4"/>
      <c r="E125" s="8"/>
      <c r="F125" s="6">
        <v>67.462848370000003</v>
      </c>
      <c r="G125" s="7">
        <v>2.1097753E-2</v>
      </c>
      <c r="H125" s="47"/>
    </row>
    <row r="126" spans="1:8" ht="14.1" customHeight="1" x14ac:dyDescent="0.2">
      <c r="A126" s="11"/>
      <c r="B126" s="11"/>
      <c r="C126" s="2" t="s">
        <v>148</v>
      </c>
      <c r="D126" s="15"/>
      <c r="E126" s="15"/>
      <c r="F126" s="9">
        <v>3197.6319806699998</v>
      </c>
      <c r="G126" s="10">
        <v>0.99999999799999995</v>
      </c>
      <c r="H126" s="47"/>
    </row>
    <row r="127" spans="1:8" ht="14.1" customHeight="1" x14ac:dyDescent="0.2">
      <c r="A127" s="16"/>
      <c r="B127" s="16"/>
      <c r="C127" s="16"/>
      <c r="D127" s="17"/>
      <c r="E127" s="17"/>
      <c r="F127" s="17"/>
      <c r="G127" s="17"/>
    </row>
    <row r="128" spans="1:8" ht="14.1" customHeight="1" x14ac:dyDescent="0.2">
      <c r="A128" s="18"/>
      <c r="B128" s="257" t="s">
        <v>150</v>
      </c>
      <c r="C128" s="258"/>
      <c r="D128" s="12" t="s">
        <v>123</v>
      </c>
      <c r="E128" s="21"/>
      <c r="F128" s="20"/>
      <c r="G128" s="20"/>
    </row>
    <row r="129" spans="1:7" ht="29.1" customHeight="1" x14ac:dyDescent="0.2">
      <c r="A129" s="18"/>
      <c r="B129" s="259" t="s">
        <v>151</v>
      </c>
      <c r="C129" s="260"/>
      <c r="D129" s="2" t="s">
        <v>152</v>
      </c>
      <c r="E129" s="21"/>
      <c r="F129" s="20"/>
      <c r="G129" s="20"/>
    </row>
    <row r="130" spans="1:7" ht="17.100000000000001" customHeight="1" x14ac:dyDescent="0.2">
      <c r="A130" s="18"/>
      <c r="B130" s="259" t="s">
        <v>153</v>
      </c>
      <c r="C130" s="260"/>
      <c r="D130" s="2" t="s">
        <v>152</v>
      </c>
      <c r="E130" s="21"/>
      <c r="F130" s="20"/>
      <c r="G130" s="20"/>
    </row>
    <row r="131" spans="1:7" ht="17.100000000000001" customHeight="1" x14ac:dyDescent="0.2">
      <c r="A131" s="18"/>
      <c r="B131" s="259" t="s">
        <v>154</v>
      </c>
      <c r="C131" s="260"/>
      <c r="D131" s="12" t="s">
        <v>123</v>
      </c>
      <c r="E131" s="21"/>
      <c r="F131" s="20"/>
      <c r="G131" s="20"/>
    </row>
    <row r="132" spans="1:7" ht="24" customHeight="1" x14ac:dyDescent="0.2">
      <c r="A132" s="22"/>
      <c r="B132" s="23" t="s">
        <v>123</v>
      </c>
      <c r="C132" s="23" t="s">
        <v>155</v>
      </c>
      <c r="D132" s="23" t="s">
        <v>156</v>
      </c>
      <c r="E132" s="22"/>
      <c r="F132" s="22"/>
      <c r="G132" s="22"/>
    </row>
    <row r="133" spans="1:7" ht="18" customHeight="1" x14ac:dyDescent="0.2">
      <c r="A133" s="22"/>
      <c r="B133" s="23" t="s">
        <v>157</v>
      </c>
      <c r="C133" s="23" t="s">
        <v>158</v>
      </c>
      <c r="D133" s="23" t="s">
        <v>159</v>
      </c>
      <c r="E133" s="22"/>
      <c r="F133" s="22"/>
      <c r="G133" s="22"/>
    </row>
    <row r="134" spans="1:7" ht="17.100000000000001" customHeight="1" x14ac:dyDescent="0.2">
      <c r="A134" s="22"/>
      <c r="B134" s="4" t="s">
        <v>160</v>
      </c>
      <c r="C134" s="24">
        <v>15.4465</v>
      </c>
      <c r="D134" s="24">
        <v>14.8287</v>
      </c>
      <c r="E134" s="22"/>
      <c r="F134" s="19"/>
      <c r="G134" s="25"/>
    </row>
    <row r="135" spans="1:7" ht="17.100000000000001" customHeight="1" x14ac:dyDescent="0.2">
      <c r="A135" s="22"/>
      <c r="B135" s="4" t="s">
        <v>1101</v>
      </c>
      <c r="C135" s="24">
        <v>15.4465</v>
      </c>
      <c r="D135" s="24">
        <v>14.8287</v>
      </c>
      <c r="E135" s="22"/>
      <c r="F135" s="19"/>
      <c r="G135" s="25"/>
    </row>
    <row r="136" spans="1:7" ht="17.100000000000001" customHeight="1" x14ac:dyDescent="0.2">
      <c r="A136" s="22"/>
      <c r="B136" s="4" t="s">
        <v>161</v>
      </c>
      <c r="C136" s="24">
        <v>15.1593</v>
      </c>
      <c r="D136" s="24">
        <v>14.5518</v>
      </c>
      <c r="E136" s="22"/>
      <c r="F136" s="19"/>
      <c r="G136" s="25"/>
    </row>
    <row r="137" spans="1:7" ht="17.100000000000001" customHeight="1" x14ac:dyDescent="0.2">
      <c r="A137" s="22"/>
      <c r="B137" s="4" t="s">
        <v>1102</v>
      </c>
      <c r="C137" s="24">
        <v>15.1592</v>
      </c>
      <c r="D137" s="24">
        <v>14.551600000000001</v>
      </c>
      <c r="E137" s="22"/>
      <c r="F137" s="19"/>
      <c r="G137" s="25"/>
    </row>
    <row r="138" spans="1:7" ht="14.1" customHeight="1" x14ac:dyDescent="0.2">
      <c r="A138" s="22"/>
      <c r="B138" s="22"/>
      <c r="C138" s="22"/>
      <c r="D138" s="22"/>
      <c r="E138" s="22"/>
      <c r="F138" s="22"/>
      <c r="G138" s="22"/>
    </row>
    <row r="139" spans="1:7" ht="17.100000000000001" customHeight="1" x14ac:dyDescent="0.2">
      <c r="A139" s="22"/>
      <c r="B139" s="259" t="s">
        <v>1103</v>
      </c>
      <c r="C139" s="260"/>
      <c r="D139" s="2" t="s">
        <v>152</v>
      </c>
      <c r="E139" s="22"/>
      <c r="F139" s="22"/>
      <c r="G139" s="22"/>
    </row>
    <row r="140" spans="1:7" ht="18" customHeight="1" x14ac:dyDescent="0.2">
      <c r="A140" s="22"/>
      <c r="B140" s="26"/>
      <c r="C140" s="26"/>
      <c r="D140" s="27"/>
      <c r="E140" s="22"/>
      <c r="F140" s="22"/>
      <c r="G140" s="22"/>
    </row>
    <row r="141" spans="1:7" ht="29.1" customHeight="1" x14ac:dyDescent="0.2">
      <c r="A141" s="22"/>
      <c r="B141" s="259" t="s">
        <v>162</v>
      </c>
      <c r="C141" s="260"/>
      <c r="D141" s="2" t="s">
        <v>152</v>
      </c>
      <c r="E141" s="22"/>
      <c r="F141" s="22"/>
      <c r="G141" s="22"/>
    </row>
    <row r="142" spans="1:7" ht="29.1" customHeight="1" x14ac:dyDescent="0.2">
      <c r="A142" s="22"/>
      <c r="B142" s="259" t="s">
        <v>163</v>
      </c>
      <c r="C142" s="260"/>
      <c r="D142" s="2" t="s">
        <v>152</v>
      </c>
      <c r="E142" s="22"/>
      <c r="F142" s="22"/>
      <c r="G142" s="22"/>
    </row>
    <row r="143" spans="1:7" ht="17.100000000000001" customHeight="1" x14ac:dyDescent="0.2">
      <c r="A143" s="22"/>
      <c r="B143" s="259" t="s">
        <v>164</v>
      </c>
      <c r="C143" s="260"/>
      <c r="D143" s="28">
        <v>0.19839647366534746</v>
      </c>
      <c r="E143" s="22"/>
      <c r="F143" s="19"/>
      <c r="G143" s="25"/>
    </row>
    <row r="144" spans="1:7" ht="17.100000000000001" customHeight="1" x14ac:dyDescent="0.2">
      <c r="A144" s="22"/>
      <c r="B144" s="259" t="s">
        <v>165</v>
      </c>
      <c r="C144" s="260"/>
      <c r="D144" s="2" t="s">
        <v>152</v>
      </c>
      <c r="E144" s="22"/>
      <c r="F144" s="22"/>
      <c r="G144" s="22"/>
    </row>
    <row r="155" spans="10:15" x14ac:dyDescent="0.2">
      <c r="J155" s="148"/>
      <c r="K155" s="148"/>
      <c r="L155" s="148"/>
      <c r="M155" s="148"/>
      <c r="N155" s="148"/>
      <c r="O155" s="148"/>
    </row>
  </sheetData>
  <mergeCells count="13">
    <mergeCell ref="J2:N2"/>
    <mergeCell ref="A1:H1"/>
    <mergeCell ref="A2:H2"/>
    <mergeCell ref="A3:H3"/>
    <mergeCell ref="B128:C128"/>
    <mergeCell ref="B143:C143"/>
    <mergeCell ref="B144:C144"/>
    <mergeCell ref="B129:C129"/>
    <mergeCell ref="B130:C130"/>
    <mergeCell ref="B131:C131"/>
    <mergeCell ref="B139:C139"/>
    <mergeCell ref="B141:C141"/>
    <mergeCell ref="B142:C14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O15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519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29.1" customHeight="1" x14ac:dyDescent="0.2">
      <c r="A7" s="3">
        <v>1</v>
      </c>
      <c r="B7" s="4" t="s">
        <v>199</v>
      </c>
      <c r="C7" s="4" t="s">
        <v>200</v>
      </c>
      <c r="D7" s="4" t="s">
        <v>201</v>
      </c>
      <c r="E7" s="5">
        <v>2837</v>
      </c>
      <c r="F7" s="6">
        <v>103.59589200000001</v>
      </c>
      <c r="G7" s="7">
        <v>3.3221055999999999E-2</v>
      </c>
      <c r="H7" s="47"/>
    </row>
    <row r="8" spans="1:14" ht="17.100000000000001" customHeight="1" x14ac:dyDescent="0.2">
      <c r="A8" s="3">
        <v>2</v>
      </c>
      <c r="B8" s="4" t="s">
        <v>261</v>
      </c>
      <c r="C8" s="4" t="s">
        <v>262</v>
      </c>
      <c r="D8" s="4" t="s">
        <v>80</v>
      </c>
      <c r="E8" s="5">
        <v>52738</v>
      </c>
      <c r="F8" s="6">
        <v>101.072377</v>
      </c>
      <c r="G8" s="7">
        <v>3.2411817000000002E-2</v>
      </c>
      <c r="H8" s="47"/>
    </row>
    <row r="9" spans="1:14" ht="17.100000000000001" customHeight="1" x14ac:dyDescent="0.2">
      <c r="A9" s="3">
        <v>3</v>
      </c>
      <c r="B9" s="4" t="s">
        <v>185</v>
      </c>
      <c r="C9" s="4" t="s">
        <v>186</v>
      </c>
      <c r="D9" s="4" t="s">
        <v>88</v>
      </c>
      <c r="E9" s="5">
        <v>18995</v>
      </c>
      <c r="F9" s="6">
        <v>99.856714999999994</v>
      </c>
      <c r="G9" s="7">
        <v>3.2021978999999999E-2</v>
      </c>
      <c r="H9" s="47"/>
    </row>
    <row r="10" spans="1:14" ht="17.100000000000001" customHeight="1" x14ac:dyDescent="0.2">
      <c r="A10" s="3">
        <v>4</v>
      </c>
      <c r="B10" s="4" t="s">
        <v>241</v>
      </c>
      <c r="C10" s="4" t="s">
        <v>242</v>
      </c>
      <c r="D10" s="4" t="s">
        <v>243</v>
      </c>
      <c r="E10" s="5">
        <v>19524</v>
      </c>
      <c r="F10" s="6">
        <v>99.269778000000002</v>
      </c>
      <c r="G10" s="7">
        <v>3.1833760000000003E-2</v>
      </c>
      <c r="H10" s="47"/>
    </row>
    <row r="11" spans="1:14" ht="17.100000000000001" customHeight="1" x14ac:dyDescent="0.2">
      <c r="A11" s="3">
        <v>5</v>
      </c>
      <c r="B11" s="4" t="s">
        <v>254</v>
      </c>
      <c r="C11" s="4" t="s">
        <v>255</v>
      </c>
      <c r="D11" s="4" t="s">
        <v>28</v>
      </c>
      <c r="E11" s="5">
        <v>8268</v>
      </c>
      <c r="F11" s="6">
        <v>95.292833999999999</v>
      </c>
      <c r="G11" s="7">
        <v>3.0558437000000001E-2</v>
      </c>
      <c r="H11" s="47"/>
    </row>
    <row r="12" spans="1:14" ht="17.100000000000001" customHeight="1" x14ac:dyDescent="0.2">
      <c r="A12" s="3">
        <v>6</v>
      </c>
      <c r="B12" s="4" t="s">
        <v>192</v>
      </c>
      <c r="C12" s="4" t="s">
        <v>193</v>
      </c>
      <c r="D12" s="4" t="s">
        <v>184</v>
      </c>
      <c r="E12" s="5">
        <v>7370</v>
      </c>
      <c r="F12" s="6">
        <v>88.896940000000001</v>
      </c>
      <c r="G12" s="7">
        <v>2.8507405999999999E-2</v>
      </c>
      <c r="H12" s="47"/>
    </row>
    <row r="13" spans="1:14" ht="17.100000000000001" customHeight="1" x14ac:dyDescent="0.2">
      <c r="A13" s="3">
        <v>7</v>
      </c>
      <c r="B13" s="4" t="s">
        <v>34</v>
      </c>
      <c r="C13" s="4" t="s">
        <v>35</v>
      </c>
      <c r="D13" s="4" t="s">
        <v>28</v>
      </c>
      <c r="E13" s="5">
        <v>5782</v>
      </c>
      <c r="F13" s="6">
        <v>85.790424999999999</v>
      </c>
      <c r="G13" s="7">
        <v>2.7511211000000001E-2</v>
      </c>
      <c r="H13" s="47"/>
      <c r="J13" s="147" t="s">
        <v>1121</v>
      </c>
    </row>
    <row r="14" spans="1:14" ht="17.100000000000001" customHeight="1" x14ac:dyDescent="0.2">
      <c r="A14" s="3">
        <v>8</v>
      </c>
      <c r="B14" s="4" t="s">
        <v>207</v>
      </c>
      <c r="C14" s="4" t="s">
        <v>208</v>
      </c>
      <c r="D14" s="4" t="s">
        <v>209</v>
      </c>
      <c r="E14" s="5">
        <v>30513</v>
      </c>
      <c r="F14" s="6">
        <v>84.841396500000002</v>
      </c>
      <c r="G14" s="7">
        <v>2.7206878E-2</v>
      </c>
      <c r="H14" s="47"/>
    </row>
    <row r="15" spans="1:14" ht="17.100000000000001" customHeight="1" x14ac:dyDescent="0.2">
      <c r="A15" s="3">
        <v>9</v>
      </c>
      <c r="B15" s="4" t="s">
        <v>86</v>
      </c>
      <c r="C15" s="4" t="s">
        <v>87</v>
      </c>
      <c r="D15" s="4" t="s">
        <v>88</v>
      </c>
      <c r="E15" s="5">
        <v>19239</v>
      </c>
      <c r="F15" s="6">
        <v>83.439543</v>
      </c>
      <c r="G15" s="7">
        <v>2.6757332000000002E-2</v>
      </c>
      <c r="H15" s="47"/>
    </row>
    <row r="16" spans="1:14" ht="17.100000000000001" customHeight="1" x14ac:dyDescent="0.2">
      <c r="A16" s="3">
        <v>10</v>
      </c>
      <c r="B16" s="4" t="s">
        <v>177</v>
      </c>
      <c r="C16" s="4" t="s">
        <v>178</v>
      </c>
      <c r="D16" s="4" t="s">
        <v>91</v>
      </c>
      <c r="E16" s="5">
        <v>96084</v>
      </c>
      <c r="F16" s="6">
        <v>78.788880000000006</v>
      </c>
      <c r="G16" s="7">
        <v>2.5265961E-2</v>
      </c>
      <c r="H16" s="47"/>
    </row>
    <row r="17" spans="1:8" ht="17.100000000000001" customHeight="1" x14ac:dyDescent="0.2">
      <c r="A17" s="3">
        <v>11</v>
      </c>
      <c r="B17" s="4" t="s">
        <v>26</v>
      </c>
      <c r="C17" s="4" t="s">
        <v>27</v>
      </c>
      <c r="D17" s="4" t="s">
        <v>28</v>
      </c>
      <c r="E17" s="5">
        <v>4628</v>
      </c>
      <c r="F17" s="6">
        <v>77.891553999999999</v>
      </c>
      <c r="G17" s="7">
        <v>2.4978206999999999E-2</v>
      </c>
      <c r="H17" s="47"/>
    </row>
    <row r="18" spans="1:8" ht="17.100000000000001" customHeight="1" x14ac:dyDescent="0.2">
      <c r="A18" s="3">
        <v>12</v>
      </c>
      <c r="B18" s="4" t="s">
        <v>95</v>
      </c>
      <c r="C18" s="4" t="s">
        <v>96</v>
      </c>
      <c r="D18" s="4" t="s">
        <v>97</v>
      </c>
      <c r="E18" s="5">
        <v>16682</v>
      </c>
      <c r="F18" s="6">
        <v>74.134808000000007</v>
      </c>
      <c r="G18" s="7">
        <v>2.3773497000000001E-2</v>
      </c>
      <c r="H18" s="47"/>
    </row>
    <row r="19" spans="1:8" ht="17.100000000000001" customHeight="1" x14ac:dyDescent="0.2">
      <c r="A19" s="3">
        <v>13</v>
      </c>
      <c r="B19" s="4" t="s">
        <v>189</v>
      </c>
      <c r="C19" s="4" t="s">
        <v>190</v>
      </c>
      <c r="D19" s="4" t="s">
        <v>191</v>
      </c>
      <c r="E19" s="5">
        <v>14311</v>
      </c>
      <c r="F19" s="6">
        <v>74.080891500000007</v>
      </c>
      <c r="G19" s="7">
        <v>2.3756207000000001E-2</v>
      </c>
      <c r="H19" s="47"/>
    </row>
    <row r="20" spans="1:8" ht="29.1" customHeight="1" x14ac:dyDescent="0.2">
      <c r="A20" s="3">
        <v>14</v>
      </c>
      <c r="B20" s="4" t="s">
        <v>469</v>
      </c>
      <c r="C20" s="4" t="s">
        <v>470</v>
      </c>
      <c r="D20" s="4" t="s">
        <v>40</v>
      </c>
      <c r="E20" s="5">
        <v>3793</v>
      </c>
      <c r="F20" s="6">
        <v>71.084613000000004</v>
      </c>
      <c r="G20" s="7">
        <v>2.2795362E-2</v>
      </c>
      <c r="H20" s="47"/>
    </row>
    <row r="21" spans="1:8" ht="17.100000000000001" customHeight="1" x14ac:dyDescent="0.2">
      <c r="A21" s="3">
        <v>15</v>
      </c>
      <c r="B21" s="4" t="s">
        <v>263</v>
      </c>
      <c r="C21" s="4" t="s">
        <v>264</v>
      </c>
      <c r="D21" s="4" t="s">
        <v>28</v>
      </c>
      <c r="E21" s="5">
        <v>8329</v>
      </c>
      <c r="F21" s="6">
        <v>69.780361999999997</v>
      </c>
      <c r="G21" s="7">
        <v>2.2377115999999999E-2</v>
      </c>
      <c r="H21" s="47"/>
    </row>
    <row r="22" spans="1:8" ht="17.100000000000001" customHeight="1" x14ac:dyDescent="0.2">
      <c r="A22" s="3">
        <v>16</v>
      </c>
      <c r="B22" s="4" t="s">
        <v>228</v>
      </c>
      <c r="C22" s="4" t="s">
        <v>229</v>
      </c>
      <c r="D22" s="4" t="s">
        <v>191</v>
      </c>
      <c r="E22" s="5">
        <v>2026</v>
      </c>
      <c r="F22" s="6">
        <v>68.920468</v>
      </c>
      <c r="G22" s="7">
        <v>2.2101366000000001E-2</v>
      </c>
      <c r="H22" s="47"/>
    </row>
    <row r="23" spans="1:8" ht="29.1" customHeight="1" x14ac:dyDescent="0.2">
      <c r="A23" s="3">
        <v>17</v>
      </c>
      <c r="B23" s="4" t="s">
        <v>230</v>
      </c>
      <c r="C23" s="4" t="s">
        <v>231</v>
      </c>
      <c r="D23" s="4" t="s">
        <v>204</v>
      </c>
      <c r="E23" s="5">
        <v>17579</v>
      </c>
      <c r="F23" s="6">
        <v>64.523719499999999</v>
      </c>
      <c r="G23" s="7">
        <v>2.0691419999999999E-2</v>
      </c>
      <c r="H23" s="47"/>
    </row>
    <row r="24" spans="1:8" ht="17.100000000000001" customHeight="1" x14ac:dyDescent="0.2">
      <c r="A24" s="3">
        <v>18</v>
      </c>
      <c r="B24" s="4" t="s">
        <v>172</v>
      </c>
      <c r="C24" s="4" t="s">
        <v>173</v>
      </c>
      <c r="D24" s="4" t="s">
        <v>174</v>
      </c>
      <c r="E24" s="5">
        <v>5601</v>
      </c>
      <c r="F24" s="6">
        <v>60.770850000000003</v>
      </c>
      <c r="G24" s="7">
        <v>1.9487951999999999E-2</v>
      </c>
      <c r="H24" s="47"/>
    </row>
    <row r="25" spans="1:8" ht="17.100000000000001" customHeight="1" x14ac:dyDescent="0.2">
      <c r="A25" s="3">
        <v>19</v>
      </c>
      <c r="B25" s="4" t="s">
        <v>222</v>
      </c>
      <c r="C25" s="4" t="s">
        <v>223</v>
      </c>
      <c r="D25" s="4" t="s">
        <v>13</v>
      </c>
      <c r="E25" s="5">
        <v>16845</v>
      </c>
      <c r="F25" s="6">
        <v>60.086114999999999</v>
      </c>
      <c r="G25" s="7">
        <v>1.9268371999999999E-2</v>
      </c>
      <c r="H25" s="47"/>
    </row>
    <row r="26" spans="1:8" ht="17.100000000000001" customHeight="1" x14ac:dyDescent="0.2">
      <c r="A26" s="3">
        <v>20</v>
      </c>
      <c r="B26" s="4" t="s">
        <v>182</v>
      </c>
      <c r="C26" s="4" t="s">
        <v>183</v>
      </c>
      <c r="D26" s="4" t="s">
        <v>184</v>
      </c>
      <c r="E26" s="5">
        <v>4116</v>
      </c>
      <c r="F26" s="6">
        <v>53.835222000000002</v>
      </c>
      <c r="G26" s="7">
        <v>1.7263839999999999E-2</v>
      </c>
      <c r="H26" s="47"/>
    </row>
    <row r="27" spans="1:8" ht="29.1" customHeight="1" x14ac:dyDescent="0.2">
      <c r="A27" s="3">
        <v>21</v>
      </c>
      <c r="B27" s="4" t="s">
        <v>202</v>
      </c>
      <c r="C27" s="4" t="s">
        <v>203</v>
      </c>
      <c r="D27" s="4" t="s">
        <v>204</v>
      </c>
      <c r="E27" s="5">
        <v>11402</v>
      </c>
      <c r="F27" s="6">
        <v>52.985093999999997</v>
      </c>
      <c r="G27" s="7">
        <v>1.6991222E-2</v>
      </c>
      <c r="H27" s="47"/>
    </row>
    <row r="28" spans="1:8" ht="17.100000000000001" customHeight="1" x14ac:dyDescent="0.2">
      <c r="A28" s="3">
        <v>22</v>
      </c>
      <c r="B28" s="4" t="s">
        <v>220</v>
      </c>
      <c r="C28" s="4" t="s">
        <v>221</v>
      </c>
      <c r="D28" s="4" t="s">
        <v>91</v>
      </c>
      <c r="E28" s="5">
        <v>6848</v>
      </c>
      <c r="F28" s="6">
        <v>50.928576</v>
      </c>
      <c r="G28" s="7">
        <v>1.6331739000000001E-2</v>
      </c>
      <c r="H28" s="47"/>
    </row>
    <row r="29" spans="1:8" ht="17.100000000000001" customHeight="1" x14ac:dyDescent="0.2">
      <c r="A29" s="3">
        <v>23</v>
      </c>
      <c r="B29" s="4" t="s">
        <v>471</v>
      </c>
      <c r="C29" s="4" t="s">
        <v>472</v>
      </c>
      <c r="D29" s="4" t="s">
        <v>88</v>
      </c>
      <c r="E29" s="5">
        <v>5377</v>
      </c>
      <c r="F29" s="6">
        <v>49.618955999999997</v>
      </c>
      <c r="G29" s="7">
        <v>1.5911771000000002E-2</v>
      </c>
      <c r="H29" s="47"/>
    </row>
    <row r="30" spans="1:8" ht="17.100000000000001" customHeight="1" x14ac:dyDescent="0.2">
      <c r="A30" s="3">
        <v>24</v>
      </c>
      <c r="B30" s="4" t="s">
        <v>215</v>
      </c>
      <c r="C30" s="4" t="s">
        <v>216</v>
      </c>
      <c r="D30" s="4" t="s">
        <v>217</v>
      </c>
      <c r="E30" s="5">
        <v>18738</v>
      </c>
      <c r="F30" s="6">
        <v>49.608854999999998</v>
      </c>
      <c r="G30" s="7">
        <v>1.5908532E-2</v>
      </c>
      <c r="H30" s="47"/>
    </row>
    <row r="31" spans="1:8" ht="29.1" customHeight="1" x14ac:dyDescent="0.2">
      <c r="A31" s="3">
        <v>25</v>
      </c>
      <c r="B31" s="4" t="s">
        <v>52</v>
      </c>
      <c r="C31" s="4" t="s">
        <v>53</v>
      </c>
      <c r="D31" s="4" t="s">
        <v>25</v>
      </c>
      <c r="E31" s="5">
        <v>2325</v>
      </c>
      <c r="F31" s="6">
        <v>49.033087500000001</v>
      </c>
      <c r="G31" s="7">
        <v>1.5723895000000002E-2</v>
      </c>
      <c r="H31" s="47"/>
    </row>
    <row r="32" spans="1:8" ht="29.1" customHeight="1" x14ac:dyDescent="0.2">
      <c r="A32" s="3">
        <v>26</v>
      </c>
      <c r="B32" s="4" t="s">
        <v>179</v>
      </c>
      <c r="C32" s="4" t="s">
        <v>180</v>
      </c>
      <c r="D32" s="4" t="s">
        <v>181</v>
      </c>
      <c r="E32" s="5">
        <v>7853</v>
      </c>
      <c r="F32" s="6">
        <v>48.1899345</v>
      </c>
      <c r="G32" s="7">
        <v>1.5453513E-2</v>
      </c>
      <c r="H32" s="47"/>
    </row>
    <row r="33" spans="1:8" ht="17.100000000000001" customHeight="1" x14ac:dyDescent="0.2">
      <c r="A33" s="3">
        <v>27</v>
      </c>
      <c r="B33" s="4" t="s">
        <v>187</v>
      </c>
      <c r="C33" s="4" t="s">
        <v>188</v>
      </c>
      <c r="D33" s="4" t="s">
        <v>91</v>
      </c>
      <c r="E33" s="5">
        <v>11118</v>
      </c>
      <c r="F33" s="6">
        <v>47.401592999999998</v>
      </c>
      <c r="G33" s="7">
        <v>1.5200708E-2</v>
      </c>
      <c r="H33" s="47"/>
    </row>
    <row r="34" spans="1:8" ht="17.100000000000001" customHeight="1" x14ac:dyDescent="0.2">
      <c r="A34" s="3">
        <v>28</v>
      </c>
      <c r="B34" s="4" t="s">
        <v>267</v>
      </c>
      <c r="C34" s="4" t="s">
        <v>268</v>
      </c>
      <c r="D34" s="4" t="s">
        <v>171</v>
      </c>
      <c r="E34" s="5">
        <v>6046</v>
      </c>
      <c r="F34" s="6">
        <v>45.747059</v>
      </c>
      <c r="G34" s="7">
        <v>1.4670134E-2</v>
      </c>
      <c r="H34" s="47"/>
    </row>
    <row r="35" spans="1:8" ht="29.1" customHeight="1" x14ac:dyDescent="0.2">
      <c r="A35" s="3">
        <v>29</v>
      </c>
      <c r="B35" s="4" t="s">
        <v>175</v>
      </c>
      <c r="C35" s="4" t="s">
        <v>176</v>
      </c>
      <c r="D35" s="4" t="s">
        <v>88</v>
      </c>
      <c r="E35" s="5">
        <v>13439</v>
      </c>
      <c r="F35" s="6">
        <v>45.7127585</v>
      </c>
      <c r="G35" s="7">
        <v>1.4659134000000001E-2</v>
      </c>
      <c r="H35" s="47"/>
    </row>
    <row r="36" spans="1:8" ht="17.100000000000001" customHeight="1" x14ac:dyDescent="0.2">
      <c r="A36" s="3">
        <v>30</v>
      </c>
      <c r="B36" s="4" t="s">
        <v>248</v>
      </c>
      <c r="C36" s="4" t="s">
        <v>249</v>
      </c>
      <c r="D36" s="4" t="s">
        <v>174</v>
      </c>
      <c r="E36" s="5">
        <v>33431</v>
      </c>
      <c r="F36" s="6">
        <v>44.730677999999997</v>
      </c>
      <c r="G36" s="7">
        <v>1.4344200999999999E-2</v>
      </c>
      <c r="H36" s="47"/>
    </row>
    <row r="37" spans="1:8" ht="29.1" customHeight="1" x14ac:dyDescent="0.2">
      <c r="A37" s="3">
        <v>31</v>
      </c>
      <c r="B37" s="4" t="s">
        <v>224</v>
      </c>
      <c r="C37" s="4" t="s">
        <v>225</v>
      </c>
      <c r="D37" s="4" t="s">
        <v>181</v>
      </c>
      <c r="E37" s="5">
        <v>9854</v>
      </c>
      <c r="F37" s="6">
        <v>44.727305999999999</v>
      </c>
      <c r="G37" s="7">
        <v>1.4343119999999999E-2</v>
      </c>
      <c r="H37" s="47"/>
    </row>
    <row r="38" spans="1:8" ht="17.100000000000001" customHeight="1" x14ac:dyDescent="0.2">
      <c r="A38" s="3">
        <v>32</v>
      </c>
      <c r="B38" s="4" t="s">
        <v>194</v>
      </c>
      <c r="C38" s="4" t="s">
        <v>195</v>
      </c>
      <c r="D38" s="4" t="s">
        <v>174</v>
      </c>
      <c r="E38" s="5">
        <v>8543</v>
      </c>
      <c r="F38" s="6">
        <v>42.484338999999999</v>
      </c>
      <c r="G38" s="7">
        <v>1.3623847E-2</v>
      </c>
      <c r="H38" s="47"/>
    </row>
    <row r="39" spans="1:8" ht="29.1" customHeight="1" x14ac:dyDescent="0.2">
      <c r="A39" s="3">
        <v>33</v>
      </c>
      <c r="B39" s="4" t="s">
        <v>212</v>
      </c>
      <c r="C39" s="4" t="s">
        <v>213</v>
      </c>
      <c r="D39" s="4" t="s">
        <v>214</v>
      </c>
      <c r="E39" s="5">
        <v>43509</v>
      </c>
      <c r="F39" s="6">
        <v>40.89846</v>
      </c>
      <c r="G39" s="7">
        <v>1.3115289E-2</v>
      </c>
      <c r="H39" s="47"/>
    </row>
    <row r="40" spans="1:8" ht="29.1" customHeight="1" x14ac:dyDescent="0.2">
      <c r="A40" s="3">
        <v>34</v>
      </c>
      <c r="B40" s="4" t="s">
        <v>290</v>
      </c>
      <c r="C40" s="4" t="s">
        <v>291</v>
      </c>
      <c r="D40" s="4" t="s">
        <v>292</v>
      </c>
      <c r="E40" s="5">
        <v>13197</v>
      </c>
      <c r="F40" s="6">
        <v>40.554380999999999</v>
      </c>
      <c r="G40" s="7">
        <v>1.3004949999999999E-2</v>
      </c>
      <c r="H40" s="47"/>
    </row>
    <row r="41" spans="1:8" ht="29.1" customHeight="1" x14ac:dyDescent="0.2">
      <c r="A41" s="3">
        <v>35</v>
      </c>
      <c r="B41" s="4" t="s">
        <v>196</v>
      </c>
      <c r="C41" s="4" t="s">
        <v>197</v>
      </c>
      <c r="D41" s="4" t="s">
        <v>198</v>
      </c>
      <c r="E41" s="5">
        <v>3057</v>
      </c>
      <c r="F41" s="6">
        <v>38.862112500000002</v>
      </c>
      <c r="G41" s="7">
        <v>1.2462274000000001E-2</v>
      </c>
      <c r="H41" s="47"/>
    </row>
    <row r="42" spans="1:8" ht="17.100000000000001" customHeight="1" x14ac:dyDescent="0.2">
      <c r="A42" s="3">
        <v>36</v>
      </c>
      <c r="B42" s="4" t="s">
        <v>226</v>
      </c>
      <c r="C42" s="4" t="s">
        <v>227</v>
      </c>
      <c r="D42" s="4" t="s">
        <v>13</v>
      </c>
      <c r="E42" s="5">
        <v>51989</v>
      </c>
      <c r="F42" s="6">
        <v>38.029953499999998</v>
      </c>
      <c r="G42" s="7">
        <v>1.2195418E-2</v>
      </c>
      <c r="H42" s="47"/>
    </row>
    <row r="43" spans="1:8" ht="17.100000000000001" customHeight="1" x14ac:dyDescent="0.2">
      <c r="A43" s="3">
        <v>37</v>
      </c>
      <c r="B43" s="4" t="s">
        <v>169</v>
      </c>
      <c r="C43" s="4" t="s">
        <v>170</v>
      </c>
      <c r="D43" s="4" t="s">
        <v>171</v>
      </c>
      <c r="E43" s="5">
        <v>3490</v>
      </c>
      <c r="F43" s="6">
        <v>37.004469999999998</v>
      </c>
      <c r="G43" s="7">
        <v>1.1866567E-2</v>
      </c>
      <c r="H43" s="47"/>
    </row>
    <row r="44" spans="1:8" ht="17.100000000000001" customHeight="1" x14ac:dyDescent="0.2">
      <c r="A44" s="3">
        <v>38</v>
      </c>
      <c r="B44" s="4" t="s">
        <v>239</v>
      </c>
      <c r="C44" s="4" t="s">
        <v>240</v>
      </c>
      <c r="D44" s="4" t="s">
        <v>88</v>
      </c>
      <c r="E44" s="5">
        <v>6322</v>
      </c>
      <c r="F44" s="6">
        <v>36.234543000000002</v>
      </c>
      <c r="G44" s="7">
        <v>1.1619667E-2</v>
      </c>
      <c r="H44" s="47"/>
    </row>
    <row r="45" spans="1:8" ht="17.100000000000001" customHeight="1" x14ac:dyDescent="0.2">
      <c r="A45" s="3">
        <v>39</v>
      </c>
      <c r="B45" s="4" t="s">
        <v>281</v>
      </c>
      <c r="C45" s="4" t="s">
        <v>282</v>
      </c>
      <c r="D45" s="4" t="s">
        <v>94</v>
      </c>
      <c r="E45" s="5">
        <v>5573</v>
      </c>
      <c r="F45" s="6">
        <v>34.951069500000003</v>
      </c>
      <c r="G45" s="7">
        <v>1.1208084E-2</v>
      </c>
      <c r="H45" s="47"/>
    </row>
    <row r="46" spans="1:8" ht="53.1" customHeight="1" x14ac:dyDescent="0.2">
      <c r="A46" s="3">
        <v>40</v>
      </c>
      <c r="B46" s="4" t="s">
        <v>422</v>
      </c>
      <c r="C46" s="4" t="s">
        <v>423</v>
      </c>
      <c r="D46" s="4" t="s">
        <v>62</v>
      </c>
      <c r="E46" s="5">
        <v>16461</v>
      </c>
      <c r="F46" s="6">
        <v>34.238880000000002</v>
      </c>
      <c r="G46" s="7">
        <v>1.0979699000000001E-2</v>
      </c>
      <c r="H46" s="47"/>
    </row>
    <row r="47" spans="1:8" ht="29.1" customHeight="1" x14ac:dyDescent="0.2">
      <c r="A47" s="3">
        <v>41</v>
      </c>
      <c r="B47" s="4" t="s">
        <v>236</v>
      </c>
      <c r="C47" s="4" t="s">
        <v>237</v>
      </c>
      <c r="D47" s="4" t="s">
        <v>238</v>
      </c>
      <c r="E47" s="5">
        <v>8877</v>
      </c>
      <c r="F47" s="6">
        <v>34.038856500000001</v>
      </c>
      <c r="G47" s="7">
        <v>1.0915556E-2</v>
      </c>
      <c r="H47" s="47"/>
    </row>
    <row r="48" spans="1:8" ht="17.100000000000001" customHeight="1" x14ac:dyDescent="0.2">
      <c r="A48" s="3">
        <v>42</v>
      </c>
      <c r="B48" s="4" t="s">
        <v>483</v>
      </c>
      <c r="C48" s="4" t="s">
        <v>484</v>
      </c>
      <c r="D48" s="4" t="s">
        <v>303</v>
      </c>
      <c r="E48" s="5">
        <v>4552</v>
      </c>
      <c r="F48" s="6">
        <v>33.746251999999998</v>
      </c>
      <c r="G48" s="7">
        <v>1.0821724E-2</v>
      </c>
      <c r="H48" s="47"/>
    </row>
    <row r="49" spans="1:8" ht="29.1" customHeight="1" x14ac:dyDescent="0.2">
      <c r="A49" s="3">
        <v>43</v>
      </c>
      <c r="B49" s="4" t="s">
        <v>256</v>
      </c>
      <c r="C49" s="4" t="s">
        <v>257</v>
      </c>
      <c r="D49" s="4" t="s">
        <v>88</v>
      </c>
      <c r="E49" s="5">
        <v>2262</v>
      </c>
      <c r="F49" s="6">
        <v>33.505875000000003</v>
      </c>
      <c r="G49" s="7">
        <v>1.074464E-2</v>
      </c>
      <c r="H49" s="47"/>
    </row>
    <row r="50" spans="1:8" ht="29.1" customHeight="1" x14ac:dyDescent="0.2">
      <c r="A50" s="3">
        <v>44</v>
      </c>
      <c r="B50" s="4" t="s">
        <v>275</v>
      </c>
      <c r="C50" s="4" t="s">
        <v>276</v>
      </c>
      <c r="D50" s="4" t="s">
        <v>238</v>
      </c>
      <c r="E50" s="5">
        <v>6200</v>
      </c>
      <c r="F50" s="6">
        <v>32.897199999999998</v>
      </c>
      <c r="G50" s="7">
        <v>1.054945E-2</v>
      </c>
      <c r="H50" s="47"/>
    </row>
    <row r="51" spans="1:8" ht="29.1" customHeight="1" x14ac:dyDescent="0.2">
      <c r="A51" s="3">
        <v>45</v>
      </c>
      <c r="B51" s="4" t="s">
        <v>205</v>
      </c>
      <c r="C51" s="4" t="s">
        <v>206</v>
      </c>
      <c r="D51" s="4" t="s">
        <v>204</v>
      </c>
      <c r="E51" s="5">
        <v>1976</v>
      </c>
      <c r="F51" s="6">
        <v>31.075564</v>
      </c>
      <c r="G51" s="7">
        <v>9.9652890000000004E-3</v>
      </c>
      <c r="H51" s="47"/>
    </row>
    <row r="52" spans="1:8" ht="29.1" customHeight="1" x14ac:dyDescent="0.2">
      <c r="A52" s="3">
        <v>46</v>
      </c>
      <c r="B52" s="4" t="s">
        <v>390</v>
      </c>
      <c r="C52" s="4" t="s">
        <v>391</v>
      </c>
      <c r="D52" s="4" t="s">
        <v>201</v>
      </c>
      <c r="E52" s="5">
        <v>4967</v>
      </c>
      <c r="F52" s="6">
        <v>30.303667000000001</v>
      </c>
      <c r="G52" s="7">
        <v>9.717758E-3</v>
      </c>
      <c r="H52" s="47"/>
    </row>
    <row r="53" spans="1:8" ht="17.100000000000001" customHeight="1" x14ac:dyDescent="0.2">
      <c r="A53" s="3">
        <v>47</v>
      </c>
      <c r="B53" s="4" t="s">
        <v>269</v>
      </c>
      <c r="C53" s="4" t="s">
        <v>270</v>
      </c>
      <c r="D53" s="4" t="s">
        <v>91</v>
      </c>
      <c r="E53" s="5">
        <v>59662</v>
      </c>
      <c r="F53" s="6">
        <v>29.323872999999999</v>
      </c>
      <c r="G53" s="7">
        <v>9.4035579999999994E-3</v>
      </c>
      <c r="H53" s="47"/>
    </row>
    <row r="54" spans="1:8" ht="17.100000000000001" customHeight="1" x14ac:dyDescent="0.2">
      <c r="A54" s="3">
        <v>48</v>
      </c>
      <c r="B54" s="4" t="s">
        <v>246</v>
      </c>
      <c r="C54" s="4" t="s">
        <v>247</v>
      </c>
      <c r="D54" s="4" t="s">
        <v>94</v>
      </c>
      <c r="E54" s="5">
        <v>5294</v>
      </c>
      <c r="F54" s="6">
        <v>26.583821</v>
      </c>
      <c r="G54" s="7">
        <v>8.5248800000000003E-3</v>
      </c>
      <c r="H54" s="47"/>
    </row>
    <row r="55" spans="1:8" ht="17.100000000000001" customHeight="1" x14ac:dyDescent="0.2">
      <c r="A55" s="3">
        <v>49</v>
      </c>
      <c r="B55" s="4" t="s">
        <v>234</v>
      </c>
      <c r="C55" s="4" t="s">
        <v>235</v>
      </c>
      <c r="D55" s="4" t="s">
        <v>114</v>
      </c>
      <c r="E55" s="5">
        <v>3629</v>
      </c>
      <c r="F55" s="6">
        <v>24.466718</v>
      </c>
      <c r="G55" s="7">
        <v>7.8459689999999995E-3</v>
      </c>
      <c r="H55" s="47"/>
    </row>
    <row r="56" spans="1:8" ht="29.1" customHeight="1" x14ac:dyDescent="0.2">
      <c r="A56" s="3">
        <v>50</v>
      </c>
      <c r="B56" s="4" t="s">
        <v>250</v>
      </c>
      <c r="C56" s="4" t="s">
        <v>251</v>
      </c>
      <c r="D56" s="4" t="s">
        <v>204</v>
      </c>
      <c r="E56" s="5">
        <v>536</v>
      </c>
      <c r="F56" s="6">
        <v>22.462955999999998</v>
      </c>
      <c r="G56" s="7">
        <v>7.2034040000000001E-3</v>
      </c>
      <c r="H56" s="47"/>
    </row>
    <row r="57" spans="1:8" ht="17.100000000000001" customHeight="1" x14ac:dyDescent="0.2">
      <c r="A57" s="3">
        <v>51</v>
      </c>
      <c r="B57" s="4" t="s">
        <v>288</v>
      </c>
      <c r="C57" s="4" t="s">
        <v>289</v>
      </c>
      <c r="D57" s="4" t="s">
        <v>19</v>
      </c>
      <c r="E57" s="5">
        <v>11525</v>
      </c>
      <c r="F57" s="6">
        <v>22.254774999999999</v>
      </c>
      <c r="G57" s="7">
        <v>7.1366449999999996E-3</v>
      </c>
      <c r="H57" s="47"/>
    </row>
    <row r="58" spans="1:8" ht="17.100000000000001" customHeight="1" x14ac:dyDescent="0.2">
      <c r="A58" s="3">
        <v>52</v>
      </c>
      <c r="B58" s="4" t="s">
        <v>106</v>
      </c>
      <c r="C58" s="4" t="s">
        <v>107</v>
      </c>
      <c r="D58" s="4" t="s">
        <v>88</v>
      </c>
      <c r="E58" s="5">
        <v>928</v>
      </c>
      <c r="F58" s="6">
        <v>20.848911999999999</v>
      </c>
      <c r="G58" s="7">
        <v>6.685814E-3</v>
      </c>
      <c r="H58" s="47"/>
    </row>
    <row r="59" spans="1:8" ht="17.100000000000001" customHeight="1" x14ac:dyDescent="0.2">
      <c r="A59" s="3">
        <v>53</v>
      </c>
      <c r="B59" s="4" t="s">
        <v>110</v>
      </c>
      <c r="C59" s="4" t="s">
        <v>111</v>
      </c>
      <c r="D59" s="4" t="s">
        <v>13</v>
      </c>
      <c r="E59" s="5">
        <v>15361</v>
      </c>
      <c r="F59" s="6">
        <v>17.649788999999998</v>
      </c>
      <c r="G59" s="7">
        <v>5.6599220000000004E-3</v>
      </c>
      <c r="H59" s="47"/>
    </row>
    <row r="60" spans="1:8" ht="17.100000000000001" customHeight="1" x14ac:dyDescent="0.2">
      <c r="A60" s="3">
        <v>54</v>
      </c>
      <c r="B60" s="4" t="s">
        <v>252</v>
      </c>
      <c r="C60" s="4" t="s">
        <v>253</v>
      </c>
      <c r="D60" s="4" t="s">
        <v>97</v>
      </c>
      <c r="E60" s="5">
        <v>21625</v>
      </c>
      <c r="F60" s="6">
        <v>14.110312499999999</v>
      </c>
      <c r="G60" s="7">
        <v>4.5248850000000002E-3</v>
      </c>
      <c r="H60" s="47"/>
    </row>
    <row r="61" spans="1:8" ht="17.100000000000001" customHeight="1" x14ac:dyDescent="0.2">
      <c r="A61" s="3">
        <v>55</v>
      </c>
      <c r="B61" s="4" t="s">
        <v>244</v>
      </c>
      <c r="C61" s="4" t="s">
        <v>245</v>
      </c>
      <c r="D61" s="4" t="s">
        <v>88</v>
      </c>
      <c r="E61" s="5">
        <v>7251</v>
      </c>
      <c r="F61" s="6">
        <v>13.755146999999999</v>
      </c>
      <c r="G61" s="7">
        <v>4.4109910000000004E-3</v>
      </c>
      <c r="H61" s="47"/>
    </row>
    <row r="62" spans="1:8" ht="29.1" customHeight="1" x14ac:dyDescent="0.2">
      <c r="A62" s="3">
        <v>56</v>
      </c>
      <c r="B62" s="4" t="s">
        <v>258</v>
      </c>
      <c r="C62" s="4" t="s">
        <v>259</v>
      </c>
      <c r="D62" s="4" t="s">
        <v>201</v>
      </c>
      <c r="E62" s="5">
        <v>1926</v>
      </c>
      <c r="F62" s="6">
        <v>10.264616999999999</v>
      </c>
      <c r="G62" s="7">
        <v>3.2916500000000001E-3</v>
      </c>
      <c r="H62" s="47"/>
    </row>
    <row r="63" spans="1:8" ht="17.100000000000001" customHeight="1" x14ac:dyDescent="0.2">
      <c r="A63" s="3">
        <v>57</v>
      </c>
      <c r="B63" s="4" t="s">
        <v>273</v>
      </c>
      <c r="C63" s="4" t="s">
        <v>274</v>
      </c>
      <c r="D63" s="4" t="s">
        <v>114</v>
      </c>
      <c r="E63" s="5">
        <v>4206</v>
      </c>
      <c r="F63" s="6">
        <v>8.1280950000000001</v>
      </c>
      <c r="G63" s="7">
        <v>2.6065120000000001E-3</v>
      </c>
      <c r="H63" s="47"/>
    </row>
    <row r="64" spans="1:8" ht="17.100000000000001" customHeight="1" x14ac:dyDescent="0.2">
      <c r="A64" s="3">
        <v>58</v>
      </c>
      <c r="B64" s="4" t="s">
        <v>493</v>
      </c>
      <c r="C64" s="4" t="s">
        <v>494</v>
      </c>
      <c r="D64" s="4" t="s">
        <v>28</v>
      </c>
      <c r="E64" s="5">
        <v>588</v>
      </c>
      <c r="F64" s="6">
        <v>6.0499320000000001</v>
      </c>
      <c r="G64" s="7">
        <v>1.940088E-3</v>
      </c>
      <c r="H64" s="47"/>
    </row>
    <row r="65" spans="1:8" ht="14.1" customHeight="1" x14ac:dyDescent="0.2">
      <c r="A65" s="1"/>
      <c r="B65" s="1"/>
      <c r="C65" s="2" t="s">
        <v>122</v>
      </c>
      <c r="D65" s="1"/>
      <c r="E65" s="1" t="s">
        <v>123</v>
      </c>
      <c r="F65" s="9">
        <v>2879.3618514999998</v>
      </c>
      <c r="G65" s="10">
        <v>0.92335167500000004</v>
      </c>
      <c r="H65" s="47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47"/>
    </row>
    <row r="67" spans="1:8" ht="14.1" customHeight="1" x14ac:dyDescent="0.2">
      <c r="A67" s="1"/>
      <c r="B67" s="1"/>
      <c r="C67" s="2" t="s">
        <v>124</v>
      </c>
      <c r="D67" s="1"/>
      <c r="E67" s="1"/>
      <c r="F67" s="1"/>
      <c r="G67" s="1"/>
      <c r="H67" s="47"/>
    </row>
    <row r="68" spans="1:8" ht="14.1" customHeight="1" x14ac:dyDescent="0.2">
      <c r="A68" s="1"/>
      <c r="B68" s="1"/>
      <c r="C68" s="2" t="s">
        <v>122</v>
      </c>
      <c r="D68" s="1"/>
      <c r="E68" s="1" t="s">
        <v>123</v>
      </c>
      <c r="F68" s="13">
        <v>0</v>
      </c>
      <c r="G68" s="14">
        <v>0</v>
      </c>
      <c r="H68" s="47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47"/>
    </row>
    <row r="70" spans="1:8" ht="14.1" customHeight="1" x14ac:dyDescent="0.2">
      <c r="A70" s="1"/>
      <c r="B70" s="1"/>
      <c r="C70" s="2" t="s">
        <v>125</v>
      </c>
      <c r="D70" s="1"/>
      <c r="E70" s="1"/>
      <c r="F70" s="1"/>
      <c r="G70" s="1"/>
      <c r="H70" s="47"/>
    </row>
    <row r="71" spans="1:8" ht="14.1" customHeight="1" x14ac:dyDescent="0.2">
      <c r="A71" s="1"/>
      <c r="B71" s="1"/>
      <c r="C71" s="2" t="s">
        <v>122</v>
      </c>
      <c r="D71" s="1"/>
      <c r="E71" s="1" t="s">
        <v>123</v>
      </c>
      <c r="F71" s="13">
        <v>0</v>
      </c>
      <c r="G71" s="14">
        <v>0</v>
      </c>
      <c r="H71" s="47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47"/>
    </row>
    <row r="73" spans="1:8" ht="14.1" customHeight="1" x14ac:dyDescent="0.2">
      <c r="A73" s="1"/>
      <c r="B73" s="1"/>
      <c r="C73" s="2" t="s">
        <v>126</v>
      </c>
      <c r="D73" s="1"/>
      <c r="E73" s="1"/>
      <c r="F73" s="1"/>
      <c r="G73" s="1"/>
      <c r="H73" s="47"/>
    </row>
    <row r="74" spans="1:8" ht="14.1" customHeight="1" x14ac:dyDescent="0.2">
      <c r="A74" s="1"/>
      <c r="B74" s="1"/>
      <c r="C74" s="2" t="s">
        <v>122</v>
      </c>
      <c r="D74" s="1"/>
      <c r="E74" s="1" t="s">
        <v>123</v>
      </c>
      <c r="F74" s="13">
        <v>0</v>
      </c>
      <c r="G74" s="14">
        <v>0</v>
      </c>
      <c r="H74" s="47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47"/>
    </row>
    <row r="76" spans="1:8" ht="14.1" customHeight="1" x14ac:dyDescent="0.2">
      <c r="A76" s="1"/>
      <c r="B76" s="1"/>
      <c r="C76" s="2" t="s">
        <v>127</v>
      </c>
      <c r="D76" s="1"/>
      <c r="E76" s="1"/>
      <c r="F76" s="12"/>
      <c r="G76" s="12"/>
      <c r="H76" s="47"/>
    </row>
    <row r="77" spans="1:8" ht="14.1" customHeight="1" x14ac:dyDescent="0.2">
      <c r="A77" s="1"/>
      <c r="B77" s="1"/>
      <c r="C77" s="2" t="s">
        <v>122</v>
      </c>
      <c r="D77" s="1"/>
      <c r="E77" s="1" t="s">
        <v>123</v>
      </c>
      <c r="F77" s="13">
        <v>0</v>
      </c>
      <c r="G77" s="14">
        <v>0</v>
      </c>
      <c r="H77" s="47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47"/>
    </row>
    <row r="79" spans="1:8" ht="14.1" customHeight="1" x14ac:dyDescent="0.2">
      <c r="A79" s="1"/>
      <c r="B79" s="1"/>
      <c r="C79" s="2" t="s">
        <v>128</v>
      </c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122</v>
      </c>
      <c r="D80" s="1"/>
      <c r="E80" s="1" t="s">
        <v>123</v>
      </c>
      <c r="F80" s="13">
        <v>0</v>
      </c>
      <c r="G80" s="14">
        <v>0</v>
      </c>
      <c r="H80" s="47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47"/>
    </row>
    <row r="82" spans="1:8" ht="18" customHeight="1" x14ac:dyDescent="0.2">
      <c r="A82" s="1"/>
      <c r="B82" s="1"/>
      <c r="C82" s="2" t="s">
        <v>129</v>
      </c>
      <c r="D82" s="1"/>
      <c r="E82" s="1"/>
      <c r="F82" s="9">
        <v>2879.3618514999998</v>
      </c>
      <c r="G82" s="10">
        <v>0.92335167500000004</v>
      </c>
      <c r="H82" s="47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47"/>
    </row>
    <row r="84" spans="1:8" ht="14.1" customHeight="1" x14ac:dyDescent="0.2">
      <c r="A84" s="1"/>
      <c r="B84" s="1"/>
      <c r="C84" s="2" t="s">
        <v>130</v>
      </c>
      <c r="D84" s="1"/>
      <c r="E84" s="1"/>
      <c r="F84" s="12"/>
      <c r="G84" s="12"/>
      <c r="H84" s="47"/>
    </row>
    <row r="85" spans="1:8" ht="24" customHeight="1" x14ac:dyDescent="0.2">
      <c r="A85" s="1"/>
      <c r="B85" s="1"/>
      <c r="C85" s="2" t="s">
        <v>10</v>
      </c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122</v>
      </c>
      <c r="D86" s="1"/>
      <c r="E86" s="1" t="s">
        <v>123</v>
      </c>
      <c r="F86" s="13">
        <v>0</v>
      </c>
      <c r="G86" s="14">
        <v>0</v>
      </c>
      <c r="H86" s="47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47"/>
    </row>
    <row r="88" spans="1:8" ht="14.1" customHeight="1" x14ac:dyDescent="0.2">
      <c r="A88" s="1"/>
      <c r="B88" s="1"/>
      <c r="C88" s="2" t="s">
        <v>131</v>
      </c>
      <c r="D88" s="1"/>
      <c r="E88" s="1"/>
      <c r="F88" s="1"/>
      <c r="G88" s="1"/>
      <c r="H88" s="47"/>
    </row>
    <row r="89" spans="1:8" ht="14.1" customHeight="1" x14ac:dyDescent="0.2">
      <c r="A89" s="1"/>
      <c r="B89" s="1"/>
      <c r="C89" s="2" t="s">
        <v>122</v>
      </c>
      <c r="D89" s="1"/>
      <c r="E89" s="1" t="s">
        <v>123</v>
      </c>
      <c r="F89" s="13">
        <v>0</v>
      </c>
      <c r="G89" s="14">
        <v>0</v>
      </c>
      <c r="H89" s="47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47"/>
    </row>
    <row r="91" spans="1:8" ht="14.1" customHeight="1" x14ac:dyDescent="0.2">
      <c r="A91" s="1"/>
      <c r="B91" s="1"/>
      <c r="C91" s="2" t="s">
        <v>132</v>
      </c>
      <c r="D91" s="1"/>
      <c r="E91" s="1"/>
      <c r="F91" s="1"/>
      <c r="G91" s="1"/>
      <c r="H91" s="47"/>
    </row>
    <row r="92" spans="1:8" ht="14.1" customHeight="1" x14ac:dyDescent="0.2">
      <c r="A92" s="1"/>
      <c r="B92" s="1"/>
      <c r="C92" s="2" t="s">
        <v>122</v>
      </c>
      <c r="D92" s="1"/>
      <c r="E92" s="1" t="s">
        <v>123</v>
      </c>
      <c r="F92" s="13">
        <v>0</v>
      </c>
      <c r="G92" s="14">
        <v>0</v>
      </c>
      <c r="H92" s="47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47"/>
    </row>
    <row r="94" spans="1:8" ht="14.1" customHeight="1" x14ac:dyDescent="0.2">
      <c r="A94" s="1"/>
      <c r="B94" s="1"/>
      <c r="C94" s="2" t="s">
        <v>133</v>
      </c>
      <c r="D94" s="1"/>
      <c r="E94" s="1"/>
      <c r="F94" s="12"/>
      <c r="G94" s="12"/>
      <c r="H94" s="47"/>
    </row>
    <row r="95" spans="1:8" ht="14.1" customHeight="1" x14ac:dyDescent="0.2">
      <c r="A95" s="1"/>
      <c r="B95" s="1"/>
      <c r="C95" s="2" t="s">
        <v>122</v>
      </c>
      <c r="D95" s="1"/>
      <c r="E95" s="1" t="s">
        <v>123</v>
      </c>
      <c r="F95" s="13">
        <v>0</v>
      </c>
      <c r="G95" s="14">
        <v>0</v>
      </c>
      <c r="H95" s="47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47"/>
    </row>
    <row r="97" spans="1:8" ht="14.1" customHeight="1" x14ac:dyDescent="0.2">
      <c r="A97" s="1"/>
      <c r="B97" s="1"/>
      <c r="C97" s="2" t="s">
        <v>134</v>
      </c>
      <c r="D97" s="1"/>
      <c r="E97" s="1"/>
      <c r="F97" s="9">
        <v>0</v>
      </c>
      <c r="G97" s="10">
        <v>0</v>
      </c>
      <c r="H97" s="47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47"/>
    </row>
    <row r="99" spans="1:8" ht="14.1" customHeight="1" x14ac:dyDescent="0.2">
      <c r="A99" s="1"/>
      <c r="B99" s="1"/>
      <c r="C99" s="2" t="s">
        <v>135</v>
      </c>
      <c r="D99" s="1"/>
      <c r="E99" s="1"/>
      <c r="F99" s="12"/>
      <c r="G99" s="12"/>
      <c r="H99" s="47"/>
    </row>
    <row r="100" spans="1:8" ht="14.1" customHeight="1" x14ac:dyDescent="0.2">
      <c r="A100" s="1"/>
      <c r="B100" s="1"/>
      <c r="C100" s="2" t="s">
        <v>136</v>
      </c>
      <c r="D100" s="1"/>
      <c r="E100" s="1"/>
      <c r="F100" s="12"/>
      <c r="G100" s="12"/>
      <c r="H100" s="47"/>
    </row>
    <row r="101" spans="1:8" ht="14.1" customHeight="1" x14ac:dyDescent="0.2">
      <c r="A101" s="1"/>
      <c r="B101" s="1"/>
      <c r="C101" s="2" t="s">
        <v>122</v>
      </c>
      <c r="D101" s="1"/>
      <c r="E101" s="1" t="s">
        <v>123</v>
      </c>
      <c r="F101" s="13">
        <v>0</v>
      </c>
      <c r="G101" s="14">
        <v>0</v>
      </c>
      <c r="H101" s="47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47"/>
    </row>
    <row r="103" spans="1:8" ht="14.1" customHeight="1" x14ac:dyDescent="0.2">
      <c r="A103" s="1"/>
      <c r="B103" s="1"/>
      <c r="C103" s="2" t="s">
        <v>137</v>
      </c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2" t="s">
        <v>122</v>
      </c>
      <c r="D104" s="1"/>
      <c r="E104" s="1" t="s">
        <v>123</v>
      </c>
      <c r="F104" s="13">
        <v>0</v>
      </c>
      <c r="G104" s="14">
        <v>0</v>
      </c>
      <c r="H104" s="47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47"/>
    </row>
    <row r="106" spans="1:8" ht="14.1" customHeight="1" x14ac:dyDescent="0.2">
      <c r="A106" s="1"/>
      <c r="B106" s="1"/>
      <c r="C106" s="2" t="s">
        <v>138</v>
      </c>
      <c r="D106" s="1"/>
      <c r="E106" s="1"/>
      <c r="F106" s="12"/>
      <c r="G106" s="12"/>
      <c r="H106" s="47"/>
    </row>
    <row r="107" spans="1:8" ht="14.1" customHeight="1" x14ac:dyDescent="0.2">
      <c r="A107" s="1"/>
      <c r="B107" s="1"/>
      <c r="C107" s="2" t="s">
        <v>122</v>
      </c>
      <c r="D107" s="1"/>
      <c r="E107" s="1" t="s">
        <v>123</v>
      </c>
      <c r="F107" s="13">
        <v>0</v>
      </c>
      <c r="G107" s="14">
        <v>0</v>
      </c>
      <c r="H107" s="47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47"/>
    </row>
    <row r="109" spans="1:8" ht="14.1" customHeight="1" x14ac:dyDescent="0.2">
      <c r="A109" s="1"/>
      <c r="B109" s="1"/>
      <c r="C109" s="2" t="s">
        <v>139</v>
      </c>
      <c r="D109" s="1"/>
      <c r="E109" s="1"/>
      <c r="F109" s="12"/>
      <c r="G109" s="12"/>
      <c r="H109" s="47"/>
    </row>
    <row r="110" spans="1:8" ht="17.100000000000001" customHeight="1" x14ac:dyDescent="0.2">
      <c r="A110" s="3">
        <v>1</v>
      </c>
      <c r="B110" s="4"/>
      <c r="C110" s="4" t="s">
        <v>140</v>
      </c>
      <c r="D110" s="4"/>
      <c r="E110" s="8"/>
      <c r="F110" s="6">
        <v>192.4684585</v>
      </c>
      <c r="G110" s="7">
        <v>6.1720645999999997E-2</v>
      </c>
      <c r="H110" s="47">
        <v>4.6730752161314033</v>
      </c>
    </row>
    <row r="111" spans="1:8" ht="14.1" customHeight="1" x14ac:dyDescent="0.2">
      <c r="A111" s="1"/>
      <c r="B111" s="1"/>
      <c r="C111" s="2" t="s">
        <v>122</v>
      </c>
      <c r="D111" s="1"/>
      <c r="E111" s="1" t="s">
        <v>123</v>
      </c>
      <c r="F111" s="9">
        <v>192.4684585</v>
      </c>
      <c r="G111" s="10">
        <v>6.1720645999999997E-2</v>
      </c>
      <c r="H111" s="47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47"/>
    </row>
    <row r="113" spans="1:8" ht="14.1" customHeight="1" x14ac:dyDescent="0.2">
      <c r="A113" s="1"/>
      <c r="B113" s="1"/>
      <c r="C113" s="2" t="s">
        <v>141</v>
      </c>
      <c r="D113" s="1"/>
      <c r="E113" s="1"/>
      <c r="F113" s="9">
        <v>192.4684585</v>
      </c>
      <c r="G113" s="10">
        <v>6.1720645999999997E-2</v>
      </c>
      <c r="H113" s="47"/>
    </row>
    <row r="114" spans="1:8" ht="14.1" customHeight="1" x14ac:dyDescent="0.2">
      <c r="A114" s="1"/>
      <c r="B114" s="1"/>
      <c r="C114" s="12"/>
      <c r="D114" s="1"/>
      <c r="E114" s="1"/>
      <c r="F114" s="1"/>
      <c r="G114" s="1"/>
      <c r="H114" s="47"/>
    </row>
    <row r="115" spans="1:8" ht="14.1" customHeight="1" x14ac:dyDescent="0.2">
      <c r="A115" s="1"/>
      <c r="B115" s="1"/>
      <c r="C115" s="2" t="s">
        <v>142</v>
      </c>
      <c r="D115" s="1"/>
      <c r="E115" s="1"/>
      <c r="F115" s="1"/>
      <c r="G115" s="1"/>
      <c r="H115" s="47"/>
    </row>
    <row r="116" spans="1:8" ht="14.1" customHeight="1" x14ac:dyDescent="0.2">
      <c r="A116" s="1"/>
      <c r="B116" s="1"/>
      <c r="C116" s="2" t="s">
        <v>143</v>
      </c>
      <c r="D116" s="1"/>
      <c r="E116" s="1"/>
      <c r="F116" s="1"/>
      <c r="G116" s="1"/>
      <c r="H116" s="47"/>
    </row>
    <row r="117" spans="1:8" ht="14.1" customHeight="1" x14ac:dyDescent="0.2">
      <c r="A117" s="1"/>
      <c r="B117" s="1"/>
      <c r="C117" s="2" t="s">
        <v>122</v>
      </c>
      <c r="D117" s="1"/>
      <c r="E117" s="1" t="s">
        <v>123</v>
      </c>
      <c r="F117" s="13">
        <v>0</v>
      </c>
      <c r="G117" s="14">
        <v>0</v>
      </c>
      <c r="H117" s="47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47"/>
    </row>
    <row r="119" spans="1:8" ht="14.1" customHeight="1" x14ac:dyDescent="0.2">
      <c r="A119" s="1"/>
      <c r="B119" s="1"/>
      <c r="C119" s="2" t="s">
        <v>144</v>
      </c>
      <c r="D119" s="1"/>
      <c r="E119" s="1"/>
      <c r="F119" s="1"/>
      <c r="G119" s="1"/>
      <c r="H119" s="47"/>
    </row>
    <row r="120" spans="1:8" ht="14.1" customHeight="1" x14ac:dyDescent="0.2">
      <c r="A120" s="1"/>
      <c r="B120" s="1"/>
      <c r="C120" s="2" t="s">
        <v>145</v>
      </c>
      <c r="D120" s="1"/>
      <c r="E120" s="1"/>
      <c r="F120" s="1"/>
      <c r="G120" s="1"/>
      <c r="H120" s="47"/>
    </row>
    <row r="121" spans="1:8" ht="14.1" customHeight="1" x14ac:dyDescent="0.2">
      <c r="A121" s="1"/>
      <c r="B121" s="1"/>
      <c r="C121" s="2" t="s">
        <v>122</v>
      </c>
      <c r="D121" s="1"/>
      <c r="E121" s="1" t="s">
        <v>123</v>
      </c>
      <c r="F121" s="13">
        <v>0</v>
      </c>
      <c r="G121" s="14">
        <v>0</v>
      </c>
      <c r="H121" s="47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47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47"/>
    </row>
    <row r="124" spans="1:8" ht="24" customHeight="1" x14ac:dyDescent="0.2">
      <c r="A124" s="1"/>
      <c r="B124" s="1"/>
      <c r="C124" s="2" t="s">
        <v>146</v>
      </c>
      <c r="D124" s="1"/>
      <c r="E124" s="1"/>
      <c r="F124" s="12"/>
      <c r="G124" s="12"/>
      <c r="H124" s="47"/>
    </row>
    <row r="125" spans="1:8" ht="14.1" customHeight="1" x14ac:dyDescent="0.2">
      <c r="A125" s="1"/>
      <c r="B125" s="1"/>
      <c r="C125" s="2" t="s">
        <v>122</v>
      </c>
      <c r="D125" s="1"/>
      <c r="E125" s="1" t="s">
        <v>123</v>
      </c>
      <c r="F125" s="13">
        <v>0</v>
      </c>
      <c r="G125" s="14">
        <v>0</v>
      </c>
      <c r="H125" s="47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47"/>
    </row>
    <row r="127" spans="1:8" ht="14.1" customHeight="1" x14ac:dyDescent="0.2">
      <c r="A127" s="1"/>
      <c r="B127" s="4"/>
      <c r="C127" s="4"/>
      <c r="D127" s="2"/>
      <c r="E127" s="1"/>
      <c r="F127" s="4"/>
      <c r="G127" s="8"/>
      <c r="H127" s="47"/>
    </row>
    <row r="128" spans="1:8" ht="18" customHeight="1" x14ac:dyDescent="0.2">
      <c r="A128" s="8"/>
      <c r="B128" s="4"/>
      <c r="C128" s="4" t="s">
        <v>147</v>
      </c>
      <c r="D128" s="4"/>
      <c r="E128" s="8"/>
      <c r="F128" s="6">
        <v>46.550192510000002</v>
      </c>
      <c r="G128" s="7">
        <v>1.4927681999999999E-2</v>
      </c>
      <c r="H128" s="47"/>
    </row>
    <row r="129" spans="1:8" ht="14.1" customHeight="1" x14ac:dyDescent="0.2">
      <c r="A129" s="11"/>
      <c r="B129" s="11"/>
      <c r="C129" s="2" t="s">
        <v>148</v>
      </c>
      <c r="D129" s="15"/>
      <c r="E129" s="15"/>
      <c r="F129" s="9">
        <v>3118.38050251</v>
      </c>
      <c r="G129" s="10">
        <v>1.000000003</v>
      </c>
      <c r="H129" s="47"/>
    </row>
    <row r="130" spans="1:8" ht="14.1" customHeight="1" x14ac:dyDescent="0.2">
      <c r="A130" s="18"/>
      <c r="B130" s="18"/>
      <c r="C130" s="18"/>
      <c r="D130" s="20"/>
      <c r="E130" s="20"/>
      <c r="F130" s="20"/>
      <c r="G130" s="20"/>
    </row>
    <row r="131" spans="1:8" ht="14.1" customHeight="1" x14ac:dyDescent="0.2">
      <c r="A131" s="18"/>
      <c r="B131" s="257" t="s">
        <v>150</v>
      </c>
      <c r="C131" s="258"/>
      <c r="D131" s="12" t="s">
        <v>123</v>
      </c>
      <c r="E131" s="21"/>
      <c r="F131" s="20"/>
      <c r="G131" s="20"/>
    </row>
    <row r="132" spans="1:8" ht="29.1" customHeight="1" x14ac:dyDescent="0.2">
      <c r="A132" s="18"/>
      <c r="B132" s="259" t="s">
        <v>151</v>
      </c>
      <c r="C132" s="260"/>
      <c r="D132" s="2" t="s">
        <v>152</v>
      </c>
      <c r="E132" s="21"/>
      <c r="F132" s="20"/>
      <c r="G132" s="20"/>
    </row>
    <row r="133" spans="1:8" ht="17.100000000000001" customHeight="1" x14ac:dyDescent="0.2">
      <c r="A133" s="18"/>
      <c r="B133" s="259" t="s">
        <v>153</v>
      </c>
      <c r="C133" s="260"/>
      <c r="D133" s="2" t="s">
        <v>152</v>
      </c>
      <c r="E133" s="21"/>
      <c r="F133" s="20"/>
      <c r="G133" s="20"/>
    </row>
    <row r="134" spans="1:8" ht="17.100000000000001" customHeight="1" x14ac:dyDescent="0.2">
      <c r="A134" s="18"/>
      <c r="B134" s="259" t="s">
        <v>154</v>
      </c>
      <c r="C134" s="260"/>
      <c r="D134" s="12" t="s">
        <v>123</v>
      </c>
      <c r="E134" s="21"/>
      <c r="F134" s="20"/>
      <c r="G134" s="20"/>
    </row>
    <row r="135" spans="1:8" ht="24" customHeight="1" x14ac:dyDescent="0.2">
      <c r="A135" s="22"/>
      <c r="B135" s="23" t="s">
        <v>123</v>
      </c>
      <c r="C135" s="23" t="s">
        <v>155</v>
      </c>
      <c r="D135" s="23" t="s">
        <v>156</v>
      </c>
      <c r="E135" s="22"/>
      <c r="F135" s="22"/>
      <c r="G135" s="22"/>
    </row>
    <row r="136" spans="1:8" ht="18" customHeight="1" x14ac:dyDescent="0.2">
      <c r="A136" s="22"/>
      <c r="B136" s="23" t="s">
        <v>157</v>
      </c>
      <c r="C136" s="23" t="s">
        <v>158</v>
      </c>
      <c r="D136" s="23" t="s">
        <v>159</v>
      </c>
      <c r="E136" s="22"/>
      <c r="F136" s="22"/>
      <c r="G136" s="22"/>
    </row>
    <row r="137" spans="1:8" ht="17.100000000000001" customHeight="1" x14ac:dyDescent="0.2">
      <c r="A137" s="22"/>
      <c r="B137" s="4" t="s">
        <v>160</v>
      </c>
      <c r="C137" s="24">
        <v>15.263299999999999</v>
      </c>
      <c r="D137" s="24">
        <v>14.5945</v>
      </c>
      <c r="E137" s="22"/>
      <c r="F137" s="19"/>
      <c r="G137" s="25"/>
    </row>
    <row r="138" spans="1:8" ht="17.100000000000001" customHeight="1" x14ac:dyDescent="0.2">
      <c r="A138" s="22"/>
      <c r="B138" s="4" t="s">
        <v>1101</v>
      </c>
      <c r="C138" s="24">
        <v>15.263299999999999</v>
      </c>
      <c r="D138" s="24">
        <v>14.5945</v>
      </c>
      <c r="E138" s="22"/>
      <c r="F138" s="19"/>
      <c r="G138" s="25"/>
    </row>
    <row r="139" spans="1:8" ht="17.100000000000001" customHeight="1" x14ac:dyDescent="0.2">
      <c r="A139" s="22"/>
      <c r="B139" s="4" t="s">
        <v>161</v>
      </c>
      <c r="C139" s="24">
        <v>14.9453</v>
      </c>
      <c r="D139" s="24">
        <v>14.2882</v>
      </c>
      <c r="E139" s="22"/>
      <c r="F139" s="19"/>
      <c r="G139" s="25"/>
    </row>
    <row r="140" spans="1:8" ht="17.100000000000001" customHeight="1" x14ac:dyDescent="0.2">
      <c r="A140" s="22"/>
      <c r="B140" s="4" t="s">
        <v>1102</v>
      </c>
      <c r="C140" s="24">
        <v>14.9453</v>
      </c>
      <c r="D140" s="24">
        <v>14.2882</v>
      </c>
      <c r="E140" s="22"/>
      <c r="F140" s="19"/>
      <c r="G140" s="25"/>
    </row>
    <row r="141" spans="1:8" ht="14.1" customHeight="1" x14ac:dyDescent="0.2">
      <c r="A141" s="22"/>
      <c r="B141" s="22"/>
      <c r="C141" s="22"/>
      <c r="D141" s="22"/>
      <c r="E141" s="22"/>
      <c r="F141" s="22"/>
      <c r="G141" s="22"/>
    </row>
    <row r="142" spans="1:8" ht="17.100000000000001" customHeight="1" x14ac:dyDescent="0.2">
      <c r="A142" s="22"/>
      <c r="B142" s="259" t="s">
        <v>1103</v>
      </c>
      <c r="C142" s="260"/>
      <c r="D142" s="2" t="s">
        <v>152</v>
      </c>
      <c r="E142" s="22"/>
      <c r="F142" s="22"/>
      <c r="G142" s="22"/>
    </row>
    <row r="143" spans="1:8" ht="18" customHeight="1" x14ac:dyDescent="0.2">
      <c r="A143" s="22"/>
      <c r="B143" s="26"/>
      <c r="C143" s="26"/>
      <c r="D143" s="27"/>
      <c r="E143" s="22"/>
      <c r="F143" s="22"/>
      <c r="G143" s="22"/>
    </row>
    <row r="144" spans="1:8" ht="29.1" customHeight="1" x14ac:dyDescent="0.2">
      <c r="A144" s="22"/>
      <c r="B144" s="259" t="s">
        <v>162</v>
      </c>
      <c r="C144" s="260"/>
      <c r="D144" s="2" t="s">
        <v>152</v>
      </c>
      <c r="E144" s="22"/>
      <c r="F144" s="22"/>
      <c r="G144" s="22"/>
    </row>
    <row r="145" spans="1:15" ht="29.1" customHeight="1" x14ac:dyDescent="0.2">
      <c r="A145" s="22"/>
      <c r="B145" s="259" t="s">
        <v>163</v>
      </c>
      <c r="C145" s="260"/>
      <c r="D145" s="2" t="s">
        <v>152</v>
      </c>
      <c r="E145" s="22"/>
      <c r="F145" s="22"/>
      <c r="G145" s="22"/>
    </row>
    <row r="146" spans="1:15" ht="17.100000000000001" customHeight="1" x14ac:dyDescent="0.2">
      <c r="A146" s="22"/>
      <c r="B146" s="259" t="s">
        <v>164</v>
      </c>
      <c r="C146" s="260"/>
      <c r="D146" s="28">
        <v>0.20513589384484315</v>
      </c>
      <c r="E146" s="22"/>
      <c r="F146" s="19"/>
      <c r="G146" s="25"/>
    </row>
    <row r="147" spans="1:15" ht="17.100000000000001" customHeight="1" x14ac:dyDescent="0.2">
      <c r="A147" s="22"/>
      <c r="B147" s="259" t="s">
        <v>165</v>
      </c>
      <c r="C147" s="260"/>
      <c r="D147" s="2" t="s">
        <v>152</v>
      </c>
      <c r="E147" s="22"/>
      <c r="F147" s="22"/>
      <c r="G147" s="22"/>
    </row>
    <row r="154" spans="1:15" x14ac:dyDescent="0.2">
      <c r="J154" s="148"/>
      <c r="K154" s="148"/>
      <c r="L154" s="148"/>
      <c r="M154" s="148"/>
      <c r="N154" s="148"/>
      <c r="O154" s="148"/>
    </row>
  </sheetData>
  <mergeCells count="13">
    <mergeCell ref="J2:N2"/>
    <mergeCell ref="A1:H1"/>
    <mergeCell ref="A2:H2"/>
    <mergeCell ref="A3:H3"/>
    <mergeCell ref="B131:C131"/>
    <mergeCell ref="B146:C146"/>
    <mergeCell ref="B147:C147"/>
    <mergeCell ref="B132:C132"/>
    <mergeCell ref="B133:C133"/>
    <mergeCell ref="B134:C134"/>
    <mergeCell ref="B142:C142"/>
    <mergeCell ref="B144:C144"/>
    <mergeCell ref="B145:C14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O15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520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261</v>
      </c>
      <c r="C7" s="4" t="s">
        <v>262</v>
      </c>
      <c r="D7" s="4" t="s">
        <v>80</v>
      </c>
      <c r="E7" s="5">
        <v>55423</v>
      </c>
      <c r="F7" s="6">
        <v>106.21817950000001</v>
      </c>
      <c r="G7" s="7">
        <v>3.2231429999999998E-2</v>
      </c>
      <c r="H7" s="47"/>
    </row>
    <row r="8" spans="1:14" ht="17.100000000000001" customHeight="1" x14ac:dyDescent="0.2">
      <c r="A8" s="3">
        <v>2</v>
      </c>
      <c r="B8" s="4" t="s">
        <v>254</v>
      </c>
      <c r="C8" s="4" t="s">
        <v>255</v>
      </c>
      <c r="D8" s="4" t="s">
        <v>28</v>
      </c>
      <c r="E8" s="5">
        <v>8853</v>
      </c>
      <c r="F8" s="6">
        <v>102.0352515</v>
      </c>
      <c r="G8" s="7">
        <v>3.0962139999999999E-2</v>
      </c>
      <c r="H8" s="47"/>
    </row>
    <row r="9" spans="1:14" ht="17.100000000000001" customHeight="1" x14ac:dyDescent="0.2">
      <c r="A9" s="3">
        <v>3</v>
      </c>
      <c r="B9" s="4" t="s">
        <v>185</v>
      </c>
      <c r="C9" s="4" t="s">
        <v>186</v>
      </c>
      <c r="D9" s="4" t="s">
        <v>88</v>
      </c>
      <c r="E9" s="5">
        <v>19265</v>
      </c>
      <c r="F9" s="6">
        <v>101.276105</v>
      </c>
      <c r="G9" s="7">
        <v>3.073178E-2</v>
      </c>
      <c r="H9" s="47"/>
    </row>
    <row r="10" spans="1:14" ht="17.100000000000001" customHeight="1" x14ac:dyDescent="0.2">
      <c r="A10" s="3">
        <v>4</v>
      </c>
      <c r="B10" s="4" t="s">
        <v>241</v>
      </c>
      <c r="C10" s="4" t="s">
        <v>242</v>
      </c>
      <c r="D10" s="4" t="s">
        <v>243</v>
      </c>
      <c r="E10" s="5">
        <v>19759</v>
      </c>
      <c r="F10" s="6">
        <v>100.4646355</v>
      </c>
      <c r="G10" s="7">
        <v>3.0485543E-2</v>
      </c>
      <c r="H10" s="47"/>
    </row>
    <row r="11" spans="1:14" ht="29.1" customHeight="1" x14ac:dyDescent="0.2">
      <c r="A11" s="3">
        <v>5</v>
      </c>
      <c r="B11" s="4" t="s">
        <v>199</v>
      </c>
      <c r="C11" s="4" t="s">
        <v>200</v>
      </c>
      <c r="D11" s="4" t="s">
        <v>201</v>
      </c>
      <c r="E11" s="5">
        <v>2670</v>
      </c>
      <c r="F11" s="6">
        <v>97.497720000000001</v>
      </c>
      <c r="G11" s="7">
        <v>2.9585245999999999E-2</v>
      </c>
      <c r="H11" s="47"/>
    </row>
    <row r="12" spans="1:14" ht="17.100000000000001" customHeight="1" x14ac:dyDescent="0.2">
      <c r="A12" s="3">
        <v>6</v>
      </c>
      <c r="B12" s="4" t="s">
        <v>207</v>
      </c>
      <c r="C12" s="4" t="s">
        <v>208</v>
      </c>
      <c r="D12" s="4" t="s">
        <v>209</v>
      </c>
      <c r="E12" s="5">
        <v>32339</v>
      </c>
      <c r="F12" s="6">
        <v>89.918589499999996</v>
      </c>
      <c r="G12" s="7">
        <v>2.7285393000000002E-2</v>
      </c>
      <c r="H12" s="47"/>
    </row>
    <row r="13" spans="1:14" ht="17.100000000000001" customHeight="1" x14ac:dyDescent="0.2">
      <c r="A13" s="3">
        <v>7</v>
      </c>
      <c r="B13" s="4" t="s">
        <v>34</v>
      </c>
      <c r="C13" s="4" t="s">
        <v>35</v>
      </c>
      <c r="D13" s="4" t="s">
        <v>28</v>
      </c>
      <c r="E13" s="5">
        <v>5959</v>
      </c>
      <c r="F13" s="6">
        <v>88.416662500000001</v>
      </c>
      <c r="G13" s="7">
        <v>2.6829639999999998E-2</v>
      </c>
      <c r="H13" s="47"/>
      <c r="J13" s="147" t="s">
        <v>1121</v>
      </c>
    </row>
    <row r="14" spans="1:14" ht="17.100000000000001" customHeight="1" x14ac:dyDescent="0.2">
      <c r="A14" s="3">
        <v>8</v>
      </c>
      <c r="B14" s="4" t="s">
        <v>86</v>
      </c>
      <c r="C14" s="4" t="s">
        <v>87</v>
      </c>
      <c r="D14" s="4" t="s">
        <v>88</v>
      </c>
      <c r="E14" s="5">
        <v>20107</v>
      </c>
      <c r="F14" s="6">
        <v>87.204059000000001</v>
      </c>
      <c r="G14" s="7">
        <v>2.6461681000000001E-2</v>
      </c>
      <c r="H14" s="47"/>
    </row>
    <row r="15" spans="1:14" ht="17.100000000000001" customHeight="1" x14ac:dyDescent="0.2">
      <c r="A15" s="3">
        <v>9</v>
      </c>
      <c r="B15" s="4" t="s">
        <v>228</v>
      </c>
      <c r="C15" s="4" t="s">
        <v>229</v>
      </c>
      <c r="D15" s="4" t="s">
        <v>191</v>
      </c>
      <c r="E15" s="5">
        <v>2353</v>
      </c>
      <c r="F15" s="6">
        <v>80.044353999999998</v>
      </c>
      <c r="G15" s="7">
        <v>2.4289100000000001E-2</v>
      </c>
      <c r="H15" s="47"/>
    </row>
    <row r="16" spans="1:14" ht="17.100000000000001" customHeight="1" x14ac:dyDescent="0.2">
      <c r="A16" s="3">
        <v>10</v>
      </c>
      <c r="B16" s="4" t="s">
        <v>177</v>
      </c>
      <c r="C16" s="4" t="s">
        <v>178</v>
      </c>
      <c r="D16" s="4" t="s">
        <v>91</v>
      </c>
      <c r="E16" s="5">
        <v>94613</v>
      </c>
      <c r="F16" s="6">
        <v>77.582660000000004</v>
      </c>
      <c r="G16" s="7">
        <v>2.3542110000000002E-2</v>
      </c>
      <c r="H16" s="47"/>
    </row>
    <row r="17" spans="1:8" ht="17.100000000000001" customHeight="1" x14ac:dyDescent="0.2">
      <c r="A17" s="3">
        <v>11</v>
      </c>
      <c r="B17" s="4" t="s">
        <v>189</v>
      </c>
      <c r="C17" s="4" t="s">
        <v>190</v>
      </c>
      <c r="D17" s="4" t="s">
        <v>191</v>
      </c>
      <c r="E17" s="5">
        <v>14987</v>
      </c>
      <c r="F17" s="6">
        <v>77.580205500000005</v>
      </c>
      <c r="G17" s="7">
        <v>2.3541366000000001E-2</v>
      </c>
      <c r="H17" s="47"/>
    </row>
    <row r="18" spans="1:8" ht="17.100000000000001" customHeight="1" x14ac:dyDescent="0.2">
      <c r="A18" s="3">
        <v>12</v>
      </c>
      <c r="B18" s="4" t="s">
        <v>95</v>
      </c>
      <c r="C18" s="4" t="s">
        <v>96</v>
      </c>
      <c r="D18" s="4" t="s">
        <v>97</v>
      </c>
      <c r="E18" s="5">
        <v>17357</v>
      </c>
      <c r="F18" s="6">
        <v>77.134507999999997</v>
      </c>
      <c r="G18" s="7">
        <v>2.3406120999999998E-2</v>
      </c>
      <c r="H18" s="47"/>
    </row>
    <row r="19" spans="1:8" ht="17.100000000000001" customHeight="1" x14ac:dyDescent="0.2">
      <c r="A19" s="3">
        <v>13</v>
      </c>
      <c r="B19" s="4" t="s">
        <v>192</v>
      </c>
      <c r="C19" s="4" t="s">
        <v>193</v>
      </c>
      <c r="D19" s="4" t="s">
        <v>184</v>
      </c>
      <c r="E19" s="5">
        <v>6199</v>
      </c>
      <c r="F19" s="6">
        <v>74.772338000000005</v>
      </c>
      <c r="G19" s="7">
        <v>2.2689331E-2</v>
      </c>
      <c r="H19" s="47"/>
    </row>
    <row r="20" spans="1:8" ht="29.1" customHeight="1" x14ac:dyDescent="0.2">
      <c r="A20" s="3">
        <v>14</v>
      </c>
      <c r="B20" s="4" t="s">
        <v>469</v>
      </c>
      <c r="C20" s="4" t="s">
        <v>470</v>
      </c>
      <c r="D20" s="4" t="s">
        <v>40</v>
      </c>
      <c r="E20" s="5">
        <v>3981</v>
      </c>
      <c r="F20" s="6">
        <v>74.607921000000005</v>
      </c>
      <c r="G20" s="7">
        <v>2.2639439000000001E-2</v>
      </c>
      <c r="H20" s="47"/>
    </row>
    <row r="21" spans="1:8" ht="17.100000000000001" customHeight="1" x14ac:dyDescent="0.2">
      <c r="A21" s="3">
        <v>15</v>
      </c>
      <c r="B21" s="4" t="s">
        <v>263</v>
      </c>
      <c r="C21" s="4" t="s">
        <v>264</v>
      </c>
      <c r="D21" s="4" t="s">
        <v>28</v>
      </c>
      <c r="E21" s="5">
        <v>8679</v>
      </c>
      <c r="F21" s="6">
        <v>72.712661999999995</v>
      </c>
      <c r="G21" s="7">
        <v>2.2064331E-2</v>
      </c>
      <c r="H21" s="47"/>
    </row>
    <row r="22" spans="1:8" ht="17.100000000000001" customHeight="1" x14ac:dyDescent="0.2">
      <c r="A22" s="3">
        <v>16</v>
      </c>
      <c r="B22" s="4" t="s">
        <v>222</v>
      </c>
      <c r="C22" s="4" t="s">
        <v>223</v>
      </c>
      <c r="D22" s="4" t="s">
        <v>13</v>
      </c>
      <c r="E22" s="5">
        <v>19575</v>
      </c>
      <c r="F22" s="6">
        <v>69.824025000000006</v>
      </c>
      <c r="G22" s="7">
        <v>2.1187787E-2</v>
      </c>
      <c r="H22" s="47"/>
    </row>
    <row r="23" spans="1:8" ht="17.100000000000001" customHeight="1" x14ac:dyDescent="0.2">
      <c r="A23" s="3">
        <v>17</v>
      </c>
      <c r="B23" s="4" t="s">
        <v>172</v>
      </c>
      <c r="C23" s="4" t="s">
        <v>173</v>
      </c>
      <c r="D23" s="4" t="s">
        <v>174</v>
      </c>
      <c r="E23" s="5">
        <v>6371</v>
      </c>
      <c r="F23" s="6">
        <v>69.125349999999997</v>
      </c>
      <c r="G23" s="7">
        <v>2.0975778E-2</v>
      </c>
      <c r="H23" s="47"/>
    </row>
    <row r="24" spans="1:8" ht="29.1" customHeight="1" x14ac:dyDescent="0.2">
      <c r="A24" s="3">
        <v>18</v>
      </c>
      <c r="B24" s="4" t="s">
        <v>230</v>
      </c>
      <c r="C24" s="4" t="s">
        <v>231</v>
      </c>
      <c r="D24" s="4" t="s">
        <v>204</v>
      </c>
      <c r="E24" s="5">
        <v>17769</v>
      </c>
      <c r="F24" s="6">
        <v>65.221114499999999</v>
      </c>
      <c r="G24" s="7">
        <v>1.9791054999999998E-2</v>
      </c>
      <c r="H24" s="47"/>
    </row>
    <row r="25" spans="1:8" ht="17.100000000000001" customHeight="1" x14ac:dyDescent="0.2">
      <c r="A25" s="3">
        <v>19</v>
      </c>
      <c r="B25" s="4" t="s">
        <v>467</v>
      </c>
      <c r="C25" s="4" t="s">
        <v>468</v>
      </c>
      <c r="D25" s="4" t="s">
        <v>28</v>
      </c>
      <c r="E25" s="5">
        <v>9335</v>
      </c>
      <c r="F25" s="6">
        <v>62.185102499999999</v>
      </c>
      <c r="G25" s="7">
        <v>1.8869791E-2</v>
      </c>
      <c r="H25" s="47"/>
    </row>
    <row r="26" spans="1:8" ht="17.100000000000001" customHeight="1" x14ac:dyDescent="0.2">
      <c r="A26" s="3">
        <v>20</v>
      </c>
      <c r="B26" s="4" t="s">
        <v>182</v>
      </c>
      <c r="C26" s="4" t="s">
        <v>183</v>
      </c>
      <c r="D26" s="4" t="s">
        <v>184</v>
      </c>
      <c r="E26" s="5">
        <v>4288</v>
      </c>
      <c r="F26" s="6">
        <v>56.084896000000001</v>
      </c>
      <c r="G26" s="7">
        <v>1.7018709999999999E-2</v>
      </c>
      <c r="H26" s="47"/>
    </row>
    <row r="27" spans="1:8" ht="17.100000000000001" customHeight="1" x14ac:dyDescent="0.2">
      <c r="A27" s="3">
        <v>21</v>
      </c>
      <c r="B27" s="4" t="s">
        <v>220</v>
      </c>
      <c r="C27" s="4" t="s">
        <v>221</v>
      </c>
      <c r="D27" s="4" t="s">
        <v>91</v>
      </c>
      <c r="E27" s="5">
        <v>7205</v>
      </c>
      <c r="F27" s="6">
        <v>53.583584999999999</v>
      </c>
      <c r="G27" s="7">
        <v>1.6259698999999999E-2</v>
      </c>
      <c r="H27" s="47"/>
    </row>
    <row r="28" spans="1:8" ht="29.1" customHeight="1" x14ac:dyDescent="0.2">
      <c r="A28" s="3">
        <v>22</v>
      </c>
      <c r="B28" s="4" t="s">
        <v>202</v>
      </c>
      <c r="C28" s="4" t="s">
        <v>203</v>
      </c>
      <c r="D28" s="4" t="s">
        <v>204</v>
      </c>
      <c r="E28" s="5">
        <v>11300</v>
      </c>
      <c r="F28" s="6">
        <v>52.511099999999999</v>
      </c>
      <c r="G28" s="7">
        <v>1.5934258E-2</v>
      </c>
      <c r="H28" s="47"/>
    </row>
    <row r="29" spans="1:8" ht="17.100000000000001" customHeight="1" x14ac:dyDescent="0.2">
      <c r="A29" s="3">
        <v>23</v>
      </c>
      <c r="B29" s="4" t="s">
        <v>471</v>
      </c>
      <c r="C29" s="4" t="s">
        <v>472</v>
      </c>
      <c r="D29" s="4" t="s">
        <v>88</v>
      </c>
      <c r="E29" s="5">
        <v>5611</v>
      </c>
      <c r="F29" s="6">
        <v>51.778308000000003</v>
      </c>
      <c r="G29" s="7">
        <v>1.5711895E-2</v>
      </c>
      <c r="H29" s="47"/>
    </row>
    <row r="30" spans="1:8" ht="29.1" customHeight="1" x14ac:dyDescent="0.2">
      <c r="A30" s="3">
        <v>24</v>
      </c>
      <c r="B30" s="4" t="s">
        <v>179</v>
      </c>
      <c r="C30" s="4" t="s">
        <v>180</v>
      </c>
      <c r="D30" s="4" t="s">
        <v>181</v>
      </c>
      <c r="E30" s="5">
        <v>8218</v>
      </c>
      <c r="F30" s="6">
        <v>50.429757000000002</v>
      </c>
      <c r="G30" s="7">
        <v>1.5302684E-2</v>
      </c>
      <c r="H30" s="47"/>
    </row>
    <row r="31" spans="1:8" ht="17.100000000000001" customHeight="1" x14ac:dyDescent="0.2">
      <c r="A31" s="3">
        <v>25</v>
      </c>
      <c r="B31" s="4" t="s">
        <v>215</v>
      </c>
      <c r="C31" s="4" t="s">
        <v>216</v>
      </c>
      <c r="D31" s="4" t="s">
        <v>217</v>
      </c>
      <c r="E31" s="5">
        <v>18670</v>
      </c>
      <c r="F31" s="6">
        <v>49.428825000000003</v>
      </c>
      <c r="G31" s="7">
        <v>1.4998955E-2</v>
      </c>
      <c r="H31" s="47"/>
    </row>
    <row r="32" spans="1:8" ht="29.1" customHeight="1" x14ac:dyDescent="0.2">
      <c r="A32" s="3">
        <v>26</v>
      </c>
      <c r="B32" s="4" t="s">
        <v>52</v>
      </c>
      <c r="C32" s="4" t="s">
        <v>53</v>
      </c>
      <c r="D32" s="4" t="s">
        <v>25</v>
      </c>
      <c r="E32" s="5">
        <v>2267</v>
      </c>
      <c r="F32" s="6">
        <v>47.809896500000001</v>
      </c>
      <c r="G32" s="7">
        <v>1.4507699000000001E-2</v>
      </c>
      <c r="H32" s="47"/>
    </row>
    <row r="33" spans="1:8" ht="29.1" customHeight="1" x14ac:dyDescent="0.2">
      <c r="A33" s="3">
        <v>27</v>
      </c>
      <c r="B33" s="4" t="s">
        <v>175</v>
      </c>
      <c r="C33" s="4" t="s">
        <v>176</v>
      </c>
      <c r="D33" s="4" t="s">
        <v>88</v>
      </c>
      <c r="E33" s="5">
        <v>14050</v>
      </c>
      <c r="F33" s="6">
        <v>47.791074999999999</v>
      </c>
      <c r="G33" s="7">
        <v>1.4501986999999999E-2</v>
      </c>
      <c r="H33" s="47"/>
    </row>
    <row r="34" spans="1:8" ht="17.100000000000001" customHeight="1" x14ac:dyDescent="0.2">
      <c r="A34" s="3">
        <v>28</v>
      </c>
      <c r="B34" s="4" t="s">
        <v>267</v>
      </c>
      <c r="C34" s="4" t="s">
        <v>268</v>
      </c>
      <c r="D34" s="4" t="s">
        <v>171</v>
      </c>
      <c r="E34" s="5">
        <v>6153</v>
      </c>
      <c r="F34" s="6">
        <v>46.5566745</v>
      </c>
      <c r="G34" s="7">
        <v>1.4127414E-2</v>
      </c>
      <c r="H34" s="47"/>
    </row>
    <row r="35" spans="1:8" ht="29.1" customHeight="1" x14ac:dyDescent="0.2">
      <c r="A35" s="3">
        <v>29</v>
      </c>
      <c r="B35" s="4" t="s">
        <v>224</v>
      </c>
      <c r="C35" s="4" t="s">
        <v>225</v>
      </c>
      <c r="D35" s="4" t="s">
        <v>181</v>
      </c>
      <c r="E35" s="5">
        <v>9975</v>
      </c>
      <c r="F35" s="6">
        <v>45.276524999999999</v>
      </c>
      <c r="G35" s="7">
        <v>1.3738959E-2</v>
      </c>
      <c r="H35" s="47"/>
    </row>
    <row r="36" spans="1:8" ht="17.100000000000001" customHeight="1" x14ac:dyDescent="0.2">
      <c r="A36" s="3">
        <v>30</v>
      </c>
      <c r="B36" s="4" t="s">
        <v>194</v>
      </c>
      <c r="C36" s="4" t="s">
        <v>195</v>
      </c>
      <c r="D36" s="4" t="s">
        <v>174</v>
      </c>
      <c r="E36" s="5">
        <v>8975</v>
      </c>
      <c r="F36" s="6">
        <v>44.632674999999999</v>
      </c>
      <c r="G36" s="7">
        <v>1.3543585E-2</v>
      </c>
      <c r="H36" s="47"/>
    </row>
    <row r="37" spans="1:8" ht="17.100000000000001" customHeight="1" x14ac:dyDescent="0.2">
      <c r="A37" s="3">
        <v>31</v>
      </c>
      <c r="B37" s="4" t="s">
        <v>281</v>
      </c>
      <c r="C37" s="4" t="s">
        <v>282</v>
      </c>
      <c r="D37" s="4" t="s">
        <v>94</v>
      </c>
      <c r="E37" s="5">
        <v>7112</v>
      </c>
      <c r="F37" s="6">
        <v>44.602907999999999</v>
      </c>
      <c r="G37" s="7">
        <v>1.3534552E-2</v>
      </c>
      <c r="H37" s="47"/>
    </row>
    <row r="38" spans="1:8" ht="17.100000000000001" customHeight="1" x14ac:dyDescent="0.2">
      <c r="A38" s="3">
        <v>32</v>
      </c>
      <c r="B38" s="4" t="s">
        <v>248</v>
      </c>
      <c r="C38" s="4" t="s">
        <v>249</v>
      </c>
      <c r="D38" s="4" t="s">
        <v>174</v>
      </c>
      <c r="E38" s="5">
        <v>32152</v>
      </c>
      <c r="F38" s="6">
        <v>43.019376000000001</v>
      </c>
      <c r="G38" s="7">
        <v>1.3054036999999999E-2</v>
      </c>
      <c r="H38" s="47"/>
    </row>
    <row r="39" spans="1:8" ht="17.100000000000001" customHeight="1" x14ac:dyDescent="0.2">
      <c r="A39" s="3">
        <v>33</v>
      </c>
      <c r="B39" s="4" t="s">
        <v>187</v>
      </c>
      <c r="C39" s="4" t="s">
        <v>188</v>
      </c>
      <c r="D39" s="4" t="s">
        <v>91</v>
      </c>
      <c r="E39" s="5">
        <v>10036</v>
      </c>
      <c r="F39" s="6">
        <v>42.788485999999999</v>
      </c>
      <c r="G39" s="7">
        <v>1.2983974000000001E-2</v>
      </c>
      <c r="H39" s="47"/>
    </row>
    <row r="40" spans="1:8" ht="29.1" customHeight="1" x14ac:dyDescent="0.2">
      <c r="A40" s="3">
        <v>34</v>
      </c>
      <c r="B40" s="4" t="s">
        <v>212</v>
      </c>
      <c r="C40" s="4" t="s">
        <v>213</v>
      </c>
      <c r="D40" s="4" t="s">
        <v>214</v>
      </c>
      <c r="E40" s="5">
        <v>44136</v>
      </c>
      <c r="F40" s="6">
        <v>41.487839999999998</v>
      </c>
      <c r="G40" s="7">
        <v>1.2589299E-2</v>
      </c>
      <c r="H40" s="47"/>
    </row>
    <row r="41" spans="1:8" ht="29.1" customHeight="1" x14ac:dyDescent="0.2">
      <c r="A41" s="3">
        <v>35</v>
      </c>
      <c r="B41" s="4" t="s">
        <v>196</v>
      </c>
      <c r="C41" s="4" t="s">
        <v>197</v>
      </c>
      <c r="D41" s="4" t="s">
        <v>198</v>
      </c>
      <c r="E41" s="5">
        <v>3200</v>
      </c>
      <c r="F41" s="6">
        <v>40.68</v>
      </c>
      <c r="G41" s="7">
        <v>1.2344163999999999E-2</v>
      </c>
      <c r="H41" s="47"/>
    </row>
    <row r="42" spans="1:8" ht="17.100000000000001" customHeight="1" x14ac:dyDescent="0.2">
      <c r="A42" s="3">
        <v>36</v>
      </c>
      <c r="B42" s="4" t="s">
        <v>265</v>
      </c>
      <c r="C42" s="4" t="s">
        <v>266</v>
      </c>
      <c r="D42" s="4" t="s">
        <v>97</v>
      </c>
      <c r="E42" s="5">
        <v>3321</v>
      </c>
      <c r="F42" s="6">
        <v>39.310676999999998</v>
      </c>
      <c r="G42" s="7">
        <v>1.1928649E-2</v>
      </c>
      <c r="H42" s="47"/>
    </row>
    <row r="43" spans="1:8" ht="17.100000000000001" customHeight="1" x14ac:dyDescent="0.2">
      <c r="A43" s="3">
        <v>37</v>
      </c>
      <c r="B43" s="4" t="s">
        <v>169</v>
      </c>
      <c r="C43" s="4" t="s">
        <v>170</v>
      </c>
      <c r="D43" s="4" t="s">
        <v>171</v>
      </c>
      <c r="E43" s="5">
        <v>3655</v>
      </c>
      <c r="F43" s="6">
        <v>38.753965000000001</v>
      </c>
      <c r="G43" s="7">
        <v>1.1759716999999999E-2</v>
      </c>
      <c r="H43" s="47"/>
    </row>
    <row r="44" spans="1:8" ht="17.100000000000001" customHeight="1" x14ac:dyDescent="0.2">
      <c r="A44" s="3">
        <v>38</v>
      </c>
      <c r="B44" s="4" t="s">
        <v>239</v>
      </c>
      <c r="C44" s="4" t="s">
        <v>240</v>
      </c>
      <c r="D44" s="4" t="s">
        <v>88</v>
      </c>
      <c r="E44" s="5">
        <v>6426</v>
      </c>
      <c r="F44" s="6">
        <v>36.830618999999999</v>
      </c>
      <c r="G44" s="7">
        <v>1.1176086E-2</v>
      </c>
      <c r="H44" s="47"/>
    </row>
    <row r="45" spans="1:8" ht="17.100000000000001" customHeight="1" x14ac:dyDescent="0.2">
      <c r="A45" s="3">
        <v>39</v>
      </c>
      <c r="B45" s="4" t="s">
        <v>226</v>
      </c>
      <c r="C45" s="4" t="s">
        <v>227</v>
      </c>
      <c r="D45" s="4" t="s">
        <v>13</v>
      </c>
      <c r="E45" s="5">
        <v>48779</v>
      </c>
      <c r="F45" s="6">
        <v>35.681838499999998</v>
      </c>
      <c r="G45" s="7">
        <v>1.0827494E-2</v>
      </c>
      <c r="H45" s="47"/>
    </row>
    <row r="46" spans="1:8" ht="29.1" customHeight="1" x14ac:dyDescent="0.2">
      <c r="A46" s="3">
        <v>40</v>
      </c>
      <c r="B46" s="4" t="s">
        <v>236</v>
      </c>
      <c r="C46" s="4" t="s">
        <v>237</v>
      </c>
      <c r="D46" s="4" t="s">
        <v>238</v>
      </c>
      <c r="E46" s="5">
        <v>9296</v>
      </c>
      <c r="F46" s="6">
        <v>35.645511999999997</v>
      </c>
      <c r="G46" s="7">
        <v>1.0816470999999999E-2</v>
      </c>
      <c r="H46" s="47"/>
    </row>
    <row r="47" spans="1:8" ht="53.1" customHeight="1" x14ac:dyDescent="0.2">
      <c r="A47" s="3">
        <v>41</v>
      </c>
      <c r="B47" s="4" t="s">
        <v>422</v>
      </c>
      <c r="C47" s="4" t="s">
        <v>423</v>
      </c>
      <c r="D47" s="4" t="s">
        <v>62</v>
      </c>
      <c r="E47" s="5">
        <v>17050</v>
      </c>
      <c r="F47" s="6">
        <v>35.463999999999999</v>
      </c>
      <c r="G47" s="7">
        <v>1.0761392E-2</v>
      </c>
      <c r="H47" s="47"/>
    </row>
    <row r="48" spans="1:8" ht="29.1" customHeight="1" x14ac:dyDescent="0.2">
      <c r="A48" s="3">
        <v>42</v>
      </c>
      <c r="B48" s="4" t="s">
        <v>275</v>
      </c>
      <c r="C48" s="4" t="s">
        <v>276</v>
      </c>
      <c r="D48" s="4" t="s">
        <v>238</v>
      </c>
      <c r="E48" s="5">
        <v>6491</v>
      </c>
      <c r="F48" s="6">
        <v>34.441246</v>
      </c>
      <c r="G48" s="7">
        <v>1.0451042000000001E-2</v>
      </c>
      <c r="H48" s="47"/>
    </row>
    <row r="49" spans="1:8" ht="29.1" customHeight="1" x14ac:dyDescent="0.2">
      <c r="A49" s="3">
        <v>43</v>
      </c>
      <c r="B49" s="4" t="s">
        <v>256</v>
      </c>
      <c r="C49" s="4" t="s">
        <v>257</v>
      </c>
      <c r="D49" s="4" t="s">
        <v>88</v>
      </c>
      <c r="E49" s="5">
        <v>2285</v>
      </c>
      <c r="F49" s="6">
        <v>33.846562499999997</v>
      </c>
      <c r="G49" s="7">
        <v>1.0270588000000001E-2</v>
      </c>
      <c r="H49" s="47"/>
    </row>
    <row r="50" spans="1:8" ht="29.1" customHeight="1" x14ac:dyDescent="0.2">
      <c r="A50" s="3">
        <v>44</v>
      </c>
      <c r="B50" s="4" t="s">
        <v>290</v>
      </c>
      <c r="C50" s="4" t="s">
        <v>291</v>
      </c>
      <c r="D50" s="4" t="s">
        <v>292</v>
      </c>
      <c r="E50" s="5">
        <v>10640</v>
      </c>
      <c r="F50" s="6">
        <v>32.696719999999999</v>
      </c>
      <c r="G50" s="7">
        <v>9.9216730000000006E-3</v>
      </c>
      <c r="H50" s="47"/>
    </row>
    <row r="51" spans="1:8" ht="29.1" customHeight="1" x14ac:dyDescent="0.2">
      <c r="A51" s="3">
        <v>45</v>
      </c>
      <c r="B51" s="4" t="s">
        <v>390</v>
      </c>
      <c r="C51" s="4" t="s">
        <v>391</v>
      </c>
      <c r="D51" s="4" t="s">
        <v>201</v>
      </c>
      <c r="E51" s="5">
        <v>5263</v>
      </c>
      <c r="F51" s="6">
        <v>32.109563000000001</v>
      </c>
      <c r="G51" s="7">
        <v>9.7435030000000006E-3</v>
      </c>
      <c r="H51" s="47"/>
    </row>
    <row r="52" spans="1:8" ht="17.100000000000001" customHeight="1" x14ac:dyDescent="0.2">
      <c r="A52" s="3">
        <v>46</v>
      </c>
      <c r="B52" s="4" t="s">
        <v>269</v>
      </c>
      <c r="C52" s="4" t="s">
        <v>270</v>
      </c>
      <c r="D52" s="4" t="s">
        <v>91</v>
      </c>
      <c r="E52" s="5">
        <v>62770</v>
      </c>
      <c r="F52" s="6">
        <v>30.851455000000001</v>
      </c>
      <c r="G52" s="7">
        <v>9.3617360000000007E-3</v>
      </c>
      <c r="H52" s="47"/>
    </row>
    <row r="53" spans="1:8" ht="17.100000000000001" customHeight="1" x14ac:dyDescent="0.2">
      <c r="A53" s="3">
        <v>47</v>
      </c>
      <c r="B53" s="4" t="s">
        <v>246</v>
      </c>
      <c r="C53" s="4" t="s">
        <v>247</v>
      </c>
      <c r="D53" s="4" t="s">
        <v>94</v>
      </c>
      <c r="E53" s="5">
        <v>5781</v>
      </c>
      <c r="F53" s="6">
        <v>29.029291499999999</v>
      </c>
      <c r="G53" s="7">
        <v>8.8088079999999996E-3</v>
      </c>
      <c r="H53" s="47"/>
    </row>
    <row r="54" spans="1:8" ht="17.100000000000001" customHeight="1" x14ac:dyDescent="0.2">
      <c r="A54" s="3">
        <v>48</v>
      </c>
      <c r="B54" s="4" t="s">
        <v>487</v>
      </c>
      <c r="C54" s="4" t="s">
        <v>488</v>
      </c>
      <c r="D54" s="4" t="s">
        <v>28</v>
      </c>
      <c r="E54" s="5">
        <v>1221</v>
      </c>
      <c r="F54" s="6">
        <v>29.026833</v>
      </c>
      <c r="G54" s="7">
        <v>8.8080620000000002E-3</v>
      </c>
      <c r="H54" s="47"/>
    </row>
    <row r="55" spans="1:8" ht="29.1" customHeight="1" x14ac:dyDescent="0.2">
      <c r="A55" s="3">
        <v>49</v>
      </c>
      <c r="B55" s="4" t="s">
        <v>205</v>
      </c>
      <c r="C55" s="4" t="s">
        <v>206</v>
      </c>
      <c r="D55" s="4" t="s">
        <v>204</v>
      </c>
      <c r="E55" s="5">
        <v>1825</v>
      </c>
      <c r="F55" s="6">
        <v>28.700862499999999</v>
      </c>
      <c r="G55" s="7">
        <v>8.7091479999999999E-3</v>
      </c>
      <c r="H55" s="47"/>
    </row>
    <row r="56" spans="1:8" ht="17.100000000000001" customHeight="1" x14ac:dyDescent="0.2">
      <c r="A56" s="3">
        <v>50</v>
      </c>
      <c r="B56" s="4" t="s">
        <v>244</v>
      </c>
      <c r="C56" s="4" t="s">
        <v>245</v>
      </c>
      <c r="D56" s="4" t="s">
        <v>88</v>
      </c>
      <c r="E56" s="5">
        <v>12795</v>
      </c>
      <c r="F56" s="6">
        <v>24.272114999999999</v>
      </c>
      <c r="G56" s="7">
        <v>7.3652639999999998E-3</v>
      </c>
      <c r="H56" s="47"/>
    </row>
    <row r="57" spans="1:8" ht="17.100000000000001" customHeight="1" x14ac:dyDescent="0.2">
      <c r="A57" s="3">
        <v>51</v>
      </c>
      <c r="B57" s="4" t="s">
        <v>288</v>
      </c>
      <c r="C57" s="4" t="s">
        <v>289</v>
      </c>
      <c r="D57" s="4" t="s">
        <v>19</v>
      </c>
      <c r="E57" s="5">
        <v>12126</v>
      </c>
      <c r="F57" s="6">
        <v>23.415306000000001</v>
      </c>
      <c r="G57" s="7">
        <v>7.1052700000000003E-3</v>
      </c>
      <c r="H57" s="47"/>
    </row>
    <row r="58" spans="1:8" ht="29.1" customHeight="1" x14ac:dyDescent="0.2">
      <c r="A58" s="3">
        <v>52</v>
      </c>
      <c r="B58" s="4" t="s">
        <v>232</v>
      </c>
      <c r="C58" s="4" t="s">
        <v>233</v>
      </c>
      <c r="D58" s="4" t="s">
        <v>198</v>
      </c>
      <c r="E58" s="5">
        <v>11833</v>
      </c>
      <c r="F58" s="6">
        <v>23.287344000000001</v>
      </c>
      <c r="G58" s="7">
        <v>7.0664400000000002E-3</v>
      </c>
      <c r="H58" s="47"/>
    </row>
    <row r="59" spans="1:8" ht="29.1" customHeight="1" x14ac:dyDescent="0.2">
      <c r="A59" s="3">
        <v>53</v>
      </c>
      <c r="B59" s="4" t="s">
        <v>250</v>
      </c>
      <c r="C59" s="4" t="s">
        <v>251</v>
      </c>
      <c r="D59" s="4" t="s">
        <v>204</v>
      </c>
      <c r="E59" s="5">
        <v>546</v>
      </c>
      <c r="F59" s="6">
        <v>22.882041000000001</v>
      </c>
      <c r="G59" s="7">
        <v>6.9434529999999996E-3</v>
      </c>
      <c r="H59" s="47"/>
    </row>
    <row r="60" spans="1:8" ht="17.100000000000001" customHeight="1" x14ac:dyDescent="0.2">
      <c r="A60" s="3">
        <v>54</v>
      </c>
      <c r="B60" s="4" t="s">
        <v>106</v>
      </c>
      <c r="C60" s="4" t="s">
        <v>107</v>
      </c>
      <c r="D60" s="4" t="s">
        <v>88</v>
      </c>
      <c r="E60" s="5">
        <v>975</v>
      </c>
      <c r="F60" s="6">
        <v>21.904837499999999</v>
      </c>
      <c r="G60" s="7">
        <v>6.6469249999999997E-3</v>
      </c>
      <c r="H60" s="47"/>
    </row>
    <row r="61" spans="1:8" ht="17.100000000000001" customHeight="1" x14ac:dyDescent="0.2">
      <c r="A61" s="3">
        <v>55</v>
      </c>
      <c r="B61" s="4" t="s">
        <v>273</v>
      </c>
      <c r="C61" s="4" t="s">
        <v>274</v>
      </c>
      <c r="D61" s="4" t="s">
        <v>114</v>
      </c>
      <c r="E61" s="5">
        <v>10387</v>
      </c>
      <c r="F61" s="6">
        <v>20.072877500000001</v>
      </c>
      <c r="G61" s="7">
        <v>6.0910249999999999E-3</v>
      </c>
      <c r="H61" s="47"/>
    </row>
    <row r="62" spans="1:8" ht="17.100000000000001" customHeight="1" x14ac:dyDescent="0.2">
      <c r="A62" s="3">
        <v>56</v>
      </c>
      <c r="B62" s="4" t="s">
        <v>110</v>
      </c>
      <c r="C62" s="4" t="s">
        <v>111</v>
      </c>
      <c r="D62" s="4" t="s">
        <v>13</v>
      </c>
      <c r="E62" s="5">
        <v>15702</v>
      </c>
      <c r="F62" s="6">
        <v>18.041598</v>
      </c>
      <c r="G62" s="7">
        <v>5.474642E-3</v>
      </c>
      <c r="H62" s="47"/>
    </row>
    <row r="63" spans="1:8" ht="17.100000000000001" customHeight="1" x14ac:dyDescent="0.2">
      <c r="A63" s="3">
        <v>57</v>
      </c>
      <c r="B63" s="4" t="s">
        <v>252</v>
      </c>
      <c r="C63" s="4" t="s">
        <v>253</v>
      </c>
      <c r="D63" s="4" t="s">
        <v>97</v>
      </c>
      <c r="E63" s="5">
        <v>22625</v>
      </c>
      <c r="F63" s="6">
        <v>14.762812500000001</v>
      </c>
      <c r="G63" s="7">
        <v>4.4797090000000001E-3</v>
      </c>
      <c r="H63" s="47"/>
    </row>
    <row r="64" spans="1:8" ht="29.1" customHeight="1" x14ac:dyDescent="0.2">
      <c r="A64" s="3">
        <v>58</v>
      </c>
      <c r="B64" s="4" t="s">
        <v>258</v>
      </c>
      <c r="C64" s="4" t="s">
        <v>259</v>
      </c>
      <c r="D64" s="4" t="s">
        <v>201</v>
      </c>
      <c r="E64" s="5">
        <v>1792</v>
      </c>
      <c r="F64" s="6">
        <v>9.5504639999999998</v>
      </c>
      <c r="G64" s="7">
        <v>2.8980450000000001E-3</v>
      </c>
      <c r="H64" s="47"/>
    </row>
    <row r="65" spans="1:8" ht="17.100000000000001" customHeight="1" x14ac:dyDescent="0.2">
      <c r="A65" s="3">
        <v>59</v>
      </c>
      <c r="B65" s="4" t="s">
        <v>493</v>
      </c>
      <c r="C65" s="4" t="s">
        <v>494</v>
      </c>
      <c r="D65" s="4" t="s">
        <v>28</v>
      </c>
      <c r="E65" s="5">
        <v>552</v>
      </c>
      <c r="F65" s="6">
        <v>5.6795280000000004</v>
      </c>
      <c r="G65" s="7">
        <v>1.723427E-3</v>
      </c>
      <c r="H65" s="47"/>
    </row>
    <row r="66" spans="1:8" ht="14.1" customHeight="1" x14ac:dyDescent="0.2">
      <c r="A66" s="1"/>
      <c r="B66" s="1"/>
      <c r="C66" s="2" t="s">
        <v>122</v>
      </c>
      <c r="D66" s="1"/>
      <c r="E66" s="1" t="s">
        <v>123</v>
      </c>
      <c r="F66" s="9">
        <v>2988.5414384999999</v>
      </c>
      <c r="G66" s="10">
        <v>0.90685950199999998</v>
      </c>
      <c r="H66" s="47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47"/>
    </row>
    <row r="68" spans="1:8" ht="14.1" customHeight="1" x14ac:dyDescent="0.2">
      <c r="A68" s="1"/>
      <c r="B68" s="1"/>
      <c r="C68" s="2" t="s">
        <v>124</v>
      </c>
      <c r="D68" s="1"/>
      <c r="E68" s="1"/>
      <c r="F68" s="1"/>
      <c r="G68" s="1"/>
      <c r="H68" s="47"/>
    </row>
    <row r="69" spans="1:8" ht="14.1" customHeight="1" x14ac:dyDescent="0.2">
      <c r="A69" s="1"/>
      <c r="B69" s="1"/>
      <c r="C69" s="2" t="s">
        <v>122</v>
      </c>
      <c r="D69" s="1"/>
      <c r="E69" s="1" t="s">
        <v>123</v>
      </c>
      <c r="F69" s="13">
        <v>0</v>
      </c>
      <c r="G69" s="14">
        <v>0</v>
      </c>
      <c r="H69" s="47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47"/>
    </row>
    <row r="71" spans="1:8" ht="14.1" customHeight="1" x14ac:dyDescent="0.2">
      <c r="A71" s="1"/>
      <c r="B71" s="1"/>
      <c r="C71" s="2" t="s">
        <v>125</v>
      </c>
      <c r="D71" s="1"/>
      <c r="E71" s="1"/>
      <c r="F71" s="1"/>
      <c r="G71" s="1"/>
      <c r="H71" s="47"/>
    </row>
    <row r="72" spans="1:8" ht="14.1" customHeight="1" x14ac:dyDescent="0.2">
      <c r="A72" s="1"/>
      <c r="B72" s="1"/>
      <c r="C72" s="2" t="s">
        <v>122</v>
      </c>
      <c r="D72" s="1"/>
      <c r="E72" s="1" t="s">
        <v>123</v>
      </c>
      <c r="F72" s="13">
        <v>0</v>
      </c>
      <c r="G72" s="14">
        <v>0</v>
      </c>
      <c r="H72" s="47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47"/>
    </row>
    <row r="74" spans="1:8" ht="14.1" customHeight="1" x14ac:dyDescent="0.2">
      <c r="A74" s="1"/>
      <c r="B74" s="1"/>
      <c r="C74" s="2" t="s">
        <v>126</v>
      </c>
      <c r="D74" s="1"/>
      <c r="E74" s="1"/>
      <c r="F74" s="1"/>
      <c r="G74" s="1"/>
      <c r="H74" s="47"/>
    </row>
    <row r="75" spans="1:8" ht="14.1" customHeight="1" x14ac:dyDescent="0.2">
      <c r="A75" s="1"/>
      <c r="B75" s="1"/>
      <c r="C75" s="2" t="s">
        <v>122</v>
      </c>
      <c r="D75" s="1"/>
      <c r="E75" s="1" t="s">
        <v>123</v>
      </c>
      <c r="F75" s="13">
        <v>0</v>
      </c>
      <c r="G75" s="14">
        <v>0</v>
      </c>
      <c r="H75" s="47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47"/>
    </row>
    <row r="77" spans="1:8" ht="14.1" customHeight="1" x14ac:dyDescent="0.2">
      <c r="A77" s="1"/>
      <c r="B77" s="1"/>
      <c r="C77" s="2" t="s">
        <v>127</v>
      </c>
      <c r="D77" s="1"/>
      <c r="E77" s="1"/>
      <c r="F77" s="12"/>
      <c r="G77" s="12"/>
      <c r="H77" s="47"/>
    </row>
    <row r="78" spans="1:8" ht="14.1" customHeight="1" x14ac:dyDescent="0.2">
      <c r="A78" s="1"/>
      <c r="B78" s="1"/>
      <c r="C78" s="2" t="s">
        <v>122</v>
      </c>
      <c r="D78" s="1"/>
      <c r="E78" s="1" t="s">
        <v>123</v>
      </c>
      <c r="F78" s="13">
        <v>0</v>
      </c>
      <c r="G78" s="14">
        <v>0</v>
      </c>
      <c r="H78" s="47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128</v>
      </c>
      <c r="D80" s="1"/>
      <c r="E80" s="1"/>
      <c r="F80" s="12"/>
      <c r="G80" s="12"/>
      <c r="H80" s="47"/>
    </row>
    <row r="81" spans="1:8" ht="14.1" customHeight="1" x14ac:dyDescent="0.2">
      <c r="A81" s="1"/>
      <c r="B81" s="1"/>
      <c r="C81" s="2" t="s">
        <v>122</v>
      </c>
      <c r="D81" s="1"/>
      <c r="E81" s="1" t="s">
        <v>123</v>
      </c>
      <c r="F81" s="13">
        <v>0</v>
      </c>
      <c r="G81" s="14">
        <v>0</v>
      </c>
      <c r="H81" s="47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47"/>
    </row>
    <row r="83" spans="1:8" ht="18" customHeight="1" x14ac:dyDescent="0.2">
      <c r="A83" s="1"/>
      <c r="B83" s="1"/>
      <c r="C83" s="2" t="s">
        <v>129</v>
      </c>
      <c r="D83" s="1"/>
      <c r="E83" s="1"/>
      <c r="F83" s="9">
        <v>2988.5414384999999</v>
      </c>
      <c r="G83" s="10">
        <v>0.90685950199999998</v>
      </c>
      <c r="H83" s="47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130</v>
      </c>
      <c r="D85" s="1"/>
      <c r="E85" s="1"/>
      <c r="F85" s="12"/>
      <c r="G85" s="12"/>
      <c r="H85" s="47"/>
    </row>
    <row r="86" spans="1:8" ht="24" customHeight="1" x14ac:dyDescent="0.2">
      <c r="A86" s="1"/>
      <c r="B86" s="1"/>
      <c r="C86" s="2" t="s">
        <v>10</v>
      </c>
      <c r="D86" s="1"/>
      <c r="E86" s="1"/>
      <c r="F86" s="12"/>
      <c r="G86" s="12"/>
      <c r="H86" s="47"/>
    </row>
    <row r="87" spans="1:8" ht="14.1" customHeight="1" x14ac:dyDescent="0.2">
      <c r="A87" s="1"/>
      <c r="B87" s="1"/>
      <c r="C87" s="2" t="s">
        <v>122</v>
      </c>
      <c r="D87" s="1"/>
      <c r="E87" s="1" t="s">
        <v>123</v>
      </c>
      <c r="F87" s="13">
        <v>0</v>
      </c>
      <c r="G87" s="14">
        <v>0</v>
      </c>
      <c r="H87" s="47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131</v>
      </c>
      <c r="D89" s="1"/>
      <c r="E89" s="1"/>
      <c r="F89" s="1"/>
      <c r="G89" s="1"/>
      <c r="H89" s="47"/>
    </row>
    <row r="90" spans="1:8" ht="14.1" customHeight="1" x14ac:dyDescent="0.2">
      <c r="A90" s="1"/>
      <c r="B90" s="1"/>
      <c r="C90" s="2" t="s">
        <v>122</v>
      </c>
      <c r="D90" s="1"/>
      <c r="E90" s="1" t="s">
        <v>123</v>
      </c>
      <c r="F90" s="13">
        <v>0</v>
      </c>
      <c r="G90" s="14">
        <v>0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132</v>
      </c>
      <c r="D92" s="1"/>
      <c r="E92" s="1"/>
      <c r="F92" s="1"/>
      <c r="G92" s="1"/>
      <c r="H92" s="47"/>
    </row>
    <row r="93" spans="1:8" ht="14.1" customHeight="1" x14ac:dyDescent="0.2">
      <c r="A93" s="1"/>
      <c r="B93" s="1"/>
      <c r="C93" s="2" t="s">
        <v>122</v>
      </c>
      <c r="D93" s="1"/>
      <c r="E93" s="1" t="s">
        <v>123</v>
      </c>
      <c r="F93" s="13">
        <v>0</v>
      </c>
      <c r="G93" s="14">
        <v>0</v>
      </c>
      <c r="H93" s="47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47"/>
    </row>
    <row r="95" spans="1:8" ht="14.1" customHeight="1" x14ac:dyDescent="0.2">
      <c r="A95" s="1"/>
      <c r="B95" s="1"/>
      <c r="C95" s="2" t="s">
        <v>133</v>
      </c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122</v>
      </c>
      <c r="D96" s="1"/>
      <c r="E96" s="1" t="s">
        <v>123</v>
      </c>
      <c r="F96" s="13">
        <v>0</v>
      </c>
      <c r="G96" s="14">
        <v>0</v>
      </c>
      <c r="H96" s="47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134</v>
      </c>
      <c r="D98" s="1"/>
      <c r="E98" s="1"/>
      <c r="F98" s="9">
        <v>0</v>
      </c>
      <c r="G98" s="10">
        <v>0</v>
      </c>
      <c r="H98" s="47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47"/>
    </row>
    <row r="100" spans="1:8" ht="14.1" customHeight="1" x14ac:dyDescent="0.2">
      <c r="A100" s="1"/>
      <c r="B100" s="1"/>
      <c r="C100" s="2" t="s">
        <v>135</v>
      </c>
      <c r="D100" s="1"/>
      <c r="E100" s="1"/>
      <c r="F100" s="12"/>
      <c r="G100" s="12"/>
      <c r="H100" s="47"/>
    </row>
    <row r="101" spans="1:8" ht="14.1" customHeight="1" x14ac:dyDescent="0.2">
      <c r="A101" s="1"/>
      <c r="B101" s="1"/>
      <c r="C101" s="2" t="s">
        <v>136</v>
      </c>
      <c r="D101" s="1"/>
      <c r="E101" s="1"/>
      <c r="F101" s="12"/>
      <c r="G101" s="12"/>
      <c r="H101" s="47"/>
    </row>
    <row r="102" spans="1:8" ht="14.1" customHeight="1" x14ac:dyDescent="0.2">
      <c r="A102" s="1"/>
      <c r="B102" s="1"/>
      <c r="C102" s="2" t="s">
        <v>122</v>
      </c>
      <c r="D102" s="1"/>
      <c r="E102" s="1" t="s">
        <v>123</v>
      </c>
      <c r="F102" s="13">
        <v>0</v>
      </c>
      <c r="G102" s="14">
        <v>0</v>
      </c>
      <c r="H102" s="47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2" t="s">
        <v>137</v>
      </c>
      <c r="D104" s="1"/>
      <c r="E104" s="1"/>
      <c r="F104" s="12"/>
      <c r="G104" s="12"/>
      <c r="H104" s="47"/>
    </row>
    <row r="105" spans="1:8" ht="14.1" customHeight="1" x14ac:dyDescent="0.2">
      <c r="A105" s="1"/>
      <c r="B105" s="1"/>
      <c r="C105" s="2" t="s">
        <v>122</v>
      </c>
      <c r="D105" s="1"/>
      <c r="E105" s="1" t="s">
        <v>123</v>
      </c>
      <c r="F105" s="13">
        <v>0</v>
      </c>
      <c r="G105" s="14">
        <v>0</v>
      </c>
      <c r="H105" s="47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47"/>
    </row>
    <row r="107" spans="1:8" ht="14.1" customHeight="1" x14ac:dyDescent="0.2">
      <c r="A107" s="1"/>
      <c r="B107" s="1"/>
      <c r="C107" s="2" t="s">
        <v>138</v>
      </c>
      <c r="D107" s="1"/>
      <c r="E107" s="1"/>
      <c r="F107" s="12"/>
      <c r="G107" s="12"/>
      <c r="H107" s="47"/>
    </row>
    <row r="108" spans="1:8" ht="14.1" customHeight="1" x14ac:dyDescent="0.2">
      <c r="A108" s="1"/>
      <c r="B108" s="1"/>
      <c r="C108" s="2" t="s">
        <v>122</v>
      </c>
      <c r="D108" s="1"/>
      <c r="E108" s="1" t="s">
        <v>123</v>
      </c>
      <c r="F108" s="13">
        <v>0</v>
      </c>
      <c r="G108" s="14">
        <v>0</v>
      </c>
      <c r="H108" s="47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2" t="s">
        <v>139</v>
      </c>
      <c r="D110" s="1"/>
      <c r="E110" s="1"/>
      <c r="F110" s="12"/>
      <c r="G110" s="12"/>
      <c r="H110" s="47"/>
    </row>
    <row r="111" spans="1:8" ht="17.100000000000001" customHeight="1" x14ac:dyDescent="0.2">
      <c r="A111" s="3">
        <v>1</v>
      </c>
      <c r="B111" s="4"/>
      <c r="C111" s="4" t="s">
        <v>140</v>
      </c>
      <c r="D111" s="4"/>
      <c r="E111" s="8"/>
      <c r="F111" s="6">
        <v>249.17859780000001</v>
      </c>
      <c r="G111" s="7">
        <v>7.5612128000000001E-2</v>
      </c>
      <c r="H111" s="47">
        <v>4.6730752161314033</v>
      </c>
    </row>
    <row r="112" spans="1:8" ht="14.1" customHeight="1" x14ac:dyDescent="0.2">
      <c r="A112" s="1"/>
      <c r="B112" s="1"/>
      <c r="C112" s="2" t="s">
        <v>122</v>
      </c>
      <c r="D112" s="1"/>
      <c r="E112" s="1" t="s">
        <v>123</v>
      </c>
      <c r="F112" s="9">
        <v>249.17859780000001</v>
      </c>
      <c r="G112" s="10">
        <v>7.5612128000000001E-2</v>
      </c>
      <c r="H112" s="47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47"/>
    </row>
    <row r="114" spans="1:8" ht="14.1" customHeight="1" x14ac:dyDescent="0.2">
      <c r="A114" s="1"/>
      <c r="B114" s="1"/>
      <c r="C114" s="2" t="s">
        <v>141</v>
      </c>
      <c r="D114" s="1"/>
      <c r="E114" s="1"/>
      <c r="F114" s="9">
        <v>249.17859780000001</v>
      </c>
      <c r="G114" s="10">
        <v>7.5612128000000001E-2</v>
      </c>
      <c r="H114" s="47"/>
    </row>
    <row r="115" spans="1:8" ht="14.1" customHeight="1" x14ac:dyDescent="0.2">
      <c r="A115" s="1"/>
      <c r="B115" s="1"/>
      <c r="C115" s="12"/>
      <c r="D115" s="1"/>
      <c r="E115" s="1"/>
      <c r="F115" s="1"/>
      <c r="G115" s="1"/>
      <c r="H115" s="47"/>
    </row>
    <row r="116" spans="1:8" ht="14.1" customHeight="1" x14ac:dyDescent="0.2">
      <c r="A116" s="1"/>
      <c r="B116" s="1"/>
      <c r="C116" s="2" t="s">
        <v>142</v>
      </c>
      <c r="D116" s="1"/>
      <c r="E116" s="1"/>
      <c r="F116" s="1"/>
      <c r="G116" s="1"/>
      <c r="H116" s="47"/>
    </row>
    <row r="117" spans="1:8" ht="14.1" customHeight="1" x14ac:dyDescent="0.2">
      <c r="A117" s="1"/>
      <c r="B117" s="1"/>
      <c r="C117" s="2" t="s">
        <v>143</v>
      </c>
      <c r="D117" s="1"/>
      <c r="E117" s="1"/>
      <c r="F117" s="1"/>
      <c r="G117" s="1"/>
      <c r="H117" s="47"/>
    </row>
    <row r="118" spans="1:8" ht="14.1" customHeight="1" x14ac:dyDescent="0.2">
      <c r="A118" s="1"/>
      <c r="B118" s="1"/>
      <c r="C118" s="2" t="s">
        <v>122</v>
      </c>
      <c r="D118" s="1"/>
      <c r="E118" s="1" t="s">
        <v>123</v>
      </c>
      <c r="F118" s="13">
        <v>0</v>
      </c>
      <c r="G118" s="14">
        <v>0</v>
      </c>
      <c r="H118" s="47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47"/>
    </row>
    <row r="120" spans="1:8" ht="14.1" customHeight="1" x14ac:dyDescent="0.2">
      <c r="A120" s="1"/>
      <c r="B120" s="1"/>
      <c r="C120" s="2" t="s">
        <v>144</v>
      </c>
      <c r="D120" s="1"/>
      <c r="E120" s="1"/>
      <c r="F120" s="1"/>
      <c r="G120" s="1"/>
      <c r="H120" s="47"/>
    </row>
    <row r="121" spans="1:8" ht="14.1" customHeight="1" x14ac:dyDescent="0.2">
      <c r="A121" s="1"/>
      <c r="B121" s="1"/>
      <c r="C121" s="2" t="s">
        <v>145</v>
      </c>
      <c r="D121" s="1"/>
      <c r="E121" s="1"/>
      <c r="F121" s="1"/>
      <c r="G121" s="1"/>
      <c r="H121" s="47"/>
    </row>
    <row r="122" spans="1:8" ht="14.1" customHeight="1" x14ac:dyDescent="0.2">
      <c r="A122" s="1"/>
      <c r="B122" s="1"/>
      <c r="C122" s="2" t="s">
        <v>122</v>
      </c>
      <c r="D122" s="1"/>
      <c r="E122" s="1" t="s">
        <v>123</v>
      </c>
      <c r="F122" s="13">
        <v>0</v>
      </c>
      <c r="G122" s="14">
        <v>0</v>
      </c>
      <c r="H122" s="47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47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47"/>
    </row>
    <row r="125" spans="1:8" ht="24" customHeight="1" x14ac:dyDescent="0.2">
      <c r="A125" s="1"/>
      <c r="B125" s="1"/>
      <c r="C125" s="2" t="s">
        <v>146</v>
      </c>
      <c r="D125" s="1"/>
      <c r="E125" s="1"/>
      <c r="F125" s="12"/>
      <c r="G125" s="12"/>
      <c r="H125" s="47"/>
    </row>
    <row r="126" spans="1:8" ht="14.1" customHeight="1" x14ac:dyDescent="0.2">
      <c r="A126" s="1"/>
      <c r="B126" s="1"/>
      <c r="C126" s="2" t="s">
        <v>122</v>
      </c>
      <c r="D126" s="1"/>
      <c r="E126" s="1" t="s">
        <v>123</v>
      </c>
      <c r="F126" s="13">
        <v>0</v>
      </c>
      <c r="G126" s="14">
        <v>0</v>
      </c>
      <c r="H126" s="47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47"/>
    </row>
    <row r="128" spans="1:8" ht="14.1" customHeight="1" x14ac:dyDescent="0.2">
      <c r="A128" s="1"/>
      <c r="B128" s="4"/>
      <c r="C128" s="4"/>
      <c r="D128" s="2"/>
      <c r="E128" s="1"/>
      <c r="F128" s="4"/>
      <c r="G128" s="8"/>
      <c r="H128" s="47"/>
    </row>
    <row r="129" spans="1:8" ht="18" customHeight="1" x14ac:dyDescent="0.2">
      <c r="A129" s="8"/>
      <c r="B129" s="4"/>
      <c r="C129" s="4" t="s">
        <v>147</v>
      </c>
      <c r="D129" s="4"/>
      <c r="E129" s="8"/>
      <c r="F129" s="6">
        <v>57.764477880000001</v>
      </c>
      <c r="G129" s="7">
        <v>1.7528372E-2</v>
      </c>
      <c r="H129" s="47"/>
    </row>
    <row r="130" spans="1:8" ht="14.1" customHeight="1" x14ac:dyDescent="0.2">
      <c r="A130" s="11"/>
      <c r="B130" s="11"/>
      <c r="C130" s="2" t="s">
        <v>148</v>
      </c>
      <c r="D130" s="15"/>
      <c r="E130" s="15"/>
      <c r="F130" s="9">
        <v>3295.4845141800001</v>
      </c>
      <c r="G130" s="10">
        <v>1.0000000019999999</v>
      </c>
      <c r="H130" s="47"/>
    </row>
    <row r="131" spans="1:8" ht="14.1" customHeight="1" x14ac:dyDescent="0.2">
      <c r="A131" s="16"/>
      <c r="B131" s="16"/>
      <c r="C131" s="16"/>
      <c r="D131" s="17"/>
      <c r="E131" s="17"/>
      <c r="F131" s="17"/>
      <c r="G131" s="17"/>
    </row>
    <row r="132" spans="1:8" ht="14.1" customHeight="1" x14ac:dyDescent="0.2">
      <c r="A132" s="18"/>
      <c r="B132" s="257" t="s">
        <v>150</v>
      </c>
      <c r="C132" s="258"/>
      <c r="D132" s="12" t="s">
        <v>123</v>
      </c>
      <c r="E132" s="21"/>
      <c r="F132" s="20"/>
      <c r="G132" s="20"/>
    </row>
    <row r="133" spans="1:8" ht="29.1" customHeight="1" x14ac:dyDescent="0.2">
      <c r="A133" s="18"/>
      <c r="B133" s="259" t="s">
        <v>151</v>
      </c>
      <c r="C133" s="260"/>
      <c r="D133" s="2" t="s">
        <v>152</v>
      </c>
      <c r="E133" s="21"/>
      <c r="F133" s="20"/>
      <c r="G133" s="20"/>
    </row>
    <row r="134" spans="1:8" ht="17.100000000000001" customHeight="1" x14ac:dyDescent="0.2">
      <c r="A134" s="18"/>
      <c r="B134" s="259" t="s">
        <v>153</v>
      </c>
      <c r="C134" s="260"/>
      <c r="D134" s="2" t="s">
        <v>152</v>
      </c>
      <c r="E134" s="21"/>
      <c r="F134" s="20"/>
      <c r="G134" s="20"/>
    </row>
    <row r="135" spans="1:8" ht="17.100000000000001" customHeight="1" x14ac:dyDescent="0.2">
      <c r="A135" s="18"/>
      <c r="B135" s="259" t="s">
        <v>154</v>
      </c>
      <c r="C135" s="260"/>
      <c r="D135" s="12" t="s">
        <v>123</v>
      </c>
      <c r="E135" s="21"/>
      <c r="F135" s="20"/>
      <c r="G135" s="20"/>
    </row>
    <row r="136" spans="1:8" ht="24" customHeight="1" x14ac:dyDescent="0.2">
      <c r="A136" s="22"/>
      <c r="B136" s="23" t="s">
        <v>123</v>
      </c>
      <c r="C136" s="23" t="s">
        <v>155</v>
      </c>
      <c r="D136" s="23" t="s">
        <v>156</v>
      </c>
      <c r="E136" s="22"/>
      <c r="F136" s="22"/>
      <c r="G136" s="22"/>
    </row>
    <row r="137" spans="1:8" ht="18" customHeight="1" x14ac:dyDescent="0.2">
      <c r="A137" s="22"/>
      <c r="B137" s="23" t="s">
        <v>157</v>
      </c>
      <c r="C137" s="23" t="s">
        <v>158</v>
      </c>
      <c r="D137" s="23" t="s">
        <v>159</v>
      </c>
      <c r="E137" s="22"/>
      <c r="F137" s="22"/>
      <c r="G137" s="22"/>
    </row>
    <row r="138" spans="1:8" ht="17.100000000000001" customHeight="1" x14ac:dyDescent="0.2">
      <c r="A138" s="22"/>
      <c r="B138" s="4" t="s">
        <v>160</v>
      </c>
      <c r="C138" s="24">
        <v>14.6416</v>
      </c>
      <c r="D138" s="24">
        <v>14.024100000000001</v>
      </c>
      <c r="E138" s="22"/>
      <c r="F138" s="19"/>
      <c r="G138" s="25"/>
    </row>
    <row r="139" spans="1:8" ht="17.100000000000001" customHeight="1" x14ac:dyDescent="0.2">
      <c r="A139" s="22"/>
      <c r="B139" s="4" t="s">
        <v>1101</v>
      </c>
      <c r="C139" s="24">
        <v>14.6416</v>
      </c>
      <c r="D139" s="24">
        <v>14.024100000000001</v>
      </c>
      <c r="E139" s="22"/>
      <c r="F139" s="19"/>
      <c r="G139" s="25"/>
    </row>
    <row r="140" spans="1:8" ht="17.100000000000001" customHeight="1" x14ac:dyDescent="0.2">
      <c r="A140" s="22"/>
      <c r="B140" s="4" t="s">
        <v>161</v>
      </c>
      <c r="C140" s="24">
        <v>14.0746</v>
      </c>
      <c r="D140" s="24">
        <v>13.479100000000001</v>
      </c>
      <c r="E140" s="22"/>
      <c r="F140" s="19"/>
      <c r="G140" s="25"/>
    </row>
    <row r="141" spans="1:8" ht="17.100000000000001" customHeight="1" x14ac:dyDescent="0.2">
      <c r="A141" s="22"/>
      <c r="B141" s="4" t="s">
        <v>1102</v>
      </c>
      <c r="C141" s="24">
        <v>14.0746</v>
      </c>
      <c r="D141" s="24">
        <v>13.478999999999999</v>
      </c>
      <c r="E141" s="22"/>
      <c r="F141" s="19"/>
      <c r="G141" s="25"/>
    </row>
    <row r="142" spans="1:8" ht="14.1" customHeight="1" x14ac:dyDescent="0.2">
      <c r="A142" s="22"/>
      <c r="B142" s="22"/>
      <c r="C142" s="22"/>
      <c r="D142" s="22"/>
      <c r="E142" s="22"/>
      <c r="F142" s="22"/>
      <c r="G142" s="22"/>
    </row>
    <row r="143" spans="1:8" ht="17.100000000000001" customHeight="1" x14ac:dyDescent="0.2">
      <c r="A143" s="22"/>
      <c r="B143" s="259" t="s">
        <v>1103</v>
      </c>
      <c r="C143" s="260"/>
      <c r="D143" s="2" t="s">
        <v>152</v>
      </c>
      <c r="E143" s="22"/>
      <c r="F143" s="22"/>
      <c r="G143" s="22"/>
    </row>
    <row r="144" spans="1:8" ht="18" customHeight="1" x14ac:dyDescent="0.2">
      <c r="A144" s="22"/>
      <c r="B144" s="26"/>
      <c r="C144" s="26"/>
      <c r="D144" s="27"/>
      <c r="E144" s="22"/>
      <c r="F144" s="22"/>
      <c r="G144" s="22"/>
    </row>
    <row r="145" spans="1:15" ht="29.1" customHeight="1" x14ac:dyDescent="0.2">
      <c r="A145" s="22"/>
      <c r="B145" s="259" t="s">
        <v>162</v>
      </c>
      <c r="C145" s="260"/>
      <c r="D145" s="2" t="s">
        <v>152</v>
      </c>
      <c r="E145" s="22"/>
      <c r="F145" s="22"/>
      <c r="G145" s="22"/>
    </row>
    <row r="146" spans="1:15" ht="29.1" customHeight="1" x14ac:dyDescent="0.2">
      <c r="A146" s="22"/>
      <c r="B146" s="259" t="s">
        <v>163</v>
      </c>
      <c r="C146" s="260"/>
      <c r="D146" s="2" t="s">
        <v>152</v>
      </c>
      <c r="E146" s="22"/>
      <c r="F146" s="22"/>
      <c r="G146" s="22"/>
    </row>
    <row r="147" spans="1:15" ht="17.100000000000001" customHeight="1" x14ac:dyDescent="0.2">
      <c r="A147" s="22"/>
      <c r="B147" s="259" t="s">
        <v>164</v>
      </c>
      <c r="C147" s="260"/>
      <c r="D147" s="28">
        <v>0.21030944248478189</v>
      </c>
      <c r="E147" s="22"/>
      <c r="F147" s="19"/>
      <c r="G147" s="25"/>
    </row>
    <row r="148" spans="1:15" ht="17.100000000000001" customHeight="1" x14ac:dyDescent="0.2">
      <c r="A148" s="22"/>
      <c r="B148" s="259" t="s">
        <v>165</v>
      </c>
      <c r="C148" s="260"/>
      <c r="D148" s="2" t="s">
        <v>152</v>
      </c>
      <c r="E148" s="22"/>
      <c r="F148" s="22"/>
      <c r="G148" s="22"/>
    </row>
    <row r="158" spans="1:15" x14ac:dyDescent="0.2">
      <c r="J158" s="148"/>
      <c r="K158" s="148"/>
      <c r="L158" s="148"/>
      <c r="M158" s="148"/>
      <c r="N158" s="148"/>
      <c r="O158" s="148"/>
    </row>
  </sheetData>
  <mergeCells count="13">
    <mergeCell ref="J2:N2"/>
    <mergeCell ref="A1:H1"/>
    <mergeCell ref="A2:H2"/>
    <mergeCell ref="A3:H3"/>
    <mergeCell ref="B132:C132"/>
    <mergeCell ref="B147:C147"/>
    <mergeCell ref="B148:C148"/>
    <mergeCell ref="B133:C133"/>
    <mergeCell ref="B134:C134"/>
    <mergeCell ref="B135:C135"/>
    <mergeCell ref="B143:C143"/>
    <mergeCell ref="B145:C145"/>
    <mergeCell ref="B146:C14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O16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521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189</v>
      </c>
      <c r="C7" s="4" t="s">
        <v>190</v>
      </c>
      <c r="D7" s="4" t="s">
        <v>191</v>
      </c>
      <c r="E7" s="5">
        <v>1220030</v>
      </c>
      <c r="F7" s="6">
        <v>6315.4852950000004</v>
      </c>
      <c r="G7" s="7">
        <v>3.49825E-2</v>
      </c>
      <c r="H7" s="47"/>
    </row>
    <row r="8" spans="1:14" ht="17.100000000000001" customHeight="1" x14ac:dyDescent="0.2">
      <c r="A8" s="3">
        <v>2</v>
      </c>
      <c r="B8" s="4" t="s">
        <v>34</v>
      </c>
      <c r="C8" s="4" t="s">
        <v>35</v>
      </c>
      <c r="D8" s="4" t="s">
        <v>28</v>
      </c>
      <c r="E8" s="5">
        <v>372310</v>
      </c>
      <c r="F8" s="6">
        <v>5524.149625</v>
      </c>
      <c r="G8" s="7">
        <v>3.0599162999999999E-2</v>
      </c>
      <c r="H8" s="47"/>
    </row>
    <row r="9" spans="1:14" ht="53.1" customHeight="1" x14ac:dyDescent="0.2">
      <c r="A9" s="3">
        <v>3</v>
      </c>
      <c r="B9" s="4" t="s">
        <v>60</v>
      </c>
      <c r="C9" s="4" t="s">
        <v>61</v>
      </c>
      <c r="D9" s="4" t="s">
        <v>62</v>
      </c>
      <c r="E9" s="5">
        <v>3440000</v>
      </c>
      <c r="F9" s="6">
        <v>5084.32</v>
      </c>
      <c r="G9" s="7">
        <v>2.8162875E-2</v>
      </c>
      <c r="H9" s="47"/>
    </row>
    <row r="10" spans="1:14" ht="17.100000000000001" customHeight="1" x14ac:dyDescent="0.2">
      <c r="A10" s="3">
        <v>4</v>
      </c>
      <c r="B10" s="4" t="s">
        <v>271</v>
      </c>
      <c r="C10" s="4" t="s">
        <v>272</v>
      </c>
      <c r="D10" s="4" t="s">
        <v>94</v>
      </c>
      <c r="E10" s="5">
        <v>258222</v>
      </c>
      <c r="F10" s="6">
        <v>4754.6416859999999</v>
      </c>
      <c r="G10" s="7">
        <v>2.6336733000000001E-2</v>
      </c>
      <c r="H10" s="47"/>
    </row>
    <row r="11" spans="1:14" ht="17.100000000000001" customHeight="1" x14ac:dyDescent="0.2">
      <c r="A11" s="3">
        <v>5</v>
      </c>
      <c r="B11" s="4" t="s">
        <v>187</v>
      </c>
      <c r="C11" s="4" t="s">
        <v>188</v>
      </c>
      <c r="D11" s="4" t="s">
        <v>91</v>
      </c>
      <c r="E11" s="5">
        <v>1046412</v>
      </c>
      <c r="F11" s="6">
        <v>4461.3775619999997</v>
      </c>
      <c r="G11" s="7">
        <v>2.4712296000000002E-2</v>
      </c>
      <c r="H11" s="47"/>
      <c r="J11" s="147" t="s">
        <v>1122</v>
      </c>
    </row>
    <row r="12" spans="1:14" ht="17.100000000000001" customHeight="1" x14ac:dyDescent="0.2">
      <c r="A12" s="3">
        <v>6</v>
      </c>
      <c r="B12" s="4" t="s">
        <v>182</v>
      </c>
      <c r="C12" s="4" t="s">
        <v>183</v>
      </c>
      <c r="D12" s="4" t="s">
        <v>184</v>
      </c>
      <c r="E12" s="5">
        <v>314000</v>
      </c>
      <c r="F12" s="6">
        <v>4106.9629999999997</v>
      </c>
      <c r="G12" s="7">
        <v>2.2749136E-2</v>
      </c>
      <c r="H12" s="47"/>
    </row>
    <row r="13" spans="1:14" ht="17.100000000000001" customHeight="1" x14ac:dyDescent="0.2">
      <c r="A13" s="3">
        <v>7</v>
      </c>
      <c r="B13" s="4" t="s">
        <v>194</v>
      </c>
      <c r="C13" s="4" t="s">
        <v>195</v>
      </c>
      <c r="D13" s="4" t="s">
        <v>174</v>
      </c>
      <c r="E13" s="5">
        <v>824354</v>
      </c>
      <c r="F13" s="6">
        <v>4099.5124420000002</v>
      </c>
      <c r="G13" s="7">
        <v>2.2707866E-2</v>
      </c>
      <c r="H13" s="47"/>
    </row>
    <row r="14" spans="1:14" ht="29.1" customHeight="1" x14ac:dyDescent="0.2">
      <c r="A14" s="3">
        <v>8</v>
      </c>
      <c r="B14" s="4" t="s">
        <v>522</v>
      </c>
      <c r="C14" s="4" t="s">
        <v>523</v>
      </c>
      <c r="D14" s="4" t="s">
        <v>204</v>
      </c>
      <c r="E14" s="5">
        <v>504084</v>
      </c>
      <c r="F14" s="6">
        <v>3976.970718</v>
      </c>
      <c r="G14" s="7">
        <v>2.2029087999999999E-2</v>
      </c>
      <c r="H14" s="47"/>
    </row>
    <row r="15" spans="1:14" ht="17.100000000000001" customHeight="1" x14ac:dyDescent="0.2">
      <c r="A15" s="3">
        <v>9</v>
      </c>
      <c r="B15" s="4" t="s">
        <v>17</v>
      </c>
      <c r="C15" s="4" t="s">
        <v>18</v>
      </c>
      <c r="D15" s="4" t="s">
        <v>19</v>
      </c>
      <c r="E15" s="5">
        <v>534956</v>
      </c>
      <c r="F15" s="6">
        <v>3783.2088319999998</v>
      </c>
      <c r="G15" s="7">
        <v>2.0955808999999999E-2</v>
      </c>
      <c r="H15" s="47"/>
    </row>
    <row r="16" spans="1:14" ht="17.100000000000001" customHeight="1" x14ac:dyDescent="0.2">
      <c r="A16" s="3">
        <v>10</v>
      </c>
      <c r="B16" s="4" t="s">
        <v>524</v>
      </c>
      <c r="C16" s="4" t="s">
        <v>525</v>
      </c>
      <c r="D16" s="4" t="s">
        <v>184</v>
      </c>
      <c r="E16" s="5">
        <v>160000</v>
      </c>
      <c r="F16" s="6">
        <v>3612.4</v>
      </c>
      <c r="G16" s="7">
        <v>2.0009671E-2</v>
      </c>
      <c r="H16" s="47"/>
    </row>
    <row r="17" spans="1:10" ht="29.1" customHeight="1" x14ac:dyDescent="0.2">
      <c r="A17" s="3">
        <v>11</v>
      </c>
      <c r="B17" s="4" t="s">
        <v>526</v>
      </c>
      <c r="C17" s="4" t="s">
        <v>527</v>
      </c>
      <c r="D17" s="4" t="s">
        <v>201</v>
      </c>
      <c r="E17" s="5">
        <v>265529</v>
      </c>
      <c r="F17" s="6">
        <v>3456.922051</v>
      </c>
      <c r="G17" s="7">
        <v>1.9148452999999999E-2</v>
      </c>
      <c r="H17" s="47"/>
    </row>
    <row r="18" spans="1:10" ht="17.100000000000001" customHeight="1" x14ac:dyDescent="0.2">
      <c r="A18" s="3">
        <v>12</v>
      </c>
      <c r="B18" s="4" t="s">
        <v>528</v>
      </c>
      <c r="C18" s="4" t="s">
        <v>529</v>
      </c>
      <c r="D18" s="4" t="s">
        <v>296</v>
      </c>
      <c r="E18" s="5">
        <v>393000</v>
      </c>
      <c r="F18" s="6">
        <v>3428.9250000000002</v>
      </c>
      <c r="G18" s="7">
        <v>1.8993373000000001E-2</v>
      </c>
      <c r="H18" s="47"/>
    </row>
    <row r="19" spans="1:10" ht="17.100000000000001" customHeight="1" x14ac:dyDescent="0.2">
      <c r="A19" s="3">
        <v>13</v>
      </c>
      <c r="B19" s="4" t="s">
        <v>254</v>
      </c>
      <c r="C19" s="4" t="s">
        <v>255</v>
      </c>
      <c r="D19" s="4" t="s">
        <v>28</v>
      </c>
      <c r="E19" s="5">
        <v>295191</v>
      </c>
      <c r="F19" s="6">
        <v>3402.2238705</v>
      </c>
      <c r="G19" s="7">
        <v>1.8845470999999999E-2</v>
      </c>
      <c r="H19" s="47"/>
    </row>
    <row r="20" spans="1:10" ht="17.100000000000001" customHeight="1" x14ac:dyDescent="0.2">
      <c r="A20" s="3">
        <v>14</v>
      </c>
      <c r="B20" s="4" t="s">
        <v>530</v>
      </c>
      <c r="C20" s="4" t="s">
        <v>531</v>
      </c>
      <c r="D20" s="4" t="s">
        <v>191</v>
      </c>
      <c r="E20" s="5">
        <v>927825</v>
      </c>
      <c r="F20" s="6">
        <v>3277.5418125000001</v>
      </c>
      <c r="G20" s="7">
        <v>1.8154837E-2</v>
      </c>
      <c r="H20" s="47"/>
    </row>
    <row r="21" spans="1:10" ht="17.100000000000001" customHeight="1" x14ac:dyDescent="0.2">
      <c r="A21" s="3">
        <v>15</v>
      </c>
      <c r="B21" s="4" t="s">
        <v>46</v>
      </c>
      <c r="C21" s="4" t="s">
        <v>47</v>
      </c>
      <c r="D21" s="4" t="s">
        <v>19</v>
      </c>
      <c r="E21" s="5">
        <v>686000</v>
      </c>
      <c r="F21" s="6">
        <v>3196.0740000000001</v>
      </c>
      <c r="G21" s="7">
        <v>1.7703574E-2</v>
      </c>
      <c r="H21" s="47"/>
      <c r="J21" s="147" t="s">
        <v>1123</v>
      </c>
    </row>
    <row r="22" spans="1:10" ht="17.100000000000001" customHeight="1" x14ac:dyDescent="0.2">
      <c r="A22" s="3">
        <v>16</v>
      </c>
      <c r="B22" s="4" t="s">
        <v>380</v>
      </c>
      <c r="C22" s="4" t="s">
        <v>381</v>
      </c>
      <c r="D22" s="4" t="s">
        <v>88</v>
      </c>
      <c r="E22" s="5">
        <v>87000</v>
      </c>
      <c r="F22" s="6">
        <v>3110.25</v>
      </c>
      <c r="G22" s="7">
        <v>1.7228180999999999E-2</v>
      </c>
      <c r="H22" s="47"/>
    </row>
    <row r="23" spans="1:10" ht="17.100000000000001" customHeight="1" x14ac:dyDescent="0.2">
      <c r="A23" s="3">
        <v>17</v>
      </c>
      <c r="B23" s="4" t="s">
        <v>95</v>
      </c>
      <c r="C23" s="4" t="s">
        <v>96</v>
      </c>
      <c r="D23" s="4" t="s">
        <v>97</v>
      </c>
      <c r="E23" s="5">
        <v>699018</v>
      </c>
      <c r="F23" s="6">
        <v>3106.4359920000002</v>
      </c>
      <c r="G23" s="7">
        <v>1.7207053999999999E-2</v>
      </c>
      <c r="H23" s="47"/>
    </row>
    <row r="24" spans="1:10" ht="17.100000000000001" customHeight="1" x14ac:dyDescent="0.2">
      <c r="A24" s="3">
        <v>18</v>
      </c>
      <c r="B24" s="4" t="s">
        <v>487</v>
      </c>
      <c r="C24" s="4" t="s">
        <v>488</v>
      </c>
      <c r="D24" s="4" t="s">
        <v>28</v>
      </c>
      <c r="E24" s="5">
        <v>129000</v>
      </c>
      <c r="F24" s="6">
        <v>3066.7170000000001</v>
      </c>
      <c r="G24" s="7">
        <v>1.6987044E-2</v>
      </c>
      <c r="H24" s="47"/>
    </row>
    <row r="25" spans="1:10" ht="17.100000000000001" customHeight="1" x14ac:dyDescent="0.2">
      <c r="A25" s="3">
        <v>19</v>
      </c>
      <c r="B25" s="4" t="s">
        <v>532</v>
      </c>
      <c r="C25" s="4" t="s">
        <v>533</v>
      </c>
      <c r="D25" s="4" t="s">
        <v>191</v>
      </c>
      <c r="E25" s="5">
        <v>206000</v>
      </c>
      <c r="F25" s="6">
        <v>2908.5140000000001</v>
      </c>
      <c r="G25" s="7">
        <v>1.6110731999999999E-2</v>
      </c>
      <c r="H25" s="47"/>
    </row>
    <row r="26" spans="1:10" ht="17.100000000000001" customHeight="1" x14ac:dyDescent="0.2">
      <c r="A26" s="3">
        <v>20</v>
      </c>
      <c r="B26" s="4" t="s">
        <v>267</v>
      </c>
      <c r="C26" s="4" t="s">
        <v>268</v>
      </c>
      <c r="D26" s="4" t="s">
        <v>171</v>
      </c>
      <c r="E26" s="5">
        <v>372000</v>
      </c>
      <c r="F26" s="6">
        <v>2814.7379999999998</v>
      </c>
      <c r="G26" s="7">
        <v>1.5591291E-2</v>
      </c>
      <c r="H26" s="47"/>
    </row>
    <row r="27" spans="1:10" ht="17.100000000000001" customHeight="1" x14ac:dyDescent="0.2">
      <c r="A27" s="3">
        <v>21</v>
      </c>
      <c r="B27" s="4" t="s">
        <v>534</v>
      </c>
      <c r="C27" s="4" t="s">
        <v>535</v>
      </c>
      <c r="D27" s="4" t="s">
        <v>184</v>
      </c>
      <c r="E27" s="5">
        <v>75000</v>
      </c>
      <c r="F27" s="6">
        <v>2772.6374999999998</v>
      </c>
      <c r="G27" s="7">
        <v>1.535809E-2</v>
      </c>
      <c r="H27" s="47"/>
    </row>
    <row r="28" spans="1:10" ht="17.100000000000001" customHeight="1" x14ac:dyDescent="0.2">
      <c r="A28" s="3">
        <v>22</v>
      </c>
      <c r="B28" s="4" t="s">
        <v>481</v>
      </c>
      <c r="C28" s="4" t="s">
        <v>482</v>
      </c>
      <c r="D28" s="4" t="s">
        <v>28</v>
      </c>
      <c r="E28" s="5">
        <v>549974</v>
      </c>
      <c r="F28" s="6">
        <v>2758.1196100000002</v>
      </c>
      <c r="G28" s="7">
        <v>1.5277673E-2</v>
      </c>
      <c r="H28" s="47"/>
    </row>
    <row r="29" spans="1:10" ht="17.100000000000001" customHeight="1" x14ac:dyDescent="0.2">
      <c r="A29" s="3">
        <v>23</v>
      </c>
      <c r="B29" s="4" t="s">
        <v>434</v>
      </c>
      <c r="C29" s="4" t="s">
        <v>435</v>
      </c>
      <c r="D29" s="4" t="s">
        <v>19</v>
      </c>
      <c r="E29" s="5">
        <v>1508000</v>
      </c>
      <c r="F29" s="6">
        <v>2733.25</v>
      </c>
      <c r="G29" s="7">
        <v>1.5139916E-2</v>
      </c>
      <c r="H29" s="47"/>
    </row>
    <row r="30" spans="1:10" ht="29.1" customHeight="1" x14ac:dyDescent="0.2">
      <c r="A30" s="3">
        <v>24</v>
      </c>
      <c r="B30" s="4" t="s">
        <v>199</v>
      </c>
      <c r="C30" s="4" t="s">
        <v>200</v>
      </c>
      <c r="D30" s="4" t="s">
        <v>201</v>
      </c>
      <c r="E30" s="5">
        <v>73000</v>
      </c>
      <c r="F30" s="6">
        <v>2665.6680000000001</v>
      </c>
      <c r="G30" s="7">
        <v>1.4765568999999999E-2</v>
      </c>
      <c r="H30" s="47"/>
    </row>
    <row r="31" spans="1:10" ht="17.100000000000001" customHeight="1" x14ac:dyDescent="0.2">
      <c r="A31" s="3">
        <v>25</v>
      </c>
      <c r="B31" s="4" t="s">
        <v>475</v>
      </c>
      <c r="C31" s="4" t="s">
        <v>476</v>
      </c>
      <c r="D31" s="4" t="s">
        <v>28</v>
      </c>
      <c r="E31" s="5">
        <v>365000</v>
      </c>
      <c r="F31" s="6">
        <v>2616.6849999999999</v>
      </c>
      <c r="G31" s="7">
        <v>1.4494244E-2</v>
      </c>
      <c r="H31" s="47"/>
    </row>
    <row r="32" spans="1:10" ht="53.1" customHeight="1" x14ac:dyDescent="0.2">
      <c r="A32" s="3">
        <v>26</v>
      </c>
      <c r="B32" s="4" t="s">
        <v>100</v>
      </c>
      <c r="C32" s="4" t="s">
        <v>101</v>
      </c>
      <c r="D32" s="4" t="s">
        <v>62</v>
      </c>
      <c r="E32" s="5">
        <v>208000</v>
      </c>
      <c r="F32" s="6">
        <v>2610.5039999999999</v>
      </c>
      <c r="G32" s="7">
        <v>1.4460005999999999E-2</v>
      </c>
      <c r="H32" s="47"/>
    </row>
    <row r="33" spans="1:8" ht="29.1" customHeight="1" x14ac:dyDescent="0.2">
      <c r="A33" s="3">
        <v>27</v>
      </c>
      <c r="B33" s="4" t="s">
        <v>395</v>
      </c>
      <c r="C33" s="4" t="s">
        <v>396</v>
      </c>
      <c r="D33" s="4" t="s">
        <v>91</v>
      </c>
      <c r="E33" s="5">
        <v>120000</v>
      </c>
      <c r="F33" s="6">
        <v>2605.02</v>
      </c>
      <c r="G33" s="7">
        <v>1.4429628999999999E-2</v>
      </c>
      <c r="H33" s="47"/>
    </row>
    <row r="34" spans="1:8" ht="17.100000000000001" customHeight="1" x14ac:dyDescent="0.2">
      <c r="A34" s="3">
        <v>28</v>
      </c>
      <c r="B34" s="4" t="s">
        <v>86</v>
      </c>
      <c r="C34" s="4" t="s">
        <v>87</v>
      </c>
      <c r="D34" s="4" t="s">
        <v>88</v>
      </c>
      <c r="E34" s="5">
        <v>600000</v>
      </c>
      <c r="F34" s="6">
        <v>2602.1999999999998</v>
      </c>
      <c r="G34" s="7">
        <v>1.4414009E-2</v>
      </c>
      <c r="H34" s="47"/>
    </row>
    <row r="35" spans="1:8" ht="29.1" customHeight="1" x14ac:dyDescent="0.2">
      <c r="A35" s="3">
        <v>29</v>
      </c>
      <c r="B35" s="4" t="s">
        <v>205</v>
      </c>
      <c r="C35" s="4" t="s">
        <v>206</v>
      </c>
      <c r="D35" s="4" t="s">
        <v>204</v>
      </c>
      <c r="E35" s="5">
        <v>157039</v>
      </c>
      <c r="F35" s="6">
        <v>2469.6738335</v>
      </c>
      <c r="G35" s="7">
        <v>1.3679925000000001E-2</v>
      </c>
      <c r="H35" s="47"/>
    </row>
    <row r="36" spans="1:8" ht="17.100000000000001" customHeight="1" x14ac:dyDescent="0.2">
      <c r="A36" s="3">
        <v>30</v>
      </c>
      <c r="B36" s="4" t="s">
        <v>536</v>
      </c>
      <c r="C36" s="4" t="s">
        <v>537</v>
      </c>
      <c r="D36" s="4" t="s">
        <v>184</v>
      </c>
      <c r="E36" s="5">
        <v>380000</v>
      </c>
      <c r="F36" s="6">
        <v>2454.42</v>
      </c>
      <c r="G36" s="7">
        <v>1.3595431E-2</v>
      </c>
      <c r="H36" s="47"/>
    </row>
    <row r="37" spans="1:8" ht="17.100000000000001" customHeight="1" x14ac:dyDescent="0.2">
      <c r="A37" s="3">
        <v>31</v>
      </c>
      <c r="B37" s="4" t="s">
        <v>538</v>
      </c>
      <c r="C37" s="45" t="s">
        <v>1065</v>
      </c>
      <c r="D37" s="4" t="s">
        <v>85</v>
      </c>
      <c r="E37" s="5">
        <v>1138715</v>
      </c>
      <c r="F37" s="6">
        <v>2252.3782700000002</v>
      </c>
      <c r="G37" s="7">
        <v>1.2476289999999999E-2</v>
      </c>
      <c r="H37" s="47"/>
    </row>
    <row r="38" spans="1:8" ht="29.1" customHeight="1" x14ac:dyDescent="0.2">
      <c r="A38" s="3">
        <v>32</v>
      </c>
      <c r="B38" s="4" t="s">
        <v>539</v>
      </c>
      <c r="C38" s="4" t="s">
        <v>540</v>
      </c>
      <c r="D38" s="4" t="s">
        <v>204</v>
      </c>
      <c r="E38" s="5">
        <v>460000</v>
      </c>
      <c r="F38" s="6">
        <v>2126.58</v>
      </c>
      <c r="G38" s="7">
        <v>1.1779471999999999E-2</v>
      </c>
      <c r="H38" s="47"/>
    </row>
    <row r="39" spans="1:8" ht="17.100000000000001" customHeight="1" x14ac:dyDescent="0.2">
      <c r="A39" s="3">
        <v>33</v>
      </c>
      <c r="B39" s="4" t="s">
        <v>169</v>
      </c>
      <c r="C39" s="4" t="s">
        <v>170</v>
      </c>
      <c r="D39" s="4" t="s">
        <v>171</v>
      </c>
      <c r="E39" s="5">
        <v>199000</v>
      </c>
      <c r="F39" s="6">
        <v>2109.9969999999998</v>
      </c>
      <c r="G39" s="7">
        <v>1.1687616E-2</v>
      </c>
      <c r="H39" s="47"/>
    </row>
    <row r="40" spans="1:8" ht="17.100000000000001" customHeight="1" x14ac:dyDescent="0.2">
      <c r="A40" s="3">
        <v>34</v>
      </c>
      <c r="B40" s="4" t="s">
        <v>345</v>
      </c>
      <c r="C40" s="4" t="s">
        <v>346</v>
      </c>
      <c r="D40" s="4" t="s">
        <v>174</v>
      </c>
      <c r="E40" s="5">
        <v>400000</v>
      </c>
      <c r="F40" s="6">
        <v>2049</v>
      </c>
      <c r="G40" s="7">
        <v>1.1349744E-2</v>
      </c>
      <c r="H40" s="47"/>
    </row>
    <row r="41" spans="1:8" ht="17.100000000000001" customHeight="1" x14ac:dyDescent="0.2">
      <c r="A41" s="3">
        <v>35</v>
      </c>
      <c r="B41" s="4" t="s">
        <v>541</v>
      </c>
      <c r="C41" s="4" t="s">
        <v>542</v>
      </c>
      <c r="D41" s="4" t="s">
        <v>88</v>
      </c>
      <c r="E41" s="5">
        <v>744000</v>
      </c>
      <c r="F41" s="6">
        <v>2024.0519999999999</v>
      </c>
      <c r="G41" s="7">
        <v>1.1211553000000001E-2</v>
      </c>
      <c r="H41" s="47"/>
    </row>
    <row r="42" spans="1:8" ht="17.100000000000001" customHeight="1" x14ac:dyDescent="0.2">
      <c r="A42" s="3">
        <v>36</v>
      </c>
      <c r="B42" s="4" t="s">
        <v>263</v>
      </c>
      <c r="C42" s="4" t="s">
        <v>264</v>
      </c>
      <c r="D42" s="4" t="s">
        <v>28</v>
      </c>
      <c r="E42" s="5">
        <v>241000</v>
      </c>
      <c r="F42" s="6">
        <v>2019.098</v>
      </c>
      <c r="G42" s="7">
        <v>1.1184112E-2</v>
      </c>
      <c r="H42" s="47"/>
    </row>
    <row r="43" spans="1:8" ht="29.1" customHeight="1" x14ac:dyDescent="0.2">
      <c r="A43" s="3">
        <v>37</v>
      </c>
      <c r="B43" s="4" t="s">
        <v>514</v>
      </c>
      <c r="C43" s="4" t="s">
        <v>515</v>
      </c>
      <c r="D43" s="4" t="s">
        <v>25</v>
      </c>
      <c r="E43" s="5">
        <v>231114</v>
      </c>
      <c r="F43" s="6">
        <v>2012.887383</v>
      </c>
      <c r="G43" s="7">
        <v>1.1149711E-2</v>
      </c>
      <c r="H43" s="47"/>
    </row>
    <row r="44" spans="1:8" ht="17.100000000000001" customHeight="1" x14ac:dyDescent="0.2">
      <c r="A44" s="3">
        <v>38</v>
      </c>
      <c r="B44" s="4" t="s">
        <v>543</v>
      </c>
      <c r="C44" s="4" t="s">
        <v>544</v>
      </c>
      <c r="D44" s="4" t="s">
        <v>217</v>
      </c>
      <c r="E44" s="5">
        <v>121785</v>
      </c>
      <c r="F44" s="6">
        <v>1993.4377724999999</v>
      </c>
      <c r="G44" s="7">
        <v>1.1041976E-2</v>
      </c>
      <c r="H44" s="47"/>
    </row>
    <row r="45" spans="1:8" ht="17.100000000000001" customHeight="1" x14ac:dyDescent="0.2">
      <c r="A45" s="3">
        <v>39</v>
      </c>
      <c r="B45" s="4" t="s">
        <v>288</v>
      </c>
      <c r="C45" s="4" t="s">
        <v>289</v>
      </c>
      <c r="D45" s="4" t="s">
        <v>19</v>
      </c>
      <c r="E45" s="5">
        <v>1016082</v>
      </c>
      <c r="F45" s="6">
        <v>1962.0543419999999</v>
      </c>
      <c r="G45" s="7">
        <v>1.0868137999999999E-2</v>
      </c>
      <c r="H45" s="47"/>
    </row>
    <row r="46" spans="1:8" ht="17.100000000000001" customHeight="1" x14ac:dyDescent="0.2">
      <c r="A46" s="3">
        <v>40</v>
      </c>
      <c r="B46" s="4" t="s">
        <v>358</v>
      </c>
      <c r="C46" s="4" t="s">
        <v>359</v>
      </c>
      <c r="D46" s="4" t="s">
        <v>19</v>
      </c>
      <c r="E46" s="5">
        <v>144837</v>
      </c>
      <c r="F46" s="6">
        <v>1952.4027599999999</v>
      </c>
      <c r="G46" s="7">
        <v>1.0814676E-2</v>
      </c>
      <c r="H46" s="47"/>
    </row>
    <row r="47" spans="1:8" ht="17.100000000000001" customHeight="1" x14ac:dyDescent="0.2">
      <c r="A47" s="3">
        <v>41</v>
      </c>
      <c r="B47" s="4" t="s">
        <v>106</v>
      </c>
      <c r="C47" s="4" t="s">
        <v>107</v>
      </c>
      <c r="D47" s="4" t="s">
        <v>88</v>
      </c>
      <c r="E47" s="5">
        <v>84991</v>
      </c>
      <c r="F47" s="6">
        <v>1909.4503015</v>
      </c>
      <c r="G47" s="7">
        <v>1.0576756E-2</v>
      </c>
      <c r="H47" s="47"/>
    </row>
    <row r="48" spans="1:8" ht="17.100000000000001" customHeight="1" x14ac:dyDescent="0.2">
      <c r="A48" s="3">
        <v>42</v>
      </c>
      <c r="B48" s="4" t="s">
        <v>376</v>
      </c>
      <c r="C48" s="4" t="s">
        <v>377</v>
      </c>
      <c r="D48" s="4" t="s">
        <v>88</v>
      </c>
      <c r="E48" s="5">
        <v>314377</v>
      </c>
      <c r="F48" s="6">
        <v>1882.3322874999999</v>
      </c>
      <c r="G48" s="7">
        <v>1.0426545000000001E-2</v>
      </c>
      <c r="H48" s="47"/>
    </row>
    <row r="49" spans="1:8" ht="17.100000000000001" customHeight="1" x14ac:dyDescent="0.2">
      <c r="A49" s="3">
        <v>43</v>
      </c>
      <c r="B49" s="4" t="s">
        <v>471</v>
      </c>
      <c r="C49" s="4" t="s">
        <v>472</v>
      </c>
      <c r="D49" s="4" t="s">
        <v>88</v>
      </c>
      <c r="E49" s="5">
        <v>203161</v>
      </c>
      <c r="F49" s="6">
        <v>1874.769708</v>
      </c>
      <c r="G49" s="7">
        <v>1.0384654E-2</v>
      </c>
      <c r="H49" s="47"/>
    </row>
    <row r="50" spans="1:8" ht="17.100000000000001" customHeight="1" x14ac:dyDescent="0.2">
      <c r="A50" s="3">
        <v>44</v>
      </c>
      <c r="B50" s="4" t="s">
        <v>343</v>
      </c>
      <c r="C50" s="4" t="s">
        <v>344</v>
      </c>
      <c r="D50" s="4" t="s">
        <v>91</v>
      </c>
      <c r="E50" s="5">
        <v>312802</v>
      </c>
      <c r="F50" s="6">
        <v>1855.5414639999999</v>
      </c>
      <c r="G50" s="7">
        <v>1.0278146E-2</v>
      </c>
      <c r="H50" s="47"/>
    </row>
    <row r="51" spans="1:8" ht="29.1" customHeight="1" x14ac:dyDescent="0.2">
      <c r="A51" s="3">
        <v>45</v>
      </c>
      <c r="B51" s="4" t="s">
        <v>330</v>
      </c>
      <c r="C51" s="4" t="s">
        <v>331</v>
      </c>
      <c r="D51" s="4" t="s">
        <v>204</v>
      </c>
      <c r="E51" s="5">
        <v>68000</v>
      </c>
      <c r="F51" s="6">
        <v>1837.1559999999999</v>
      </c>
      <c r="G51" s="7">
        <v>1.0176306E-2</v>
      </c>
      <c r="H51" s="47"/>
    </row>
    <row r="52" spans="1:8" ht="17.100000000000001" customHeight="1" x14ac:dyDescent="0.2">
      <c r="A52" s="3">
        <v>46</v>
      </c>
      <c r="B52" s="4" t="s">
        <v>432</v>
      </c>
      <c r="C52" s="4" t="s">
        <v>433</v>
      </c>
      <c r="D52" s="4" t="s">
        <v>94</v>
      </c>
      <c r="E52" s="5">
        <v>327065</v>
      </c>
      <c r="F52" s="6">
        <v>1811.2859699999999</v>
      </c>
      <c r="G52" s="7">
        <v>1.0033008E-2</v>
      </c>
      <c r="H52" s="47"/>
    </row>
    <row r="53" spans="1:8" ht="17.100000000000001" customHeight="1" x14ac:dyDescent="0.2">
      <c r="A53" s="3">
        <v>47</v>
      </c>
      <c r="B53" s="4" t="s">
        <v>545</v>
      </c>
      <c r="C53" s="4" t="s">
        <v>546</v>
      </c>
      <c r="D53" s="4" t="s">
        <v>184</v>
      </c>
      <c r="E53" s="5">
        <v>160942</v>
      </c>
      <c r="F53" s="6">
        <v>1793.537648</v>
      </c>
      <c r="G53" s="7">
        <v>9.9346969999999993E-3</v>
      </c>
      <c r="H53" s="47"/>
    </row>
    <row r="54" spans="1:8" ht="29.1" customHeight="1" x14ac:dyDescent="0.2">
      <c r="A54" s="3">
        <v>48</v>
      </c>
      <c r="B54" s="4" t="s">
        <v>250</v>
      </c>
      <c r="C54" s="4" t="s">
        <v>251</v>
      </c>
      <c r="D54" s="4" t="s">
        <v>204</v>
      </c>
      <c r="E54" s="5">
        <v>40215</v>
      </c>
      <c r="F54" s="6">
        <v>1685.3503275</v>
      </c>
      <c r="G54" s="7">
        <v>9.3354300000000005E-3</v>
      </c>
      <c r="H54" s="47"/>
    </row>
    <row r="55" spans="1:8" ht="17.100000000000001" customHeight="1" x14ac:dyDescent="0.2">
      <c r="A55" s="3">
        <v>49</v>
      </c>
      <c r="B55" s="4" t="s">
        <v>440</v>
      </c>
      <c r="C55" s="4" t="s">
        <v>441</v>
      </c>
      <c r="D55" s="4" t="s">
        <v>91</v>
      </c>
      <c r="E55" s="5">
        <v>30749</v>
      </c>
      <c r="F55" s="6">
        <v>1660.599745</v>
      </c>
      <c r="G55" s="7">
        <v>9.198332E-3</v>
      </c>
      <c r="H55" s="47"/>
    </row>
    <row r="56" spans="1:8" ht="17.100000000000001" customHeight="1" x14ac:dyDescent="0.2">
      <c r="A56" s="3">
        <v>50</v>
      </c>
      <c r="B56" s="4" t="s">
        <v>547</v>
      </c>
      <c r="C56" s="4" t="s">
        <v>548</v>
      </c>
      <c r="D56" s="4" t="s">
        <v>94</v>
      </c>
      <c r="E56" s="5">
        <v>553006</v>
      </c>
      <c r="F56" s="6">
        <v>1659.5710059999999</v>
      </c>
      <c r="G56" s="7">
        <v>9.1926339999999999E-3</v>
      </c>
      <c r="H56" s="47"/>
    </row>
    <row r="57" spans="1:8" ht="17.100000000000001" customHeight="1" x14ac:dyDescent="0.2">
      <c r="A57" s="3">
        <v>51</v>
      </c>
      <c r="B57" s="4" t="s">
        <v>185</v>
      </c>
      <c r="C57" s="4" t="s">
        <v>186</v>
      </c>
      <c r="D57" s="4" t="s">
        <v>88</v>
      </c>
      <c r="E57" s="5">
        <v>312601</v>
      </c>
      <c r="F57" s="6">
        <v>1643.3434569999999</v>
      </c>
      <c r="G57" s="7">
        <v>9.1027469999999996E-3</v>
      </c>
      <c r="H57" s="47"/>
    </row>
    <row r="58" spans="1:8" ht="17.100000000000001" customHeight="1" x14ac:dyDescent="0.2">
      <c r="A58" s="3">
        <v>52</v>
      </c>
      <c r="B58" s="4" t="s">
        <v>304</v>
      </c>
      <c r="C58" s="4" t="s">
        <v>305</v>
      </c>
      <c r="D58" s="4" t="s">
        <v>19</v>
      </c>
      <c r="E58" s="5">
        <v>258000</v>
      </c>
      <c r="F58" s="6">
        <v>1642.944</v>
      </c>
      <c r="G58" s="7">
        <v>9.1005340000000004E-3</v>
      </c>
      <c r="H58" s="47"/>
    </row>
    <row r="59" spans="1:8" ht="17.100000000000001" customHeight="1" x14ac:dyDescent="0.2">
      <c r="A59" s="3">
        <v>53</v>
      </c>
      <c r="B59" s="4" t="s">
        <v>549</v>
      </c>
      <c r="C59" s="4" t="s">
        <v>550</v>
      </c>
      <c r="D59" s="4" t="s">
        <v>85</v>
      </c>
      <c r="E59" s="5">
        <v>158521</v>
      </c>
      <c r="F59" s="6">
        <v>1621.2735275</v>
      </c>
      <c r="G59" s="7">
        <v>8.980498E-3</v>
      </c>
      <c r="H59" s="47"/>
    </row>
    <row r="60" spans="1:8" ht="29.1" customHeight="1" x14ac:dyDescent="0.2">
      <c r="A60" s="3">
        <v>54</v>
      </c>
      <c r="B60" s="4" t="s">
        <v>551</v>
      </c>
      <c r="C60" s="4" t="s">
        <v>552</v>
      </c>
      <c r="D60" s="4" t="s">
        <v>238</v>
      </c>
      <c r="E60" s="5">
        <v>450000</v>
      </c>
      <c r="F60" s="6">
        <v>1617.5250000000001</v>
      </c>
      <c r="G60" s="7">
        <v>8.9597340000000004E-3</v>
      </c>
      <c r="H60" s="47"/>
    </row>
    <row r="61" spans="1:8" ht="17.100000000000001" customHeight="1" x14ac:dyDescent="0.2">
      <c r="A61" s="3">
        <v>55</v>
      </c>
      <c r="B61" s="4" t="s">
        <v>384</v>
      </c>
      <c r="C61" s="4" t="s">
        <v>385</v>
      </c>
      <c r="D61" s="4" t="s">
        <v>88</v>
      </c>
      <c r="E61" s="5">
        <v>167736</v>
      </c>
      <c r="F61" s="6">
        <v>1589.6340720000001</v>
      </c>
      <c r="G61" s="7">
        <v>8.8052419999999996E-3</v>
      </c>
      <c r="H61" s="47"/>
    </row>
    <row r="62" spans="1:8" ht="17.100000000000001" customHeight="1" x14ac:dyDescent="0.2">
      <c r="A62" s="3">
        <v>56</v>
      </c>
      <c r="B62" s="4" t="s">
        <v>319</v>
      </c>
      <c r="C62" s="4" t="s">
        <v>320</v>
      </c>
      <c r="D62" s="4" t="s">
        <v>321</v>
      </c>
      <c r="E62" s="5">
        <v>200000</v>
      </c>
      <c r="F62" s="6">
        <v>1564.7</v>
      </c>
      <c r="G62" s="7">
        <v>8.6671279999999996E-3</v>
      </c>
      <c r="H62" s="47"/>
    </row>
    <row r="63" spans="1:8" ht="29.1" customHeight="1" x14ac:dyDescent="0.2">
      <c r="A63" s="3">
        <v>57</v>
      </c>
      <c r="B63" s="4" t="s">
        <v>52</v>
      </c>
      <c r="C63" s="4" t="s">
        <v>53</v>
      </c>
      <c r="D63" s="4" t="s">
        <v>25</v>
      </c>
      <c r="E63" s="5">
        <v>74011</v>
      </c>
      <c r="F63" s="6">
        <v>1560.8549845</v>
      </c>
      <c r="G63" s="7">
        <v>8.6458300000000002E-3</v>
      </c>
      <c r="H63" s="47"/>
    </row>
    <row r="64" spans="1:8" ht="17.100000000000001" customHeight="1" x14ac:dyDescent="0.2">
      <c r="A64" s="3">
        <v>58</v>
      </c>
      <c r="B64" s="4" t="s">
        <v>438</v>
      </c>
      <c r="C64" s="4" t="s">
        <v>439</v>
      </c>
      <c r="D64" s="4" t="s">
        <v>28</v>
      </c>
      <c r="E64" s="5">
        <v>205000</v>
      </c>
      <c r="F64" s="6">
        <v>1497.8325</v>
      </c>
      <c r="G64" s="7">
        <v>8.2967379999999997E-3</v>
      </c>
      <c r="H64" s="47"/>
    </row>
    <row r="65" spans="1:8" ht="17.100000000000001" customHeight="1" x14ac:dyDescent="0.2">
      <c r="A65" s="3">
        <v>59</v>
      </c>
      <c r="B65" s="4" t="s">
        <v>63</v>
      </c>
      <c r="C65" s="4" t="s">
        <v>64</v>
      </c>
      <c r="D65" s="4" t="s">
        <v>13</v>
      </c>
      <c r="E65" s="5">
        <v>607033</v>
      </c>
      <c r="F65" s="6">
        <v>1469.9304095</v>
      </c>
      <c r="G65" s="7">
        <v>8.1421840000000002E-3</v>
      </c>
      <c r="H65" s="47"/>
    </row>
    <row r="66" spans="1:8" ht="17.100000000000001" customHeight="1" x14ac:dyDescent="0.2">
      <c r="A66" s="3">
        <v>60</v>
      </c>
      <c r="B66" s="4" t="s">
        <v>553</v>
      </c>
      <c r="C66" s="4" t="s">
        <v>554</v>
      </c>
      <c r="D66" s="4" t="s">
        <v>209</v>
      </c>
      <c r="E66" s="5">
        <v>94501</v>
      </c>
      <c r="F66" s="6">
        <v>1379.8563515000001</v>
      </c>
      <c r="G66" s="7">
        <v>7.6432490000000004E-3</v>
      </c>
      <c r="H66" s="47"/>
    </row>
    <row r="67" spans="1:8" ht="17.100000000000001" customHeight="1" x14ac:dyDescent="0.2">
      <c r="A67" s="3">
        <v>61</v>
      </c>
      <c r="B67" s="4" t="s">
        <v>555</v>
      </c>
      <c r="C67" s="4" t="s">
        <v>556</v>
      </c>
      <c r="D67" s="4" t="s">
        <v>13</v>
      </c>
      <c r="E67" s="5">
        <v>554569</v>
      </c>
      <c r="F67" s="6">
        <v>1292.4230545</v>
      </c>
      <c r="G67" s="7">
        <v>7.1589410000000003E-3</v>
      </c>
      <c r="H67" s="47"/>
    </row>
    <row r="68" spans="1:8" ht="17.100000000000001" customHeight="1" x14ac:dyDescent="0.2">
      <c r="A68" s="3">
        <v>62</v>
      </c>
      <c r="B68" s="4" t="s">
        <v>557</v>
      </c>
      <c r="C68" s="4" t="s">
        <v>558</v>
      </c>
      <c r="D68" s="4" t="s">
        <v>191</v>
      </c>
      <c r="E68" s="5">
        <v>15000</v>
      </c>
      <c r="F68" s="6">
        <v>1225.5825</v>
      </c>
      <c r="G68" s="7">
        <v>6.7887010000000003E-3</v>
      </c>
      <c r="H68" s="47"/>
    </row>
    <row r="69" spans="1:8" ht="17.100000000000001" customHeight="1" x14ac:dyDescent="0.2">
      <c r="A69" s="3">
        <v>63</v>
      </c>
      <c r="B69" s="4" t="s">
        <v>228</v>
      </c>
      <c r="C69" s="4" t="s">
        <v>229</v>
      </c>
      <c r="D69" s="4" t="s">
        <v>191</v>
      </c>
      <c r="E69" s="5">
        <v>35000</v>
      </c>
      <c r="F69" s="6">
        <v>1190.6300000000001</v>
      </c>
      <c r="G69" s="7">
        <v>6.5950929999999998E-3</v>
      </c>
      <c r="H69" s="47"/>
    </row>
    <row r="70" spans="1:8" ht="29.1" customHeight="1" x14ac:dyDescent="0.2">
      <c r="A70" s="3">
        <v>64</v>
      </c>
      <c r="B70" s="4" t="s">
        <v>390</v>
      </c>
      <c r="C70" s="4" t="s">
        <v>391</v>
      </c>
      <c r="D70" s="4" t="s">
        <v>201</v>
      </c>
      <c r="E70" s="5">
        <v>181328</v>
      </c>
      <c r="F70" s="6">
        <v>1106.2821280000001</v>
      </c>
      <c r="G70" s="7">
        <v>6.1278770000000003E-3</v>
      </c>
      <c r="H70" s="47"/>
    </row>
    <row r="71" spans="1:8" ht="17.100000000000001" customHeight="1" x14ac:dyDescent="0.2">
      <c r="A71" s="3">
        <v>65</v>
      </c>
      <c r="B71" s="4" t="s">
        <v>559</v>
      </c>
      <c r="C71" s="4" t="s">
        <v>560</v>
      </c>
      <c r="D71" s="4" t="s">
        <v>303</v>
      </c>
      <c r="E71" s="5">
        <v>200000</v>
      </c>
      <c r="F71" s="6">
        <v>1031.3</v>
      </c>
      <c r="G71" s="7">
        <v>5.7125379999999996E-3</v>
      </c>
      <c r="H71" s="47"/>
    </row>
    <row r="72" spans="1:8" ht="17.100000000000001" customHeight="1" x14ac:dyDescent="0.2">
      <c r="A72" s="3">
        <v>66</v>
      </c>
      <c r="B72" s="4" t="s">
        <v>444</v>
      </c>
      <c r="C72" s="4" t="s">
        <v>445</v>
      </c>
      <c r="D72" s="4" t="s">
        <v>45</v>
      </c>
      <c r="E72" s="5">
        <v>58528</v>
      </c>
      <c r="F72" s="6">
        <v>933.17043200000001</v>
      </c>
      <c r="G72" s="7">
        <v>5.1689830000000003E-3</v>
      </c>
      <c r="H72" s="47"/>
    </row>
    <row r="73" spans="1:8" ht="17.100000000000001" customHeight="1" x14ac:dyDescent="0.2">
      <c r="A73" s="3">
        <v>67</v>
      </c>
      <c r="B73" s="4" t="s">
        <v>561</v>
      </c>
      <c r="C73" s="4" t="s">
        <v>562</v>
      </c>
      <c r="D73" s="4" t="s">
        <v>88</v>
      </c>
      <c r="E73" s="5">
        <v>20905</v>
      </c>
      <c r="F73" s="6">
        <v>863.95138750000001</v>
      </c>
      <c r="G73" s="7">
        <v>4.7855670000000001E-3</v>
      </c>
      <c r="H73" s="47"/>
    </row>
    <row r="74" spans="1:8" ht="17.100000000000001" customHeight="1" x14ac:dyDescent="0.2">
      <c r="A74" s="3">
        <v>68</v>
      </c>
      <c r="B74" s="4" t="s">
        <v>563</v>
      </c>
      <c r="C74" s="4" t="s">
        <v>564</v>
      </c>
      <c r="D74" s="4" t="s">
        <v>88</v>
      </c>
      <c r="E74" s="5">
        <v>132900</v>
      </c>
      <c r="F74" s="6">
        <v>832.61850000000004</v>
      </c>
      <c r="G74" s="7">
        <v>4.6120090000000002E-3</v>
      </c>
      <c r="H74" s="47"/>
    </row>
    <row r="75" spans="1:8" ht="17.100000000000001" customHeight="1" x14ac:dyDescent="0.2">
      <c r="A75" s="3">
        <v>69</v>
      </c>
      <c r="B75" s="4" t="s">
        <v>565</v>
      </c>
      <c r="C75" s="4" t="s">
        <v>566</v>
      </c>
      <c r="D75" s="4" t="s">
        <v>22</v>
      </c>
      <c r="E75" s="5">
        <v>56721</v>
      </c>
      <c r="F75" s="6">
        <v>704.95694849999995</v>
      </c>
      <c r="G75" s="7">
        <v>3.9048709999999999E-3</v>
      </c>
      <c r="H75" s="47"/>
    </row>
    <row r="76" spans="1:8" ht="17.100000000000001" customHeight="1" x14ac:dyDescent="0.2">
      <c r="A76" s="3">
        <v>70</v>
      </c>
      <c r="B76" s="4" t="s">
        <v>567</v>
      </c>
      <c r="C76" s="4" t="s">
        <v>568</v>
      </c>
      <c r="D76" s="4" t="s">
        <v>88</v>
      </c>
      <c r="E76" s="5">
        <v>200000</v>
      </c>
      <c r="F76" s="6">
        <v>629.4</v>
      </c>
      <c r="G76" s="7">
        <v>3.4863490000000001E-3</v>
      </c>
      <c r="H76" s="47"/>
    </row>
    <row r="77" spans="1:8" ht="17.100000000000001" customHeight="1" x14ac:dyDescent="0.2">
      <c r="A77" s="3">
        <v>71</v>
      </c>
      <c r="B77" s="4" t="s">
        <v>569</v>
      </c>
      <c r="C77" s="4" t="s">
        <v>570</v>
      </c>
      <c r="D77" s="4" t="s">
        <v>312</v>
      </c>
      <c r="E77" s="5">
        <v>60000</v>
      </c>
      <c r="F77" s="6">
        <v>596.07000000000005</v>
      </c>
      <c r="G77" s="7">
        <v>3.3017290000000002E-3</v>
      </c>
      <c r="H77" s="47"/>
    </row>
    <row r="78" spans="1:8" ht="29.1" customHeight="1" x14ac:dyDescent="0.2">
      <c r="A78" s="3">
        <v>72</v>
      </c>
      <c r="B78" s="4" t="s">
        <v>571</v>
      </c>
      <c r="C78" s="4" t="s">
        <v>572</v>
      </c>
      <c r="D78" s="4" t="s">
        <v>201</v>
      </c>
      <c r="E78" s="5">
        <v>20000</v>
      </c>
      <c r="F78" s="6">
        <v>584.01</v>
      </c>
      <c r="G78" s="7">
        <v>3.2349259999999999E-3</v>
      </c>
      <c r="H78" s="47"/>
    </row>
    <row r="79" spans="1:8" ht="17.100000000000001" customHeight="1" x14ac:dyDescent="0.2">
      <c r="A79" s="3">
        <v>73</v>
      </c>
      <c r="B79" s="4" t="s">
        <v>573</v>
      </c>
      <c r="C79" s="4" t="s">
        <v>574</v>
      </c>
      <c r="D79" s="4" t="s">
        <v>312</v>
      </c>
      <c r="E79" s="5">
        <v>43906</v>
      </c>
      <c r="F79" s="6">
        <v>424.088054</v>
      </c>
      <c r="G79" s="7">
        <v>2.349093E-3</v>
      </c>
      <c r="H79" s="47"/>
    </row>
    <row r="80" spans="1:8" ht="17.100000000000001" customHeight="1" x14ac:dyDescent="0.2">
      <c r="A80" s="3">
        <v>74</v>
      </c>
      <c r="B80" s="4" t="s">
        <v>575</v>
      </c>
      <c r="C80" s="4" t="s">
        <v>576</v>
      </c>
      <c r="D80" s="4" t="s">
        <v>209</v>
      </c>
      <c r="E80" s="5">
        <v>29951</v>
      </c>
      <c r="F80" s="6">
        <v>421.24583949999999</v>
      </c>
      <c r="G80" s="7">
        <v>2.3333490000000002E-3</v>
      </c>
      <c r="H80" s="47"/>
    </row>
    <row r="81" spans="1:8" ht="17.100000000000001" customHeight="1" x14ac:dyDescent="0.2">
      <c r="A81" s="3">
        <v>75</v>
      </c>
      <c r="B81" s="4" t="s">
        <v>215</v>
      </c>
      <c r="C81" s="4" t="s">
        <v>216</v>
      </c>
      <c r="D81" s="4" t="s">
        <v>217</v>
      </c>
      <c r="E81" s="5">
        <v>151430</v>
      </c>
      <c r="F81" s="6">
        <v>400.91092500000002</v>
      </c>
      <c r="G81" s="7">
        <v>2.2207110000000002E-3</v>
      </c>
      <c r="H81" s="47"/>
    </row>
    <row r="82" spans="1:8" ht="17.100000000000001" customHeight="1" x14ac:dyDescent="0.2">
      <c r="A82" s="3">
        <v>76</v>
      </c>
      <c r="B82" s="4" t="s">
        <v>577</v>
      </c>
      <c r="C82" s="4" t="s">
        <v>578</v>
      </c>
      <c r="D82" s="4" t="s">
        <v>303</v>
      </c>
      <c r="E82" s="5">
        <v>218548</v>
      </c>
      <c r="F82" s="6">
        <v>223.57460399999999</v>
      </c>
      <c r="G82" s="7">
        <v>1.238416E-3</v>
      </c>
      <c r="H82" s="47"/>
    </row>
    <row r="83" spans="1:8" ht="14.1" customHeight="1" x14ac:dyDescent="0.2">
      <c r="A83" s="1"/>
      <c r="B83" s="1"/>
      <c r="C83" s="2" t="s">
        <v>122</v>
      </c>
      <c r="D83" s="1"/>
      <c r="E83" s="1" t="s">
        <v>123</v>
      </c>
      <c r="F83" s="9">
        <v>170295.139497019</v>
      </c>
      <c r="G83" s="10">
        <v>0.94329247199999999</v>
      </c>
      <c r="H83" s="47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124</v>
      </c>
      <c r="D85" s="1"/>
      <c r="E85" s="1"/>
      <c r="F85" s="1"/>
      <c r="G85" s="1"/>
      <c r="H85" s="47"/>
    </row>
    <row r="86" spans="1:8" ht="14.1" customHeight="1" x14ac:dyDescent="0.2">
      <c r="A86" s="1"/>
      <c r="B86" s="1"/>
      <c r="C86" s="2" t="s">
        <v>122</v>
      </c>
      <c r="D86" s="1"/>
      <c r="E86" s="1" t="s">
        <v>123</v>
      </c>
      <c r="F86" s="13">
        <v>0</v>
      </c>
      <c r="G86" s="14">
        <v>0</v>
      </c>
      <c r="H86" s="47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47"/>
    </row>
    <row r="88" spans="1:8" ht="14.1" customHeight="1" x14ac:dyDescent="0.2">
      <c r="A88" s="1"/>
      <c r="B88" s="1"/>
      <c r="C88" s="2" t="s">
        <v>125</v>
      </c>
      <c r="D88" s="1"/>
      <c r="E88" s="1"/>
      <c r="F88" s="1"/>
      <c r="G88" s="1"/>
      <c r="H88" s="47"/>
    </row>
    <row r="89" spans="1:8" ht="17.100000000000001" customHeight="1" x14ac:dyDescent="0.2">
      <c r="A89" s="3">
        <v>1</v>
      </c>
      <c r="B89" s="4" t="s">
        <v>119</v>
      </c>
      <c r="C89" s="45" t="s">
        <v>1013</v>
      </c>
      <c r="D89" s="4" t="s">
        <v>120</v>
      </c>
      <c r="E89" s="5">
        <v>375961</v>
      </c>
      <c r="F89" s="6">
        <v>7.5190000000000003E-6</v>
      </c>
      <c r="G89" s="8" t="s">
        <v>121</v>
      </c>
      <c r="H89" s="47"/>
    </row>
    <row r="90" spans="1:8" ht="14.1" customHeight="1" x14ac:dyDescent="0.2">
      <c r="A90" s="1"/>
      <c r="B90" s="1"/>
      <c r="C90" s="2" t="s">
        <v>122</v>
      </c>
      <c r="D90" s="1"/>
      <c r="E90" s="1" t="s">
        <v>123</v>
      </c>
      <c r="F90" s="13">
        <v>0</v>
      </c>
      <c r="G90" s="14">
        <v>0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126</v>
      </c>
      <c r="D92" s="1"/>
      <c r="E92" s="1"/>
      <c r="F92" s="1"/>
      <c r="G92" s="1"/>
      <c r="H92" s="47"/>
    </row>
    <row r="93" spans="1:8" ht="14.1" customHeight="1" x14ac:dyDescent="0.2">
      <c r="A93" s="1"/>
      <c r="B93" s="1"/>
      <c r="C93" s="2" t="s">
        <v>122</v>
      </c>
      <c r="D93" s="1"/>
      <c r="E93" s="1" t="s">
        <v>123</v>
      </c>
      <c r="F93" s="13">
        <v>0</v>
      </c>
      <c r="G93" s="14">
        <v>0</v>
      </c>
      <c r="H93" s="47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47"/>
    </row>
    <row r="95" spans="1:8" ht="14.1" customHeight="1" x14ac:dyDescent="0.2">
      <c r="A95" s="1"/>
      <c r="B95" s="1"/>
      <c r="C95" s="2" t="s">
        <v>127</v>
      </c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122</v>
      </c>
      <c r="D96" s="1"/>
      <c r="E96" s="1" t="s">
        <v>123</v>
      </c>
      <c r="F96" s="13">
        <v>0</v>
      </c>
      <c r="G96" s="14">
        <v>0</v>
      </c>
      <c r="H96" s="47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128</v>
      </c>
      <c r="D98" s="1"/>
      <c r="E98" s="1"/>
      <c r="F98" s="12"/>
      <c r="G98" s="12"/>
      <c r="H98" s="47"/>
    </row>
    <row r="99" spans="1:8" ht="14.1" customHeight="1" x14ac:dyDescent="0.2">
      <c r="A99" s="1"/>
      <c r="B99" s="1"/>
      <c r="C99" s="2" t="s">
        <v>122</v>
      </c>
      <c r="D99" s="1"/>
      <c r="E99" s="1" t="s">
        <v>123</v>
      </c>
      <c r="F99" s="13">
        <v>0</v>
      </c>
      <c r="G99" s="14">
        <v>0</v>
      </c>
      <c r="H99" s="47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47"/>
    </row>
    <row r="101" spans="1:8" ht="18" customHeight="1" x14ac:dyDescent="0.2">
      <c r="A101" s="1"/>
      <c r="B101" s="1"/>
      <c r="C101" s="2" t="s">
        <v>129</v>
      </c>
      <c r="D101" s="1"/>
      <c r="E101" s="1"/>
      <c r="F101" s="9">
        <v>170295.139497019</v>
      </c>
      <c r="G101" s="10">
        <v>0.94329247199999999</v>
      </c>
      <c r="H101" s="47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47"/>
    </row>
    <row r="103" spans="1:8" ht="14.1" customHeight="1" x14ac:dyDescent="0.2">
      <c r="A103" s="1"/>
      <c r="B103" s="1"/>
      <c r="C103" s="2" t="s">
        <v>130</v>
      </c>
      <c r="D103" s="1"/>
      <c r="E103" s="1"/>
      <c r="F103" s="12"/>
      <c r="G103" s="12"/>
      <c r="H103" s="47"/>
    </row>
    <row r="104" spans="1:8" ht="24" customHeight="1" x14ac:dyDescent="0.2">
      <c r="A104" s="1"/>
      <c r="B104" s="1"/>
      <c r="C104" s="2" t="s">
        <v>10</v>
      </c>
      <c r="D104" s="1"/>
      <c r="E104" s="1"/>
      <c r="F104" s="12"/>
      <c r="G104" s="12"/>
      <c r="H104" s="47"/>
    </row>
    <row r="105" spans="1:8" ht="14.1" customHeight="1" x14ac:dyDescent="0.2">
      <c r="A105" s="1"/>
      <c r="B105" s="1"/>
      <c r="C105" s="2" t="s">
        <v>122</v>
      </c>
      <c r="D105" s="1"/>
      <c r="E105" s="1" t="s">
        <v>123</v>
      </c>
      <c r="F105" s="13">
        <v>0</v>
      </c>
      <c r="G105" s="14">
        <v>0</v>
      </c>
      <c r="H105" s="47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47"/>
    </row>
    <row r="107" spans="1:8" ht="14.1" customHeight="1" x14ac:dyDescent="0.2">
      <c r="A107" s="1"/>
      <c r="B107" s="1"/>
      <c r="C107" s="2" t="s">
        <v>131</v>
      </c>
      <c r="D107" s="1"/>
      <c r="E107" s="1"/>
      <c r="F107" s="1"/>
      <c r="G107" s="1"/>
      <c r="H107" s="47"/>
    </row>
    <row r="108" spans="1:8" ht="14.1" customHeight="1" x14ac:dyDescent="0.2">
      <c r="A108" s="1"/>
      <c r="B108" s="1"/>
      <c r="C108" s="2" t="s">
        <v>122</v>
      </c>
      <c r="D108" s="1"/>
      <c r="E108" s="1" t="s">
        <v>123</v>
      </c>
      <c r="F108" s="13">
        <v>0</v>
      </c>
      <c r="G108" s="14">
        <v>0</v>
      </c>
      <c r="H108" s="47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2" t="s">
        <v>132</v>
      </c>
      <c r="D110" s="1"/>
      <c r="E110" s="1"/>
      <c r="F110" s="1"/>
      <c r="G110" s="1"/>
      <c r="H110" s="47"/>
    </row>
    <row r="111" spans="1:8" ht="14.1" customHeight="1" x14ac:dyDescent="0.2">
      <c r="A111" s="1"/>
      <c r="B111" s="1"/>
      <c r="C111" s="2" t="s">
        <v>122</v>
      </c>
      <c r="D111" s="1"/>
      <c r="E111" s="1" t="s">
        <v>123</v>
      </c>
      <c r="F111" s="13">
        <v>0</v>
      </c>
      <c r="G111" s="14">
        <v>0</v>
      </c>
      <c r="H111" s="47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47"/>
    </row>
    <row r="113" spans="1:8" ht="14.1" customHeight="1" x14ac:dyDescent="0.2">
      <c r="A113" s="1"/>
      <c r="B113" s="1"/>
      <c r="C113" s="2" t="s">
        <v>133</v>
      </c>
      <c r="D113" s="1"/>
      <c r="E113" s="1"/>
      <c r="F113" s="12"/>
      <c r="G113" s="12"/>
      <c r="H113" s="47"/>
    </row>
    <row r="114" spans="1:8" ht="14.1" customHeight="1" x14ac:dyDescent="0.2">
      <c r="A114" s="1"/>
      <c r="B114" s="1"/>
      <c r="C114" s="2" t="s">
        <v>122</v>
      </c>
      <c r="D114" s="1"/>
      <c r="E114" s="1" t="s">
        <v>123</v>
      </c>
      <c r="F114" s="13">
        <v>0</v>
      </c>
      <c r="G114" s="14">
        <v>0</v>
      </c>
      <c r="H114" s="47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47"/>
    </row>
    <row r="116" spans="1:8" ht="14.1" customHeight="1" x14ac:dyDescent="0.2">
      <c r="A116" s="1"/>
      <c r="B116" s="1"/>
      <c r="C116" s="2" t="s">
        <v>134</v>
      </c>
      <c r="D116" s="1"/>
      <c r="E116" s="1"/>
      <c r="F116" s="9">
        <v>0</v>
      </c>
      <c r="G116" s="10">
        <v>0</v>
      </c>
      <c r="H116" s="47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47"/>
    </row>
    <row r="118" spans="1:8" ht="14.1" customHeight="1" x14ac:dyDescent="0.2">
      <c r="A118" s="1"/>
      <c r="B118" s="1"/>
      <c r="C118" s="2" t="s">
        <v>135</v>
      </c>
      <c r="D118" s="1"/>
      <c r="E118" s="1"/>
      <c r="F118" s="12"/>
      <c r="G118" s="12"/>
      <c r="H118" s="47"/>
    </row>
    <row r="119" spans="1:8" ht="14.1" customHeight="1" x14ac:dyDescent="0.2">
      <c r="A119" s="1"/>
      <c r="B119" s="1"/>
      <c r="C119" s="2" t="s">
        <v>136</v>
      </c>
      <c r="D119" s="1"/>
      <c r="E119" s="1"/>
      <c r="F119" s="12"/>
      <c r="G119" s="12"/>
      <c r="H119" s="47"/>
    </row>
    <row r="120" spans="1:8" ht="14.1" customHeight="1" x14ac:dyDescent="0.2">
      <c r="A120" s="1"/>
      <c r="B120" s="1"/>
      <c r="C120" s="2" t="s">
        <v>122</v>
      </c>
      <c r="D120" s="1"/>
      <c r="E120" s="1" t="s">
        <v>123</v>
      </c>
      <c r="F120" s="13">
        <v>0</v>
      </c>
      <c r="G120" s="14">
        <v>0</v>
      </c>
      <c r="H120" s="47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47"/>
    </row>
    <row r="122" spans="1:8" ht="14.1" customHeight="1" x14ac:dyDescent="0.2">
      <c r="A122" s="1"/>
      <c r="B122" s="1"/>
      <c r="C122" s="2" t="s">
        <v>137</v>
      </c>
      <c r="D122" s="1"/>
      <c r="E122" s="1"/>
      <c r="F122" s="12"/>
      <c r="G122" s="12"/>
      <c r="H122" s="47"/>
    </row>
    <row r="123" spans="1:8" ht="14.1" customHeight="1" x14ac:dyDescent="0.2">
      <c r="A123" s="1"/>
      <c r="B123" s="1"/>
      <c r="C123" s="2" t="s">
        <v>122</v>
      </c>
      <c r="D123" s="1"/>
      <c r="E123" s="1" t="s">
        <v>123</v>
      </c>
      <c r="F123" s="13">
        <v>0</v>
      </c>
      <c r="G123" s="14">
        <v>0</v>
      </c>
      <c r="H123" s="47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47"/>
    </row>
    <row r="125" spans="1:8" ht="14.1" customHeight="1" x14ac:dyDescent="0.2">
      <c r="A125" s="1"/>
      <c r="B125" s="1"/>
      <c r="C125" s="2" t="s">
        <v>138</v>
      </c>
      <c r="D125" s="1"/>
      <c r="E125" s="1"/>
      <c r="F125" s="12"/>
      <c r="G125" s="12"/>
      <c r="H125" s="47"/>
    </row>
    <row r="126" spans="1:8" ht="14.1" customHeight="1" x14ac:dyDescent="0.2">
      <c r="A126" s="1"/>
      <c r="B126" s="1"/>
      <c r="C126" s="2" t="s">
        <v>122</v>
      </c>
      <c r="D126" s="1"/>
      <c r="E126" s="1" t="s">
        <v>123</v>
      </c>
      <c r="F126" s="13">
        <v>0</v>
      </c>
      <c r="G126" s="14">
        <v>0</v>
      </c>
      <c r="H126" s="47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47"/>
    </row>
    <row r="128" spans="1:8" ht="14.1" customHeight="1" x14ac:dyDescent="0.2">
      <c r="A128" s="1"/>
      <c r="B128" s="1"/>
      <c r="C128" s="2" t="s">
        <v>139</v>
      </c>
      <c r="D128" s="1"/>
      <c r="E128" s="1"/>
      <c r="F128" s="12"/>
      <c r="G128" s="12"/>
      <c r="H128" s="47"/>
    </row>
    <row r="129" spans="1:8" ht="17.100000000000001" customHeight="1" x14ac:dyDescent="0.2">
      <c r="A129" s="3">
        <v>1</v>
      </c>
      <c r="B129" s="4"/>
      <c r="C129" s="4" t="s">
        <v>140</v>
      </c>
      <c r="D129" s="4"/>
      <c r="E129" s="8"/>
      <c r="F129" s="6">
        <v>9918.4334472999999</v>
      </c>
      <c r="G129" s="7">
        <v>5.4939816000000002E-2</v>
      </c>
      <c r="H129" s="47">
        <v>4.6730752161314033</v>
      </c>
    </row>
    <row r="130" spans="1:8" ht="14.1" customHeight="1" x14ac:dyDescent="0.2">
      <c r="A130" s="1"/>
      <c r="B130" s="1"/>
      <c r="C130" s="2" t="s">
        <v>122</v>
      </c>
      <c r="D130" s="1"/>
      <c r="E130" s="1" t="s">
        <v>123</v>
      </c>
      <c r="F130" s="9">
        <v>9918.4334472999999</v>
      </c>
      <c r="G130" s="10">
        <v>5.4939816000000002E-2</v>
      </c>
      <c r="H130" s="47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47"/>
    </row>
    <row r="132" spans="1:8" ht="14.1" customHeight="1" x14ac:dyDescent="0.2">
      <c r="A132" s="1"/>
      <c r="B132" s="1"/>
      <c r="C132" s="2" t="s">
        <v>141</v>
      </c>
      <c r="D132" s="1"/>
      <c r="E132" s="1"/>
      <c r="F132" s="9">
        <v>9918.4334472999999</v>
      </c>
      <c r="G132" s="10">
        <v>5.4939816000000002E-2</v>
      </c>
      <c r="H132" s="47"/>
    </row>
    <row r="133" spans="1:8" ht="14.1" customHeight="1" x14ac:dyDescent="0.2">
      <c r="A133" s="1"/>
      <c r="B133" s="1"/>
      <c r="C133" s="12"/>
      <c r="D133" s="1"/>
      <c r="E133" s="1"/>
      <c r="F133" s="1"/>
      <c r="G133" s="1"/>
      <c r="H133" s="47"/>
    </row>
    <row r="134" spans="1:8" ht="14.1" customHeight="1" x14ac:dyDescent="0.2">
      <c r="A134" s="1"/>
      <c r="B134" s="1"/>
      <c r="C134" s="2" t="s">
        <v>142</v>
      </c>
      <c r="D134" s="1"/>
      <c r="E134" s="1"/>
      <c r="F134" s="1"/>
      <c r="G134" s="1"/>
      <c r="H134" s="47"/>
    </row>
    <row r="135" spans="1:8" ht="14.1" customHeight="1" x14ac:dyDescent="0.2">
      <c r="A135" s="1"/>
      <c r="B135" s="1"/>
      <c r="C135" s="2" t="s">
        <v>143</v>
      </c>
      <c r="D135" s="1"/>
      <c r="E135" s="1"/>
      <c r="F135" s="1"/>
      <c r="G135" s="1"/>
      <c r="H135" s="47"/>
    </row>
    <row r="136" spans="1:8" ht="14.1" customHeight="1" x14ac:dyDescent="0.2">
      <c r="A136" s="1"/>
      <c r="B136" s="1"/>
      <c r="C136" s="2" t="s">
        <v>122</v>
      </c>
      <c r="D136" s="1"/>
      <c r="E136" s="1" t="s">
        <v>123</v>
      </c>
      <c r="F136" s="13">
        <v>0</v>
      </c>
      <c r="G136" s="14">
        <v>0</v>
      </c>
      <c r="H136" s="47"/>
    </row>
    <row r="137" spans="1:8" ht="14.1" customHeight="1" x14ac:dyDescent="0.2">
      <c r="A137" s="1"/>
      <c r="B137" s="1"/>
      <c r="C137" s="11"/>
      <c r="D137" s="1"/>
      <c r="E137" s="1"/>
      <c r="F137" s="12"/>
      <c r="G137" s="12"/>
      <c r="H137" s="47"/>
    </row>
    <row r="138" spans="1:8" ht="14.1" customHeight="1" x14ac:dyDescent="0.2">
      <c r="A138" s="1"/>
      <c r="B138" s="1"/>
      <c r="C138" s="2" t="s">
        <v>144</v>
      </c>
      <c r="D138" s="1"/>
      <c r="E138" s="1"/>
      <c r="F138" s="1"/>
      <c r="G138" s="1"/>
      <c r="H138" s="47"/>
    </row>
    <row r="139" spans="1:8" ht="14.1" customHeight="1" x14ac:dyDescent="0.2">
      <c r="A139" s="1"/>
      <c r="B139" s="1"/>
      <c r="C139" s="2" t="s">
        <v>145</v>
      </c>
      <c r="D139" s="1"/>
      <c r="E139" s="1"/>
      <c r="F139" s="1"/>
      <c r="G139" s="1"/>
      <c r="H139" s="47"/>
    </row>
    <row r="140" spans="1:8" ht="14.1" customHeight="1" x14ac:dyDescent="0.2">
      <c r="A140" s="1"/>
      <c r="B140" s="1"/>
      <c r="C140" s="2" t="s">
        <v>122</v>
      </c>
      <c r="D140" s="1"/>
      <c r="E140" s="1" t="s">
        <v>123</v>
      </c>
      <c r="F140" s="13">
        <v>0</v>
      </c>
      <c r="G140" s="14">
        <v>0</v>
      </c>
      <c r="H140" s="47"/>
    </row>
    <row r="141" spans="1:8" ht="14.1" customHeight="1" x14ac:dyDescent="0.2">
      <c r="A141" s="1"/>
      <c r="B141" s="1"/>
      <c r="C141" s="11"/>
      <c r="D141" s="1"/>
      <c r="E141" s="1"/>
      <c r="F141" s="12"/>
      <c r="G141" s="12"/>
      <c r="H141" s="47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47"/>
    </row>
    <row r="143" spans="1:8" ht="24" customHeight="1" x14ac:dyDescent="0.2">
      <c r="A143" s="1"/>
      <c r="B143" s="1"/>
      <c r="C143" s="2" t="s">
        <v>146</v>
      </c>
      <c r="D143" s="1"/>
      <c r="E143" s="1"/>
      <c r="F143" s="12"/>
      <c r="G143" s="12"/>
      <c r="H143" s="47"/>
    </row>
    <row r="144" spans="1:8" ht="14.1" customHeight="1" x14ac:dyDescent="0.2">
      <c r="A144" s="1"/>
      <c r="B144" s="1"/>
      <c r="C144" s="2" t="s">
        <v>122</v>
      </c>
      <c r="D144" s="1"/>
      <c r="E144" s="1" t="s">
        <v>123</v>
      </c>
      <c r="F144" s="13">
        <v>0</v>
      </c>
      <c r="G144" s="14">
        <v>0</v>
      </c>
      <c r="H144" s="47"/>
    </row>
    <row r="145" spans="1:15" ht="14.1" customHeight="1" x14ac:dyDescent="0.2">
      <c r="A145" s="1"/>
      <c r="B145" s="1"/>
      <c r="C145" s="11"/>
      <c r="D145" s="1"/>
      <c r="E145" s="1"/>
      <c r="F145" s="12"/>
      <c r="G145" s="12"/>
      <c r="H145" s="47"/>
    </row>
    <row r="146" spans="1:15" ht="14.1" customHeight="1" x14ac:dyDescent="0.2">
      <c r="A146" s="1"/>
      <c r="B146" s="4"/>
      <c r="C146" s="4"/>
      <c r="D146" s="2"/>
      <c r="E146" s="1"/>
      <c r="F146" s="4"/>
      <c r="G146" s="8"/>
      <c r="H146" s="47"/>
    </row>
    <row r="147" spans="1:15" ht="18" customHeight="1" x14ac:dyDescent="0.2">
      <c r="A147" s="8"/>
      <c r="B147" s="4"/>
      <c r="C147" s="4" t="s">
        <v>147</v>
      </c>
      <c r="D147" s="4"/>
      <c r="E147" s="8"/>
      <c r="F147" s="6">
        <v>319.13029437</v>
      </c>
      <c r="G147" s="7">
        <v>1.767715E-3</v>
      </c>
      <c r="H147" s="47"/>
    </row>
    <row r="148" spans="1:15" ht="14.1" customHeight="1" x14ac:dyDescent="0.2">
      <c r="A148" s="11"/>
      <c r="B148" s="11"/>
      <c r="C148" s="2" t="s">
        <v>148</v>
      </c>
      <c r="D148" s="15"/>
      <c r="E148" s="15"/>
      <c r="F148" s="9">
        <v>180532.70323868899</v>
      </c>
      <c r="G148" s="14">
        <v>1.000000003</v>
      </c>
      <c r="H148" s="47"/>
    </row>
    <row r="149" spans="1:15" ht="14.1" customHeight="1" x14ac:dyDescent="0.2">
      <c r="A149" s="16"/>
      <c r="B149" s="16"/>
      <c r="C149" s="16"/>
      <c r="D149" s="17"/>
      <c r="E149" s="17"/>
      <c r="F149" s="17"/>
      <c r="G149" s="17"/>
    </row>
    <row r="150" spans="1:15" ht="17.100000000000001" customHeight="1" x14ac:dyDescent="0.2">
      <c r="A150" s="18"/>
      <c r="B150" s="264" t="s">
        <v>149</v>
      </c>
      <c r="C150" s="264"/>
      <c r="D150" s="264"/>
      <c r="E150" s="264"/>
      <c r="F150" s="264"/>
      <c r="G150" s="20"/>
    </row>
    <row r="151" spans="1:15" ht="14.1" customHeight="1" x14ac:dyDescent="0.2">
      <c r="A151" s="18"/>
      <c r="B151" s="18"/>
      <c r="C151" s="18"/>
      <c r="D151" s="20"/>
      <c r="E151" s="20"/>
      <c r="F151" s="20"/>
      <c r="G151" s="20"/>
    </row>
    <row r="152" spans="1:15" ht="14.1" customHeight="1" x14ac:dyDescent="0.2">
      <c r="A152" s="18"/>
      <c r="B152" s="257" t="s">
        <v>150</v>
      </c>
      <c r="C152" s="258"/>
      <c r="D152" s="12" t="s">
        <v>123</v>
      </c>
      <c r="E152" s="21"/>
      <c r="F152" s="20"/>
      <c r="G152" s="20"/>
    </row>
    <row r="153" spans="1:15" ht="29.1" customHeight="1" x14ac:dyDescent="0.2">
      <c r="A153" s="18"/>
      <c r="B153" s="259" t="s">
        <v>151</v>
      </c>
      <c r="C153" s="260"/>
      <c r="D153" s="2" t="s">
        <v>152</v>
      </c>
      <c r="E153" s="21"/>
      <c r="F153" s="20"/>
      <c r="G153" s="20"/>
    </row>
    <row r="154" spans="1:15" ht="17.100000000000001" customHeight="1" x14ac:dyDescent="0.2">
      <c r="A154" s="18"/>
      <c r="B154" s="259" t="s">
        <v>1039</v>
      </c>
      <c r="C154" s="260"/>
      <c r="D154" s="2" t="s">
        <v>1040</v>
      </c>
      <c r="E154" s="21"/>
      <c r="F154" s="20"/>
      <c r="G154" s="20"/>
    </row>
    <row r="155" spans="1:15" ht="17.100000000000001" customHeight="1" x14ac:dyDescent="0.2">
      <c r="A155" s="18"/>
      <c r="B155" s="259" t="s">
        <v>154</v>
      </c>
      <c r="C155" s="260"/>
      <c r="D155" s="12" t="s">
        <v>123</v>
      </c>
      <c r="E155" s="21"/>
      <c r="F155" s="20"/>
      <c r="G155" s="20"/>
    </row>
    <row r="156" spans="1:15" ht="24" customHeight="1" x14ac:dyDescent="0.2">
      <c r="A156" s="22"/>
      <c r="B156" s="23" t="s">
        <v>123</v>
      </c>
      <c r="C156" s="23" t="s">
        <v>155</v>
      </c>
      <c r="D156" s="23" t="s">
        <v>156</v>
      </c>
      <c r="E156" s="22"/>
      <c r="F156" s="22"/>
      <c r="G156" s="22"/>
    </row>
    <row r="157" spans="1:15" ht="18" customHeight="1" x14ac:dyDescent="0.2">
      <c r="A157" s="22"/>
      <c r="B157" s="23" t="s">
        <v>157</v>
      </c>
      <c r="C157" s="23" t="s">
        <v>158</v>
      </c>
      <c r="D157" s="23" t="s">
        <v>159</v>
      </c>
      <c r="E157" s="22"/>
      <c r="F157" s="22"/>
      <c r="G157" s="22"/>
      <c r="J157" s="148"/>
      <c r="K157" s="148"/>
      <c r="L157" s="148"/>
      <c r="M157" s="148"/>
      <c r="N157" s="148"/>
      <c r="O157" s="148"/>
    </row>
    <row r="158" spans="1:15" ht="17.100000000000001" customHeight="1" x14ac:dyDescent="0.2">
      <c r="A158" s="22"/>
      <c r="B158" s="4" t="s">
        <v>160</v>
      </c>
      <c r="C158" s="24">
        <v>143.08500000000001</v>
      </c>
      <c r="D158" s="24">
        <v>138.68879999999999</v>
      </c>
      <c r="E158" s="22"/>
      <c r="F158" s="19"/>
      <c r="G158" s="25"/>
    </row>
    <row r="159" spans="1:15" ht="17.100000000000001" customHeight="1" x14ac:dyDescent="0.2">
      <c r="A159" s="22"/>
      <c r="B159" s="4" t="s">
        <v>1101</v>
      </c>
      <c r="C159" s="24">
        <v>25.0763</v>
      </c>
      <c r="D159" s="24">
        <v>24.305399999999999</v>
      </c>
      <c r="E159" s="22"/>
      <c r="F159" s="19"/>
      <c r="G159" s="25"/>
    </row>
    <row r="160" spans="1:15" ht="17.100000000000001" customHeight="1" x14ac:dyDescent="0.2">
      <c r="A160" s="22"/>
      <c r="B160" s="4" t="s">
        <v>161</v>
      </c>
      <c r="C160" s="24">
        <v>133.8674</v>
      </c>
      <c r="D160" s="24">
        <v>129.62209999999999</v>
      </c>
      <c r="E160" s="22"/>
      <c r="F160" s="19"/>
      <c r="G160" s="25"/>
    </row>
    <row r="161" spans="1:7" ht="17.100000000000001" customHeight="1" x14ac:dyDescent="0.2">
      <c r="A161" s="22"/>
      <c r="B161" s="4" t="s">
        <v>1102</v>
      </c>
      <c r="C161" s="24">
        <v>22.833300000000001</v>
      </c>
      <c r="D161" s="24">
        <v>22.109100000000002</v>
      </c>
      <c r="E161" s="22"/>
      <c r="F161" s="19"/>
      <c r="G161" s="25"/>
    </row>
    <row r="162" spans="1:7" ht="14.1" customHeight="1" x14ac:dyDescent="0.2">
      <c r="A162" s="22"/>
      <c r="B162" s="22"/>
      <c r="C162" s="22"/>
      <c r="D162" s="22"/>
      <c r="E162" s="22"/>
      <c r="F162" s="22"/>
      <c r="G162" s="22"/>
    </row>
    <row r="163" spans="1:7" ht="17.100000000000001" customHeight="1" x14ac:dyDescent="0.2">
      <c r="A163" s="22"/>
      <c r="B163" s="259" t="s">
        <v>1103</v>
      </c>
      <c r="C163" s="260"/>
      <c r="D163" s="2" t="s">
        <v>152</v>
      </c>
      <c r="E163" s="22"/>
      <c r="F163" s="22"/>
      <c r="G163" s="22"/>
    </row>
    <row r="164" spans="1:7" ht="18" customHeight="1" x14ac:dyDescent="0.2">
      <c r="A164" s="22"/>
      <c r="B164" s="26"/>
      <c r="C164" s="26"/>
      <c r="D164" s="27"/>
      <c r="E164" s="22"/>
      <c r="F164" s="22"/>
      <c r="G164" s="22"/>
    </row>
    <row r="165" spans="1:7" ht="29.1" customHeight="1" x14ac:dyDescent="0.2">
      <c r="A165" s="22"/>
      <c r="B165" s="259" t="s">
        <v>162</v>
      </c>
      <c r="C165" s="260"/>
      <c r="D165" s="2" t="s">
        <v>152</v>
      </c>
      <c r="E165" s="22"/>
      <c r="F165" s="22"/>
      <c r="G165" s="22"/>
    </row>
    <row r="166" spans="1:7" ht="29.1" customHeight="1" x14ac:dyDescent="0.2">
      <c r="A166" s="22"/>
      <c r="B166" s="259" t="s">
        <v>163</v>
      </c>
      <c r="C166" s="260"/>
      <c r="D166" s="2" t="s">
        <v>152</v>
      </c>
      <c r="E166" s="22"/>
      <c r="F166" s="22"/>
      <c r="G166" s="22"/>
    </row>
    <row r="167" spans="1:7" ht="17.100000000000001" customHeight="1" x14ac:dyDescent="0.2">
      <c r="A167" s="22"/>
      <c r="B167" s="259" t="s">
        <v>164</v>
      </c>
      <c r="C167" s="260"/>
      <c r="D167" s="28">
        <v>0.50796078841986991</v>
      </c>
      <c r="E167" s="22"/>
      <c r="F167" s="19"/>
      <c r="G167" s="25"/>
    </row>
    <row r="168" spans="1:7" ht="17.100000000000001" customHeight="1" x14ac:dyDescent="0.2">
      <c r="A168" s="22"/>
      <c r="B168" s="259" t="s">
        <v>165</v>
      </c>
      <c r="C168" s="260"/>
      <c r="D168" s="2" t="s">
        <v>152</v>
      </c>
      <c r="E168" s="22"/>
      <c r="F168" s="22"/>
      <c r="G168" s="22"/>
    </row>
  </sheetData>
  <mergeCells count="14">
    <mergeCell ref="J2:N2"/>
    <mergeCell ref="B150:F150"/>
    <mergeCell ref="A1:H1"/>
    <mergeCell ref="A2:H2"/>
    <mergeCell ref="A3:H3"/>
    <mergeCell ref="B152:C152"/>
    <mergeCell ref="B167:C167"/>
    <mergeCell ref="B168:C168"/>
    <mergeCell ref="B153:C153"/>
    <mergeCell ref="B154:C154"/>
    <mergeCell ref="B155:C155"/>
    <mergeCell ref="B163:C163"/>
    <mergeCell ref="B165:C165"/>
    <mergeCell ref="B166:C16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P213"/>
  <sheetViews>
    <sheetView showGridLines="0" workbookViewId="0">
      <selection sqref="A1:I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7" bestFit="1" customWidth="1"/>
    <col min="9" max="9" width="11.28515625" customWidth="1"/>
  </cols>
  <sheetData>
    <row r="1" spans="1:16" ht="18" customHeight="1" x14ac:dyDescent="0.2">
      <c r="A1" s="270" t="s">
        <v>0</v>
      </c>
      <c r="B1" s="270"/>
      <c r="C1" s="270"/>
      <c r="D1" s="270"/>
      <c r="E1" s="270"/>
      <c r="F1" s="270"/>
      <c r="G1" s="270"/>
      <c r="H1" s="270"/>
      <c r="I1" s="270"/>
      <c r="K1" s="49"/>
      <c r="L1" s="49"/>
      <c r="M1" s="49"/>
      <c r="N1" s="49"/>
      <c r="O1" s="49"/>
      <c r="P1" s="49"/>
    </row>
    <row r="2" spans="1:16" ht="17.100000000000001" customHeight="1" x14ac:dyDescent="0.2">
      <c r="A2" s="271" t="s">
        <v>1143</v>
      </c>
      <c r="B2" s="272"/>
      <c r="C2" s="272"/>
      <c r="D2" s="272"/>
      <c r="E2" s="272"/>
      <c r="F2" s="272"/>
      <c r="G2" s="272"/>
      <c r="H2" s="272"/>
      <c r="I2" s="272"/>
      <c r="K2" s="263" t="s">
        <v>1112</v>
      </c>
      <c r="L2" s="263"/>
      <c r="M2" s="263"/>
      <c r="N2" s="263"/>
      <c r="O2" s="263"/>
      <c r="P2" s="49"/>
    </row>
    <row r="3" spans="1:16" ht="21" customHeight="1" x14ac:dyDescent="0.2">
      <c r="A3" s="270" t="s">
        <v>1111</v>
      </c>
      <c r="B3" s="270"/>
      <c r="C3" s="270"/>
      <c r="D3" s="270"/>
      <c r="E3" s="270"/>
      <c r="F3" s="270"/>
      <c r="G3" s="270"/>
      <c r="H3" s="270"/>
      <c r="I3" s="270"/>
      <c r="K3" s="49"/>
      <c r="L3" s="49"/>
      <c r="M3" s="49"/>
      <c r="N3" s="49"/>
      <c r="O3" s="49"/>
      <c r="P3" s="49"/>
    </row>
    <row r="4" spans="1:16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  <c r="I4" s="143" t="s">
        <v>1096</v>
      </c>
      <c r="K4" s="149"/>
      <c r="L4" s="149"/>
      <c r="M4" s="149"/>
      <c r="N4" s="149"/>
      <c r="O4" s="149"/>
      <c r="P4" s="149"/>
    </row>
    <row r="5" spans="1:16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  <c r="I5" s="47"/>
      <c r="K5" s="49"/>
      <c r="L5" s="49"/>
      <c r="M5" s="49"/>
      <c r="N5" s="49"/>
      <c r="O5" s="49"/>
      <c r="P5" s="49"/>
    </row>
    <row r="6" spans="1:16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  <c r="I6" s="47"/>
      <c r="K6" s="49"/>
      <c r="L6" s="49"/>
      <c r="M6" s="49"/>
      <c r="N6" s="49"/>
      <c r="O6" s="49"/>
      <c r="P6" s="49"/>
    </row>
    <row r="7" spans="1:16" ht="17.100000000000001" customHeight="1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640000</v>
      </c>
      <c r="F7" s="6">
        <v>16612.16</v>
      </c>
      <c r="G7" s="7">
        <v>5.8211805999999998E-2</v>
      </c>
      <c r="H7" s="47"/>
      <c r="I7" s="47"/>
      <c r="K7" s="49"/>
      <c r="L7" s="49"/>
      <c r="M7" s="49"/>
      <c r="N7" s="49"/>
      <c r="O7" s="49"/>
      <c r="P7" s="49"/>
    </row>
    <row r="8" spans="1:16" ht="17.100000000000001" customHeight="1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2221500</v>
      </c>
      <c r="F8" s="6">
        <v>15710.448</v>
      </c>
      <c r="G8" s="7">
        <v>5.5052055000000003E-2</v>
      </c>
      <c r="H8" s="47"/>
      <c r="I8" s="47"/>
      <c r="K8" s="49"/>
      <c r="L8" s="49"/>
      <c r="M8" s="49"/>
      <c r="N8" s="49"/>
      <c r="O8" s="49"/>
      <c r="P8" s="49"/>
    </row>
    <row r="9" spans="1:16" ht="17.100000000000001" customHeight="1" x14ac:dyDescent="0.2">
      <c r="A9" s="3">
        <v>3</v>
      </c>
      <c r="B9" s="4" t="s">
        <v>393</v>
      </c>
      <c r="C9" s="4" t="s">
        <v>394</v>
      </c>
      <c r="D9" s="4" t="s">
        <v>191</v>
      </c>
      <c r="E9" s="5">
        <v>1066958</v>
      </c>
      <c r="F9" s="6">
        <v>15597.859001999999</v>
      </c>
      <c r="G9" s="7">
        <v>5.4657524999999998E-2</v>
      </c>
      <c r="H9" s="47"/>
      <c r="I9" s="47"/>
      <c r="K9" s="49"/>
      <c r="L9" s="49"/>
      <c r="M9" s="49"/>
      <c r="N9" s="49"/>
      <c r="O9" s="49"/>
      <c r="P9" s="49"/>
    </row>
    <row r="10" spans="1:16" ht="17.100000000000001" customHeight="1" x14ac:dyDescent="0.2">
      <c r="A10" s="3">
        <v>4</v>
      </c>
      <c r="B10" s="4" t="s">
        <v>358</v>
      </c>
      <c r="C10" s="4" t="s">
        <v>359</v>
      </c>
      <c r="D10" s="4" t="s">
        <v>19</v>
      </c>
      <c r="E10" s="5">
        <v>1073578</v>
      </c>
      <c r="F10" s="6">
        <v>14471.83144</v>
      </c>
      <c r="G10" s="7">
        <v>5.0711734000000001E-2</v>
      </c>
      <c r="H10" s="47"/>
      <c r="I10" s="47"/>
      <c r="K10" s="49"/>
      <c r="L10" s="49"/>
      <c r="M10" s="49"/>
      <c r="N10" s="49"/>
      <c r="O10" s="49"/>
      <c r="P10" s="49"/>
    </row>
    <row r="11" spans="1:16" ht="29.1" customHeight="1" x14ac:dyDescent="0.2">
      <c r="A11" s="3">
        <v>5</v>
      </c>
      <c r="B11" s="4" t="s">
        <v>401</v>
      </c>
      <c r="C11" s="4" t="s">
        <v>402</v>
      </c>
      <c r="D11" s="4" t="s">
        <v>204</v>
      </c>
      <c r="E11" s="5">
        <v>1150000</v>
      </c>
      <c r="F11" s="6">
        <v>9551.9</v>
      </c>
      <c r="G11" s="7">
        <v>3.3471465999999998E-2</v>
      </c>
      <c r="H11" s="47"/>
      <c r="I11" s="47"/>
      <c r="K11" s="49"/>
      <c r="L11" s="49"/>
      <c r="M11" s="49"/>
      <c r="N11" s="49"/>
      <c r="O11" s="49"/>
      <c r="P11" s="49"/>
    </row>
    <row r="12" spans="1:16" ht="17.100000000000001" customHeight="1" x14ac:dyDescent="0.2">
      <c r="A12" s="3">
        <v>6</v>
      </c>
      <c r="B12" s="4" t="s">
        <v>20</v>
      </c>
      <c r="C12" s="4" t="s">
        <v>21</v>
      </c>
      <c r="D12" s="4" t="s">
        <v>22</v>
      </c>
      <c r="E12" s="5">
        <v>1391966</v>
      </c>
      <c r="F12" s="6">
        <v>9534.2711170000002</v>
      </c>
      <c r="G12" s="7">
        <v>3.3409691999999998E-2</v>
      </c>
      <c r="H12" s="47"/>
      <c r="I12" s="47"/>
      <c r="K12" s="147" t="s">
        <v>1124</v>
      </c>
      <c r="L12" s="49"/>
      <c r="M12" s="49"/>
      <c r="N12" s="49"/>
      <c r="O12" s="49"/>
      <c r="P12" s="49"/>
    </row>
    <row r="13" spans="1:16" ht="29.1" customHeight="1" x14ac:dyDescent="0.2">
      <c r="A13" s="3">
        <v>7</v>
      </c>
      <c r="B13" s="4" t="s">
        <v>395</v>
      </c>
      <c r="C13" s="4" t="s">
        <v>396</v>
      </c>
      <c r="D13" s="4" t="s">
        <v>91</v>
      </c>
      <c r="E13" s="5">
        <v>412159</v>
      </c>
      <c r="F13" s="6">
        <v>8947.3536514999996</v>
      </c>
      <c r="G13" s="7">
        <v>3.1353034000000002E-2</v>
      </c>
      <c r="H13" s="47"/>
      <c r="I13" s="47"/>
      <c r="K13" s="49"/>
      <c r="L13" s="49"/>
      <c r="M13" s="49"/>
      <c r="N13" s="49"/>
      <c r="O13" s="49"/>
      <c r="P13" s="49"/>
    </row>
    <row r="14" spans="1:16" ht="17.100000000000001" customHeight="1" x14ac:dyDescent="0.2">
      <c r="A14" s="3">
        <v>8</v>
      </c>
      <c r="B14" s="4" t="s">
        <v>46</v>
      </c>
      <c r="C14" s="4" t="s">
        <v>47</v>
      </c>
      <c r="D14" s="4" t="s">
        <v>19</v>
      </c>
      <c r="E14" s="5">
        <v>1447996</v>
      </c>
      <c r="F14" s="6">
        <v>6746.2133640000002</v>
      </c>
      <c r="G14" s="7">
        <v>2.3639868000000001E-2</v>
      </c>
      <c r="H14" s="47"/>
      <c r="I14" s="47"/>
      <c r="K14" s="49"/>
      <c r="L14" s="49"/>
      <c r="M14" s="49"/>
      <c r="N14" s="49"/>
      <c r="O14" s="49"/>
      <c r="P14" s="49"/>
    </row>
    <row r="15" spans="1:16" ht="17.100000000000001" customHeight="1" x14ac:dyDescent="0.2">
      <c r="A15" s="3">
        <v>9</v>
      </c>
      <c r="B15" s="4" t="s">
        <v>11</v>
      </c>
      <c r="C15" s="4" t="s">
        <v>12</v>
      </c>
      <c r="D15" s="4" t="s">
        <v>13</v>
      </c>
      <c r="E15" s="5">
        <v>430000</v>
      </c>
      <c r="F15" s="6">
        <v>6700.4750000000004</v>
      </c>
      <c r="G15" s="7">
        <v>2.3479593E-2</v>
      </c>
      <c r="H15" s="47"/>
      <c r="I15" s="47"/>
      <c r="K15" s="49"/>
      <c r="L15" s="49"/>
      <c r="M15" s="49"/>
      <c r="N15" s="49"/>
      <c r="O15" s="49"/>
      <c r="P15" s="49"/>
    </row>
    <row r="16" spans="1:16" ht="17.100000000000001" customHeight="1" x14ac:dyDescent="0.2">
      <c r="A16" s="3">
        <v>10</v>
      </c>
      <c r="B16" s="4" t="s">
        <v>623</v>
      </c>
      <c r="C16" s="4" t="s">
        <v>624</v>
      </c>
      <c r="D16" s="4" t="s">
        <v>296</v>
      </c>
      <c r="E16" s="5">
        <v>674416</v>
      </c>
      <c r="F16" s="6">
        <v>5123.8755600000004</v>
      </c>
      <c r="G16" s="7">
        <v>1.7954923000000001E-2</v>
      </c>
      <c r="H16" s="47"/>
      <c r="I16" s="47"/>
      <c r="K16" s="49"/>
      <c r="L16" s="49"/>
      <c r="M16" s="49"/>
      <c r="N16" s="49"/>
      <c r="O16" s="49"/>
      <c r="P16" s="49"/>
    </row>
    <row r="17" spans="1:16" ht="17.100000000000001" customHeight="1" x14ac:dyDescent="0.2">
      <c r="A17" s="3">
        <v>11</v>
      </c>
      <c r="B17" s="4" t="s">
        <v>294</v>
      </c>
      <c r="C17" s="4" t="s">
        <v>295</v>
      </c>
      <c r="D17" s="4" t="s">
        <v>296</v>
      </c>
      <c r="E17" s="5">
        <v>627471</v>
      </c>
      <c r="F17" s="6">
        <v>4960.4719905000002</v>
      </c>
      <c r="G17" s="7">
        <v>1.7382328999999998E-2</v>
      </c>
      <c r="H17" s="47"/>
      <c r="I17" s="47"/>
      <c r="K17" s="49"/>
      <c r="L17" s="49"/>
      <c r="M17" s="49"/>
      <c r="N17" s="49"/>
      <c r="O17" s="49"/>
      <c r="P17" s="49"/>
    </row>
    <row r="18" spans="1:16" ht="17.100000000000001" customHeight="1" x14ac:dyDescent="0.2">
      <c r="A18" s="3">
        <v>12</v>
      </c>
      <c r="B18" s="4" t="s">
        <v>304</v>
      </c>
      <c r="C18" s="4" t="s">
        <v>305</v>
      </c>
      <c r="D18" s="4" t="s">
        <v>19</v>
      </c>
      <c r="E18" s="5">
        <v>738925</v>
      </c>
      <c r="F18" s="6">
        <v>4705.4744000000001</v>
      </c>
      <c r="G18" s="7">
        <v>1.6488775000000001E-2</v>
      </c>
      <c r="H18" s="47"/>
      <c r="I18" s="47"/>
      <c r="K18" s="49"/>
      <c r="L18" s="49"/>
      <c r="M18" s="49"/>
      <c r="N18" s="49"/>
      <c r="O18" s="49"/>
      <c r="P18" s="49"/>
    </row>
    <row r="19" spans="1:16" ht="29.1" customHeight="1" x14ac:dyDescent="0.2">
      <c r="A19" s="3">
        <v>13</v>
      </c>
      <c r="B19" s="4" t="s">
        <v>330</v>
      </c>
      <c r="C19" s="4" t="s">
        <v>331</v>
      </c>
      <c r="D19" s="4" t="s">
        <v>204</v>
      </c>
      <c r="E19" s="5">
        <v>151887</v>
      </c>
      <c r="F19" s="6">
        <v>4103.5310790000003</v>
      </c>
      <c r="G19" s="7">
        <v>1.4379464E-2</v>
      </c>
      <c r="H19" s="47"/>
      <c r="I19" s="47"/>
      <c r="K19" s="49"/>
      <c r="L19" s="49"/>
      <c r="M19" s="49"/>
      <c r="N19" s="49"/>
      <c r="O19" s="49"/>
      <c r="P19" s="49"/>
    </row>
    <row r="20" spans="1:16" ht="29.1" customHeight="1" x14ac:dyDescent="0.2">
      <c r="A20" s="3">
        <v>14</v>
      </c>
      <c r="B20" s="4" t="s">
        <v>510</v>
      </c>
      <c r="C20" s="4" t="s">
        <v>511</v>
      </c>
      <c r="D20" s="4" t="s">
        <v>204</v>
      </c>
      <c r="E20" s="5">
        <v>429652</v>
      </c>
      <c r="F20" s="6">
        <v>3940.7681440000001</v>
      </c>
      <c r="G20" s="7">
        <v>1.3809115E-2</v>
      </c>
      <c r="H20" s="47"/>
      <c r="I20" s="47"/>
      <c r="K20" s="49"/>
      <c r="L20" s="49"/>
      <c r="M20" s="49"/>
      <c r="N20" s="49"/>
      <c r="O20" s="49"/>
      <c r="P20" s="49"/>
    </row>
    <row r="21" spans="1:16" ht="17.100000000000001" customHeight="1" x14ac:dyDescent="0.2">
      <c r="A21" s="3">
        <v>15</v>
      </c>
      <c r="B21" s="4" t="s">
        <v>220</v>
      </c>
      <c r="C21" s="4" t="s">
        <v>221</v>
      </c>
      <c r="D21" s="4" t="s">
        <v>91</v>
      </c>
      <c r="E21" s="5">
        <v>515226</v>
      </c>
      <c r="F21" s="6">
        <v>3831.7357619999998</v>
      </c>
      <c r="G21" s="7">
        <v>1.3427046999999999E-2</v>
      </c>
      <c r="H21" s="47"/>
      <c r="I21" s="47"/>
      <c r="K21" s="49"/>
      <c r="L21" s="49"/>
      <c r="M21" s="49"/>
      <c r="N21" s="49"/>
      <c r="O21" s="49"/>
      <c r="P21" s="49"/>
    </row>
    <row r="22" spans="1:16" ht="53.1" customHeight="1" x14ac:dyDescent="0.2">
      <c r="A22" s="3">
        <v>16</v>
      </c>
      <c r="B22" s="4" t="s">
        <v>60</v>
      </c>
      <c r="C22" s="4" t="s">
        <v>61</v>
      </c>
      <c r="D22" s="4" t="s">
        <v>62</v>
      </c>
      <c r="E22" s="5">
        <v>2496366</v>
      </c>
      <c r="F22" s="6">
        <v>3689.628948</v>
      </c>
      <c r="G22" s="7">
        <v>1.2929081E-2</v>
      </c>
      <c r="H22" s="47"/>
      <c r="I22" s="47"/>
      <c r="K22" s="49"/>
      <c r="L22" s="49"/>
      <c r="M22" s="49"/>
      <c r="N22" s="49"/>
      <c r="O22" s="49"/>
      <c r="P22" s="49"/>
    </row>
    <row r="23" spans="1:16" ht="17.100000000000001" customHeight="1" x14ac:dyDescent="0.2">
      <c r="A23" s="3">
        <v>17</v>
      </c>
      <c r="B23" s="4" t="s">
        <v>399</v>
      </c>
      <c r="C23" s="4" t="s">
        <v>400</v>
      </c>
      <c r="D23" s="4" t="s">
        <v>321</v>
      </c>
      <c r="E23" s="5">
        <v>326255</v>
      </c>
      <c r="F23" s="6">
        <v>3528.7740800000001</v>
      </c>
      <c r="G23" s="7">
        <v>1.2365419000000001E-2</v>
      </c>
      <c r="H23" s="47"/>
      <c r="I23" s="47"/>
      <c r="K23" s="49"/>
      <c r="L23" s="49"/>
      <c r="M23" s="49"/>
      <c r="N23" s="49"/>
      <c r="O23" s="49"/>
      <c r="P23" s="49"/>
    </row>
    <row r="24" spans="1:16" ht="29.1" customHeight="1" x14ac:dyDescent="0.2">
      <c r="A24" s="3">
        <v>18</v>
      </c>
      <c r="B24" s="4" t="s">
        <v>370</v>
      </c>
      <c r="C24" s="4" t="s">
        <v>371</v>
      </c>
      <c r="D24" s="4" t="s">
        <v>238</v>
      </c>
      <c r="E24" s="5">
        <v>485098</v>
      </c>
      <c r="F24" s="6">
        <v>3426.4897230000001</v>
      </c>
      <c r="G24" s="7">
        <v>1.2006997E-2</v>
      </c>
      <c r="H24" s="47"/>
      <c r="I24" s="47"/>
      <c r="K24" s="49"/>
      <c r="L24" s="49"/>
      <c r="M24" s="49"/>
      <c r="N24" s="49"/>
      <c r="O24" s="49"/>
      <c r="P24" s="49"/>
    </row>
    <row r="25" spans="1:16" ht="17.100000000000001" customHeight="1" x14ac:dyDescent="0.2">
      <c r="A25" s="3">
        <v>19</v>
      </c>
      <c r="B25" s="4" t="s">
        <v>83</v>
      </c>
      <c r="C25" s="4" t="s">
        <v>84</v>
      </c>
      <c r="D25" s="4" t="s">
        <v>85</v>
      </c>
      <c r="E25" s="5">
        <v>38124</v>
      </c>
      <c r="F25" s="6">
        <v>3229.3887300000001</v>
      </c>
      <c r="G25" s="7">
        <v>1.1316322E-2</v>
      </c>
      <c r="H25" s="47"/>
      <c r="I25" s="47"/>
      <c r="K25" s="49"/>
      <c r="L25" s="49"/>
      <c r="M25" s="49"/>
      <c r="N25" s="49"/>
      <c r="O25" s="49"/>
      <c r="P25" s="49"/>
    </row>
    <row r="26" spans="1:16" ht="17.100000000000001" customHeight="1" x14ac:dyDescent="0.2">
      <c r="A26" s="3">
        <v>20</v>
      </c>
      <c r="B26" s="4" t="s">
        <v>372</v>
      </c>
      <c r="C26" s="4" t="s">
        <v>373</v>
      </c>
      <c r="D26" s="4" t="s">
        <v>28</v>
      </c>
      <c r="E26" s="5">
        <v>195000</v>
      </c>
      <c r="F26" s="6">
        <v>3228.2249999999999</v>
      </c>
      <c r="G26" s="7">
        <v>1.1312244000000001E-2</v>
      </c>
      <c r="H26" s="47"/>
      <c r="I26" s="47"/>
      <c r="K26" s="49"/>
      <c r="L26" s="49"/>
      <c r="M26" s="49"/>
      <c r="N26" s="49"/>
      <c r="O26" s="49"/>
      <c r="P26" s="49"/>
    </row>
    <row r="27" spans="1:16" ht="17.100000000000001" customHeight="1" x14ac:dyDescent="0.2">
      <c r="A27" s="3">
        <v>21</v>
      </c>
      <c r="B27" s="4" t="s">
        <v>364</v>
      </c>
      <c r="C27" s="4" t="s">
        <v>365</v>
      </c>
      <c r="D27" s="4" t="s">
        <v>91</v>
      </c>
      <c r="E27" s="5">
        <v>26250</v>
      </c>
      <c r="F27" s="6">
        <v>2869.5843749999999</v>
      </c>
      <c r="G27" s="7">
        <v>1.0055507E-2</v>
      </c>
      <c r="H27" s="47"/>
      <c r="I27" s="47"/>
      <c r="K27" s="49"/>
      <c r="L27" s="49"/>
      <c r="M27" s="49"/>
      <c r="N27" s="49"/>
      <c r="O27" s="49"/>
      <c r="P27" s="49"/>
    </row>
    <row r="28" spans="1:16" ht="17.100000000000001" customHeight="1" x14ac:dyDescent="0.2">
      <c r="A28" s="3">
        <v>22</v>
      </c>
      <c r="B28" s="4" t="s">
        <v>608</v>
      </c>
      <c r="C28" s="4" t="s">
        <v>609</v>
      </c>
      <c r="D28" s="4" t="s">
        <v>85</v>
      </c>
      <c r="E28" s="5">
        <v>100802</v>
      </c>
      <c r="F28" s="6">
        <v>2816.760687</v>
      </c>
      <c r="G28" s="7">
        <v>9.8704039999999993E-3</v>
      </c>
      <c r="H28" s="47"/>
      <c r="I28" s="47"/>
      <c r="K28" s="49"/>
      <c r="L28" s="49"/>
      <c r="M28" s="49"/>
      <c r="N28" s="49"/>
      <c r="O28" s="49"/>
      <c r="P28" s="49"/>
    </row>
    <row r="29" spans="1:16" ht="17.100000000000001" customHeight="1" x14ac:dyDescent="0.2">
      <c r="A29" s="3">
        <v>23</v>
      </c>
      <c r="B29" s="4" t="s">
        <v>194</v>
      </c>
      <c r="C29" s="4" t="s">
        <v>195</v>
      </c>
      <c r="D29" s="4" t="s">
        <v>174</v>
      </c>
      <c r="E29" s="5">
        <v>552800</v>
      </c>
      <c r="F29" s="6">
        <v>2749.0744</v>
      </c>
      <c r="G29" s="7">
        <v>9.6332199999999996E-3</v>
      </c>
      <c r="H29" s="47"/>
      <c r="I29" s="47"/>
    </row>
    <row r="30" spans="1:16" ht="17.100000000000001" customHeight="1" x14ac:dyDescent="0.2">
      <c r="A30" s="3">
        <v>24</v>
      </c>
      <c r="B30" s="4" t="s">
        <v>301</v>
      </c>
      <c r="C30" s="4" t="s">
        <v>302</v>
      </c>
      <c r="D30" s="4" t="s">
        <v>303</v>
      </c>
      <c r="E30" s="5">
        <v>6615</v>
      </c>
      <c r="F30" s="6">
        <v>2657.0139749999998</v>
      </c>
      <c r="G30" s="7">
        <v>9.310624E-3</v>
      </c>
      <c r="H30" s="47"/>
      <c r="I30" s="47"/>
    </row>
    <row r="31" spans="1:16" ht="17.100000000000001" customHeight="1" x14ac:dyDescent="0.2">
      <c r="A31" s="3">
        <v>25</v>
      </c>
      <c r="B31" s="4" t="s">
        <v>397</v>
      </c>
      <c r="C31" s="4" t="s">
        <v>398</v>
      </c>
      <c r="D31" s="4" t="s">
        <v>191</v>
      </c>
      <c r="E31" s="5">
        <v>75601</v>
      </c>
      <c r="F31" s="6">
        <v>2469.9602709999999</v>
      </c>
      <c r="G31" s="7">
        <v>8.6551570000000001E-3</v>
      </c>
      <c r="H31" s="47"/>
      <c r="I31" s="47"/>
    </row>
    <row r="32" spans="1:16" ht="17.100000000000001" customHeight="1" x14ac:dyDescent="0.2">
      <c r="A32" s="3">
        <v>26</v>
      </c>
      <c r="B32" s="4" t="s">
        <v>92</v>
      </c>
      <c r="C32" s="4" t="s">
        <v>93</v>
      </c>
      <c r="D32" s="4" t="s">
        <v>94</v>
      </c>
      <c r="E32" s="5">
        <v>107625</v>
      </c>
      <c r="F32" s="6">
        <v>2465.1506250000002</v>
      </c>
      <c r="G32" s="7">
        <v>8.638303E-3</v>
      </c>
      <c r="H32" s="47"/>
      <c r="I32" s="47"/>
    </row>
    <row r="33" spans="1:9" ht="29.1" customHeight="1" x14ac:dyDescent="0.2">
      <c r="A33" s="3">
        <v>27</v>
      </c>
      <c r="B33" s="4" t="s">
        <v>708</v>
      </c>
      <c r="C33" s="4" t="s">
        <v>709</v>
      </c>
      <c r="D33" s="4" t="s">
        <v>351</v>
      </c>
      <c r="E33" s="5">
        <v>18000</v>
      </c>
      <c r="F33" s="6">
        <v>2406.4470000000001</v>
      </c>
      <c r="G33" s="7">
        <v>8.4325960000000005E-3</v>
      </c>
      <c r="H33" s="47"/>
      <c r="I33" s="47"/>
    </row>
    <row r="34" spans="1:9" ht="17.100000000000001" customHeight="1" x14ac:dyDescent="0.2">
      <c r="A34" s="3">
        <v>28</v>
      </c>
      <c r="B34" s="4" t="s">
        <v>416</v>
      </c>
      <c r="C34" s="4" t="s">
        <v>417</v>
      </c>
      <c r="D34" s="4" t="s">
        <v>19</v>
      </c>
      <c r="E34" s="5">
        <v>290005</v>
      </c>
      <c r="F34" s="6">
        <v>2303.6547175000001</v>
      </c>
      <c r="G34" s="7">
        <v>8.0723940000000001E-3</v>
      </c>
      <c r="H34" s="47"/>
      <c r="I34" s="47"/>
    </row>
    <row r="35" spans="1:9" ht="17.100000000000001" customHeight="1" x14ac:dyDescent="0.2">
      <c r="A35" s="3">
        <v>29</v>
      </c>
      <c r="B35" s="4" t="s">
        <v>595</v>
      </c>
      <c r="C35" s="4" t="s">
        <v>596</v>
      </c>
      <c r="D35" s="4" t="s">
        <v>85</v>
      </c>
      <c r="E35" s="5">
        <v>59604</v>
      </c>
      <c r="F35" s="6">
        <v>2209.281864</v>
      </c>
      <c r="G35" s="7">
        <v>7.7416960000000002E-3</v>
      </c>
      <c r="H35" s="47"/>
      <c r="I35" s="47"/>
    </row>
    <row r="36" spans="1:9" ht="17.100000000000001" customHeight="1" x14ac:dyDescent="0.2">
      <c r="A36" s="3">
        <v>30</v>
      </c>
      <c r="B36" s="4" t="s">
        <v>677</v>
      </c>
      <c r="C36" s="4" t="s">
        <v>678</v>
      </c>
      <c r="D36" s="4" t="s">
        <v>351</v>
      </c>
      <c r="E36" s="5">
        <v>280000</v>
      </c>
      <c r="F36" s="6">
        <v>2121.14</v>
      </c>
      <c r="G36" s="7">
        <v>7.4328320000000003E-3</v>
      </c>
      <c r="H36" s="47"/>
      <c r="I36" s="47"/>
    </row>
    <row r="37" spans="1:9" ht="29.1" customHeight="1" x14ac:dyDescent="0.2">
      <c r="A37" s="3">
        <v>31</v>
      </c>
      <c r="B37" s="4" t="s">
        <v>175</v>
      </c>
      <c r="C37" s="4" t="s">
        <v>176</v>
      </c>
      <c r="D37" s="4" t="s">
        <v>88</v>
      </c>
      <c r="E37" s="5">
        <v>601183</v>
      </c>
      <c r="F37" s="6">
        <v>2044.9239745</v>
      </c>
      <c r="G37" s="7">
        <v>7.1657580000000004E-3</v>
      </c>
      <c r="H37" s="47"/>
      <c r="I37" s="47"/>
    </row>
    <row r="38" spans="1:9" ht="17.100000000000001" customHeight="1" x14ac:dyDescent="0.2">
      <c r="A38" s="3">
        <v>32</v>
      </c>
      <c r="B38" s="4" t="s">
        <v>406</v>
      </c>
      <c r="C38" s="4" t="s">
        <v>407</v>
      </c>
      <c r="D38" s="4" t="s">
        <v>85</v>
      </c>
      <c r="E38" s="5">
        <v>175000</v>
      </c>
      <c r="F38" s="6">
        <v>1913.0125</v>
      </c>
      <c r="G38" s="7">
        <v>6.7035180000000003E-3</v>
      </c>
      <c r="H38" s="47"/>
      <c r="I38" s="47"/>
    </row>
    <row r="39" spans="1:9" ht="17.100000000000001" customHeight="1" x14ac:dyDescent="0.2">
      <c r="A39" s="3">
        <v>33</v>
      </c>
      <c r="B39" s="4" t="s">
        <v>410</v>
      </c>
      <c r="C39" s="4" t="s">
        <v>411</v>
      </c>
      <c r="D39" s="4" t="s">
        <v>191</v>
      </c>
      <c r="E39" s="5">
        <v>455339</v>
      </c>
      <c r="F39" s="6">
        <v>1894.4379094999999</v>
      </c>
      <c r="G39" s="7">
        <v>6.6384290000000004E-3</v>
      </c>
      <c r="H39" s="47"/>
      <c r="I39" s="47"/>
    </row>
    <row r="40" spans="1:9" ht="17.100000000000001" customHeight="1" x14ac:dyDescent="0.2">
      <c r="A40" s="3">
        <v>34</v>
      </c>
      <c r="B40" s="4" t="s">
        <v>115</v>
      </c>
      <c r="C40" s="4" t="s">
        <v>116</v>
      </c>
      <c r="D40" s="4" t="s">
        <v>75</v>
      </c>
      <c r="E40" s="5">
        <v>520094</v>
      </c>
      <c r="F40" s="6">
        <v>1851.0145460000001</v>
      </c>
      <c r="G40" s="7">
        <v>6.4862670000000004E-3</v>
      </c>
      <c r="H40" s="47"/>
      <c r="I40" s="47"/>
    </row>
    <row r="41" spans="1:9" ht="17.100000000000001" customHeight="1" x14ac:dyDescent="0.2">
      <c r="A41" s="3">
        <v>35</v>
      </c>
      <c r="B41" s="4" t="s">
        <v>78</v>
      </c>
      <c r="C41" s="4" t="s">
        <v>79</v>
      </c>
      <c r="D41" s="4" t="s">
        <v>80</v>
      </c>
      <c r="E41" s="5">
        <v>72986</v>
      </c>
      <c r="F41" s="6">
        <v>1679.3348739999999</v>
      </c>
      <c r="G41" s="7">
        <v>5.8846719999999996E-3</v>
      </c>
      <c r="H41" s="47"/>
      <c r="I41" s="47"/>
    </row>
    <row r="42" spans="1:9" ht="29.1" customHeight="1" x14ac:dyDescent="0.2">
      <c r="A42" s="3">
        <v>36</v>
      </c>
      <c r="B42" s="4" t="s">
        <v>89</v>
      </c>
      <c r="C42" s="4" t="s">
        <v>90</v>
      </c>
      <c r="D42" s="4" t="s">
        <v>91</v>
      </c>
      <c r="E42" s="5">
        <v>268716</v>
      </c>
      <c r="F42" s="6">
        <v>1664.69562</v>
      </c>
      <c r="G42" s="7">
        <v>5.8333739999999997E-3</v>
      </c>
      <c r="H42" s="47"/>
      <c r="I42" s="47"/>
    </row>
    <row r="43" spans="1:9" ht="29.1" customHeight="1" x14ac:dyDescent="0.2">
      <c r="A43" s="3">
        <v>37</v>
      </c>
      <c r="B43" s="4" t="s">
        <v>167</v>
      </c>
      <c r="C43" s="4" t="s">
        <v>168</v>
      </c>
      <c r="D43" s="4" t="s">
        <v>25</v>
      </c>
      <c r="E43" s="5">
        <v>425000</v>
      </c>
      <c r="F43" s="6">
        <v>1542.75</v>
      </c>
      <c r="G43" s="7">
        <v>5.4060560000000002E-3</v>
      </c>
      <c r="H43" s="47"/>
      <c r="I43" s="47"/>
    </row>
    <row r="44" spans="1:9" ht="17.100000000000001" customHeight="1" x14ac:dyDescent="0.2">
      <c r="A44" s="3">
        <v>38</v>
      </c>
      <c r="B44" s="4" t="s">
        <v>426</v>
      </c>
      <c r="C44" s="4" t="s">
        <v>427</v>
      </c>
      <c r="D44" s="4" t="s">
        <v>428</v>
      </c>
      <c r="E44" s="5">
        <v>381012</v>
      </c>
      <c r="F44" s="6">
        <v>1290.2971379999999</v>
      </c>
      <c r="G44" s="7">
        <v>4.5214180000000001E-3</v>
      </c>
      <c r="H44" s="47"/>
      <c r="I44" s="47"/>
    </row>
    <row r="45" spans="1:9" ht="17.100000000000001" customHeight="1" x14ac:dyDescent="0.2">
      <c r="A45" s="3">
        <v>39</v>
      </c>
      <c r="B45" s="4" t="s">
        <v>29</v>
      </c>
      <c r="C45" s="4" t="s">
        <v>30</v>
      </c>
      <c r="D45" s="4" t="s">
        <v>31</v>
      </c>
      <c r="E45" s="5">
        <v>900000</v>
      </c>
      <c r="F45" s="6">
        <v>1286.0999999999999</v>
      </c>
      <c r="G45" s="7">
        <v>4.5067110000000001E-3</v>
      </c>
      <c r="H45" s="47"/>
      <c r="I45" s="47"/>
    </row>
    <row r="46" spans="1:9" ht="29.1" customHeight="1" x14ac:dyDescent="0.2">
      <c r="A46" s="3">
        <v>40</v>
      </c>
      <c r="B46" s="4" t="s">
        <v>297</v>
      </c>
      <c r="C46" s="4" t="s">
        <v>298</v>
      </c>
      <c r="D46" s="4" t="s">
        <v>201</v>
      </c>
      <c r="E46" s="5">
        <v>57030</v>
      </c>
      <c r="F46" s="6">
        <v>1284.42966</v>
      </c>
      <c r="G46" s="7">
        <v>4.5008579999999999E-3</v>
      </c>
      <c r="H46" s="47"/>
      <c r="I46" s="47"/>
    </row>
    <row r="47" spans="1:9" ht="17.100000000000001" customHeight="1" x14ac:dyDescent="0.2">
      <c r="A47" s="3">
        <v>41</v>
      </c>
      <c r="B47" s="4" t="s">
        <v>343</v>
      </c>
      <c r="C47" s="4" t="s">
        <v>344</v>
      </c>
      <c r="D47" s="4" t="s">
        <v>91</v>
      </c>
      <c r="E47" s="5">
        <v>207500</v>
      </c>
      <c r="F47" s="6">
        <v>1230.8900000000001</v>
      </c>
      <c r="G47" s="7">
        <v>4.3132459999999997E-3</v>
      </c>
      <c r="H47" s="47"/>
      <c r="I47" s="47"/>
    </row>
    <row r="48" spans="1:9" ht="29.1" customHeight="1" x14ac:dyDescent="0.2">
      <c r="A48" s="3">
        <v>42</v>
      </c>
      <c r="B48" s="4" t="s">
        <v>23</v>
      </c>
      <c r="C48" s="4" t="s">
        <v>24</v>
      </c>
      <c r="D48" s="4" t="s">
        <v>25</v>
      </c>
      <c r="E48" s="5">
        <v>21379</v>
      </c>
      <c r="F48" s="6">
        <v>1198.7846669999999</v>
      </c>
      <c r="G48" s="7">
        <v>4.2007429999999998E-3</v>
      </c>
      <c r="H48" s="47"/>
      <c r="I48" s="47"/>
    </row>
    <row r="49" spans="1:9" ht="17.100000000000001" customHeight="1" x14ac:dyDescent="0.2">
      <c r="A49" s="3">
        <v>43</v>
      </c>
      <c r="B49" s="4" t="s">
        <v>440</v>
      </c>
      <c r="C49" s="4" t="s">
        <v>441</v>
      </c>
      <c r="D49" s="4" t="s">
        <v>91</v>
      </c>
      <c r="E49" s="5">
        <v>20000</v>
      </c>
      <c r="F49" s="6">
        <v>1080.0999999999999</v>
      </c>
      <c r="G49" s="7">
        <v>3.784852E-3</v>
      </c>
      <c r="H49" s="47"/>
      <c r="I49" s="47"/>
    </row>
    <row r="50" spans="1:9" ht="17.100000000000001" customHeight="1" x14ac:dyDescent="0.2">
      <c r="A50" s="3">
        <v>44</v>
      </c>
      <c r="B50" s="4" t="s">
        <v>288</v>
      </c>
      <c r="C50" s="4" t="s">
        <v>289</v>
      </c>
      <c r="D50" s="4" t="s">
        <v>19</v>
      </c>
      <c r="E50" s="5">
        <v>540902</v>
      </c>
      <c r="F50" s="6">
        <v>1044.4817619999999</v>
      </c>
      <c r="G50" s="7">
        <v>3.6600399999999998E-3</v>
      </c>
      <c r="H50" s="47"/>
      <c r="I50" s="47"/>
    </row>
    <row r="51" spans="1:9" ht="53.1" customHeight="1" x14ac:dyDescent="0.2">
      <c r="A51" s="3">
        <v>45</v>
      </c>
      <c r="B51" s="4" t="s">
        <v>100</v>
      </c>
      <c r="C51" s="4" t="s">
        <v>101</v>
      </c>
      <c r="D51" s="4" t="s">
        <v>62</v>
      </c>
      <c r="E51" s="5">
        <v>80000</v>
      </c>
      <c r="F51" s="6">
        <v>1004.04</v>
      </c>
      <c r="G51" s="7">
        <v>3.5183250000000001E-3</v>
      </c>
      <c r="H51" s="47"/>
      <c r="I51" s="47"/>
    </row>
    <row r="52" spans="1:9" ht="17.100000000000001" customHeight="1" x14ac:dyDescent="0.2">
      <c r="A52" s="3">
        <v>46</v>
      </c>
      <c r="B52" s="4" t="s">
        <v>356</v>
      </c>
      <c r="C52" s="4" t="s">
        <v>357</v>
      </c>
      <c r="D52" s="4" t="s">
        <v>243</v>
      </c>
      <c r="E52" s="5">
        <v>452752</v>
      </c>
      <c r="F52" s="6">
        <v>969.34203200000002</v>
      </c>
      <c r="G52" s="7">
        <v>3.3967379999999998E-3</v>
      </c>
      <c r="H52" s="47"/>
      <c r="I52" s="47"/>
    </row>
    <row r="53" spans="1:9" ht="17.100000000000001" customHeight="1" x14ac:dyDescent="0.2">
      <c r="A53" s="3">
        <v>47</v>
      </c>
      <c r="B53" s="4" t="s">
        <v>434</v>
      </c>
      <c r="C53" s="4" t="s">
        <v>435</v>
      </c>
      <c r="D53" s="4" t="s">
        <v>19</v>
      </c>
      <c r="E53" s="5">
        <v>530000</v>
      </c>
      <c r="F53" s="6">
        <v>960.625</v>
      </c>
      <c r="G53" s="7">
        <v>3.3661920000000001E-3</v>
      </c>
      <c r="H53" s="47"/>
      <c r="I53" s="47"/>
    </row>
    <row r="54" spans="1:9" ht="17.100000000000001" customHeight="1" x14ac:dyDescent="0.2">
      <c r="A54" s="3">
        <v>48</v>
      </c>
      <c r="B54" s="4" t="s">
        <v>265</v>
      </c>
      <c r="C54" s="4" t="s">
        <v>266</v>
      </c>
      <c r="D54" s="4" t="s">
        <v>97</v>
      </c>
      <c r="E54" s="5">
        <v>79865</v>
      </c>
      <c r="F54" s="6">
        <v>945.36200499999995</v>
      </c>
      <c r="G54" s="7">
        <v>3.3127080000000001E-3</v>
      </c>
      <c r="H54" s="47"/>
      <c r="I54" s="47"/>
    </row>
    <row r="55" spans="1:9" ht="17.100000000000001" customHeight="1" x14ac:dyDescent="0.2">
      <c r="A55" s="3">
        <v>49</v>
      </c>
      <c r="B55" s="4" t="s">
        <v>420</v>
      </c>
      <c r="C55" s="4" t="s">
        <v>421</v>
      </c>
      <c r="D55" s="4" t="s">
        <v>19</v>
      </c>
      <c r="E55" s="5">
        <v>56873</v>
      </c>
      <c r="F55" s="6">
        <v>944.71740299999999</v>
      </c>
      <c r="G55" s="7">
        <v>3.310449E-3</v>
      </c>
      <c r="H55" s="47"/>
      <c r="I55" s="47"/>
    </row>
    <row r="56" spans="1:9" ht="29.1" customHeight="1" x14ac:dyDescent="0.2">
      <c r="A56" s="3">
        <v>50</v>
      </c>
      <c r="B56" s="4" t="s">
        <v>179</v>
      </c>
      <c r="C56" s="4" t="s">
        <v>180</v>
      </c>
      <c r="D56" s="4" t="s">
        <v>181</v>
      </c>
      <c r="E56" s="5">
        <v>138601</v>
      </c>
      <c r="F56" s="6">
        <v>850.52503650000006</v>
      </c>
      <c r="G56" s="7">
        <v>2.9803830000000001E-3</v>
      </c>
      <c r="H56" s="47"/>
      <c r="I56" s="47"/>
    </row>
    <row r="57" spans="1:9" ht="17.100000000000001" customHeight="1" x14ac:dyDescent="0.2">
      <c r="A57" s="3">
        <v>51</v>
      </c>
      <c r="B57" s="4" t="s">
        <v>374</v>
      </c>
      <c r="C57" s="4" t="s">
        <v>375</v>
      </c>
      <c r="D57" s="4" t="s">
        <v>94</v>
      </c>
      <c r="E57" s="5">
        <v>84824</v>
      </c>
      <c r="F57" s="6">
        <v>783.05275600000004</v>
      </c>
      <c r="G57" s="7">
        <v>2.7439489999999999E-3</v>
      </c>
      <c r="H57" s="47"/>
      <c r="I57" s="47"/>
    </row>
    <row r="58" spans="1:9" ht="17.100000000000001" customHeight="1" x14ac:dyDescent="0.2">
      <c r="A58" s="3">
        <v>52</v>
      </c>
      <c r="B58" s="4" t="s">
        <v>408</v>
      </c>
      <c r="C58" s="4" t="s">
        <v>409</v>
      </c>
      <c r="D58" s="4" t="s">
        <v>191</v>
      </c>
      <c r="E58" s="5">
        <v>74693</v>
      </c>
      <c r="F58" s="6">
        <v>726.94962250000003</v>
      </c>
      <c r="G58" s="7">
        <v>2.5473539999999999E-3</v>
      </c>
      <c r="H58" s="47"/>
      <c r="I58" s="47"/>
    </row>
    <row r="59" spans="1:9" ht="29.1" customHeight="1" x14ac:dyDescent="0.2">
      <c r="A59" s="3">
        <v>53</v>
      </c>
      <c r="B59" s="4" t="s">
        <v>57</v>
      </c>
      <c r="C59" s="4" t="s">
        <v>58</v>
      </c>
      <c r="D59" s="4" t="s">
        <v>59</v>
      </c>
      <c r="E59" s="5">
        <v>97208</v>
      </c>
      <c r="F59" s="6">
        <v>653.28636400000005</v>
      </c>
      <c r="G59" s="7">
        <v>2.2892250000000002E-3</v>
      </c>
      <c r="H59" s="47"/>
      <c r="I59" s="47"/>
    </row>
    <row r="60" spans="1:9" ht="17.100000000000001" customHeight="1" x14ac:dyDescent="0.2">
      <c r="A60" s="3">
        <v>54</v>
      </c>
      <c r="B60" s="4" t="s">
        <v>442</v>
      </c>
      <c r="C60" s="4" t="s">
        <v>443</v>
      </c>
      <c r="D60" s="4" t="s">
        <v>85</v>
      </c>
      <c r="E60" s="5">
        <v>53471</v>
      </c>
      <c r="F60" s="6">
        <v>220.193578</v>
      </c>
      <c r="G60" s="7">
        <v>7.7159500000000003E-4</v>
      </c>
      <c r="H60" s="47"/>
      <c r="I60" s="47"/>
    </row>
    <row r="61" spans="1:9" ht="17.100000000000001" customHeight="1" x14ac:dyDescent="0.2">
      <c r="A61" s="3">
        <v>55</v>
      </c>
      <c r="B61" s="4" t="s">
        <v>429</v>
      </c>
      <c r="C61" s="45" t="s">
        <v>1012</v>
      </c>
      <c r="D61" s="4" t="s">
        <v>22</v>
      </c>
      <c r="E61" s="5">
        <v>53340</v>
      </c>
      <c r="F61" s="6">
        <v>161.30016000000001</v>
      </c>
      <c r="G61" s="7">
        <v>5.6522300000000001E-4</v>
      </c>
      <c r="H61" s="47"/>
      <c r="I61" s="47"/>
    </row>
    <row r="62" spans="1:9" ht="14.1" customHeight="1" x14ac:dyDescent="0.2">
      <c r="A62" s="1"/>
      <c r="B62" s="1"/>
      <c r="C62" s="2" t="s">
        <v>122</v>
      </c>
      <c r="D62" s="1"/>
      <c r="E62" s="1" t="s">
        <v>123</v>
      </c>
      <c r="F62" s="9">
        <f>SUM(F7:F61)</f>
        <v>201933.5895135001</v>
      </c>
      <c r="G62" s="10">
        <v>0.70760930499999997</v>
      </c>
      <c r="H62" s="47"/>
      <c r="I62" s="47"/>
    </row>
    <row r="63" spans="1:9" ht="14.1" customHeight="1" x14ac:dyDescent="0.2">
      <c r="A63" s="1"/>
      <c r="B63" s="1"/>
      <c r="C63" s="11"/>
      <c r="D63" s="1"/>
      <c r="E63" s="1"/>
      <c r="F63" s="9"/>
      <c r="G63" s="12"/>
      <c r="H63" s="47"/>
      <c r="I63" s="47"/>
    </row>
    <row r="64" spans="1:9" ht="14.1" customHeight="1" x14ac:dyDescent="0.2">
      <c r="A64" s="1"/>
      <c r="B64" s="1"/>
      <c r="C64" s="2" t="s">
        <v>124</v>
      </c>
      <c r="D64" s="1"/>
      <c r="E64" s="1"/>
      <c r="F64" s="90"/>
      <c r="G64" s="1"/>
      <c r="H64" s="47"/>
      <c r="I64" s="47"/>
    </row>
    <row r="65" spans="1:9" ht="14.1" customHeight="1" x14ac:dyDescent="0.2">
      <c r="A65" s="1"/>
      <c r="B65" s="1"/>
      <c r="C65" s="2" t="s">
        <v>122</v>
      </c>
      <c r="D65" s="1"/>
      <c r="E65" s="1" t="s">
        <v>123</v>
      </c>
      <c r="F65" s="13">
        <v>0</v>
      </c>
      <c r="G65" s="14">
        <v>0</v>
      </c>
      <c r="H65" s="47"/>
      <c r="I65" s="47"/>
    </row>
    <row r="66" spans="1:9" ht="14.1" customHeight="1" x14ac:dyDescent="0.2">
      <c r="A66" s="1"/>
      <c r="B66" s="1"/>
      <c r="C66" s="11"/>
      <c r="D66" s="1"/>
      <c r="E66" s="1"/>
      <c r="F66" s="12"/>
      <c r="G66" s="12"/>
      <c r="H66" s="47"/>
      <c r="I66" s="47"/>
    </row>
    <row r="67" spans="1:9" ht="14.1" customHeight="1" x14ac:dyDescent="0.2">
      <c r="A67" s="1"/>
      <c r="B67" s="1"/>
      <c r="C67" s="2" t="s">
        <v>125</v>
      </c>
      <c r="D67" s="1"/>
      <c r="E67" s="1"/>
      <c r="F67" s="1"/>
      <c r="G67" s="1"/>
      <c r="H67" s="47"/>
      <c r="I67" s="47"/>
    </row>
    <row r="68" spans="1:9" ht="17.100000000000001" customHeight="1" x14ac:dyDescent="0.2">
      <c r="A68" s="3">
        <v>1</v>
      </c>
      <c r="B68" s="4" t="s">
        <v>663</v>
      </c>
      <c r="C68" s="45" t="s">
        <v>1042</v>
      </c>
      <c r="D68" s="4" t="s">
        <v>174</v>
      </c>
      <c r="E68" s="5">
        <v>30579</v>
      </c>
      <c r="F68" s="6">
        <v>1.9142454</v>
      </c>
      <c r="G68" s="8" t="s">
        <v>121</v>
      </c>
      <c r="H68" s="47"/>
      <c r="I68" s="47"/>
    </row>
    <row r="69" spans="1:9" ht="14.1" customHeight="1" x14ac:dyDescent="0.2">
      <c r="A69" s="1"/>
      <c r="B69" s="1"/>
      <c r="C69" s="2" t="s">
        <v>122</v>
      </c>
      <c r="D69" s="1"/>
      <c r="E69" s="1" t="s">
        <v>123</v>
      </c>
      <c r="F69" s="13">
        <v>1.9142454</v>
      </c>
      <c r="G69" s="14">
        <v>0</v>
      </c>
      <c r="H69" s="47"/>
      <c r="I69" s="47"/>
    </row>
    <row r="70" spans="1:9" ht="14.1" customHeight="1" x14ac:dyDescent="0.2">
      <c r="A70" s="1"/>
      <c r="B70" s="1"/>
      <c r="C70" s="11"/>
      <c r="D70" s="1"/>
      <c r="E70" s="1"/>
      <c r="F70" s="12"/>
      <c r="G70" s="12"/>
      <c r="H70" s="47"/>
      <c r="I70" s="47"/>
    </row>
    <row r="71" spans="1:9" ht="14.1" customHeight="1" x14ac:dyDescent="0.2">
      <c r="A71" s="1"/>
      <c r="B71" s="1"/>
      <c r="C71" s="2" t="s">
        <v>126</v>
      </c>
      <c r="D71" s="1"/>
      <c r="E71" s="1"/>
      <c r="F71" s="1"/>
      <c r="G71" s="1"/>
      <c r="H71" s="47"/>
      <c r="I71" s="47"/>
    </row>
    <row r="72" spans="1:9" ht="14.1" customHeight="1" x14ac:dyDescent="0.2">
      <c r="A72" s="1"/>
      <c r="B72" s="1"/>
      <c r="C72" s="2" t="s">
        <v>122</v>
      </c>
      <c r="D72" s="1"/>
      <c r="E72" s="1" t="s">
        <v>123</v>
      </c>
      <c r="F72" s="9">
        <v>0</v>
      </c>
      <c r="G72" s="10">
        <v>0</v>
      </c>
      <c r="H72" s="47"/>
      <c r="I72" s="47"/>
    </row>
    <row r="73" spans="1:9" ht="14.1" customHeight="1" x14ac:dyDescent="0.2">
      <c r="A73" s="1"/>
      <c r="B73" s="1"/>
      <c r="C73" s="11"/>
      <c r="D73" s="1"/>
      <c r="E73" s="1"/>
      <c r="F73" s="12"/>
      <c r="G73" s="12"/>
      <c r="H73" s="47"/>
      <c r="I73" s="47"/>
    </row>
    <row r="74" spans="1:9" ht="14.1" customHeight="1" x14ac:dyDescent="0.2">
      <c r="A74" s="1"/>
      <c r="B74" s="1"/>
      <c r="C74" s="2" t="s">
        <v>127</v>
      </c>
      <c r="D74" s="1"/>
      <c r="E74" s="1"/>
      <c r="F74" s="12"/>
      <c r="G74" s="12"/>
      <c r="H74" s="47"/>
      <c r="I74" s="47"/>
    </row>
    <row r="75" spans="1:9" ht="14.1" customHeight="1" x14ac:dyDescent="0.2">
      <c r="A75" s="1"/>
      <c r="B75" s="1"/>
      <c r="C75" s="2" t="s">
        <v>122</v>
      </c>
      <c r="D75" s="1"/>
      <c r="E75" s="1" t="s">
        <v>123</v>
      </c>
      <c r="F75" s="13">
        <v>0</v>
      </c>
      <c r="G75" s="14">
        <v>0</v>
      </c>
      <c r="H75" s="47"/>
      <c r="I75" s="47"/>
    </row>
    <row r="76" spans="1:9" ht="14.1" customHeight="1" x14ac:dyDescent="0.2">
      <c r="A76" s="1"/>
      <c r="B76" s="1"/>
      <c r="C76" s="11"/>
      <c r="D76" s="1"/>
      <c r="E76" s="1"/>
      <c r="F76" s="12"/>
      <c r="G76" s="12"/>
      <c r="H76" s="47"/>
      <c r="I76" s="47"/>
    </row>
    <row r="77" spans="1:9" ht="14.1" customHeight="1" x14ac:dyDescent="0.2">
      <c r="A77" s="1"/>
      <c r="B77" s="1"/>
      <c r="C77" s="2" t="s">
        <v>128</v>
      </c>
      <c r="D77" s="1"/>
      <c r="E77" s="1"/>
      <c r="F77" s="12"/>
      <c r="G77" s="12"/>
      <c r="H77" s="47"/>
      <c r="I77" s="47"/>
    </row>
    <row r="78" spans="1:9" ht="14.1" customHeight="1" x14ac:dyDescent="0.2">
      <c r="A78" s="1"/>
      <c r="B78" s="1"/>
      <c r="C78" s="2" t="s">
        <v>122</v>
      </c>
      <c r="D78" s="1"/>
      <c r="E78" s="1" t="s">
        <v>123</v>
      </c>
      <c r="F78" s="13">
        <v>0</v>
      </c>
      <c r="G78" s="14">
        <v>0</v>
      </c>
      <c r="H78" s="47"/>
      <c r="I78" s="47"/>
    </row>
    <row r="79" spans="1:9" ht="14.1" customHeight="1" x14ac:dyDescent="0.2">
      <c r="A79" s="1"/>
      <c r="B79" s="1"/>
      <c r="C79" s="11"/>
      <c r="D79" s="1"/>
      <c r="E79" s="1"/>
      <c r="F79" s="12"/>
      <c r="G79" s="12"/>
      <c r="H79" s="47"/>
      <c r="I79" s="47"/>
    </row>
    <row r="80" spans="1:9" ht="18" customHeight="1" x14ac:dyDescent="0.2">
      <c r="A80" s="1"/>
      <c r="B80" s="1"/>
      <c r="C80" s="2" t="s">
        <v>129</v>
      </c>
      <c r="D80" s="1"/>
      <c r="E80" s="1"/>
      <c r="F80" s="9">
        <v>201935.50375890001</v>
      </c>
      <c r="G80" s="10">
        <v>0.70761601299999999</v>
      </c>
      <c r="H80" s="47"/>
      <c r="I80" s="47"/>
    </row>
    <row r="81" spans="1:9" ht="14.1" customHeight="1" x14ac:dyDescent="0.2">
      <c r="A81" s="1"/>
      <c r="B81" s="1"/>
      <c r="C81" s="11"/>
      <c r="D81" s="1"/>
      <c r="E81" s="1"/>
      <c r="F81" s="12"/>
      <c r="G81" s="12"/>
      <c r="H81" s="47"/>
      <c r="I81" s="47"/>
    </row>
    <row r="82" spans="1:9" ht="14.1" customHeight="1" x14ac:dyDescent="0.2">
      <c r="A82" s="1"/>
      <c r="B82" s="1"/>
      <c r="C82" s="2" t="s">
        <v>130</v>
      </c>
      <c r="D82" s="1"/>
      <c r="E82" s="1"/>
      <c r="F82" s="12"/>
      <c r="G82" s="12"/>
      <c r="H82" s="47"/>
      <c r="I82" s="47"/>
    </row>
    <row r="83" spans="1:9" ht="24" customHeight="1" x14ac:dyDescent="0.2">
      <c r="A83" s="1"/>
      <c r="B83" s="1"/>
      <c r="C83" s="2" t="s">
        <v>10</v>
      </c>
      <c r="D83" s="1"/>
      <c r="E83" s="1"/>
      <c r="F83" s="12"/>
      <c r="G83" s="12"/>
      <c r="H83" s="47"/>
      <c r="I83" s="47"/>
    </row>
    <row r="84" spans="1:9" ht="29.1" customHeight="1" x14ac:dyDescent="0.2">
      <c r="A84" s="3">
        <v>1</v>
      </c>
      <c r="B84" s="4" t="s">
        <v>778</v>
      </c>
      <c r="C84" s="4" t="s">
        <v>779</v>
      </c>
      <c r="D84" s="4" t="s">
        <v>648</v>
      </c>
      <c r="E84" s="5">
        <v>400</v>
      </c>
      <c r="F84" s="6">
        <v>3996.328</v>
      </c>
      <c r="G84" s="7">
        <v>1.4003806000000001E-2</v>
      </c>
      <c r="H84" s="47">
        <v>5.5650000000000004</v>
      </c>
      <c r="I84" s="47"/>
    </row>
    <row r="85" spans="1:9" ht="29.1" customHeight="1" x14ac:dyDescent="0.2">
      <c r="A85" s="3">
        <v>2</v>
      </c>
      <c r="B85" s="4" t="s">
        <v>780</v>
      </c>
      <c r="C85" s="4" t="s">
        <v>781</v>
      </c>
      <c r="D85" s="4" t="s">
        <v>637</v>
      </c>
      <c r="E85" s="5">
        <v>250</v>
      </c>
      <c r="F85" s="6">
        <v>2507.4425000000001</v>
      </c>
      <c r="G85" s="7">
        <v>8.7865010000000004E-3</v>
      </c>
      <c r="H85" s="47">
        <v>5.3049999999999997</v>
      </c>
      <c r="I85" s="47"/>
    </row>
    <row r="86" spans="1:9" ht="29.1" customHeight="1" x14ac:dyDescent="0.2">
      <c r="A86" s="3">
        <v>3</v>
      </c>
      <c r="B86" s="4" t="s">
        <v>782</v>
      </c>
      <c r="C86" s="4" t="s">
        <v>783</v>
      </c>
      <c r="D86" s="4" t="s">
        <v>618</v>
      </c>
      <c r="E86" s="5">
        <v>250</v>
      </c>
      <c r="F86" s="6">
        <v>2504.7775000000001</v>
      </c>
      <c r="G86" s="7">
        <v>8.7771619999999998E-3</v>
      </c>
      <c r="H86" s="47">
        <v>6.5</v>
      </c>
      <c r="I86" s="47"/>
    </row>
    <row r="87" spans="1:9" ht="36.75" customHeight="1" x14ac:dyDescent="0.2">
      <c r="A87" s="3">
        <v>4</v>
      </c>
      <c r="B87" s="4" t="s">
        <v>784</v>
      </c>
      <c r="C87" s="45" t="s">
        <v>1098</v>
      </c>
      <c r="D87" s="4" t="s">
        <v>785</v>
      </c>
      <c r="E87" s="5">
        <v>250</v>
      </c>
      <c r="F87" s="6">
        <v>2503.6525000000001</v>
      </c>
      <c r="G87" s="7">
        <v>8.77322E-3</v>
      </c>
      <c r="H87" s="47">
        <v>8.1328999999999994</v>
      </c>
      <c r="I87" s="47">
        <v>6.0271411816000002</v>
      </c>
    </row>
    <row r="88" spans="1:9" ht="17.100000000000001" customHeight="1" x14ac:dyDescent="0.2">
      <c r="A88" s="3">
        <v>5</v>
      </c>
      <c r="B88" s="4" t="s">
        <v>786</v>
      </c>
      <c r="C88" s="4" t="s">
        <v>787</v>
      </c>
      <c r="D88" s="4" t="s">
        <v>618</v>
      </c>
      <c r="E88" s="5">
        <v>250</v>
      </c>
      <c r="F88" s="6">
        <v>2433.8825000000002</v>
      </c>
      <c r="G88" s="7">
        <v>8.5287339999999996E-3</v>
      </c>
      <c r="H88" s="47">
        <v>7.2249999999999996</v>
      </c>
      <c r="I88" s="47"/>
    </row>
    <row r="89" spans="1:9" ht="29.1" customHeight="1" x14ac:dyDescent="0.2">
      <c r="A89" s="3">
        <v>6</v>
      </c>
      <c r="B89" s="4" t="s">
        <v>788</v>
      </c>
      <c r="C89" s="4" t="s">
        <v>789</v>
      </c>
      <c r="D89" s="4" t="s">
        <v>637</v>
      </c>
      <c r="E89" s="5">
        <v>200</v>
      </c>
      <c r="F89" s="6">
        <v>1955.778</v>
      </c>
      <c r="G89" s="7">
        <v>6.8533750000000001E-3</v>
      </c>
      <c r="H89" s="47">
        <v>6.91</v>
      </c>
      <c r="I89" s="47"/>
    </row>
    <row r="90" spans="1:9" ht="33.75" customHeight="1" x14ac:dyDescent="0.2">
      <c r="A90" s="3">
        <v>7</v>
      </c>
      <c r="B90" s="4" t="s">
        <v>790</v>
      </c>
      <c r="C90" s="45" t="s">
        <v>1099</v>
      </c>
      <c r="D90" s="4" t="s">
        <v>791</v>
      </c>
      <c r="E90" s="5">
        <v>150</v>
      </c>
      <c r="F90" s="6">
        <v>1520.5184999999999</v>
      </c>
      <c r="G90" s="7">
        <v>5.3281530000000004E-3</v>
      </c>
      <c r="H90" s="47">
        <v>8.2578999999999994</v>
      </c>
      <c r="I90" s="47">
        <v>7.5750045635500003</v>
      </c>
    </row>
    <row r="91" spans="1:9" ht="29.1" customHeight="1" x14ac:dyDescent="0.2">
      <c r="A91" s="3">
        <v>8</v>
      </c>
      <c r="B91" s="4" t="s">
        <v>792</v>
      </c>
      <c r="C91" s="4" t="s">
        <v>793</v>
      </c>
      <c r="D91" s="4" t="s">
        <v>618</v>
      </c>
      <c r="E91" s="5">
        <v>150</v>
      </c>
      <c r="F91" s="6">
        <v>1496.4645</v>
      </c>
      <c r="G91" s="7">
        <v>5.243864E-3</v>
      </c>
      <c r="H91" s="47">
        <v>7.13</v>
      </c>
      <c r="I91" s="47"/>
    </row>
    <row r="92" spans="1:9" ht="29.1" customHeight="1" x14ac:dyDescent="0.2">
      <c r="A92" s="3">
        <v>9</v>
      </c>
      <c r="B92" s="4" t="s">
        <v>794</v>
      </c>
      <c r="C92" s="4" t="s">
        <v>795</v>
      </c>
      <c r="D92" s="4" t="s">
        <v>618</v>
      </c>
      <c r="E92" s="5">
        <v>150</v>
      </c>
      <c r="F92" s="6">
        <v>1491.6524999999999</v>
      </c>
      <c r="G92" s="7">
        <v>5.2270019999999997E-3</v>
      </c>
      <c r="H92" s="47">
        <v>7.5650000000000004</v>
      </c>
      <c r="I92" s="47"/>
    </row>
    <row r="93" spans="1:9" ht="41.25" customHeight="1" x14ac:dyDescent="0.2">
      <c r="A93" s="3">
        <v>10</v>
      </c>
      <c r="B93" s="4" t="s">
        <v>796</v>
      </c>
      <c r="C93" s="45" t="s">
        <v>1097</v>
      </c>
      <c r="D93" s="4" t="s">
        <v>785</v>
      </c>
      <c r="E93" s="5">
        <v>150</v>
      </c>
      <c r="F93" s="6">
        <v>1485.8219999999999</v>
      </c>
      <c r="G93" s="7">
        <v>5.2065710000000001E-3</v>
      </c>
      <c r="H93" s="47">
        <v>8.7495999999999992</v>
      </c>
      <c r="I93" s="47">
        <v>16.094143928000001</v>
      </c>
    </row>
    <row r="94" spans="1:9" ht="29.1" customHeight="1" x14ac:dyDescent="0.2">
      <c r="A94" s="3">
        <v>11</v>
      </c>
      <c r="B94" s="4" t="s">
        <v>797</v>
      </c>
      <c r="C94" s="4" t="s">
        <v>798</v>
      </c>
      <c r="D94" s="4" t="s">
        <v>618</v>
      </c>
      <c r="E94" s="5">
        <v>100</v>
      </c>
      <c r="F94" s="6">
        <v>1015.035</v>
      </c>
      <c r="G94" s="7">
        <v>3.5568539999999999E-3</v>
      </c>
      <c r="H94" s="47">
        <v>7.2249999999999996</v>
      </c>
      <c r="I94" s="47"/>
    </row>
    <row r="95" spans="1:9" ht="29.1" customHeight="1" x14ac:dyDescent="0.2">
      <c r="A95" s="3">
        <v>12</v>
      </c>
      <c r="B95" s="4" t="s">
        <v>799</v>
      </c>
      <c r="C95" s="4" t="s">
        <v>800</v>
      </c>
      <c r="D95" s="4" t="s">
        <v>618</v>
      </c>
      <c r="E95" s="5">
        <v>100</v>
      </c>
      <c r="F95" s="6">
        <v>1009.289</v>
      </c>
      <c r="G95" s="7">
        <v>3.5367189999999998E-3</v>
      </c>
      <c r="H95" s="47">
        <v>7.14</v>
      </c>
      <c r="I95" s="47"/>
    </row>
    <row r="96" spans="1:9" ht="29.1" customHeight="1" x14ac:dyDescent="0.2">
      <c r="A96" s="3">
        <v>13</v>
      </c>
      <c r="B96" s="4" t="s">
        <v>801</v>
      </c>
      <c r="C96" s="4" t="s">
        <v>802</v>
      </c>
      <c r="D96" s="4" t="s">
        <v>618</v>
      </c>
      <c r="E96" s="5">
        <v>100</v>
      </c>
      <c r="F96" s="6">
        <v>1007.5069999999999</v>
      </c>
      <c r="G96" s="7">
        <v>3.530474E-3</v>
      </c>
      <c r="H96" s="47">
        <v>7.38</v>
      </c>
      <c r="I96" s="47"/>
    </row>
    <row r="97" spans="1:9" ht="29.1" customHeight="1" x14ac:dyDescent="0.2">
      <c r="A97" s="3">
        <v>14</v>
      </c>
      <c r="B97" s="4" t="s">
        <v>803</v>
      </c>
      <c r="C97" s="4" t="s">
        <v>804</v>
      </c>
      <c r="D97" s="4" t="s">
        <v>618</v>
      </c>
      <c r="E97" s="5">
        <v>100</v>
      </c>
      <c r="F97" s="6">
        <v>1004.1180000000001</v>
      </c>
      <c r="G97" s="7">
        <v>3.5185989999999999E-3</v>
      </c>
      <c r="H97" s="47">
        <v>6.43</v>
      </c>
      <c r="I97" s="47"/>
    </row>
    <row r="98" spans="1:9" ht="29.1" customHeight="1" x14ac:dyDescent="0.2">
      <c r="A98" s="3">
        <v>15</v>
      </c>
      <c r="B98" s="4" t="s">
        <v>805</v>
      </c>
      <c r="C98" s="4" t="s">
        <v>806</v>
      </c>
      <c r="D98" s="4" t="s">
        <v>637</v>
      </c>
      <c r="E98" s="5">
        <v>100</v>
      </c>
      <c r="F98" s="6">
        <v>991.82</v>
      </c>
      <c r="G98" s="7">
        <v>3.4755039999999999E-3</v>
      </c>
      <c r="H98" s="47">
        <v>6.4450000000000003</v>
      </c>
      <c r="I98" s="47"/>
    </row>
    <row r="99" spans="1:9" ht="29.1" customHeight="1" x14ac:dyDescent="0.2">
      <c r="A99" s="3">
        <v>16</v>
      </c>
      <c r="B99" s="4" t="s">
        <v>807</v>
      </c>
      <c r="C99" s="4" t="s">
        <v>808</v>
      </c>
      <c r="D99" s="4" t="s">
        <v>618</v>
      </c>
      <c r="E99" s="5">
        <v>100</v>
      </c>
      <c r="F99" s="6">
        <v>953.64400000000001</v>
      </c>
      <c r="G99" s="7">
        <v>3.3417289999999999E-3</v>
      </c>
      <c r="H99" s="47">
        <v>7.24</v>
      </c>
      <c r="I99" s="47"/>
    </row>
    <row r="100" spans="1:9" ht="17.100000000000001" customHeight="1" x14ac:dyDescent="0.2">
      <c r="A100" s="3">
        <v>17</v>
      </c>
      <c r="B100" s="4" t="s">
        <v>644</v>
      </c>
      <c r="C100" s="4" t="s">
        <v>645</v>
      </c>
      <c r="D100" s="4" t="s">
        <v>618</v>
      </c>
      <c r="E100" s="5">
        <v>55</v>
      </c>
      <c r="F100" s="6">
        <v>552.80939999999998</v>
      </c>
      <c r="G100" s="7">
        <v>1.937137E-3</v>
      </c>
      <c r="H100" s="47">
        <v>5.9749999999999996</v>
      </c>
      <c r="I100" s="47"/>
    </row>
    <row r="101" spans="1:9" ht="17.100000000000001" customHeight="1" x14ac:dyDescent="0.2">
      <c r="A101" s="3">
        <v>18</v>
      </c>
      <c r="B101" s="4" t="s">
        <v>809</v>
      </c>
      <c r="C101" s="4" t="s">
        <v>810</v>
      </c>
      <c r="D101" s="4" t="s">
        <v>648</v>
      </c>
      <c r="E101" s="5">
        <v>50</v>
      </c>
      <c r="F101" s="6">
        <v>504.07549999999998</v>
      </c>
      <c r="G101" s="7">
        <v>1.766365E-3</v>
      </c>
      <c r="H101" s="47">
        <v>6.8650000000000002</v>
      </c>
      <c r="I101" s="47"/>
    </row>
    <row r="102" spans="1:9" ht="29.1" customHeight="1" x14ac:dyDescent="0.2">
      <c r="A102" s="3">
        <v>19</v>
      </c>
      <c r="B102" s="4" t="s">
        <v>635</v>
      </c>
      <c r="C102" s="4" t="s">
        <v>636</v>
      </c>
      <c r="D102" s="4" t="s">
        <v>637</v>
      </c>
      <c r="E102" s="5">
        <v>50</v>
      </c>
      <c r="F102" s="6">
        <v>492.065</v>
      </c>
      <c r="G102" s="7">
        <v>1.724279E-3</v>
      </c>
      <c r="H102" s="47">
        <v>6.91</v>
      </c>
      <c r="I102" s="47"/>
    </row>
    <row r="103" spans="1:9" ht="29.1" customHeight="1" x14ac:dyDescent="0.2">
      <c r="A103" s="3">
        <v>20</v>
      </c>
      <c r="B103" s="4" t="s">
        <v>646</v>
      </c>
      <c r="C103" s="4" t="s">
        <v>647</v>
      </c>
      <c r="D103" s="4" t="s">
        <v>648</v>
      </c>
      <c r="E103" s="5">
        <v>45</v>
      </c>
      <c r="F103" s="6">
        <v>448.42680000000001</v>
      </c>
      <c r="G103" s="7">
        <v>1.5713630000000001E-3</v>
      </c>
      <c r="H103" s="47">
        <v>6.73</v>
      </c>
      <c r="I103" s="47"/>
    </row>
    <row r="104" spans="1:9" ht="29.1" customHeight="1" x14ac:dyDescent="0.2">
      <c r="A104" s="3">
        <v>21</v>
      </c>
      <c r="B104" s="4" t="s">
        <v>811</v>
      </c>
      <c r="C104" s="4" t="s">
        <v>812</v>
      </c>
      <c r="D104" s="4" t="s">
        <v>618</v>
      </c>
      <c r="E104" s="5">
        <v>40</v>
      </c>
      <c r="F104" s="6">
        <v>404.7944</v>
      </c>
      <c r="G104" s="7">
        <v>1.418468E-3</v>
      </c>
      <c r="H104" s="47">
        <v>6.165</v>
      </c>
      <c r="I104" s="47"/>
    </row>
    <row r="105" spans="1:9" ht="29.1" customHeight="1" x14ac:dyDescent="0.2">
      <c r="A105" s="3">
        <v>22</v>
      </c>
      <c r="B105" s="4" t="s">
        <v>813</v>
      </c>
      <c r="C105" s="4" t="s">
        <v>814</v>
      </c>
      <c r="D105" s="4" t="s">
        <v>637</v>
      </c>
      <c r="E105" s="5">
        <v>20</v>
      </c>
      <c r="F105" s="6">
        <v>200.33860000000001</v>
      </c>
      <c r="G105" s="7">
        <v>7.0202000000000003E-4</v>
      </c>
      <c r="H105" s="47">
        <v>5.04</v>
      </c>
      <c r="I105" s="47"/>
    </row>
    <row r="106" spans="1:9" ht="29.1" customHeight="1" x14ac:dyDescent="0.2">
      <c r="A106" s="3">
        <v>23</v>
      </c>
      <c r="B106" s="4" t="s">
        <v>815</v>
      </c>
      <c r="C106" s="4" t="s">
        <v>816</v>
      </c>
      <c r="D106" s="4" t="s">
        <v>618</v>
      </c>
      <c r="E106" s="5">
        <v>20</v>
      </c>
      <c r="F106" s="6">
        <v>200.15860000000001</v>
      </c>
      <c r="G106" s="7">
        <v>7.0138899999999996E-4</v>
      </c>
      <c r="H106" s="47">
        <v>6.3574000000000002</v>
      </c>
      <c r="I106" s="47"/>
    </row>
    <row r="107" spans="1:9" ht="24" customHeight="1" x14ac:dyDescent="0.2">
      <c r="A107" s="3">
        <v>24</v>
      </c>
      <c r="B107" s="4" t="s">
        <v>817</v>
      </c>
      <c r="C107" s="4" t="s">
        <v>1100</v>
      </c>
      <c r="D107" s="4" t="s">
        <v>818</v>
      </c>
      <c r="E107" s="5">
        <v>20</v>
      </c>
      <c r="F107" s="6">
        <v>198.31379999999999</v>
      </c>
      <c r="G107" s="7">
        <v>6.9492499999999999E-4</v>
      </c>
      <c r="H107" s="47">
        <v>11.747199999999999</v>
      </c>
      <c r="I107" s="47"/>
    </row>
    <row r="108" spans="1:9" ht="29.1" customHeight="1" x14ac:dyDescent="0.2">
      <c r="A108" s="3">
        <v>25</v>
      </c>
      <c r="B108" s="4" t="s">
        <v>819</v>
      </c>
      <c r="C108" s="4" t="s">
        <v>820</v>
      </c>
      <c r="D108" s="4" t="s">
        <v>618</v>
      </c>
      <c r="E108" s="5">
        <v>20</v>
      </c>
      <c r="F108" s="6">
        <v>192.8964</v>
      </c>
      <c r="G108" s="7">
        <v>6.75941E-4</v>
      </c>
      <c r="H108" s="47">
        <v>7.18</v>
      </c>
      <c r="I108" s="47"/>
    </row>
    <row r="109" spans="1:9" ht="14.1" customHeight="1" x14ac:dyDescent="0.2">
      <c r="A109" s="1"/>
      <c r="B109" s="1"/>
      <c r="C109" s="2" t="s">
        <v>122</v>
      </c>
      <c r="D109" s="1"/>
      <c r="E109" s="1" t="s">
        <v>123</v>
      </c>
      <c r="F109" s="9">
        <v>31071.61</v>
      </c>
      <c r="G109" s="10">
        <v>0.10888015400000001</v>
      </c>
      <c r="H109" s="47"/>
      <c r="I109" s="47"/>
    </row>
    <row r="110" spans="1:9" ht="14.1" customHeight="1" x14ac:dyDescent="0.2">
      <c r="A110" s="1"/>
      <c r="B110" s="1"/>
      <c r="C110" s="11"/>
      <c r="D110" s="1"/>
      <c r="E110" s="1"/>
      <c r="F110" s="12"/>
      <c r="G110" s="12"/>
      <c r="H110" s="47"/>
      <c r="I110" s="47"/>
    </row>
    <row r="111" spans="1:9" ht="14.1" customHeight="1" x14ac:dyDescent="0.2">
      <c r="A111" s="1"/>
      <c r="B111" s="1"/>
      <c r="C111" s="2" t="s">
        <v>131</v>
      </c>
      <c r="D111" s="1"/>
      <c r="E111" s="1"/>
      <c r="F111" s="1"/>
      <c r="G111" s="1"/>
      <c r="H111" s="47"/>
      <c r="I111" s="47"/>
    </row>
    <row r="112" spans="1:9" ht="17.100000000000001" customHeight="1" x14ac:dyDescent="0.2">
      <c r="A112" s="3">
        <v>1</v>
      </c>
      <c r="B112" s="4" t="s">
        <v>821</v>
      </c>
      <c r="C112" s="4" t="s">
        <v>822</v>
      </c>
      <c r="D112" s="4" t="s">
        <v>618</v>
      </c>
      <c r="E112" s="5">
        <v>50</v>
      </c>
      <c r="F112" s="6">
        <v>510.584</v>
      </c>
      <c r="G112" s="7">
        <v>1.7891719999999999E-3</v>
      </c>
      <c r="H112" s="47">
        <v>8.0850000000000009</v>
      </c>
      <c r="I112" s="47"/>
    </row>
    <row r="113" spans="1:9" ht="14.1" customHeight="1" x14ac:dyDescent="0.2">
      <c r="A113" s="1"/>
      <c r="B113" s="1"/>
      <c r="C113" s="2" t="s">
        <v>122</v>
      </c>
      <c r="D113" s="1"/>
      <c r="E113" s="1" t="s">
        <v>123</v>
      </c>
      <c r="F113" s="9">
        <v>510.584</v>
      </c>
      <c r="G113" s="10">
        <v>1.7891719999999999E-3</v>
      </c>
      <c r="H113" s="47"/>
      <c r="I113" s="47"/>
    </row>
    <row r="114" spans="1:9" ht="14.1" customHeight="1" x14ac:dyDescent="0.2">
      <c r="A114" s="1"/>
      <c r="B114" s="1"/>
      <c r="C114" s="11"/>
      <c r="D114" s="1"/>
      <c r="E114" s="1"/>
      <c r="F114" s="12"/>
      <c r="G114" s="12"/>
      <c r="H114" s="47"/>
      <c r="I114" s="47"/>
    </row>
    <row r="115" spans="1:9" ht="14.1" customHeight="1" x14ac:dyDescent="0.2">
      <c r="A115" s="1"/>
      <c r="B115" s="1"/>
      <c r="C115" s="2" t="s">
        <v>132</v>
      </c>
      <c r="D115" s="1"/>
      <c r="E115" s="1"/>
      <c r="F115" s="1"/>
      <c r="G115" s="1"/>
      <c r="H115" s="47"/>
      <c r="I115" s="47"/>
    </row>
    <row r="116" spans="1:9" ht="17.100000000000001" customHeight="1" x14ac:dyDescent="0.2">
      <c r="A116" s="3">
        <v>1</v>
      </c>
      <c r="B116" s="4" t="s">
        <v>823</v>
      </c>
      <c r="C116" s="4" t="s">
        <v>824</v>
      </c>
      <c r="D116" s="4" t="s">
        <v>591</v>
      </c>
      <c r="E116" s="5">
        <v>3000000</v>
      </c>
      <c r="F116" s="6">
        <v>3002.1</v>
      </c>
      <c r="G116" s="7">
        <v>1.0519864E-2</v>
      </c>
      <c r="H116" s="47">
        <v>6.6512000000000002</v>
      </c>
      <c r="I116" s="47"/>
    </row>
    <row r="117" spans="1:9" ht="29.1" customHeight="1" x14ac:dyDescent="0.2">
      <c r="A117" s="3">
        <v>2</v>
      </c>
      <c r="B117" s="4" t="s">
        <v>825</v>
      </c>
      <c r="C117" s="4" t="s">
        <v>826</v>
      </c>
      <c r="D117" s="4" t="s">
        <v>591</v>
      </c>
      <c r="E117" s="5">
        <v>1500000</v>
      </c>
      <c r="F117" s="6">
        <v>1512.0374999999999</v>
      </c>
      <c r="G117" s="7">
        <v>5.2984340000000003E-3</v>
      </c>
      <c r="H117" s="47">
        <v>6.2039999999999997</v>
      </c>
      <c r="I117" s="47"/>
    </row>
    <row r="118" spans="1:9" ht="29.1" customHeight="1" x14ac:dyDescent="0.2">
      <c r="A118" s="3">
        <v>3</v>
      </c>
      <c r="B118" s="4" t="s">
        <v>649</v>
      </c>
      <c r="C118" s="4" t="s">
        <v>650</v>
      </c>
      <c r="D118" s="4" t="s">
        <v>591</v>
      </c>
      <c r="E118" s="5">
        <v>1000000</v>
      </c>
      <c r="F118" s="6">
        <v>954.55600000000004</v>
      </c>
      <c r="G118" s="7">
        <v>3.3449249999999999E-3</v>
      </c>
      <c r="H118" s="47">
        <v>6.9459</v>
      </c>
      <c r="I118" s="47"/>
    </row>
    <row r="119" spans="1:9" ht="29.1" customHeight="1" x14ac:dyDescent="0.2">
      <c r="A119" s="3">
        <v>4</v>
      </c>
      <c r="B119" s="4" t="s">
        <v>655</v>
      </c>
      <c r="C119" s="4" t="s">
        <v>656</v>
      </c>
      <c r="D119" s="4" t="s">
        <v>591</v>
      </c>
      <c r="E119" s="5">
        <v>950000</v>
      </c>
      <c r="F119" s="6">
        <v>938.41665</v>
      </c>
      <c r="G119" s="7">
        <v>3.2883700000000001E-3</v>
      </c>
      <c r="H119" s="47">
        <v>6.7465000000000002</v>
      </c>
      <c r="I119" s="47"/>
    </row>
    <row r="120" spans="1:9" ht="29.1" customHeight="1" x14ac:dyDescent="0.2">
      <c r="A120" s="3">
        <v>5</v>
      </c>
      <c r="B120" s="4" t="s">
        <v>827</v>
      </c>
      <c r="C120" s="4" t="s">
        <v>828</v>
      </c>
      <c r="D120" s="4" t="s">
        <v>591</v>
      </c>
      <c r="E120" s="5">
        <v>650000</v>
      </c>
      <c r="F120" s="6">
        <v>652.97635000000002</v>
      </c>
      <c r="G120" s="7">
        <v>2.2881389999999998E-3</v>
      </c>
      <c r="H120" s="47">
        <v>5.7962999999999996</v>
      </c>
      <c r="I120" s="47"/>
    </row>
    <row r="121" spans="1:9" ht="29.1" customHeight="1" x14ac:dyDescent="0.2">
      <c r="A121" s="3">
        <v>6</v>
      </c>
      <c r="B121" s="4" t="s">
        <v>829</v>
      </c>
      <c r="C121" s="4" t="s">
        <v>830</v>
      </c>
      <c r="D121" s="4" t="s">
        <v>591</v>
      </c>
      <c r="E121" s="5">
        <v>400000</v>
      </c>
      <c r="F121" s="6">
        <v>410.55720000000002</v>
      </c>
      <c r="G121" s="7">
        <v>1.4386620000000001E-3</v>
      </c>
      <c r="H121" s="47">
        <v>7.2350000000000003</v>
      </c>
      <c r="I121" s="47"/>
    </row>
    <row r="122" spans="1:9" ht="29.1" customHeight="1" x14ac:dyDescent="0.2">
      <c r="A122" s="3">
        <v>7</v>
      </c>
      <c r="B122" s="4" t="s">
        <v>831</v>
      </c>
      <c r="C122" s="4" t="s">
        <v>832</v>
      </c>
      <c r="D122" s="4" t="s">
        <v>591</v>
      </c>
      <c r="E122" s="5">
        <v>400000</v>
      </c>
      <c r="F122" s="6">
        <v>408.92399999999998</v>
      </c>
      <c r="G122" s="7">
        <v>1.432939E-3</v>
      </c>
      <c r="H122" s="47">
        <v>7.1481000000000003</v>
      </c>
      <c r="I122" s="47"/>
    </row>
    <row r="123" spans="1:9" ht="29.1" customHeight="1" x14ac:dyDescent="0.2">
      <c r="A123" s="3">
        <v>8</v>
      </c>
      <c r="B123" s="4" t="s">
        <v>833</v>
      </c>
      <c r="C123" s="4" t="s">
        <v>834</v>
      </c>
      <c r="D123" s="4" t="s">
        <v>591</v>
      </c>
      <c r="E123" s="5">
        <v>400000</v>
      </c>
      <c r="F123" s="6">
        <v>408.62599999999998</v>
      </c>
      <c r="G123" s="7">
        <v>1.431894E-3</v>
      </c>
      <c r="H123" s="47">
        <v>7.1349999999999998</v>
      </c>
      <c r="I123" s="47"/>
    </row>
    <row r="124" spans="1:9" ht="29.1" customHeight="1" x14ac:dyDescent="0.2">
      <c r="A124" s="3">
        <v>9</v>
      </c>
      <c r="B124" s="4" t="s">
        <v>835</v>
      </c>
      <c r="C124" s="4" t="s">
        <v>836</v>
      </c>
      <c r="D124" s="4" t="s">
        <v>591</v>
      </c>
      <c r="E124" s="5">
        <v>400000</v>
      </c>
      <c r="F124" s="6">
        <v>402.46559999999999</v>
      </c>
      <c r="G124" s="7">
        <v>1.410307E-3</v>
      </c>
      <c r="H124" s="47">
        <v>5.1501000000000001</v>
      </c>
      <c r="I124" s="47"/>
    </row>
    <row r="125" spans="1:9" ht="14.1" customHeight="1" x14ac:dyDescent="0.2">
      <c r="A125" s="1"/>
      <c r="B125" s="1"/>
      <c r="C125" s="2" t="s">
        <v>122</v>
      </c>
      <c r="D125" s="1"/>
      <c r="E125" s="1" t="s">
        <v>123</v>
      </c>
      <c r="F125" s="9">
        <v>8690.6592999999993</v>
      </c>
      <c r="G125" s="10">
        <v>3.0453534000000001E-2</v>
      </c>
      <c r="H125" s="47"/>
      <c r="I125" s="47"/>
    </row>
    <row r="126" spans="1:9" ht="14.1" customHeight="1" x14ac:dyDescent="0.2">
      <c r="A126" s="1"/>
      <c r="B126" s="1"/>
      <c r="C126" s="11"/>
      <c r="D126" s="1"/>
      <c r="E126" s="1"/>
      <c r="F126" s="12"/>
      <c r="G126" s="12"/>
      <c r="H126" s="47"/>
      <c r="I126" s="47"/>
    </row>
    <row r="127" spans="1:9" ht="14.1" customHeight="1" x14ac:dyDescent="0.2">
      <c r="A127" s="1"/>
      <c r="B127" s="1"/>
      <c r="C127" s="2" t="s">
        <v>133</v>
      </c>
      <c r="D127" s="1"/>
      <c r="E127" s="1"/>
      <c r="F127" s="12"/>
      <c r="G127" s="12"/>
      <c r="H127" s="47"/>
      <c r="I127" s="47"/>
    </row>
    <row r="128" spans="1:9" ht="14.1" customHeight="1" x14ac:dyDescent="0.2">
      <c r="A128" s="1"/>
      <c r="B128" s="1"/>
      <c r="C128" s="2" t="s">
        <v>122</v>
      </c>
      <c r="D128" s="1"/>
      <c r="E128" s="1" t="s">
        <v>123</v>
      </c>
      <c r="F128" s="13">
        <v>0</v>
      </c>
      <c r="G128" s="14">
        <v>0</v>
      </c>
      <c r="H128" s="47"/>
      <c r="I128" s="47"/>
    </row>
    <row r="129" spans="1:9" ht="14.1" customHeight="1" x14ac:dyDescent="0.2">
      <c r="A129" s="1"/>
      <c r="B129" s="1"/>
      <c r="C129" s="11"/>
      <c r="D129" s="1"/>
      <c r="E129" s="1"/>
      <c r="F129" s="12"/>
      <c r="G129" s="12"/>
      <c r="H129" s="47"/>
      <c r="I129" s="47"/>
    </row>
    <row r="130" spans="1:9" ht="14.1" customHeight="1" x14ac:dyDescent="0.2">
      <c r="A130" s="1"/>
      <c r="B130" s="1"/>
      <c r="C130" s="2" t="s">
        <v>134</v>
      </c>
      <c r="D130" s="1"/>
      <c r="E130" s="1"/>
      <c r="F130" s="9">
        <v>40272.853300000002</v>
      </c>
      <c r="G130" s="10">
        <v>0.14112285999999999</v>
      </c>
      <c r="H130" s="47"/>
      <c r="I130" s="47"/>
    </row>
    <row r="131" spans="1:9" ht="14.1" customHeight="1" x14ac:dyDescent="0.2">
      <c r="A131" s="1"/>
      <c r="B131" s="1"/>
      <c r="C131" s="11"/>
      <c r="D131" s="1"/>
      <c r="E131" s="1"/>
      <c r="F131" s="12"/>
      <c r="G131" s="12"/>
      <c r="H131" s="47"/>
      <c r="I131" s="47"/>
    </row>
    <row r="132" spans="1:9" ht="14.1" customHeight="1" x14ac:dyDescent="0.2">
      <c r="A132" s="1"/>
      <c r="B132" s="1"/>
      <c r="C132" s="2" t="s">
        <v>135</v>
      </c>
      <c r="D132" s="1"/>
      <c r="E132" s="1"/>
      <c r="F132" s="12"/>
      <c r="G132" s="12"/>
      <c r="H132" s="47"/>
      <c r="I132" s="47"/>
    </row>
    <row r="133" spans="1:9" ht="14.1" customHeight="1" x14ac:dyDescent="0.2">
      <c r="A133" s="1"/>
      <c r="B133" s="1"/>
      <c r="C133" s="2" t="s">
        <v>136</v>
      </c>
      <c r="D133" s="1"/>
      <c r="E133" s="1"/>
      <c r="F133" s="12"/>
      <c r="G133" s="12"/>
      <c r="H133" s="47"/>
      <c r="I133" s="47"/>
    </row>
    <row r="134" spans="1:9" ht="17.100000000000001" customHeight="1" x14ac:dyDescent="0.2">
      <c r="A134" s="3">
        <v>1</v>
      </c>
      <c r="B134" s="4" t="s">
        <v>837</v>
      </c>
      <c r="C134" s="4" t="s">
        <v>838</v>
      </c>
      <c r="D134" s="4" t="s">
        <v>839</v>
      </c>
      <c r="E134" s="5">
        <v>800</v>
      </c>
      <c r="F134" s="6">
        <v>3962.6120000000001</v>
      </c>
      <c r="G134" s="7">
        <v>1.3885659999999999E-2</v>
      </c>
      <c r="H134" s="47">
        <v>5.1401000000000003</v>
      </c>
      <c r="I134" s="47"/>
    </row>
    <row r="135" spans="1:9" ht="17.100000000000001" customHeight="1" x14ac:dyDescent="0.2">
      <c r="A135" s="3">
        <v>2</v>
      </c>
      <c r="B135" s="4" t="s">
        <v>840</v>
      </c>
      <c r="C135" s="4" t="s">
        <v>841</v>
      </c>
      <c r="D135" s="4" t="s">
        <v>839</v>
      </c>
      <c r="E135" s="5">
        <v>500</v>
      </c>
      <c r="F135" s="6">
        <v>2482.1424999999999</v>
      </c>
      <c r="G135" s="7">
        <v>8.6978449999999992E-3</v>
      </c>
      <c r="H135" s="47">
        <v>5.0499000000000001</v>
      </c>
      <c r="I135" s="47"/>
    </row>
    <row r="136" spans="1:9" ht="29.1" customHeight="1" x14ac:dyDescent="0.2">
      <c r="A136" s="3">
        <v>3</v>
      </c>
      <c r="B136" s="4" t="s">
        <v>842</v>
      </c>
      <c r="C136" s="4" t="s">
        <v>843</v>
      </c>
      <c r="D136" s="4" t="s">
        <v>839</v>
      </c>
      <c r="E136" s="5">
        <v>500</v>
      </c>
      <c r="F136" s="6">
        <v>2473.6975000000002</v>
      </c>
      <c r="G136" s="7">
        <v>8.6682530000000008E-3</v>
      </c>
      <c r="H136" s="47">
        <v>5.1749999999999998</v>
      </c>
      <c r="I136" s="47"/>
    </row>
    <row r="137" spans="1:9" ht="17.100000000000001" customHeight="1" x14ac:dyDescent="0.2">
      <c r="A137" s="3">
        <v>4</v>
      </c>
      <c r="B137" s="4" t="s">
        <v>844</v>
      </c>
      <c r="C137" s="4" t="s">
        <v>845</v>
      </c>
      <c r="D137" s="4" t="s">
        <v>846</v>
      </c>
      <c r="E137" s="5">
        <v>500</v>
      </c>
      <c r="F137" s="6">
        <v>2408.5250000000001</v>
      </c>
      <c r="G137" s="7">
        <v>8.4398770000000001E-3</v>
      </c>
      <c r="H137" s="47">
        <v>6.08</v>
      </c>
      <c r="I137" s="47"/>
    </row>
    <row r="138" spans="1:9" ht="17.100000000000001" customHeight="1" x14ac:dyDescent="0.2">
      <c r="A138" s="3">
        <v>5</v>
      </c>
      <c r="B138" s="4" t="s">
        <v>847</v>
      </c>
      <c r="C138" s="4" t="s">
        <v>848</v>
      </c>
      <c r="D138" s="4" t="s">
        <v>846</v>
      </c>
      <c r="E138" s="5">
        <v>200</v>
      </c>
      <c r="F138" s="6">
        <v>985.53</v>
      </c>
      <c r="G138" s="7">
        <v>3.4534629999999999E-3</v>
      </c>
      <c r="H138" s="47">
        <v>5.5250000000000004</v>
      </c>
      <c r="I138" s="47"/>
    </row>
    <row r="139" spans="1:9" ht="14.1" customHeight="1" x14ac:dyDescent="0.2">
      <c r="A139" s="1"/>
      <c r="B139" s="1"/>
      <c r="C139" s="2" t="s">
        <v>122</v>
      </c>
      <c r="D139" s="1"/>
      <c r="E139" s="1" t="s">
        <v>123</v>
      </c>
      <c r="F139" s="9">
        <v>12312.507</v>
      </c>
      <c r="G139" s="10">
        <v>4.3145098E-2</v>
      </c>
      <c r="H139" s="47"/>
      <c r="I139" s="47"/>
    </row>
    <row r="140" spans="1:9" ht="14.1" customHeight="1" x14ac:dyDescent="0.2">
      <c r="A140" s="1"/>
      <c r="B140" s="1"/>
      <c r="C140" s="11"/>
      <c r="D140" s="1"/>
      <c r="E140" s="1"/>
      <c r="F140" s="12"/>
      <c r="G140" s="12"/>
      <c r="H140" s="47"/>
      <c r="I140" s="47"/>
    </row>
    <row r="141" spans="1:9" ht="14.1" customHeight="1" x14ac:dyDescent="0.2">
      <c r="A141" s="1"/>
      <c r="B141" s="1"/>
      <c r="C141" s="2" t="s">
        <v>137</v>
      </c>
      <c r="D141" s="1"/>
      <c r="E141" s="1"/>
      <c r="F141" s="12"/>
      <c r="G141" s="12"/>
      <c r="H141" s="47"/>
      <c r="I141" s="47"/>
    </row>
    <row r="142" spans="1:9" ht="29.1" customHeight="1" x14ac:dyDescent="0.2">
      <c r="A142" s="3">
        <v>1</v>
      </c>
      <c r="B142" s="4" t="s">
        <v>849</v>
      </c>
      <c r="C142" s="4" t="s">
        <v>850</v>
      </c>
      <c r="D142" s="4" t="s">
        <v>839</v>
      </c>
      <c r="E142" s="5">
        <v>500</v>
      </c>
      <c r="F142" s="6">
        <v>2467.3975</v>
      </c>
      <c r="G142" s="7">
        <v>8.6461760000000002E-3</v>
      </c>
      <c r="H142" s="47">
        <v>5.3000999999999996</v>
      </c>
      <c r="I142" s="47"/>
    </row>
    <row r="143" spans="1:9" ht="29.1" customHeight="1" x14ac:dyDescent="0.2">
      <c r="A143" s="3">
        <v>2</v>
      </c>
      <c r="B143" s="4" t="s">
        <v>851</v>
      </c>
      <c r="C143" s="4" t="s">
        <v>852</v>
      </c>
      <c r="D143" s="4" t="s">
        <v>839</v>
      </c>
      <c r="E143" s="5">
        <v>500</v>
      </c>
      <c r="F143" s="6">
        <v>2361.2975000000001</v>
      </c>
      <c r="G143" s="7">
        <v>8.2743839999999992E-3</v>
      </c>
      <c r="H143" s="47">
        <v>6.7000999999999999</v>
      </c>
      <c r="I143" s="47"/>
    </row>
    <row r="144" spans="1:9" ht="14.1" customHeight="1" x14ac:dyDescent="0.2">
      <c r="A144" s="1"/>
      <c r="B144" s="1"/>
      <c r="C144" s="2" t="s">
        <v>122</v>
      </c>
      <c r="D144" s="1"/>
      <c r="E144" s="1" t="s">
        <v>123</v>
      </c>
      <c r="F144" s="9">
        <v>4828.6949999999997</v>
      </c>
      <c r="G144" s="10">
        <v>1.6920560000000001E-2</v>
      </c>
      <c r="H144" s="47"/>
      <c r="I144" s="47"/>
    </row>
    <row r="145" spans="1:9" ht="14.1" customHeight="1" x14ac:dyDescent="0.2">
      <c r="A145" s="1"/>
      <c r="B145" s="1"/>
      <c r="C145" s="11"/>
      <c r="D145" s="1"/>
      <c r="E145" s="1"/>
      <c r="F145" s="12"/>
      <c r="G145" s="12"/>
      <c r="H145" s="47"/>
      <c r="I145" s="47"/>
    </row>
    <row r="146" spans="1:9" ht="14.1" customHeight="1" x14ac:dyDescent="0.2">
      <c r="A146" s="1"/>
      <c r="B146" s="1"/>
      <c r="C146" s="2" t="s">
        <v>138</v>
      </c>
      <c r="D146" s="1"/>
      <c r="E146" s="1"/>
      <c r="F146" s="12"/>
      <c r="G146" s="12"/>
      <c r="H146" s="47"/>
      <c r="I146" s="47"/>
    </row>
    <row r="147" spans="1:9" ht="17.100000000000001" customHeight="1" x14ac:dyDescent="0.2">
      <c r="A147" s="3">
        <v>1</v>
      </c>
      <c r="B147" s="4" t="s">
        <v>853</v>
      </c>
      <c r="C147" s="4" t="s">
        <v>854</v>
      </c>
      <c r="D147" s="4" t="s">
        <v>591</v>
      </c>
      <c r="E147" s="5">
        <v>5000000</v>
      </c>
      <c r="F147" s="6">
        <v>4953.18</v>
      </c>
      <c r="G147" s="7">
        <v>1.7356777E-2</v>
      </c>
      <c r="H147" s="47">
        <v>5</v>
      </c>
      <c r="I147" s="47"/>
    </row>
    <row r="148" spans="1:9" ht="17.100000000000001" customHeight="1" x14ac:dyDescent="0.2">
      <c r="A148" s="3">
        <v>2</v>
      </c>
      <c r="B148" s="4" t="s">
        <v>855</v>
      </c>
      <c r="C148" s="4" t="s">
        <v>953</v>
      </c>
      <c r="D148" s="4" t="s">
        <v>591</v>
      </c>
      <c r="E148" s="5">
        <v>2500000</v>
      </c>
      <c r="F148" s="6">
        <v>2473.8850000000002</v>
      </c>
      <c r="G148" s="7">
        <v>8.6689100000000002E-3</v>
      </c>
      <c r="H148" s="47">
        <v>5.07</v>
      </c>
      <c r="I148" s="47"/>
    </row>
    <row r="149" spans="1:9" ht="17.100000000000001" customHeight="1" x14ac:dyDescent="0.2">
      <c r="A149" s="3">
        <v>3</v>
      </c>
      <c r="B149" s="4" t="s">
        <v>856</v>
      </c>
      <c r="C149" s="4" t="s">
        <v>955</v>
      </c>
      <c r="D149" s="4" t="s">
        <v>591</v>
      </c>
      <c r="E149" s="5">
        <v>2500000</v>
      </c>
      <c r="F149" s="6">
        <v>2427.9074999999998</v>
      </c>
      <c r="G149" s="7">
        <v>8.5077969999999992E-3</v>
      </c>
      <c r="H149" s="47">
        <v>5.7649999999999997</v>
      </c>
      <c r="I149" s="47"/>
    </row>
    <row r="150" spans="1:9" ht="17.100000000000001" customHeight="1" x14ac:dyDescent="0.2">
      <c r="A150" s="3">
        <v>4</v>
      </c>
      <c r="B150" s="4" t="s">
        <v>857</v>
      </c>
      <c r="C150" s="4" t="s">
        <v>954</v>
      </c>
      <c r="D150" s="4" t="s">
        <v>591</v>
      </c>
      <c r="E150" s="5">
        <v>500000</v>
      </c>
      <c r="F150" s="6">
        <v>488.46199999999999</v>
      </c>
      <c r="G150" s="7">
        <v>1.711653E-3</v>
      </c>
      <c r="H150" s="47">
        <v>5.6349999999999998</v>
      </c>
      <c r="I150" s="47"/>
    </row>
    <row r="151" spans="1:9" ht="14.1" customHeight="1" x14ac:dyDescent="0.2">
      <c r="A151" s="1"/>
      <c r="B151" s="1"/>
      <c r="C151" s="2" t="s">
        <v>122</v>
      </c>
      <c r="D151" s="1"/>
      <c r="E151" s="1" t="s">
        <v>123</v>
      </c>
      <c r="F151" s="9">
        <v>10343.434499999999</v>
      </c>
      <c r="G151" s="10">
        <v>3.6245136999999997E-2</v>
      </c>
      <c r="H151" s="47"/>
      <c r="I151" s="47"/>
    </row>
    <row r="152" spans="1:9" ht="14.1" customHeight="1" x14ac:dyDescent="0.2">
      <c r="A152" s="1"/>
      <c r="B152" s="1"/>
      <c r="C152" s="11"/>
      <c r="D152" s="1"/>
      <c r="E152" s="1"/>
      <c r="F152" s="12"/>
      <c r="G152" s="12"/>
      <c r="H152" s="47"/>
      <c r="I152" s="47"/>
    </row>
    <row r="153" spans="1:9" ht="14.1" customHeight="1" x14ac:dyDescent="0.2">
      <c r="A153" s="1"/>
      <c r="B153" s="1"/>
      <c r="C153" s="2" t="s">
        <v>139</v>
      </c>
      <c r="D153" s="1"/>
      <c r="E153" s="1"/>
      <c r="F153" s="12"/>
      <c r="G153" s="12"/>
      <c r="H153" s="47"/>
      <c r="I153" s="47"/>
    </row>
    <row r="154" spans="1:9" ht="17.100000000000001" customHeight="1" x14ac:dyDescent="0.2">
      <c r="A154" s="3">
        <v>1</v>
      </c>
      <c r="B154" s="4"/>
      <c r="C154" s="4" t="s">
        <v>140</v>
      </c>
      <c r="D154" s="4"/>
      <c r="E154" s="8"/>
      <c r="F154" s="6">
        <v>11661.3757993</v>
      </c>
      <c r="G154" s="7">
        <v>4.0863425000000002E-2</v>
      </c>
      <c r="H154" s="47">
        <v>4.6730752161314033</v>
      </c>
      <c r="I154" s="47"/>
    </row>
    <row r="155" spans="1:9" ht="14.1" customHeight="1" x14ac:dyDescent="0.2">
      <c r="A155" s="1"/>
      <c r="B155" s="1"/>
      <c r="C155" s="2" t="s">
        <v>122</v>
      </c>
      <c r="D155" s="1"/>
      <c r="E155" s="1" t="s">
        <v>123</v>
      </c>
      <c r="F155" s="9">
        <v>11661.3757993</v>
      </c>
      <c r="G155" s="10">
        <v>4.0863425000000002E-2</v>
      </c>
      <c r="H155" s="47"/>
      <c r="I155" s="47"/>
    </row>
    <row r="156" spans="1:9" ht="14.1" customHeight="1" x14ac:dyDescent="0.2">
      <c r="A156" s="1"/>
      <c r="B156" s="1"/>
      <c r="C156" s="11"/>
      <c r="D156" s="1"/>
      <c r="E156" s="1"/>
      <c r="F156" s="12"/>
      <c r="G156" s="12"/>
      <c r="H156" s="47"/>
      <c r="I156" s="47"/>
    </row>
    <row r="157" spans="1:9" ht="14.1" customHeight="1" x14ac:dyDescent="0.2">
      <c r="A157" s="1"/>
      <c r="B157" s="1"/>
      <c r="C157" s="2" t="s">
        <v>141</v>
      </c>
      <c r="D157" s="1"/>
      <c r="E157" s="1"/>
      <c r="F157" s="9">
        <v>39146.012299299997</v>
      </c>
      <c r="G157" s="10">
        <v>0.13717422000000001</v>
      </c>
      <c r="H157" s="47"/>
      <c r="I157" s="47"/>
    </row>
    <row r="158" spans="1:9" ht="14.1" customHeight="1" x14ac:dyDescent="0.2">
      <c r="A158" s="1"/>
      <c r="B158" s="1"/>
      <c r="C158" s="12"/>
      <c r="D158" s="1"/>
      <c r="E158" s="1"/>
      <c r="F158" s="1"/>
      <c r="G158" s="1"/>
      <c r="H158" s="47"/>
      <c r="I158" s="47"/>
    </row>
    <row r="159" spans="1:9" ht="14.1" customHeight="1" x14ac:dyDescent="0.2">
      <c r="A159" s="1"/>
      <c r="B159" s="1"/>
      <c r="C159" s="2" t="s">
        <v>142</v>
      </c>
      <c r="D159" s="1"/>
      <c r="E159" s="1"/>
      <c r="F159" s="1"/>
      <c r="G159" s="1"/>
      <c r="H159" s="47"/>
      <c r="I159" s="47"/>
    </row>
    <row r="160" spans="1:9" ht="14.1" customHeight="1" x14ac:dyDescent="0.2">
      <c r="A160" s="1"/>
      <c r="B160" s="1"/>
      <c r="C160" s="2" t="s">
        <v>143</v>
      </c>
      <c r="D160" s="1"/>
      <c r="E160" s="1"/>
      <c r="F160" s="1"/>
      <c r="G160" s="1"/>
      <c r="H160" s="47"/>
      <c r="I160" s="47"/>
    </row>
    <row r="161" spans="1:9" ht="14.1" customHeight="1" x14ac:dyDescent="0.2">
      <c r="A161" s="1"/>
      <c r="B161" s="1"/>
      <c r="C161" s="2" t="s">
        <v>122</v>
      </c>
      <c r="D161" s="1"/>
      <c r="E161" s="1" t="s">
        <v>123</v>
      </c>
      <c r="F161" s="13">
        <v>0</v>
      </c>
      <c r="G161" s="14">
        <v>0</v>
      </c>
      <c r="H161" s="47"/>
      <c r="I161" s="47"/>
    </row>
    <row r="162" spans="1:9" ht="14.1" customHeight="1" x14ac:dyDescent="0.2">
      <c r="A162" s="1"/>
      <c r="B162" s="1"/>
      <c r="C162" s="11"/>
      <c r="D162" s="1"/>
      <c r="E162" s="1"/>
      <c r="F162" s="12"/>
      <c r="G162" s="12"/>
      <c r="H162" s="47"/>
      <c r="I162" s="47"/>
    </row>
    <row r="163" spans="1:9" ht="14.1" customHeight="1" x14ac:dyDescent="0.2">
      <c r="A163" s="1"/>
      <c r="B163" s="1"/>
      <c r="C163" s="2" t="s">
        <v>144</v>
      </c>
      <c r="D163" s="1"/>
      <c r="E163" s="1"/>
      <c r="F163" s="1"/>
      <c r="G163" s="1"/>
      <c r="H163" s="47"/>
      <c r="I163" s="47"/>
    </row>
    <row r="164" spans="1:9" ht="14.1" customHeight="1" x14ac:dyDescent="0.2">
      <c r="A164" s="1"/>
      <c r="B164" s="1"/>
      <c r="C164" s="2" t="s">
        <v>145</v>
      </c>
      <c r="D164" s="1"/>
      <c r="E164" s="1"/>
      <c r="F164" s="1"/>
      <c r="G164" s="1"/>
      <c r="H164" s="47"/>
      <c r="I164" s="47"/>
    </row>
    <row r="165" spans="1:9" ht="14.1" customHeight="1" x14ac:dyDescent="0.2">
      <c r="A165" s="1"/>
      <c r="B165" s="1"/>
      <c r="C165" s="2" t="s">
        <v>122</v>
      </c>
      <c r="D165" s="1"/>
      <c r="E165" s="1" t="s">
        <v>123</v>
      </c>
      <c r="F165" s="13">
        <v>0</v>
      </c>
      <c r="G165" s="14">
        <v>0</v>
      </c>
      <c r="H165" s="47"/>
      <c r="I165" s="47"/>
    </row>
    <row r="166" spans="1:9" ht="14.1" customHeight="1" x14ac:dyDescent="0.2">
      <c r="A166" s="1"/>
      <c r="B166" s="1"/>
      <c r="C166" s="11"/>
      <c r="D166" s="1"/>
      <c r="E166" s="1"/>
      <c r="F166" s="12"/>
      <c r="G166" s="12"/>
      <c r="H166" s="47"/>
      <c r="I166" s="47"/>
    </row>
    <row r="167" spans="1:9" ht="24" customHeight="1" x14ac:dyDescent="0.2">
      <c r="A167" s="1"/>
      <c r="B167" s="1"/>
      <c r="C167" s="2" t="s">
        <v>146</v>
      </c>
      <c r="D167" s="1"/>
      <c r="E167" s="1"/>
      <c r="F167" s="12"/>
      <c r="G167" s="12"/>
      <c r="H167" s="47"/>
      <c r="I167" s="47"/>
    </row>
    <row r="168" spans="1:9" ht="14.1" customHeight="1" x14ac:dyDescent="0.2">
      <c r="A168" s="1"/>
      <c r="B168" s="1"/>
      <c r="C168" s="2" t="s">
        <v>122</v>
      </c>
      <c r="D168" s="1"/>
      <c r="E168" s="1" t="s">
        <v>123</v>
      </c>
      <c r="F168" s="13">
        <v>0</v>
      </c>
      <c r="G168" s="14">
        <v>0</v>
      </c>
      <c r="H168" s="47"/>
      <c r="I168" s="47"/>
    </row>
    <row r="169" spans="1:9" ht="14.1" customHeight="1" x14ac:dyDescent="0.2">
      <c r="A169" s="1"/>
      <c r="B169" s="1"/>
      <c r="C169" s="11"/>
      <c r="D169" s="1"/>
      <c r="E169" s="1"/>
      <c r="F169" s="12"/>
      <c r="G169" s="12"/>
      <c r="H169" s="47"/>
      <c r="I169" s="47"/>
    </row>
    <row r="170" spans="1:9" ht="18" customHeight="1" x14ac:dyDescent="0.2">
      <c r="A170" s="8"/>
      <c r="B170" s="4"/>
      <c r="C170" s="4" t="s">
        <v>593</v>
      </c>
      <c r="D170" s="4"/>
      <c r="E170" s="8"/>
      <c r="F170" s="6">
        <v>4129.3054873000001</v>
      </c>
      <c r="G170" s="7">
        <v>1.4469782E-2</v>
      </c>
      <c r="H170" s="47"/>
      <c r="I170" s="47"/>
    </row>
    <row r="171" spans="1:9" ht="18" customHeight="1" x14ac:dyDescent="0.2">
      <c r="A171" s="8"/>
      <c r="B171" s="4"/>
      <c r="C171" s="4" t="s">
        <v>858</v>
      </c>
      <c r="D171" s="4"/>
      <c r="E171" s="8"/>
      <c r="F171" s="6">
        <v>-109.26200482</v>
      </c>
      <c r="G171" s="7">
        <v>-3.8287199999999998E-4</v>
      </c>
      <c r="H171" s="47"/>
      <c r="I171" s="47"/>
    </row>
    <row r="172" spans="1:9" ht="14.1" customHeight="1" x14ac:dyDescent="0.2">
      <c r="A172" s="11"/>
      <c r="B172" s="11"/>
      <c r="C172" s="2" t="s">
        <v>148</v>
      </c>
      <c r="D172" s="12"/>
      <c r="E172" s="12"/>
      <c r="F172" s="9">
        <v>285374.41284067999</v>
      </c>
      <c r="G172" s="10">
        <v>1.000000003</v>
      </c>
      <c r="H172" s="47"/>
      <c r="I172" s="47"/>
    </row>
    <row r="173" spans="1:9" ht="14.1" customHeight="1" x14ac:dyDescent="0.2">
      <c r="A173" s="16"/>
      <c r="B173" s="16"/>
      <c r="C173" s="16"/>
      <c r="D173" s="17"/>
      <c r="E173" s="17"/>
      <c r="F173" s="17"/>
      <c r="G173" s="17"/>
    </row>
    <row r="174" spans="1:9" ht="17.100000000000001" customHeight="1" x14ac:dyDescent="0.2">
      <c r="A174" s="18"/>
      <c r="B174" s="264" t="s">
        <v>859</v>
      </c>
      <c r="C174" s="264"/>
      <c r="D174" s="264"/>
      <c r="E174" s="264"/>
      <c r="F174" s="264"/>
      <c r="G174" s="20"/>
    </row>
    <row r="175" spans="1:9" ht="17.100000000000001" customHeight="1" x14ac:dyDescent="0.2">
      <c r="A175" s="18"/>
      <c r="B175" s="264" t="s">
        <v>860</v>
      </c>
      <c r="C175" s="264"/>
      <c r="D175" s="264"/>
      <c r="E175" s="264"/>
      <c r="F175" s="264"/>
      <c r="G175" s="20"/>
    </row>
    <row r="176" spans="1:9" ht="17.100000000000001" customHeight="1" x14ac:dyDescent="0.2">
      <c r="A176" s="18"/>
      <c r="B176" s="264" t="s">
        <v>149</v>
      </c>
      <c r="C176" s="264"/>
      <c r="D176" s="264"/>
      <c r="E176" s="264"/>
      <c r="F176" s="264"/>
      <c r="G176" s="20"/>
    </row>
    <row r="177" spans="1:7" ht="14.1" customHeight="1" x14ac:dyDescent="0.2">
      <c r="A177" s="18"/>
      <c r="B177" s="18"/>
      <c r="C177" s="18"/>
      <c r="D177" s="20"/>
      <c r="E177" s="20"/>
      <c r="F177" s="20"/>
      <c r="G177" s="20"/>
    </row>
    <row r="178" spans="1:7" ht="14.1" customHeight="1" x14ac:dyDescent="0.2">
      <c r="A178" s="18"/>
      <c r="B178" s="257" t="s">
        <v>150</v>
      </c>
      <c r="C178" s="269"/>
      <c r="D178" s="258"/>
      <c r="E178" s="21"/>
      <c r="F178" s="20"/>
      <c r="G178" s="20"/>
    </row>
    <row r="179" spans="1:7" ht="29.1" customHeight="1" x14ac:dyDescent="0.2">
      <c r="A179" s="18"/>
      <c r="B179" s="259" t="s">
        <v>151</v>
      </c>
      <c r="C179" s="260"/>
      <c r="D179" s="93" t="s">
        <v>1087</v>
      </c>
      <c r="E179" s="21"/>
      <c r="F179" s="20"/>
      <c r="G179" s="20"/>
    </row>
    <row r="180" spans="1:7" ht="17.100000000000001" customHeight="1" x14ac:dyDescent="0.2">
      <c r="A180" s="18"/>
      <c r="B180" s="261" t="s">
        <v>1039</v>
      </c>
      <c r="C180" s="262"/>
      <c r="D180" s="2" t="s">
        <v>1041</v>
      </c>
      <c r="E180" s="21"/>
      <c r="F180" s="20"/>
      <c r="G180" s="20"/>
    </row>
    <row r="181" spans="1:7" ht="17.100000000000001" customHeight="1" x14ac:dyDescent="0.2">
      <c r="A181" s="18"/>
      <c r="B181" s="259" t="s">
        <v>154</v>
      </c>
      <c r="C181" s="260"/>
      <c r="D181" s="12" t="s">
        <v>123</v>
      </c>
      <c r="E181" s="21"/>
      <c r="F181" s="20"/>
      <c r="G181" s="20"/>
    </row>
    <row r="182" spans="1:7" ht="24" customHeight="1" x14ac:dyDescent="0.2">
      <c r="A182" s="22"/>
      <c r="B182" s="23" t="s">
        <v>123</v>
      </c>
      <c r="C182" s="23" t="s">
        <v>155</v>
      </c>
      <c r="D182" s="23" t="s">
        <v>156</v>
      </c>
      <c r="E182" s="22"/>
      <c r="F182" s="22"/>
      <c r="G182" s="22"/>
    </row>
    <row r="183" spans="1:7" ht="18" customHeight="1" x14ac:dyDescent="0.2">
      <c r="A183" s="22"/>
      <c r="B183" s="29" t="s">
        <v>157</v>
      </c>
      <c r="C183" s="23" t="s">
        <v>158</v>
      </c>
      <c r="D183" s="23" t="s">
        <v>159</v>
      </c>
      <c r="E183" s="22"/>
      <c r="F183" s="22"/>
      <c r="G183" s="22"/>
    </row>
    <row r="184" spans="1:7" ht="17.100000000000001" customHeight="1" x14ac:dyDescent="0.2">
      <c r="A184" s="22"/>
      <c r="B184" s="4" t="s">
        <v>160</v>
      </c>
      <c r="C184" s="30">
        <v>117.2679</v>
      </c>
      <c r="D184" s="30">
        <v>113.91330000000001</v>
      </c>
      <c r="E184" s="22"/>
      <c r="F184" s="19"/>
      <c r="G184" s="25"/>
    </row>
    <row r="185" spans="1:7" ht="29.1" customHeight="1" x14ac:dyDescent="0.2">
      <c r="A185" s="22"/>
      <c r="B185" s="4" t="s">
        <v>1106</v>
      </c>
      <c r="C185" s="30">
        <v>37.739899999999999</v>
      </c>
      <c r="D185" s="30">
        <v>36.306100000000001</v>
      </c>
      <c r="E185" s="22"/>
      <c r="F185" s="19"/>
      <c r="G185" s="25"/>
    </row>
    <row r="186" spans="1:7" ht="17.100000000000001" customHeight="1" x14ac:dyDescent="0.2">
      <c r="A186" s="22"/>
      <c r="B186" s="4" t="s">
        <v>161</v>
      </c>
      <c r="C186" s="30">
        <v>106.1183</v>
      </c>
      <c r="D186" s="30">
        <v>102.98090000000001</v>
      </c>
      <c r="E186" s="22"/>
      <c r="F186" s="19"/>
      <c r="G186" s="25"/>
    </row>
    <row r="187" spans="1:7" ht="29.1" customHeight="1" x14ac:dyDescent="0.2">
      <c r="A187" s="22"/>
      <c r="B187" s="4" t="s">
        <v>1108</v>
      </c>
      <c r="C187" s="30">
        <v>25.976900000000001</v>
      </c>
      <c r="D187" s="30">
        <v>24.9648</v>
      </c>
      <c r="E187" s="22"/>
      <c r="F187" s="19"/>
      <c r="G187" s="25"/>
    </row>
    <row r="188" spans="1:7" ht="14.1" customHeight="1" x14ac:dyDescent="0.2">
      <c r="A188" s="22"/>
      <c r="B188" s="22"/>
      <c r="C188" s="22"/>
      <c r="D188" s="22"/>
      <c r="E188" s="22"/>
      <c r="F188" s="22"/>
      <c r="G188" s="22"/>
    </row>
    <row r="189" spans="1:7" ht="17.100000000000001" customHeight="1" x14ac:dyDescent="0.2">
      <c r="A189" s="22"/>
      <c r="B189" s="259" t="s">
        <v>1103</v>
      </c>
      <c r="C189" s="260"/>
      <c r="D189" s="2" t="s">
        <v>123</v>
      </c>
      <c r="E189" s="22"/>
      <c r="F189" s="22"/>
      <c r="G189" s="22"/>
    </row>
    <row r="190" spans="1:7" ht="18" customHeight="1" x14ac:dyDescent="0.2">
      <c r="A190" s="22"/>
      <c r="B190" s="31" t="s">
        <v>157</v>
      </c>
      <c r="C190" s="32" t="s">
        <v>861</v>
      </c>
      <c r="D190" s="32" t="s">
        <v>862</v>
      </c>
      <c r="E190" s="22"/>
      <c r="F190" s="22"/>
      <c r="G190" s="22"/>
    </row>
    <row r="191" spans="1:7" ht="29.1" customHeight="1" x14ac:dyDescent="0.2">
      <c r="A191" s="22"/>
      <c r="B191" s="4" t="s">
        <v>1106</v>
      </c>
      <c r="C191" s="33">
        <v>0.34499999999999997</v>
      </c>
      <c r="D191" s="33">
        <v>0.34499999999999997</v>
      </c>
      <c r="E191" s="22"/>
      <c r="F191" s="19"/>
      <c r="G191" s="25"/>
    </row>
    <row r="192" spans="1:7" ht="29.1" customHeight="1" x14ac:dyDescent="0.2">
      <c r="A192" s="22"/>
      <c r="B192" s="4" t="s">
        <v>1108</v>
      </c>
      <c r="C192" s="33">
        <v>0.23799999999999999</v>
      </c>
      <c r="D192" s="33">
        <v>0.23799999999999999</v>
      </c>
      <c r="E192" s="22"/>
      <c r="F192" s="19"/>
      <c r="G192" s="25"/>
    </row>
    <row r="193" spans="1:10" ht="14.1" customHeight="1" x14ac:dyDescent="0.2">
      <c r="A193" s="22"/>
      <c r="B193" s="34"/>
      <c r="C193" s="34"/>
      <c r="D193" s="35"/>
      <c r="E193" s="22"/>
      <c r="F193" s="19"/>
      <c r="G193" s="25"/>
    </row>
    <row r="194" spans="1:10" ht="29.1" customHeight="1" x14ac:dyDescent="0.2">
      <c r="A194" s="22"/>
      <c r="B194" s="259" t="s">
        <v>162</v>
      </c>
      <c r="C194" s="260"/>
      <c r="D194" s="2" t="s">
        <v>152</v>
      </c>
      <c r="E194" s="36"/>
      <c r="F194" s="22"/>
      <c r="G194" s="22"/>
    </row>
    <row r="195" spans="1:10" ht="29.1" customHeight="1" x14ac:dyDescent="0.2">
      <c r="A195" s="22"/>
      <c r="B195" s="259" t="s">
        <v>163</v>
      </c>
      <c r="C195" s="260"/>
      <c r="D195" s="2" t="s">
        <v>152</v>
      </c>
      <c r="E195" s="36"/>
      <c r="F195" s="22"/>
      <c r="G195" s="22"/>
    </row>
    <row r="196" spans="1:10" ht="17.100000000000001" customHeight="1" x14ac:dyDescent="0.2">
      <c r="A196" s="22"/>
      <c r="B196" s="259" t="s">
        <v>1061</v>
      </c>
      <c r="C196" s="260"/>
      <c r="D196" s="37">
        <v>1.850670844740373</v>
      </c>
      <c r="E196" s="36"/>
      <c r="F196" s="22"/>
      <c r="G196" s="22"/>
    </row>
    <row r="197" spans="1:10" ht="17.100000000000001" customHeight="1" x14ac:dyDescent="0.2">
      <c r="A197" s="22"/>
      <c r="B197" s="259" t="s">
        <v>1062</v>
      </c>
      <c r="C197" s="260"/>
      <c r="D197" s="37">
        <v>1.2586373344524251</v>
      </c>
      <c r="E197" s="36"/>
      <c r="F197" s="22"/>
      <c r="G197" s="22"/>
    </row>
    <row r="198" spans="1:10" ht="17.100000000000001" customHeight="1" x14ac:dyDescent="0.2">
      <c r="A198" s="22"/>
      <c r="B198" s="259" t="s">
        <v>1063</v>
      </c>
      <c r="C198" s="260"/>
      <c r="D198" s="28">
        <v>0.73812262928730932</v>
      </c>
      <c r="E198" s="22"/>
      <c r="F198" s="19"/>
      <c r="G198" s="25"/>
    </row>
    <row r="199" spans="1:10" ht="17.100000000000001" customHeight="1" x14ac:dyDescent="0.2">
      <c r="A199" s="22"/>
      <c r="B199" s="259" t="s">
        <v>1064</v>
      </c>
      <c r="C199" s="260"/>
      <c r="D199" s="2" t="s">
        <v>152</v>
      </c>
      <c r="E199" s="36"/>
      <c r="F199" s="22"/>
      <c r="G199" s="22"/>
    </row>
    <row r="200" spans="1:10" ht="11.1" customHeight="1" x14ac:dyDescent="0.2">
      <c r="A200" s="26"/>
      <c r="B200" s="26"/>
      <c r="C200" s="26"/>
      <c r="D200" s="26"/>
      <c r="E200" s="26"/>
      <c r="F200" s="26"/>
      <c r="G200" s="26"/>
    </row>
    <row r="201" spans="1:10" x14ac:dyDescent="0.2">
      <c r="B201" s="99" t="s">
        <v>1094</v>
      </c>
      <c r="J201" s="49"/>
    </row>
    <row r="202" spans="1:10" x14ac:dyDescent="0.2">
      <c r="B202" s="99"/>
      <c r="J202" s="49"/>
    </row>
    <row r="203" spans="1:10" ht="38.25" x14ac:dyDescent="0.2">
      <c r="B203" s="100" t="s">
        <v>1067</v>
      </c>
      <c r="C203" s="100" t="s">
        <v>1068</v>
      </c>
      <c r="D203" s="100" t="s">
        <v>1069</v>
      </c>
      <c r="E203" s="100" t="s">
        <v>1070</v>
      </c>
      <c r="F203" s="100" t="s">
        <v>1071</v>
      </c>
      <c r="J203" s="49"/>
    </row>
    <row r="204" spans="1:10" ht="25.5" x14ac:dyDescent="0.2">
      <c r="B204" s="101" t="s">
        <v>1072</v>
      </c>
      <c r="C204" s="102" t="s">
        <v>1073</v>
      </c>
      <c r="D204" s="103">
        <v>0</v>
      </c>
      <c r="E204" s="104">
        <v>0</v>
      </c>
      <c r="F204" s="105">
        <v>1000</v>
      </c>
      <c r="J204" s="49"/>
    </row>
    <row r="205" spans="1:10" x14ac:dyDescent="0.2">
      <c r="B205" s="99"/>
    </row>
    <row r="206" spans="1:10" x14ac:dyDescent="0.2">
      <c r="B206" s="276" t="s">
        <v>1094</v>
      </c>
      <c r="C206" s="277"/>
      <c r="D206" s="277"/>
      <c r="E206" s="277"/>
      <c r="F206" s="277"/>
      <c r="G206" s="278"/>
    </row>
    <row r="207" spans="1:10" ht="29.25" customHeight="1" x14ac:dyDescent="0.2">
      <c r="B207" s="106" t="s">
        <v>1074</v>
      </c>
      <c r="C207" s="106" t="s">
        <v>1075</v>
      </c>
      <c r="D207" s="279" t="s">
        <v>1076</v>
      </c>
      <c r="E207" s="280"/>
      <c r="F207" s="281" t="s">
        <v>1077</v>
      </c>
      <c r="G207" s="281"/>
      <c r="H207" s="107"/>
      <c r="I207" s="49"/>
      <c r="J207" s="49"/>
    </row>
    <row r="208" spans="1:10" ht="25.5" x14ac:dyDescent="0.2">
      <c r="B208" s="108" t="s">
        <v>1078</v>
      </c>
      <c r="C208" s="109" t="s">
        <v>1079</v>
      </c>
      <c r="D208" s="282">
        <v>0</v>
      </c>
      <c r="E208" s="283"/>
      <c r="F208" s="282">
        <v>0</v>
      </c>
      <c r="G208" s="283"/>
      <c r="H208" s="110"/>
      <c r="I208" s="49"/>
      <c r="J208" s="49"/>
    </row>
    <row r="209" spans="2:10" x14ac:dyDescent="0.2">
      <c r="B209" s="284" t="s">
        <v>1080</v>
      </c>
      <c r="C209" s="285"/>
      <c r="D209" s="285"/>
      <c r="E209" s="285"/>
      <c r="F209" s="285"/>
      <c r="G209" s="286"/>
      <c r="H209" s="107"/>
      <c r="I209" s="49"/>
      <c r="J209" s="49"/>
    </row>
    <row r="210" spans="2:10" x14ac:dyDescent="0.2">
      <c r="B210" s="281" t="s">
        <v>1074</v>
      </c>
      <c r="C210" s="281" t="s">
        <v>1075</v>
      </c>
      <c r="D210" s="287" t="s">
        <v>1081</v>
      </c>
      <c r="E210" s="288"/>
      <c r="F210" s="289"/>
      <c r="G210" s="108"/>
      <c r="H210" s="111"/>
      <c r="I210" s="49"/>
      <c r="J210" s="49"/>
    </row>
    <row r="211" spans="2:10" ht="38.25" x14ac:dyDescent="0.2">
      <c r="B211" s="281"/>
      <c r="C211" s="281"/>
      <c r="D211" s="112" t="s">
        <v>1082</v>
      </c>
      <c r="E211" s="112" t="s">
        <v>1083</v>
      </c>
      <c r="F211" s="112" t="s">
        <v>1084</v>
      </c>
      <c r="G211" s="112" t="s">
        <v>1086</v>
      </c>
      <c r="H211" s="120"/>
      <c r="I211" s="119"/>
      <c r="J211" s="119"/>
    </row>
    <row r="212" spans="2:10" ht="25.5" x14ac:dyDescent="0.25">
      <c r="B212" s="113" t="s">
        <v>1078</v>
      </c>
      <c r="C212" s="114" t="s">
        <v>1079</v>
      </c>
      <c r="D212" s="115">
        <v>700</v>
      </c>
      <c r="E212" s="115">
        <v>24.098357999999998</v>
      </c>
      <c r="F212" s="116">
        <v>724.09835799999996</v>
      </c>
      <c r="G212" s="121">
        <v>2.5373625854965935E-3</v>
      </c>
      <c r="H212" s="118"/>
      <c r="I212" s="118"/>
      <c r="J212" s="118"/>
    </row>
    <row r="213" spans="2:10" ht="27.75" customHeight="1" x14ac:dyDescent="0.2">
      <c r="B213" s="273" t="s">
        <v>1085</v>
      </c>
      <c r="C213" s="274"/>
      <c r="D213" s="274"/>
      <c r="E213" s="274"/>
      <c r="F213" s="274"/>
      <c r="G213" s="275"/>
      <c r="H213" s="117"/>
      <c r="I213" s="49"/>
      <c r="J213" s="49"/>
    </row>
  </sheetData>
  <mergeCells count="28">
    <mergeCell ref="A1:I1"/>
    <mergeCell ref="A2:I2"/>
    <mergeCell ref="A3:I3"/>
    <mergeCell ref="K2:O2"/>
    <mergeCell ref="B213:G213"/>
    <mergeCell ref="B206:G206"/>
    <mergeCell ref="D207:E207"/>
    <mergeCell ref="F207:G207"/>
    <mergeCell ref="D208:E208"/>
    <mergeCell ref="F208:G208"/>
    <mergeCell ref="B209:G209"/>
    <mergeCell ref="B210:B211"/>
    <mergeCell ref="C210:C211"/>
    <mergeCell ref="D210:F210"/>
    <mergeCell ref="B195:C195"/>
    <mergeCell ref="B196:C196"/>
    <mergeCell ref="B197:C197"/>
    <mergeCell ref="B199:C199"/>
    <mergeCell ref="B198:C198"/>
    <mergeCell ref="B194:C194"/>
    <mergeCell ref="B174:F174"/>
    <mergeCell ref="B175:F175"/>
    <mergeCell ref="B176:F176"/>
    <mergeCell ref="B178:D178"/>
    <mergeCell ref="B179:C179"/>
    <mergeCell ref="B180:C180"/>
    <mergeCell ref="B181:C181"/>
    <mergeCell ref="B189:C18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N14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94" t="s">
        <v>1144</v>
      </c>
      <c r="B2" s="295"/>
      <c r="C2" s="295"/>
      <c r="D2" s="295"/>
      <c r="E2" s="295"/>
      <c r="F2" s="295"/>
      <c r="G2" s="295"/>
      <c r="H2" s="296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358</v>
      </c>
      <c r="C7" s="4" t="s">
        <v>359</v>
      </c>
      <c r="D7" s="4" t="s">
        <v>19</v>
      </c>
      <c r="E7" s="5">
        <v>42350</v>
      </c>
      <c r="F7" s="6">
        <v>570.87800000000004</v>
      </c>
      <c r="G7" s="7">
        <v>9.0260492999999997E-2</v>
      </c>
      <c r="H7" s="47"/>
    </row>
    <row r="8" spans="1:14" ht="17.100000000000001" customHeight="1" x14ac:dyDescent="0.2">
      <c r="A8" s="3">
        <v>2</v>
      </c>
      <c r="B8" s="4" t="s">
        <v>440</v>
      </c>
      <c r="C8" s="4" t="s">
        <v>441</v>
      </c>
      <c r="D8" s="4" t="s">
        <v>91</v>
      </c>
      <c r="E8" s="5">
        <v>8875</v>
      </c>
      <c r="F8" s="6">
        <v>479.294375</v>
      </c>
      <c r="G8" s="7">
        <v>7.5780370999999999E-2</v>
      </c>
      <c r="H8" s="47"/>
    </row>
    <row r="9" spans="1:14" ht="17.100000000000001" customHeight="1" x14ac:dyDescent="0.2">
      <c r="A9" s="3">
        <v>3</v>
      </c>
      <c r="B9" s="4" t="s">
        <v>304</v>
      </c>
      <c r="C9" s="4" t="s">
        <v>305</v>
      </c>
      <c r="D9" s="4" t="s">
        <v>19</v>
      </c>
      <c r="E9" s="5">
        <v>67200</v>
      </c>
      <c r="F9" s="6">
        <v>427.92959999999999</v>
      </c>
      <c r="G9" s="7">
        <v>6.7659179E-2</v>
      </c>
      <c r="H9" s="47"/>
    </row>
    <row r="10" spans="1:14" ht="17.100000000000001" customHeight="1" x14ac:dyDescent="0.2">
      <c r="A10" s="3">
        <v>4</v>
      </c>
      <c r="B10" s="4" t="s">
        <v>11</v>
      </c>
      <c r="C10" s="4" t="s">
        <v>12</v>
      </c>
      <c r="D10" s="4" t="s">
        <v>13</v>
      </c>
      <c r="E10" s="5">
        <v>26400</v>
      </c>
      <c r="F10" s="6">
        <v>411.37799999999999</v>
      </c>
      <c r="G10" s="7">
        <v>6.5042235000000004E-2</v>
      </c>
      <c r="H10" s="47"/>
    </row>
    <row r="11" spans="1:14" ht="29.1" customHeight="1" x14ac:dyDescent="0.2">
      <c r="A11" s="3">
        <v>5</v>
      </c>
      <c r="B11" s="4" t="s">
        <v>57</v>
      </c>
      <c r="C11" s="4" t="s">
        <v>58</v>
      </c>
      <c r="D11" s="4" t="s">
        <v>59</v>
      </c>
      <c r="E11" s="5">
        <v>50000</v>
      </c>
      <c r="F11" s="6">
        <v>336.02499999999998</v>
      </c>
      <c r="G11" s="7">
        <v>5.3128307999999999E-2</v>
      </c>
      <c r="H11" s="47"/>
    </row>
    <row r="12" spans="1:14" ht="17.100000000000001" customHeight="1" x14ac:dyDescent="0.2">
      <c r="A12" s="3">
        <v>6</v>
      </c>
      <c r="B12" s="4" t="s">
        <v>356</v>
      </c>
      <c r="C12" s="4" t="s">
        <v>357</v>
      </c>
      <c r="D12" s="4" t="s">
        <v>243</v>
      </c>
      <c r="E12" s="5">
        <v>123000</v>
      </c>
      <c r="F12" s="6">
        <v>263.34300000000002</v>
      </c>
      <c r="G12" s="7">
        <v>4.1636687999999998E-2</v>
      </c>
      <c r="H12" s="47"/>
      <c r="J12" s="147"/>
    </row>
    <row r="13" spans="1:14" ht="17.100000000000001" customHeight="1" x14ac:dyDescent="0.2">
      <c r="A13" s="3">
        <v>7</v>
      </c>
      <c r="B13" s="4" t="s">
        <v>364</v>
      </c>
      <c r="C13" s="4" t="s">
        <v>365</v>
      </c>
      <c r="D13" s="4" t="s">
        <v>91</v>
      </c>
      <c r="E13" s="5">
        <v>1750</v>
      </c>
      <c r="F13" s="6">
        <v>191.30562499999999</v>
      </c>
      <c r="G13" s="7">
        <v>3.0246987999999999E-2</v>
      </c>
      <c r="H13" s="47"/>
    </row>
    <row r="14" spans="1:14" ht="17.100000000000001" customHeight="1" x14ac:dyDescent="0.2">
      <c r="A14" s="3">
        <v>8</v>
      </c>
      <c r="B14" s="4" t="s">
        <v>579</v>
      </c>
      <c r="C14" s="4" t="s">
        <v>580</v>
      </c>
      <c r="D14" s="4" t="s">
        <v>88</v>
      </c>
      <c r="E14" s="5">
        <v>7000</v>
      </c>
      <c r="F14" s="6">
        <v>188.66399999999999</v>
      </c>
      <c r="G14" s="7">
        <v>2.9829325E-2</v>
      </c>
      <c r="H14" s="47"/>
      <c r="J14" s="147" t="s">
        <v>1125</v>
      </c>
    </row>
    <row r="15" spans="1:14" ht="17.100000000000001" customHeight="1" x14ac:dyDescent="0.2">
      <c r="A15" s="3">
        <v>9</v>
      </c>
      <c r="B15" s="4" t="s">
        <v>581</v>
      </c>
      <c r="C15" s="4" t="s">
        <v>582</v>
      </c>
      <c r="D15" s="4" t="s">
        <v>85</v>
      </c>
      <c r="E15" s="5">
        <v>6900</v>
      </c>
      <c r="F15" s="6">
        <v>187.6593</v>
      </c>
      <c r="G15" s="7">
        <v>2.9670473999999999E-2</v>
      </c>
      <c r="H15" s="47"/>
    </row>
    <row r="16" spans="1:14" ht="17.100000000000001" customHeight="1" x14ac:dyDescent="0.2">
      <c r="A16" s="3">
        <v>10</v>
      </c>
      <c r="B16" s="4" t="s">
        <v>393</v>
      </c>
      <c r="C16" s="4" t="s">
        <v>394</v>
      </c>
      <c r="D16" s="4" t="s">
        <v>191</v>
      </c>
      <c r="E16" s="5">
        <v>12000</v>
      </c>
      <c r="F16" s="6">
        <v>175.428</v>
      </c>
      <c r="G16" s="7">
        <v>2.7736605000000001E-2</v>
      </c>
      <c r="H16" s="47"/>
    </row>
    <row r="17" spans="1:8" ht="17.100000000000001" customHeight="1" x14ac:dyDescent="0.2">
      <c r="A17" s="3">
        <v>11</v>
      </c>
      <c r="B17" s="4" t="s">
        <v>360</v>
      </c>
      <c r="C17" s="4" t="s">
        <v>361</v>
      </c>
      <c r="D17" s="4" t="s">
        <v>91</v>
      </c>
      <c r="E17" s="5">
        <v>52000</v>
      </c>
      <c r="F17" s="6">
        <v>170.22200000000001</v>
      </c>
      <c r="G17" s="7">
        <v>2.6913494E-2</v>
      </c>
      <c r="H17" s="47"/>
    </row>
    <row r="18" spans="1:8" ht="17.100000000000001" customHeight="1" x14ac:dyDescent="0.2">
      <c r="A18" s="3">
        <v>12</v>
      </c>
      <c r="B18" s="4" t="s">
        <v>17</v>
      </c>
      <c r="C18" s="4" t="s">
        <v>18</v>
      </c>
      <c r="D18" s="4" t="s">
        <v>19</v>
      </c>
      <c r="E18" s="5">
        <v>20625</v>
      </c>
      <c r="F18" s="6">
        <v>145.86000000000001</v>
      </c>
      <c r="G18" s="7">
        <v>2.3061662E-2</v>
      </c>
      <c r="H18" s="47"/>
    </row>
    <row r="19" spans="1:8" ht="17.100000000000001" customHeight="1" x14ac:dyDescent="0.2">
      <c r="A19" s="3">
        <v>13</v>
      </c>
      <c r="B19" s="4" t="s">
        <v>424</v>
      </c>
      <c r="C19" s="4" t="s">
        <v>425</v>
      </c>
      <c r="D19" s="4" t="s">
        <v>114</v>
      </c>
      <c r="E19" s="5">
        <v>14875</v>
      </c>
      <c r="F19" s="6">
        <v>128.97368750000001</v>
      </c>
      <c r="G19" s="7">
        <v>2.0391797999999999E-2</v>
      </c>
      <c r="H19" s="47"/>
    </row>
    <row r="20" spans="1:8" ht="29.1" customHeight="1" x14ac:dyDescent="0.2">
      <c r="A20" s="3">
        <v>14</v>
      </c>
      <c r="B20" s="4" t="s">
        <v>401</v>
      </c>
      <c r="C20" s="4" t="s">
        <v>402</v>
      </c>
      <c r="D20" s="4" t="s">
        <v>204</v>
      </c>
      <c r="E20" s="5">
        <v>14700</v>
      </c>
      <c r="F20" s="6">
        <v>122.09820000000001</v>
      </c>
      <c r="G20" s="7">
        <v>1.9304727000000001E-2</v>
      </c>
      <c r="H20" s="47"/>
    </row>
    <row r="21" spans="1:8" ht="17.100000000000001" customHeight="1" x14ac:dyDescent="0.2">
      <c r="A21" s="3">
        <v>15</v>
      </c>
      <c r="B21" s="4" t="s">
        <v>583</v>
      </c>
      <c r="C21" s="4" t="s">
        <v>584</v>
      </c>
      <c r="D21" s="4" t="s">
        <v>351</v>
      </c>
      <c r="E21" s="5">
        <v>21250</v>
      </c>
      <c r="F21" s="6">
        <v>105.389375</v>
      </c>
      <c r="G21" s="7">
        <v>1.6662923999999999E-2</v>
      </c>
      <c r="H21" s="47"/>
    </row>
    <row r="22" spans="1:8" ht="17.100000000000001" customHeight="1" x14ac:dyDescent="0.2">
      <c r="A22" s="3">
        <v>16</v>
      </c>
      <c r="B22" s="4" t="s">
        <v>83</v>
      </c>
      <c r="C22" s="4" t="s">
        <v>84</v>
      </c>
      <c r="D22" s="4" t="s">
        <v>85</v>
      </c>
      <c r="E22" s="5">
        <v>1100</v>
      </c>
      <c r="F22" s="6">
        <v>93.178250000000006</v>
      </c>
      <c r="G22" s="7">
        <v>1.4732245E-2</v>
      </c>
      <c r="H22" s="47"/>
    </row>
    <row r="23" spans="1:8" ht="17.100000000000001" customHeight="1" x14ac:dyDescent="0.2">
      <c r="A23" s="3">
        <v>17</v>
      </c>
      <c r="B23" s="4" t="s">
        <v>585</v>
      </c>
      <c r="C23" s="4" t="s">
        <v>586</v>
      </c>
      <c r="D23" s="4" t="s">
        <v>321</v>
      </c>
      <c r="E23" s="5">
        <v>12100</v>
      </c>
      <c r="F23" s="6">
        <v>66.55</v>
      </c>
      <c r="G23" s="7">
        <v>1.0522101000000001E-2</v>
      </c>
      <c r="H23" s="47"/>
    </row>
    <row r="24" spans="1:8" ht="29.1" customHeight="1" x14ac:dyDescent="0.2">
      <c r="A24" s="3">
        <v>18</v>
      </c>
      <c r="B24" s="4" t="s">
        <v>587</v>
      </c>
      <c r="C24" s="4" t="s">
        <v>588</v>
      </c>
      <c r="D24" s="4" t="s">
        <v>204</v>
      </c>
      <c r="E24" s="5">
        <v>11000</v>
      </c>
      <c r="F24" s="6">
        <v>56.441000000000003</v>
      </c>
      <c r="G24" s="7">
        <v>8.9237850000000001E-3</v>
      </c>
      <c r="H24" s="47"/>
    </row>
    <row r="25" spans="1:8" ht="17.100000000000001" customHeight="1" x14ac:dyDescent="0.2">
      <c r="A25" s="3">
        <v>19</v>
      </c>
      <c r="B25" s="4" t="s">
        <v>414</v>
      </c>
      <c r="C25" s="4" t="s">
        <v>415</v>
      </c>
      <c r="D25" s="4" t="s">
        <v>191</v>
      </c>
      <c r="E25" s="5">
        <v>2400</v>
      </c>
      <c r="F25" s="6">
        <v>24</v>
      </c>
      <c r="G25" s="7">
        <v>3.7945969999999998E-3</v>
      </c>
      <c r="H25" s="47"/>
    </row>
    <row r="26" spans="1:8" ht="17.100000000000001" customHeight="1" x14ac:dyDescent="0.2">
      <c r="A26" s="3">
        <v>20</v>
      </c>
      <c r="B26" s="4" t="s">
        <v>462</v>
      </c>
      <c r="C26" s="4" t="s">
        <v>463</v>
      </c>
      <c r="D26" s="4" t="s">
        <v>88</v>
      </c>
      <c r="E26" s="5">
        <v>750</v>
      </c>
      <c r="F26" s="6">
        <v>14.559374999999999</v>
      </c>
      <c r="G26" s="7">
        <v>2.3019569999999999E-3</v>
      </c>
      <c r="H26" s="47"/>
    </row>
    <row r="27" spans="1:8" ht="14.1" customHeight="1" x14ac:dyDescent="0.2">
      <c r="A27" s="1"/>
      <c r="B27" s="1"/>
      <c r="C27" s="2" t="s">
        <v>122</v>
      </c>
      <c r="D27" s="1"/>
      <c r="E27" s="1" t="s">
        <v>123</v>
      </c>
      <c r="F27" s="9">
        <v>4159.1767874999996</v>
      </c>
      <c r="G27" s="10">
        <v>0.65759995599999999</v>
      </c>
      <c r="H27" s="47"/>
    </row>
    <row r="28" spans="1:8" ht="14.1" customHeight="1" x14ac:dyDescent="0.2">
      <c r="A28" s="1"/>
      <c r="B28" s="1"/>
      <c r="C28" s="11"/>
      <c r="D28" s="1"/>
      <c r="E28" s="1"/>
      <c r="F28" s="12"/>
      <c r="G28" s="12"/>
      <c r="H28" s="47"/>
    </row>
    <row r="29" spans="1:8" ht="14.1" customHeight="1" x14ac:dyDescent="0.2">
      <c r="A29" s="1"/>
      <c r="B29" s="1"/>
      <c r="C29" s="2" t="s">
        <v>124</v>
      </c>
      <c r="D29" s="1"/>
      <c r="E29" s="1"/>
      <c r="F29" s="1"/>
      <c r="G29" s="1"/>
      <c r="H29" s="47"/>
    </row>
    <row r="30" spans="1:8" ht="14.1" customHeight="1" x14ac:dyDescent="0.2">
      <c r="A30" s="1"/>
      <c r="B30" s="1"/>
      <c r="C30" s="2" t="s">
        <v>122</v>
      </c>
      <c r="D30" s="1"/>
      <c r="E30" s="1" t="s">
        <v>123</v>
      </c>
      <c r="F30" s="13">
        <v>0</v>
      </c>
      <c r="G30" s="14">
        <v>0</v>
      </c>
      <c r="H30" s="47"/>
    </row>
    <row r="31" spans="1:8" ht="14.1" customHeight="1" x14ac:dyDescent="0.2">
      <c r="A31" s="1"/>
      <c r="B31" s="1"/>
      <c r="C31" s="11"/>
      <c r="D31" s="1"/>
      <c r="E31" s="1"/>
      <c r="F31" s="12"/>
      <c r="G31" s="12"/>
      <c r="H31" s="47"/>
    </row>
    <row r="32" spans="1:8" ht="14.1" customHeight="1" x14ac:dyDescent="0.2">
      <c r="A32" s="1"/>
      <c r="B32" s="1"/>
      <c r="C32" s="2" t="s">
        <v>125</v>
      </c>
      <c r="D32" s="1"/>
      <c r="E32" s="1"/>
      <c r="F32" s="1"/>
      <c r="G32" s="1"/>
      <c r="H32" s="47"/>
    </row>
    <row r="33" spans="1:8" ht="14.1" customHeight="1" x14ac:dyDescent="0.2">
      <c r="A33" s="1"/>
      <c r="B33" s="1"/>
      <c r="C33" s="2" t="s">
        <v>122</v>
      </c>
      <c r="D33" s="1"/>
      <c r="E33" s="1" t="s">
        <v>123</v>
      </c>
      <c r="F33" s="13">
        <v>0</v>
      </c>
      <c r="G33" s="14">
        <v>0</v>
      </c>
      <c r="H33" s="47"/>
    </row>
    <row r="34" spans="1:8" ht="14.1" customHeight="1" x14ac:dyDescent="0.2">
      <c r="A34" s="1"/>
      <c r="B34" s="1"/>
      <c r="C34" s="11"/>
      <c r="D34" s="1"/>
      <c r="E34" s="1"/>
      <c r="F34" s="12"/>
      <c r="G34" s="12"/>
      <c r="H34" s="47"/>
    </row>
    <row r="35" spans="1:8" ht="14.1" customHeight="1" x14ac:dyDescent="0.2">
      <c r="A35" s="1"/>
      <c r="B35" s="1"/>
      <c r="C35" s="2" t="s">
        <v>126</v>
      </c>
      <c r="D35" s="1"/>
      <c r="E35" s="1"/>
      <c r="F35" s="1"/>
      <c r="G35" s="1"/>
      <c r="H35" s="47"/>
    </row>
    <row r="36" spans="1:8" ht="14.1" customHeight="1" x14ac:dyDescent="0.2">
      <c r="A36" s="1"/>
      <c r="B36" s="1"/>
      <c r="C36" s="2" t="s">
        <v>122</v>
      </c>
      <c r="D36" s="1"/>
      <c r="E36" s="1" t="s">
        <v>123</v>
      </c>
      <c r="F36" s="13">
        <v>0</v>
      </c>
      <c r="G36" s="14">
        <v>0</v>
      </c>
      <c r="H36" s="47"/>
    </row>
    <row r="37" spans="1:8" ht="14.1" customHeight="1" x14ac:dyDescent="0.2">
      <c r="A37" s="1"/>
      <c r="B37" s="1"/>
      <c r="C37" s="11"/>
      <c r="D37" s="1"/>
      <c r="E37" s="1"/>
      <c r="F37" s="12"/>
      <c r="G37" s="12"/>
      <c r="H37" s="47"/>
    </row>
    <row r="38" spans="1:8" ht="14.1" customHeight="1" x14ac:dyDescent="0.2">
      <c r="A38" s="1"/>
      <c r="B38" s="1"/>
      <c r="C38" s="2" t="s">
        <v>127</v>
      </c>
      <c r="D38" s="1"/>
      <c r="E38" s="1"/>
      <c r="F38" s="12"/>
      <c r="G38" s="12"/>
      <c r="H38" s="47"/>
    </row>
    <row r="39" spans="1:8" ht="14.1" customHeight="1" x14ac:dyDescent="0.2">
      <c r="A39" s="1"/>
      <c r="B39" s="1"/>
      <c r="C39" s="2" t="s">
        <v>122</v>
      </c>
      <c r="D39" s="1"/>
      <c r="E39" s="1" t="s">
        <v>123</v>
      </c>
      <c r="F39" s="13">
        <v>0</v>
      </c>
      <c r="G39" s="14">
        <v>0</v>
      </c>
      <c r="H39" s="47"/>
    </row>
    <row r="40" spans="1:8" ht="14.1" customHeight="1" x14ac:dyDescent="0.2">
      <c r="A40" s="1"/>
      <c r="B40" s="1"/>
      <c r="C40" s="11"/>
      <c r="D40" s="1"/>
      <c r="E40" s="1"/>
      <c r="F40" s="12"/>
      <c r="G40" s="12"/>
      <c r="H40" s="47"/>
    </row>
    <row r="41" spans="1:8" ht="14.1" customHeight="1" x14ac:dyDescent="0.2">
      <c r="A41" s="1"/>
      <c r="B41" s="1"/>
      <c r="C41" s="2" t="s">
        <v>128</v>
      </c>
      <c r="D41" s="1"/>
      <c r="E41" s="1"/>
      <c r="F41" s="12"/>
      <c r="G41" s="12"/>
      <c r="H41" s="47"/>
    </row>
    <row r="42" spans="1:8" x14ac:dyDescent="0.2">
      <c r="A42" s="3">
        <v>1</v>
      </c>
      <c r="B42" s="4"/>
      <c r="C42" s="4" t="s">
        <v>956</v>
      </c>
      <c r="D42" s="4" t="s">
        <v>589</v>
      </c>
      <c r="E42" s="5">
        <v>-750</v>
      </c>
      <c r="F42" s="6">
        <v>-14.5215</v>
      </c>
      <c r="G42" s="7">
        <v>-2.29597E-3</v>
      </c>
      <c r="H42" s="47"/>
    </row>
    <row r="43" spans="1:8" x14ac:dyDescent="0.2">
      <c r="A43" s="3">
        <v>2</v>
      </c>
      <c r="B43" s="4"/>
      <c r="C43" s="4" t="s">
        <v>957</v>
      </c>
      <c r="D43" s="4" t="s">
        <v>589</v>
      </c>
      <c r="E43" s="5">
        <v>-2400</v>
      </c>
      <c r="F43" s="6">
        <v>-23.314800000000002</v>
      </c>
      <c r="G43" s="7">
        <v>-3.6862600000000002E-3</v>
      </c>
      <c r="H43" s="47"/>
    </row>
    <row r="44" spans="1:8" x14ac:dyDescent="0.2">
      <c r="A44" s="3">
        <v>3</v>
      </c>
      <c r="B44" s="4"/>
      <c r="C44" s="4" t="s">
        <v>958</v>
      </c>
      <c r="D44" s="4" t="s">
        <v>589</v>
      </c>
      <c r="E44" s="5">
        <v>-11000</v>
      </c>
      <c r="F44" s="6">
        <v>-56.490499999999997</v>
      </c>
      <c r="G44" s="7">
        <v>-8.9316099999999995E-3</v>
      </c>
      <c r="H44" s="47"/>
    </row>
    <row r="45" spans="1:8" ht="25.5" x14ac:dyDescent="0.2">
      <c r="A45" s="3">
        <v>4</v>
      </c>
      <c r="B45" s="4"/>
      <c r="C45" s="4" t="s">
        <v>959</v>
      </c>
      <c r="D45" s="4" t="s">
        <v>589</v>
      </c>
      <c r="E45" s="5">
        <v>-12100</v>
      </c>
      <c r="F45" s="6">
        <v>-66.707300000000004</v>
      </c>
      <c r="G45" s="7">
        <v>-1.0546969999999999E-2</v>
      </c>
      <c r="H45" s="47"/>
    </row>
    <row r="46" spans="1:8" x14ac:dyDescent="0.2">
      <c r="A46" s="3">
        <v>5</v>
      </c>
      <c r="B46" s="4"/>
      <c r="C46" s="4" t="s">
        <v>960</v>
      </c>
      <c r="D46" s="4" t="s">
        <v>589</v>
      </c>
      <c r="E46" s="5">
        <v>-1100</v>
      </c>
      <c r="F46" s="6">
        <v>-93.090249999999997</v>
      </c>
      <c r="G46" s="7">
        <v>-1.4718340000000002E-2</v>
      </c>
      <c r="H46" s="47"/>
    </row>
    <row r="47" spans="1:8" x14ac:dyDescent="0.2">
      <c r="A47" s="3">
        <v>6</v>
      </c>
      <c r="B47" s="4"/>
      <c r="C47" s="4" t="s">
        <v>961</v>
      </c>
      <c r="D47" s="4" t="s">
        <v>589</v>
      </c>
      <c r="E47" s="5">
        <v>-21250</v>
      </c>
      <c r="F47" s="6">
        <v>-105.33625000000001</v>
      </c>
      <c r="G47" s="7">
        <v>-1.6654530000000001E-2</v>
      </c>
      <c r="H47" s="47"/>
    </row>
    <row r="48" spans="1:8" ht="25.5" x14ac:dyDescent="0.2">
      <c r="A48" s="3">
        <v>7</v>
      </c>
      <c r="B48" s="4"/>
      <c r="C48" s="4" t="s">
        <v>962</v>
      </c>
      <c r="D48" s="4" t="s">
        <v>589</v>
      </c>
      <c r="E48" s="5">
        <v>-14700</v>
      </c>
      <c r="F48" s="6">
        <v>-122.2452</v>
      </c>
      <c r="G48" s="7">
        <v>-1.932797E-2</v>
      </c>
      <c r="H48" s="47"/>
    </row>
    <row r="49" spans="1:8" x14ac:dyDescent="0.2">
      <c r="A49" s="3">
        <v>8</v>
      </c>
      <c r="B49" s="4"/>
      <c r="C49" s="4" t="s">
        <v>963</v>
      </c>
      <c r="D49" s="4" t="s">
        <v>589</v>
      </c>
      <c r="E49" s="5">
        <v>-14875</v>
      </c>
      <c r="F49" s="6">
        <v>-128.72825</v>
      </c>
      <c r="G49" s="7">
        <v>-2.0353E-2</v>
      </c>
      <c r="H49" s="47"/>
    </row>
    <row r="50" spans="1:8" x14ac:dyDescent="0.2">
      <c r="A50" s="3">
        <v>9</v>
      </c>
      <c r="B50" s="4"/>
      <c r="C50" s="4" t="s">
        <v>964</v>
      </c>
      <c r="D50" s="4" t="s">
        <v>589</v>
      </c>
      <c r="E50" s="5">
        <v>-20625</v>
      </c>
      <c r="F50" s="6">
        <v>-146.14875000000001</v>
      </c>
      <c r="G50" s="7">
        <v>-2.3107319999999997E-2</v>
      </c>
      <c r="H50" s="47"/>
    </row>
    <row r="51" spans="1:8" x14ac:dyDescent="0.2">
      <c r="A51" s="3">
        <v>10</v>
      </c>
      <c r="B51" s="4"/>
      <c r="C51" s="4" t="s">
        <v>965</v>
      </c>
      <c r="D51" s="4" t="s">
        <v>589</v>
      </c>
      <c r="E51" s="5">
        <v>-52000</v>
      </c>
      <c r="F51" s="6">
        <v>-170.01400000000001</v>
      </c>
      <c r="G51" s="7">
        <v>-2.6880609999999999E-2</v>
      </c>
      <c r="H51" s="47"/>
    </row>
    <row r="52" spans="1:8" x14ac:dyDescent="0.2">
      <c r="A52" s="3">
        <v>11</v>
      </c>
      <c r="B52" s="4"/>
      <c r="C52" s="4" t="s">
        <v>966</v>
      </c>
      <c r="D52" s="4" t="s">
        <v>589</v>
      </c>
      <c r="E52" s="5">
        <v>-12000</v>
      </c>
      <c r="F52" s="6">
        <v>-175.82400000000001</v>
      </c>
      <c r="G52" s="7">
        <v>-2.7799219999999999E-2</v>
      </c>
      <c r="H52" s="47"/>
    </row>
    <row r="53" spans="1:8" x14ac:dyDescent="0.2">
      <c r="A53" s="3">
        <v>12</v>
      </c>
      <c r="B53" s="4"/>
      <c r="C53" s="4" t="s">
        <v>967</v>
      </c>
      <c r="D53" s="4" t="s">
        <v>589</v>
      </c>
      <c r="E53" s="5">
        <v>-6900</v>
      </c>
      <c r="F53" s="6">
        <v>-185.68934999999999</v>
      </c>
      <c r="G53" s="7">
        <v>-2.935902E-2</v>
      </c>
      <c r="H53" s="47"/>
    </row>
    <row r="54" spans="1:8" x14ac:dyDescent="0.2">
      <c r="A54" s="3">
        <v>13</v>
      </c>
      <c r="B54" s="4"/>
      <c r="C54" s="4" t="s">
        <v>968</v>
      </c>
      <c r="D54" s="4" t="s">
        <v>589</v>
      </c>
      <c r="E54" s="5">
        <v>-7000</v>
      </c>
      <c r="F54" s="6">
        <v>-188.881</v>
      </c>
      <c r="G54" s="7">
        <v>-2.9863629999999999E-2</v>
      </c>
      <c r="H54" s="47"/>
    </row>
    <row r="55" spans="1:8" x14ac:dyDescent="0.2">
      <c r="A55" s="3">
        <v>14</v>
      </c>
      <c r="B55" s="4"/>
      <c r="C55" s="4" t="s">
        <v>969</v>
      </c>
      <c r="D55" s="4" t="s">
        <v>589</v>
      </c>
      <c r="E55" s="5">
        <v>-1750</v>
      </c>
      <c r="F55" s="6">
        <v>-191.811375</v>
      </c>
      <c r="G55" s="7">
        <v>-3.0326949999999998E-2</v>
      </c>
      <c r="H55" s="47"/>
    </row>
    <row r="56" spans="1:8" ht="38.25" x14ac:dyDescent="0.2">
      <c r="A56" s="3">
        <v>15</v>
      </c>
      <c r="B56" s="4"/>
      <c r="C56" s="4" t="s">
        <v>970</v>
      </c>
      <c r="D56" s="4" t="s">
        <v>589</v>
      </c>
      <c r="E56" s="5">
        <v>-123000</v>
      </c>
      <c r="F56" s="6">
        <v>-263.95800000000003</v>
      </c>
      <c r="G56" s="7">
        <v>-4.1733920000000001E-2</v>
      </c>
      <c r="H56" s="47"/>
    </row>
    <row r="57" spans="1:8" x14ac:dyDescent="0.2">
      <c r="A57" s="3">
        <v>16</v>
      </c>
      <c r="B57" s="4"/>
      <c r="C57" s="4" t="s">
        <v>971</v>
      </c>
      <c r="D57" s="4" t="s">
        <v>589</v>
      </c>
      <c r="E57" s="5">
        <v>-50000</v>
      </c>
      <c r="F57" s="6">
        <v>-333.95</v>
      </c>
      <c r="G57" s="7">
        <v>-5.2800229999999997E-2</v>
      </c>
      <c r="H57" s="47"/>
    </row>
    <row r="58" spans="1:8" x14ac:dyDescent="0.2">
      <c r="A58" s="3">
        <v>17</v>
      </c>
      <c r="B58" s="4"/>
      <c r="C58" s="4" t="s">
        <v>972</v>
      </c>
      <c r="D58" s="4" t="s">
        <v>589</v>
      </c>
      <c r="E58" s="5">
        <v>-26400</v>
      </c>
      <c r="F58" s="6">
        <v>-404.84399999999999</v>
      </c>
      <c r="G58" s="7">
        <v>-6.4009159999999996E-2</v>
      </c>
      <c r="H58" s="47"/>
    </row>
    <row r="59" spans="1:8" x14ac:dyDescent="0.2">
      <c r="A59" s="3">
        <v>18</v>
      </c>
      <c r="B59" s="4"/>
      <c r="C59" s="4" t="s">
        <v>973</v>
      </c>
      <c r="D59" s="4" t="s">
        <v>589</v>
      </c>
      <c r="E59" s="5">
        <v>-67200</v>
      </c>
      <c r="F59" s="6">
        <v>-427.86239999999998</v>
      </c>
      <c r="G59" s="7">
        <v>-6.7648550000000002E-2</v>
      </c>
      <c r="H59" s="47"/>
    </row>
    <row r="60" spans="1:8" x14ac:dyDescent="0.2">
      <c r="A60" s="3">
        <v>19</v>
      </c>
      <c r="B60" s="4"/>
      <c r="C60" s="4" t="s">
        <v>974</v>
      </c>
      <c r="D60" s="4" t="s">
        <v>589</v>
      </c>
      <c r="E60" s="5">
        <v>-8875</v>
      </c>
      <c r="F60" s="6">
        <v>-478.95712500000002</v>
      </c>
      <c r="G60" s="7">
        <v>-7.5727039999999995E-2</v>
      </c>
      <c r="H60" s="47"/>
    </row>
    <row r="61" spans="1:8" x14ac:dyDescent="0.2">
      <c r="A61" s="3">
        <v>20</v>
      </c>
      <c r="B61" s="4"/>
      <c r="C61" s="4" t="s">
        <v>975</v>
      </c>
      <c r="D61" s="4" t="s">
        <v>589</v>
      </c>
      <c r="E61" s="5">
        <v>-42350</v>
      </c>
      <c r="F61" s="6">
        <v>-569.71337500000004</v>
      </c>
      <c r="G61" s="7">
        <v>-9.0076359999999994E-2</v>
      </c>
      <c r="H61" s="47"/>
    </row>
    <row r="62" spans="1:8" x14ac:dyDescent="0.2">
      <c r="A62" s="1"/>
      <c r="B62" s="1"/>
      <c r="C62" s="2" t="s">
        <v>122</v>
      </c>
      <c r="D62" s="1"/>
      <c r="E62" s="1" t="s">
        <v>123</v>
      </c>
      <c r="F62" s="9">
        <v>-4148.0874249999997</v>
      </c>
      <c r="G62" s="10">
        <v>-0.65584663499999996</v>
      </c>
      <c r="H62" s="47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47"/>
    </row>
    <row r="64" spans="1:8" ht="18" customHeight="1" x14ac:dyDescent="0.2">
      <c r="A64" s="1"/>
      <c r="B64" s="1"/>
      <c r="C64" s="2" t="s">
        <v>129</v>
      </c>
      <c r="D64" s="1"/>
      <c r="E64" s="1"/>
      <c r="F64" s="9">
        <v>4159.1767874999996</v>
      </c>
      <c r="G64" s="10">
        <v>0.65759995599999999</v>
      </c>
      <c r="H64" s="47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47"/>
    </row>
    <row r="66" spans="1:8" ht="14.1" customHeight="1" x14ac:dyDescent="0.2">
      <c r="A66" s="1"/>
      <c r="B66" s="1"/>
      <c r="C66" s="2" t="s">
        <v>130</v>
      </c>
      <c r="D66" s="1"/>
      <c r="E66" s="1"/>
      <c r="F66" s="12"/>
      <c r="G66" s="12"/>
      <c r="H66" s="47"/>
    </row>
    <row r="67" spans="1:8" ht="24" customHeight="1" x14ac:dyDescent="0.2">
      <c r="A67" s="1"/>
      <c r="B67" s="1"/>
      <c r="C67" s="2" t="s">
        <v>10</v>
      </c>
      <c r="D67" s="1"/>
      <c r="E67" s="1"/>
      <c r="F67" s="12"/>
      <c r="G67" s="12"/>
      <c r="H67" s="47"/>
    </row>
    <row r="68" spans="1:8" ht="14.1" customHeight="1" x14ac:dyDescent="0.2">
      <c r="A68" s="1"/>
      <c r="B68" s="1"/>
      <c r="C68" s="2" t="s">
        <v>122</v>
      </c>
      <c r="D68" s="1"/>
      <c r="E68" s="1" t="s">
        <v>123</v>
      </c>
      <c r="F68" s="13">
        <v>0</v>
      </c>
      <c r="G68" s="14">
        <v>0</v>
      </c>
      <c r="H68" s="47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47"/>
    </row>
    <row r="70" spans="1:8" ht="14.1" customHeight="1" x14ac:dyDescent="0.2">
      <c r="A70" s="1"/>
      <c r="B70" s="1"/>
      <c r="C70" s="2" t="s">
        <v>131</v>
      </c>
      <c r="D70" s="1"/>
      <c r="E70" s="1"/>
      <c r="F70" s="1"/>
      <c r="G70" s="1"/>
      <c r="H70" s="47"/>
    </row>
    <row r="71" spans="1:8" ht="14.1" customHeight="1" x14ac:dyDescent="0.2">
      <c r="A71" s="1"/>
      <c r="B71" s="1"/>
      <c r="C71" s="2" t="s">
        <v>122</v>
      </c>
      <c r="D71" s="1"/>
      <c r="E71" s="1" t="s">
        <v>123</v>
      </c>
      <c r="F71" s="13">
        <v>0</v>
      </c>
      <c r="G71" s="14">
        <v>0</v>
      </c>
      <c r="H71" s="47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47"/>
    </row>
    <row r="73" spans="1:8" ht="14.1" customHeight="1" x14ac:dyDescent="0.2">
      <c r="A73" s="1"/>
      <c r="B73" s="1"/>
      <c r="C73" s="2" t="s">
        <v>132</v>
      </c>
      <c r="D73" s="1"/>
      <c r="E73" s="1"/>
      <c r="F73" s="1"/>
      <c r="G73" s="1"/>
      <c r="H73" s="47"/>
    </row>
    <row r="74" spans="1:8" ht="14.1" customHeight="1" x14ac:dyDescent="0.2">
      <c r="A74" s="1"/>
      <c r="B74" s="1"/>
      <c r="C74" s="2" t="s">
        <v>122</v>
      </c>
      <c r="D74" s="1"/>
      <c r="E74" s="1" t="s">
        <v>123</v>
      </c>
      <c r="F74" s="13">
        <v>0</v>
      </c>
      <c r="G74" s="14">
        <v>0</v>
      </c>
      <c r="H74" s="47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47"/>
    </row>
    <row r="76" spans="1:8" ht="14.1" customHeight="1" x14ac:dyDescent="0.2">
      <c r="A76" s="1"/>
      <c r="B76" s="1"/>
      <c r="C76" s="2" t="s">
        <v>133</v>
      </c>
      <c r="D76" s="1"/>
      <c r="E76" s="1"/>
      <c r="F76" s="12"/>
      <c r="G76" s="12"/>
      <c r="H76" s="47"/>
    </row>
    <row r="77" spans="1:8" ht="14.1" customHeight="1" x14ac:dyDescent="0.2">
      <c r="A77" s="1"/>
      <c r="B77" s="1"/>
      <c r="C77" s="2" t="s">
        <v>122</v>
      </c>
      <c r="D77" s="1"/>
      <c r="E77" s="1" t="s">
        <v>123</v>
      </c>
      <c r="F77" s="13">
        <v>0</v>
      </c>
      <c r="G77" s="14">
        <v>0</v>
      </c>
      <c r="H77" s="47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47"/>
    </row>
    <row r="79" spans="1:8" ht="14.1" customHeight="1" x14ac:dyDescent="0.2">
      <c r="A79" s="1"/>
      <c r="B79" s="1"/>
      <c r="C79" s="2" t="s">
        <v>134</v>
      </c>
      <c r="D79" s="1"/>
      <c r="E79" s="1"/>
      <c r="F79" s="9">
        <v>0</v>
      </c>
      <c r="G79" s="10">
        <v>0</v>
      </c>
      <c r="H79" s="47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47"/>
    </row>
    <row r="81" spans="1:8" ht="14.1" customHeight="1" x14ac:dyDescent="0.2">
      <c r="A81" s="1"/>
      <c r="B81" s="1"/>
      <c r="C81" s="2" t="s">
        <v>135</v>
      </c>
      <c r="D81" s="1"/>
      <c r="E81" s="1"/>
      <c r="F81" s="12"/>
      <c r="G81" s="12"/>
      <c r="H81" s="47"/>
    </row>
    <row r="82" spans="1:8" ht="14.1" customHeight="1" x14ac:dyDescent="0.2">
      <c r="A82" s="1"/>
      <c r="B82" s="1"/>
      <c r="C82" s="2" t="s">
        <v>136</v>
      </c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122</v>
      </c>
      <c r="D83" s="1"/>
      <c r="E83" s="1" t="s">
        <v>123</v>
      </c>
      <c r="F83" s="13">
        <v>0</v>
      </c>
      <c r="G83" s="14">
        <v>0</v>
      </c>
      <c r="H83" s="47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137</v>
      </c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122</v>
      </c>
      <c r="D86" s="1"/>
      <c r="E86" s="1" t="s">
        <v>123</v>
      </c>
      <c r="F86" s="13">
        <v>0</v>
      </c>
      <c r="G86" s="14">
        <v>0</v>
      </c>
      <c r="H86" s="47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47"/>
    </row>
    <row r="88" spans="1:8" ht="14.1" customHeight="1" x14ac:dyDescent="0.2">
      <c r="A88" s="1"/>
      <c r="B88" s="1"/>
      <c r="C88" s="2" t="s">
        <v>138</v>
      </c>
      <c r="D88" s="1"/>
      <c r="E88" s="1"/>
      <c r="F88" s="12"/>
      <c r="G88" s="12"/>
      <c r="H88" s="47"/>
    </row>
    <row r="89" spans="1:8" ht="17.100000000000001" customHeight="1" x14ac:dyDescent="0.2">
      <c r="A89" s="3">
        <v>1</v>
      </c>
      <c r="B89" s="4" t="s">
        <v>590</v>
      </c>
      <c r="C89" s="4" t="s">
        <v>952</v>
      </c>
      <c r="D89" s="4" t="s">
        <v>591</v>
      </c>
      <c r="E89" s="5">
        <v>1000000</v>
      </c>
      <c r="F89" s="6">
        <v>998.38199999999995</v>
      </c>
      <c r="G89" s="7">
        <v>0.15785238100000001</v>
      </c>
      <c r="H89" s="47">
        <v>4.55</v>
      </c>
    </row>
    <row r="90" spans="1:8" ht="14.1" customHeight="1" x14ac:dyDescent="0.2">
      <c r="A90" s="1"/>
      <c r="B90" s="1"/>
      <c r="C90" s="2" t="s">
        <v>122</v>
      </c>
      <c r="D90" s="1"/>
      <c r="E90" s="1" t="s">
        <v>123</v>
      </c>
      <c r="F90" s="9">
        <v>998.38199999999995</v>
      </c>
      <c r="G90" s="10">
        <v>0.15785238100000001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139</v>
      </c>
      <c r="D92" s="1"/>
      <c r="E92" s="1"/>
      <c r="F92" s="12"/>
      <c r="G92" s="12"/>
      <c r="H92" s="47"/>
    </row>
    <row r="93" spans="1:8" ht="17.100000000000001" customHeight="1" x14ac:dyDescent="0.2">
      <c r="A93" s="3">
        <v>1</v>
      </c>
      <c r="B93" s="4"/>
      <c r="C93" s="4" t="s">
        <v>140</v>
      </c>
      <c r="D93" s="4"/>
      <c r="E93" s="8"/>
      <c r="F93" s="6">
        <v>424.94989390000001</v>
      </c>
      <c r="G93" s="7">
        <v>6.7188063000000006E-2</v>
      </c>
      <c r="H93" s="47">
        <v>4.6730752161314033</v>
      </c>
    </row>
    <row r="94" spans="1:8" ht="14.1" customHeight="1" x14ac:dyDescent="0.2">
      <c r="A94" s="1"/>
      <c r="B94" s="1"/>
      <c r="C94" s="2" t="s">
        <v>122</v>
      </c>
      <c r="D94" s="1"/>
      <c r="E94" s="1" t="s">
        <v>123</v>
      </c>
      <c r="F94" s="9">
        <v>424.94989390000001</v>
      </c>
      <c r="G94" s="10">
        <v>6.7188063000000006E-2</v>
      </c>
      <c r="H94" s="47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141</v>
      </c>
      <c r="D96" s="1"/>
      <c r="E96" s="1"/>
      <c r="F96" s="9">
        <v>1423.3318939000001</v>
      </c>
      <c r="G96" s="10">
        <v>0.22504044400000001</v>
      </c>
      <c r="H96" s="47"/>
    </row>
    <row r="97" spans="1:8" ht="14.1" customHeight="1" x14ac:dyDescent="0.2">
      <c r="A97" s="1"/>
      <c r="B97" s="1"/>
      <c r="C97" s="12"/>
      <c r="D97" s="1"/>
      <c r="E97" s="1"/>
      <c r="F97" s="1"/>
      <c r="G97" s="1"/>
      <c r="H97" s="47"/>
    </row>
    <row r="98" spans="1:8" ht="14.1" customHeight="1" x14ac:dyDescent="0.2">
      <c r="A98" s="1"/>
      <c r="B98" s="1"/>
      <c r="C98" s="2" t="s">
        <v>142</v>
      </c>
      <c r="D98" s="1"/>
      <c r="E98" s="1"/>
      <c r="F98" s="1"/>
      <c r="G98" s="1"/>
      <c r="H98" s="47"/>
    </row>
    <row r="99" spans="1:8" ht="14.1" customHeight="1" x14ac:dyDescent="0.2">
      <c r="A99" s="1"/>
      <c r="B99" s="1"/>
      <c r="C99" s="2" t="s">
        <v>143</v>
      </c>
      <c r="D99" s="1"/>
      <c r="E99" s="1"/>
      <c r="F99" s="1"/>
      <c r="G99" s="1"/>
      <c r="H99" s="47"/>
    </row>
    <row r="100" spans="1:8" ht="17.100000000000001" customHeight="1" x14ac:dyDescent="0.2">
      <c r="A100" s="3">
        <v>1</v>
      </c>
      <c r="B100" s="4" t="s">
        <v>592</v>
      </c>
      <c r="C100" s="45" t="s">
        <v>1010</v>
      </c>
      <c r="D100" s="4"/>
      <c r="E100" s="5">
        <v>31859.646000000001</v>
      </c>
      <c r="F100" s="6">
        <v>604.79331672000001</v>
      </c>
      <c r="G100" s="7">
        <v>9.5622783000000003E-2</v>
      </c>
      <c r="H100" s="47"/>
    </row>
    <row r="101" spans="1:8" ht="14.1" customHeight="1" x14ac:dyDescent="0.2">
      <c r="A101" s="1"/>
      <c r="B101" s="1"/>
      <c r="C101" s="2" t="s">
        <v>122</v>
      </c>
      <c r="D101" s="1"/>
      <c r="E101" s="1" t="s">
        <v>123</v>
      </c>
      <c r="F101" s="9">
        <v>604.79331672000001</v>
      </c>
      <c r="G101" s="10">
        <v>9.5622783000000003E-2</v>
      </c>
      <c r="H101" s="47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47"/>
    </row>
    <row r="103" spans="1:8" ht="14.1" customHeight="1" x14ac:dyDescent="0.2">
      <c r="A103" s="1"/>
      <c r="B103" s="1"/>
      <c r="C103" s="2" t="s">
        <v>144</v>
      </c>
      <c r="D103" s="1"/>
      <c r="E103" s="1"/>
      <c r="F103" s="1"/>
      <c r="G103" s="1"/>
      <c r="H103" s="47"/>
    </row>
    <row r="104" spans="1:8" ht="14.1" customHeight="1" x14ac:dyDescent="0.2">
      <c r="A104" s="1"/>
      <c r="B104" s="1"/>
      <c r="C104" s="2" t="s">
        <v>145</v>
      </c>
      <c r="D104" s="1"/>
      <c r="E104" s="1"/>
      <c r="F104" s="1"/>
      <c r="G104" s="1"/>
      <c r="H104" s="47"/>
    </row>
    <row r="105" spans="1:8" ht="14.1" customHeight="1" x14ac:dyDescent="0.2">
      <c r="A105" s="1"/>
      <c r="B105" s="1"/>
      <c r="C105" s="2" t="s">
        <v>122</v>
      </c>
      <c r="D105" s="1"/>
      <c r="E105" s="1" t="s">
        <v>123</v>
      </c>
      <c r="F105" s="13">
        <v>0</v>
      </c>
      <c r="G105" s="14">
        <v>0</v>
      </c>
      <c r="H105" s="47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47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47"/>
    </row>
    <row r="108" spans="1:8" ht="24" customHeight="1" x14ac:dyDescent="0.2">
      <c r="A108" s="1"/>
      <c r="B108" s="1"/>
      <c r="C108" s="2" t="s">
        <v>146</v>
      </c>
      <c r="D108" s="1"/>
      <c r="E108" s="1"/>
      <c r="F108" s="12"/>
      <c r="G108" s="12"/>
      <c r="H108" s="47"/>
    </row>
    <row r="109" spans="1:8" ht="14.1" customHeight="1" x14ac:dyDescent="0.2">
      <c r="A109" s="1"/>
      <c r="B109" s="1"/>
      <c r="C109" s="2" t="s">
        <v>122</v>
      </c>
      <c r="D109" s="1"/>
      <c r="E109" s="1" t="s">
        <v>123</v>
      </c>
      <c r="F109" s="13">
        <v>0</v>
      </c>
      <c r="G109" s="14">
        <v>0</v>
      </c>
      <c r="H109" s="47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47"/>
    </row>
    <row r="111" spans="1:8" ht="18" customHeight="1" x14ac:dyDescent="0.2">
      <c r="A111" s="8"/>
      <c r="B111" s="4"/>
      <c r="C111" s="4" t="s">
        <v>593</v>
      </c>
      <c r="D111" s="4"/>
      <c r="E111" s="8"/>
      <c r="F111" s="6">
        <v>142.61581939999999</v>
      </c>
      <c r="G111" s="7">
        <v>2.2548730469529692E-2</v>
      </c>
      <c r="H111" s="47"/>
    </row>
    <row r="112" spans="1:8" ht="18" customHeight="1" x14ac:dyDescent="0.2">
      <c r="A112" s="8"/>
      <c r="B112" s="4"/>
      <c r="C112" s="45" t="s">
        <v>1066</v>
      </c>
      <c r="D112" s="4"/>
      <c r="E112" s="8"/>
      <c r="F112" s="6">
        <v>-5.1351610099991403</v>
      </c>
      <c r="G112" s="7">
        <v>-8.1191106301709817E-4</v>
      </c>
      <c r="H112" s="47"/>
    </row>
    <row r="113" spans="1:8" ht="14.1" customHeight="1" x14ac:dyDescent="0.2">
      <c r="A113" s="11"/>
      <c r="B113" s="11"/>
      <c r="C113" s="2" t="s">
        <v>148</v>
      </c>
      <c r="D113" s="15"/>
      <c r="E113" s="15"/>
      <c r="F113" s="9">
        <v>6324.7826565100004</v>
      </c>
      <c r="G113" s="14">
        <v>1.0000000024065125</v>
      </c>
      <c r="H113" s="47"/>
    </row>
    <row r="114" spans="1:8" ht="14.1" customHeight="1" x14ac:dyDescent="0.2">
      <c r="A114" s="16"/>
      <c r="B114" s="16"/>
      <c r="C114" s="16"/>
      <c r="D114" s="17"/>
      <c r="E114" s="17"/>
      <c r="F114" s="17"/>
      <c r="G114" s="17"/>
    </row>
    <row r="115" spans="1:8" s="49" customFormat="1" ht="17.100000000000001" customHeight="1" x14ac:dyDescent="0.2">
      <c r="A115" s="97"/>
      <c r="B115" s="293" t="s">
        <v>860</v>
      </c>
      <c r="C115" s="293"/>
      <c r="D115" s="293"/>
      <c r="E115" s="293"/>
      <c r="F115" s="293"/>
      <c r="G115" s="98"/>
    </row>
    <row r="116" spans="1:8" s="53" customFormat="1" ht="15" x14ac:dyDescent="0.2">
      <c r="A116" s="51" t="s">
        <v>123</v>
      </c>
      <c r="B116" s="290" t="s">
        <v>1011</v>
      </c>
      <c r="C116" s="290"/>
      <c r="D116" s="290"/>
      <c r="E116" s="290"/>
      <c r="F116" s="290"/>
      <c r="G116" s="52" t="s">
        <v>123</v>
      </c>
      <c r="H116"/>
    </row>
    <row r="117" spans="1:8" ht="14.1" customHeight="1" x14ac:dyDescent="0.2">
      <c r="A117" s="18"/>
      <c r="B117" s="18"/>
      <c r="C117" s="18"/>
      <c r="D117" s="20"/>
      <c r="E117" s="20"/>
      <c r="F117" s="20"/>
      <c r="G117" s="20"/>
    </row>
    <row r="118" spans="1:8" ht="14.1" customHeight="1" x14ac:dyDescent="0.2">
      <c r="A118" s="18"/>
      <c r="B118" s="257" t="s">
        <v>150</v>
      </c>
      <c r="C118" s="258"/>
      <c r="D118" s="12" t="s">
        <v>123</v>
      </c>
      <c r="E118" s="21"/>
      <c r="F118" s="20"/>
      <c r="G118" s="20"/>
    </row>
    <row r="119" spans="1:8" ht="29.1" customHeight="1" x14ac:dyDescent="0.2">
      <c r="A119" s="18"/>
      <c r="B119" s="259" t="s">
        <v>151</v>
      </c>
      <c r="C119" s="260"/>
      <c r="D119" s="93" t="s">
        <v>1087</v>
      </c>
      <c r="E119" s="21"/>
      <c r="F119" s="20"/>
      <c r="G119" s="20"/>
    </row>
    <row r="120" spans="1:8" ht="17.100000000000001" customHeight="1" x14ac:dyDescent="0.2">
      <c r="A120" s="18"/>
      <c r="B120" s="259" t="s">
        <v>153</v>
      </c>
      <c r="C120" s="260"/>
      <c r="D120" s="2" t="s">
        <v>152</v>
      </c>
      <c r="E120" s="21"/>
      <c r="F120" s="20"/>
      <c r="G120" s="20"/>
    </row>
    <row r="121" spans="1:8" ht="17.100000000000001" customHeight="1" x14ac:dyDescent="0.2">
      <c r="A121" s="18"/>
      <c r="B121" s="259" t="s">
        <v>154</v>
      </c>
      <c r="C121" s="260"/>
      <c r="D121" s="12" t="s">
        <v>123</v>
      </c>
      <c r="E121" s="21"/>
      <c r="F121" s="20"/>
      <c r="G121" s="20"/>
    </row>
    <row r="122" spans="1:8" ht="24" customHeight="1" x14ac:dyDescent="0.2">
      <c r="A122" s="22"/>
      <c r="B122" s="23" t="s">
        <v>123</v>
      </c>
      <c r="C122" s="23" t="s">
        <v>155</v>
      </c>
      <c r="D122" s="23" t="s">
        <v>156</v>
      </c>
      <c r="E122" s="22"/>
      <c r="F122" s="22"/>
      <c r="G122" s="22"/>
    </row>
    <row r="123" spans="1:8" ht="17.100000000000001" customHeight="1" x14ac:dyDescent="0.2">
      <c r="A123" s="22"/>
      <c r="B123" s="23" t="s">
        <v>157</v>
      </c>
      <c r="C123" s="23" t="s">
        <v>158</v>
      </c>
      <c r="D123" s="23" t="s">
        <v>159</v>
      </c>
      <c r="E123" s="22"/>
      <c r="F123" s="22"/>
      <c r="G123" s="22"/>
    </row>
    <row r="124" spans="1:8" ht="17.100000000000001" customHeight="1" x14ac:dyDescent="0.2">
      <c r="A124" s="22"/>
      <c r="B124" s="4" t="s">
        <v>160</v>
      </c>
      <c r="C124" s="24">
        <v>12.332100000000001</v>
      </c>
      <c r="D124" s="24">
        <v>12.376799999999999</v>
      </c>
      <c r="E124" s="22"/>
      <c r="F124" s="19"/>
      <c r="G124" s="25"/>
    </row>
    <row r="125" spans="1:8" ht="25.5" customHeight="1" x14ac:dyDescent="0.2">
      <c r="A125" s="22"/>
      <c r="B125" s="4" t="s">
        <v>1106</v>
      </c>
      <c r="C125" s="24">
        <v>10.664099999999999</v>
      </c>
      <c r="D125" s="24">
        <v>10.7027</v>
      </c>
      <c r="E125" s="22"/>
      <c r="F125" s="19"/>
      <c r="G125" s="25"/>
    </row>
    <row r="126" spans="1:8" ht="17.100000000000001" customHeight="1" x14ac:dyDescent="0.2">
      <c r="A126" s="22"/>
      <c r="B126" s="4" t="s">
        <v>161</v>
      </c>
      <c r="C126" s="24">
        <v>11.9346</v>
      </c>
      <c r="D126" s="24">
        <v>11.970599999999999</v>
      </c>
      <c r="E126" s="22"/>
      <c r="F126" s="19"/>
      <c r="G126" s="25"/>
    </row>
    <row r="127" spans="1:8" ht="25.5" customHeight="1" x14ac:dyDescent="0.2">
      <c r="A127" s="22"/>
      <c r="B127" s="4" t="s">
        <v>1108</v>
      </c>
      <c r="C127" s="24">
        <v>10.4932</v>
      </c>
      <c r="D127" s="24">
        <v>10.524900000000001</v>
      </c>
      <c r="E127" s="22"/>
      <c r="F127" s="19"/>
      <c r="G127" s="25"/>
    </row>
    <row r="128" spans="1:8" ht="14.1" customHeight="1" x14ac:dyDescent="0.2">
      <c r="A128" s="22"/>
      <c r="B128" s="22"/>
      <c r="C128" s="22"/>
      <c r="D128" s="22"/>
      <c r="E128" s="22"/>
      <c r="F128" s="22"/>
      <c r="G128" s="22"/>
    </row>
    <row r="129" spans="1:7" ht="17.100000000000001" customHeight="1" x14ac:dyDescent="0.2">
      <c r="A129" s="22"/>
      <c r="B129" s="259" t="s">
        <v>1103</v>
      </c>
      <c r="C129" s="260"/>
      <c r="D129" s="2" t="s">
        <v>152</v>
      </c>
      <c r="E129" s="22"/>
      <c r="F129" s="22"/>
      <c r="G129" s="22"/>
    </row>
    <row r="130" spans="1:7" ht="18" customHeight="1" x14ac:dyDescent="0.2">
      <c r="A130" s="22"/>
      <c r="B130" s="26"/>
      <c r="C130" s="26"/>
      <c r="D130" s="27"/>
      <c r="E130" s="22"/>
      <c r="F130" s="22"/>
      <c r="G130" s="22"/>
    </row>
    <row r="131" spans="1:7" ht="29.1" customHeight="1" x14ac:dyDescent="0.2">
      <c r="A131" s="22"/>
      <c r="B131" s="261" t="s">
        <v>162</v>
      </c>
      <c r="C131" s="262"/>
      <c r="D131" s="2" t="s">
        <v>1060</v>
      </c>
      <c r="E131" s="22"/>
      <c r="F131" s="22"/>
      <c r="G131" s="22"/>
    </row>
    <row r="132" spans="1:7" ht="29.1" customHeight="1" x14ac:dyDescent="0.2">
      <c r="A132" s="22"/>
      <c r="B132" s="261" t="s">
        <v>163</v>
      </c>
      <c r="C132" s="262"/>
      <c r="D132" s="2" t="s">
        <v>152</v>
      </c>
      <c r="E132" s="22"/>
      <c r="F132" s="22"/>
      <c r="G132" s="22"/>
    </row>
    <row r="133" spans="1:7" ht="17.100000000000001" customHeight="1" x14ac:dyDescent="0.2">
      <c r="A133" s="22"/>
      <c r="B133" s="291" t="s">
        <v>1061</v>
      </c>
      <c r="C133" s="292"/>
      <c r="D133" s="95">
        <v>1.8440696237326273E-2</v>
      </c>
      <c r="E133" s="22"/>
      <c r="F133" s="19"/>
      <c r="G133" s="25"/>
    </row>
    <row r="134" spans="1:7" ht="17.100000000000001" customHeight="1" x14ac:dyDescent="0.2">
      <c r="A134" s="22"/>
      <c r="B134" s="291" t="s">
        <v>1062</v>
      </c>
      <c r="C134" s="292"/>
      <c r="D134" s="95">
        <v>1.8440696237326273E-2</v>
      </c>
      <c r="E134" s="22"/>
      <c r="F134" s="22"/>
      <c r="G134" s="22"/>
    </row>
    <row r="135" spans="1:7" ht="17.100000000000001" customHeight="1" x14ac:dyDescent="0.2">
      <c r="A135" s="22"/>
      <c r="B135" s="261" t="s">
        <v>1063</v>
      </c>
      <c r="C135" s="262"/>
      <c r="D135" s="28">
        <v>10.545388756039348</v>
      </c>
      <c r="E135" s="22"/>
      <c r="F135" s="19"/>
      <c r="G135" s="25"/>
    </row>
    <row r="136" spans="1:7" ht="17.100000000000001" customHeight="1" x14ac:dyDescent="0.2">
      <c r="A136" s="22"/>
      <c r="B136" s="261" t="s">
        <v>1064</v>
      </c>
      <c r="C136" s="262"/>
      <c r="D136" s="2" t="s">
        <v>152</v>
      </c>
      <c r="E136" s="22"/>
      <c r="F136" s="22"/>
      <c r="G136" s="22"/>
    </row>
    <row r="138" spans="1:7" x14ac:dyDescent="0.2">
      <c r="B138" s="122" t="s">
        <v>1094</v>
      </c>
      <c r="C138" s="122"/>
      <c r="D138" s="122"/>
      <c r="E138" s="123"/>
      <c r="F138" s="124"/>
    </row>
    <row r="139" spans="1:7" ht="38.25" x14ac:dyDescent="0.2">
      <c r="B139" s="100" t="s">
        <v>1067</v>
      </c>
      <c r="C139" s="100" t="s">
        <v>1068</v>
      </c>
      <c r="D139" s="100" t="s">
        <v>1069</v>
      </c>
      <c r="E139" s="100" t="s">
        <v>1070</v>
      </c>
      <c r="F139" s="100" t="s">
        <v>1071</v>
      </c>
    </row>
    <row r="140" spans="1:7" s="125" customFormat="1" ht="25.5" x14ac:dyDescent="0.2">
      <c r="B140" s="126" t="s">
        <v>1072</v>
      </c>
      <c r="C140" s="127" t="s">
        <v>1073</v>
      </c>
      <c r="D140" s="128">
        <v>0</v>
      </c>
      <c r="E140" s="129">
        <v>0</v>
      </c>
      <c r="F140" s="130">
        <v>50</v>
      </c>
    </row>
  </sheetData>
  <mergeCells count="17">
    <mergeCell ref="J2:N2"/>
    <mergeCell ref="B115:F115"/>
    <mergeCell ref="A1:H1"/>
    <mergeCell ref="A2:H2"/>
    <mergeCell ref="A3:H3"/>
    <mergeCell ref="B116:F116"/>
    <mergeCell ref="B118:C118"/>
    <mergeCell ref="B135:C135"/>
    <mergeCell ref="B136:C136"/>
    <mergeCell ref="B119:C119"/>
    <mergeCell ref="B120:C120"/>
    <mergeCell ref="B121:C121"/>
    <mergeCell ref="B129:C129"/>
    <mergeCell ref="B131:C131"/>
    <mergeCell ref="B132:C132"/>
    <mergeCell ref="B133:C133"/>
    <mergeCell ref="B134:C13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O22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7.140625" customWidth="1"/>
    <col min="9" max="9" width="20.5703125" bestFit="1" customWidth="1"/>
    <col min="10" max="10" width="15.7109375" bestFit="1" customWidth="1"/>
  </cols>
  <sheetData>
    <row r="1" spans="1:15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  <c r="J1" s="49"/>
      <c r="K1" s="49"/>
      <c r="L1" s="49"/>
      <c r="M1" s="49"/>
      <c r="N1" s="49"/>
      <c r="O1" s="49"/>
    </row>
    <row r="2" spans="1:15" ht="17.100000000000001" customHeight="1" x14ac:dyDescent="0.2">
      <c r="A2" s="294" t="s">
        <v>1145</v>
      </c>
      <c r="B2" s="295"/>
      <c r="C2" s="295"/>
      <c r="D2" s="295"/>
      <c r="E2" s="295"/>
      <c r="F2" s="295"/>
      <c r="G2" s="295"/>
      <c r="H2" s="296"/>
      <c r="J2" s="263" t="s">
        <v>1112</v>
      </c>
      <c r="K2" s="263"/>
      <c r="L2" s="263"/>
      <c r="M2" s="263"/>
      <c r="N2" s="263"/>
      <c r="O2" s="49"/>
    </row>
    <row r="3" spans="1:15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  <c r="J3" s="49"/>
      <c r="K3" s="49"/>
      <c r="L3" s="49"/>
      <c r="M3" s="49"/>
      <c r="N3" s="49"/>
      <c r="O3" s="49"/>
    </row>
    <row r="4" spans="1:15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  <c r="J4" s="149"/>
      <c r="K4" s="149"/>
      <c r="L4" s="149"/>
      <c r="M4" s="149"/>
      <c r="N4" s="149"/>
      <c r="O4" s="149"/>
    </row>
    <row r="5" spans="1:15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  <c r="J5" s="49"/>
      <c r="K5" s="49"/>
      <c r="L5" s="49"/>
      <c r="M5" s="49"/>
      <c r="N5" s="49"/>
      <c r="O5" s="49"/>
    </row>
    <row r="6" spans="1:15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  <c r="J6" s="49"/>
      <c r="K6" s="49"/>
      <c r="L6" s="49"/>
      <c r="M6" s="49"/>
      <c r="N6" s="49"/>
      <c r="O6" s="49"/>
    </row>
    <row r="7" spans="1:15" ht="17.100000000000001" customHeight="1" x14ac:dyDescent="0.2">
      <c r="A7" s="3">
        <v>1</v>
      </c>
      <c r="B7" s="4" t="s">
        <v>358</v>
      </c>
      <c r="C7" s="4" t="s">
        <v>359</v>
      </c>
      <c r="D7" s="4" t="s">
        <v>19</v>
      </c>
      <c r="E7" s="5">
        <v>793000</v>
      </c>
      <c r="F7" s="6">
        <v>10689.64</v>
      </c>
      <c r="G7" s="7">
        <v>6.9213536000000006E-2</v>
      </c>
      <c r="H7" s="47"/>
      <c r="J7" s="49"/>
      <c r="K7" s="49"/>
      <c r="L7" s="49"/>
      <c r="M7" s="49"/>
      <c r="N7" s="49"/>
      <c r="O7" s="49"/>
    </row>
    <row r="8" spans="1:15" ht="17.100000000000001" customHeight="1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330000</v>
      </c>
      <c r="F8" s="6">
        <v>8565.6450000000004</v>
      </c>
      <c r="G8" s="7">
        <v>5.5461043000000002E-2</v>
      </c>
      <c r="H8" s="47"/>
      <c r="J8" s="49"/>
      <c r="K8" s="49"/>
      <c r="L8" s="49"/>
      <c r="M8" s="49"/>
      <c r="N8" s="49"/>
      <c r="O8" s="49"/>
    </row>
    <row r="9" spans="1:15" ht="17.100000000000001" customHeight="1" x14ac:dyDescent="0.2">
      <c r="A9" s="3">
        <v>3</v>
      </c>
      <c r="B9" s="4" t="s">
        <v>17</v>
      </c>
      <c r="C9" s="4" t="s">
        <v>18</v>
      </c>
      <c r="D9" s="4" t="s">
        <v>19</v>
      </c>
      <c r="E9" s="5">
        <v>983000</v>
      </c>
      <c r="F9" s="6">
        <v>6951.7759999999998</v>
      </c>
      <c r="G9" s="7">
        <v>4.5011524999999997E-2</v>
      </c>
      <c r="H9" s="47"/>
      <c r="J9" s="49"/>
      <c r="K9" s="49"/>
      <c r="L9" s="49"/>
      <c r="M9" s="49"/>
      <c r="N9" s="49"/>
      <c r="O9" s="49"/>
    </row>
    <row r="10" spans="1:15" ht="17.100000000000001" customHeight="1" x14ac:dyDescent="0.2">
      <c r="A10" s="3">
        <v>4</v>
      </c>
      <c r="B10" s="4" t="s">
        <v>393</v>
      </c>
      <c r="C10" s="4" t="s">
        <v>394</v>
      </c>
      <c r="D10" s="4" t="s">
        <v>191</v>
      </c>
      <c r="E10" s="5">
        <v>462963</v>
      </c>
      <c r="F10" s="6">
        <v>6768.0560969999997</v>
      </c>
      <c r="G10" s="7">
        <v>4.3821971000000001E-2</v>
      </c>
      <c r="H10" s="47"/>
      <c r="J10" s="49"/>
      <c r="K10" s="49"/>
      <c r="L10" s="49"/>
      <c r="M10" s="49"/>
      <c r="N10" s="49"/>
      <c r="O10" s="49"/>
    </row>
    <row r="11" spans="1:15" x14ac:dyDescent="0.2">
      <c r="A11" s="3">
        <v>5</v>
      </c>
      <c r="B11" s="45" t="s">
        <v>1004</v>
      </c>
      <c r="C11" s="45" t="s">
        <v>1005</v>
      </c>
      <c r="D11" s="45" t="s">
        <v>97</v>
      </c>
      <c r="E11" s="46">
        <v>1173448</v>
      </c>
      <c r="F11" s="47">
        <v>4391.1597999999994</v>
      </c>
      <c r="G11" s="48">
        <v>2.8431990000000001E-2</v>
      </c>
      <c r="H11" s="47"/>
      <c r="J11" s="150"/>
      <c r="K11" s="150"/>
      <c r="L11" s="150"/>
      <c r="M11" s="150"/>
      <c r="N11" s="150"/>
      <c r="O11" s="150"/>
    </row>
    <row r="12" spans="1:15" ht="17.100000000000001" customHeight="1" x14ac:dyDescent="0.2">
      <c r="A12" s="3">
        <v>6</v>
      </c>
      <c r="B12" s="4" t="s">
        <v>304</v>
      </c>
      <c r="C12" s="4" t="s">
        <v>305</v>
      </c>
      <c r="D12" s="4" t="s">
        <v>19</v>
      </c>
      <c r="E12" s="5">
        <v>605000</v>
      </c>
      <c r="F12" s="6">
        <v>3852.64</v>
      </c>
      <c r="G12" s="7">
        <v>2.4945164999999998E-2</v>
      </c>
      <c r="H12" s="47"/>
      <c r="J12" s="49"/>
      <c r="K12" s="49"/>
      <c r="L12" s="49"/>
      <c r="M12" s="49"/>
      <c r="N12" s="49"/>
      <c r="O12" s="49"/>
    </row>
    <row r="13" spans="1:15" ht="17.100000000000001" customHeight="1" x14ac:dyDescent="0.2">
      <c r="A13" s="3">
        <v>7</v>
      </c>
      <c r="B13" s="4" t="s">
        <v>46</v>
      </c>
      <c r="C13" s="4" t="s">
        <v>47</v>
      </c>
      <c r="D13" s="4" t="s">
        <v>19</v>
      </c>
      <c r="E13" s="5">
        <v>761795</v>
      </c>
      <c r="F13" s="6">
        <v>3549.2029050000001</v>
      </c>
      <c r="G13" s="7">
        <v>2.2980463999999999E-2</v>
      </c>
      <c r="H13" s="47"/>
      <c r="J13" s="49"/>
      <c r="K13" s="49"/>
      <c r="L13" s="49"/>
      <c r="M13" s="49"/>
      <c r="N13" s="49"/>
      <c r="O13" s="49"/>
    </row>
    <row r="14" spans="1:15" ht="17.100000000000001" customHeight="1" x14ac:dyDescent="0.2">
      <c r="A14" s="3">
        <v>8</v>
      </c>
      <c r="B14" s="4" t="s">
        <v>414</v>
      </c>
      <c r="C14" s="4" t="s">
        <v>415</v>
      </c>
      <c r="D14" s="4" t="s">
        <v>191</v>
      </c>
      <c r="E14" s="5">
        <v>346850</v>
      </c>
      <c r="F14" s="6">
        <v>3468.5</v>
      </c>
      <c r="G14" s="7">
        <v>2.2457926999999999E-2</v>
      </c>
      <c r="H14" s="47"/>
      <c r="J14" s="147" t="s">
        <v>1126</v>
      </c>
      <c r="K14" s="49"/>
      <c r="L14" s="49"/>
      <c r="M14" s="49"/>
      <c r="N14" s="49"/>
      <c r="O14" s="49"/>
    </row>
    <row r="15" spans="1:15" ht="29.1" customHeight="1" x14ac:dyDescent="0.2">
      <c r="A15" s="3">
        <v>9</v>
      </c>
      <c r="B15" s="4" t="s">
        <v>395</v>
      </c>
      <c r="C15" s="4" t="s">
        <v>396</v>
      </c>
      <c r="D15" s="4" t="s">
        <v>91</v>
      </c>
      <c r="E15" s="5">
        <v>150000</v>
      </c>
      <c r="F15" s="6">
        <v>3256.2750000000001</v>
      </c>
      <c r="G15" s="7">
        <v>2.1083807E-2</v>
      </c>
      <c r="H15" s="47"/>
      <c r="J15" s="49"/>
      <c r="K15" s="49"/>
      <c r="L15" s="49"/>
      <c r="M15" s="49"/>
      <c r="N15" s="49"/>
      <c r="O15" s="49"/>
    </row>
    <row r="16" spans="1:15" ht="17.100000000000001" customHeight="1" x14ac:dyDescent="0.2">
      <c r="A16" s="3">
        <v>10</v>
      </c>
      <c r="B16" s="4" t="s">
        <v>623</v>
      </c>
      <c r="C16" s="4" t="s">
        <v>624</v>
      </c>
      <c r="D16" s="4" t="s">
        <v>296</v>
      </c>
      <c r="E16" s="5">
        <v>350000</v>
      </c>
      <c r="F16" s="6">
        <v>2659.125</v>
      </c>
      <c r="G16" s="7">
        <v>1.7217366000000001E-2</v>
      </c>
      <c r="H16" s="47"/>
      <c r="J16" s="49"/>
      <c r="K16" s="49"/>
      <c r="L16" s="49"/>
      <c r="M16" s="49"/>
      <c r="N16" s="49"/>
      <c r="O16" s="49"/>
    </row>
    <row r="17" spans="1:15" ht="17.100000000000001" customHeight="1" x14ac:dyDescent="0.2">
      <c r="A17" s="3">
        <v>11</v>
      </c>
      <c r="B17" s="4" t="s">
        <v>92</v>
      </c>
      <c r="C17" s="4" t="s">
        <v>93</v>
      </c>
      <c r="D17" s="4" t="s">
        <v>94</v>
      </c>
      <c r="E17" s="5">
        <v>106000</v>
      </c>
      <c r="F17" s="6">
        <v>2427.9299999999998</v>
      </c>
      <c r="G17" s="7">
        <v>1.5720418999999999E-2</v>
      </c>
      <c r="H17" s="47"/>
      <c r="J17" s="49"/>
      <c r="K17" s="49"/>
      <c r="L17" s="49"/>
      <c r="M17" s="49"/>
      <c r="N17" s="49"/>
      <c r="O17" s="49"/>
    </row>
    <row r="18" spans="1:15" ht="17.100000000000001" customHeight="1" x14ac:dyDescent="0.2">
      <c r="A18" s="3">
        <v>12</v>
      </c>
      <c r="B18" s="4" t="s">
        <v>26</v>
      </c>
      <c r="C18" s="4" t="s">
        <v>27</v>
      </c>
      <c r="D18" s="4" t="s">
        <v>28</v>
      </c>
      <c r="E18" s="5">
        <v>136846</v>
      </c>
      <c r="F18" s="6">
        <v>2303.1866030000001</v>
      </c>
      <c r="G18" s="7">
        <v>1.4912728E-2</v>
      </c>
      <c r="H18" s="47"/>
      <c r="J18" s="150"/>
      <c r="K18" s="150"/>
      <c r="L18" s="150"/>
      <c r="M18" s="150"/>
      <c r="N18" s="150"/>
      <c r="O18" s="150"/>
    </row>
    <row r="19" spans="1:15" ht="17.100000000000001" customHeight="1" x14ac:dyDescent="0.2">
      <c r="A19" s="3">
        <v>13</v>
      </c>
      <c r="B19" s="4" t="s">
        <v>397</v>
      </c>
      <c r="C19" s="4" t="s">
        <v>398</v>
      </c>
      <c r="D19" s="4" t="s">
        <v>191</v>
      </c>
      <c r="E19" s="5">
        <v>68060</v>
      </c>
      <c r="F19" s="6">
        <v>2223.58826</v>
      </c>
      <c r="G19" s="7">
        <v>1.4397342E-2</v>
      </c>
      <c r="H19" s="47"/>
      <c r="J19" s="49"/>
      <c r="K19" s="49"/>
      <c r="L19" s="49"/>
      <c r="M19" s="49"/>
      <c r="N19" s="49"/>
      <c r="O19" s="49"/>
    </row>
    <row r="20" spans="1:15" ht="17.100000000000001" customHeight="1" x14ac:dyDescent="0.2">
      <c r="A20" s="3">
        <v>14</v>
      </c>
      <c r="B20" s="4" t="s">
        <v>271</v>
      </c>
      <c r="C20" s="4" t="s">
        <v>272</v>
      </c>
      <c r="D20" s="4" t="s">
        <v>94</v>
      </c>
      <c r="E20" s="5">
        <v>107086</v>
      </c>
      <c r="F20" s="6">
        <v>1971.7745179999999</v>
      </c>
      <c r="G20" s="7">
        <v>1.2766893E-2</v>
      </c>
      <c r="H20" s="47"/>
      <c r="J20" s="49"/>
      <c r="K20" s="49"/>
      <c r="L20" s="49"/>
      <c r="M20" s="49"/>
      <c r="N20" s="49"/>
      <c r="O20" s="49"/>
    </row>
    <row r="21" spans="1:15" ht="25.5" x14ac:dyDescent="0.2">
      <c r="A21" s="3">
        <v>15</v>
      </c>
      <c r="B21" s="45" t="s">
        <v>1006</v>
      </c>
      <c r="C21" s="45" t="s">
        <v>1007</v>
      </c>
      <c r="D21" s="45" t="s">
        <v>31</v>
      </c>
      <c r="E21" s="46">
        <v>1500000</v>
      </c>
      <c r="F21" s="47">
        <v>1935.4500000000003</v>
      </c>
      <c r="G21" s="48">
        <v>1.25317E-2</v>
      </c>
      <c r="H21" s="47"/>
      <c r="J21" s="49"/>
      <c r="K21" s="49"/>
      <c r="L21" s="49"/>
      <c r="M21" s="49"/>
      <c r="N21" s="49"/>
      <c r="O21" s="49"/>
    </row>
    <row r="22" spans="1:15" ht="17.100000000000001" customHeight="1" x14ac:dyDescent="0.2">
      <c r="A22" s="3">
        <v>16</v>
      </c>
      <c r="B22" s="4" t="s">
        <v>294</v>
      </c>
      <c r="C22" s="4" t="s">
        <v>295</v>
      </c>
      <c r="D22" s="4" t="s">
        <v>296</v>
      </c>
      <c r="E22" s="5">
        <v>240000</v>
      </c>
      <c r="F22" s="6">
        <v>1897.32</v>
      </c>
      <c r="G22" s="7">
        <v>1.2284813E-2</v>
      </c>
      <c r="H22" s="47"/>
      <c r="J22" s="49"/>
      <c r="K22" s="49"/>
      <c r="L22" s="49"/>
      <c r="M22" s="49"/>
      <c r="N22" s="49"/>
      <c r="O22" s="49"/>
    </row>
    <row r="23" spans="1:15" ht="17.100000000000001" customHeight="1" x14ac:dyDescent="0.2">
      <c r="A23" s="3">
        <v>17</v>
      </c>
      <c r="B23" s="4" t="s">
        <v>20</v>
      </c>
      <c r="C23" s="4" t="s">
        <v>21</v>
      </c>
      <c r="D23" s="4" t="s">
        <v>22</v>
      </c>
      <c r="E23" s="5">
        <v>275205</v>
      </c>
      <c r="F23" s="6">
        <v>1885.0166475000001</v>
      </c>
      <c r="G23" s="7">
        <v>1.2205150999999999E-2</v>
      </c>
      <c r="H23" s="47"/>
      <c r="J23" s="49"/>
      <c r="K23" s="49"/>
      <c r="L23" s="49"/>
      <c r="M23" s="49"/>
      <c r="N23" s="49"/>
      <c r="O23" s="49"/>
    </row>
    <row r="24" spans="1:15" ht="17.100000000000001" customHeight="1" x14ac:dyDescent="0.2">
      <c r="A24" s="3">
        <v>18</v>
      </c>
      <c r="B24" s="4" t="s">
        <v>306</v>
      </c>
      <c r="C24" s="4" t="s">
        <v>307</v>
      </c>
      <c r="D24" s="4" t="s">
        <v>19</v>
      </c>
      <c r="E24" s="5">
        <v>1899728</v>
      </c>
      <c r="F24" s="6">
        <v>1850.3350720000001</v>
      </c>
      <c r="G24" s="7">
        <v>1.1980594000000001E-2</v>
      </c>
      <c r="H24" s="47"/>
      <c r="J24" s="49"/>
      <c r="K24" s="49"/>
      <c r="L24" s="49"/>
      <c r="M24" s="49"/>
      <c r="N24" s="49"/>
      <c r="O24" s="49"/>
    </row>
    <row r="25" spans="1:15" ht="17.100000000000001" customHeight="1" x14ac:dyDescent="0.2">
      <c r="A25" s="3">
        <v>19</v>
      </c>
      <c r="B25" s="4" t="s">
        <v>11</v>
      </c>
      <c r="C25" s="4" t="s">
        <v>12</v>
      </c>
      <c r="D25" s="4" t="s">
        <v>13</v>
      </c>
      <c r="E25" s="5">
        <v>113800</v>
      </c>
      <c r="F25" s="6">
        <v>1773.2885000000001</v>
      </c>
      <c r="G25" s="7">
        <v>1.1481731E-2</v>
      </c>
      <c r="H25" s="47"/>
      <c r="J25" s="49"/>
      <c r="K25" s="49"/>
      <c r="L25" s="49"/>
      <c r="M25" s="49"/>
      <c r="N25" s="49"/>
      <c r="O25" s="49"/>
    </row>
    <row r="26" spans="1:15" ht="17.100000000000001" customHeight="1" x14ac:dyDescent="0.2">
      <c r="A26" s="3">
        <v>20</v>
      </c>
      <c r="B26" s="4" t="s">
        <v>403</v>
      </c>
      <c r="C26" s="4" t="s">
        <v>404</v>
      </c>
      <c r="D26" s="4" t="s">
        <v>405</v>
      </c>
      <c r="E26" s="5">
        <v>78000</v>
      </c>
      <c r="F26" s="6">
        <v>1739.8679999999999</v>
      </c>
      <c r="G26" s="7">
        <v>1.1265338999999999E-2</v>
      </c>
      <c r="H26" s="47"/>
      <c r="J26" s="49"/>
      <c r="K26" s="49"/>
      <c r="L26" s="49"/>
      <c r="M26" s="49"/>
      <c r="N26" s="49"/>
      <c r="O26" s="49"/>
    </row>
    <row r="27" spans="1:15" ht="29.1" customHeight="1" x14ac:dyDescent="0.2">
      <c r="A27" s="3">
        <v>21</v>
      </c>
      <c r="B27" s="4" t="s">
        <v>401</v>
      </c>
      <c r="C27" s="4" t="s">
        <v>402</v>
      </c>
      <c r="D27" s="4" t="s">
        <v>204</v>
      </c>
      <c r="E27" s="5">
        <v>190100</v>
      </c>
      <c r="F27" s="6">
        <v>1578.9706000000001</v>
      </c>
      <c r="G27" s="7">
        <v>1.0223556999999999E-2</v>
      </c>
      <c r="H27" s="47"/>
      <c r="J27" s="49"/>
      <c r="K27" s="49"/>
      <c r="L27" s="49"/>
      <c r="M27" s="49"/>
      <c r="N27" s="49"/>
      <c r="O27" s="49"/>
    </row>
    <row r="28" spans="1:15" ht="29.1" customHeight="1" x14ac:dyDescent="0.2">
      <c r="A28" s="3">
        <v>22</v>
      </c>
      <c r="B28" s="4" t="s">
        <v>199</v>
      </c>
      <c r="C28" s="4" t="s">
        <v>200</v>
      </c>
      <c r="D28" s="4" t="s">
        <v>201</v>
      </c>
      <c r="E28" s="5">
        <v>39082</v>
      </c>
      <c r="F28" s="6">
        <v>1427.1183120000001</v>
      </c>
      <c r="G28" s="7">
        <v>9.2403399999999997E-3</v>
      </c>
      <c r="H28" s="47"/>
      <c r="J28" s="49"/>
      <c r="K28" s="49"/>
      <c r="L28" s="49"/>
      <c r="M28" s="49"/>
      <c r="N28" s="49"/>
      <c r="O28" s="49"/>
    </row>
    <row r="29" spans="1:15" ht="17.100000000000001" customHeight="1" x14ac:dyDescent="0.2">
      <c r="A29" s="3">
        <v>23</v>
      </c>
      <c r="B29" s="4" t="s">
        <v>585</v>
      </c>
      <c r="C29" s="4" t="s">
        <v>586</v>
      </c>
      <c r="D29" s="4" t="s">
        <v>321</v>
      </c>
      <c r="E29" s="5">
        <v>258500</v>
      </c>
      <c r="F29" s="6">
        <v>1421.75</v>
      </c>
      <c r="G29" s="7">
        <v>9.2055809999999991E-3</v>
      </c>
      <c r="H29" s="47"/>
      <c r="J29" s="49"/>
      <c r="K29" s="49"/>
      <c r="L29" s="49"/>
      <c r="M29" s="49"/>
      <c r="N29" s="49"/>
      <c r="O29" s="49"/>
    </row>
    <row r="30" spans="1:15" ht="17.100000000000001" customHeight="1" x14ac:dyDescent="0.2">
      <c r="A30" s="3">
        <v>24</v>
      </c>
      <c r="B30" s="4" t="s">
        <v>301</v>
      </c>
      <c r="C30" s="4" t="s">
        <v>302</v>
      </c>
      <c r="D30" s="4" t="s">
        <v>303</v>
      </c>
      <c r="E30" s="5">
        <v>3529</v>
      </c>
      <c r="F30" s="6">
        <v>1417.4757850000001</v>
      </c>
      <c r="G30" s="7">
        <v>9.1779059999999996E-3</v>
      </c>
      <c r="H30" s="47"/>
      <c r="J30" s="49"/>
      <c r="K30" s="49"/>
      <c r="L30" s="49"/>
      <c r="M30" s="49"/>
      <c r="N30" s="49"/>
      <c r="O30" s="49"/>
    </row>
    <row r="31" spans="1:15" ht="29.1" customHeight="1" x14ac:dyDescent="0.2">
      <c r="A31" s="3">
        <v>25</v>
      </c>
      <c r="B31" s="4" t="s">
        <v>370</v>
      </c>
      <c r="C31" s="4" t="s">
        <v>371</v>
      </c>
      <c r="D31" s="4" t="s">
        <v>238</v>
      </c>
      <c r="E31" s="5">
        <v>200000</v>
      </c>
      <c r="F31" s="6">
        <v>1412.7</v>
      </c>
      <c r="G31" s="7">
        <v>9.1469840000000004E-3</v>
      </c>
      <c r="H31" s="47"/>
      <c r="J31" s="49"/>
      <c r="K31" s="49"/>
      <c r="L31" s="49"/>
      <c r="M31" s="49"/>
      <c r="N31" s="49"/>
      <c r="O31" s="49"/>
    </row>
    <row r="32" spans="1:15" ht="29.1" customHeight="1" x14ac:dyDescent="0.2">
      <c r="A32" s="3">
        <v>26</v>
      </c>
      <c r="B32" s="4" t="s">
        <v>167</v>
      </c>
      <c r="C32" s="4" t="s">
        <v>168</v>
      </c>
      <c r="D32" s="4" t="s">
        <v>25</v>
      </c>
      <c r="E32" s="5">
        <v>376500</v>
      </c>
      <c r="F32" s="6">
        <v>1366.6949999999999</v>
      </c>
      <c r="G32" s="7">
        <v>8.8491090000000008E-3</v>
      </c>
      <c r="H32" s="47"/>
      <c r="J32" s="49"/>
      <c r="K32" s="49"/>
      <c r="L32" s="49"/>
      <c r="M32" s="49"/>
      <c r="N32" s="49"/>
      <c r="O32" s="49"/>
    </row>
    <row r="33" spans="1:15" ht="17.100000000000001" customHeight="1" x14ac:dyDescent="0.2">
      <c r="A33" s="3">
        <v>27</v>
      </c>
      <c r="B33" s="4" t="s">
        <v>426</v>
      </c>
      <c r="C33" s="4" t="s">
        <v>427</v>
      </c>
      <c r="D33" s="4" t="s">
        <v>428</v>
      </c>
      <c r="E33" s="5">
        <v>382975</v>
      </c>
      <c r="F33" s="6">
        <v>1296.9448374999999</v>
      </c>
      <c r="G33" s="7">
        <v>8.3974889999999993E-3</v>
      </c>
      <c r="H33" s="47"/>
      <c r="J33" s="49"/>
      <c r="K33" s="49"/>
      <c r="L33" s="49"/>
      <c r="M33" s="49"/>
      <c r="N33" s="49"/>
      <c r="O33" s="49"/>
    </row>
    <row r="34" spans="1:15" ht="17.100000000000001" customHeight="1" x14ac:dyDescent="0.2">
      <c r="A34" s="3">
        <v>28</v>
      </c>
      <c r="B34" s="4" t="s">
        <v>83</v>
      </c>
      <c r="C34" s="4" t="s">
        <v>84</v>
      </c>
      <c r="D34" s="4" t="s">
        <v>85</v>
      </c>
      <c r="E34" s="5">
        <v>14500</v>
      </c>
      <c r="F34" s="6">
        <v>1228.25875</v>
      </c>
      <c r="G34" s="7">
        <v>7.9527590000000002E-3</v>
      </c>
      <c r="H34" s="47"/>
      <c r="J34" s="49"/>
      <c r="K34" s="49"/>
      <c r="L34" s="49"/>
      <c r="M34" s="49"/>
      <c r="N34" s="49"/>
      <c r="O34" s="49"/>
    </row>
    <row r="35" spans="1:15" ht="17.100000000000001" customHeight="1" x14ac:dyDescent="0.2">
      <c r="A35" s="3">
        <v>29</v>
      </c>
      <c r="B35" s="4" t="s">
        <v>424</v>
      </c>
      <c r="C35" s="4" t="s">
        <v>425</v>
      </c>
      <c r="D35" s="4" t="s">
        <v>114</v>
      </c>
      <c r="E35" s="5">
        <v>136425</v>
      </c>
      <c r="F35" s="6">
        <v>1182.8729625000001</v>
      </c>
      <c r="G35" s="7">
        <v>7.6588940000000003E-3</v>
      </c>
      <c r="H35" s="47"/>
    </row>
    <row r="36" spans="1:15" ht="17.100000000000001" customHeight="1" x14ac:dyDescent="0.2">
      <c r="A36" s="3">
        <v>30</v>
      </c>
      <c r="B36" s="4" t="s">
        <v>399</v>
      </c>
      <c r="C36" s="4" t="s">
        <v>400</v>
      </c>
      <c r="D36" s="4" t="s">
        <v>321</v>
      </c>
      <c r="E36" s="5">
        <v>106750</v>
      </c>
      <c r="F36" s="6">
        <v>1154.6079999999999</v>
      </c>
      <c r="G36" s="7">
        <v>7.475883E-3</v>
      </c>
      <c r="H36" s="47"/>
    </row>
    <row r="37" spans="1:15" ht="29.1" customHeight="1" x14ac:dyDescent="0.2">
      <c r="A37" s="3">
        <v>31</v>
      </c>
      <c r="B37" s="4" t="s">
        <v>330</v>
      </c>
      <c r="C37" s="4" t="s">
        <v>331</v>
      </c>
      <c r="D37" s="4" t="s">
        <v>204</v>
      </c>
      <c r="E37" s="5">
        <v>42500</v>
      </c>
      <c r="F37" s="6">
        <v>1148.2225000000001</v>
      </c>
      <c r="G37" s="7">
        <v>7.4345380000000001E-3</v>
      </c>
      <c r="H37" s="47"/>
    </row>
    <row r="38" spans="1:15" ht="17.100000000000001" customHeight="1" x14ac:dyDescent="0.2">
      <c r="A38" s="3">
        <v>32</v>
      </c>
      <c r="B38" s="4" t="s">
        <v>364</v>
      </c>
      <c r="C38" s="4" t="s">
        <v>365</v>
      </c>
      <c r="D38" s="4" t="s">
        <v>91</v>
      </c>
      <c r="E38" s="5">
        <v>10088</v>
      </c>
      <c r="F38" s="6">
        <v>1102.79494</v>
      </c>
      <c r="G38" s="7">
        <v>7.140403E-3</v>
      </c>
      <c r="H38" s="47"/>
    </row>
    <row r="39" spans="1:15" ht="17.100000000000001" customHeight="1" x14ac:dyDescent="0.2">
      <c r="A39" s="3">
        <v>33</v>
      </c>
      <c r="B39" s="4" t="s">
        <v>378</v>
      </c>
      <c r="C39" s="4" t="s">
        <v>379</v>
      </c>
      <c r="D39" s="4" t="s">
        <v>85</v>
      </c>
      <c r="E39" s="5">
        <v>130000</v>
      </c>
      <c r="F39" s="6">
        <v>1094.5350000000001</v>
      </c>
      <c r="G39" s="7">
        <v>7.0869210000000004E-3</v>
      </c>
      <c r="H39" s="47"/>
    </row>
    <row r="40" spans="1:15" ht="29.1" customHeight="1" x14ac:dyDescent="0.2">
      <c r="A40" s="3">
        <v>34</v>
      </c>
      <c r="B40" s="4" t="s">
        <v>277</v>
      </c>
      <c r="C40" s="4" t="s">
        <v>278</v>
      </c>
      <c r="D40" s="4" t="s">
        <v>201</v>
      </c>
      <c r="E40" s="5">
        <v>230000</v>
      </c>
      <c r="F40" s="6">
        <v>1081.345</v>
      </c>
      <c r="G40" s="7">
        <v>7.001518E-3</v>
      </c>
      <c r="H40" s="47"/>
    </row>
    <row r="41" spans="1:15" ht="17.100000000000001" customHeight="1" x14ac:dyDescent="0.2">
      <c r="A41" s="3">
        <v>35</v>
      </c>
      <c r="B41" s="4" t="s">
        <v>442</v>
      </c>
      <c r="C41" s="4" t="s">
        <v>443</v>
      </c>
      <c r="D41" s="4" t="s">
        <v>85</v>
      </c>
      <c r="E41" s="5">
        <v>247503</v>
      </c>
      <c r="F41" s="6">
        <v>1019.217354</v>
      </c>
      <c r="G41" s="7">
        <v>6.5992530000000002E-3</v>
      </c>
      <c r="H41" s="47"/>
    </row>
    <row r="42" spans="1:15" ht="17.100000000000001" customHeight="1" x14ac:dyDescent="0.2">
      <c r="A42" s="3">
        <v>36</v>
      </c>
      <c r="B42" s="4" t="s">
        <v>608</v>
      </c>
      <c r="C42" s="4" t="s">
        <v>609</v>
      </c>
      <c r="D42" s="4" t="s">
        <v>85</v>
      </c>
      <c r="E42" s="5">
        <v>36474</v>
      </c>
      <c r="F42" s="6">
        <v>1019.211219</v>
      </c>
      <c r="G42" s="7">
        <v>6.5992129999999996E-3</v>
      </c>
      <c r="H42" s="47"/>
    </row>
    <row r="43" spans="1:15" ht="17.100000000000001" customHeight="1" x14ac:dyDescent="0.2">
      <c r="A43" s="3">
        <v>37</v>
      </c>
      <c r="B43" s="4" t="s">
        <v>338</v>
      </c>
      <c r="C43" s="4" t="s">
        <v>339</v>
      </c>
      <c r="D43" s="4" t="s">
        <v>114</v>
      </c>
      <c r="E43" s="5">
        <v>300000</v>
      </c>
      <c r="F43" s="6">
        <v>987.75</v>
      </c>
      <c r="G43" s="7">
        <v>6.3955069999999999E-3</v>
      </c>
      <c r="H43" s="47"/>
    </row>
    <row r="44" spans="1:15" ht="29.1" customHeight="1" x14ac:dyDescent="0.2">
      <c r="A44" s="3">
        <v>38</v>
      </c>
      <c r="B44" s="4" t="s">
        <v>340</v>
      </c>
      <c r="C44" s="4" t="s">
        <v>341</v>
      </c>
      <c r="D44" s="4" t="s">
        <v>342</v>
      </c>
      <c r="E44" s="5">
        <v>100000</v>
      </c>
      <c r="F44" s="6">
        <v>953.15</v>
      </c>
      <c r="G44" s="7">
        <v>6.1714780000000002E-3</v>
      </c>
      <c r="H44" s="47"/>
    </row>
    <row r="45" spans="1:15" ht="17.100000000000001" customHeight="1" x14ac:dyDescent="0.2">
      <c r="A45" s="3">
        <v>39</v>
      </c>
      <c r="B45" s="4" t="s">
        <v>412</v>
      </c>
      <c r="C45" s="4" t="s">
        <v>413</v>
      </c>
      <c r="D45" s="4" t="s">
        <v>405</v>
      </c>
      <c r="E45" s="5">
        <v>345400</v>
      </c>
      <c r="F45" s="6">
        <v>944.66899999999998</v>
      </c>
      <c r="G45" s="7">
        <v>6.116565E-3</v>
      </c>
      <c r="H45" s="47"/>
    </row>
    <row r="46" spans="1:15" ht="17.100000000000001" customHeight="1" x14ac:dyDescent="0.2">
      <c r="A46" s="3">
        <v>40</v>
      </c>
      <c r="B46" s="4" t="s">
        <v>432</v>
      </c>
      <c r="C46" s="4" t="s">
        <v>433</v>
      </c>
      <c r="D46" s="4" t="s">
        <v>94</v>
      </c>
      <c r="E46" s="5">
        <v>150000</v>
      </c>
      <c r="F46" s="6">
        <v>830.7</v>
      </c>
      <c r="G46" s="7">
        <v>5.378636E-3</v>
      </c>
      <c r="H46" s="47"/>
    </row>
    <row r="47" spans="1:15" ht="17.100000000000001" customHeight="1" x14ac:dyDescent="0.2">
      <c r="A47" s="3">
        <v>41</v>
      </c>
      <c r="B47" s="4" t="s">
        <v>343</v>
      </c>
      <c r="C47" s="4" t="s">
        <v>344</v>
      </c>
      <c r="D47" s="4" t="s">
        <v>91</v>
      </c>
      <c r="E47" s="5">
        <v>137000</v>
      </c>
      <c r="F47" s="6">
        <v>812.68399999999997</v>
      </c>
      <c r="G47" s="7">
        <v>5.2619859999999997E-3</v>
      </c>
      <c r="H47" s="47"/>
    </row>
    <row r="48" spans="1:15" ht="17.100000000000001" customHeight="1" x14ac:dyDescent="0.2">
      <c r="A48" s="3">
        <v>42</v>
      </c>
      <c r="B48" s="4" t="s">
        <v>677</v>
      </c>
      <c r="C48" s="4" t="s">
        <v>678</v>
      </c>
      <c r="D48" s="4" t="s">
        <v>351</v>
      </c>
      <c r="E48" s="5">
        <v>106902</v>
      </c>
      <c r="F48" s="6">
        <v>809.83610099999999</v>
      </c>
      <c r="G48" s="7">
        <v>5.243546E-3</v>
      </c>
      <c r="H48" s="47"/>
    </row>
    <row r="49" spans="1:8" ht="17.100000000000001" customHeight="1" x14ac:dyDescent="0.2">
      <c r="A49" s="3">
        <v>43</v>
      </c>
      <c r="B49" s="4" t="s">
        <v>319</v>
      </c>
      <c r="C49" s="4" t="s">
        <v>320</v>
      </c>
      <c r="D49" s="4" t="s">
        <v>321</v>
      </c>
      <c r="E49" s="5">
        <v>100000</v>
      </c>
      <c r="F49" s="6">
        <v>782.35</v>
      </c>
      <c r="G49" s="7">
        <v>5.0655780000000003E-3</v>
      </c>
      <c r="H49" s="47"/>
    </row>
    <row r="50" spans="1:8" ht="17.100000000000001" customHeight="1" x14ac:dyDescent="0.2">
      <c r="A50" s="3">
        <v>44</v>
      </c>
      <c r="B50" s="4" t="s">
        <v>420</v>
      </c>
      <c r="C50" s="4" t="s">
        <v>421</v>
      </c>
      <c r="D50" s="4" t="s">
        <v>19</v>
      </c>
      <c r="E50" s="5">
        <v>46000</v>
      </c>
      <c r="F50" s="6">
        <v>764.10599999999999</v>
      </c>
      <c r="G50" s="7">
        <v>4.9474519999999998E-3</v>
      </c>
      <c r="H50" s="47"/>
    </row>
    <row r="51" spans="1:8" ht="17.100000000000001" customHeight="1" x14ac:dyDescent="0.2">
      <c r="A51" s="3">
        <v>45</v>
      </c>
      <c r="B51" s="4" t="s">
        <v>354</v>
      </c>
      <c r="C51" s="4" t="s">
        <v>355</v>
      </c>
      <c r="D51" s="4" t="s">
        <v>171</v>
      </c>
      <c r="E51" s="5">
        <v>24000</v>
      </c>
      <c r="F51" s="6">
        <v>727.39200000000005</v>
      </c>
      <c r="G51" s="7">
        <v>4.7097349999999996E-3</v>
      </c>
      <c r="H51" s="47"/>
    </row>
    <row r="52" spans="1:8" ht="17.100000000000001" customHeight="1" x14ac:dyDescent="0.2">
      <c r="A52" s="3">
        <v>46</v>
      </c>
      <c r="B52" s="4" t="s">
        <v>406</v>
      </c>
      <c r="C52" s="4" t="s">
        <v>407</v>
      </c>
      <c r="D52" s="4" t="s">
        <v>85</v>
      </c>
      <c r="E52" s="5">
        <v>65900</v>
      </c>
      <c r="F52" s="6">
        <v>720.38585</v>
      </c>
      <c r="G52" s="7">
        <v>4.6643709999999996E-3</v>
      </c>
      <c r="H52" s="47"/>
    </row>
    <row r="53" spans="1:8" ht="17.100000000000001" customHeight="1" x14ac:dyDescent="0.2">
      <c r="A53" s="3">
        <v>47</v>
      </c>
      <c r="B53" s="4" t="s">
        <v>252</v>
      </c>
      <c r="C53" s="4" t="s">
        <v>253</v>
      </c>
      <c r="D53" s="4" t="s">
        <v>97</v>
      </c>
      <c r="E53" s="5">
        <v>989100</v>
      </c>
      <c r="F53" s="6">
        <v>645.38774999999998</v>
      </c>
      <c r="G53" s="7">
        <v>4.1787719999999999E-3</v>
      </c>
      <c r="H53" s="47"/>
    </row>
    <row r="54" spans="1:8" ht="29.1" customHeight="1" x14ac:dyDescent="0.2">
      <c r="A54" s="3">
        <v>48</v>
      </c>
      <c r="B54" s="4" t="s">
        <v>23</v>
      </c>
      <c r="C54" s="4" t="s">
        <v>24</v>
      </c>
      <c r="D54" s="4" t="s">
        <v>25</v>
      </c>
      <c r="E54" s="5">
        <v>11500</v>
      </c>
      <c r="F54" s="6">
        <v>644.83950000000004</v>
      </c>
      <c r="G54" s="7">
        <v>4.1752220000000001E-3</v>
      </c>
      <c r="H54" s="47"/>
    </row>
    <row r="55" spans="1:8" ht="29.1" customHeight="1" x14ac:dyDescent="0.2">
      <c r="A55" s="3">
        <v>49</v>
      </c>
      <c r="B55" s="4" t="s">
        <v>510</v>
      </c>
      <c r="C55" s="4" t="s">
        <v>511</v>
      </c>
      <c r="D55" s="4" t="s">
        <v>204</v>
      </c>
      <c r="E55" s="5">
        <v>70000</v>
      </c>
      <c r="F55" s="6">
        <v>642.04</v>
      </c>
      <c r="G55" s="7">
        <v>4.1570959999999999E-3</v>
      </c>
      <c r="H55" s="47"/>
    </row>
    <row r="56" spans="1:8" ht="17.100000000000001" customHeight="1" x14ac:dyDescent="0.2">
      <c r="A56" s="3">
        <v>50</v>
      </c>
      <c r="B56" s="4" t="s">
        <v>352</v>
      </c>
      <c r="C56" s="4" t="s">
        <v>353</v>
      </c>
      <c r="D56" s="4" t="s">
        <v>88</v>
      </c>
      <c r="E56" s="5">
        <v>1070000</v>
      </c>
      <c r="F56" s="6">
        <v>640.92999999999995</v>
      </c>
      <c r="G56" s="7">
        <v>4.1499090000000002E-3</v>
      </c>
      <c r="H56" s="47"/>
    </row>
    <row r="57" spans="1:8" ht="17.100000000000001" customHeight="1" x14ac:dyDescent="0.2">
      <c r="A57" s="3">
        <v>51</v>
      </c>
      <c r="B57" s="4" t="s">
        <v>261</v>
      </c>
      <c r="C57" s="4" t="s">
        <v>262</v>
      </c>
      <c r="D57" s="4" t="s">
        <v>80</v>
      </c>
      <c r="E57" s="5">
        <v>325000</v>
      </c>
      <c r="F57" s="6">
        <v>622.86249999999995</v>
      </c>
      <c r="G57" s="7">
        <v>4.0329249999999997E-3</v>
      </c>
      <c r="H57" s="47"/>
    </row>
    <row r="58" spans="1:8" ht="17.100000000000001" customHeight="1" x14ac:dyDescent="0.2">
      <c r="A58" s="3">
        <v>52</v>
      </c>
      <c r="B58" s="4" t="s">
        <v>376</v>
      </c>
      <c r="C58" s="4" t="s">
        <v>377</v>
      </c>
      <c r="D58" s="4" t="s">
        <v>88</v>
      </c>
      <c r="E58" s="5">
        <v>96692</v>
      </c>
      <c r="F58" s="6">
        <v>578.94335000000001</v>
      </c>
      <c r="G58" s="7">
        <v>3.7485560000000001E-3</v>
      </c>
      <c r="H58" s="47"/>
    </row>
    <row r="59" spans="1:8" ht="17.100000000000001" customHeight="1" x14ac:dyDescent="0.2">
      <c r="A59" s="3">
        <v>53</v>
      </c>
      <c r="B59" s="4" t="s">
        <v>315</v>
      </c>
      <c r="C59" s="4" t="s">
        <v>316</v>
      </c>
      <c r="D59" s="4" t="s">
        <v>91</v>
      </c>
      <c r="E59" s="5">
        <v>44000</v>
      </c>
      <c r="F59" s="6">
        <v>563.79399999999998</v>
      </c>
      <c r="G59" s="7">
        <v>3.6504670000000001E-3</v>
      </c>
      <c r="H59" s="47"/>
    </row>
    <row r="60" spans="1:8" ht="17.100000000000001" customHeight="1" x14ac:dyDescent="0.2">
      <c r="A60" s="3">
        <v>54</v>
      </c>
      <c r="B60" s="4" t="s">
        <v>210</v>
      </c>
      <c r="C60" s="4" t="s">
        <v>211</v>
      </c>
      <c r="D60" s="4" t="s">
        <v>16</v>
      </c>
      <c r="E60" s="5">
        <v>255000</v>
      </c>
      <c r="F60" s="6">
        <v>553.86</v>
      </c>
      <c r="G60" s="7">
        <v>3.5861460000000001E-3</v>
      </c>
      <c r="H60" s="47"/>
    </row>
    <row r="61" spans="1:8" ht="17.100000000000001" customHeight="1" x14ac:dyDescent="0.2">
      <c r="A61" s="3">
        <v>55</v>
      </c>
      <c r="B61" s="4" t="s">
        <v>360</v>
      </c>
      <c r="C61" s="4" t="s">
        <v>361</v>
      </c>
      <c r="D61" s="4" t="s">
        <v>91</v>
      </c>
      <c r="E61" s="5">
        <v>150000</v>
      </c>
      <c r="F61" s="6">
        <v>491.02499999999998</v>
      </c>
      <c r="G61" s="7">
        <v>3.1792999999999999E-3</v>
      </c>
      <c r="H61" s="47"/>
    </row>
    <row r="62" spans="1:8" ht="29.1" customHeight="1" x14ac:dyDescent="0.2">
      <c r="A62" s="3">
        <v>56</v>
      </c>
      <c r="B62" s="4" t="s">
        <v>691</v>
      </c>
      <c r="C62" s="4" t="s">
        <v>692</v>
      </c>
      <c r="D62" s="4" t="s">
        <v>204</v>
      </c>
      <c r="E62" s="5">
        <v>10500</v>
      </c>
      <c r="F62" s="6">
        <v>461.34899999999999</v>
      </c>
      <c r="G62" s="7">
        <v>2.9871540000000001E-3</v>
      </c>
      <c r="H62" s="47"/>
    </row>
    <row r="63" spans="1:8" ht="29.1" customHeight="1" x14ac:dyDescent="0.2">
      <c r="A63" s="3">
        <v>57</v>
      </c>
      <c r="B63" s="4" t="s">
        <v>175</v>
      </c>
      <c r="C63" s="4" t="s">
        <v>176</v>
      </c>
      <c r="D63" s="4" t="s">
        <v>88</v>
      </c>
      <c r="E63" s="5">
        <v>130000</v>
      </c>
      <c r="F63" s="6">
        <v>442.19499999999999</v>
      </c>
      <c r="G63" s="7">
        <v>2.8631350000000002E-3</v>
      </c>
      <c r="H63" s="47"/>
    </row>
    <row r="64" spans="1:8" ht="17.100000000000001" customHeight="1" x14ac:dyDescent="0.2">
      <c r="A64" s="3">
        <v>58</v>
      </c>
      <c r="B64" s="4" t="s">
        <v>73</v>
      </c>
      <c r="C64" s="4" t="s">
        <v>74</v>
      </c>
      <c r="D64" s="4" t="s">
        <v>75</v>
      </c>
      <c r="E64" s="5">
        <v>271839</v>
      </c>
      <c r="F64" s="6">
        <v>367.52632799999998</v>
      </c>
      <c r="G64" s="7">
        <v>2.3796680000000001E-3</v>
      </c>
      <c r="H64" s="47"/>
    </row>
    <row r="65" spans="1:8" ht="53.1" customHeight="1" x14ac:dyDescent="0.2">
      <c r="A65" s="3">
        <v>59</v>
      </c>
      <c r="B65" s="4" t="s">
        <v>60</v>
      </c>
      <c r="C65" s="4" t="s">
        <v>61</v>
      </c>
      <c r="D65" s="4" t="s">
        <v>62</v>
      </c>
      <c r="E65" s="5">
        <v>247500</v>
      </c>
      <c r="F65" s="6">
        <v>365.80500000000001</v>
      </c>
      <c r="G65" s="7">
        <v>2.368523E-3</v>
      </c>
      <c r="H65" s="47"/>
    </row>
    <row r="66" spans="1:8" ht="29.1" customHeight="1" x14ac:dyDescent="0.2">
      <c r="A66" s="3">
        <v>60</v>
      </c>
      <c r="B66" s="4" t="s">
        <v>179</v>
      </c>
      <c r="C66" s="4" t="s">
        <v>180</v>
      </c>
      <c r="D66" s="4" t="s">
        <v>181</v>
      </c>
      <c r="E66" s="5">
        <v>54517</v>
      </c>
      <c r="F66" s="6">
        <v>334.54357049999999</v>
      </c>
      <c r="G66" s="7">
        <v>2.1661110000000001E-3</v>
      </c>
      <c r="H66" s="47"/>
    </row>
    <row r="67" spans="1:8" ht="53.1" customHeight="1" x14ac:dyDescent="0.2">
      <c r="A67" s="3">
        <v>61</v>
      </c>
      <c r="B67" s="4" t="s">
        <v>422</v>
      </c>
      <c r="C67" s="4" t="s">
        <v>423</v>
      </c>
      <c r="D67" s="4" t="s">
        <v>62</v>
      </c>
      <c r="E67" s="5">
        <v>151829</v>
      </c>
      <c r="F67" s="6">
        <v>315.80432000000002</v>
      </c>
      <c r="G67" s="7">
        <v>2.0447769999999998E-3</v>
      </c>
      <c r="H67" s="47"/>
    </row>
    <row r="68" spans="1:8" ht="29.1" customHeight="1" x14ac:dyDescent="0.2">
      <c r="A68" s="3">
        <v>62</v>
      </c>
      <c r="B68" s="4" t="s">
        <v>730</v>
      </c>
      <c r="C68" s="4" t="s">
        <v>731</v>
      </c>
      <c r="D68" s="4" t="s">
        <v>25</v>
      </c>
      <c r="E68" s="5">
        <v>20900</v>
      </c>
      <c r="F68" s="6">
        <v>276.03674999999998</v>
      </c>
      <c r="G68" s="7">
        <v>1.7872890000000001E-3</v>
      </c>
      <c r="H68" s="47"/>
    </row>
    <row r="69" spans="1:8" ht="17.100000000000001" customHeight="1" x14ac:dyDescent="0.2">
      <c r="A69" s="3">
        <v>63</v>
      </c>
      <c r="B69" s="4" t="s">
        <v>440</v>
      </c>
      <c r="C69" s="4" t="s">
        <v>441</v>
      </c>
      <c r="D69" s="4" t="s">
        <v>91</v>
      </c>
      <c r="E69" s="5">
        <v>4864</v>
      </c>
      <c r="F69" s="6">
        <v>262.68031999999999</v>
      </c>
      <c r="G69" s="7">
        <v>1.700809E-3</v>
      </c>
      <c r="H69" s="47"/>
    </row>
    <row r="70" spans="1:8" ht="53.1" customHeight="1" x14ac:dyDescent="0.2">
      <c r="A70" s="3">
        <v>64</v>
      </c>
      <c r="B70" s="4" t="s">
        <v>100</v>
      </c>
      <c r="C70" s="4" t="s">
        <v>101</v>
      </c>
      <c r="D70" s="4" t="s">
        <v>62</v>
      </c>
      <c r="E70" s="5">
        <v>20670</v>
      </c>
      <c r="F70" s="6">
        <v>259.418835</v>
      </c>
      <c r="G70" s="7">
        <v>1.6796910000000001E-3</v>
      </c>
      <c r="H70" s="47"/>
    </row>
    <row r="71" spans="1:8" ht="29.1" customHeight="1" x14ac:dyDescent="0.2">
      <c r="A71" s="3">
        <v>65</v>
      </c>
      <c r="B71" s="4" t="s">
        <v>57</v>
      </c>
      <c r="C71" s="4" t="s">
        <v>58</v>
      </c>
      <c r="D71" s="4" t="s">
        <v>59</v>
      </c>
      <c r="E71" s="5">
        <v>31250</v>
      </c>
      <c r="F71" s="6">
        <v>210.015625</v>
      </c>
      <c r="G71" s="7">
        <v>1.359814E-3</v>
      </c>
      <c r="H71" s="47"/>
    </row>
    <row r="72" spans="1:8" ht="17.100000000000001" customHeight="1" x14ac:dyDescent="0.2">
      <c r="A72" s="3">
        <v>66</v>
      </c>
      <c r="B72" s="4" t="s">
        <v>749</v>
      </c>
      <c r="C72" s="4" t="s">
        <v>750</v>
      </c>
      <c r="D72" s="4" t="s">
        <v>751</v>
      </c>
      <c r="E72" s="5">
        <v>69750</v>
      </c>
      <c r="F72" s="6">
        <v>155.54249999999999</v>
      </c>
      <c r="G72" s="7">
        <v>1.0071100000000001E-3</v>
      </c>
      <c r="H72" s="47"/>
    </row>
    <row r="73" spans="1:8" ht="17.100000000000001" customHeight="1" x14ac:dyDescent="0.2">
      <c r="A73" s="3">
        <v>67</v>
      </c>
      <c r="B73" s="4" t="s">
        <v>366</v>
      </c>
      <c r="C73" s="4" t="s">
        <v>367</v>
      </c>
      <c r="D73" s="4" t="s">
        <v>209</v>
      </c>
      <c r="E73" s="5">
        <v>48014</v>
      </c>
      <c r="F73" s="6">
        <v>115.2336</v>
      </c>
      <c r="G73" s="7">
        <v>7.4611700000000003E-4</v>
      </c>
      <c r="H73" s="47"/>
    </row>
    <row r="74" spans="1:8" ht="17.100000000000001" customHeight="1" x14ac:dyDescent="0.2">
      <c r="A74" s="3">
        <v>68</v>
      </c>
      <c r="B74" s="4" t="s">
        <v>117</v>
      </c>
      <c r="C74" s="4" t="s">
        <v>118</v>
      </c>
      <c r="D74" s="4" t="s">
        <v>75</v>
      </c>
      <c r="E74" s="5">
        <v>50000</v>
      </c>
      <c r="F74" s="6">
        <v>108.95</v>
      </c>
      <c r="G74" s="7">
        <v>7.0543199999999998E-4</v>
      </c>
      <c r="H74" s="47"/>
    </row>
    <row r="75" spans="1:8" ht="29.1" customHeight="1" x14ac:dyDescent="0.2">
      <c r="A75" s="3">
        <v>69</v>
      </c>
      <c r="B75" s="4" t="s">
        <v>864</v>
      </c>
      <c r="C75" s="4" t="s">
        <v>865</v>
      </c>
      <c r="D75" s="4" t="s">
        <v>201</v>
      </c>
      <c r="E75" s="5">
        <v>13000</v>
      </c>
      <c r="F75" s="6">
        <v>103.13549999999999</v>
      </c>
      <c r="G75" s="7">
        <v>6.6778400000000004E-4</v>
      </c>
      <c r="H75" s="47"/>
    </row>
    <row r="76" spans="1:8" ht="17.100000000000001" customHeight="1" x14ac:dyDescent="0.2">
      <c r="A76" s="3">
        <v>70</v>
      </c>
      <c r="B76" s="4" t="s">
        <v>313</v>
      </c>
      <c r="C76" s="4" t="s">
        <v>314</v>
      </c>
      <c r="D76" s="4" t="s">
        <v>209</v>
      </c>
      <c r="E76" s="5">
        <v>2750</v>
      </c>
      <c r="F76" s="6">
        <v>101.29625</v>
      </c>
      <c r="G76" s="7">
        <v>6.5587499999999999E-4</v>
      </c>
      <c r="H76" s="47"/>
    </row>
    <row r="77" spans="1:8" ht="17.100000000000001" customHeight="1" x14ac:dyDescent="0.2">
      <c r="A77" s="3">
        <v>71</v>
      </c>
      <c r="B77" s="4" t="s">
        <v>720</v>
      </c>
      <c r="C77" s="4" t="s">
        <v>721</v>
      </c>
      <c r="D77" s="4" t="s">
        <v>97</v>
      </c>
      <c r="E77" s="5">
        <v>24750</v>
      </c>
      <c r="F77" s="6">
        <v>77.393249999999995</v>
      </c>
      <c r="G77" s="7">
        <v>5.01108E-4</v>
      </c>
      <c r="H77" s="47"/>
    </row>
    <row r="78" spans="1:8" ht="17.100000000000001" customHeight="1" x14ac:dyDescent="0.2">
      <c r="A78" s="3">
        <v>72</v>
      </c>
      <c r="B78" s="4" t="s">
        <v>738</v>
      </c>
      <c r="C78" s="4" t="s">
        <v>739</v>
      </c>
      <c r="D78" s="4" t="s">
        <v>114</v>
      </c>
      <c r="E78" s="5">
        <v>13500</v>
      </c>
      <c r="F78" s="6">
        <v>76.207499999999996</v>
      </c>
      <c r="G78" s="7">
        <v>4.9343E-4</v>
      </c>
      <c r="H78" s="47"/>
    </row>
    <row r="79" spans="1:8" ht="29.1" customHeight="1" x14ac:dyDescent="0.2">
      <c r="A79" s="3">
        <v>73</v>
      </c>
      <c r="B79" s="4" t="s">
        <v>436</v>
      </c>
      <c r="C79" s="4" t="s">
        <v>437</v>
      </c>
      <c r="D79" s="4" t="s">
        <v>204</v>
      </c>
      <c r="E79" s="5">
        <v>900</v>
      </c>
      <c r="F79" s="6">
        <v>32.6736</v>
      </c>
      <c r="G79" s="7">
        <v>2.1155600000000001E-4</v>
      </c>
      <c r="H79" s="47"/>
    </row>
    <row r="80" spans="1:8" ht="14.1" customHeight="1" x14ac:dyDescent="0.2">
      <c r="A80" s="1"/>
      <c r="B80" s="1"/>
      <c r="C80" s="2" t="s">
        <v>122</v>
      </c>
      <c r="D80" s="1"/>
      <c r="E80" s="1" t="s">
        <v>123</v>
      </c>
      <c r="F80" s="9">
        <v>111895.00966199998</v>
      </c>
      <c r="G80" s="10">
        <v>0.72450048200000017</v>
      </c>
      <c r="H80" s="47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47"/>
    </row>
    <row r="82" spans="1:8" ht="14.1" customHeight="1" x14ac:dyDescent="0.2">
      <c r="A82" s="1"/>
      <c r="B82" s="1"/>
      <c r="C82" s="2" t="s">
        <v>124</v>
      </c>
      <c r="D82" s="1"/>
      <c r="E82" s="1"/>
      <c r="F82" s="1"/>
      <c r="G82" s="1"/>
      <c r="H82" s="47"/>
    </row>
    <row r="83" spans="1:8" ht="14.1" customHeight="1" x14ac:dyDescent="0.2">
      <c r="A83" s="1"/>
      <c r="B83" s="1"/>
      <c r="C83" s="2" t="s">
        <v>122</v>
      </c>
      <c r="D83" s="1"/>
      <c r="E83" s="1" t="s">
        <v>123</v>
      </c>
      <c r="F83" s="13">
        <v>0</v>
      </c>
      <c r="G83" s="14">
        <v>0</v>
      </c>
      <c r="H83" s="47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125</v>
      </c>
      <c r="D85" s="1"/>
      <c r="E85" s="1"/>
      <c r="F85" s="1"/>
      <c r="G85" s="1"/>
      <c r="H85" s="47"/>
    </row>
    <row r="86" spans="1:8" ht="14.1" customHeight="1" x14ac:dyDescent="0.2">
      <c r="A86" s="1"/>
      <c r="B86" s="1"/>
      <c r="C86" s="2" t="s">
        <v>122</v>
      </c>
      <c r="D86" s="1"/>
      <c r="E86" s="1" t="s">
        <v>123</v>
      </c>
      <c r="F86" s="13">
        <v>0</v>
      </c>
      <c r="G86" s="14">
        <v>0</v>
      </c>
      <c r="H86" s="47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47"/>
    </row>
    <row r="88" spans="1:8" ht="14.1" customHeight="1" x14ac:dyDescent="0.2">
      <c r="A88" s="1"/>
      <c r="B88" s="1"/>
      <c r="C88" s="2" t="s">
        <v>126</v>
      </c>
      <c r="D88" s="1"/>
      <c r="E88" s="1"/>
      <c r="F88" s="1"/>
      <c r="G88" s="1"/>
      <c r="H88" s="47"/>
    </row>
    <row r="89" spans="1:8" ht="14.1" customHeight="1" x14ac:dyDescent="0.2">
      <c r="A89" s="1"/>
      <c r="B89" s="1"/>
      <c r="C89" s="2" t="s">
        <v>122</v>
      </c>
      <c r="D89" s="1"/>
      <c r="E89" s="1" t="s">
        <v>123</v>
      </c>
      <c r="F89" s="13">
        <v>0</v>
      </c>
      <c r="G89" s="14">
        <v>0</v>
      </c>
      <c r="H89" s="47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47"/>
    </row>
    <row r="91" spans="1:8" ht="14.1" customHeight="1" x14ac:dyDescent="0.2">
      <c r="A91" s="1"/>
      <c r="B91" s="1"/>
      <c r="C91" s="2" t="s">
        <v>127</v>
      </c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122</v>
      </c>
      <c r="D92" s="1"/>
      <c r="E92" s="1" t="s">
        <v>123</v>
      </c>
      <c r="F92" s="13">
        <v>0</v>
      </c>
      <c r="G92" s="14">
        <v>0</v>
      </c>
      <c r="H92" s="47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47"/>
    </row>
    <row r="94" spans="1:8" ht="14.1" customHeight="1" x14ac:dyDescent="0.2">
      <c r="A94" s="1"/>
      <c r="B94" s="1"/>
      <c r="C94" s="2" t="s">
        <v>128</v>
      </c>
      <c r="D94" s="1"/>
      <c r="E94" s="1"/>
      <c r="F94" s="12"/>
      <c r="G94" s="12"/>
      <c r="H94" s="47"/>
    </row>
    <row r="95" spans="1:8" x14ac:dyDescent="0.2">
      <c r="A95" s="3">
        <v>1</v>
      </c>
      <c r="B95" s="4"/>
      <c r="C95" s="4" t="s">
        <v>976</v>
      </c>
      <c r="D95" s="4" t="s">
        <v>589</v>
      </c>
      <c r="E95" s="5">
        <v>40000</v>
      </c>
      <c r="F95" s="6">
        <v>232.06</v>
      </c>
      <c r="G95" s="7">
        <v>1.502548E-3</v>
      </c>
      <c r="H95" s="47"/>
    </row>
    <row r="96" spans="1:8" ht="25.5" x14ac:dyDescent="0.2">
      <c r="A96" s="3">
        <v>2</v>
      </c>
      <c r="B96" s="4"/>
      <c r="C96" s="4" t="s">
        <v>977</v>
      </c>
      <c r="D96" s="4" t="s">
        <v>589</v>
      </c>
      <c r="E96" s="5">
        <v>6000</v>
      </c>
      <c r="F96" s="6">
        <v>71.292000000000002</v>
      </c>
      <c r="G96" s="7">
        <v>4.6160299999999999E-4</v>
      </c>
      <c r="H96" s="47"/>
    </row>
    <row r="97" spans="1:8" x14ac:dyDescent="0.2">
      <c r="A97" s="3">
        <v>3</v>
      </c>
      <c r="B97" s="4"/>
      <c r="C97" s="4" t="s">
        <v>978</v>
      </c>
      <c r="D97" s="4" t="s">
        <v>589</v>
      </c>
      <c r="E97" s="5">
        <v>-900</v>
      </c>
      <c r="F97" s="6">
        <v>-32.614199999999997</v>
      </c>
      <c r="G97" s="7">
        <v>-2.1117099999999999E-4</v>
      </c>
      <c r="H97" s="47"/>
    </row>
    <row r="98" spans="1:8" x14ac:dyDescent="0.2">
      <c r="A98" s="3">
        <v>4</v>
      </c>
      <c r="B98" s="4"/>
      <c r="C98" s="4" t="s">
        <v>979</v>
      </c>
      <c r="D98" s="4" t="s">
        <v>589</v>
      </c>
      <c r="E98" s="5">
        <v>-9000</v>
      </c>
      <c r="F98" s="6">
        <v>-32.656500000000001</v>
      </c>
      <c r="G98" s="7">
        <v>-2.1144499999999999E-4</v>
      </c>
      <c r="H98" s="47"/>
    </row>
    <row r="99" spans="1:8" x14ac:dyDescent="0.2">
      <c r="A99" s="3">
        <v>5</v>
      </c>
      <c r="B99" s="4"/>
      <c r="C99" s="4" t="s">
        <v>980</v>
      </c>
      <c r="D99" s="4" t="s">
        <v>589</v>
      </c>
      <c r="E99" s="5">
        <v>-4200</v>
      </c>
      <c r="F99" s="6">
        <v>-45.450299999999999</v>
      </c>
      <c r="G99" s="7">
        <v>-2.94283E-4</v>
      </c>
      <c r="H99" s="47"/>
    </row>
    <row r="100" spans="1:8" x14ac:dyDescent="0.2">
      <c r="A100" s="3">
        <v>6</v>
      </c>
      <c r="B100" s="4"/>
      <c r="C100" s="4" t="s">
        <v>981</v>
      </c>
      <c r="D100" s="4" t="s">
        <v>589</v>
      </c>
      <c r="E100" s="5">
        <v>-13500</v>
      </c>
      <c r="F100" s="6">
        <v>-74.007000000000005</v>
      </c>
      <c r="G100" s="7">
        <v>-4.7918199999999998E-4</v>
      </c>
      <c r="H100" s="47"/>
    </row>
    <row r="101" spans="1:8" x14ac:dyDescent="0.2">
      <c r="A101" s="3">
        <v>7</v>
      </c>
      <c r="B101" s="4"/>
      <c r="C101" s="4" t="s">
        <v>982</v>
      </c>
      <c r="D101" s="4" t="s">
        <v>589</v>
      </c>
      <c r="E101" s="5">
        <v>-24750</v>
      </c>
      <c r="F101" s="6">
        <v>-77.566500000000005</v>
      </c>
      <c r="G101" s="7">
        <v>-5.0222899999999998E-4</v>
      </c>
      <c r="H101" s="47"/>
    </row>
    <row r="102" spans="1:8" x14ac:dyDescent="0.2">
      <c r="A102" s="3">
        <v>8</v>
      </c>
      <c r="B102" s="4"/>
      <c r="C102" s="4" t="s">
        <v>974</v>
      </c>
      <c r="D102" s="4" t="s">
        <v>589</v>
      </c>
      <c r="E102" s="5">
        <v>-1750</v>
      </c>
      <c r="F102" s="6">
        <v>-94.442250000000001</v>
      </c>
      <c r="G102" s="7">
        <v>-6.1149700000000002E-4</v>
      </c>
      <c r="H102" s="47"/>
    </row>
    <row r="103" spans="1:8" ht="25.5" x14ac:dyDescent="0.2">
      <c r="A103" s="3">
        <v>9</v>
      </c>
      <c r="B103" s="4"/>
      <c r="C103" s="4" t="s">
        <v>983</v>
      </c>
      <c r="D103" s="4" t="s">
        <v>589</v>
      </c>
      <c r="E103" s="5">
        <v>-2750</v>
      </c>
      <c r="F103" s="6">
        <v>-101.333375</v>
      </c>
      <c r="G103" s="7">
        <v>-6.5611599999999999E-4</v>
      </c>
      <c r="H103" s="47"/>
    </row>
    <row r="104" spans="1:8" x14ac:dyDescent="0.2">
      <c r="A104" s="3">
        <v>10</v>
      </c>
      <c r="B104" s="4"/>
      <c r="C104" s="4" t="s">
        <v>984</v>
      </c>
      <c r="D104" s="4" t="s">
        <v>589</v>
      </c>
      <c r="E104" s="5">
        <v>-13000</v>
      </c>
      <c r="F104" s="6">
        <v>-102.9795</v>
      </c>
      <c r="G104" s="7">
        <v>-6.6677399999999997E-4</v>
      </c>
      <c r="H104" s="47"/>
    </row>
    <row r="105" spans="1:8" x14ac:dyDescent="0.2">
      <c r="A105" s="3">
        <v>11</v>
      </c>
      <c r="B105" s="4"/>
      <c r="C105" s="4" t="s">
        <v>985</v>
      </c>
      <c r="D105" s="4" t="s">
        <v>589</v>
      </c>
      <c r="E105" s="5">
        <v>-69750</v>
      </c>
      <c r="F105" s="6">
        <v>-155.92612500000001</v>
      </c>
      <c r="G105" s="7">
        <v>-1.0095939999999999E-3</v>
      </c>
      <c r="H105" s="47"/>
    </row>
    <row r="106" spans="1:8" x14ac:dyDescent="0.2">
      <c r="A106" s="3">
        <v>12</v>
      </c>
      <c r="B106" s="4"/>
      <c r="C106" s="4" t="s">
        <v>972</v>
      </c>
      <c r="D106" s="4" t="s">
        <v>589</v>
      </c>
      <c r="E106" s="5">
        <v>-13800</v>
      </c>
      <c r="F106" s="6">
        <v>-211.62299999999999</v>
      </c>
      <c r="G106" s="7">
        <v>-1.3702219999999999E-3</v>
      </c>
      <c r="H106" s="47"/>
    </row>
    <row r="107" spans="1:8" x14ac:dyDescent="0.2">
      <c r="A107" s="3">
        <v>13</v>
      </c>
      <c r="B107" s="4"/>
      <c r="C107" s="4" t="s">
        <v>986</v>
      </c>
      <c r="D107" s="4" t="s">
        <v>589</v>
      </c>
      <c r="E107" s="5">
        <v>-21750</v>
      </c>
      <c r="F107" s="6">
        <v>-235.596</v>
      </c>
      <c r="G107" s="7">
        <v>-1.525443E-3</v>
      </c>
      <c r="H107" s="47"/>
    </row>
    <row r="108" spans="1:8" x14ac:dyDescent="0.2">
      <c r="A108" s="3">
        <v>14</v>
      </c>
      <c r="B108" s="4"/>
      <c r="C108" s="4" t="s">
        <v>987</v>
      </c>
      <c r="D108" s="4" t="s">
        <v>589</v>
      </c>
      <c r="E108" s="5">
        <v>-20900</v>
      </c>
      <c r="F108" s="6">
        <v>-276.73689999999999</v>
      </c>
      <c r="G108" s="7">
        <v>-1.7918229999999999E-3</v>
      </c>
      <c r="H108" s="47"/>
    </row>
    <row r="109" spans="1:8" x14ac:dyDescent="0.2">
      <c r="A109" s="3">
        <v>15</v>
      </c>
      <c r="B109" s="4"/>
      <c r="C109" s="4" t="s">
        <v>988</v>
      </c>
      <c r="D109" s="4" t="s">
        <v>589</v>
      </c>
      <c r="E109" s="5">
        <v>-100000</v>
      </c>
      <c r="F109" s="6">
        <v>-327.55</v>
      </c>
      <c r="G109" s="7">
        <v>-2.1208289999999999E-3</v>
      </c>
      <c r="H109" s="47"/>
    </row>
    <row r="110" spans="1:8" ht="25.5" x14ac:dyDescent="0.2">
      <c r="A110" s="3">
        <v>16</v>
      </c>
      <c r="B110" s="4"/>
      <c r="C110" s="4" t="s">
        <v>962</v>
      </c>
      <c r="D110" s="4" t="s">
        <v>589</v>
      </c>
      <c r="E110" s="5">
        <v>-42000</v>
      </c>
      <c r="F110" s="6">
        <v>-349.27199999999999</v>
      </c>
      <c r="G110" s="7">
        <v>-2.2614750000000002E-3</v>
      </c>
      <c r="H110" s="47"/>
    </row>
    <row r="111" spans="1:8" ht="25.5" x14ac:dyDescent="0.2">
      <c r="A111" s="3">
        <v>17</v>
      </c>
      <c r="B111" s="4"/>
      <c r="C111" s="4" t="s">
        <v>989</v>
      </c>
      <c r="D111" s="4" t="s">
        <v>589</v>
      </c>
      <c r="E111" s="5">
        <v>-14000</v>
      </c>
      <c r="F111" s="6">
        <v>-423.27600000000001</v>
      </c>
      <c r="G111" s="7">
        <v>-2.7406380000000001E-3</v>
      </c>
      <c r="H111" s="47"/>
    </row>
    <row r="112" spans="1:8" x14ac:dyDescent="0.2">
      <c r="A112" s="3">
        <v>18</v>
      </c>
      <c r="B112" s="4"/>
      <c r="C112" s="4" t="s">
        <v>990</v>
      </c>
      <c r="D112" s="4" t="s">
        <v>589</v>
      </c>
      <c r="E112" s="5">
        <v>-10500</v>
      </c>
      <c r="F112" s="6">
        <v>-456.24599999999998</v>
      </c>
      <c r="G112" s="7">
        <v>-2.9541120000000001E-3</v>
      </c>
      <c r="H112" s="47"/>
    </row>
    <row r="113" spans="1:8" x14ac:dyDescent="0.2">
      <c r="A113" s="3">
        <v>19</v>
      </c>
      <c r="B113" s="4"/>
      <c r="C113" s="4" t="s">
        <v>991</v>
      </c>
      <c r="D113" s="4" t="s">
        <v>589</v>
      </c>
      <c r="E113" s="5">
        <v>-142975</v>
      </c>
      <c r="F113" s="6">
        <v>-484.82822499999997</v>
      </c>
      <c r="G113" s="7">
        <v>-3.1391769999999999E-3</v>
      </c>
      <c r="H113" s="47"/>
    </row>
    <row r="114" spans="1:8" x14ac:dyDescent="0.2">
      <c r="A114" s="3">
        <v>20</v>
      </c>
      <c r="B114" s="4"/>
      <c r="C114" s="4" t="s">
        <v>964</v>
      </c>
      <c r="D114" s="4" t="s">
        <v>589</v>
      </c>
      <c r="E114" s="5">
        <v>-82500</v>
      </c>
      <c r="F114" s="6">
        <v>-584.59500000000003</v>
      </c>
      <c r="G114" s="7">
        <v>-3.7851500000000001E-3</v>
      </c>
      <c r="H114" s="47"/>
    </row>
    <row r="115" spans="1:8" x14ac:dyDescent="0.2">
      <c r="A115" s="3">
        <v>21</v>
      </c>
      <c r="B115" s="4"/>
      <c r="C115" s="4" t="s">
        <v>992</v>
      </c>
      <c r="D115" s="4" t="s">
        <v>589</v>
      </c>
      <c r="E115" s="5">
        <v>-160500</v>
      </c>
      <c r="F115" s="6">
        <v>-746.00400000000002</v>
      </c>
      <c r="G115" s="7">
        <v>-4.830244E-3</v>
      </c>
      <c r="H115" s="47"/>
    </row>
    <row r="116" spans="1:8" x14ac:dyDescent="0.2">
      <c r="A116" s="3">
        <v>22</v>
      </c>
      <c r="B116" s="4"/>
      <c r="C116" s="4" t="s">
        <v>993</v>
      </c>
      <c r="D116" s="4" t="s">
        <v>589</v>
      </c>
      <c r="E116" s="5">
        <v>-42000</v>
      </c>
      <c r="F116" s="6">
        <v>-938.38499999999999</v>
      </c>
      <c r="G116" s="7">
        <v>-6.0758779999999998E-3</v>
      </c>
      <c r="H116" s="47"/>
    </row>
    <row r="117" spans="1:8" x14ac:dyDescent="0.2">
      <c r="A117" s="3">
        <v>23</v>
      </c>
      <c r="B117" s="4"/>
      <c r="C117" s="4" t="s">
        <v>963</v>
      </c>
      <c r="D117" s="4" t="s">
        <v>589</v>
      </c>
      <c r="E117" s="5">
        <v>-136425</v>
      </c>
      <c r="F117" s="6">
        <v>-1180.62195</v>
      </c>
      <c r="G117" s="7">
        <v>-7.6443190000000001E-3</v>
      </c>
      <c r="H117" s="47"/>
    </row>
    <row r="118" spans="1:8" ht="25.5" x14ac:dyDescent="0.2">
      <c r="A118" s="3">
        <v>24</v>
      </c>
      <c r="B118" s="4"/>
      <c r="C118" s="4" t="s">
        <v>959</v>
      </c>
      <c r="D118" s="4" t="s">
        <v>589</v>
      </c>
      <c r="E118" s="5">
        <v>-258500</v>
      </c>
      <c r="F118" s="6">
        <v>-1425.1105</v>
      </c>
      <c r="G118" s="7">
        <v>-9.2273389999999993E-3</v>
      </c>
      <c r="H118" s="47"/>
    </row>
    <row r="119" spans="1:8" x14ac:dyDescent="0.2">
      <c r="A119" s="3">
        <v>25</v>
      </c>
      <c r="B119" s="4"/>
      <c r="C119" s="4" t="s">
        <v>973</v>
      </c>
      <c r="D119" s="4" t="s">
        <v>589</v>
      </c>
      <c r="E119" s="5">
        <v>-240000</v>
      </c>
      <c r="F119" s="6">
        <v>-1528.08</v>
      </c>
      <c r="G119" s="7">
        <v>-9.8940490000000002E-3</v>
      </c>
      <c r="H119" s="47"/>
    </row>
    <row r="120" spans="1:8" x14ac:dyDescent="0.2">
      <c r="A120" s="3">
        <v>26</v>
      </c>
      <c r="B120" s="4"/>
      <c r="C120" s="4" t="s">
        <v>966</v>
      </c>
      <c r="D120" s="4" t="s">
        <v>589</v>
      </c>
      <c r="E120" s="5">
        <v>-153000</v>
      </c>
      <c r="F120" s="6">
        <v>-2241.7559999999999</v>
      </c>
      <c r="G120" s="7">
        <v>-1.4514974999999999E-2</v>
      </c>
      <c r="H120" s="47"/>
    </row>
    <row r="121" spans="1:8" x14ac:dyDescent="0.2">
      <c r="A121" s="3">
        <v>27</v>
      </c>
      <c r="B121" s="4"/>
      <c r="C121" s="4" t="s">
        <v>994</v>
      </c>
      <c r="D121" s="4" t="s">
        <v>589</v>
      </c>
      <c r="E121" s="5">
        <v>-300000</v>
      </c>
      <c r="F121" s="6">
        <v>-2282.85</v>
      </c>
      <c r="G121" s="7">
        <v>-1.4781051999999999E-2</v>
      </c>
      <c r="H121" s="47"/>
    </row>
    <row r="122" spans="1:8" x14ac:dyDescent="0.2">
      <c r="A122" s="3">
        <v>28</v>
      </c>
      <c r="B122" s="4"/>
      <c r="C122" s="4" t="s">
        <v>957</v>
      </c>
      <c r="D122" s="4" t="s">
        <v>589</v>
      </c>
      <c r="E122" s="5">
        <v>-244800</v>
      </c>
      <c r="F122" s="6">
        <v>-2378.1095999999998</v>
      </c>
      <c r="G122" s="7">
        <v>-1.5397841000000001E-2</v>
      </c>
      <c r="H122" s="47"/>
    </row>
    <row r="123" spans="1:8" x14ac:dyDescent="0.2">
      <c r="A123" s="3">
        <v>29</v>
      </c>
      <c r="B123" s="4"/>
      <c r="C123" s="4" t="s">
        <v>995</v>
      </c>
      <c r="D123" s="4" t="s">
        <v>866</v>
      </c>
      <c r="E123" s="5">
        <v>-18750</v>
      </c>
      <c r="F123" s="6">
        <v>-2952.0656250000002</v>
      </c>
      <c r="G123" s="7">
        <v>-1.9114104999999999E-2</v>
      </c>
      <c r="H123" s="47"/>
    </row>
    <row r="124" spans="1:8" x14ac:dyDescent="0.2">
      <c r="A124" s="3">
        <v>30</v>
      </c>
      <c r="B124" s="4"/>
      <c r="C124" s="4" t="s">
        <v>975</v>
      </c>
      <c r="D124" s="4" t="s">
        <v>589</v>
      </c>
      <c r="E124" s="5">
        <v>-481250</v>
      </c>
      <c r="F124" s="6">
        <v>-6474.015625</v>
      </c>
      <c r="G124" s="7">
        <v>-4.1918111000000001E-2</v>
      </c>
      <c r="H124" s="47"/>
    </row>
    <row r="125" spans="1:8" ht="14.1" customHeight="1" x14ac:dyDescent="0.2">
      <c r="A125" s="1"/>
      <c r="B125" s="1"/>
      <c r="C125" s="2" t="s">
        <v>122</v>
      </c>
      <c r="D125" s="1"/>
      <c r="E125" s="1" t="s">
        <v>123</v>
      </c>
      <c r="F125" s="9">
        <v>-25910.345174999999</v>
      </c>
      <c r="G125" s="10">
        <v>-0.16776492200000001</v>
      </c>
      <c r="H125" s="47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47"/>
    </row>
    <row r="127" spans="1:8" ht="18" customHeight="1" x14ac:dyDescent="0.2">
      <c r="A127" s="1"/>
      <c r="B127" s="1"/>
      <c r="C127" s="2" t="s">
        <v>129</v>
      </c>
      <c r="D127" s="1"/>
      <c r="E127" s="1"/>
      <c r="F127" s="9">
        <v>112198.36166199998</v>
      </c>
      <c r="G127" s="10">
        <v>0.72646463300000019</v>
      </c>
      <c r="H127" s="47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47"/>
    </row>
    <row r="129" spans="1:8" ht="14.1" customHeight="1" x14ac:dyDescent="0.2">
      <c r="A129" s="1"/>
      <c r="B129" s="1"/>
      <c r="C129" s="2" t="s">
        <v>130</v>
      </c>
      <c r="D129" s="1"/>
      <c r="E129" s="1"/>
      <c r="F129" s="12"/>
      <c r="G129" s="12"/>
      <c r="H129" s="47"/>
    </row>
    <row r="130" spans="1:8" ht="24" customHeight="1" x14ac:dyDescent="0.2">
      <c r="A130" s="1"/>
      <c r="B130" s="1"/>
      <c r="C130" s="2" t="s">
        <v>10</v>
      </c>
      <c r="D130" s="1"/>
      <c r="E130" s="1"/>
      <c r="F130" s="12"/>
      <c r="G130" s="12"/>
      <c r="H130" s="47"/>
    </row>
    <row r="131" spans="1:8" ht="29.1" customHeight="1" x14ac:dyDescent="0.2">
      <c r="A131" s="3">
        <v>1</v>
      </c>
      <c r="B131" s="4" t="s">
        <v>867</v>
      </c>
      <c r="C131" s="4" t="s">
        <v>868</v>
      </c>
      <c r="D131" s="4" t="s">
        <v>618</v>
      </c>
      <c r="E131" s="5">
        <v>250</v>
      </c>
      <c r="F131" s="6">
        <v>2437.2824999999998</v>
      </c>
      <c r="G131" s="7">
        <v>1.5780974999999999E-2</v>
      </c>
      <c r="H131" s="47">
        <v>6.8250000000000002</v>
      </c>
    </row>
    <row r="132" spans="1:8" ht="29.1" customHeight="1" x14ac:dyDescent="0.2">
      <c r="A132" s="3">
        <v>2</v>
      </c>
      <c r="B132" s="4" t="s">
        <v>646</v>
      </c>
      <c r="C132" s="4" t="s">
        <v>647</v>
      </c>
      <c r="D132" s="4" t="s">
        <v>648</v>
      </c>
      <c r="E132" s="5">
        <v>150</v>
      </c>
      <c r="F132" s="6">
        <v>1494.7560000000001</v>
      </c>
      <c r="G132" s="7">
        <v>9.6782819999999999E-3</v>
      </c>
      <c r="H132" s="47">
        <v>6.73</v>
      </c>
    </row>
    <row r="133" spans="1:8" ht="29.1" customHeight="1" x14ac:dyDescent="0.2">
      <c r="A133" s="3">
        <v>3</v>
      </c>
      <c r="B133" s="4" t="s">
        <v>869</v>
      </c>
      <c r="C133" s="4" t="s">
        <v>870</v>
      </c>
      <c r="D133" s="4" t="s">
        <v>618</v>
      </c>
      <c r="E133" s="5">
        <v>100</v>
      </c>
      <c r="F133" s="6">
        <v>1004.748</v>
      </c>
      <c r="G133" s="7">
        <v>6.505566E-3</v>
      </c>
      <c r="H133" s="47">
        <v>6.0875000000000004</v>
      </c>
    </row>
    <row r="134" spans="1:8" ht="29.1" customHeight="1" x14ac:dyDescent="0.2">
      <c r="A134" s="3">
        <v>4</v>
      </c>
      <c r="B134" s="4" t="s">
        <v>871</v>
      </c>
      <c r="C134" s="4" t="s">
        <v>872</v>
      </c>
      <c r="D134" s="4" t="s">
        <v>618</v>
      </c>
      <c r="E134" s="5">
        <v>100</v>
      </c>
      <c r="F134" s="6">
        <v>1002.394</v>
      </c>
      <c r="G134" s="7">
        <v>6.4903249999999999E-3</v>
      </c>
      <c r="H134" s="47">
        <v>6.42</v>
      </c>
    </row>
    <row r="135" spans="1:8" ht="17.100000000000001" customHeight="1" x14ac:dyDescent="0.2">
      <c r="A135" s="3">
        <v>5</v>
      </c>
      <c r="B135" s="4" t="s">
        <v>873</v>
      </c>
      <c r="C135" s="4" t="s">
        <v>874</v>
      </c>
      <c r="D135" s="4" t="s">
        <v>618</v>
      </c>
      <c r="E135" s="5">
        <v>100</v>
      </c>
      <c r="F135" s="6">
        <v>1001.793</v>
      </c>
      <c r="G135" s="7">
        <v>6.4864329999999998E-3</v>
      </c>
      <c r="H135" s="47">
        <v>6.6050000000000004</v>
      </c>
    </row>
    <row r="136" spans="1:8" ht="29.1" customHeight="1" x14ac:dyDescent="0.2">
      <c r="A136" s="3">
        <v>6</v>
      </c>
      <c r="B136" s="4" t="s">
        <v>875</v>
      </c>
      <c r="C136" s="4" t="s">
        <v>876</v>
      </c>
      <c r="D136" s="4" t="s">
        <v>648</v>
      </c>
      <c r="E136" s="5">
        <v>100</v>
      </c>
      <c r="F136" s="6">
        <v>1001.403</v>
      </c>
      <c r="G136" s="7">
        <v>6.483908E-3</v>
      </c>
      <c r="H136" s="47">
        <v>6.44</v>
      </c>
    </row>
    <row r="137" spans="1:8" ht="29.1" customHeight="1" x14ac:dyDescent="0.2">
      <c r="A137" s="3">
        <v>7</v>
      </c>
      <c r="B137" s="4" t="s">
        <v>877</v>
      </c>
      <c r="C137" s="4" t="s">
        <v>878</v>
      </c>
      <c r="D137" s="4" t="s">
        <v>618</v>
      </c>
      <c r="E137" s="5">
        <v>100</v>
      </c>
      <c r="F137" s="6">
        <v>998.83399999999995</v>
      </c>
      <c r="G137" s="7">
        <v>6.4672740000000003E-3</v>
      </c>
      <c r="H137" s="47">
        <v>5.35</v>
      </c>
    </row>
    <row r="138" spans="1:8" ht="17.100000000000001" customHeight="1" x14ac:dyDescent="0.2">
      <c r="A138" s="3">
        <v>8</v>
      </c>
      <c r="B138" s="4" t="s">
        <v>879</v>
      </c>
      <c r="C138" s="4" t="s">
        <v>880</v>
      </c>
      <c r="D138" s="4" t="s">
        <v>618</v>
      </c>
      <c r="E138" s="5">
        <v>100</v>
      </c>
      <c r="F138" s="6">
        <v>987.25800000000004</v>
      </c>
      <c r="G138" s="7">
        <v>6.3923219999999998E-3</v>
      </c>
      <c r="H138" s="47">
        <v>6.7575000000000003</v>
      </c>
    </row>
    <row r="139" spans="1:8" ht="29.1" customHeight="1" x14ac:dyDescent="0.2">
      <c r="A139" s="3">
        <v>9</v>
      </c>
      <c r="B139" s="4" t="s">
        <v>635</v>
      </c>
      <c r="C139" s="4" t="s">
        <v>636</v>
      </c>
      <c r="D139" s="4" t="s">
        <v>637</v>
      </c>
      <c r="E139" s="5">
        <v>100</v>
      </c>
      <c r="F139" s="6">
        <v>984.13</v>
      </c>
      <c r="G139" s="7">
        <v>6.3720679999999998E-3</v>
      </c>
      <c r="H139" s="47">
        <v>6.91</v>
      </c>
    </row>
    <row r="140" spans="1:8" ht="29.1" customHeight="1" x14ac:dyDescent="0.2">
      <c r="A140" s="3">
        <v>10</v>
      </c>
      <c r="B140" s="4" t="s">
        <v>881</v>
      </c>
      <c r="C140" s="4" t="s">
        <v>882</v>
      </c>
      <c r="D140" s="4" t="s">
        <v>618</v>
      </c>
      <c r="E140" s="5">
        <v>50</v>
      </c>
      <c r="F140" s="6">
        <v>503.5575</v>
      </c>
      <c r="G140" s="7">
        <v>3.2604460000000002E-3</v>
      </c>
      <c r="H140" s="47">
        <v>5.4</v>
      </c>
    </row>
    <row r="141" spans="1:8" ht="29.1" customHeight="1" x14ac:dyDescent="0.2">
      <c r="A141" s="3">
        <v>11</v>
      </c>
      <c r="B141" s="4" t="s">
        <v>883</v>
      </c>
      <c r="C141" s="4" t="s">
        <v>884</v>
      </c>
      <c r="D141" s="4" t="s">
        <v>618</v>
      </c>
      <c r="E141" s="5">
        <v>50</v>
      </c>
      <c r="F141" s="6">
        <v>501.935</v>
      </c>
      <c r="G141" s="7">
        <v>3.2499410000000001E-3</v>
      </c>
      <c r="H141" s="47">
        <v>6.5</v>
      </c>
    </row>
    <row r="142" spans="1:8" ht="29.1" customHeight="1" x14ac:dyDescent="0.2">
      <c r="A142" s="3">
        <v>12</v>
      </c>
      <c r="B142" s="4" t="s">
        <v>885</v>
      </c>
      <c r="C142" s="4" t="s">
        <v>886</v>
      </c>
      <c r="D142" s="4" t="s">
        <v>648</v>
      </c>
      <c r="E142" s="5">
        <v>50</v>
      </c>
      <c r="F142" s="6">
        <v>501.75799999999998</v>
      </c>
      <c r="G142" s="7">
        <v>3.2487950000000001E-3</v>
      </c>
      <c r="H142" s="47">
        <v>5.3449999999999998</v>
      </c>
    </row>
    <row r="143" spans="1:8" ht="29.1" customHeight="1" x14ac:dyDescent="0.2">
      <c r="A143" s="3">
        <v>13</v>
      </c>
      <c r="B143" s="4" t="s">
        <v>887</v>
      </c>
      <c r="C143" s="4" t="s">
        <v>888</v>
      </c>
      <c r="D143" s="4" t="s">
        <v>618</v>
      </c>
      <c r="E143" s="5">
        <v>50</v>
      </c>
      <c r="F143" s="6">
        <v>500.68299999999999</v>
      </c>
      <c r="G143" s="7">
        <v>3.2418339999999999E-3</v>
      </c>
      <c r="H143" s="47">
        <v>6.415</v>
      </c>
    </row>
    <row r="144" spans="1:8" ht="29.1" customHeight="1" x14ac:dyDescent="0.2">
      <c r="A144" s="3">
        <v>14</v>
      </c>
      <c r="B144" s="4" t="s">
        <v>788</v>
      </c>
      <c r="C144" s="4" t="s">
        <v>789</v>
      </c>
      <c r="D144" s="4" t="s">
        <v>637</v>
      </c>
      <c r="E144" s="5">
        <v>50</v>
      </c>
      <c r="F144" s="6">
        <v>488.94450000000001</v>
      </c>
      <c r="G144" s="7">
        <v>3.1658300000000001E-3</v>
      </c>
      <c r="H144" s="47">
        <v>6.91</v>
      </c>
    </row>
    <row r="145" spans="1:8" ht="29.1" customHeight="1" x14ac:dyDescent="0.2">
      <c r="A145" s="3">
        <v>15</v>
      </c>
      <c r="B145" s="4" t="s">
        <v>819</v>
      </c>
      <c r="C145" s="4" t="s">
        <v>820</v>
      </c>
      <c r="D145" s="4" t="s">
        <v>618</v>
      </c>
      <c r="E145" s="5">
        <v>30</v>
      </c>
      <c r="F145" s="6">
        <v>289.34460000000001</v>
      </c>
      <c r="G145" s="7">
        <v>1.873455E-3</v>
      </c>
      <c r="H145" s="47">
        <v>7.18</v>
      </c>
    </row>
    <row r="146" spans="1:8" ht="29.1" customHeight="1" x14ac:dyDescent="0.2">
      <c r="A146" s="3">
        <v>16</v>
      </c>
      <c r="B146" s="4" t="s">
        <v>640</v>
      </c>
      <c r="C146" s="4" t="s">
        <v>641</v>
      </c>
      <c r="D146" s="4" t="s">
        <v>618</v>
      </c>
      <c r="E146" s="5">
        <v>10</v>
      </c>
      <c r="F146" s="6">
        <v>102.0399</v>
      </c>
      <c r="G146" s="7">
        <v>6.6069000000000002E-4</v>
      </c>
      <c r="H146" s="47">
        <v>6.91</v>
      </c>
    </row>
    <row r="147" spans="1:8" ht="17.100000000000001" customHeight="1" x14ac:dyDescent="0.2">
      <c r="A147" s="3">
        <v>17</v>
      </c>
      <c r="B147" s="4" t="s">
        <v>642</v>
      </c>
      <c r="C147" s="4" t="s">
        <v>643</v>
      </c>
      <c r="D147" s="4" t="s">
        <v>618</v>
      </c>
      <c r="E147" s="5">
        <v>10</v>
      </c>
      <c r="F147" s="6">
        <v>101.62</v>
      </c>
      <c r="G147" s="7">
        <v>6.5797200000000005E-4</v>
      </c>
      <c r="H147" s="47">
        <v>6.4249999999999998</v>
      </c>
    </row>
    <row r="148" spans="1:8" ht="29.1" customHeight="1" x14ac:dyDescent="0.2">
      <c r="A148" s="3">
        <v>18</v>
      </c>
      <c r="B148" s="4" t="s">
        <v>813</v>
      </c>
      <c r="C148" s="4" t="s">
        <v>814</v>
      </c>
      <c r="D148" s="4" t="s">
        <v>637</v>
      </c>
      <c r="E148" s="5">
        <v>10</v>
      </c>
      <c r="F148" s="6">
        <v>100.16930000000001</v>
      </c>
      <c r="G148" s="7">
        <v>6.4857900000000004E-4</v>
      </c>
      <c r="H148" s="47">
        <v>5.04</v>
      </c>
    </row>
    <row r="149" spans="1:8" ht="29.1" customHeight="1" x14ac:dyDescent="0.2">
      <c r="A149" s="3">
        <v>19</v>
      </c>
      <c r="B149" s="4" t="s">
        <v>889</v>
      </c>
      <c r="C149" s="4" t="s">
        <v>890</v>
      </c>
      <c r="D149" s="4" t="s">
        <v>618</v>
      </c>
      <c r="E149" s="5">
        <v>10</v>
      </c>
      <c r="F149" s="6">
        <v>99.660300000000007</v>
      </c>
      <c r="G149" s="7">
        <v>6.4528299999999997E-4</v>
      </c>
      <c r="H149" s="47">
        <v>5.8849999999999998</v>
      </c>
    </row>
    <row r="150" spans="1:8" ht="14.1" customHeight="1" x14ac:dyDescent="0.2">
      <c r="A150" s="1"/>
      <c r="B150" s="1"/>
      <c r="C150" s="2" t="s">
        <v>122</v>
      </c>
      <c r="D150" s="1"/>
      <c r="E150" s="1" t="s">
        <v>123</v>
      </c>
      <c r="F150" s="9">
        <v>14102.310600000001</v>
      </c>
      <c r="G150" s="10">
        <v>9.1309978E-2</v>
      </c>
      <c r="H150" s="47"/>
    </row>
    <row r="151" spans="1:8" ht="14.1" customHeight="1" x14ac:dyDescent="0.2">
      <c r="A151" s="1"/>
      <c r="B151" s="1"/>
      <c r="C151" s="11"/>
      <c r="D151" s="1"/>
      <c r="E151" s="1"/>
      <c r="F151" s="12"/>
      <c r="G151" s="12"/>
      <c r="H151" s="47"/>
    </row>
    <row r="152" spans="1:8" ht="14.1" customHeight="1" x14ac:dyDescent="0.2">
      <c r="A152" s="1"/>
      <c r="B152" s="1"/>
      <c r="C152" s="2" t="s">
        <v>131</v>
      </c>
      <c r="D152" s="1"/>
      <c r="E152" s="1"/>
      <c r="F152" s="1"/>
      <c r="G152" s="1"/>
      <c r="H152" s="47"/>
    </row>
    <row r="153" spans="1:8" ht="14.1" customHeight="1" x14ac:dyDescent="0.2">
      <c r="A153" s="1"/>
      <c r="B153" s="1"/>
      <c r="C153" s="2" t="s">
        <v>122</v>
      </c>
      <c r="D153" s="1"/>
      <c r="E153" s="1" t="s">
        <v>123</v>
      </c>
      <c r="F153" s="13">
        <v>0</v>
      </c>
      <c r="G153" s="14">
        <v>0</v>
      </c>
      <c r="H153" s="47"/>
    </row>
    <row r="154" spans="1:8" ht="14.1" customHeight="1" x14ac:dyDescent="0.2">
      <c r="A154" s="1"/>
      <c r="B154" s="1"/>
      <c r="C154" s="11"/>
      <c r="D154" s="1"/>
      <c r="E154" s="1"/>
      <c r="F154" s="12"/>
      <c r="G154" s="12"/>
      <c r="H154" s="47"/>
    </row>
    <row r="155" spans="1:8" ht="14.1" customHeight="1" x14ac:dyDescent="0.2">
      <c r="A155" s="1"/>
      <c r="B155" s="1"/>
      <c r="C155" s="2" t="s">
        <v>132</v>
      </c>
      <c r="D155" s="1"/>
      <c r="E155" s="1"/>
      <c r="F155" s="1"/>
      <c r="G155" s="1"/>
      <c r="H155" s="47"/>
    </row>
    <row r="156" spans="1:8" ht="29.1" customHeight="1" x14ac:dyDescent="0.2">
      <c r="A156" s="3">
        <v>1</v>
      </c>
      <c r="B156" s="4" t="s">
        <v>649</v>
      </c>
      <c r="C156" s="4" t="s">
        <v>650</v>
      </c>
      <c r="D156" s="4" t="s">
        <v>591</v>
      </c>
      <c r="E156" s="5">
        <v>1500000</v>
      </c>
      <c r="F156" s="6">
        <v>1431.8340000000001</v>
      </c>
      <c r="G156" s="7">
        <v>9.2708730000000007E-3</v>
      </c>
      <c r="H156" s="47">
        <v>6.9459</v>
      </c>
    </row>
    <row r="157" spans="1:8" ht="17.100000000000001" customHeight="1" x14ac:dyDescent="0.2">
      <c r="A157" s="3">
        <v>2</v>
      </c>
      <c r="B157" s="4" t="s">
        <v>823</v>
      </c>
      <c r="C157" s="4" t="s">
        <v>824</v>
      </c>
      <c r="D157" s="4" t="s">
        <v>591</v>
      </c>
      <c r="E157" s="5">
        <v>1000000</v>
      </c>
      <c r="F157" s="6">
        <v>1000.7</v>
      </c>
      <c r="G157" s="7">
        <v>6.4793560000000004E-3</v>
      </c>
      <c r="H157" s="47">
        <v>6.6512000000000002</v>
      </c>
    </row>
    <row r="158" spans="1:8" ht="29.1" customHeight="1" x14ac:dyDescent="0.2">
      <c r="A158" s="3">
        <v>3</v>
      </c>
      <c r="B158" s="4" t="s">
        <v>891</v>
      </c>
      <c r="C158" s="4" t="s">
        <v>892</v>
      </c>
      <c r="D158" s="4" t="s">
        <v>591</v>
      </c>
      <c r="E158" s="5">
        <v>500000</v>
      </c>
      <c r="F158" s="6">
        <v>491.85050000000001</v>
      </c>
      <c r="G158" s="7">
        <v>3.1846449999999998E-3</v>
      </c>
      <c r="H158" s="47">
        <v>6.1893000000000002</v>
      </c>
    </row>
    <row r="159" spans="1:8" ht="29.1" customHeight="1" x14ac:dyDescent="0.2">
      <c r="A159" s="3">
        <v>4</v>
      </c>
      <c r="B159" s="4" t="s">
        <v>835</v>
      </c>
      <c r="C159" s="4" t="s">
        <v>836</v>
      </c>
      <c r="D159" s="4" t="s">
        <v>591</v>
      </c>
      <c r="E159" s="5">
        <v>200000</v>
      </c>
      <c r="F159" s="6">
        <v>201.2328</v>
      </c>
      <c r="G159" s="7">
        <v>1.302947E-3</v>
      </c>
      <c r="H159" s="47">
        <v>5.1501000000000001</v>
      </c>
    </row>
    <row r="160" spans="1:8" ht="29.1" customHeight="1" x14ac:dyDescent="0.2">
      <c r="A160" s="3">
        <v>5</v>
      </c>
      <c r="B160" s="4" t="s">
        <v>827</v>
      </c>
      <c r="C160" s="4" t="s">
        <v>828</v>
      </c>
      <c r="D160" s="4" t="s">
        <v>591</v>
      </c>
      <c r="E160" s="5">
        <v>200000</v>
      </c>
      <c r="F160" s="6">
        <v>200.91579999999999</v>
      </c>
      <c r="G160" s="7">
        <v>1.3008939999999999E-3</v>
      </c>
      <c r="H160" s="47">
        <v>5.7962999999999996</v>
      </c>
    </row>
    <row r="161" spans="1:8" ht="29.1" customHeight="1" x14ac:dyDescent="0.2">
      <c r="A161" s="3">
        <v>6</v>
      </c>
      <c r="B161" s="4" t="s">
        <v>829</v>
      </c>
      <c r="C161" s="4" t="s">
        <v>830</v>
      </c>
      <c r="D161" s="4" t="s">
        <v>591</v>
      </c>
      <c r="E161" s="5">
        <v>100000</v>
      </c>
      <c r="F161" s="6">
        <v>102.63930000000001</v>
      </c>
      <c r="G161" s="7">
        <v>6.6457099999999998E-4</v>
      </c>
      <c r="H161" s="47">
        <v>7.2350000000000003</v>
      </c>
    </row>
    <row r="162" spans="1:8" ht="29.1" customHeight="1" x14ac:dyDescent="0.2">
      <c r="A162" s="3">
        <v>7</v>
      </c>
      <c r="B162" s="4" t="s">
        <v>831</v>
      </c>
      <c r="C162" s="4" t="s">
        <v>832</v>
      </c>
      <c r="D162" s="4" t="s">
        <v>591</v>
      </c>
      <c r="E162" s="5">
        <v>100000</v>
      </c>
      <c r="F162" s="6">
        <v>102.23099999999999</v>
      </c>
      <c r="G162" s="7">
        <v>6.61928E-4</v>
      </c>
      <c r="H162" s="47">
        <v>7.1481000000000003</v>
      </c>
    </row>
    <row r="163" spans="1:8" ht="29.1" customHeight="1" x14ac:dyDescent="0.2">
      <c r="A163" s="3">
        <v>8</v>
      </c>
      <c r="B163" s="4" t="s">
        <v>833</v>
      </c>
      <c r="C163" s="4" t="s">
        <v>834</v>
      </c>
      <c r="D163" s="4" t="s">
        <v>591</v>
      </c>
      <c r="E163" s="5">
        <v>100000</v>
      </c>
      <c r="F163" s="6">
        <v>102.15649999999999</v>
      </c>
      <c r="G163" s="7">
        <v>6.6144499999999998E-4</v>
      </c>
      <c r="H163" s="47">
        <v>7.1349999999999998</v>
      </c>
    </row>
    <row r="164" spans="1:8" ht="29.1" customHeight="1" x14ac:dyDescent="0.2">
      <c r="A164" s="3">
        <v>9</v>
      </c>
      <c r="B164" s="4" t="s">
        <v>893</v>
      </c>
      <c r="C164" s="4" t="s">
        <v>894</v>
      </c>
      <c r="D164" s="4" t="s">
        <v>591</v>
      </c>
      <c r="E164" s="5">
        <v>100000</v>
      </c>
      <c r="F164" s="6">
        <v>100.3891</v>
      </c>
      <c r="G164" s="7">
        <v>6.50002E-4</v>
      </c>
      <c r="H164" s="47">
        <v>5.226</v>
      </c>
    </row>
    <row r="165" spans="1:8" ht="14.1" customHeight="1" x14ac:dyDescent="0.2">
      <c r="A165" s="1"/>
      <c r="B165" s="1"/>
      <c r="C165" s="2" t="s">
        <v>122</v>
      </c>
      <c r="D165" s="1"/>
      <c r="E165" s="1" t="s">
        <v>123</v>
      </c>
      <c r="F165" s="9">
        <v>3733.9490000000001</v>
      </c>
      <c r="G165" s="10">
        <v>2.4176660999999999E-2</v>
      </c>
      <c r="H165" s="47"/>
    </row>
    <row r="166" spans="1:8" ht="14.1" customHeight="1" x14ac:dyDescent="0.2">
      <c r="A166" s="1"/>
      <c r="B166" s="1"/>
      <c r="C166" s="11"/>
      <c r="D166" s="1"/>
      <c r="E166" s="1"/>
      <c r="F166" s="12"/>
      <c r="G166" s="12"/>
      <c r="H166" s="47"/>
    </row>
    <row r="167" spans="1:8" ht="14.1" customHeight="1" x14ac:dyDescent="0.2">
      <c r="A167" s="1"/>
      <c r="B167" s="1"/>
      <c r="C167" s="2" t="s">
        <v>133</v>
      </c>
      <c r="D167" s="1"/>
      <c r="E167" s="1"/>
      <c r="F167" s="12"/>
      <c r="G167" s="12"/>
      <c r="H167" s="47"/>
    </row>
    <row r="168" spans="1:8" ht="14.1" customHeight="1" x14ac:dyDescent="0.2">
      <c r="A168" s="1"/>
      <c r="B168" s="1"/>
      <c r="C168" s="2" t="s">
        <v>122</v>
      </c>
      <c r="D168" s="1"/>
      <c r="E168" s="1" t="s">
        <v>123</v>
      </c>
      <c r="F168" s="13">
        <v>0</v>
      </c>
      <c r="G168" s="14">
        <v>0</v>
      </c>
      <c r="H168" s="47"/>
    </row>
    <row r="169" spans="1:8" ht="14.1" customHeight="1" x14ac:dyDescent="0.2">
      <c r="A169" s="1"/>
      <c r="B169" s="1"/>
      <c r="C169" s="11"/>
      <c r="D169" s="1"/>
      <c r="E169" s="1"/>
      <c r="F169" s="12"/>
      <c r="G169" s="12"/>
      <c r="H169" s="47"/>
    </row>
    <row r="170" spans="1:8" ht="14.1" customHeight="1" x14ac:dyDescent="0.2">
      <c r="A170" s="1"/>
      <c r="B170" s="1"/>
      <c r="C170" s="2" t="s">
        <v>134</v>
      </c>
      <c r="D170" s="1"/>
      <c r="E170" s="1"/>
      <c r="F170" s="9">
        <v>17836.259600000001</v>
      </c>
      <c r="G170" s="10">
        <v>0.115486639</v>
      </c>
      <c r="H170" s="47"/>
    </row>
    <row r="171" spans="1:8" ht="14.1" customHeight="1" x14ac:dyDescent="0.2">
      <c r="A171" s="1"/>
      <c r="B171" s="1"/>
      <c r="C171" s="11"/>
      <c r="D171" s="1"/>
      <c r="E171" s="1"/>
      <c r="F171" s="12"/>
      <c r="G171" s="12"/>
      <c r="H171" s="47"/>
    </row>
    <row r="172" spans="1:8" ht="14.1" customHeight="1" x14ac:dyDescent="0.2">
      <c r="A172" s="1"/>
      <c r="B172" s="1"/>
      <c r="C172" s="2" t="s">
        <v>135</v>
      </c>
      <c r="D172" s="1"/>
      <c r="E172" s="1"/>
      <c r="F172" s="12"/>
      <c r="G172" s="12"/>
      <c r="H172" s="47"/>
    </row>
    <row r="173" spans="1:8" ht="14.1" customHeight="1" x14ac:dyDescent="0.2">
      <c r="A173" s="1"/>
      <c r="B173" s="1"/>
      <c r="C173" s="2" t="s">
        <v>136</v>
      </c>
      <c r="D173" s="1"/>
      <c r="E173" s="1"/>
      <c r="F173" s="12"/>
      <c r="G173" s="12"/>
      <c r="H173" s="47"/>
    </row>
    <row r="174" spans="1:8" ht="17.100000000000001" customHeight="1" x14ac:dyDescent="0.2">
      <c r="A174" s="3">
        <v>1</v>
      </c>
      <c r="B174" s="4" t="s">
        <v>837</v>
      </c>
      <c r="C174" s="4" t="s">
        <v>838</v>
      </c>
      <c r="D174" s="4" t="s">
        <v>839</v>
      </c>
      <c r="E174" s="5">
        <v>700</v>
      </c>
      <c r="F174" s="6">
        <v>3467.2855</v>
      </c>
      <c r="G174" s="7">
        <v>2.2450062999999999E-2</v>
      </c>
      <c r="H174" s="47">
        <v>5.1401000000000003</v>
      </c>
    </row>
    <row r="175" spans="1:8" ht="14.1" customHeight="1" x14ac:dyDescent="0.2">
      <c r="A175" s="1"/>
      <c r="B175" s="1"/>
      <c r="C175" s="2" t="s">
        <v>122</v>
      </c>
      <c r="D175" s="1"/>
      <c r="E175" s="1" t="s">
        <v>123</v>
      </c>
      <c r="F175" s="9">
        <v>3467.2855</v>
      </c>
      <c r="G175" s="10">
        <v>2.2450062999999999E-2</v>
      </c>
      <c r="H175" s="47"/>
    </row>
    <row r="176" spans="1:8" ht="14.1" customHeight="1" x14ac:dyDescent="0.2">
      <c r="A176" s="1"/>
      <c r="B176" s="1"/>
      <c r="C176" s="11"/>
      <c r="D176" s="1"/>
      <c r="E176" s="1"/>
      <c r="F176" s="12"/>
      <c r="G176" s="12"/>
      <c r="H176" s="47"/>
    </row>
    <row r="177" spans="1:8" ht="14.1" customHeight="1" x14ac:dyDescent="0.2">
      <c r="A177" s="1"/>
      <c r="B177" s="1"/>
      <c r="C177" s="2" t="s">
        <v>137</v>
      </c>
      <c r="D177" s="1"/>
      <c r="E177" s="1"/>
      <c r="F177" s="12"/>
      <c r="G177" s="12"/>
      <c r="H177" s="47"/>
    </row>
    <row r="178" spans="1:8" ht="14.1" customHeight="1" x14ac:dyDescent="0.2">
      <c r="A178" s="1"/>
      <c r="B178" s="1"/>
      <c r="C178" s="2" t="s">
        <v>122</v>
      </c>
      <c r="D178" s="1"/>
      <c r="E178" s="1" t="s">
        <v>123</v>
      </c>
      <c r="F178" s="13">
        <v>0</v>
      </c>
      <c r="G178" s="14">
        <v>0</v>
      </c>
      <c r="H178" s="47"/>
    </row>
    <row r="179" spans="1:8" ht="14.1" customHeight="1" x14ac:dyDescent="0.2">
      <c r="A179" s="1"/>
      <c r="B179" s="1"/>
      <c r="C179" s="11"/>
      <c r="D179" s="1"/>
      <c r="E179" s="1"/>
      <c r="F179" s="12"/>
      <c r="G179" s="12"/>
      <c r="H179" s="47"/>
    </row>
    <row r="180" spans="1:8" ht="14.1" customHeight="1" x14ac:dyDescent="0.2">
      <c r="A180" s="1"/>
      <c r="B180" s="1"/>
      <c r="C180" s="2" t="s">
        <v>138</v>
      </c>
      <c r="D180" s="1"/>
      <c r="E180" s="1"/>
      <c r="F180" s="12"/>
      <c r="G180" s="12"/>
      <c r="H180" s="47"/>
    </row>
    <row r="181" spans="1:8" ht="17.100000000000001" customHeight="1" x14ac:dyDescent="0.2">
      <c r="A181" s="3">
        <v>1</v>
      </c>
      <c r="B181" s="4" t="s">
        <v>590</v>
      </c>
      <c r="C181" s="4" t="s">
        <v>952</v>
      </c>
      <c r="D181" s="4" t="s">
        <v>591</v>
      </c>
      <c r="E181" s="5">
        <v>5000000</v>
      </c>
      <c r="F181" s="6">
        <v>4991.91</v>
      </c>
      <c r="G181" s="7">
        <v>3.2321738000000003E-2</v>
      </c>
      <c r="H181" s="47">
        <v>4.55</v>
      </c>
    </row>
    <row r="182" spans="1:8" ht="14.1" customHeight="1" x14ac:dyDescent="0.2">
      <c r="A182" s="1"/>
      <c r="B182" s="1"/>
      <c r="C182" s="2" t="s">
        <v>122</v>
      </c>
      <c r="D182" s="1"/>
      <c r="E182" s="1" t="s">
        <v>123</v>
      </c>
      <c r="F182" s="9">
        <v>4991.91</v>
      </c>
      <c r="G182" s="10">
        <v>3.2321738000000003E-2</v>
      </c>
      <c r="H182" s="47"/>
    </row>
    <row r="183" spans="1:8" ht="14.1" customHeight="1" x14ac:dyDescent="0.2">
      <c r="A183" s="1"/>
      <c r="B183" s="1"/>
      <c r="C183" s="11"/>
      <c r="D183" s="1"/>
      <c r="E183" s="1"/>
      <c r="F183" s="12"/>
      <c r="G183" s="12"/>
      <c r="H183" s="47"/>
    </row>
    <row r="184" spans="1:8" ht="14.1" customHeight="1" x14ac:dyDescent="0.2">
      <c r="A184" s="1"/>
      <c r="B184" s="1"/>
      <c r="C184" s="2" t="s">
        <v>139</v>
      </c>
      <c r="D184" s="1"/>
      <c r="E184" s="1"/>
      <c r="F184" s="12"/>
      <c r="G184" s="12"/>
      <c r="H184" s="47"/>
    </row>
    <row r="185" spans="1:8" ht="17.100000000000001" customHeight="1" x14ac:dyDescent="0.2">
      <c r="A185" s="3">
        <v>1</v>
      </c>
      <c r="B185" s="4"/>
      <c r="C185" s="4" t="s">
        <v>140</v>
      </c>
      <c r="D185" s="4"/>
      <c r="E185" s="8"/>
      <c r="F185" s="6">
        <v>8450.6981608000006</v>
      </c>
      <c r="G185" s="7">
        <v>5.4716782055701588E-2</v>
      </c>
      <c r="H185" s="47">
        <v>4.6730752161314033</v>
      </c>
    </row>
    <row r="186" spans="1:8" ht="14.1" customHeight="1" x14ac:dyDescent="0.2">
      <c r="A186" s="1"/>
      <c r="B186" s="1"/>
      <c r="C186" s="2" t="s">
        <v>122</v>
      </c>
      <c r="D186" s="1"/>
      <c r="E186" s="1" t="s">
        <v>123</v>
      </c>
      <c r="F186" s="9">
        <v>8450.6981608000006</v>
      </c>
      <c r="G186" s="10">
        <v>5.4716781999999999E-2</v>
      </c>
      <c r="H186" s="47"/>
    </row>
    <row r="187" spans="1:8" ht="14.1" customHeight="1" x14ac:dyDescent="0.2">
      <c r="A187" s="1"/>
      <c r="B187" s="1"/>
      <c r="C187" s="11"/>
      <c r="D187" s="1"/>
      <c r="E187" s="1"/>
      <c r="F187" s="12"/>
      <c r="G187" s="12"/>
      <c r="H187" s="47"/>
    </row>
    <row r="188" spans="1:8" ht="14.1" customHeight="1" x14ac:dyDescent="0.2">
      <c r="A188" s="1"/>
      <c r="B188" s="1"/>
      <c r="C188" s="2" t="s">
        <v>141</v>
      </c>
      <c r="D188" s="1"/>
      <c r="E188" s="1"/>
      <c r="F188" s="9">
        <v>16909.8936608</v>
      </c>
      <c r="G188" s="10">
        <v>0.109488583</v>
      </c>
      <c r="H188" s="47"/>
    </row>
    <row r="189" spans="1:8" ht="14.1" customHeight="1" x14ac:dyDescent="0.2">
      <c r="A189" s="1"/>
      <c r="B189" s="1"/>
      <c r="C189" s="12"/>
      <c r="D189" s="1"/>
      <c r="E189" s="1"/>
      <c r="F189" s="1"/>
      <c r="G189" s="1"/>
      <c r="H189" s="47"/>
    </row>
    <row r="190" spans="1:8" ht="14.1" customHeight="1" x14ac:dyDescent="0.2">
      <c r="A190" s="1"/>
      <c r="B190" s="1"/>
      <c r="C190" s="2" t="s">
        <v>142</v>
      </c>
      <c r="D190" s="1"/>
      <c r="E190" s="1"/>
      <c r="F190" s="1"/>
      <c r="G190" s="1"/>
      <c r="H190" s="47"/>
    </row>
    <row r="191" spans="1:8" ht="14.1" customHeight="1" x14ac:dyDescent="0.2">
      <c r="A191" s="1"/>
      <c r="B191" s="1"/>
      <c r="C191" s="2" t="s">
        <v>143</v>
      </c>
      <c r="D191" s="1"/>
      <c r="E191" s="1"/>
      <c r="F191" s="1"/>
      <c r="G191" s="1"/>
      <c r="H191" s="47"/>
    </row>
    <row r="192" spans="1:8" ht="14.1" customHeight="1" x14ac:dyDescent="0.2">
      <c r="A192" s="1"/>
      <c r="B192" s="1"/>
      <c r="C192" s="2" t="s">
        <v>122</v>
      </c>
      <c r="D192" s="1"/>
      <c r="E192" s="1" t="s">
        <v>123</v>
      </c>
      <c r="F192" s="13">
        <v>0</v>
      </c>
      <c r="G192" s="14">
        <v>0</v>
      </c>
      <c r="H192" s="47"/>
    </row>
    <row r="193" spans="1:10" ht="14.1" customHeight="1" x14ac:dyDescent="0.2">
      <c r="A193" s="1"/>
      <c r="B193" s="1"/>
      <c r="C193" s="11"/>
      <c r="D193" s="1"/>
      <c r="E193" s="1"/>
      <c r="F193" s="12"/>
      <c r="G193" s="12"/>
      <c r="H193" s="47"/>
    </row>
    <row r="194" spans="1:10" ht="14.1" customHeight="1" x14ac:dyDescent="0.2">
      <c r="A194" s="1"/>
      <c r="B194" s="1"/>
      <c r="C194" s="2" t="s">
        <v>144</v>
      </c>
      <c r="D194" s="1"/>
      <c r="E194" s="1"/>
      <c r="F194" s="1"/>
      <c r="G194" s="1"/>
      <c r="H194" s="47"/>
    </row>
    <row r="195" spans="1:10" ht="14.1" customHeight="1" x14ac:dyDescent="0.2">
      <c r="A195" s="1"/>
      <c r="B195" s="1"/>
      <c r="C195" s="2" t="s">
        <v>145</v>
      </c>
      <c r="D195" s="1"/>
      <c r="E195" s="1"/>
      <c r="F195" s="1"/>
      <c r="G195" s="1"/>
      <c r="H195" s="47"/>
    </row>
    <row r="196" spans="1:10" ht="14.1" customHeight="1" x14ac:dyDescent="0.2">
      <c r="A196" s="1"/>
      <c r="B196" s="1"/>
      <c r="C196" s="2" t="s">
        <v>122</v>
      </c>
      <c r="D196" s="1"/>
      <c r="E196" s="1" t="s">
        <v>123</v>
      </c>
      <c r="F196" s="13">
        <v>0</v>
      </c>
      <c r="G196" s="14">
        <v>0</v>
      </c>
      <c r="H196" s="47"/>
    </row>
    <row r="197" spans="1:10" ht="14.1" customHeight="1" x14ac:dyDescent="0.2">
      <c r="A197" s="1"/>
      <c r="B197" s="1"/>
      <c r="C197" s="11"/>
      <c r="D197" s="1"/>
      <c r="E197" s="1"/>
      <c r="F197" s="12"/>
      <c r="G197" s="12"/>
      <c r="H197" s="47"/>
    </row>
    <row r="198" spans="1:10" ht="24" customHeight="1" x14ac:dyDescent="0.2">
      <c r="A198" s="1"/>
      <c r="B198" s="1"/>
      <c r="C198" s="2" t="s">
        <v>146</v>
      </c>
      <c r="D198" s="1"/>
      <c r="E198" s="1"/>
      <c r="F198" s="12"/>
      <c r="G198" s="12"/>
      <c r="H198" s="47"/>
    </row>
    <row r="199" spans="1:10" ht="14.1" customHeight="1" x14ac:dyDescent="0.2">
      <c r="A199" s="1"/>
      <c r="B199" s="1"/>
      <c r="C199" s="2" t="s">
        <v>122</v>
      </c>
      <c r="D199" s="1"/>
      <c r="E199" s="1" t="s">
        <v>123</v>
      </c>
      <c r="F199" s="13">
        <v>0</v>
      </c>
      <c r="G199" s="14">
        <v>0</v>
      </c>
      <c r="H199" s="47"/>
    </row>
    <row r="200" spans="1:10" ht="14.1" customHeight="1" x14ac:dyDescent="0.2">
      <c r="A200" s="1"/>
      <c r="B200" s="1"/>
      <c r="C200" s="11"/>
      <c r="D200" s="1"/>
      <c r="E200" s="1"/>
      <c r="F200" s="12"/>
      <c r="G200" s="12"/>
      <c r="H200" s="47"/>
    </row>
    <row r="201" spans="1:10" ht="18" customHeight="1" x14ac:dyDescent="0.2">
      <c r="A201" s="8"/>
      <c r="B201" s="4"/>
      <c r="C201" s="4" t="s">
        <v>593</v>
      </c>
      <c r="D201" s="4"/>
      <c r="E201" s="8"/>
      <c r="F201" s="6">
        <v>6785.2382363999996</v>
      </c>
      <c r="G201" s="7">
        <v>4.3933222405137369E-2</v>
      </c>
      <c r="H201" s="47"/>
    </row>
    <row r="202" spans="1:10" ht="18" customHeight="1" x14ac:dyDescent="0.2">
      <c r="A202" s="8"/>
      <c r="B202" s="4"/>
      <c r="C202" s="4" t="s">
        <v>858</v>
      </c>
      <c r="D202" s="4"/>
      <c r="E202" s="8"/>
      <c r="F202" s="6">
        <v>714.60272775998999</v>
      </c>
      <c r="G202" s="7">
        <v>4.6269267896265369E-3</v>
      </c>
      <c r="H202" s="47"/>
      <c r="I202" s="177"/>
      <c r="J202" s="178"/>
    </row>
    <row r="203" spans="1:10" ht="14.1" customHeight="1" x14ac:dyDescent="0.2">
      <c r="A203" s="11"/>
      <c r="B203" s="11"/>
      <c r="C203" s="2" t="s">
        <v>148</v>
      </c>
      <c r="D203" s="12"/>
      <c r="E203" s="12"/>
      <c r="F203" s="9">
        <v>154444.35588695997</v>
      </c>
      <c r="G203" s="14">
        <v>1.0000000039612837</v>
      </c>
      <c r="H203" s="47"/>
    </row>
    <row r="204" spans="1:10" ht="14.1" customHeight="1" x14ac:dyDescent="0.2">
      <c r="A204" s="16"/>
      <c r="B204" s="16"/>
      <c r="C204" s="16"/>
      <c r="D204" s="17"/>
      <c r="E204" s="17"/>
      <c r="F204" s="17"/>
      <c r="G204" s="17"/>
    </row>
    <row r="205" spans="1:10" ht="17.100000000000001" customHeight="1" x14ac:dyDescent="0.2">
      <c r="A205" s="18"/>
      <c r="B205" s="264" t="s">
        <v>859</v>
      </c>
      <c r="C205" s="264"/>
      <c r="D205" s="264"/>
      <c r="E205" s="264"/>
      <c r="F205" s="264"/>
      <c r="G205" s="20"/>
    </row>
    <row r="206" spans="1:10" ht="17.100000000000001" customHeight="1" x14ac:dyDescent="0.2">
      <c r="A206" s="18"/>
      <c r="B206" s="264" t="s">
        <v>860</v>
      </c>
      <c r="C206" s="264"/>
      <c r="D206" s="264"/>
      <c r="E206" s="264"/>
      <c r="F206" s="264"/>
      <c r="G206" s="20"/>
    </row>
    <row r="207" spans="1:10" ht="14.1" customHeight="1" x14ac:dyDescent="0.2">
      <c r="A207" s="18"/>
      <c r="B207" s="18"/>
      <c r="C207" s="18"/>
      <c r="D207" s="20"/>
      <c r="E207" s="20"/>
      <c r="F207" s="20"/>
      <c r="G207" s="20"/>
    </row>
    <row r="208" spans="1:10" ht="14.1" customHeight="1" x14ac:dyDescent="0.2">
      <c r="A208" s="18"/>
      <c r="B208" s="257" t="s">
        <v>150</v>
      </c>
      <c r="C208" s="269"/>
      <c r="D208" s="258"/>
      <c r="E208" s="21"/>
      <c r="F208" s="20"/>
      <c r="G208" s="20"/>
    </row>
    <row r="209" spans="1:7" ht="29.1" customHeight="1" x14ac:dyDescent="0.2">
      <c r="A209" s="18"/>
      <c r="B209" s="259" t="s">
        <v>151</v>
      </c>
      <c r="C209" s="260"/>
      <c r="D209" s="2" t="s">
        <v>152</v>
      </c>
      <c r="E209" s="21"/>
      <c r="F209" s="20"/>
      <c r="G209" s="20"/>
    </row>
    <row r="210" spans="1:7" ht="17.100000000000001" customHeight="1" x14ac:dyDescent="0.2">
      <c r="A210" s="18"/>
      <c r="B210" s="259" t="s">
        <v>153</v>
      </c>
      <c r="C210" s="260"/>
      <c r="D210" s="2" t="s">
        <v>152</v>
      </c>
      <c r="E210" s="21"/>
      <c r="F210" s="20"/>
      <c r="G210" s="20"/>
    </row>
    <row r="211" spans="1:7" ht="17.100000000000001" customHeight="1" x14ac:dyDescent="0.2">
      <c r="A211" s="18"/>
      <c r="B211" s="259" t="s">
        <v>154</v>
      </c>
      <c r="C211" s="260"/>
      <c r="D211" s="12" t="s">
        <v>123</v>
      </c>
      <c r="E211" s="21"/>
      <c r="F211" s="20"/>
      <c r="G211" s="20"/>
    </row>
    <row r="212" spans="1:7" ht="24" customHeight="1" x14ac:dyDescent="0.2">
      <c r="A212" s="22"/>
      <c r="B212" s="23" t="s">
        <v>123</v>
      </c>
      <c r="C212" s="23" t="s">
        <v>155</v>
      </c>
      <c r="D212" s="23" t="s">
        <v>156</v>
      </c>
      <c r="E212" s="22"/>
      <c r="F212" s="22"/>
      <c r="G212" s="22"/>
    </row>
    <row r="213" spans="1:7" ht="18" customHeight="1" x14ac:dyDescent="0.2">
      <c r="A213" s="22"/>
      <c r="B213" s="29" t="s">
        <v>157</v>
      </c>
      <c r="C213" s="23" t="s">
        <v>158</v>
      </c>
      <c r="D213" s="23" t="s">
        <v>159</v>
      </c>
      <c r="E213" s="22"/>
      <c r="F213" s="22"/>
      <c r="G213" s="22"/>
    </row>
    <row r="214" spans="1:7" ht="17.100000000000001" customHeight="1" x14ac:dyDescent="0.2">
      <c r="A214" s="22"/>
      <c r="B214" s="4" t="s">
        <v>160</v>
      </c>
      <c r="C214" s="30">
        <v>27.4528</v>
      </c>
      <c r="D214" s="30">
        <v>26.9742</v>
      </c>
      <c r="E214" s="22"/>
      <c r="F214" s="19"/>
      <c r="G214" s="25"/>
    </row>
    <row r="215" spans="1:7" ht="29.1" customHeight="1" x14ac:dyDescent="0.2">
      <c r="A215" s="22"/>
      <c r="B215" s="4" t="s">
        <v>1106</v>
      </c>
      <c r="C215" s="30">
        <v>16.142399999999999</v>
      </c>
      <c r="D215" s="30">
        <v>15.580299999999999</v>
      </c>
      <c r="E215" s="22"/>
      <c r="F215" s="19"/>
      <c r="G215" s="25"/>
    </row>
    <row r="216" spans="1:7" ht="17.100000000000001" customHeight="1" x14ac:dyDescent="0.2">
      <c r="A216" s="22"/>
      <c r="B216" s="4" t="s">
        <v>161</v>
      </c>
      <c r="C216" s="30">
        <v>24.508800000000001</v>
      </c>
      <c r="D216" s="30">
        <v>24.0503</v>
      </c>
      <c r="E216" s="22"/>
      <c r="F216" s="19"/>
      <c r="G216" s="25"/>
    </row>
    <row r="217" spans="1:7" ht="29.1" customHeight="1" x14ac:dyDescent="0.2">
      <c r="A217" s="22"/>
      <c r="B217" s="4" t="s">
        <v>1108</v>
      </c>
      <c r="C217" s="30">
        <v>13.827999999999999</v>
      </c>
      <c r="D217" s="30">
        <v>13.3287</v>
      </c>
      <c r="E217" s="22"/>
      <c r="F217" s="19"/>
      <c r="G217" s="25"/>
    </row>
    <row r="218" spans="1:7" ht="14.1" customHeight="1" x14ac:dyDescent="0.2">
      <c r="A218" s="22"/>
      <c r="B218" s="22"/>
      <c r="C218" s="22"/>
      <c r="D218" s="22"/>
      <c r="E218" s="22"/>
      <c r="F218" s="22"/>
      <c r="G218" s="22"/>
    </row>
    <row r="219" spans="1:7" ht="17.100000000000001" customHeight="1" x14ac:dyDescent="0.2">
      <c r="A219" s="22"/>
      <c r="B219" s="259" t="s">
        <v>1103</v>
      </c>
      <c r="C219" s="260"/>
      <c r="D219" s="2" t="s">
        <v>123</v>
      </c>
      <c r="E219" s="22"/>
      <c r="F219" s="22"/>
      <c r="G219" s="22"/>
    </row>
    <row r="220" spans="1:7" ht="18" customHeight="1" x14ac:dyDescent="0.2">
      <c r="A220" s="22"/>
      <c r="B220" s="31" t="s">
        <v>157</v>
      </c>
      <c r="C220" s="32" t="s">
        <v>861</v>
      </c>
      <c r="D220" s="32" t="s">
        <v>862</v>
      </c>
      <c r="E220" s="22"/>
      <c r="F220" s="22"/>
      <c r="G220" s="22"/>
    </row>
    <row r="221" spans="1:7" ht="29.1" customHeight="1" x14ac:dyDescent="0.2">
      <c r="A221" s="22"/>
      <c r="B221" s="4" t="s">
        <v>1106</v>
      </c>
      <c r="C221" s="33">
        <v>0.27500000000000002</v>
      </c>
      <c r="D221" s="8" t="s">
        <v>895</v>
      </c>
      <c r="E221" s="22"/>
      <c r="F221" s="19"/>
      <c r="G221" s="25"/>
    </row>
    <row r="222" spans="1:7" ht="29.1" customHeight="1" x14ac:dyDescent="0.2">
      <c r="A222" s="22"/>
      <c r="B222" s="4" t="s">
        <v>1108</v>
      </c>
      <c r="C222" s="33">
        <v>0.23599999999999999</v>
      </c>
      <c r="D222" s="33">
        <v>0.23599999999999999</v>
      </c>
      <c r="E222" s="22"/>
      <c r="F222" s="19"/>
      <c r="G222" s="25"/>
    </row>
    <row r="223" spans="1:7" ht="14.1" customHeight="1" x14ac:dyDescent="0.2">
      <c r="A223" s="22"/>
      <c r="B223" s="34"/>
      <c r="C223" s="34"/>
      <c r="D223" s="35"/>
      <c r="E223" s="22"/>
      <c r="F223" s="19"/>
      <c r="G223" s="25"/>
    </row>
    <row r="224" spans="1:7" ht="29.1" customHeight="1" x14ac:dyDescent="0.2">
      <c r="A224" s="22"/>
      <c r="B224" s="259" t="s">
        <v>162</v>
      </c>
      <c r="C224" s="260"/>
      <c r="D224" s="2" t="s">
        <v>1060</v>
      </c>
      <c r="E224" s="36"/>
      <c r="F224" s="22"/>
      <c r="G224" s="22"/>
    </row>
    <row r="225" spans="1:7" ht="29.1" customHeight="1" x14ac:dyDescent="0.2">
      <c r="A225" s="22"/>
      <c r="B225" s="259" t="s">
        <v>163</v>
      </c>
      <c r="C225" s="260"/>
      <c r="D225" s="2" t="s">
        <v>152</v>
      </c>
      <c r="E225" s="36"/>
      <c r="F225" s="22"/>
      <c r="G225" s="22"/>
    </row>
    <row r="226" spans="1:7" ht="17.100000000000001" customHeight="1" x14ac:dyDescent="0.2">
      <c r="A226" s="22"/>
      <c r="B226" s="291" t="s">
        <v>1061</v>
      </c>
      <c r="C226" s="292"/>
      <c r="D226" s="37">
        <v>0.51142014103645217</v>
      </c>
      <c r="E226" s="36"/>
      <c r="F226" s="22"/>
      <c r="G226" s="22"/>
    </row>
    <row r="227" spans="1:7" ht="17.100000000000001" customHeight="1" x14ac:dyDescent="0.2">
      <c r="A227" s="22"/>
      <c r="B227" s="291" t="s">
        <v>1062</v>
      </c>
      <c r="C227" s="292"/>
      <c r="D227" s="37">
        <v>0.48906476368786239</v>
      </c>
      <c r="E227" s="36"/>
      <c r="F227" s="22"/>
      <c r="G227" s="22"/>
    </row>
    <row r="228" spans="1:7" ht="17.100000000000001" customHeight="1" x14ac:dyDescent="0.2">
      <c r="A228" s="22"/>
      <c r="B228" s="259" t="s">
        <v>1063</v>
      </c>
      <c r="C228" s="260"/>
      <c r="D228" s="28">
        <v>3.5862678699136756</v>
      </c>
      <c r="E228" s="22"/>
      <c r="F228" s="19"/>
      <c r="G228" s="25"/>
    </row>
    <row r="229" spans="1:7" ht="17.100000000000001" customHeight="1" x14ac:dyDescent="0.2">
      <c r="A229" s="22"/>
      <c r="B229" s="259" t="s">
        <v>1064</v>
      </c>
      <c r="C229" s="260"/>
      <c r="D229" s="2" t="s">
        <v>152</v>
      </c>
      <c r="E229" s="36"/>
      <c r="F229" s="22"/>
      <c r="G229" s="22"/>
    </row>
  </sheetData>
  <mergeCells count="17">
    <mergeCell ref="J2:N2"/>
    <mergeCell ref="A1:H1"/>
    <mergeCell ref="A2:H2"/>
    <mergeCell ref="A3:H3"/>
    <mergeCell ref="B224:C224"/>
    <mergeCell ref="B205:F205"/>
    <mergeCell ref="B206:F206"/>
    <mergeCell ref="B208:D208"/>
    <mergeCell ref="B209:C209"/>
    <mergeCell ref="B210:C210"/>
    <mergeCell ref="B211:C211"/>
    <mergeCell ref="B219:C219"/>
    <mergeCell ref="B225:C225"/>
    <mergeCell ref="B226:C226"/>
    <mergeCell ref="B227:C227"/>
    <mergeCell ref="B229:C229"/>
    <mergeCell ref="B228:C22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N14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4.5703125" bestFit="1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94" t="s">
        <v>1146</v>
      </c>
      <c r="B2" s="295"/>
      <c r="C2" s="295"/>
      <c r="D2" s="295"/>
      <c r="E2" s="295"/>
      <c r="F2" s="295"/>
      <c r="G2" s="295"/>
      <c r="H2" s="296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393</v>
      </c>
      <c r="C7" s="4" t="s">
        <v>394</v>
      </c>
      <c r="D7" s="4" t="s">
        <v>191</v>
      </c>
      <c r="E7" s="5">
        <v>142161</v>
      </c>
      <c r="F7" s="6">
        <v>2078.251659</v>
      </c>
      <c r="G7" s="7">
        <v>7.5071988000000006E-2</v>
      </c>
      <c r="H7" s="47"/>
    </row>
    <row r="8" spans="1:14" ht="17.100000000000001" customHeight="1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64548</v>
      </c>
      <c r="F8" s="6">
        <v>1675.4401620000001</v>
      </c>
      <c r="G8" s="7">
        <v>6.0521363000000002E-2</v>
      </c>
      <c r="H8" s="47"/>
    </row>
    <row r="9" spans="1:14" ht="17.100000000000001" customHeight="1" x14ac:dyDescent="0.2">
      <c r="A9" s="3">
        <v>3</v>
      </c>
      <c r="B9" s="4" t="s">
        <v>397</v>
      </c>
      <c r="C9" s="4" t="s">
        <v>398</v>
      </c>
      <c r="D9" s="4" t="s">
        <v>191</v>
      </c>
      <c r="E9" s="5">
        <v>42421</v>
      </c>
      <c r="F9" s="6">
        <v>1385.9364909999999</v>
      </c>
      <c r="G9" s="7">
        <v>5.0063719E-2</v>
      </c>
      <c r="H9" s="47"/>
    </row>
    <row r="10" spans="1:14" ht="17.100000000000001" customHeight="1" x14ac:dyDescent="0.2">
      <c r="A10" s="3">
        <v>4</v>
      </c>
      <c r="B10" s="4" t="s">
        <v>403</v>
      </c>
      <c r="C10" s="4" t="s">
        <v>404</v>
      </c>
      <c r="D10" s="4" t="s">
        <v>405</v>
      </c>
      <c r="E10" s="5">
        <v>58279</v>
      </c>
      <c r="F10" s="6">
        <v>1299.971374</v>
      </c>
      <c r="G10" s="7">
        <v>4.6958430000000002E-2</v>
      </c>
      <c r="H10" s="47"/>
    </row>
    <row r="11" spans="1:14" ht="17.100000000000001" customHeight="1" x14ac:dyDescent="0.2">
      <c r="A11" s="3">
        <v>5</v>
      </c>
      <c r="B11" s="4" t="s">
        <v>29</v>
      </c>
      <c r="C11" s="4" t="s">
        <v>30</v>
      </c>
      <c r="D11" s="4" t="s">
        <v>31</v>
      </c>
      <c r="E11" s="5">
        <v>892572</v>
      </c>
      <c r="F11" s="6">
        <v>1275.4853880000001</v>
      </c>
      <c r="G11" s="7">
        <v>4.6073930999999999E-2</v>
      </c>
      <c r="H11" s="47"/>
    </row>
    <row r="12" spans="1:14" ht="17.100000000000001" customHeight="1" x14ac:dyDescent="0.2">
      <c r="A12" s="3">
        <v>6</v>
      </c>
      <c r="B12" s="4" t="s">
        <v>17</v>
      </c>
      <c r="C12" s="4" t="s">
        <v>18</v>
      </c>
      <c r="D12" s="4" t="s">
        <v>19</v>
      </c>
      <c r="E12" s="5">
        <v>179100</v>
      </c>
      <c r="F12" s="6">
        <v>1266.5952</v>
      </c>
      <c r="G12" s="7">
        <v>4.5752793999999999E-2</v>
      </c>
      <c r="H12" s="47"/>
    </row>
    <row r="13" spans="1:14" ht="17.100000000000001" customHeight="1" x14ac:dyDescent="0.2">
      <c r="A13" s="3">
        <v>7</v>
      </c>
      <c r="B13" s="4" t="s">
        <v>412</v>
      </c>
      <c r="C13" s="4" t="s">
        <v>413</v>
      </c>
      <c r="D13" s="4" t="s">
        <v>405</v>
      </c>
      <c r="E13" s="5">
        <v>397734</v>
      </c>
      <c r="F13" s="6">
        <v>1087.80249</v>
      </c>
      <c r="G13" s="7">
        <v>3.9294324999999998E-2</v>
      </c>
      <c r="H13" s="47"/>
    </row>
    <row r="14" spans="1:14" ht="17.100000000000001" customHeight="1" x14ac:dyDescent="0.2">
      <c r="A14" s="3">
        <v>8</v>
      </c>
      <c r="B14" s="4" t="s">
        <v>358</v>
      </c>
      <c r="C14" s="4" t="s">
        <v>359</v>
      </c>
      <c r="D14" s="4" t="s">
        <v>19</v>
      </c>
      <c r="E14" s="5">
        <v>77164</v>
      </c>
      <c r="F14" s="6">
        <v>1040.1707200000001</v>
      </c>
      <c r="G14" s="7">
        <v>3.7573738000000002E-2</v>
      </c>
      <c r="H14" s="47"/>
      <c r="J14" s="151" t="s">
        <v>1127</v>
      </c>
    </row>
    <row r="15" spans="1:14" ht="17.100000000000001" customHeight="1" x14ac:dyDescent="0.2">
      <c r="A15" s="3">
        <v>9</v>
      </c>
      <c r="B15" s="4" t="s">
        <v>46</v>
      </c>
      <c r="C15" s="4" t="s">
        <v>47</v>
      </c>
      <c r="D15" s="4" t="s">
        <v>19</v>
      </c>
      <c r="E15" s="5">
        <v>175968</v>
      </c>
      <c r="F15" s="6">
        <v>819.83491200000003</v>
      </c>
      <c r="G15" s="7">
        <v>2.9614622E-2</v>
      </c>
      <c r="H15" s="47"/>
    </row>
    <row r="16" spans="1:14" ht="17.100000000000001" customHeight="1" x14ac:dyDescent="0.2">
      <c r="A16" s="3">
        <v>10</v>
      </c>
      <c r="B16" s="4" t="s">
        <v>408</v>
      </c>
      <c r="C16" s="4" t="s">
        <v>409</v>
      </c>
      <c r="D16" s="4" t="s">
        <v>191</v>
      </c>
      <c r="E16" s="5">
        <v>82146</v>
      </c>
      <c r="F16" s="6">
        <v>799.48594500000002</v>
      </c>
      <c r="G16" s="7">
        <v>2.8879563E-2</v>
      </c>
      <c r="H16" s="47"/>
    </row>
    <row r="17" spans="1:10" ht="17.100000000000001" customHeight="1" x14ac:dyDescent="0.2">
      <c r="A17" s="3">
        <v>11</v>
      </c>
      <c r="B17" s="4" t="s">
        <v>54</v>
      </c>
      <c r="C17" s="4" t="s">
        <v>55</v>
      </c>
      <c r="D17" s="4" t="s">
        <v>56</v>
      </c>
      <c r="E17" s="5">
        <v>441676</v>
      </c>
      <c r="F17" s="6">
        <v>669.35997799999996</v>
      </c>
      <c r="G17" s="7">
        <v>2.4179065999999999E-2</v>
      </c>
      <c r="H17" s="47"/>
    </row>
    <row r="18" spans="1:10" ht="17.100000000000001" customHeight="1" x14ac:dyDescent="0.2">
      <c r="A18" s="3">
        <v>12</v>
      </c>
      <c r="B18" s="4" t="s">
        <v>424</v>
      </c>
      <c r="C18" s="4" t="s">
        <v>425</v>
      </c>
      <c r="D18" s="4" t="s">
        <v>114</v>
      </c>
      <c r="E18" s="5">
        <v>76609</v>
      </c>
      <c r="F18" s="6">
        <v>664.23833449999995</v>
      </c>
      <c r="G18" s="7">
        <v>2.3994059000000002E-2</v>
      </c>
      <c r="H18" s="47"/>
    </row>
    <row r="19" spans="1:10" ht="29.1" customHeight="1" x14ac:dyDescent="0.2">
      <c r="A19" s="3">
        <v>13</v>
      </c>
      <c r="B19" s="4" t="s">
        <v>23</v>
      </c>
      <c r="C19" s="4" t="s">
        <v>24</v>
      </c>
      <c r="D19" s="4" t="s">
        <v>25</v>
      </c>
      <c r="E19" s="5">
        <v>11019</v>
      </c>
      <c r="F19" s="6">
        <v>617.86838699999998</v>
      </c>
      <c r="G19" s="7">
        <v>2.2319052999999998E-2</v>
      </c>
      <c r="H19" s="47"/>
    </row>
    <row r="20" spans="1:10" ht="17.100000000000001" customHeight="1" x14ac:dyDescent="0.2">
      <c r="A20" s="3">
        <v>14</v>
      </c>
      <c r="B20" s="4" t="s">
        <v>20</v>
      </c>
      <c r="C20" s="4" t="s">
        <v>21</v>
      </c>
      <c r="D20" s="4" t="s">
        <v>22</v>
      </c>
      <c r="E20" s="5">
        <v>89738</v>
      </c>
      <c r="F20" s="6">
        <v>614.66043100000002</v>
      </c>
      <c r="G20" s="7">
        <v>2.2203173E-2</v>
      </c>
      <c r="H20" s="47"/>
    </row>
    <row r="21" spans="1:10" ht="17.100000000000001" customHeight="1" x14ac:dyDescent="0.2">
      <c r="A21" s="3">
        <v>15</v>
      </c>
      <c r="B21" s="4" t="s">
        <v>595</v>
      </c>
      <c r="C21" s="4" t="s">
        <v>596</v>
      </c>
      <c r="D21" s="4" t="s">
        <v>85</v>
      </c>
      <c r="E21" s="5">
        <v>16543</v>
      </c>
      <c r="F21" s="6">
        <v>613.18283799999995</v>
      </c>
      <c r="G21" s="7">
        <v>2.2149797999999998E-2</v>
      </c>
      <c r="H21" s="47"/>
    </row>
    <row r="22" spans="1:10" ht="17.100000000000001" customHeight="1" x14ac:dyDescent="0.2">
      <c r="A22" s="3">
        <v>16</v>
      </c>
      <c r="B22" s="4" t="s">
        <v>83</v>
      </c>
      <c r="C22" s="4" t="s">
        <v>84</v>
      </c>
      <c r="D22" s="4" t="s">
        <v>85</v>
      </c>
      <c r="E22" s="5">
        <v>6650</v>
      </c>
      <c r="F22" s="6">
        <v>563.30487500000004</v>
      </c>
      <c r="G22" s="7">
        <v>2.0348073000000001E-2</v>
      </c>
      <c r="H22" s="47"/>
    </row>
    <row r="23" spans="1:10" ht="53.1" customHeight="1" x14ac:dyDescent="0.2">
      <c r="A23" s="3">
        <v>17</v>
      </c>
      <c r="B23" s="4" t="s">
        <v>60</v>
      </c>
      <c r="C23" s="4" t="s">
        <v>61</v>
      </c>
      <c r="D23" s="4" t="s">
        <v>62</v>
      </c>
      <c r="E23" s="5">
        <v>364747</v>
      </c>
      <c r="F23" s="6">
        <v>539.09606599999995</v>
      </c>
      <c r="G23" s="7">
        <v>1.9473586000000001E-2</v>
      </c>
      <c r="H23" s="47"/>
    </row>
    <row r="24" spans="1:10" ht="17.100000000000001" customHeight="1" x14ac:dyDescent="0.2">
      <c r="A24" s="3">
        <v>18</v>
      </c>
      <c r="B24" s="4" t="s">
        <v>182</v>
      </c>
      <c r="C24" s="4" t="s">
        <v>183</v>
      </c>
      <c r="D24" s="4" t="s">
        <v>184</v>
      </c>
      <c r="E24" s="5">
        <v>38644</v>
      </c>
      <c r="F24" s="6">
        <v>505.44419799999997</v>
      </c>
      <c r="G24" s="7">
        <v>1.8257991000000001E-2</v>
      </c>
      <c r="H24" s="47"/>
      <c r="J24" s="147" t="s">
        <v>1128</v>
      </c>
    </row>
    <row r="25" spans="1:10" ht="17.100000000000001" customHeight="1" x14ac:dyDescent="0.2">
      <c r="A25" s="3">
        <v>19</v>
      </c>
      <c r="B25" s="4" t="s">
        <v>597</v>
      </c>
      <c r="C25" s="4" t="s">
        <v>598</v>
      </c>
      <c r="D25" s="4" t="s">
        <v>28</v>
      </c>
      <c r="E25" s="5">
        <v>21900</v>
      </c>
      <c r="F25" s="6">
        <v>487.01220000000001</v>
      </c>
      <c r="G25" s="7">
        <v>1.7592178E-2</v>
      </c>
      <c r="H25" s="47"/>
    </row>
    <row r="26" spans="1:10" ht="29.1" customHeight="1" x14ac:dyDescent="0.2">
      <c r="A26" s="3">
        <v>20</v>
      </c>
      <c r="B26" s="4" t="s">
        <v>199</v>
      </c>
      <c r="C26" s="4" t="s">
        <v>200</v>
      </c>
      <c r="D26" s="4" t="s">
        <v>201</v>
      </c>
      <c r="E26" s="5">
        <v>12675</v>
      </c>
      <c r="F26" s="6">
        <v>462.84030000000001</v>
      </c>
      <c r="G26" s="7">
        <v>1.6719024999999998E-2</v>
      </c>
      <c r="H26" s="47"/>
    </row>
    <row r="27" spans="1:10" ht="17.100000000000001" customHeight="1" x14ac:dyDescent="0.2">
      <c r="A27" s="3">
        <v>21</v>
      </c>
      <c r="B27" s="4" t="s">
        <v>102</v>
      </c>
      <c r="C27" s="4" t="s">
        <v>103</v>
      </c>
      <c r="D27" s="4" t="s">
        <v>22</v>
      </c>
      <c r="E27" s="5">
        <v>210695</v>
      </c>
      <c r="F27" s="6">
        <v>440.56324499999999</v>
      </c>
      <c r="G27" s="7">
        <v>1.5914318E-2</v>
      </c>
      <c r="H27" s="47"/>
    </row>
    <row r="28" spans="1:10" ht="29.1" customHeight="1" x14ac:dyDescent="0.2">
      <c r="A28" s="3">
        <v>22</v>
      </c>
      <c r="B28" s="4" t="s">
        <v>297</v>
      </c>
      <c r="C28" s="4" t="s">
        <v>298</v>
      </c>
      <c r="D28" s="4" t="s">
        <v>201</v>
      </c>
      <c r="E28" s="5">
        <v>19372</v>
      </c>
      <c r="F28" s="6">
        <v>436.29618399999998</v>
      </c>
      <c r="G28" s="7">
        <v>1.5760181000000002E-2</v>
      </c>
      <c r="H28" s="47"/>
    </row>
    <row r="29" spans="1:10" ht="17.100000000000001" customHeight="1" x14ac:dyDescent="0.2">
      <c r="A29" s="3">
        <v>23</v>
      </c>
      <c r="B29" s="4" t="s">
        <v>434</v>
      </c>
      <c r="C29" s="4" t="s">
        <v>435</v>
      </c>
      <c r="D29" s="4" t="s">
        <v>19</v>
      </c>
      <c r="E29" s="5">
        <v>235822</v>
      </c>
      <c r="F29" s="6">
        <v>427.42737499999998</v>
      </c>
      <c r="G29" s="7">
        <v>1.5439816E-2</v>
      </c>
      <c r="H29" s="47"/>
    </row>
    <row r="30" spans="1:10" ht="29.1" customHeight="1" x14ac:dyDescent="0.2">
      <c r="A30" s="3">
        <v>24</v>
      </c>
      <c r="B30" s="4" t="s">
        <v>308</v>
      </c>
      <c r="C30" s="4" t="s">
        <v>309</v>
      </c>
      <c r="D30" s="4" t="s">
        <v>198</v>
      </c>
      <c r="E30" s="5">
        <v>170299</v>
      </c>
      <c r="F30" s="6">
        <v>398.66995900000001</v>
      </c>
      <c r="G30" s="7">
        <v>1.4401021E-2</v>
      </c>
      <c r="H30" s="47"/>
    </row>
    <row r="31" spans="1:10" ht="17.100000000000001" customHeight="1" x14ac:dyDescent="0.2">
      <c r="A31" s="3">
        <v>25</v>
      </c>
      <c r="B31" s="4" t="s">
        <v>43</v>
      </c>
      <c r="C31" s="4" t="s">
        <v>44</v>
      </c>
      <c r="D31" s="4" t="s">
        <v>45</v>
      </c>
      <c r="E31" s="5">
        <v>66000</v>
      </c>
      <c r="F31" s="6">
        <v>392.238</v>
      </c>
      <c r="G31" s="7">
        <v>1.4168682E-2</v>
      </c>
      <c r="H31" s="47"/>
    </row>
    <row r="32" spans="1:10" ht="17.100000000000001" customHeight="1" x14ac:dyDescent="0.2">
      <c r="A32" s="3">
        <v>26</v>
      </c>
      <c r="B32" s="4" t="s">
        <v>599</v>
      </c>
      <c r="C32" s="4" t="s">
        <v>600</v>
      </c>
      <c r="D32" s="4" t="s">
        <v>88</v>
      </c>
      <c r="E32" s="5">
        <v>13500</v>
      </c>
      <c r="F32" s="6">
        <v>359.16075000000001</v>
      </c>
      <c r="G32" s="7">
        <v>1.2973843000000001E-2</v>
      </c>
      <c r="H32" s="47"/>
    </row>
    <row r="33" spans="1:8" ht="29.1" customHeight="1" x14ac:dyDescent="0.2">
      <c r="A33" s="3">
        <v>27</v>
      </c>
      <c r="B33" s="4" t="s">
        <v>499</v>
      </c>
      <c r="C33" s="4" t="s">
        <v>500</v>
      </c>
      <c r="D33" s="4" t="s">
        <v>204</v>
      </c>
      <c r="E33" s="5">
        <v>5548</v>
      </c>
      <c r="F33" s="6">
        <v>357.146952</v>
      </c>
      <c r="G33" s="7">
        <v>1.29011E-2</v>
      </c>
      <c r="H33" s="47"/>
    </row>
    <row r="34" spans="1:8" ht="29.1" customHeight="1" x14ac:dyDescent="0.2">
      <c r="A34" s="3">
        <v>28</v>
      </c>
      <c r="B34" s="4" t="s">
        <v>601</v>
      </c>
      <c r="C34" s="4" t="s">
        <v>602</v>
      </c>
      <c r="D34" s="4" t="s">
        <v>603</v>
      </c>
      <c r="E34" s="5">
        <v>10800</v>
      </c>
      <c r="F34" s="6">
        <v>329.8698</v>
      </c>
      <c r="G34" s="7">
        <v>1.1915775999999999E-2</v>
      </c>
      <c r="H34" s="47"/>
    </row>
    <row r="35" spans="1:8" ht="17.100000000000001" customHeight="1" x14ac:dyDescent="0.2">
      <c r="A35" s="3">
        <v>29</v>
      </c>
      <c r="B35" s="4" t="s">
        <v>364</v>
      </c>
      <c r="C35" s="4" t="s">
        <v>365</v>
      </c>
      <c r="D35" s="4" t="s">
        <v>91</v>
      </c>
      <c r="E35" s="5">
        <v>3000</v>
      </c>
      <c r="F35" s="6">
        <v>327.95249999999999</v>
      </c>
      <c r="G35" s="7">
        <v>1.1846518E-2</v>
      </c>
      <c r="H35" s="47"/>
    </row>
    <row r="36" spans="1:8" ht="17.100000000000001" customHeight="1" x14ac:dyDescent="0.2">
      <c r="A36" s="3">
        <v>30</v>
      </c>
      <c r="B36" s="4" t="s">
        <v>210</v>
      </c>
      <c r="C36" s="4" t="s">
        <v>211</v>
      </c>
      <c r="D36" s="4" t="s">
        <v>16</v>
      </c>
      <c r="E36" s="5">
        <v>146463</v>
      </c>
      <c r="F36" s="6">
        <v>318.117636</v>
      </c>
      <c r="G36" s="7">
        <v>1.1491257E-2</v>
      </c>
      <c r="H36" s="47"/>
    </row>
    <row r="37" spans="1:8" ht="17.100000000000001" customHeight="1" x14ac:dyDescent="0.2">
      <c r="A37" s="3">
        <v>31</v>
      </c>
      <c r="B37" s="4" t="s">
        <v>604</v>
      </c>
      <c r="C37" s="4" t="s">
        <v>605</v>
      </c>
      <c r="D37" s="4" t="s">
        <v>217</v>
      </c>
      <c r="E37" s="5">
        <v>8420</v>
      </c>
      <c r="F37" s="6">
        <v>291.87088</v>
      </c>
      <c r="G37" s="7">
        <v>1.0543154000000001E-2</v>
      </c>
      <c r="H37" s="47"/>
    </row>
    <row r="38" spans="1:8" ht="17.100000000000001" customHeight="1" x14ac:dyDescent="0.2">
      <c r="A38" s="3">
        <v>32</v>
      </c>
      <c r="B38" s="4" t="s">
        <v>606</v>
      </c>
      <c r="C38" s="4" t="s">
        <v>607</v>
      </c>
      <c r="D38" s="4" t="s">
        <v>428</v>
      </c>
      <c r="E38" s="5">
        <v>111500</v>
      </c>
      <c r="F38" s="6">
        <v>278.02525000000003</v>
      </c>
      <c r="G38" s="7">
        <v>1.0043013E-2</v>
      </c>
      <c r="H38" s="47"/>
    </row>
    <row r="39" spans="1:8" ht="29.1" customHeight="1" x14ac:dyDescent="0.2">
      <c r="A39" s="3">
        <v>33</v>
      </c>
      <c r="B39" s="4" t="s">
        <v>330</v>
      </c>
      <c r="C39" s="4" t="s">
        <v>331</v>
      </c>
      <c r="D39" s="4" t="s">
        <v>204</v>
      </c>
      <c r="E39" s="5">
        <v>9829</v>
      </c>
      <c r="F39" s="6">
        <v>265.550093</v>
      </c>
      <c r="G39" s="7">
        <v>9.5923769999999992E-3</v>
      </c>
      <c r="H39" s="47"/>
    </row>
    <row r="40" spans="1:8" ht="17.100000000000001" customHeight="1" x14ac:dyDescent="0.2">
      <c r="A40" s="3">
        <v>34</v>
      </c>
      <c r="B40" s="4" t="s">
        <v>11</v>
      </c>
      <c r="C40" s="4" t="s">
        <v>12</v>
      </c>
      <c r="D40" s="4" t="s">
        <v>13</v>
      </c>
      <c r="E40" s="5">
        <v>15750</v>
      </c>
      <c r="F40" s="6">
        <v>245.424375</v>
      </c>
      <c r="G40" s="7">
        <v>8.8653819999999998E-3</v>
      </c>
      <c r="H40" s="47"/>
    </row>
    <row r="41" spans="1:8" ht="17.100000000000001" customHeight="1" x14ac:dyDescent="0.2">
      <c r="A41" s="3">
        <v>35</v>
      </c>
      <c r="B41" s="4" t="s">
        <v>454</v>
      </c>
      <c r="C41" s="4" t="s">
        <v>455</v>
      </c>
      <c r="D41" s="4" t="s">
        <v>75</v>
      </c>
      <c r="E41" s="5">
        <v>58134</v>
      </c>
      <c r="F41" s="6">
        <v>243.494259</v>
      </c>
      <c r="G41" s="7">
        <v>8.7956609999999998E-3</v>
      </c>
      <c r="H41" s="47"/>
    </row>
    <row r="42" spans="1:8" ht="17.100000000000001" customHeight="1" x14ac:dyDescent="0.2">
      <c r="A42" s="3">
        <v>36</v>
      </c>
      <c r="B42" s="4" t="s">
        <v>608</v>
      </c>
      <c r="C42" s="4" t="s">
        <v>609</v>
      </c>
      <c r="D42" s="4" t="s">
        <v>85</v>
      </c>
      <c r="E42" s="5">
        <v>8000</v>
      </c>
      <c r="F42" s="6">
        <v>223.548</v>
      </c>
      <c r="G42" s="7">
        <v>8.0751490000000002E-3</v>
      </c>
      <c r="H42" s="47"/>
    </row>
    <row r="43" spans="1:8" ht="17.100000000000001" customHeight="1" x14ac:dyDescent="0.2">
      <c r="A43" s="3">
        <v>37</v>
      </c>
      <c r="B43" s="4" t="s">
        <v>267</v>
      </c>
      <c r="C43" s="4" t="s">
        <v>268</v>
      </c>
      <c r="D43" s="4" t="s">
        <v>171</v>
      </c>
      <c r="E43" s="5">
        <v>24606</v>
      </c>
      <c r="F43" s="6">
        <v>186.181299</v>
      </c>
      <c r="G43" s="7">
        <v>6.7253649999999996E-3</v>
      </c>
      <c r="H43" s="47"/>
    </row>
    <row r="44" spans="1:8" ht="17.100000000000001" customHeight="1" x14ac:dyDescent="0.2">
      <c r="A44" s="3">
        <v>38</v>
      </c>
      <c r="B44" s="4" t="s">
        <v>334</v>
      </c>
      <c r="C44" s="4" t="s">
        <v>335</v>
      </c>
      <c r="D44" s="4" t="s">
        <v>94</v>
      </c>
      <c r="E44" s="5">
        <v>4242</v>
      </c>
      <c r="F44" s="6">
        <v>185.37115800000001</v>
      </c>
      <c r="G44" s="7">
        <v>6.6961E-3</v>
      </c>
      <c r="H44" s="47"/>
    </row>
    <row r="45" spans="1:8" ht="17.100000000000001" customHeight="1" x14ac:dyDescent="0.2">
      <c r="A45" s="3">
        <v>39</v>
      </c>
      <c r="B45" s="4" t="s">
        <v>414</v>
      </c>
      <c r="C45" s="4" t="s">
        <v>415</v>
      </c>
      <c r="D45" s="4" t="s">
        <v>191</v>
      </c>
      <c r="E45" s="5">
        <v>16500</v>
      </c>
      <c r="F45" s="6">
        <v>165</v>
      </c>
      <c r="G45" s="7">
        <v>5.9602400000000003E-3</v>
      </c>
      <c r="H45" s="47"/>
    </row>
    <row r="46" spans="1:8" ht="17.100000000000001" customHeight="1" x14ac:dyDescent="0.2">
      <c r="A46" s="3">
        <v>40</v>
      </c>
      <c r="B46" s="4" t="s">
        <v>382</v>
      </c>
      <c r="C46" s="4" t="s">
        <v>383</v>
      </c>
      <c r="D46" s="4" t="s">
        <v>184</v>
      </c>
      <c r="E46" s="5">
        <v>30973</v>
      </c>
      <c r="F46" s="6">
        <v>132.843197</v>
      </c>
      <c r="G46" s="7">
        <v>4.7986499999999998E-3</v>
      </c>
      <c r="H46" s="47"/>
    </row>
    <row r="47" spans="1:8" ht="17.100000000000001" customHeight="1" x14ac:dyDescent="0.2">
      <c r="A47" s="3">
        <v>41</v>
      </c>
      <c r="B47" s="4" t="s">
        <v>610</v>
      </c>
      <c r="C47" s="4" t="s">
        <v>611</v>
      </c>
      <c r="D47" s="4" t="s">
        <v>94</v>
      </c>
      <c r="E47" s="5">
        <v>12038</v>
      </c>
      <c r="F47" s="6">
        <v>111.857096</v>
      </c>
      <c r="G47" s="7">
        <v>4.0405759999999997E-3</v>
      </c>
      <c r="H47" s="47"/>
    </row>
    <row r="48" spans="1:8" ht="29.1" customHeight="1" x14ac:dyDescent="0.2">
      <c r="A48" s="3">
        <v>42</v>
      </c>
      <c r="B48" s="4" t="s">
        <v>275</v>
      </c>
      <c r="C48" s="4" t="s">
        <v>276</v>
      </c>
      <c r="D48" s="4" t="s">
        <v>238</v>
      </c>
      <c r="E48" s="5">
        <v>13358</v>
      </c>
      <c r="F48" s="6">
        <v>70.877548000000004</v>
      </c>
      <c r="G48" s="7">
        <v>2.5602860000000002E-3</v>
      </c>
      <c r="H48" s="47"/>
    </row>
    <row r="49" spans="1:8" ht="14.1" customHeight="1" x14ac:dyDescent="0.2">
      <c r="A49" s="1"/>
      <c r="B49" s="1"/>
      <c r="C49" s="2" t="s">
        <v>122</v>
      </c>
      <c r="D49" s="1"/>
      <c r="E49" s="1" t="s">
        <v>123</v>
      </c>
      <c r="F49" s="9">
        <v>24653.467507500001</v>
      </c>
      <c r="G49" s="10">
        <v>0.89054893999999996</v>
      </c>
      <c r="H49" s="47"/>
    </row>
    <row r="50" spans="1:8" ht="14.1" customHeight="1" x14ac:dyDescent="0.2">
      <c r="A50" s="1"/>
      <c r="B50" s="1"/>
      <c r="C50" s="11"/>
      <c r="D50" s="1"/>
      <c r="E50" s="1"/>
      <c r="F50" s="12"/>
      <c r="G50" s="12"/>
      <c r="H50" s="47"/>
    </row>
    <row r="51" spans="1:8" ht="14.1" customHeight="1" x14ac:dyDescent="0.2">
      <c r="A51" s="1"/>
      <c r="B51" s="1"/>
      <c r="C51" s="2" t="s">
        <v>124</v>
      </c>
      <c r="D51" s="1"/>
      <c r="E51" s="1"/>
      <c r="F51" s="1"/>
      <c r="G51" s="1"/>
      <c r="H51" s="47"/>
    </row>
    <row r="52" spans="1:8" ht="14.1" customHeight="1" x14ac:dyDescent="0.2">
      <c r="A52" s="1"/>
      <c r="B52" s="1"/>
      <c r="C52" s="2" t="s">
        <v>122</v>
      </c>
      <c r="D52" s="1"/>
      <c r="E52" s="1" t="s">
        <v>123</v>
      </c>
      <c r="F52" s="13">
        <v>0</v>
      </c>
      <c r="G52" s="14">
        <v>0</v>
      </c>
      <c r="H52" s="47"/>
    </row>
    <row r="53" spans="1:8" ht="14.1" customHeight="1" x14ac:dyDescent="0.2">
      <c r="A53" s="1"/>
      <c r="B53" s="1"/>
      <c r="C53" s="11"/>
      <c r="D53" s="1"/>
      <c r="E53" s="1"/>
      <c r="F53" s="12"/>
      <c r="G53" s="12"/>
      <c r="H53" s="47"/>
    </row>
    <row r="54" spans="1:8" ht="14.1" customHeight="1" x14ac:dyDescent="0.2">
      <c r="A54" s="1"/>
      <c r="B54" s="1"/>
      <c r="C54" s="2" t="s">
        <v>125</v>
      </c>
      <c r="D54" s="1"/>
      <c r="E54" s="1"/>
      <c r="F54" s="1"/>
      <c r="G54" s="1"/>
      <c r="H54" s="47"/>
    </row>
    <row r="55" spans="1:8" ht="17.100000000000001" customHeight="1" x14ac:dyDescent="0.2">
      <c r="A55" s="3">
        <v>1</v>
      </c>
      <c r="B55" s="4" t="s">
        <v>612</v>
      </c>
      <c r="C55" s="45" t="s">
        <v>1043</v>
      </c>
      <c r="D55" s="4"/>
      <c r="E55" s="5">
        <v>200000</v>
      </c>
      <c r="F55" s="6">
        <v>1.9999999999999999E-6</v>
      </c>
      <c r="G55" s="8" t="s">
        <v>121</v>
      </c>
      <c r="H55" s="47"/>
    </row>
    <row r="56" spans="1:8" ht="17.100000000000001" customHeight="1" x14ac:dyDescent="0.2">
      <c r="A56" s="3">
        <v>2</v>
      </c>
      <c r="B56" s="4" t="s">
        <v>613</v>
      </c>
      <c r="C56" s="45" t="s">
        <v>1044</v>
      </c>
      <c r="D56" s="4"/>
      <c r="E56" s="5">
        <v>50000</v>
      </c>
      <c r="F56" s="6">
        <v>4.9999999999999998E-7</v>
      </c>
      <c r="G56" s="8" t="s">
        <v>121</v>
      </c>
      <c r="H56" s="47"/>
    </row>
    <row r="57" spans="1:8" ht="17.100000000000001" customHeight="1" x14ac:dyDescent="0.2">
      <c r="A57" s="3">
        <v>3</v>
      </c>
      <c r="B57" s="4" t="s">
        <v>614</v>
      </c>
      <c r="C57" s="45" t="s">
        <v>1045</v>
      </c>
      <c r="D57" s="4"/>
      <c r="E57" s="5">
        <v>50000</v>
      </c>
      <c r="F57" s="6">
        <v>4.9999999999999998E-7</v>
      </c>
      <c r="G57" s="8" t="s">
        <v>121</v>
      </c>
      <c r="H57" s="47"/>
    </row>
    <row r="58" spans="1:8" ht="17.100000000000001" customHeight="1" x14ac:dyDescent="0.2">
      <c r="A58" s="3">
        <v>4</v>
      </c>
      <c r="B58" s="4" t="s">
        <v>615</v>
      </c>
      <c r="C58" s="45" t="s">
        <v>1046</v>
      </c>
      <c r="D58" s="4"/>
      <c r="E58" s="5">
        <v>20</v>
      </c>
      <c r="F58" s="6">
        <v>0</v>
      </c>
      <c r="G58" s="8" t="s">
        <v>121</v>
      </c>
      <c r="H58" s="47"/>
    </row>
    <row r="59" spans="1:8" ht="14.1" customHeight="1" x14ac:dyDescent="0.2">
      <c r="A59" s="1"/>
      <c r="B59" s="1"/>
      <c r="C59" s="2" t="s">
        <v>122</v>
      </c>
      <c r="D59" s="1"/>
      <c r="E59" s="1" t="s">
        <v>123</v>
      </c>
      <c r="F59" s="13">
        <v>0</v>
      </c>
      <c r="G59" s="14">
        <v>0</v>
      </c>
      <c r="H59" s="47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47"/>
    </row>
    <row r="61" spans="1:8" ht="14.1" customHeight="1" x14ac:dyDescent="0.2">
      <c r="A61" s="1"/>
      <c r="B61" s="1"/>
      <c r="C61" s="2" t="s">
        <v>126</v>
      </c>
      <c r="D61" s="1"/>
      <c r="E61" s="1"/>
      <c r="F61" s="1"/>
      <c r="G61" s="1"/>
      <c r="H61" s="47"/>
    </row>
    <row r="62" spans="1:8" ht="14.1" customHeight="1" x14ac:dyDescent="0.2">
      <c r="A62" s="1"/>
      <c r="B62" s="1"/>
      <c r="C62" s="2" t="s">
        <v>122</v>
      </c>
      <c r="D62" s="1"/>
      <c r="E62" s="1" t="s">
        <v>123</v>
      </c>
      <c r="F62" s="13">
        <v>0</v>
      </c>
      <c r="G62" s="14">
        <v>0</v>
      </c>
      <c r="H62" s="47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47"/>
    </row>
    <row r="64" spans="1:8" ht="14.1" customHeight="1" x14ac:dyDescent="0.2">
      <c r="A64" s="1"/>
      <c r="B64" s="1"/>
      <c r="C64" s="2" t="s">
        <v>127</v>
      </c>
      <c r="D64" s="1"/>
      <c r="E64" s="1"/>
      <c r="F64" s="12"/>
      <c r="G64" s="12"/>
      <c r="H64" s="47"/>
    </row>
    <row r="65" spans="1:8" ht="14.1" customHeight="1" x14ac:dyDescent="0.2">
      <c r="A65" s="1"/>
      <c r="B65" s="1"/>
      <c r="C65" s="2" t="s">
        <v>122</v>
      </c>
      <c r="D65" s="1"/>
      <c r="E65" s="1" t="s">
        <v>123</v>
      </c>
      <c r="F65" s="13">
        <v>0</v>
      </c>
      <c r="G65" s="14">
        <v>0</v>
      </c>
      <c r="H65" s="47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47"/>
    </row>
    <row r="67" spans="1:8" ht="14.1" customHeight="1" x14ac:dyDescent="0.2">
      <c r="A67" s="1"/>
      <c r="B67" s="1"/>
      <c r="C67" s="2" t="s">
        <v>128</v>
      </c>
      <c r="D67" s="1"/>
      <c r="E67" s="1"/>
      <c r="F67" s="12"/>
      <c r="G67" s="12"/>
      <c r="H67" s="47"/>
    </row>
    <row r="68" spans="1:8" ht="14.1" customHeight="1" x14ac:dyDescent="0.2">
      <c r="A68" s="1"/>
      <c r="B68" s="1"/>
      <c r="C68" s="2" t="s">
        <v>122</v>
      </c>
      <c r="D68" s="1"/>
      <c r="E68" s="1" t="s">
        <v>123</v>
      </c>
      <c r="F68" s="13">
        <v>0</v>
      </c>
      <c r="G68" s="14">
        <v>0</v>
      </c>
      <c r="H68" s="47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47"/>
    </row>
    <row r="70" spans="1:8" ht="18" customHeight="1" x14ac:dyDescent="0.2">
      <c r="A70" s="1"/>
      <c r="B70" s="1"/>
      <c r="C70" s="2" t="s">
        <v>129</v>
      </c>
      <c r="D70" s="1"/>
      <c r="E70" s="1"/>
      <c r="F70" s="9">
        <v>24653.467507500001</v>
      </c>
      <c r="G70" s="10">
        <v>0.89054893999999996</v>
      </c>
      <c r="H70" s="47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47"/>
    </row>
    <row r="72" spans="1:8" ht="14.1" customHeight="1" x14ac:dyDescent="0.2">
      <c r="A72" s="1"/>
      <c r="B72" s="1"/>
      <c r="C72" s="2" t="s">
        <v>130</v>
      </c>
      <c r="D72" s="1"/>
      <c r="E72" s="1"/>
      <c r="F72" s="12"/>
      <c r="G72" s="12"/>
      <c r="H72" s="47"/>
    </row>
    <row r="73" spans="1:8" ht="24" customHeight="1" x14ac:dyDescent="0.2">
      <c r="A73" s="1"/>
      <c r="B73" s="1"/>
      <c r="C73" s="2" t="s">
        <v>10</v>
      </c>
      <c r="D73" s="1"/>
      <c r="E73" s="1"/>
      <c r="F73" s="12"/>
      <c r="G73" s="12"/>
      <c r="H73" s="47"/>
    </row>
    <row r="74" spans="1:8" ht="29.1" customHeight="1" x14ac:dyDescent="0.2">
      <c r="A74" s="3">
        <v>1</v>
      </c>
      <c r="B74" s="4" t="s">
        <v>616</v>
      </c>
      <c r="C74" s="4" t="s">
        <v>617</v>
      </c>
      <c r="D74" s="4" t="s">
        <v>618</v>
      </c>
      <c r="E74" s="5">
        <v>4200</v>
      </c>
      <c r="F74" s="6">
        <v>1.1817371999999999</v>
      </c>
      <c r="G74" s="8" t="s">
        <v>121</v>
      </c>
      <c r="H74" s="47">
        <v>7.2050000000000001</v>
      </c>
    </row>
    <row r="75" spans="1:8" ht="14.1" customHeight="1" x14ac:dyDescent="0.2">
      <c r="A75" s="1"/>
      <c r="B75" s="1"/>
      <c r="C75" s="2" t="s">
        <v>122</v>
      </c>
      <c r="D75" s="1"/>
      <c r="E75" s="1" t="s">
        <v>123</v>
      </c>
      <c r="F75" s="9">
        <v>1.1817371999999999</v>
      </c>
      <c r="G75" s="10">
        <v>4.2687E-5</v>
      </c>
      <c r="H75" s="47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47"/>
    </row>
    <row r="77" spans="1:8" ht="14.1" customHeight="1" x14ac:dyDescent="0.2">
      <c r="A77" s="1"/>
      <c r="B77" s="1"/>
      <c r="C77" s="2" t="s">
        <v>131</v>
      </c>
      <c r="D77" s="1"/>
      <c r="E77" s="1"/>
      <c r="F77" s="1"/>
      <c r="G77" s="1"/>
      <c r="H77" s="47"/>
    </row>
    <row r="78" spans="1:8" ht="14.1" customHeight="1" x14ac:dyDescent="0.2">
      <c r="A78" s="1"/>
      <c r="B78" s="1"/>
      <c r="C78" s="2" t="s">
        <v>122</v>
      </c>
      <c r="D78" s="1"/>
      <c r="E78" s="1" t="s">
        <v>123</v>
      </c>
      <c r="F78" s="13">
        <v>0</v>
      </c>
      <c r="G78" s="14">
        <v>0</v>
      </c>
      <c r="H78" s="47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132</v>
      </c>
      <c r="D80" s="1"/>
      <c r="E80" s="1"/>
      <c r="F80" s="1"/>
      <c r="G80" s="1"/>
      <c r="H80" s="47"/>
    </row>
    <row r="81" spans="1:8" ht="14.1" customHeight="1" x14ac:dyDescent="0.2">
      <c r="A81" s="1"/>
      <c r="B81" s="1"/>
      <c r="C81" s="2" t="s">
        <v>122</v>
      </c>
      <c r="D81" s="1"/>
      <c r="E81" s="1" t="s">
        <v>123</v>
      </c>
      <c r="F81" s="13">
        <v>0</v>
      </c>
      <c r="G81" s="14">
        <v>0</v>
      </c>
      <c r="H81" s="47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133</v>
      </c>
      <c r="D83" s="1"/>
      <c r="E83" s="1"/>
      <c r="F83" s="12"/>
      <c r="G83" s="12"/>
      <c r="H83" s="47"/>
    </row>
    <row r="84" spans="1:8" ht="14.1" customHeight="1" x14ac:dyDescent="0.2">
      <c r="A84" s="1"/>
      <c r="B84" s="1"/>
      <c r="C84" s="2" t="s">
        <v>122</v>
      </c>
      <c r="D84" s="1"/>
      <c r="E84" s="1" t="s">
        <v>123</v>
      </c>
      <c r="F84" s="13">
        <v>0</v>
      </c>
      <c r="G84" s="14">
        <v>0</v>
      </c>
      <c r="H84" s="47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134</v>
      </c>
      <c r="D86" s="1"/>
      <c r="E86" s="1"/>
      <c r="F86" s="9">
        <v>1.1817371999999999</v>
      </c>
      <c r="G86" s="10">
        <v>4.2687E-5</v>
      </c>
      <c r="H86" s="47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47"/>
    </row>
    <row r="88" spans="1:8" ht="14.1" customHeight="1" x14ac:dyDescent="0.2">
      <c r="A88" s="1"/>
      <c r="B88" s="1"/>
      <c r="C88" s="2" t="s">
        <v>135</v>
      </c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136</v>
      </c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122</v>
      </c>
      <c r="D90" s="1"/>
      <c r="E90" s="1" t="s">
        <v>123</v>
      </c>
      <c r="F90" s="13">
        <v>0</v>
      </c>
      <c r="G90" s="14">
        <v>0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137</v>
      </c>
      <c r="D92" s="1"/>
      <c r="E92" s="1"/>
      <c r="F92" s="12"/>
      <c r="G92" s="12"/>
      <c r="H92" s="47"/>
    </row>
    <row r="93" spans="1:8" ht="14.1" customHeight="1" x14ac:dyDescent="0.2">
      <c r="A93" s="1"/>
      <c r="B93" s="1"/>
      <c r="C93" s="2" t="s">
        <v>122</v>
      </c>
      <c r="D93" s="1"/>
      <c r="E93" s="1" t="s">
        <v>123</v>
      </c>
      <c r="F93" s="13">
        <v>0</v>
      </c>
      <c r="G93" s="14">
        <v>0</v>
      </c>
      <c r="H93" s="47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47"/>
    </row>
    <row r="95" spans="1:8" ht="14.1" customHeight="1" x14ac:dyDescent="0.2">
      <c r="A95" s="1"/>
      <c r="B95" s="1"/>
      <c r="C95" s="2" t="s">
        <v>138</v>
      </c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122</v>
      </c>
      <c r="D96" s="1"/>
      <c r="E96" s="1" t="s">
        <v>123</v>
      </c>
      <c r="F96" s="13">
        <v>0</v>
      </c>
      <c r="G96" s="14">
        <v>0</v>
      </c>
      <c r="H96" s="47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139</v>
      </c>
      <c r="D98" s="1"/>
      <c r="E98" s="1"/>
      <c r="F98" s="12"/>
      <c r="G98" s="12"/>
      <c r="H98" s="47"/>
    </row>
    <row r="99" spans="1:8" ht="17.100000000000001" customHeight="1" x14ac:dyDescent="0.2">
      <c r="A99" s="3">
        <v>1</v>
      </c>
      <c r="B99" s="4"/>
      <c r="C99" s="4" t="s">
        <v>140</v>
      </c>
      <c r="D99" s="4"/>
      <c r="E99" s="8"/>
      <c r="F99" s="6">
        <v>3453.4722535000001</v>
      </c>
      <c r="G99" s="7">
        <v>0.12474862</v>
      </c>
      <c r="H99" s="47">
        <v>4.6730752161314033</v>
      </c>
    </row>
    <row r="100" spans="1:8" ht="14.1" customHeight="1" x14ac:dyDescent="0.2">
      <c r="A100" s="1"/>
      <c r="B100" s="1"/>
      <c r="C100" s="2" t="s">
        <v>122</v>
      </c>
      <c r="D100" s="1"/>
      <c r="E100" s="1" t="s">
        <v>123</v>
      </c>
      <c r="F100" s="9">
        <v>3453.4722535000001</v>
      </c>
      <c r="G100" s="10">
        <v>0.12474862</v>
      </c>
      <c r="H100" s="47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47"/>
    </row>
    <row r="102" spans="1:8" ht="14.1" customHeight="1" x14ac:dyDescent="0.2">
      <c r="A102" s="1"/>
      <c r="B102" s="1"/>
      <c r="C102" s="2" t="s">
        <v>141</v>
      </c>
      <c r="D102" s="1"/>
      <c r="E102" s="1"/>
      <c r="F102" s="9">
        <v>3453.4722535000001</v>
      </c>
      <c r="G102" s="10">
        <v>0.12474862</v>
      </c>
      <c r="H102" s="47"/>
    </row>
    <row r="103" spans="1:8" ht="14.1" customHeight="1" x14ac:dyDescent="0.2">
      <c r="A103" s="1"/>
      <c r="B103" s="1"/>
      <c r="C103" s="12"/>
      <c r="D103" s="1"/>
      <c r="E103" s="1"/>
      <c r="F103" s="1"/>
      <c r="G103" s="1"/>
      <c r="H103" s="47"/>
    </row>
    <row r="104" spans="1:8" ht="14.1" customHeight="1" x14ac:dyDescent="0.2">
      <c r="A104" s="1"/>
      <c r="B104" s="1"/>
      <c r="C104" s="2" t="s">
        <v>142</v>
      </c>
      <c r="D104" s="1"/>
      <c r="E104" s="1"/>
      <c r="F104" s="1"/>
      <c r="G104" s="1"/>
      <c r="H104" s="47"/>
    </row>
    <row r="105" spans="1:8" ht="14.1" customHeight="1" x14ac:dyDescent="0.2">
      <c r="A105" s="1"/>
      <c r="B105" s="1"/>
      <c r="C105" s="2" t="s">
        <v>143</v>
      </c>
      <c r="D105" s="1"/>
      <c r="E105" s="1"/>
      <c r="F105" s="1"/>
      <c r="G105" s="1"/>
      <c r="H105" s="47"/>
    </row>
    <row r="106" spans="1:8" ht="14.1" customHeight="1" x14ac:dyDescent="0.2">
      <c r="A106" s="1"/>
      <c r="B106" s="1"/>
      <c r="C106" s="2" t="s">
        <v>122</v>
      </c>
      <c r="D106" s="1"/>
      <c r="E106" s="1" t="s">
        <v>123</v>
      </c>
      <c r="F106" s="13">
        <v>0</v>
      </c>
      <c r="G106" s="14">
        <v>0</v>
      </c>
      <c r="H106" s="47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47"/>
    </row>
    <row r="108" spans="1:8" ht="14.1" customHeight="1" x14ac:dyDescent="0.2">
      <c r="A108" s="1"/>
      <c r="B108" s="1"/>
      <c r="C108" s="2" t="s">
        <v>144</v>
      </c>
      <c r="D108" s="1"/>
      <c r="E108" s="1"/>
      <c r="F108" s="1"/>
      <c r="G108" s="1"/>
      <c r="H108" s="47"/>
    </row>
    <row r="109" spans="1:8" ht="14.1" customHeight="1" x14ac:dyDescent="0.2">
      <c r="A109" s="1"/>
      <c r="B109" s="1"/>
      <c r="C109" s="2" t="s">
        <v>145</v>
      </c>
      <c r="D109" s="1"/>
      <c r="E109" s="1"/>
      <c r="F109" s="1"/>
      <c r="G109" s="1"/>
      <c r="H109" s="47"/>
    </row>
    <row r="110" spans="1:8" ht="14.1" customHeight="1" x14ac:dyDescent="0.2">
      <c r="A110" s="1"/>
      <c r="B110" s="1"/>
      <c r="C110" s="2" t="s">
        <v>122</v>
      </c>
      <c r="D110" s="1"/>
      <c r="E110" s="1" t="s">
        <v>123</v>
      </c>
      <c r="F110" s="13">
        <v>0</v>
      </c>
      <c r="G110" s="14">
        <v>0</v>
      </c>
      <c r="H110" s="47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47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47"/>
    </row>
    <row r="113" spans="1:8" ht="24" customHeight="1" x14ac:dyDescent="0.2">
      <c r="A113" s="1"/>
      <c r="B113" s="1"/>
      <c r="C113" s="2" t="s">
        <v>146</v>
      </c>
      <c r="D113" s="1"/>
      <c r="E113" s="1"/>
      <c r="F113" s="12"/>
      <c r="G113" s="12"/>
      <c r="H113" s="47"/>
    </row>
    <row r="114" spans="1:8" ht="14.1" customHeight="1" x14ac:dyDescent="0.2">
      <c r="A114" s="1"/>
      <c r="B114" s="1"/>
      <c r="C114" s="2" t="s">
        <v>122</v>
      </c>
      <c r="D114" s="1"/>
      <c r="E114" s="1" t="s">
        <v>123</v>
      </c>
      <c r="F114" s="13">
        <v>0</v>
      </c>
      <c r="G114" s="14">
        <v>0</v>
      </c>
      <c r="H114" s="47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47"/>
    </row>
    <row r="116" spans="1:8" ht="14.1" customHeight="1" x14ac:dyDescent="0.2">
      <c r="A116" s="1"/>
      <c r="B116" s="4"/>
      <c r="C116" s="4"/>
      <c r="D116" s="2"/>
      <c r="E116" s="1"/>
      <c r="F116" s="4"/>
      <c r="G116" s="8"/>
      <c r="H116" s="47"/>
    </row>
    <row r="117" spans="1:8" ht="18" customHeight="1" x14ac:dyDescent="0.2">
      <c r="A117" s="8"/>
      <c r="B117" s="4"/>
      <c r="C117" s="45" t="s">
        <v>1066</v>
      </c>
      <c r="D117" s="4"/>
      <c r="E117" s="8"/>
      <c r="F117" s="6">
        <v>-424.67104420999999</v>
      </c>
      <c r="G117" s="7">
        <v>-1.534025E-2</v>
      </c>
      <c r="H117" s="47"/>
    </row>
    <row r="118" spans="1:8" ht="14.1" customHeight="1" x14ac:dyDescent="0.2">
      <c r="A118" s="11"/>
      <c r="B118" s="11"/>
      <c r="C118" s="2" t="s">
        <v>148</v>
      </c>
      <c r="D118" s="15"/>
      <c r="E118" s="15"/>
      <c r="F118" s="9">
        <v>27683.450453990001</v>
      </c>
      <c r="G118" s="10">
        <v>0.99999999699999997</v>
      </c>
      <c r="H118" s="47"/>
    </row>
    <row r="119" spans="1:8" ht="14.1" customHeight="1" x14ac:dyDescent="0.2">
      <c r="A119" s="16"/>
      <c r="B119" s="16"/>
      <c r="C119" s="16"/>
      <c r="D119" s="17"/>
      <c r="E119" s="17"/>
      <c r="F119" s="17"/>
      <c r="G119" s="17"/>
    </row>
    <row r="120" spans="1:8" ht="17.100000000000001" customHeight="1" x14ac:dyDescent="0.2">
      <c r="A120" s="18"/>
      <c r="B120" s="264" t="s">
        <v>619</v>
      </c>
      <c r="C120" s="264"/>
      <c r="D120" s="264"/>
      <c r="E120" s="264"/>
      <c r="F120" s="264"/>
      <c r="G120" s="20"/>
    </row>
    <row r="121" spans="1:8" s="49" customFormat="1" ht="17.100000000000001" customHeight="1" x14ac:dyDescent="0.2">
      <c r="A121" s="97"/>
      <c r="B121" s="293" t="s">
        <v>860</v>
      </c>
      <c r="C121" s="293"/>
      <c r="D121" s="293"/>
      <c r="E121" s="293"/>
      <c r="F121" s="293"/>
      <c r="G121" s="98"/>
    </row>
    <row r="122" spans="1:8" ht="17.100000000000001" customHeight="1" x14ac:dyDescent="0.2">
      <c r="A122" s="18"/>
      <c r="B122" s="264" t="s">
        <v>149</v>
      </c>
      <c r="C122" s="264"/>
      <c r="D122" s="264"/>
      <c r="E122" s="264"/>
      <c r="F122" s="264"/>
      <c r="G122" s="20"/>
    </row>
    <row r="123" spans="1:8" ht="14.1" customHeight="1" x14ac:dyDescent="0.2">
      <c r="A123" s="18"/>
      <c r="B123" s="18"/>
      <c r="C123" s="18"/>
      <c r="D123" s="20"/>
      <c r="E123" s="20"/>
      <c r="F123" s="20"/>
      <c r="G123" s="20"/>
    </row>
    <row r="124" spans="1:8" ht="14.1" customHeight="1" x14ac:dyDescent="0.2">
      <c r="A124" s="18"/>
      <c r="B124" s="257" t="s">
        <v>150</v>
      </c>
      <c r="C124" s="258"/>
      <c r="D124" s="12" t="s">
        <v>123</v>
      </c>
      <c r="E124" s="21"/>
      <c r="F124" s="20"/>
      <c r="G124" s="20"/>
    </row>
    <row r="125" spans="1:8" ht="29.1" customHeight="1" x14ac:dyDescent="0.2">
      <c r="A125" s="18"/>
      <c r="B125" s="259" t="s">
        <v>151</v>
      </c>
      <c r="C125" s="260"/>
      <c r="D125" s="93" t="s">
        <v>1091</v>
      </c>
      <c r="E125" s="21"/>
      <c r="F125" s="20"/>
      <c r="G125" s="20"/>
    </row>
    <row r="126" spans="1:8" ht="17.100000000000001" customHeight="1" x14ac:dyDescent="0.2">
      <c r="A126" s="18"/>
      <c r="B126" s="259" t="s">
        <v>1047</v>
      </c>
      <c r="C126" s="260"/>
      <c r="D126" s="2" t="s">
        <v>1040</v>
      </c>
      <c r="E126" s="21"/>
      <c r="F126" s="20"/>
      <c r="G126" s="20"/>
    </row>
    <row r="127" spans="1:8" ht="17.100000000000001" customHeight="1" x14ac:dyDescent="0.2">
      <c r="A127" s="18"/>
      <c r="B127" s="259" t="s">
        <v>154</v>
      </c>
      <c r="C127" s="260"/>
      <c r="D127" s="12" t="s">
        <v>123</v>
      </c>
      <c r="E127" s="21"/>
      <c r="F127" s="20"/>
      <c r="G127" s="20"/>
    </row>
    <row r="128" spans="1:8" ht="24" customHeight="1" x14ac:dyDescent="0.2">
      <c r="A128" s="22"/>
      <c r="B128" s="23" t="s">
        <v>123</v>
      </c>
      <c r="C128" s="23" t="s">
        <v>155</v>
      </c>
      <c r="D128" s="23" t="s">
        <v>156</v>
      </c>
      <c r="E128" s="22"/>
      <c r="F128" s="22"/>
      <c r="G128" s="22"/>
    </row>
    <row r="129" spans="1:7" ht="18" customHeight="1" x14ac:dyDescent="0.2">
      <c r="A129" s="22"/>
      <c r="B129" s="23" t="s">
        <v>157</v>
      </c>
      <c r="C129" s="23" t="s">
        <v>158</v>
      </c>
      <c r="D129" s="23" t="s">
        <v>159</v>
      </c>
      <c r="E129" s="22"/>
      <c r="F129" s="22"/>
      <c r="G129" s="22"/>
    </row>
    <row r="130" spans="1:7" ht="17.100000000000001" customHeight="1" x14ac:dyDescent="0.2">
      <c r="A130" s="22"/>
      <c r="B130" s="4" t="s">
        <v>160</v>
      </c>
      <c r="C130" s="24">
        <v>86.021100000000004</v>
      </c>
      <c r="D130" s="24">
        <v>82.522199999999998</v>
      </c>
      <c r="E130" s="22"/>
      <c r="F130" s="19"/>
      <c r="G130" s="25"/>
    </row>
    <row r="131" spans="1:7" ht="29.1" customHeight="1" x14ac:dyDescent="0.2">
      <c r="A131" s="22"/>
      <c r="B131" s="4" t="s">
        <v>1104</v>
      </c>
      <c r="C131" s="24">
        <v>47.6509</v>
      </c>
      <c r="D131" s="24">
        <v>45.706400000000002</v>
      </c>
      <c r="E131" s="22"/>
      <c r="F131" s="19"/>
      <c r="G131" s="25"/>
    </row>
    <row r="132" spans="1:7" ht="17.100000000000001" customHeight="1" x14ac:dyDescent="0.2">
      <c r="A132" s="22"/>
      <c r="B132" s="4" t="s">
        <v>161</v>
      </c>
      <c r="C132" s="24">
        <v>81.825000000000003</v>
      </c>
      <c r="D132" s="24">
        <v>78.445899999999995</v>
      </c>
      <c r="E132" s="22"/>
      <c r="F132" s="19"/>
      <c r="G132" s="25"/>
    </row>
    <row r="133" spans="1:7" ht="29.1" customHeight="1" x14ac:dyDescent="0.2">
      <c r="A133" s="22"/>
      <c r="B133" s="4" t="s">
        <v>1105</v>
      </c>
      <c r="C133" s="24">
        <v>29.529199999999999</v>
      </c>
      <c r="D133" s="24">
        <v>28.309699999999999</v>
      </c>
      <c r="E133" s="22"/>
      <c r="F133" s="19"/>
      <c r="G133" s="25"/>
    </row>
    <row r="134" spans="1:7" ht="14.1" customHeight="1" x14ac:dyDescent="0.2">
      <c r="A134" s="22"/>
      <c r="B134" s="22"/>
      <c r="C134" s="22"/>
      <c r="D134" s="22"/>
      <c r="E134" s="22"/>
      <c r="F134" s="22"/>
      <c r="G134" s="22"/>
    </row>
    <row r="135" spans="1:7" ht="17.100000000000001" customHeight="1" x14ac:dyDescent="0.2">
      <c r="A135" s="22"/>
      <c r="B135" s="259" t="s">
        <v>1103</v>
      </c>
      <c r="C135" s="260"/>
      <c r="D135" s="2" t="s">
        <v>152</v>
      </c>
      <c r="E135" s="22"/>
      <c r="F135" s="22"/>
      <c r="G135" s="22"/>
    </row>
    <row r="136" spans="1:7" ht="18" customHeight="1" x14ac:dyDescent="0.2">
      <c r="A136" s="22"/>
      <c r="B136" s="26"/>
      <c r="C136" s="26"/>
      <c r="D136" s="27"/>
      <c r="E136" s="22"/>
      <c r="F136" s="22"/>
      <c r="G136" s="22"/>
    </row>
    <row r="137" spans="1:7" ht="29.1" customHeight="1" x14ac:dyDescent="0.2">
      <c r="A137" s="22"/>
      <c r="B137" s="259" t="s">
        <v>162</v>
      </c>
      <c r="C137" s="260"/>
      <c r="D137" s="2" t="s">
        <v>152</v>
      </c>
      <c r="E137" s="22"/>
      <c r="F137" s="22"/>
      <c r="G137" s="22"/>
    </row>
    <row r="138" spans="1:7" ht="29.1" customHeight="1" x14ac:dyDescent="0.2">
      <c r="A138" s="22"/>
      <c r="B138" s="259" t="s">
        <v>163</v>
      </c>
      <c r="C138" s="260"/>
      <c r="D138" s="2" t="s">
        <v>152</v>
      </c>
      <c r="E138" s="22"/>
      <c r="F138" s="22"/>
      <c r="G138" s="22"/>
    </row>
    <row r="139" spans="1:7" ht="17.100000000000001" customHeight="1" x14ac:dyDescent="0.2">
      <c r="A139" s="22"/>
      <c r="B139" s="259" t="s">
        <v>164</v>
      </c>
      <c r="C139" s="260"/>
      <c r="D139" s="28">
        <v>0.24421984235175526</v>
      </c>
      <c r="E139" s="22"/>
      <c r="F139" s="19"/>
      <c r="G139" s="25"/>
    </row>
    <row r="140" spans="1:7" ht="17.100000000000001" customHeight="1" x14ac:dyDescent="0.2">
      <c r="A140" s="22"/>
      <c r="B140" s="259" t="s">
        <v>165</v>
      </c>
      <c r="C140" s="260"/>
      <c r="D140" s="2" t="s">
        <v>152</v>
      </c>
      <c r="E140" s="22"/>
      <c r="F140" s="22"/>
      <c r="G140" s="22"/>
    </row>
    <row r="142" spans="1:7" x14ac:dyDescent="0.2">
      <c r="B142" s="99" t="s">
        <v>1095</v>
      </c>
      <c r="C142" s="99"/>
      <c r="D142" s="99"/>
      <c r="E142" s="131"/>
      <c r="F142" s="124"/>
    </row>
    <row r="143" spans="1:7" ht="38.25" x14ac:dyDescent="0.2">
      <c r="B143" s="132" t="s">
        <v>1067</v>
      </c>
      <c r="C143" s="133" t="s">
        <v>1068</v>
      </c>
      <c r="D143" s="133" t="s">
        <v>1069</v>
      </c>
      <c r="E143" s="133" t="s">
        <v>1070</v>
      </c>
      <c r="F143" s="133" t="s">
        <v>1071</v>
      </c>
    </row>
    <row r="144" spans="1:7" x14ac:dyDescent="0.2">
      <c r="B144" s="134" t="s">
        <v>1088</v>
      </c>
      <c r="C144" s="135" t="s">
        <v>1089</v>
      </c>
      <c r="D144" s="136">
        <v>0</v>
      </c>
      <c r="E144" s="137">
        <v>0</v>
      </c>
      <c r="F144" s="138">
        <v>241.97234</v>
      </c>
    </row>
    <row r="145" spans="2:6" x14ac:dyDescent="0.2">
      <c r="B145" s="134" t="s">
        <v>1090</v>
      </c>
      <c r="C145" s="135" t="s">
        <v>1089</v>
      </c>
      <c r="D145" s="136">
        <v>0</v>
      </c>
      <c r="E145" s="137">
        <v>0</v>
      </c>
      <c r="F145" s="138">
        <v>23.186299999999999</v>
      </c>
    </row>
  </sheetData>
  <mergeCells count="16">
    <mergeCell ref="J2:N2"/>
    <mergeCell ref="B120:F120"/>
    <mergeCell ref="B122:F122"/>
    <mergeCell ref="B121:F121"/>
    <mergeCell ref="A1:H1"/>
    <mergeCell ref="A2:H2"/>
    <mergeCell ref="A3:H3"/>
    <mergeCell ref="B124:C124"/>
    <mergeCell ref="B139:C139"/>
    <mergeCell ref="B140:C140"/>
    <mergeCell ref="B125:C125"/>
    <mergeCell ref="B126:C126"/>
    <mergeCell ref="B127:C127"/>
    <mergeCell ref="B135:C135"/>
    <mergeCell ref="B137:C137"/>
    <mergeCell ref="B138:C13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O20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8.140625" customWidth="1"/>
  </cols>
  <sheetData>
    <row r="1" spans="1:15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5" ht="17.100000000000001" customHeight="1" x14ac:dyDescent="0.2">
      <c r="A2" s="294" t="s">
        <v>1147</v>
      </c>
      <c r="B2" s="295"/>
      <c r="C2" s="295"/>
      <c r="D2" s="295"/>
      <c r="E2" s="295"/>
      <c r="F2" s="295"/>
      <c r="G2" s="295"/>
      <c r="H2" s="296"/>
      <c r="J2" s="263" t="s">
        <v>1112</v>
      </c>
      <c r="K2" s="263"/>
      <c r="L2" s="263"/>
      <c r="M2" s="263"/>
      <c r="N2" s="263"/>
    </row>
    <row r="3" spans="1:15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5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5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5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5" ht="17.100000000000001" customHeight="1" x14ac:dyDescent="0.2">
      <c r="A7" s="3">
        <v>1</v>
      </c>
      <c r="B7" s="4" t="s">
        <v>358</v>
      </c>
      <c r="C7" s="4" t="s">
        <v>359</v>
      </c>
      <c r="D7" s="4" t="s">
        <v>19</v>
      </c>
      <c r="E7" s="5">
        <v>208423</v>
      </c>
      <c r="F7" s="6">
        <v>2809.5420399999998</v>
      </c>
      <c r="G7" s="7">
        <v>7.3451481999999998E-2</v>
      </c>
      <c r="H7" s="47"/>
    </row>
    <row r="8" spans="1:15" ht="17.100000000000001" customHeight="1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274558</v>
      </c>
      <c r="F8" s="6">
        <v>1941.674176</v>
      </c>
      <c r="G8" s="7">
        <v>5.0762310999999997E-2</v>
      </c>
      <c r="H8" s="47"/>
    </row>
    <row r="9" spans="1:15" ht="17.100000000000001" customHeight="1" x14ac:dyDescent="0.2">
      <c r="A9" s="3">
        <v>3</v>
      </c>
      <c r="B9" s="4" t="s">
        <v>393</v>
      </c>
      <c r="C9" s="4" t="s">
        <v>394</v>
      </c>
      <c r="D9" s="4" t="s">
        <v>191</v>
      </c>
      <c r="E9" s="5">
        <v>107000</v>
      </c>
      <c r="F9" s="6">
        <v>1564.2329999999999</v>
      </c>
      <c r="G9" s="7">
        <v>4.0894647999999999E-2</v>
      </c>
      <c r="H9" s="47"/>
    </row>
    <row r="10" spans="1:15" ht="53.1" customHeight="1" x14ac:dyDescent="0.2">
      <c r="A10" s="3">
        <v>4</v>
      </c>
      <c r="B10" s="4" t="s">
        <v>60</v>
      </c>
      <c r="C10" s="4" t="s">
        <v>61</v>
      </c>
      <c r="D10" s="4" t="s">
        <v>62</v>
      </c>
      <c r="E10" s="5">
        <v>918500</v>
      </c>
      <c r="F10" s="6">
        <v>1357.5429999999999</v>
      </c>
      <c r="G10" s="7">
        <v>3.5491031999999999E-2</v>
      </c>
      <c r="H10" s="47"/>
    </row>
    <row r="11" spans="1:15" ht="17.100000000000001" customHeight="1" x14ac:dyDescent="0.2">
      <c r="A11" s="3">
        <v>5</v>
      </c>
      <c r="B11" s="4" t="s">
        <v>414</v>
      </c>
      <c r="C11" s="4" t="s">
        <v>415</v>
      </c>
      <c r="D11" s="4" t="s">
        <v>191</v>
      </c>
      <c r="E11" s="5">
        <v>132600</v>
      </c>
      <c r="F11" s="6">
        <v>1326</v>
      </c>
      <c r="G11" s="7">
        <v>3.4666385000000001E-2</v>
      </c>
      <c r="H11" s="47"/>
    </row>
    <row r="12" spans="1:15" ht="17.100000000000001" customHeight="1" x14ac:dyDescent="0.2">
      <c r="A12" s="3">
        <v>6</v>
      </c>
      <c r="B12" s="4" t="s">
        <v>46</v>
      </c>
      <c r="C12" s="4" t="s">
        <v>47</v>
      </c>
      <c r="D12" s="4" t="s">
        <v>19</v>
      </c>
      <c r="E12" s="5">
        <v>237812</v>
      </c>
      <c r="F12" s="6">
        <v>1107.9661080000001</v>
      </c>
      <c r="G12" s="7">
        <v>2.8966199000000002E-2</v>
      </c>
      <c r="H12" s="47"/>
    </row>
    <row r="13" spans="1:15" ht="17.100000000000001" customHeight="1" x14ac:dyDescent="0.2">
      <c r="A13" s="3">
        <v>7</v>
      </c>
      <c r="B13" s="4" t="s">
        <v>403</v>
      </c>
      <c r="C13" s="4" t="s">
        <v>404</v>
      </c>
      <c r="D13" s="4" t="s">
        <v>405</v>
      </c>
      <c r="E13" s="5">
        <v>48458</v>
      </c>
      <c r="F13" s="6">
        <v>1080.9041480000001</v>
      </c>
      <c r="G13" s="7">
        <v>2.8258702E-2</v>
      </c>
      <c r="H13" s="47"/>
      <c r="J13" s="147" t="s">
        <v>1129</v>
      </c>
      <c r="K13" s="152"/>
      <c r="L13" s="152"/>
      <c r="M13" s="152"/>
      <c r="N13" s="152"/>
      <c r="O13" s="152"/>
    </row>
    <row r="14" spans="1:15" ht="29.1" customHeight="1" x14ac:dyDescent="0.2">
      <c r="A14" s="3">
        <v>8</v>
      </c>
      <c r="B14" s="4" t="s">
        <v>395</v>
      </c>
      <c r="C14" s="4" t="s">
        <v>396</v>
      </c>
      <c r="D14" s="4" t="s">
        <v>91</v>
      </c>
      <c r="E14" s="5">
        <v>44400</v>
      </c>
      <c r="F14" s="6">
        <v>963.85739999999998</v>
      </c>
      <c r="G14" s="7">
        <v>2.5198681000000001E-2</v>
      </c>
      <c r="H14" s="47"/>
    </row>
    <row r="15" spans="1:15" ht="17.100000000000001" customHeight="1" x14ac:dyDescent="0.2">
      <c r="A15" s="3">
        <v>9</v>
      </c>
      <c r="B15" s="4" t="s">
        <v>304</v>
      </c>
      <c r="C15" s="4" t="s">
        <v>305</v>
      </c>
      <c r="D15" s="4" t="s">
        <v>19</v>
      </c>
      <c r="E15" s="5">
        <v>121365</v>
      </c>
      <c r="F15" s="6">
        <v>772.85231999999996</v>
      </c>
      <c r="G15" s="7">
        <v>2.0205125000000001E-2</v>
      </c>
      <c r="H15" s="47"/>
    </row>
    <row r="16" spans="1:15" ht="17.100000000000001" customHeight="1" x14ac:dyDescent="0.2">
      <c r="A16" s="3">
        <v>10</v>
      </c>
      <c r="B16" s="4" t="s">
        <v>440</v>
      </c>
      <c r="C16" s="4" t="s">
        <v>441</v>
      </c>
      <c r="D16" s="4" t="s">
        <v>91</v>
      </c>
      <c r="E16" s="5">
        <v>13125</v>
      </c>
      <c r="F16" s="6">
        <v>708.81562499999995</v>
      </c>
      <c r="G16" s="7">
        <v>1.8530977000000001E-2</v>
      </c>
      <c r="H16" s="47"/>
    </row>
    <row r="17" spans="1:15" ht="17.100000000000001" customHeight="1" x14ac:dyDescent="0.2">
      <c r="A17" s="3">
        <v>11</v>
      </c>
      <c r="B17" s="4" t="s">
        <v>36</v>
      </c>
      <c r="C17" s="4" t="s">
        <v>37</v>
      </c>
      <c r="D17" s="4" t="s">
        <v>28</v>
      </c>
      <c r="E17" s="5">
        <v>31514</v>
      </c>
      <c r="F17" s="6">
        <v>693.68616799999995</v>
      </c>
      <c r="G17" s="7">
        <v>1.8135439E-2</v>
      </c>
      <c r="H17" s="47"/>
    </row>
    <row r="18" spans="1:15" ht="17.100000000000001" customHeight="1" x14ac:dyDescent="0.2">
      <c r="A18" s="3">
        <v>12</v>
      </c>
      <c r="B18" s="4" t="s">
        <v>83</v>
      </c>
      <c r="C18" s="4" t="s">
        <v>84</v>
      </c>
      <c r="D18" s="4" t="s">
        <v>85</v>
      </c>
      <c r="E18" s="5">
        <v>6500</v>
      </c>
      <c r="F18" s="6">
        <v>550.59875</v>
      </c>
      <c r="G18" s="7">
        <v>1.4394621E-2</v>
      </c>
      <c r="H18" s="47"/>
    </row>
    <row r="19" spans="1:15" ht="17.100000000000001" customHeight="1" x14ac:dyDescent="0.2">
      <c r="A19" s="3">
        <v>13</v>
      </c>
      <c r="B19" s="4" t="s">
        <v>538</v>
      </c>
      <c r="C19" s="45" t="s">
        <v>1065</v>
      </c>
      <c r="D19" s="4" t="s">
        <v>85</v>
      </c>
      <c r="E19" s="5">
        <v>260000</v>
      </c>
      <c r="F19" s="6">
        <v>514.28</v>
      </c>
      <c r="G19" s="7">
        <v>1.3445119E-2</v>
      </c>
      <c r="H19" s="47"/>
    </row>
    <row r="20" spans="1:15" ht="17.100000000000001" customHeight="1" x14ac:dyDescent="0.2">
      <c r="A20" s="3">
        <v>14</v>
      </c>
      <c r="B20" s="4" t="s">
        <v>14</v>
      </c>
      <c r="C20" s="4" t="s">
        <v>15</v>
      </c>
      <c r="D20" s="4" t="s">
        <v>16</v>
      </c>
      <c r="E20" s="5">
        <v>19000</v>
      </c>
      <c r="F20" s="6">
        <v>493.17349999999999</v>
      </c>
      <c r="G20" s="7">
        <v>1.289332E-2</v>
      </c>
      <c r="H20" s="47"/>
    </row>
    <row r="21" spans="1:15" ht="29.1" customHeight="1" x14ac:dyDescent="0.2">
      <c r="A21" s="3">
        <v>15</v>
      </c>
      <c r="B21" s="4" t="s">
        <v>89</v>
      </c>
      <c r="C21" s="4" t="s">
        <v>90</v>
      </c>
      <c r="D21" s="4" t="s">
        <v>91</v>
      </c>
      <c r="E21" s="5">
        <v>67000</v>
      </c>
      <c r="F21" s="6">
        <v>415.065</v>
      </c>
      <c r="G21" s="7">
        <v>1.0851283999999999E-2</v>
      </c>
      <c r="H21" s="47"/>
    </row>
    <row r="22" spans="1:15" ht="17.100000000000001" customHeight="1" x14ac:dyDescent="0.2">
      <c r="A22" s="3">
        <v>16</v>
      </c>
      <c r="B22" s="4" t="s">
        <v>621</v>
      </c>
      <c r="C22" s="4" t="s">
        <v>622</v>
      </c>
      <c r="D22" s="4" t="s">
        <v>191</v>
      </c>
      <c r="E22" s="5">
        <v>9750</v>
      </c>
      <c r="F22" s="6">
        <v>387.60637500000001</v>
      </c>
      <c r="G22" s="7">
        <v>1.0133418E-2</v>
      </c>
      <c r="H22" s="47"/>
    </row>
    <row r="23" spans="1:15" ht="17.100000000000001" customHeight="1" x14ac:dyDescent="0.2">
      <c r="A23" s="3">
        <v>17</v>
      </c>
      <c r="B23" s="4" t="s">
        <v>364</v>
      </c>
      <c r="C23" s="4" t="s">
        <v>365</v>
      </c>
      <c r="D23" s="4" t="s">
        <v>91</v>
      </c>
      <c r="E23" s="5">
        <v>3500</v>
      </c>
      <c r="F23" s="6">
        <v>382.61124999999998</v>
      </c>
      <c r="G23" s="7">
        <v>1.0002827000000001E-2</v>
      </c>
      <c r="H23" s="47"/>
    </row>
    <row r="24" spans="1:15" ht="17.100000000000001" customHeight="1" x14ac:dyDescent="0.2">
      <c r="A24" s="3">
        <v>18</v>
      </c>
      <c r="B24" s="4" t="s">
        <v>434</v>
      </c>
      <c r="C24" s="4" t="s">
        <v>435</v>
      </c>
      <c r="D24" s="4" t="s">
        <v>19</v>
      </c>
      <c r="E24" s="5">
        <v>209000</v>
      </c>
      <c r="F24" s="6">
        <v>378.8125</v>
      </c>
      <c r="G24" s="7">
        <v>9.9035140000000004E-3</v>
      </c>
      <c r="H24" s="47"/>
    </row>
    <row r="25" spans="1:15" ht="17.100000000000001" customHeight="1" x14ac:dyDescent="0.2">
      <c r="A25" s="3">
        <v>19</v>
      </c>
      <c r="B25" s="4" t="s">
        <v>534</v>
      </c>
      <c r="C25" s="4" t="s">
        <v>535</v>
      </c>
      <c r="D25" s="4" t="s">
        <v>184</v>
      </c>
      <c r="E25" s="5">
        <v>10000</v>
      </c>
      <c r="F25" s="6">
        <v>369.685</v>
      </c>
      <c r="G25" s="7">
        <v>9.6648889999999994E-3</v>
      </c>
      <c r="H25" s="47"/>
    </row>
    <row r="26" spans="1:15" ht="17.100000000000001" customHeight="1" x14ac:dyDescent="0.2">
      <c r="A26" s="3">
        <v>20</v>
      </c>
      <c r="B26" s="4" t="s">
        <v>532</v>
      </c>
      <c r="C26" s="4" t="s">
        <v>533</v>
      </c>
      <c r="D26" s="4" t="s">
        <v>191</v>
      </c>
      <c r="E26" s="5">
        <v>24014</v>
      </c>
      <c r="F26" s="6">
        <v>339.05366600000002</v>
      </c>
      <c r="G26" s="7">
        <v>8.8640760000000002E-3</v>
      </c>
      <c r="H26" s="47"/>
    </row>
    <row r="27" spans="1:15" ht="53.1" customHeight="1" x14ac:dyDescent="0.2">
      <c r="A27" s="3">
        <v>21</v>
      </c>
      <c r="B27" s="4" t="s">
        <v>100</v>
      </c>
      <c r="C27" s="4" t="s">
        <v>101</v>
      </c>
      <c r="D27" s="4" t="s">
        <v>62</v>
      </c>
      <c r="E27" s="5">
        <v>26000</v>
      </c>
      <c r="F27" s="6">
        <v>326.31299999999999</v>
      </c>
      <c r="G27" s="7">
        <v>8.5309889999999992E-3</v>
      </c>
      <c r="H27" s="47"/>
    </row>
    <row r="28" spans="1:15" ht="29.1" customHeight="1" x14ac:dyDescent="0.2">
      <c r="A28" s="3">
        <v>22</v>
      </c>
      <c r="B28" s="4" t="s">
        <v>175</v>
      </c>
      <c r="C28" s="4" t="s">
        <v>176</v>
      </c>
      <c r="D28" s="4" t="s">
        <v>88</v>
      </c>
      <c r="E28" s="5">
        <v>93000</v>
      </c>
      <c r="F28" s="6">
        <v>316.33949999999999</v>
      </c>
      <c r="G28" s="7">
        <v>8.2702460000000002E-3</v>
      </c>
      <c r="H28" s="47"/>
    </row>
    <row r="29" spans="1:15" ht="17.100000000000001" customHeight="1" x14ac:dyDescent="0.2">
      <c r="A29" s="3">
        <v>23</v>
      </c>
      <c r="B29" s="4" t="s">
        <v>623</v>
      </c>
      <c r="C29" s="4" t="s">
        <v>624</v>
      </c>
      <c r="D29" s="4" t="s">
        <v>296</v>
      </c>
      <c r="E29" s="5">
        <v>40000</v>
      </c>
      <c r="F29" s="6">
        <v>303.89999999999998</v>
      </c>
      <c r="G29" s="7">
        <v>7.9450330000000007E-3</v>
      </c>
      <c r="H29" s="47"/>
    </row>
    <row r="30" spans="1:15" ht="29.1" customHeight="1" x14ac:dyDescent="0.2">
      <c r="A30" s="3">
        <v>24</v>
      </c>
      <c r="B30" s="4" t="s">
        <v>625</v>
      </c>
      <c r="C30" s="4" t="s">
        <v>626</v>
      </c>
      <c r="D30" s="4" t="s">
        <v>201</v>
      </c>
      <c r="E30" s="5">
        <v>20000</v>
      </c>
      <c r="F30" s="6">
        <v>298.01</v>
      </c>
      <c r="G30" s="7">
        <v>7.7910480000000001E-3</v>
      </c>
      <c r="H30" s="47"/>
    </row>
    <row r="31" spans="1:15" ht="17.100000000000001" customHeight="1" x14ac:dyDescent="0.2">
      <c r="A31" s="3">
        <v>25</v>
      </c>
      <c r="B31" s="4" t="s">
        <v>366</v>
      </c>
      <c r="C31" s="4" t="s">
        <v>367</v>
      </c>
      <c r="D31" s="4" t="s">
        <v>209</v>
      </c>
      <c r="E31" s="5">
        <v>120000</v>
      </c>
      <c r="F31" s="6">
        <v>288</v>
      </c>
      <c r="G31" s="7">
        <v>7.5293510000000001E-3</v>
      </c>
      <c r="H31" s="47"/>
      <c r="J31" s="152"/>
      <c r="K31" s="152"/>
      <c r="L31" s="152"/>
      <c r="M31" s="152"/>
      <c r="N31" s="152"/>
      <c r="O31" s="152"/>
    </row>
    <row r="32" spans="1:15" ht="17.100000000000001" customHeight="1" x14ac:dyDescent="0.2">
      <c r="A32" s="3">
        <v>26</v>
      </c>
      <c r="B32" s="4" t="s">
        <v>345</v>
      </c>
      <c r="C32" s="4" t="s">
        <v>346</v>
      </c>
      <c r="D32" s="4" t="s">
        <v>174</v>
      </c>
      <c r="E32" s="5">
        <v>55785</v>
      </c>
      <c r="F32" s="6">
        <v>285.75866250000001</v>
      </c>
      <c r="G32" s="7">
        <v>7.4707539999999996E-3</v>
      </c>
      <c r="H32" s="47"/>
    </row>
    <row r="33" spans="1:8" ht="17.100000000000001" customHeight="1" x14ac:dyDescent="0.2">
      <c r="A33" s="3">
        <v>27</v>
      </c>
      <c r="B33" s="4" t="s">
        <v>424</v>
      </c>
      <c r="C33" s="4" t="s">
        <v>425</v>
      </c>
      <c r="D33" s="4" t="s">
        <v>114</v>
      </c>
      <c r="E33" s="5">
        <v>29325</v>
      </c>
      <c r="F33" s="6">
        <v>254.26241250000001</v>
      </c>
      <c r="G33" s="7">
        <v>6.6473290000000004E-3</v>
      </c>
      <c r="H33" s="47"/>
    </row>
    <row r="34" spans="1:8" ht="17.100000000000001" customHeight="1" x14ac:dyDescent="0.2">
      <c r="A34" s="3">
        <v>28</v>
      </c>
      <c r="B34" s="4" t="s">
        <v>432</v>
      </c>
      <c r="C34" s="4" t="s">
        <v>433</v>
      </c>
      <c r="D34" s="4" t="s">
        <v>94</v>
      </c>
      <c r="E34" s="5">
        <v>44905</v>
      </c>
      <c r="F34" s="6">
        <v>248.68388999999999</v>
      </c>
      <c r="G34" s="7">
        <v>6.5014870000000002E-3</v>
      </c>
      <c r="H34" s="47"/>
    </row>
    <row r="35" spans="1:8" ht="29.1" customHeight="1" x14ac:dyDescent="0.2">
      <c r="A35" s="3">
        <v>29</v>
      </c>
      <c r="B35" s="4" t="s">
        <v>330</v>
      </c>
      <c r="C35" s="4" t="s">
        <v>331</v>
      </c>
      <c r="D35" s="4" t="s">
        <v>204</v>
      </c>
      <c r="E35" s="5">
        <v>9000</v>
      </c>
      <c r="F35" s="6">
        <v>243.15299999999999</v>
      </c>
      <c r="G35" s="7">
        <v>6.3568890000000001E-3</v>
      </c>
      <c r="H35" s="47"/>
    </row>
    <row r="36" spans="1:8" ht="17.100000000000001" customHeight="1" x14ac:dyDescent="0.2">
      <c r="A36" s="3">
        <v>30</v>
      </c>
      <c r="B36" s="4" t="s">
        <v>319</v>
      </c>
      <c r="C36" s="4" t="s">
        <v>320</v>
      </c>
      <c r="D36" s="4" t="s">
        <v>321</v>
      </c>
      <c r="E36" s="5">
        <v>30000</v>
      </c>
      <c r="F36" s="6">
        <v>234.70500000000001</v>
      </c>
      <c r="G36" s="7">
        <v>6.1360290000000003E-3</v>
      </c>
      <c r="H36" s="47"/>
    </row>
    <row r="37" spans="1:8" ht="17.100000000000001" customHeight="1" x14ac:dyDescent="0.2">
      <c r="A37" s="3">
        <v>31</v>
      </c>
      <c r="B37" s="4" t="s">
        <v>98</v>
      </c>
      <c r="C37" s="4" t="s">
        <v>99</v>
      </c>
      <c r="D37" s="4" t="s">
        <v>97</v>
      </c>
      <c r="E37" s="5">
        <v>30333</v>
      </c>
      <c r="F37" s="6">
        <v>223.7513745</v>
      </c>
      <c r="G37" s="7">
        <v>5.8496620000000003E-3</v>
      </c>
      <c r="H37" s="47"/>
    </row>
    <row r="38" spans="1:8" ht="17.100000000000001" customHeight="1" x14ac:dyDescent="0.2">
      <c r="A38" s="3">
        <v>32</v>
      </c>
      <c r="B38" s="4" t="s">
        <v>11</v>
      </c>
      <c r="C38" s="4" t="s">
        <v>12</v>
      </c>
      <c r="D38" s="4" t="s">
        <v>13</v>
      </c>
      <c r="E38" s="5">
        <v>13950</v>
      </c>
      <c r="F38" s="6">
        <v>217.37587500000001</v>
      </c>
      <c r="G38" s="7">
        <v>5.682983E-3</v>
      </c>
      <c r="H38" s="47"/>
    </row>
    <row r="39" spans="1:8" ht="17.100000000000001" customHeight="1" x14ac:dyDescent="0.2">
      <c r="A39" s="3">
        <v>33</v>
      </c>
      <c r="B39" s="4" t="s">
        <v>543</v>
      </c>
      <c r="C39" s="4" t="s">
        <v>544</v>
      </c>
      <c r="D39" s="4" t="s">
        <v>217</v>
      </c>
      <c r="E39" s="5">
        <v>12505</v>
      </c>
      <c r="F39" s="6">
        <v>204.68809250000001</v>
      </c>
      <c r="G39" s="7">
        <v>5.3512789999999996E-3</v>
      </c>
      <c r="H39" s="47"/>
    </row>
    <row r="40" spans="1:8" ht="17.100000000000001" customHeight="1" x14ac:dyDescent="0.2">
      <c r="A40" s="3">
        <v>34</v>
      </c>
      <c r="B40" s="4" t="s">
        <v>338</v>
      </c>
      <c r="C40" s="4" t="s">
        <v>339</v>
      </c>
      <c r="D40" s="4" t="s">
        <v>114</v>
      </c>
      <c r="E40" s="5">
        <v>60000</v>
      </c>
      <c r="F40" s="6">
        <v>197.55</v>
      </c>
      <c r="G40" s="7">
        <v>5.1646640000000002E-3</v>
      </c>
      <c r="H40" s="47"/>
    </row>
    <row r="41" spans="1:8" ht="29.1" customHeight="1" x14ac:dyDescent="0.2">
      <c r="A41" s="3">
        <v>35</v>
      </c>
      <c r="B41" s="4" t="s">
        <v>401</v>
      </c>
      <c r="C41" s="4" t="s">
        <v>402</v>
      </c>
      <c r="D41" s="4" t="s">
        <v>204</v>
      </c>
      <c r="E41" s="5">
        <v>23742</v>
      </c>
      <c r="F41" s="6">
        <v>197.201052</v>
      </c>
      <c r="G41" s="7">
        <v>5.1555409999999996E-3</v>
      </c>
      <c r="H41" s="47"/>
    </row>
    <row r="42" spans="1:8" ht="17.100000000000001" customHeight="1" x14ac:dyDescent="0.2">
      <c r="A42" s="3">
        <v>36</v>
      </c>
      <c r="B42" s="4" t="s">
        <v>397</v>
      </c>
      <c r="C42" s="4" t="s">
        <v>398</v>
      </c>
      <c r="D42" s="4" t="s">
        <v>191</v>
      </c>
      <c r="E42" s="5">
        <v>6000</v>
      </c>
      <c r="F42" s="6">
        <v>196.02600000000001</v>
      </c>
      <c r="G42" s="7">
        <v>5.1248209999999999E-3</v>
      </c>
      <c r="H42" s="47"/>
    </row>
    <row r="43" spans="1:8" ht="29.1" customHeight="1" x14ac:dyDescent="0.2">
      <c r="A43" s="3">
        <v>37</v>
      </c>
      <c r="B43" s="4" t="s">
        <v>627</v>
      </c>
      <c r="C43" s="4" t="s">
        <v>628</v>
      </c>
      <c r="D43" s="4" t="s">
        <v>91</v>
      </c>
      <c r="E43" s="5">
        <v>104000</v>
      </c>
      <c r="F43" s="6">
        <v>182.416</v>
      </c>
      <c r="G43" s="7">
        <v>4.7690069999999996E-3</v>
      </c>
      <c r="H43" s="47"/>
    </row>
    <row r="44" spans="1:8" ht="17.100000000000001" customHeight="1" x14ac:dyDescent="0.2">
      <c r="A44" s="3">
        <v>38</v>
      </c>
      <c r="B44" s="4" t="s">
        <v>95</v>
      </c>
      <c r="C44" s="4" t="s">
        <v>96</v>
      </c>
      <c r="D44" s="4" t="s">
        <v>97</v>
      </c>
      <c r="E44" s="5">
        <v>40700</v>
      </c>
      <c r="F44" s="6">
        <v>180.8708</v>
      </c>
      <c r="G44" s="7">
        <v>4.7286100000000003E-3</v>
      </c>
      <c r="H44" s="47"/>
    </row>
    <row r="45" spans="1:8" ht="17.100000000000001" customHeight="1" x14ac:dyDescent="0.2">
      <c r="A45" s="3">
        <v>39</v>
      </c>
      <c r="B45" s="4" t="s">
        <v>579</v>
      </c>
      <c r="C45" s="4" t="s">
        <v>580</v>
      </c>
      <c r="D45" s="4" t="s">
        <v>88</v>
      </c>
      <c r="E45" s="5">
        <v>6600</v>
      </c>
      <c r="F45" s="6">
        <v>177.88319999999999</v>
      </c>
      <c r="G45" s="7">
        <v>4.6505030000000003E-3</v>
      </c>
      <c r="H45" s="47"/>
    </row>
    <row r="46" spans="1:8" ht="17.100000000000001" customHeight="1" x14ac:dyDescent="0.2">
      <c r="A46" s="3">
        <v>40</v>
      </c>
      <c r="B46" s="4" t="s">
        <v>629</v>
      </c>
      <c r="C46" s="4" t="s">
        <v>630</v>
      </c>
      <c r="D46" s="4" t="s">
        <v>19</v>
      </c>
      <c r="E46" s="5">
        <v>114046</v>
      </c>
      <c r="F46" s="6">
        <v>170.897931</v>
      </c>
      <c r="G46" s="7">
        <v>4.4678829999999998E-3</v>
      </c>
      <c r="H46" s="47"/>
    </row>
    <row r="47" spans="1:8" ht="17.100000000000001" customHeight="1" x14ac:dyDescent="0.2">
      <c r="A47" s="3">
        <v>41</v>
      </c>
      <c r="B47" s="4" t="s">
        <v>429</v>
      </c>
      <c r="C47" s="45" t="s">
        <v>1012</v>
      </c>
      <c r="D47" s="4" t="s">
        <v>22</v>
      </c>
      <c r="E47" s="5">
        <v>56299</v>
      </c>
      <c r="F47" s="6">
        <v>170.248176</v>
      </c>
      <c r="G47" s="7">
        <v>4.4508960000000002E-3</v>
      </c>
      <c r="H47" s="47"/>
    </row>
    <row r="48" spans="1:8" ht="29.1" customHeight="1" x14ac:dyDescent="0.2">
      <c r="A48" s="3">
        <v>42</v>
      </c>
      <c r="B48" s="4" t="s">
        <v>631</v>
      </c>
      <c r="C48" s="4" t="s">
        <v>632</v>
      </c>
      <c r="D48" s="4" t="s">
        <v>321</v>
      </c>
      <c r="E48" s="5">
        <v>15000</v>
      </c>
      <c r="F48" s="6">
        <v>168.14250000000001</v>
      </c>
      <c r="G48" s="7">
        <v>4.3958469999999996E-3</v>
      </c>
      <c r="H48" s="47"/>
    </row>
    <row r="49" spans="1:8" ht="17.100000000000001" customHeight="1" x14ac:dyDescent="0.2">
      <c r="A49" s="3">
        <v>43</v>
      </c>
      <c r="B49" s="4" t="s">
        <v>549</v>
      </c>
      <c r="C49" s="4" t="s">
        <v>550</v>
      </c>
      <c r="D49" s="4" t="s">
        <v>85</v>
      </c>
      <c r="E49" s="5">
        <v>14930</v>
      </c>
      <c r="F49" s="6">
        <v>152.696575</v>
      </c>
      <c r="G49" s="7">
        <v>3.9920349999999997E-3</v>
      </c>
      <c r="H49" s="47"/>
    </row>
    <row r="50" spans="1:8" ht="29.1" customHeight="1" x14ac:dyDescent="0.2">
      <c r="A50" s="3">
        <v>44</v>
      </c>
      <c r="B50" s="4" t="s">
        <v>370</v>
      </c>
      <c r="C50" s="4" t="s">
        <v>371</v>
      </c>
      <c r="D50" s="4" t="s">
        <v>238</v>
      </c>
      <c r="E50" s="5">
        <v>21600</v>
      </c>
      <c r="F50" s="6">
        <v>152.57159999999999</v>
      </c>
      <c r="G50" s="7">
        <v>3.9887680000000002E-3</v>
      </c>
      <c r="H50" s="47"/>
    </row>
    <row r="51" spans="1:8" ht="17.100000000000001" customHeight="1" x14ac:dyDescent="0.2">
      <c r="A51" s="3">
        <v>45</v>
      </c>
      <c r="B51" s="4" t="s">
        <v>585</v>
      </c>
      <c r="C51" s="4" t="s">
        <v>586</v>
      </c>
      <c r="D51" s="4" t="s">
        <v>321</v>
      </c>
      <c r="E51" s="5">
        <v>26400</v>
      </c>
      <c r="F51" s="6">
        <v>145.19999999999999</v>
      </c>
      <c r="G51" s="7">
        <v>3.7960479999999998E-3</v>
      </c>
      <c r="H51" s="47"/>
    </row>
    <row r="52" spans="1:8" ht="17.100000000000001" customHeight="1" x14ac:dyDescent="0.2">
      <c r="A52" s="3">
        <v>46</v>
      </c>
      <c r="B52" s="4" t="s">
        <v>462</v>
      </c>
      <c r="C52" s="4" t="s">
        <v>463</v>
      </c>
      <c r="D52" s="4" t="s">
        <v>88</v>
      </c>
      <c r="E52" s="5">
        <v>7125</v>
      </c>
      <c r="F52" s="6">
        <v>138.31406250000001</v>
      </c>
      <c r="G52" s="7">
        <v>3.6160250000000001E-3</v>
      </c>
      <c r="H52" s="47"/>
    </row>
    <row r="53" spans="1:8" ht="17.100000000000001" customHeight="1" x14ac:dyDescent="0.2">
      <c r="A53" s="3">
        <v>47</v>
      </c>
      <c r="B53" s="4" t="s">
        <v>78</v>
      </c>
      <c r="C53" s="4" t="s">
        <v>79</v>
      </c>
      <c r="D53" s="4" t="s">
        <v>80</v>
      </c>
      <c r="E53" s="5">
        <v>5785</v>
      </c>
      <c r="F53" s="6">
        <v>133.10706500000001</v>
      </c>
      <c r="G53" s="7">
        <v>3.4798950000000002E-3</v>
      </c>
      <c r="H53" s="47"/>
    </row>
    <row r="54" spans="1:8" ht="17.100000000000001" customHeight="1" x14ac:dyDescent="0.2">
      <c r="A54" s="3">
        <v>48</v>
      </c>
      <c r="B54" s="4" t="s">
        <v>360</v>
      </c>
      <c r="C54" s="4" t="s">
        <v>361</v>
      </c>
      <c r="D54" s="4" t="s">
        <v>91</v>
      </c>
      <c r="E54" s="5">
        <v>40000</v>
      </c>
      <c r="F54" s="6">
        <v>130.94</v>
      </c>
      <c r="G54" s="7">
        <v>3.4232400000000001E-3</v>
      </c>
      <c r="H54" s="47"/>
    </row>
    <row r="55" spans="1:8" ht="17.100000000000001" customHeight="1" x14ac:dyDescent="0.2">
      <c r="A55" s="3">
        <v>49</v>
      </c>
      <c r="B55" s="4" t="s">
        <v>301</v>
      </c>
      <c r="C55" s="4" t="s">
        <v>302</v>
      </c>
      <c r="D55" s="4" t="s">
        <v>303</v>
      </c>
      <c r="E55" s="5">
        <v>325</v>
      </c>
      <c r="F55" s="6">
        <v>130.54112499999999</v>
      </c>
      <c r="G55" s="7">
        <v>3.4128119999999999E-3</v>
      </c>
      <c r="H55" s="47"/>
    </row>
    <row r="56" spans="1:8" ht="17.100000000000001" customHeight="1" x14ac:dyDescent="0.2">
      <c r="A56" s="3">
        <v>50</v>
      </c>
      <c r="B56" s="4" t="s">
        <v>376</v>
      </c>
      <c r="C56" s="4" t="s">
        <v>377</v>
      </c>
      <c r="D56" s="4" t="s">
        <v>88</v>
      </c>
      <c r="E56" s="5">
        <v>21793</v>
      </c>
      <c r="F56" s="6">
        <v>130.48558750000001</v>
      </c>
      <c r="G56" s="7">
        <v>3.41136E-3</v>
      </c>
      <c r="H56" s="47"/>
    </row>
    <row r="57" spans="1:8" ht="17.100000000000001" customHeight="1" x14ac:dyDescent="0.2">
      <c r="A57" s="3">
        <v>51</v>
      </c>
      <c r="B57" s="4" t="s">
        <v>306</v>
      </c>
      <c r="C57" s="4" t="s">
        <v>307</v>
      </c>
      <c r="D57" s="4" t="s">
        <v>19</v>
      </c>
      <c r="E57" s="5">
        <v>128700</v>
      </c>
      <c r="F57" s="6">
        <v>125.35380000000001</v>
      </c>
      <c r="G57" s="7">
        <v>3.2771969999999999E-3</v>
      </c>
      <c r="H57" s="47"/>
    </row>
    <row r="58" spans="1:8" ht="17.100000000000001" customHeight="1" x14ac:dyDescent="0.2">
      <c r="A58" s="3">
        <v>52</v>
      </c>
      <c r="B58" s="4" t="s">
        <v>547</v>
      </c>
      <c r="C58" s="4" t="s">
        <v>548</v>
      </c>
      <c r="D58" s="4" t="s">
        <v>94</v>
      </c>
      <c r="E58" s="5">
        <v>34800</v>
      </c>
      <c r="F58" s="6">
        <v>104.4348</v>
      </c>
      <c r="G58" s="7">
        <v>2.7302989999999998E-3</v>
      </c>
      <c r="H58" s="47"/>
    </row>
    <row r="59" spans="1:8" ht="17.100000000000001" customHeight="1" x14ac:dyDescent="0.2">
      <c r="A59" s="3">
        <v>53</v>
      </c>
      <c r="B59" s="4" t="s">
        <v>374</v>
      </c>
      <c r="C59" s="4" t="s">
        <v>375</v>
      </c>
      <c r="D59" s="4" t="s">
        <v>94</v>
      </c>
      <c r="E59" s="5">
        <v>10973</v>
      </c>
      <c r="F59" s="6">
        <v>101.29724950000001</v>
      </c>
      <c r="G59" s="7">
        <v>2.648273E-3</v>
      </c>
      <c r="H59" s="47"/>
    </row>
    <row r="60" spans="1:8" ht="29.1" customHeight="1" x14ac:dyDescent="0.2">
      <c r="A60" s="3">
        <v>54</v>
      </c>
      <c r="B60" s="4" t="s">
        <v>23</v>
      </c>
      <c r="C60" s="4" t="s">
        <v>24</v>
      </c>
      <c r="D60" s="4" t="s">
        <v>25</v>
      </c>
      <c r="E60" s="5">
        <v>1700</v>
      </c>
      <c r="F60" s="6">
        <v>95.324100000000001</v>
      </c>
      <c r="G60" s="7">
        <v>2.4921129999999998E-3</v>
      </c>
      <c r="H60" s="47"/>
    </row>
    <row r="61" spans="1:8" ht="17.100000000000001" customHeight="1" x14ac:dyDescent="0.2">
      <c r="A61" s="3">
        <v>55</v>
      </c>
      <c r="B61" s="4" t="s">
        <v>406</v>
      </c>
      <c r="C61" s="4" t="s">
        <v>407</v>
      </c>
      <c r="D61" s="4" t="s">
        <v>85</v>
      </c>
      <c r="E61" s="5">
        <v>8400</v>
      </c>
      <c r="F61" s="6">
        <v>91.824600000000004</v>
      </c>
      <c r="G61" s="7">
        <v>2.4006240000000001E-3</v>
      </c>
      <c r="H61" s="47"/>
    </row>
    <row r="62" spans="1:8" ht="17.100000000000001" customHeight="1" x14ac:dyDescent="0.2">
      <c r="A62" s="3">
        <v>56</v>
      </c>
      <c r="B62" s="4" t="s">
        <v>573</v>
      </c>
      <c r="C62" s="4" t="s">
        <v>574</v>
      </c>
      <c r="D62" s="4" t="s">
        <v>312</v>
      </c>
      <c r="E62" s="5">
        <v>9417</v>
      </c>
      <c r="F62" s="6">
        <v>90.958803000000003</v>
      </c>
      <c r="G62" s="7">
        <v>2.3779890000000001E-3</v>
      </c>
      <c r="H62" s="47"/>
    </row>
    <row r="63" spans="1:8" ht="29.1" customHeight="1" x14ac:dyDescent="0.2">
      <c r="A63" s="3">
        <v>57</v>
      </c>
      <c r="B63" s="4" t="s">
        <v>230</v>
      </c>
      <c r="C63" s="4" t="s">
        <v>231</v>
      </c>
      <c r="D63" s="4" t="s">
        <v>204</v>
      </c>
      <c r="E63" s="5">
        <v>24500</v>
      </c>
      <c r="F63" s="6">
        <v>89.927250000000001</v>
      </c>
      <c r="G63" s="7">
        <v>2.3510200000000001E-3</v>
      </c>
      <c r="H63" s="47"/>
    </row>
    <row r="64" spans="1:8" ht="29.1" customHeight="1" x14ac:dyDescent="0.2">
      <c r="A64" s="3">
        <v>58</v>
      </c>
      <c r="B64" s="4" t="s">
        <v>328</v>
      </c>
      <c r="C64" s="4" t="s">
        <v>329</v>
      </c>
      <c r="D64" s="4" t="s">
        <v>204</v>
      </c>
      <c r="E64" s="5">
        <v>7060</v>
      </c>
      <c r="F64" s="6">
        <v>63.363500000000002</v>
      </c>
      <c r="G64" s="7">
        <v>1.656549E-3</v>
      </c>
      <c r="H64" s="47"/>
    </row>
    <row r="65" spans="1:8" ht="17.100000000000001" customHeight="1" x14ac:dyDescent="0.2">
      <c r="A65" s="3">
        <v>59</v>
      </c>
      <c r="B65" s="4" t="s">
        <v>458</v>
      </c>
      <c r="C65" s="4" t="s">
        <v>459</v>
      </c>
      <c r="D65" s="4" t="s">
        <v>94</v>
      </c>
      <c r="E65" s="5">
        <v>51230</v>
      </c>
      <c r="F65" s="6">
        <v>60.528244999999998</v>
      </c>
      <c r="G65" s="7">
        <v>1.5824249999999999E-3</v>
      </c>
      <c r="H65" s="47"/>
    </row>
    <row r="66" spans="1:8" ht="29.1" customHeight="1" x14ac:dyDescent="0.2">
      <c r="A66" s="3">
        <v>60</v>
      </c>
      <c r="B66" s="4" t="s">
        <v>436</v>
      </c>
      <c r="C66" s="4" t="s">
        <v>437</v>
      </c>
      <c r="D66" s="4" t="s">
        <v>204</v>
      </c>
      <c r="E66" s="5">
        <v>1650</v>
      </c>
      <c r="F66" s="6">
        <v>59.901600000000002</v>
      </c>
      <c r="G66" s="7">
        <v>1.5660419999999999E-3</v>
      </c>
      <c r="H66" s="47"/>
    </row>
    <row r="67" spans="1:8" ht="29.1" customHeight="1" x14ac:dyDescent="0.2">
      <c r="A67" s="3">
        <v>61</v>
      </c>
      <c r="B67" s="4" t="s">
        <v>167</v>
      </c>
      <c r="C67" s="4" t="s">
        <v>168</v>
      </c>
      <c r="D67" s="4" t="s">
        <v>25</v>
      </c>
      <c r="E67" s="5">
        <v>9000</v>
      </c>
      <c r="F67" s="6">
        <v>32.67</v>
      </c>
      <c r="G67" s="7">
        <v>8.5411099999999995E-4</v>
      </c>
      <c r="H67" s="47"/>
    </row>
    <row r="68" spans="1:8" ht="17.100000000000001" customHeight="1" x14ac:dyDescent="0.2">
      <c r="A68" s="3">
        <v>62</v>
      </c>
      <c r="B68" s="4" t="s">
        <v>633</v>
      </c>
      <c r="C68" s="4" t="s">
        <v>634</v>
      </c>
      <c r="D68" s="4" t="s">
        <v>191</v>
      </c>
      <c r="E68" s="5">
        <v>891</v>
      </c>
      <c r="F68" s="6">
        <v>31.535163000000001</v>
      </c>
      <c r="G68" s="7">
        <v>8.2444199999999999E-4</v>
      </c>
      <c r="H68" s="47"/>
    </row>
    <row r="69" spans="1:8" ht="17.100000000000001" customHeight="1" x14ac:dyDescent="0.2">
      <c r="A69" s="3">
        <v>63</v>
      </c>
      <c r="B69" s="4" t="s">
        <v>420</v>
      </c>
      <c r="C69" s="4" t="s">
        <v>421</v>
      </c>
      <c r="D69" s="4" t="s">
        <v>19</v>
      </c>
      <c r="E69" s="5">
        <v>1600</v>
      </c>
      <c r="F69" s="6">
        <v>26.5776</v>
      </c>
      <c r="G69" s="7">
        <v>6.9483399999999997E-4</v>
      </c>
      <c r="H69" s="47"/>
    </row>
    <row r="70" spans="1:8" ht="17.100000000000001" customHeight="1" x14ac:dyDescent="0.2">
      <c r="A70" s="3">
        <v>64</v>
      </c>
      <c r="B70" s="4" t="s">
        <v>210</v>
      </c>
      <c r="C70" s="4" t="s">
        <v>211</v>
      </c>
      <c r="D70" s="4" t="s">
        <v>16</v>
      </c>
      <c r="E70" s="5">
        <v>10800</v>
      </c>
      <c r="F70" s="6">
        <v>23.457599999999999</v>
      </c>
      <c r="G70" s="7">
        <v>6.1326600000000001E-4</v>
      </c>
      <c r="H70" s="47"/>
    </row>
    <row r="71" spans="1:8" ht="14.1" customHeight="1" x14ac:dyDescent="0.2">
      <c r="A71" s="1"/>
      <c r="B71" s="1"/>
      <c r="C71" s="2" t="s">
        <v>122</v>
      </c>
      <c r="D71" s="1"/>
      <c r="E71" s="1" t="s">
        <v>123</v>
      </c>
      <c r="F71" s="9">
        <v>25355.146817500015</v>
      </c>
      <c r="G71" s="10">
        <v>0.66287426700000007</v>
      </c>
      <c r="H71" s="47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47"/>
    </row>
    <row r="73" spans="1:8" ht="14.1" customHeight="1" x14ac:dyDescent="0.2">
      <c r="A73" s="1"/>
      <c r="B73" s="1"/>
      <c r="C73" s="2" t="s">
        <v>124</v>
      </c>
      <c r="D73" s="1"/>
      <c r="E73" s="1"/>
      <c r="F73" s="1"/>
      <c r="G73" s="1"/>
      <c r="H73" s="47"/>
    </row>
    <row r="74" spans="1:8" ht="14.1" customHeight="1" x14ac:dyDescent="0.2">
      <c r="A74" s="1"/>
      <c r="B74" s="1"/>
      <c r="C74" s="2" t="s">
        <v>122</v>
      </c>
      <c r="D74" s="1"/>
      <c r="E74" s="1" t="s">
        <v>123</v>
      </c>
      <c r="F74" s="13">
        <v>0</v>
      </c>
      <c r="G74" s="14">
        <v>0</v>
      </c>
      <c r="H74" s="47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47"/>
    </row>
    <row r="76" spans="1:8" ht="14.1" customHeight="1" x14ac:dyDescent="0.2">
      <c r="A76" s="1"/>
      <c r="B76" s="1"/>
      <c r="C76" s="2" t="s">
        <v>125</v>
      </c>
      <c r="D76" s="1"/>
      <c r="E76" s="1"/>
      <c r="F76" s="1"/>
      <c r="G76" s="1"/>
      <c r="H76" s="47"/>
    </row>
    <row r="77" spans="1:8" ht="14.1" customHeight="1" x14ac:dyDescent="0.2">
      <c r="A77" s="1"/>
      <c r="B77" s="1"/>
      <c r="C77" s="2" t="s">
        <v>122</v>
      </c>
      <c r="D77" s="1"/>
      <c r="E77" s="1" t="s">
        <v>123</v>
      </c>
      <c r="F77" s="13">
        <v>0</v>
      </c>
      <c r="G77" s="14">
        <v>0</v>
      </c>
      <c r="H77" s="47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47"/>
    </row>
    <row r="79" spans="1:8" ht="14.1" customHeight="1" x14ac:dyDescent="0.2">
      <c r="A79" s="1"/>
      <c r="B79" s="1"/>
      <c r="C79" s="2" t="s">
        <v>126</v>
      </c>
      <c r="D79" s="1"/>
      <c r="E79" s="1"/>
      <c r="F79" s="1"/>
      <c r="G79" s="1"/>
      <c r="H79" s="47"/>
    </row>
    <row r="80" spans="1:8" ht="14.1" customHeight="1" x14ac:dyDescent="0.2">
      <c r="A80" s="1"/>
      <c r="B80" s="1"/>
      <c r="C80" s="2" t="s">
        <v>122</v>
      </c>
      <c r="D80" s="1"/>
      <c r="E80" s="1" t="s">
        <v>123</v>
      </c>
      <c r="F80" s="9">
        <v>0</v>
      </c>
      <c r="G80" s="10">
        <v>0</v>
      </c>
      <c r="H80" s="47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47"/>
    </row>
    <row r="82" spans="1:8" ht="14.1" customHeight="1" x14ac:dyDescent="0.2">
      <c r="A82" s="1"/>
      <c r="B82" s="1"/>
      <c r="C82" s="2" t="s">
        <v>127</v>
      </c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122</v>
      </c>
      <c r="D83" s="1"/>
      <c r="E83" s="1" t="s">
        <v>123</v>
      </c>
      <c r="F83" s="13">
        <v>0</v>
      </c>
      <c r="G83" s="14">
        <v>0</v>
      </c>
      <c r="H83" s="47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128</v>
      </c>
      <c r="D85" s="1"/>
      <c r="E85" s="1"/>
      <c r="F85" s="12"/>
      <c r="G85" s="12"/>
      <c r="H85" s="47"/>
    </row>
    <row r="86" spans="1:8" ht="25.5" x14ac:dyDescent="0.2">
      <c r="A86" s="3">
        <v>1</v>
      </c>
      <c r="B86" s="4"/>
      <c r="C86" s="4" t="s">
        <v>996</v>
      </c>
      <c r="D86" s="4" t="s">
        <v>589</v>
      </c>
      <c r="E86" s="5">
        <v>-10800</v>
      </c>
      <c r="F86" s="6">
        <v>-23.511600000000001</v>
      </c>
      <c r="G86" s="7">
        <v>-6.1468000000000004E-4</v>
      </c>
      <c r="H86" s="47"/>
    </row>
    <row r="87" spans="1:8" x14ac:dyDescent="0.2">
      <c r="A87" s="3">
        <v>2</v>
      </c>
      <c r="B87" s="4"/>
      <c r="C87" s="4" t="s">
        <v>997</v>
      </c>
      <c r="D87" s="4" t="s">
        <v>589</v>
      </c>
      <c r="E87" s="5">
        <v>-1600</v>
      </c>
      <c r="F87" s="6">
        <v>-26.534400000000002</v>
      </c>
      <c r="G87" s="7">
        <v>-6.937E-4</v>
      </c>
      <c r="H87" s="47"/>
    </row>
    <row r="88" spans="1:8" x14ac:dyDescent="0.2">
      <c r="A88" s="3">
        <v>3</v>
      </c>
      <c r="B88" s="4"/>
      <c r="C88" s="4" t="s">
        <v>979</v>
      </c>
      <c r="D88" s="4" t="s">
        <v>589</v>
      </c>
      <c r="E88" s="5">
        <v>-9000</v>
      </c>
      <c r="F88" s="6">
        <v>-32.656500000000001</v>
      </c>
      <c r="G88" s="7">
        <v>-8.5375999999999996E-4</v>
      </c>
      <c r="H88" s="47"/>
    </row>
    <row r="89" spans="1:8" x14ac:dyDescent="0.2">
      <c r="A89" s="3">
        <v>4</v>
      </c>
      <c r="B89" s="4"/>
      <c r="C89" s="4" t="s">
        <v>978</v>
      </c>
      <c r="D89" s="4" t="s">
        <v>589</v>
      </c>
      <c r="E89" s="5">
        <v>-1650</v>
      </c>
      <c r="F89" s="6">
        <v>-59.792700000000004</v>
      </c>
      <c r="G89" s="7">
        <v>-1.5631999999999998E-3</v>
      </c>
      <c r="H89" s="47"/>
    </row>
    <row r="90" spans="1:8" x14ac:dyDescent="0.2">
      <c r="A90" s="3">
        <v>5</v>
      </c>
      <c r="B90" s="4"/>
      <c r="C90" s="4" t="s">
        <v>980</v>
      </c>
      <c r="D90" s="4" t="s">
        <v>589</v>
      </c>
      <c r="E90" s="5">
        <v>-8400</v>
      </c>
      <c r="F90" s="6">
        <v>-90.900599999999997</v>
      </c>
      <c r="G90" s="7">
        <v>-2.3764699999999999E-3</v>
      </c>
      <c r="H90" s="47"/>
    </row>
    <row r="91" spans="1:8" x14ac:dyDescent="0.2">
      <c r="A91" s="3">
        <v>6</v>
      </c>
      <c r="B91" s="4"/>
      <c r="C91" s="4" t="s">
        <v>998</v>
      </c>
      <c r="D91" s="4" t="s">
        <v>589</v>
      </c>
      <c r="E91" s="5">
        <v>-128700</v>
      </c>
      <c r="F91" s="6">
        <v>-125.67555</v>
      </c>
      <c r="G91" s="7">
        <v>-3.28561E-3</v>
      </c>
      <c r="H91" s="47"/>
    </row>
    <row r="92" spans="1:8" x14ac:dyDescent="0.2">
      <c r="A92" s="3">
        <v>7</v>
      </c>
      <c r="B92" s="4"/>
      <c r="C92" s="4" t="s">
        <v>965</v>
      </c>
      <c r="D92" s="4" t="s">
        <v>589</v>
      </c>
      <c r="E92" s="5">
        <v>-40000</v>
      </c>
      <c r="F92" s="6">
        <v>-130.78</v>
      </c>
      <c r="G92" s="7">
        <v>-3.4190599999999998E-3</v>
      </c>
      <c r="H92" s="47"/>
    </row>
    <row r="93" spans="1:8" x14ac:dyDescent="0.2">
      <c r="A93" s="3">
        <v>8</v>
      </c>
      <c r="B93" s="4"/>
      <c r="C93" s="4" t="s">
        <v>969</v>
      </c>
      <c r="D93" s="4" t="s">
        <v>589</v>
      </c>
      <c r="E93" s="5">
        <v>-1200</v>
      </c>
      <c r="F93" s="6">
        <v>-131.52780000000001</v>
      </c>
      <c r="G93" s="7">
        <v>-3.4386100000000004E-3</v>
      </c>
      <c r="H93" s="47"/>
    </row>
    <row r="94" spans="1:8" x14ac:dyDescent="0.2">
      <c r="A94" s="3">
        <v>9</v>
      </c>
      <c r="B94" s="4"/>
      <c r="C94" s="4" t="s">
        <v>956</v>
      </c>
      <c r="D94" s="4" t="s">
        <v>589</v>
      </c>
      <c r="E94" s="5">
        <v>-7125</v>
      </c>
      <c r="F94" s="6">
        <v>-137.95425</v>
      </c>
      <c r="G94" s="7">
        <v>-3.6066199999999996E-3</v>
      </c>
      <c r="H94" s="47"/>
    </row>
    <row r="95" spans="1:8" ht="25.5" x14ac:dyDescent="0.2">
      <c r="A95" s="3">
        <v>10</v>
      </c>
      <c r="B95" s="4"/>
      <c r="C95" s="4" t="s">
        <v>959</v>
      </c>
      <c r="D95" s="4" t="s">
        <v>589</v>
      </c>
      <c r="E95" s="5">
        <v>-26400</v>
      </c>
      <c r="F95" s="6">
        <v>-145.54320000000001</v>
      </c>
      <c r="G95" s="7">
        <v>-3.8050200000000001E-3</v>
      </c>
      <c r="H95" s="47"/>
    </row>
    <row r="96" spans="1:8" x14ac:dyDescent="0.2">
      <c r="A96" s="3">
        <v>11</v>
      </c>
      <c r="B96" s="4"/>
      <c r="C96" s="4" t="s">
        <v>999</v>
      </c>
      <c r="D96" s="4" t="s">
        <v>589</v>
      </c>
      <c r="E96" s="5">
        <v>-21600</v>
      </c>
      <c r="F96" s="6">
        <v>-152.97120000000001</v>
      </c>
      <c r="G96" s="7">
        <v>-3.9992100000000004E-3</v>
      </c>
      <c r="H96" s="47"/>
    </row>
    <row r="97" spans="1:8" x14ac:dyDescent="0.2">
      <c r="A97" s="3">
        <v>12</v>
      </c>
      <c r="B97" s="4"/>
      <c r="C97" s="4" t="s">
        <v>968</v>
      </c>
      <c r="D97" s="4" t="s">
        <v>589</v>
      </c>
      <c r="E97" s="5">
        <v>-6600</v>
      </c>
      <c r="F97" s="6">
        <v>-178.08779999999999</v>
      </c>
      <c r="G97" s="7">
        <v>-4.6558500000000004E-3</v>
      </c>
      <c r="H97" s="47"/>
    </row>
    <row r="98" spans="1:8" ht="25.5" x14ac:dyDescent="0.2">
      <c r="A98" s="3">
        <v>13</v>
      </c>
      <c r="B98" s="4"/>
      <c r="C98" s="4" t="s">
        <v>1000</v>
      </c>
      <c r="D98" s="4" t="s">
        <v>589</v>
      </c>
      <c r="E98" s="5">
        <v>-104000</v>
      </c>
      <c r="F98" s="6">
        <v>-179.19200000000001</v>
      </c>
      <c r="G98" s="7">
        <v>-4.6847199999999999E-3</v>
      </c>
      <c r="H98" s="47"/>
    </row>
    <row r="99" spans="1:8" x14ac:dyDescent="0.2">
      <c r="A99" s="3">
        <v>14</v>
      </c>
      <c r="B99" s="4"/>
      <c r="C99" s="4" t="s">
        <v>988</v>
      </c>
      <c r="D99" s="4" t="s">
        <v>589</v>
      </c>
      <c r="E99" s="5">
        <v>-60000</v>
      </c>
      <c r="F99" s="6">
        <v>-196.53</v>
      </c>
      <c r="G99" s="7">
        <v>-5.1380000000000002E-3</v>
      </c>
      <c r="H99" s="47"/>
    </row>
    <row r="100" spans="1:8" x14ac:dyDescent="0.2">
      <c r="A100" s="3">
        <v>15</v>
      </c>
      <c r="B100" s="4"/>
      <c r="C100" s="4" t="s">
        <v>973</v>
      </c>
      <c r="D100" s="4" t="s">
        <v>589</v>
      </c>
      <c r="E100" s="5">
        <v>-34800</v>
      </c>
      <c r="F100" s="6">
        <v>-221.57159999999999</v>
      </c>
      <c r="G100" s="7">
        <v>-5.7926699999999998E-3</v>
      </c>
      <c r="H100" s="47"/>
    </row>
    <row r="101" spans="1:8" ht="25.5" x14ac:dyDescent="0.2">
      <c r="A101" s="3">
        <v>16</v>
      </c>
      <c r="B101" s="4"/>
      <c r="C101" s="4" t="s">
        <v>1001</v>
      </c>
      <c r="D101" s="4" t="s">
        <v>589</v>
      </c>
      <c r="E101" s="5">
        <v>-11400</v>
      </c>
      <c r="F101" s="6">
        <v>-247.1748</v>
      </c>
      <c r="G101" s="7">
        <v>-6.4620299999999997E-3</v>
      </c>
      <c r="H101" s="47"/>
    </row>
    <row r="102" spans="1:8" x14ac:dyDescent="0.2">
      <c r="A102" s="3">
        <v>17</v>
      </c>
      <c r="B102" s="4"/>
      <c r="C102" s="4" t="s">
        <v>963</v>
      </c>
      <c r="D102" s="4" t="s">
        <v>589</v>
      </c>
      <c r="E102" s="5">
        <v>-29325</v>
      </c>
      <c r="F102" s="6">
        <v>-253.77855</v>
      </c>
      <c r="G102" s="7">
        <v>-6.6346799999999996E-3</v>
      </c>
      <c r="H102" s="47"/>
    </row>
    <row r="103" spans="1:8" x14ac:dyDescent="0.2">
      <c r="A103" s="3">
        <v>18</v>
      </c>
      <c r="B103" s="4"/>
      <c r="C103" s="4" t="s">
        <v>994</v>
      </c>
      <c r="D103" s="4" t="s">
        <v>589</v>
      </c>
      <c r="E103" s="5">
        <v>-40000</v>
      </c>
      <c r="F103" s="6">
        <v>-304.38</v>
      </c>
      <c r="G103" s="7">
        <v>-7.9575799999999988E-3</v>
      </c>
      <c r="H103" s="47"/>
    </row>
    <row r="104" spans="1:8" x14ac:dyDescent="0.2">
      <c r="A104" s="3">
        <v>19</v>
      </c>
      <c r="B104" s="4"/>
      <c r="C104" s="4" t="s">
        <v>1002</v>
      </c>
      <c r="D104" s="4" t="s">
        <v>589</v>
      </c>
      <c r="E104" s="5">
        <v>-220000</v>
      </c>
      <c r="F104" s="6">
        <v>-322.08</v>
      </c>
      <c r="G104" s="7">
        <v>-8.4203200000000002E-3</v>
      </c>
      <c r="H104" s="47"/>
    </row>
    <row r="105" spans="1:8" ht="25.5" x14ac:dyDescent="0.2">
      <c r="A105" s="3">
        <v>20</v>
      </c>
      <c r="B105" s="4"/>
      <c r="C105" s="4" t="s">
        <v>1003</v>
      </c>
      <c r="D105" s="4" t="s">
        <v>589</v>
      </c>
      <c r="E105" s="5">
        <v>-9750</v>
      </c>
      <c r="F105" s="6">
        <v>-388.39612499999998</v>
      </c>
      <c r="G105" s="7">
        <v>-1.0154059999999999E-2</v>
      </c>
      <c r="H105" s="47"/>
    </row>
    <row r="106" spans="1:8" x14ac:dyDescent="0.2">
      <c r="A106" s="3">
        <v>21</v>
      </c>
      <c r="B106" s="4"/>
      <c r="C106" s="4" t="s">
        <v>992</v>
      </c>
      <c r="D106" s="4" t="s">
        <v>589</v>
      </c>
      <c r="E106" s="5">
        <v>-88500</v>
      </c>
      <c r="F106" s="6">
        <v>-411.34800000000001</v>
      </c>
      <c r="G106" s="7">
        <v>-1.0754109999999999E-2</v>
      </c>
      <c r="H106" s="47"/>
    </row>
    <row r="107" spans="1:8" x14ac:dyDescent="0.2">
      <c r="A107" s="3">
        <v>22</v>
      </c>
      <c r="B107" s="4"/>
      <c r="C107" s="4" t="s">
        <v>974</v>
      </c>
      <c r="D107" s="4" t="s">
        <v>589</v>
      </c>
      <c r="E107" s="5">
        <v>-13125</v>
      </c>
      <c r="F107" s="6">
        <v>-708.31687499999998</v>
      </c>
      <c r="G107" s="7">
        <v>-1.851794E-2</v>
      </c>
      <c r="H107" s="47"/>
    </row>
    <row r="108" spans="1:8" x14ac:dyDescent="0.2">
      <c r="A108" s="3">
        <v>23</v>
      </c>
      <c r="B108" s="4"/>
      <c r="C108" s="4" t="s">
        <v>966</v>
      </c>
      <c r="D108" s="4" t="s">
        <v>589</v>
      </c>
      <c r="E108" s="5">
        <v>-56100</v>
      </c>
      <c r="F108" s="6">
        <v>-821.97720000000004</v>
      </c>
      <c r="G108" s="7">
        <v>-2.148943E-2</v>
      </c>
      <c r="H108" s="47"/>
    </row>
    <row r="109" spans="1:8" x14ac:dyDescent="0.2">
      <c r="A109" s="3">
        <v>24</v>
      </c>
      <c r="B109" s="4"/>
      <c r="C109" s="4" t="s">
        <v>993</v>
      </c>
      <c r="D109" s="4" t="s">
        <v>589</v>
      </c>
      <c r="E109" s="5">
        <v>-42600</v>
      </c>
      <c r="F109" s="6">
        <v>-951.79049999999995</v>
      </c>
      <c r="G109" s="7">
        <v>-2.4883209999999999E-2</v>
      </c>
      <c r="H109" s="47"/>
    </row>
    <row r="110" spans="1:8" x14ac:dyDescent="0.2">
      <c r="A110" s="3">
        <v>25</v>
      </c>
      <c r="B110" s="4"/>
      <c r="C110" s="4" t="s">
        <v>964</v>
      </c>
      <c r="D110" s="4" t="s">
        <v>589</v>
      </c>
      <c r="E110" s="5">
        <v>-145750</v>
      </c>
      <c r="F110" s="6">
        <v>-1032.7845</v>
      </c>
      <c r="G110" s="7">
        <v>-2.7000679999999999E-2</v>
      </c>
      <c r="H110" s="47"/>
    </row>
    <row r="111" spans="1:8" x14ac:dyDescent="0.2">
      <c r="A111" s="3">
        <v>26</v>
      </c>
      <c r="B111" s="4"/>
      <c r="C111" s="4" t="s">
        <v>957</v>
      </c>
      <c r="D111" s="4" t="s">
        <v>589</v>
      </c>
      <c r="E111" s="5">
        <v>-132600</v>
      </c>
      <c r="F111" s="6">
        <v>-1288.1427000000001</v>
      </c>
      <c r="G111" s="7">
        <v>-3.3676659999999997E-2</v>
      </c>
      <c r="H111" s="47"/>
    </row>
    <row r="112" spans="1:8" x14ac:dyDescent="0.2">
      <c r="A112" s="3">
        <v>27</v>
      </c>
      <c r="B112" s="4"/>
      <c r="C112" s="4" t="s">
        <v>975</v>
      </c>
      <c r="D112" s="4" t="s">
        <v>589</v>
      </c>
      <c r="E112" s="5">
        <v>-156200</v>
      </c>
      <c r="F112" s="6">
        <v>-2101.2804999999998</v>
      </c>
      <c r="G112" s="7">
        <v>-5.4934989999999996E-2</v>
      </c>
      <c r="H112" s="47"/>
    </row>
    <row r="113" spans="1:8" ht="14.1" customHeight="1" x14ac:dyDescent="0.2">
      <c r="A113" s="1"/>
      <c r="B113" s="1"/>
      <c r="C113" s="2" t="s">
        <v>122</v>
      </c>
      <c r="D113" s="1"/>
      <c r="E113" s="1" t="s">
        <v>123</v>
      </c>
      <c r="F113" s="9">
        <v>-10664.67895</v>
      </c>
      <c r="G113" s="10">
        <v>-0.27881286599999999</v>
      </c>
      <c r="H113" s="47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47"/>
    </row>
    <row r="115" spans="1:8" ht="18" customHeight="1" x14ac:dyDescent="0.2">
      <c r="A115" s="1"/>
      <c r="B115" s="1"/>
      <c r="C115" s="2" t="s">
        <v>129</v>
      </c>
      <c r="D115" s="1"/>
      <c r="E115" s="1"/>
      <c r="F115" s="9">
        <v>25355.146817500015</v>
      </c>
      <c r="G115" s="10">
        <v>0.66287426700000007</v>
      </c>
      <c r="H115" s="47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47"/>
    </row>
    <row r="117" spans="1:8" ht="14.1" customHeight="1" x14ac:dyDescent="0.2">
      <c r="A117" s="1"/>
      <c r="B117" s="1"/>
      <c r="C117" s="2" t="s">
        <v>130</v>
      </c>
      <c r="D117" s="1"/>
      <c r="E117" s="1"/>
      <c r="F117" s="12"/>
      <c r="G117" s="12"/>
      <c r="H117" s="47"/>
    </row>
    <row r="118" spans="1:8" ht="24" customHeight="1" x14ac:dyDescent="0.2">
      <c r="A118" s="1"/>
      <c r="B118" s="1"/>
      <c r="C118" s="2" t="s">
        <v>10</v>
      </c>
      <c r="D118" s="1"/>
      <c r="E118" s="1"/>
      <c r="F118" s="12"/>
      <c r="G118" s="12"/>
      <c r="H118" s="47"/>
    </row>
    <row r="119" spans="1:8" ht="29.1" customHeight="1" x14ac:dyDescent="0.2">
      <c r="A119" s="3">
        <v>1</v>
      </c>
      <c r="B119" s="4" t="s">
        <v>635</v>
      </c>
      <c r="C119" s="4" t="s">
        <v>636</v>
      </c>
      <c r="D119" s="4" t="s">
        <v>637</v>
      </c>
      <c r="E119" s="5">
        <v>50</v>
      </c>
      <c r="F119" s="6">
        <v>492.065</v>
      </c>
      <c r="G119" s="7">
        <v>1.286434E-2</v>
      </c>
      <c r="H119" s="47">
        <v>6.91</v>
      </c>
    </row>
    <row r="120" spans="1:8" ht="17.100000000000001" customHeight="1" x14ac:dyDescent="0.2">
      <c r="A120" s="3">
        <v>2</v>
      </c>
      <c r="B120" s="4" t="s">
        <v>638</v>
      </c>
      <c r="C120" s="4" t="s">
        <v>639</v>
      </c>
      <c r="D120" s="4" t="s">
        <v>618</v>
      </c>
      <c r="E120" s="5">
        <v>20</v>
      </c>
      <c r="F120" s="6">
        <v>201.93360000000001</v>
      </c>
      <c r="G120" s="7">
        <v>5.2792669999999998E-3</v>
      </c>
      <c r="H120" s="47">
        <v>6.2649999999999997</v>
      </c>
    </row>
    <row r="121" spans="1:8" ht="29.1" customHeight="1" x14ac:dyDescent="0.2">
      <c r="A121" s="3">
        <v>3</v>
      </c>
      <c r="B121" s="4" t="s">
        <v>640</v>
      </c>
      <c r="C121" s="4" t="s">
        <v>641</v>
      </c>
      <c r="D121" s="4" t="s">
        <v>618</v>
      </c>
      <c r="E121" s="5">
        <v>5</v>
      </c>
      <c r="F121" s="6">
        <v>51.019950000000001</v>
      </c>
      <c r="G121" s="7">
        <v>1.333844E-3</v>
      </c>
      <c r="H121" s="47">
        <v>6.91</v>
      </c>
    </row>
    <row r="122" spans="1:8" ht="17.100000000000001" customHeight="1" x14ac:dyDescent="0.2">
      <c r="A122" s="3">
        <v>4</v>
      </c>
      <c r="B122" s="4" t="s">
        <v>642</v>
      </c>
      <c r="C122" s="4" t="s">
        <v>643</v>
      </c>
      <c r="D122" s="4" t="s">
        <v>618</v>
      </c>
      <c r="E122" s="5">
        <v>5</v>
      </c>
      <c r="F122" s="6">
        <v>50.81</v>
      </c>
      <c r="G122" s="7">
        <v>1.328355E-3</v>
      </c>
      <c r="H122" s="47">
        <v>6.4249999999999998</v>
      </c>
    </row>
    <row r="123" spans="1:8" ht="17.100000000000001" customHeight="1" x14ac:dyDescent="0.2">
      <c r="A123" s="3">
        <v>5</v>
      </c>
      <c r="B123" s="4" t="s">
        <v>644</v>
      </c>
      <c r="C123" s="4" t="s">
        <v>645</v>
      </c>
      <c r="D123" s="4" t="s">
        <v>618</v>
      </c>
      <c r="E123" s="5">
        <v>5</v>
      </c>
      <c r="F123" s="6">
        <v>50.255400000000002</v>
      </c>
      <c r="G123" s="7">
        <v>1.313856E-3</v>
      </c>
      <c r="H123" s="47">
        <v>5.9749999999999996</v>
      </c>
    </row>
    <row r="124" spans="1:8" ht="29.1" customHeight="1" x14ac:dyDescent="0.2">
      <c r="A124" s="3">
        <v>6</v>
      </c>
      <c r="B124" s="4" t="s">
        <v>646</v>
      </c>
      <c r="C124" s="4" t="s">
        <v>647</v>
      </c>
      <c r="D124" s="4" t="s">
        <v>648</v>
      </c>
      <c r="E124" s="5">
        <v>5</v>
      </c>
      <c r="F124" s="6">
        <v>49.825200000000002</v>
      </c>
      <c r="G124" s="7">
        <v>1.3026089999999999E-3</v>
      </c>
      <c r="H124" s="47">
        <v>6.73</v>
      </c>
    </row>
    <row r="125" spans="1:8" ht="29.1" customHeight="1" x14ac:dyDescent="0.2">
      <c r="A125" s="3">
        <v>7</v>
      </c>
      <c r="B125" s="4" t="s">
        <v>616</v>
      </c>
      <c r="C125" s="4" t="s">
        <v>617</v>
      </c>
      <c r="D125" s="4" t="s">
        <v>618</v>
      </c>
      <c r="E125" s="5">
        <v>1640</v>
      </c>
      <c r="F125" s="6">
        <v>0.46144024</v>
      </c>
      <c r="G125" s="8" t="s">
        <v>121</v>
      </c>
      <c r="H125" s="47">
        <v>7.2050000000000001</v>
      </c>
    </row>
    <row r="126" spans="1:8" ht="14.1" customHeight="1" x14ac:dyDescent="0.2">
      <c r="A126" s="1"/>
      <c r="B126" s="1"/>
      <c r="C126" s="2" t="s">
        <v>122</v>
      </c>
      <c r="D126" s="1"/>
      <c r="E126" s="1" t="s">
        <v>123</v>
      </c>
      <c r="F126" s="9">
        <v>896.37059023999996</v>
      </c>
      <c r="G126" s="10">
        <v>2.3434335000000001E-2</v>
      </c>
      <c r="H126" s="47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47"/>
    </row>
    <row r="128" spans="1:8" ht="14.1" customHeight="1" x14ac:dyDescent="0.2">
      <c r="A128" s="1"/>
      <c r="B128" s="1"/>
      <c r="C128" s="2" t="s">
        <v>131</v>
      </c>
      <c r="D128" s="1"/>
      <c r="E128" s="1"/>
      <c r="F128" s="1"/>
      <c r="G128" s="1"/>
      <c r="H128" s="47"/>
    </row>
    <row r="129" spans="1:8" ht="14.1" customHeight="1" x14ac:dyDescent="0.2">
      <c r="A129" s="1"/>
      <c r="B129" s="1"/>
      <c r="C129" s="2" t="s">
        <v>122</v>
      </c>
      <c r="D129" s="1"/>
      <c r="E129" s="1" t="s">
        <v>123</v>
      </c>
      <c r="F129" s="13">
        <v>0</v>
      </c>
      <c r="G129" s="14">
        <v>0</v>
      </c>
      <c r="H129" s="47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47"/>
    </row>
    <row r="131" spans="1:8" ht="14.1" customHeight="1" x14ac:dyDescent="0.2">
      <c r="A131" s="1"/>
      <c r="B131" s="1"/>
      <c r="C131" s="2" t="s">
        <v>132</v>
      </c>
      <c r="D131" s="1"/>
      <c r="E131" s="1"/>
      <c r="F131" s="1"/>
      <c r="G131" s="1"/>
      <c r="H131" s="47"/>
    </row>
    <row r="132" spans="1:8" ht="29.1" customHeight="1" x14ac:dyDescent="0.2">
      <c r="A132" s="3">
        <v>1</v>
      </c>
      <c r="B132" s="4" t="s">
        <v>649</v>
      </c>
      <c r="C132" s="4" t="s">
        <v>650</v>
      </c>
      <c r="D132" s="4" t="s">
        <v>591</v>
      </c>
      <c r="E132" s="5">
        <v>1500000</v>
      </c>
      <c r="F132" s="6">
        <v>1431.8340000000001</v>
      </c>
      <c r="G132" s="7">
        <v>3.7433264000000001E-2</v>
      </c>
      <c r="H132" s="47">
        <v>6.9459</v>
      </c>
    </row>
    <row r="133" spans="1:8" ht="29.1" customHeight="1" x14ac:dyDescent="0.2">
      <c r="A133" s="3">
        <v>2</v>
      </c>
      <c r="B133" s="4" t="s">
        <v>651</v>
      </c>
      <c r="C133" s="4" t="s">
        <v>652</v>
      </c>
      <c r="D133" s="4" t="s">
        <v>591</v>
      </c>
      <c r="E133" s="5">
        <v>500000</v>
      </c>
      <c r="F133" s="6">
        <v>471.714</v>
      </c>
      <c r="G133" s="7">
        <v>1.2332292E-2</v>
      </c>
      <c r="H133" s="47">
        <v>7.0701999999999998</v>
      </c>
    </row>
    <row r="134" spans="1:8" ht="29.1" customHeight="1" x14ac:dyDescent="0.2">
      <c r="A134" s="3">
        <v>3</v>
      </c>
      <c r="B134" s="4" t="s">
        <v>653</v>
      </c>
      <c r="C134" s="4" t="s">
        <v>654</v>
      </c>
      <c r="D134" s="4" t="s">
        <v>591</v>
      </c>
      <c r="E134" s="5">
        <v>100000</v>
      </c>
      <c r="F134" s="6">
        <v>102.3229</v>
      </c>
      <c r="G134" s="7">
        <v>2.675087E-3</v>
      </c>
      <c r="H134" s="47">
        <v>7.2350000000000003</v>
      </c>
    </row>
    <row r="135" spans="1:8" ht="29.1" customHeight="1" x14ac:dyDescent="0.2">
      <c r="A135" s="3">
        <v>4</v>
      </c>
      <c r="B135" s="4" t="s">
        <v>655</v>
      </c>
      <c r="C135" s="4" t="s">
        <v>656</v>
      </c>
      <c r="D135" s="4" t="s">
        <v>591</v>
      </c>
      <c r="E135" s="5">
        <v>50000</v>
      </c>
      <c r="F135" s="6">
        <v>49.390349999999998</v>
      </c>
      <c r="G135" s="7">
        <v>1.2912399999999999E-3</v>
      </c>
      <c r="H135" s="47">
        <v>6.7465000000000002</v>
      </c>
    </row>
    <row r="136" spans="1:8" ht="14.1" customHeight="1" x14ac:dyDescent="0.2">
      <c r="A136" s="1"/>
      <c r="B136" s="1"/>
      <c r="C136" s="2" t="s">
        <v>122</v>
      </c>
      <c r="D136" s="1"/>
      <c r="E136" s="1" t="s">
        <v>123</v>
      </c>
      <c r="F136" s="9">
        <v>2055.26125</v>
      </c>
      <c r="G136" s="10">
        <v>5.3731883000000001E-2</v>
      </c>
      <c r="H136" s="47"/>
    </row>
    <row r="137" spans="1:8" ht="14.1" customHeight="1" x14ac:dyDescent="0.2">
      <c r="A137" s="1"/>
      <c r="B137" s="1"/>
      <c r="C137" s="11"/>
      <c r="D137" s="1"/>
      <c r="E137" s="1"/>
      <c r="F137" s="12"/>
      <c r="G137" s="12"/>
      <c r="H137" s="47"/>
    </row>
    <row r="138" spans="1:8" ht="14.1" customHeight="1" x14ac:dyDescent="0.2">
      <c r="A138" s="1"/>
      <c r="B138" s="1"/>
      <c r="C138" s="2" t="s">
        <v>133</v>
      </c>
      <c r="D138" s="1"/>
      <c r="E138" s="1"/>
      <c r="F138" s="12"/>
      <c r="G138" s="12"/>
      <c r="H138" s="47"/>
    </row>
    <row r="139" spans="1:8" ht="14.1" customHeight="1" x14ac:dyDescent="0.2">
      <c r="A139" s="1"/>
      <c r="B139" s="1"/>
      <c r="C139" s="2" t="s">
        <v>122</v>
      </c>
      <c r="D139" s="1"/>
      <c r="E139" s="1" t="s">
        <v>123</v>
      </c>
      <c r="F139" s="13">
        <v>0</v>
      </c>
      <c r="G139" s="14">
        <v>0</v>
      </c>
      <c r="H139" s="47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47"/>
    </row>
    <row r="141" spans="1:8" ht="14.1" customHeight="1" x14ac:dyDescent="0.2">
      <c r="A141" s="1"/>
      <c r="B141" s="1"/>
      <c r="C141" s="2" t="s">
        <v>134</v>
      </c>
      <c r="D141" s="1"/>
      <c r="E141" s="1"/>
      <c r="F141" s="9">
        <v>2951.6318402400002</v>
      </c>
      <c r="G141" s="10">
        <v>7.7166217999999995E-2</v>
      </c>
      <c r="H141" s="47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47"/>
    </row>
    <row r="143" spans="1:8" ht="14.1" customHeight="1" x14ac:dyDescent="0.2">
      <c r="A143" s="1"/>
      <c r="B143" s="1"/>
      <c r="C143" s="2" t="s">
        <v>135</v>
      </c>
      <c r="D143" s="1"/>
      <c r="E143" s="1"/>
      <c r="F143" s="12"/>
      <c r="G143" s="12"/>
      <c r="H143" s="47"/>
    </row>
    <row r="144" spans="1:8" ht="14.1" customHeight="1" x14ac:dyDescent="0.2">
      <c r="A144" s="1"/>
      <c r="B144" s="1"/>
      <c r="C144" s="2" t="s">
        <v>136</v>
      </c>
      <c r="D144" s="1"/>
      <c r="E144" s="1"/>
      <c r="F144" s="12"/>
      <c r="G144" s="12"/>
      <c r="H144" s="47"/>
    </row>
    <row r="145" spans="1:8" ht="14.1" customHeight="1" x14ac:dyDescent="0.2">
      <c r="A145" s="1"/>
      <c r="B145" s="1"/>
      <c r="C145" s="2" t="s">
        <v>122</v>
      </c>
      <c r="D145" s="1"/>
      <c r="E145" s="1" t="s">
        <v>123</v>
      </c>
      <c r="F145" s="13">
        <v>0</v>
      </c>
      <c r="G145" s="14">
        <v>0</v>
      </c>
      <c r="H145" s="47"/>
    </row>
    <row r="146" spans="1:8" ht="14.1" customHeight="1" x14ac:dyDescent="0.2">
      <c r="A146" s="1"/>
      <c r="B146" s="1"/>
      <c r="C146" s="11"/>
      <c r="D146" s="1"/>
      <c r="E146" s="1"/>
      <c r="F146" s="12"/>
      <c r="G146" s="12"/>
      <c r="H146" s="47"/>
    </row>
    <row r="147" spans="1:8" ht="14.1" customHeight="1" x14ac:dyDescent="0.2">
      <c r="A147" s="1"/>
      <c r="B147" s="1"/>
      <c r="C147" s="2" t="s">
        <v>137</v>
      </c>
      <c r="D147" s="1"/>
      <c r="E147" s="1"/>
      <c r="F147" s="12"/>
      <c r="G147" s="12"/>
      <c r="H147" s="47"/>
    </row>
    <row r="148" spans="1:8" ht="14.1" customHeight="1" x14ac:dyDescent="0.2">
      <c r="A148" s="1"/>
      <c r="B148" s="1"/>
      <c r="C148" s="2" t="s">
        <v>122</v>
      </c>
      <c r="D148" s="1"/>
      <c r="E148" s="1" t="s">
        <v>123</v>
      </c>
      <c r="F148" s="13">
        <v>0</v>
      </c>
      <c r="G148" s="14">
        <v>0</v>
      </c>
      <c r="H148" s="47"/>
    </row>
    <row r="149" spans="1:8" ht="14.1" customHeight="1" x14ac:dyDescent="0.2">
      <c r="A149" s="1"/>
      <c r="B149" s="1"/>
      <c r="C149" s="11"/>
      <c r="D149" s="1"/>
      <c r="E149" s="1"/>
      <c r="F149" s="12"/>
      <c r="G149" s="12"/>
      <c r="H149" s="47"/>
    </row>
    <row r="150" spans="1:8" ht="14.1" customHeight="1" x14ac:dyDescent="0.2">
      <c r="A150" s="1"/>
      <c r="B150" s="1"/>
      <c r="C150" s="2" t="s">
        <v>138</v>
      </c>
      <c r="D150" s="1"/>
      <c r="E150" s="1"/>
      <c r="F150" s="12"/>
      <c r="G150" s="12"/>
      <c r="H150" s="47"/>
    </row>
    <row r="151" spans="1:8" ht="17.100000000000001" customHeight="1" x14ac:dyDescent="0.2">
      <c r="A151" s="3">
        <v>1</v>
      </c>
      <c r="B151" s="4" t="s">
        <v>657</v>
      </c>
      <c r="C151" s="4" t="s">
        <v>950</v>
      </c>
      <c r="D151" s="4" t="s">
        <v>591</v>
      </c>
      <c r="E151" s="5">
        <v>1000000</v>
      </c>
      <c r="F151" s="6">
        <v>991.55</v>
      </c>
      <c r="G151" s="7">
        <v>2.5922665000000001E-2</v>
      </c>
      <c r="H151" s="47">
        <v>5.0170000000000003</v>
      </c>
    </row>
    <row r="152" spans="1:8" ht="17.100000000000001" customHeight="1" x14ac:dyDescent="0.2">
      <c r="A152" s="3">
        <v>2</v>
      </c>
      <c r="B152" s="4" t="s">
        <v>658</v>
      </c>
      <c r="C152" s="4" t="s">
        <v>951</v>
      </c>
      <c r="D152" s="4" t="s">
        <v>591</v>
      </c>
      <c r="E152" s="5">
        <v>1000000</v>
      </c>
      <c r="F152" s="6">
        <v>990.63599999999997</v>
      </c>
      <c r="G152" s="7">
        <v>2.5898770000000002E-2</v>
      </c>
      <c r="H152" s="47">
        <v>5</v>
      </c>
    </row>
    <row r="153" spans="1:8" ht="14.1" customHeight="1" x14ac:dyDescent="0.2">
      <c r="A153" s="1"/>
      <c r="B153" s="1"/>
      <c r="C153" s="2" t="s">
        <v>122</v>
      </c>
      <c r="D153" s="1"/>
      <c r="E153" s="1" t="s">
        <v>123</v>
      </c>
      <c r="F153" s="9">
        <v>1982.1859999999999</v>
      </c>
      <c r="G153" s="10">
        <v>5.1821434999999999E-2</v>
      </c>
      <c r="H153" s="47"/>
    </row>
    <row r="154" spans="1:8" ht="14.1" customHeight="1" x14ac:dyDescent="0.2">
      <c r="A154" s="1"/>
      <c r="B154" s="1"/>
      <c r="C154" s="11"/>
      <c r="D154" s="1"/>
      <c r="E154" s="1"/>
      <c r="F154" s="12"/>
      <c r="G154" s="12"/>
      <c r="H154" s="47"/>
    </row>
    <row r="155" spans="1:8" ht="14.1" customHeight="1" x14ac:dyDescent="0.2">
      <c r="A155" s="1"/>
      <c r="B155" s="1"/>
      <c r="C155" s="2" t="s">
        <v>139</v>
      </c>
      <c r="D155" s="1"/>
      <c r="E155" s="1"/>
      <c r="F155" s="12"/>
      <c r="G155" s="12"/>
      <c r="H155" s="47"/>
    </row>
    <row r="156" spans="1:8" ht="17.100000000000001" customHeight="1" x14ac:dyDescent="0.2">
      <c r="A156" s="3">
        <v>1</v>
      </c>
      <c r="B156" s="4"/>
      <c r="C156" s="4" t="s">
        <v>140</v>
      </c>
      <c r="D156" s="4"/>
      <c r="E156" s="8"/>
      <c r="F156" s="6">
        <v>5405.3221591000001</v>
      </c>
      <c r="G156" s="7">
        <v>0.141314462</v>
      </c>
      <c r="H156" s="47">
        <v>4.6730752161314033</v>
      </c>
    </row>
    <row r="157" spans="1:8" ht="14.1" customHeight="1" x14ac:dyDescent="0.2">
      <c r="A157" s="1"/>
      <c r="B157" s="1"/>
      <c r="C157" s="2" t="s">
        <v>122</v>
      </c>
      <c r="D157" s="1"/>
      <c r="E157" s="1" t="s">
        <v>123</v>
      </c>
      <c r="F157" s="9">
        <v>5405.3221591000001</v>
      </c>
      <c r="G157" s="10">
        <v>0.141314462</v>
      </c>
      <c r="H157" s="47"/>
    </row>
    <row r="158" spans="1:8" ht="14.1" customHeight="1" x14ac:dyDescent="0.2">
      <c r="A158" s="1"/>
      <c r="B158" s="1"/>
      <c r="C158" s="11"/>
      <c r="D158" s="1"/>
      <c r="E158" s="1"/>
      <c r="F158" s="12"/>
      <c r="G158" s="12"/>
      <c r="H158" s="47"/>
    </row>
    <row r="159" spans="1:8" ht="14.1" customHeight="1" x14ac:dyDescent="0.2">
      <c r="A159" s="1"/>
      <c r="B159" s="1"/>
      <c r="C159" s="2" t="s">
        <v>141</v>
      </c>
      <c r="D159" s="1"/>
      <c r="E159" s="1"/>
      <c r="F159" s="9">
        <v>7387.5081590999998</v>
      </c>
      <c r="G159" s="10">
        <v>0.193135897</v>
      </c>
      <c r="H159" s="47"/>
    </row>
    <row r="160" spans="1:8" ht="14.1" customHeight="1" x14ac:dyDescent="0.2">
      <c r="A160" s="1"/>
      <c r="B160" s="1"/>
      <c r="C160" s="12"/>
      <c r="D160" s="1"/>
      <c r="E160" s="1"/>
      <c r="F160" s="1"/>
      <c r="G160" s="1"/>
      <c r="H160" s="47"/>
    </row>
    <row r="161" spans="1:8" ht="14.1" customHeight="1" x14ac:dyDescent="0.2">
      <c r="A161" s="1"/>
      <c r="B161" s="1"/>
      <c r="C161" s="2" t="s">
        <v>142</v>
      </c>
      <c r="D161" s="1"/>
      <c r="E161" s="1"/>
      <c r="F161" s="1"/>
      <c r="G161" s="1"/>
      <c r="H161" s="47"/>
    </row>
    <row r="162" spans="1:8" ht="14.1" customHeight="1" x14ac:dyDescent="0.2">
      <c r="A162" s="1"/>
      <c r="B162" s="1"/>
      <c r="C162" s="2" t="s">
        <v>143</v>
      </c>
      <c r="D162" s="1"/>
      <c r="E162" s="1"/>
      <c r="F162" s="1"/>
      <c r="G162" s="1"/>
      <c r="H162" s="47"/>
    </row>
    <row r="163" spans="1:8" ht="14.1" customHeight="1" x14ac:dyDescent="0.2">
      <c r="A163" s="1"/>
      <c r="B163" s="1"/>
      <c r="C163" s="2" t="s">
        <v>122</v>
      </c>
      <c r="D163" s="1"/>
      <c r="E163" s="1" t="s">
        <v>123</v>
      </c>
      <c r="F163" s="13">
        <v>0</v>
      </c>
      <c r="G163" s="14">
        <v>0</v>
      </c>
      <c r="H163" s="47"/>
    </row>
    <row r="164" spans="1:8" ht="14.1" customHeight="1" x14ac:dyDescent="0.2">
      <c r="A164" s="1"/>
      <c r="B164" s="1"/>
      <c r="C164" s="11"/>
      <c r="D164" s="1"/>
      <c r="E164" s="1"/>
      <c r="F164" s="12"/>
      <c r="G164" s="12"/>
      <c r="H164" s="47"/>
    </row>
    <row r="165" spans="1:8" ht="14.1" customHeight="1" x14ac:dyDescent="0.2">
      <c r="A165" s="1"/>
      <c r="B165" s="1"/>
      <c r="C165" s="2" t="s">
        <v>144</v>
      </c>
      <c r="D165" s="1"/>
      <c r="E165" s="1"/>
      <c r="F165" s="1"/>
      <c r="G165" s="1"/>
      <c r="H165" s="47"/>
    </row>
    <row r="166" spans="1:8" ht="14.1" customHeight="1" x14ac:dyDescent="0.2">
      <c r="A166" s="1"/>
      <c r="B166" s="1"/>
      <c r="C166" s="2" t="s">
        <v>145</v>
      </c>
      <c r="D166" s="1"/>
      <c r="E166" s="1"/>
      <c r="F166" s="1"/>
      <c r="G166" s="1"/>
      <c r="H166" s="47"/>
    </row>
    <row r="167" spans="1:8" ht="14.1" customHeight="1" x14ac:dyDescent="0.2">
      <c r="A167" s="1"/>
      <c r="B167" s="1"/>
      <c r="C167" s="2" t="s">
        <v>122</v>
      </c>
      <c r="D167" s="1"/>
      <c r="E167" s="1" t="s">
        <v>123</v>
      </c>
      <c r="F167" s="13">
        <v>0</v>
      </c>
      <c r="G167" s="14">
        <v>0</v>
      </c>
      <c r="H167" s="47"/>
    </row>
    <row r="168" spans="1:8" ht="14.1" customHeight="1" x14ac:dyDescent="0.2">
      <c r="A168" s="1"/>
      <c r="B168" s="1"/>
      <c r="C168" s="11"/>
      <c r="D168" s="1"/>
      <c r="E168" s="1"/>
      <c r="F168" s="12"/>
      <c r="G168" s="12"/>
      <c r="H168" s="47"/>
    </row>
    <row r="169" spans="1:8" ht="14.1" customHeight="1" x14ac:dyDescent="0.2">
      <c r="A169" s="1"/>
      <c r="B169" s="1"/>
      <c r="C169" s="11"/>
      <c r="D169" s="1"/>
      <c r="E169" s="1"/>
      <c r="F169" s="12"/>
      <c r="G169" s="12"/>
      <c r="H169" s="47"/>
    </row>
    <row r="170" spans="1:8" ht="24" customHeight="1" x14ac:dyDescent="0.2">
      <c r="A170" s="1"/>
      <c r="B170" s="1"/>
      <c r="C170" s="2" t="s">
        <v>146</v>
      </c>
      <c r="D170" s="1"/>
      <c r="E170" s="1"/>
      <c r="F170" s="12"/>
      <c r="G170" s="12"/>
      <c r="H170" s="47"/>
    </row>
    <row r="171" spans="1:8" ht="14.1" customHeight="1" x14ac:dyDescent="0.2">
      <c r="A171" s="1"/>
      <c r="B171" s="1"/>
      <c r="C171" s="2" t="s">
        <v>122</v>
      </c>
      <c r="D171" s="1"/>
      <c r="E171" s="1" t="s">
        <v>123</v>
      </c>
      <c r="F171" s="13">
        <v>0</v>
      </c>
      <c r="G171" s="14">
        <v>0</v>
      </c>
      <c r="H171" s="47"/>
    </row>
    <row r="172" spans="1:8" ht="14.1" customHeight="1" x14ac:dyDescent="0.2">
      <c r="A172" s="1"/>
      <c r="B172" s="1"/>
      <c r="C172" s="11"/>
      <c r="D172" s="1"/>
      <c r="E172" s="1"/>
      <c r="F172" s="12"/>
      <c r="G172" s="12"/>
      <c r="H172" s="47"/>
    </row>
    <row r="173" spans="1:8" ht="18" customHeight="1" x14ac:dyDescent="0.2">
      <c r="A173" s="8"/>
      <c r="B173" s="4"/>
      <c r="C173" s="4" t="s">
        <v>593</v>
      </c>
      <c r="D173" s="4"/>
      <c r="E173" s="8"/>
      <c r="F173" s="6">
        <v>2562.1987794000001</v>
      </c>
      <c r="G173" s="7">
        <v>6.6985043999999994E-2</v>
      </c>
      <c r="H173" s="47"/>
    </row>
    <row r="174" spans="1:8" ht="18" customHeight="1" x14ac:dyDescent="0.2">
      <c r="A174" s="8"/>
      <c r="B174" s="4"/>
      <c r="C174" s="45" t="s">
        <v>1066</v>
      </c>
      <c r="D174" s="4"/>
      <c r="E174" s="8"/>
      <c r="F174" s="6">
        <v>-6.1744449100224301</v>
      </c>
      <c r="G174" s="7">
        <v>-1.6142208322422337E-4</v>
      </c>
      <c r="H174" s="47"/>
    </row>
    <row r="175" spans="1:8" ht="14.1" customHeight="1" x14ac:dyDescent="0.2">
      <c r="A175" s="11"/>
      <c r="B175" s="11"/>
      <c r="C175" s="2" t="s">
        <v>148</v>
      </c>
      <c r="D175" s="15"/>
      <c r="E175" s="15"/>
      <c r="F175" s="9">
        <v>38250.311151329995</v>
      </c>
      <c r="G175" s="14">
        <f>G174+G173+G157+G153+G136+G126+G71</f>
        <v>1.0000000039167758</v>
      </c>
      <c r="H175" s="47"/>
    </row>
    <row r="176" spans="1:8" ht="14.1" customHeight="1" x14ac:dyDescent="0.2">
      <c r="A176" s="16"/>
      <c r="B176" s="16"/>
      <c r="C176" s="16"/>
      <c r="D176" s="17"/>
      <c r="E176" s="17"/>
      <c r="F176" s="17"/>
      <c r="G176" s="17"/>
    </row>
    <row r="177" spans="1:8" ht="17.100000000000001" customHeight="1" x14ac:dyDescent="0.2">
      <c r="A177" s="18"/>
      <c r="B177" s="264" t="s">
        <v>619</v>
      </c>
      <c r="C177" s="264"/>
      <c r="D177" s="264"/>
      <c r="E177" s="264"/>
      <c r="F177" s="264"/>
      <c r="G177" s="20"/>
    </row>
    <row r="178" spans="1:8" s="49" customFormat="1" ht="17.100000000000001" customHeight="1" x14ac:dyDescent="0.2">
      <c r="A178" s="97"/>
      <c r="B178" s="293" t="s">
        <v>860</v>
      </c>
      <c r="C178" s="293"/>
      <c r="D178" s="293"/>
      <c r="E178" s="293"/>
      <c r="F178" s="293"/>
      <c r="G178" s="98"/>
      <c r="H178"/>
    </row>
    <row r="179" spans="1:8" ht="17.100000000000001" customHeight="1" x14ac:dyDescent="0.2">
      <c r="A179" s="18"/>
      <c r="B179" s="264" t="s">
        <v>149</v>
      </c>
      <c r="C179" s="264"/>
      <c r="D179" s="264"/>
      <c r="E179" s="264"/>
      <c r="F179" s="264"/>
      <c r="G179" s="20"/>
    </row>
    <row r="180" spans="1:8" ht="14.1" customHeight="1" x14ac:dyDescent="0.2">
      <c r="A180" s="18"/>
      <c r="B180" s="18"/>
      <c r="C180" s="18"/>
      <c r="D180" s="20"/>
      <c r="E180" s="20"/>
      <c r="F180" s="20"/>
      <c r="G180" s="20"/>
    </row>
    <row r="181" spans="1:8" ht="14.1" customHeight="1" x14ac:dyDescent="0.2">
      <c r="A181" s="18"/>
      <c r="B181" s="257" t="s">
        <v>150</v>
      </c>
      <c r="C181" s="258"/>
      <c r="D181" s="12" t="s">
        <v>123</v>
      </c>
      <c r="E181" s="21"/>
      <c r="F181" s="20"/>
      <c r="G181" s="20"/>
    </row>
    <row r="182" spans="1:8" ht="29.1" customHeight="1" x14ac:dyDescent="0.2">
      <c r="A182" s="18"/>
      <c r="B182" s="259" t="s">
        <v>151</v>
      </c>
      <c r="C182" s="260"/>
      <c r="D182" s="2" t="s">
        <v>152</v>
      </c>
      <c r="E182" s="21"/>
      <c r="F182" s="20"/>
      <c r="G182" s="20"/>
    </row>
    <row r="183" spans="1:8" ht="17.100000000000001" customHeight="1" x14ac:dyDescent="0.2">
      <c r="A183" s="18"/>
      <c r="B183" s="259" t="s">
        <v>153</v>
      </c>
      <c r="C183" s="260"/>
      <c r="D183" s="2" t="s">
        <v>152</v>
      </c>
      <c r="E183" s="21"/>
      <c r="F183" s="20"/>
      <c r="G183" s="20"/>
    </row>
    <row r="184" spans="1:8" ht="17.100000000000001" customHeight="1" x14ac:dyDescent="0.2">
      <c r="A184" s="18"/>
      <c r="B184" s="259" t="s">
        <v>154</v>
      </c>
      <c r="C184" s="260"/>
      <c r="D184" s="12" t="s">
        <v>123</v>
      </c>
      <c r="E184" s="21"/>
      <c r="F184" s="20"/>
      <c r="G184" s="20"/>
    </row>
    <row r="185" spans="1:8" ht="24" customHeight="1" x14ac:dyDescent="0.2">
      <c r="A185" s="22"/>
      <c r="B185" s="23" t="s">
        <v>123</v>
      </c>
      <c r="C185" s="23" t="s">
        <v>155</v>
      </c>
      <c r="D185" s="23" t="s">
        <v>156</v>
      </c>
      <c r="E185" s="22"/>
      <c r="F185" s="22"/>
      <c r="G185" s="22"/>
    </row>
    <row r="186" spans="1:8" ht="18" customHeight="1" x14ac:dyDescent="0.2">
      <c r="A186" s="22"/>
      <c r="B186" s="23" t="s">
        <v>157</v>
      </c>
      <c r="C186" s="23" t="s">
        <v>158</v>
      </c>
      <c r="D186" s="23" t="s">
        <v>159</v>
      </c>
      <c r="E186" s="22"/>
      <c r="F186" s="22"/>
      <c r="G186" s="22"/>
    </row>
    <row r="187" spans="1:8" ht="17.100000000000001" customHeight="1" x14ac:dyDescent="0.2">
      <c r="A187" s="22"/>
      <c r="B187" s="4" t="s">
        <v>160</v>
      </c>
      <c r="C187" s="24">
        <v>54.557099999999998</v>
      </c>
      <c r="D187" s="24">
        <v>53.816000000000003</v>
      </c>
      <c r="E187" s="22"/>
      <c r="F187" s="19"/>
      <c r="G187" s="25"/>
    </row>
    <row r="188" spans="1:8" ht="29.1" customHeight="1" x14ac:dyDescent="0.2">
      <c r="A188" s="22"/>
      <c r="B188" s="4" t="s">
        <v>1104</v>
      </c>
      <c r="C188" s="24">
        <v>13.945399999999999</v>
      </c>
      <c r="D188" s="24">
        <v>13.7559</v>
      </c>
      <c r="E188" s="22"/>
      <c r="F188" s="19"/>
      <c r="G188" s="25"/>
    </row>
    <row r="189" spans="1:8" ht="29.1" customHeight="1" x14ac:dyDescent="0.2">
      <c r="A189" s="22"/>
      <c r="B189" s="4" t="s">
        <v>1107</v>
      </c>
      <c r="C189" s="24">
        <v>20.3279</v>
      </c>
      <c r="D189" s="24">
        <v>20.051600000000001</v>
      </c>
      <c r="E189" s="22"/>
      <c r="F189" s="19"/>
      <c r="G189" s="25"/>
    </row>
    <row r="190" spans="1:8" ht="17.100000000000001" customHeight="1" x14ac:dyDescent="0.2">
      <c r="A190" s="22"/>
      <c r="B190" s="4" t="s">
        <v>161</v>
      </c>
      <c r="C190" s="24">
        <v>49.4923</v>
      </c>
      <c r="D190" s="24">
        <v>48.751899999999999</v>
      </c>
      <c r="E190" s="22"/>
      <c r="F190" s="19"/>
      <c r="G190" s="25"/>
    </row>
    <row r="191" spans="1:8" ht="29.1" customHeight="1" x14ac:dyDescent="0.2">
      <c r="A191" s="22"/>
      <c r="B191" s="4" t="s">
        <v>1105</v>
      </c>
      <c r="C191" s="24">
        <v>13.690899999999999</v>
      </c>
      <c r="D191" s="24">
        <v>13.486000000000001</v>
      </c>
      <c r="E191" s="22"/>
      <c r="F191" s="19"/>
      <c r="G191" s="25"/>
    </row>
    <row r="192" spans="1:8" ht="29.1" customHeight="1" x14ac:dyDescent="0.2">
      <c r="A192" s="22"/>
      <c r="B192" s="4" t="s">
        <v>1109</v>
      </c>
      <c r="C192" s="24">
        <v>14.7415</v>
      </c>
      <c r="D192" s="24">
        <v>14.520899999999999</v>
      </c>
      <c r="E192" s="22"/>
      <c r="F192" s="19"/>
      <c r="G192" s="25"/>
    </row>
    <row r="193" spans="1:7" ht="14.1" customHeight="1" x14ac:dyDescent="0.2">
      <c r="A193" s="22"/>
      <c r="B193" s="22"/>
      <c r="C193" s="22"/>
      <c r="D193" s="22"/>
      <c r="E193" s="22"/>
      <c r="F193" s="22"/>
      <c r="G193" s="22"/>
    </row>
    <row r="194" spans="1:7" ht="17.100000000000001" customHeight="1" x14ac:dyDescent="0.2">
      <c r="A194" s="22"/>
      <c r="B194" s="259" t="s">
        <v>1103</v>
      </c>
      <c r="C194" s="260"/>
      <c r="D194" s="2" t="s">
        <v>152</v>
      </c>
      <c r="E194" s="22"/>
      <c r="F194" s="22"/>
      <c r="G194" s="22"/>
    </row>
    <row r="195" spans="1:7" ht="18" customHeight="1" x14ac:dyDescent="0.2">
      <c r="A195" s="22"/>
      <c r="B195" s="26"/>
      <c r="C195" s="26"/>
      <c r="D195" s="27"/>
      <c r="E195" s="22"/>
      <c r="F195" s="22"/>
      <c r="G195" s="22"/>
    </row>
    <row r="196" spans="1:7" ht="29.1" customHeight="1" x14ac:dyDescent="0.2">
      <c r="A196" s="22"/>
      <c r="B196" s="259" t="s">
        <v>162</v>
      </c>
      <c r="C196" s="260"/>
      <c r="D196" s="2" t="s">
        <v>1060</v>
      </c>
      <c r="E196" s="22"/>
      <c r="F196" s="22"/>
      <c r="G196" s="22"/>
    </row>
    <row r="197" spans="1:7" ht="29.1" customHeight="1" x14ac:dyDescent="0.2">
      <c r="A197" s="22"/>
      <c r="B197" s="259" t="s">
        <v>163</v>
      </c>
      <c r="C197" s="260"/>
      <c r="D197" s="2" t="s">
        <v>152</v>
      </c>
      <c r="E197" s="22"/>
      <c r="F197" s="22"/>
      <c r="G197" s="22"/>
    </row>
    <row r="198" spans="1:7" ht="17.100000000000001" customHeight="1" x14ac:dyDescent="0.2">
      <c r="A198" s="94"/>
      <c r="B198" s="291" t="s">
        <v>1061</v>
      </c>
      <c r="C198" s="292"/>
      <c r="D198" s="95">
        <v>0.58632790726226858</v>
      </c>
      <c r="E198" s="96"/>
      <c r="F198" s="94"/>
      <c r="G198" s="94"/>
    </row>
    <row r="199" spans="1:7" ht="17.100000000000001" customHeight="1" x14ac:dyDescent="0.2">
      <c r="A199" s="94"/>
      <c r="B199" s="291" t="s">
        <v>1062</v>
      </c>
      <c r="C199" s="292"/>
      <c r="D199" s="95">
        <v>0.5495753038877027</v>
      </c>
      <c r="E199" s="96"/>
      <c r="F199" s="94"/>
      <c r="G199" s="94"/>
    </row>
    <row r="200" spans="1:7" ht="17.100000000000001" customHeight="1" x14ac:dyDescent="0.2">
      <c r="A200" s="22"/>
      <c r="B200" s="259" t="s">
        <v>1063</v>
      </c>
      <c r="C200" s="260"/>
      <c r="D200" s="28">
        <v>4.4246120095565926</v>
      </c>
      <c r="E200" s="22"/>
      <c r="F200" s="19"/>
      <c r="G200" s="25"/>
    </row>
    <row r="201" spans="1:7" ht="17.100000000000001" customHeight="1" x14ac:dyDescent="0.2">
      <c r="A201" s="22"/>
      <c r="B201" s="259" t="s">
        <v>1064</v>
      </c>
      <c r="C201" s="260"/>
      <c r="D201" s="2" t="s">
        <v>152</v>
      </c>
      <c r="E201" s="22"/>
      <c r="F201" s="22"/>
      <c r="G201" s="22"/>
    </row>
  </sheetData>
  <mergeCells count="18">
    <mergeCell ref="J2:N2"/>
    <mergeCell ref="B177:F177"/>
    <mergeCell ref="B179:F179"/>
    <mergeCell ref="B178:F178"/>
    <mergeCell ref="A1:H1"/>
    <mergeCell ref="A2:H2"/>
    <mergeCell ref="A3:H3"/>
    <mergeCell ref="B181:C181"/>
    <mergeCell ref="B200:C200"/>
    <mergeCell ref="B201:C201"/>
    <mergeCell ref="B182:C182"/>
    <mergeCell ref="B183:C183"/>
    <mergeCell ref="B184:C184"/>
    <mergeCell ref="B194:C194"/>
    <mergeCell ref="B196:C196"/>
    <mergeCell ref="B197:C197"/>
    <mergeCell ref="B198:C198"/>
    <mergeCell ref="B199:C19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N11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94" t="s">
        <v>1148</v>
      </c>
      <c r="B2" s="295"/>
      <c r="C2" s="295"/>
      <c r="D2" s="295"/>
      <c r="E2" s="295"/>
      <c r="F2" s="295"/>
      <c r="G2" s="295"/>
      <c r="H2" s="296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755230</v>
      </c>
      <c r="F7" s="6">
        <v>5340.9865600000003</v>
      </c>
      <c r="G7" s="7">
        <v>8.2331757000000005E-2</v>
      </c>
      <c r="H7" s="47"/>
    </row>
    <row r="8" spans="1:14" ht="17.100000000000001" customHeight="1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182000</v>
      </c>
      <c r="F8" s="6">
        <v>4724.0829999999996</v>
      </c>
      <c r="G8" s="7">
        <v>7.2822136999999995E-2</v>
      </c>
      <c r="H8" s="47"/>
    </row>
    <row r="9" spans="1:14" ht="17.100000000000001" customHeight="1" x14ac:dyDescent="0.2">
      <c r="A9" s="3">
        <v>3</v>
      </c>
      <c r="B9" s="4" t="s">
        <v>393</v>
      </c>
      <c r="C9" s="4" t="s">
        <v>394</v>
      </c>
      <c r="D9" s="4" t="s">
        <v>191</v>
      </c>
      <c r="E9" s="5">
        <v>311470</v>
      </c>
      <c r="F9" s="6">
        <v>4553.3799300000001</v>
      </c>
      <c r="G9" s="7">
        <v>7.0190735000000004E-2</v>
      </c>
      <c r="H9" s="47"/>
    </row>
    <row r="10" spans="1:14" ht="29.1" customHeight="1" x14ac:dyDescent="0.2">
      <c r="A10" s="3">
        <v>4</v>
      </c>
      <c r="B10" s="4" t="s">
        <v>395</v>
      </c>
      <c r="C10" s="4" t="s">
        <v>396</v>
      </c>
      <c r="D10" s="4" t="s">
        <v>91</v>
      </c>
      <c r="E10" s="5">
        <v>206000</v>
      </c>
      <c r="F10" s="6">
        <v>4471.951</v>
      </c>
      <c r="G10" s="7">
        <v>6.8935500999999996E-2</v>
      </c>
      <c r="H10" s="47"/>
    </row>
    <row r="11" spans="1:14" ht="17.100000000000001" customHeight="1" x14ac:dyDescent="0.2">
      <c r="A11" s="3">
        <v>5</v>
      </c>
      <c r="B11" s="4" t="s">
        <v>46</v>
      </c>
      <c r="C11" s="4" t="s">
        <v>47</v>
      </c>
      <c r="D11" s="4" t="s">
        <v>19</v>
      </c>
      <c r="E11" s="5">
        <v>595460</v>
      </c>
      <c r="F11" s="6">
        <v>2774.2481400000001</v>
      </c>
      <c r="G11" s="7">
        <v>4.2765269000000002E-2</v>
      </c>
      <c r="H11" s="47"/>
    </row>
    <row r="12" spans="1:14" ht="53.1" customHeight="1" x14ac:dyDescent="0.2">
      <c r="A12" s="3">
        <v>6</v>
      </c>
      <c r="B12" s="4" t="s">
        <v>60</v>
      </c>
      <c r="C12" s="4" t="s">
        <v>61</v>
      </c>
      <c r="D12" s="4" t="s">
        <v>62</v>
      </c>
      <c r="E12" s="5">
        <v>1625000</v>
      </c>
      <c r="F12" s="6">
        <v>2401.75</v>
      </c>
      <c r="G12" s="7">
        <v>3.7023177999999997E-2</v>
      </c>
      <c r="H12" s="47"/>
    </row>
    <row r="13" spans="1:14" ht="17.100000000000001" customHeight="1" x14ac:dyDescent="0.2">
      <c r="A13" s="3">
        <v>7</v>
      </c>
      <c r="B13" s="4" t="s">
        <v>434</v>
      </c>
      <c r="C13" s="4" t="s">
        <v>435</v>
      </c>
      <c r="D13" s="4" t="s">
        <v>19</v>
      </c>
      <c r="E13" s="5">
        <v>1248000</v>
      </c>
      <c r="F13" s="6">
        <v>2262</v>
      </c>
      <c r="G13" s="7">
        <v>3.4868919999999998E-2</v>
      </c>
      <c r="H13" s="47"/>
    </row>
    <row r="14" spans="1:14" ht="17.100000000000001" customHeight="1" x14ac:dyDescent="0.2">
      <c r="A14" s="3">
        <v>8</v>
      </c>
      <c r="B14" s="4" t="s">
        <v>446</v>
      </c>
      <c r="C14" s="4" t="s">
        <v>447</v>
      </c>
      <c r="D14" s="4" t="s">
        <v>312</v>
      </c>
      <c r="E14" s="5">
        <v>64955</v>
      </c>
      <c r="F14" s="6">
        <v>2212.4322550000002</v>
      </c>
      <c r="G14" s="7">
        <v>3.4104829000000003E-2</v>
      </c>
      <c r="H14" s="47"/>
      <c r="J14" s="147" t="s">
        <v>1130</v>
      </c>
    </row>
    <row r="15" spans="1:14" ht="17.100000000000001" customHeight="1" x14ac:dyDescent="0.2">
      <c r="A15" s="3">
        <v>9</v>
      </c>
      <c r="B15" s="4" t="s">
        <v>11</v>
      </c>
      <c r="C15" s="4" t="s">
        <v>12</v>
      </c>
      <c r="D15" s="4" t="s">
        <v>13</v>
      </c>
      <c r="E15" s="5">
        <v>140450</v>
      </c>
      <c r="F15" s="6">
        <v>2188.5621249999999</v>
      </c>
      <c r="G15" s="7">
        <v>3.3736869000000003E-2</v>
      </c>
      <c r="H15" s="47"/>
    </row>
    <row r="16" spans="1:14" ht="17.100000000000001" customHeight="1" x14ac:dyDescent="0.2">
      <c r="A16" s="3">
        <v>10</v>
      </c>
      <c r="B16" s="4" t="s">
        <v>429</v>
      </c>
      <c r="C16" s="45" t="s">
        <v>1012</v>
      </c>
      <c r="D16" s="4" t="s">
        <v>22</v>
      </c>
      <c r="E16" s="5">
        <v>677624</v>
      </c>
      <c r="F16" s="6">
        <v>2049.1349759999998</v>
      </c>
      <c r="G16" s="7">
        <v>3.1587588E-2</v>
      </c>
      <c r="H16" s="47"/>
    </row>
    <row r="17" spans="1:10" ht="17.100000000000001" customHeight="1" x14ac:dyDescent="0.2">
      <c r="A17" s="3">
        <v>11</v>
      </c>
      <c r="B17" s="4" t="s">
        <v>364</v>
      </c>
      <c r="C17" s="4" t="s">
        <v>365</v>
      </c>
      <c r="D17" s="4" t="s">
        <v>91</v>
      </c>
      <c r="E17" s="5">
        <v>17122</v>
      </c>
      <c r="F17" s="6">
        <v>1871.7342349999999</v>
      </c>
      <c r="G17" s="7">
        <v>2.8852941E-2</v>
      </c>
      <c r="H17" s="47"/>
    </row>
    <row r="18" spans="1:10" ht="29.1" customHeight="1" x14ac:dyDescent="0.2">
      <c r="A18" s="3">
        <v>12</v>
      </c>
      <c r="B18" s="4" t="s">
        <v>308</v>
      </c>
      <c r="C18" s="4" t="s">
        <v>309</v>
      </c>
      <c r="D18" s="4" t="s">
        <v>198</v>
      </c>
      <c r="E18" s="5">
        <v>744800</v>
      </c>
      <c r="F18" s="6">
        <v>1743.5768</v>
      </c>
      <c r="G18" s="7">
        <v>2.6877383000000001E-2</v>
      </c>
      <c r="H18" s="47"/>
    </row>
    <row r="19" spans="1:10" ht="29.1" customHeight="1" x14ac:dyDescent="0.2">
      <c r="A19" s="3">
        <v>13</v>
      </c>
      <c r="B19" s="4" t="s">
        <v>89</v>
      </c>
      <c r="C19" s="4" t="s">
        <v>90</v>
      </c>
      <c r="D19" s="4" t="s">
        <v>91</v>
      </c>
      <c r="E19" s="5">
        <v>273000</v>
      </c>
      <c r="F19" s="6">
        <v>1691.2349999999999</v>
      </c>
      <c r="G19" s="7">
        <v>2.6070530000000001E-2</v>
      </c>
      <c r="H19" s="47"/>
    </row>
    <row r="20" spans="1:10" ht="53.1" customHeight="1" x14ac:dyDescent="0.2">
      <c r="A20" s="3">
        <v>14</v>
      </c>
      <c r="B20" s="4" t="s">
        <v>100</v>
      </c>
      <c r="C20" s="4" t="s">
        <v>101</v>
      </c>
      <c r="D20" s="4" t="s">
        <v>62</v>
      </c>
      <c r="E20" s="5">
        <v>132000</v>
      </c>
      <c r="F20" s="6">
        <v>1656.6659999999999</v>
      </c>
      <c r="G20" s="7">
        <v>2.5537646000000001E-2</v>
      </c>
      <c r="H20" s="47"/>
    </row>
    <row r="21" spans="1:10" ht="29.1" customHeight="1" x14ac:dyDescent="0.2">
      <c r="A21" s="3">
        <v>15</v>
      </c>
      <c r="B21" s="4" t="s">
        <v>330</v>
      </c>
      <c r="C21" s="4" t="s">
        <v>331</v>
      </c>
      <c r="D21" s="4" t="s">
        <v>204</v>
      </c>
      <c r="E21" s="5">
        <v>61177</v>
      </c>
      <c r="F21" s="6">
        <v>1652.8190090000001</v>
      </c>
      <c r="G21" s="7">
        <v>2.5478344E-2</v>
      </c>
      <c r="H21" s="47"/>
      <c r="J21" s="147" t="s">
        <v>1131</v>
      </c>
    </row>
    <row r="22" spans="1:10" ht="17.100000000000001" customHeight="1" x14ac:dyDescent="0.2">
      <c r="A22" s="3">
        <v>16</v>
      </c>
      <c r="B22" s="4" t="s">
        <v>442</v>
      </c>
      <c r="C22" s="4" t="s">
        <v>443</v>
      </c>
      <c r="D22" s="4" t="s">
        <v>85</v>
      </c>
      <c r="E22" s="5">
        <v>362330</v>
      </c>
      <c r="F22" s="6">
        <v>1492.07494</v>
      </c>
      <c r="G22" s="7">
        <v>2.3000461E-2</v>
      </c>
      <c r="H22" s="47"/>
    </row>
    <row r="23" spans="1:10" ht="29.1" customHeight="1" x14ac:dyDescent="0.2">
      <c r="A23" s="3">
        <v>17</v>
      </c>
      <c r="B23" s="4" t="s">
        <v>199</v>
      </c>
      <c r="C23" s="4" t="s">
        <v>200</v>
      </c>
      <c r="D23" s="4" t="s">
        <v>201</v>
      </c>
      <c r="E23" s="5">
        <v>40584</v>
      </c>
      <c r="F23" s="6">
        <v>1481.965344</v>
      </c>
      <c r="G23" s="7">
        <v>2.284462E-2</v>
      </c>
      <c r="H23" s="47"/>
    </row>
    <row r="24" spans="1:10" ht="17.100000000000001" customHeight="1" x14ac:dyDescent="0.2">
      <c r="A24" s="3">
        <v>18</v>
      </c>
      <c r="B24" s="4" t="s">
        <v>366</v>
      </c>
      <c r="C24" s="4" t="s">
        <v>367</v>
      </c>
      <c r="D24" s="4" t="s">
        <v>209</v>
      </c>
      <c r="E24" s="5">
        <v>609355</v>
      </c>
      <c r="F24" s="6">
        <v>1462.452</v>
      </c>
      <c r="G24" s="7">
        <v>2.2543820999999999E-2</v>
      </c>
      <c r="H24" s="47"/>
    </row>
    <row r="25" spans="1:10" ht="17.100000000000001" customHeight="1" x14ac:dyDescent="0.2">
      <c r="A25" s="3">
        <v>19</v>
      </c>
      <c r="B25" s="4" t="s">
        <v>41</v>
      </c>
      <c r="C25" s="4" t="s">
        <v>42</v>
      </c>
      <c r="D25" s="4" t="s">
        <v>31</v>
      </c>
      <c r="E25" s="5">
        <v>657694</v>
      </c>
      <c r="F25" s="6">
        <v>1329.857268</v>
      </c>
      <c r="G25" s="7">
        <v>2.0499862000000001E-2</v>
      </c>
      <c r="H25" s="47"/>
    </row>
    <row r="26" spans="1:10" ht="29.1" customHeight="1" x14ac:dyDescent="0.2">
      <c r="A26" s="3">
        <v>20</v>
      </c>
      <c r="B26" s="4" t="s">
        <v>452</v>
      </c>
      <c r="C26" s="4" t="s">
        <v>453</v>
      </c>
      <c r="D26" s="4" t="s">
        <v>25</v>
      </c>
      <c r="E26" s="5">
        <v>6842</v>
      </c>
      <c r="F26" s="6">
        <v>1300.6436739999999</v>
      </c>
      <c r="G26" s="7">
        <v>2.0049531999999998E-2</v>
      </c>
      <c r="H26" s="47"/>
    </row>
    <row r="27" spans="1:10" ht="17.100000000000001" customHeight="1" x14ac:dyDescent="0.2">
      <c r="A27" s="3">
        <v>21</v>
      </c>
      <c r="B27" s="4" t="s">
        <v>98</v>
      </c>
      <c r="C27" s="4" t="s">
        <v>99</v>
      </c>
      <c r="D27" s="4" t="s">
        <v>97</v>
      </c>
      <c r="E27" s="5">
        <v>166802</v>
      </c>
      <c r="F27" s="6">
        <v>1230.414953</v>
      </c>
      <c r="G27" s="7">
        <v>1.896695E-2</v>
      </c>
      <c r="H27" s="47"/>
    </row>
    <row r="28" spans="1:10" ht="17.100000000000001" customHeight="1" x14ac:dyDescent="0.2">
      <c r="A28" s="3">
        <v>22</v>
      </c>
      <c r="B28" s="4" t="s">
        <v>83</v>
      </c>
      <c r="C28" s="4" t="s">
        <v>84</v>
      </c>
      <c r="D28" s="4" t="s">
        <v>85</v>
      </c>
      <c r="E28" s="5">
        <v>14267</v>
      </c>
      <c r="F28" s="6">
        <v>1208.5219024999999</v>
      </c>
      <c r="G28" s="7">
        <v>1.8629467E-2</v>
      </c>
      <c r="H28" s="47"/>
    </row>
    <row r="29" spans="1:10" ht="17.100000000000001" customHeight="1" x14ac:dyDescent="0.2">
      <c r="A29" s="3">
        <v>23</v>
      </c>
      <c r="B29" s="4" t="s">
        <v>380</v>
      </c>
      <c r="C29" s="4" t="s">
        <v>381</v>
      </c>
      <c r="D29" s="4" t="s">
        <v>88</v>
      </c>
      <c r="E29" s="5">
        <v>32050</v>
      </c>
      <c r="F29" s="6">
        <v>1145.7874999999999</v>
      </c>
      <c r="G29" s="7">
        <v>1.7662410999999999E-2</v>
      </c>
      <c r="H29" s="47"/>
    </row>
    <row r="30" spans="1:10" ht="17.100000000000001" customHeight="1" x14ac:dyDescent="0.2">
      <c r="A30" s="3">
        <v>24</v>
      </c>
      <c r="B30" s="4" t="s">
        <v>534</v>
      </c>
      <c r="C30" s="4" t="s">
        <v>535</v>
      </c>
      <c r="D30" s="4" t="s">
        <v>184</v>
      </c>
      <c r="E30" s="5">
        <v>30000</v>
      </c>
      <c r="F30" s="6">
        <v>1109.0550000000001</v>
      </c>
      <c r="G30" s="7">
        <v>1.7096176000000001E-2</v>
      </c>
      <c r="H30" s="47"/>
    </row>
    <row r="31" spans="1:10" ht="17.100000000000001" customHeight="1" x14ac:dyDescent="0.2">
      <c r="A31" s="3">
        <v>25</v>
      </c>
      <c r="B31" s="4" t="s">
        <v>432</v>
      </c>
      <c r="C31" s="4" t="s">
        <v>433</v>
      </c>
      <c r="D31" s="4" t="s">
        <v>94</v>
      </c>
      <c r="E31" s="5">
        <v>190518</v>
      </c>
      <c r="F31" s="6">
        <v>1055.0886840000001</v>
      </c>
      <c r="G31" s="7">
        <v>1.6264280999999998E-2</v>
      </c>
      <c r="H31" s="47"/>
    </row>
    <row r="32" spans="1:10" ht="17.100000000000001" customHeight="1" x14ac:dyDescent="0.2">
      <c r="A32" s="3">
        <v>26</v>
      </c>
      <c r="B32" s="4" t="s">
        <v>532</v>
      </c>
      <c r="C32" s="4" t="s">
        <v>533</v>
      </c>
      <c r="D32" s="4" t="s">
        <v>191</v>
      </c>
      <c r="E32" s="5">
        <v>66777</v>
      </c>
      <c r="F32" s="6">
        <v>942.82446300000004</v>
      </c>
      <c r="G32" s="7">
        <v>1.4533717999999999E-2</v>
      </c>
      <c r="H32" s="47"/>
    </row>
    <row r="33" spans="1:8" ht="17.100000000000001" customHeight="1" x14ac:dyDescent="0.2">
      <c r="A33" s="3">
        <v>27</v>
      </c>
      <c r="B33" s="4" t="s">
        <v>426</v>
      </c>
      <c r="C33" s="4" t="s">
        <v>427</v>
      </c>
      <c r="D33" s="4" t="s">
        <v>428</v>
      </c>
      <c r="E33" s="5">
        <v>272500</v>
      </c>
      <c r="F33" s="6">
        <v>922.82124999999996</v>
      </c>
      <c r="G33" s="7">
        <v>1.4225366999999999E-2</v>
      </c>
      <c r="H33" s="47"/>
    </row>
    <row r="34" spans="1:8" ht="17.100000000000001" customHeight="1" x14ac:dyDescent="0.2">
      <c r="A34" s="3">
        <v>28</v>
      </c>
      <c r="B34" s="4" t="s">
        <v>450</v>
      </c>
      <c r="C34" s="4" t="s">
        <v>451</v>
      </c>
      <c r="D34" s="4" t="s">
        <v>88</v>
      </c>
      <c r="E34" s="5">
        <v>86708</v>
      </c>
      <c r="F34" s="6">
        <v>835.73505799999998</v>
      </c>
      <c r="G34" s="7">
        <v>1.2882925999999999E-2</v>
      </c>
      <c r="H34" s="47"/>
    </row>
    <row r="35" spans="1:8" ht="17.100000000000001" customHeight="1" x14ac:dyDescent="0.2">
      <c r="A35" s="3">
        <v>29</v>
      </c>
      <c r="B35" s="4" t="s">
        <v>458</v>
      </c>
      <c r="C35" s="4" t="s">
        <v>459</v>
      </c>
      <c r="D35" s="4" t="s">
        <v>94</v>
      </c>
      <c r="E35" s="5">
        <v>695514</v>
      </c>
      <c r="F35" s="6">
        <v>821.74979099999996</v>
      </c>
      <c r="G35" s="7">
        <v>1.2667342E-2</v>
      </c>
      <c r="H35" s="47"/>
    </row>
    <row r="36" spans="1:8" ht="17.100000000000001" customHeight="1" x14ac:dyDescent="0.2">
      <c r="A36" s="3">
        <v>30</v>
      </c>
      <c r="B36" s="4" t="s">
        <v>358</v>
      </c>
      <c r="C36" s="4" t="s">
        <v>359</v>
      </c>
      <c r="D36" s="4" t="s">
        <v>19</v>
      </c>
      <c r="E36" s="5">
        <v>17780</v>
      </c>
      <c r="F36" s="6">
        <v>239.67439999999999</v>
      </c>
      <c r="G36" s="7">
        <v>3.694601E-3</v>
      </c>
      <c r="H36" s="47"/>
    </row>
    <row r="37" spans="1:8" ht="14.1" customHeight="1" x14ac:dyDescent="0.2">
      <c r="A37" s="1"/>
      <c r="B37" s="1"/>
      <c r="C37" s="2" t="s">
        <v>122</v>
      </c>
      <c r="D37" s="1"/>
      <c r="E37" s="1" t="s">
        <v>123</v>
      </c>
      <c r="F37" s="9">
        <v>58173.225257499987</v>
      </c>
      <c r="G37" s="10">
        <v>0.89674516199999998</v>
      </c>
      <c r="H37" s="47"/>
    </row>
    <row r="38" spans="1:8" ht="14.1" customHeight="1" x14ac:dyDescent="0.2">
      <c r="A38" s="1"/>
      <c r="B38" s="1"/>
      <c r="C38" s="11"/>
      <c r="D38" s="1"/>
      <c r="E38" s="1"/>
      <c r="F38" s="12"/>
      <c r="G38" s="12"/>
      <c r="H38" s="47"/>
    </row>
    <row r="39" spans="1:8" ht="14.1" customHeight="1" x14ac:dyDescent="0.2">
      <c r="A39" s="1"/>
      <c r="B39" s="1"/>
      <c r="C39" s="2" t="s">
        <v>124</v>
      </c>
      <c r="D39" s="1"/>
      <c r="E39" s="1"/>
      <c r="F39" s="1"/>
      <c r="G39" s="1"/>
      <c r="H39" s="47"/>
    </row>
    <row r="40" spans="1:8" ht="14.1" customHeight="1" x14ac:dyDescent="0.2">
      <c r="A40" s="1"/>
      <c r="B40" s="1"/>
      <c r="C40" s="2" t="s">
        <v>122</v>
      </c>
      <c r="D40" s="1"/>
      <c r="E40" s="1" t="s">
        <v>123</v>
      </c>
      <c r="F40" s="13">
        <v>0</v>
      </c>
      <c r="G40" s="14">
        <v>0</v>
      </c>
      <c r="H40" s="47"/>
    </row>
    <row r="41" spans="1:8" ht="14.1" customHeight="1" x14ac:dyDescent="0.2">
      <c r="A41" s="1"/>
      <c r="B41" s="1"/>
      <c r="C41" s="11"/>
      <c r="D41" s="1"/>
      <c r="E41" s="1"/>
      <c r="F41" s="12"/>
      <c r="G41" s="12"/>
      <c r="H41" s="47"/>
    </row>
    <row r="42" spans="1:8" ht="14.1" customHeight="1" x14ac:dyDescent="0.2">
      <c r="A42" s="1"/>
      <c r="B42" s="1"/>
      <c r="C42" s="2" t="s">
        <v>125</v>
      </c>
      <c r="D42" s="1"/>
      <c r="E42" s="1"/>
      <c r="F42" s="1"/>
      <c r="G42" s="1"/>
      <c r="H42" s="47"/>
    </row>
    <row r="43" spans="1:8" ht="14.1" customHeight="1" x14ac:dyDescent="0.2">
      <c r="A43" s="1"/>
      <c r="B43" s="1"/>
      <c r="C43" s="2" t="s">
        <v>122</v>
      </c>
      <c r="D43" s="1"/>
      <c r="E43" s="1" t="s">
        <v>123</v>
      </c>
      <c r="F43" s="13">
        <v>0</v>
      </c>
      <c r="G43" s="14">
        <v>0</v>
      </c>
      <c r="H43" s="47"/>
    </row>
    <row r="44" spans="1:8" ht="14.1" customHeight="1" x14ac:dyDescent="0.2">
      <c r="A44" s="1"/>
      <c r="B44" s="1"/>
      <c r="C44" s="11"/>
      <c r="D44" s="1"/>
      <c r="E44" s="1"/>
      <c r="F44" s="12"/>
      <c r="G44" s="12"/>
      <c r="H44" s="47"/>
    </row>
    <row r="45" spans="1:8" ht="14.1" customHeight="1" x14ac:dyDescent="0.2">
      <c r="A45" s="1"/>
      <c r="B45" s="1"/>
      <c r="C45" s="2" t="s">
        <v>126</v>
      </c>
      <c r="D45" s="1"/>
      <c r="E45" s="1"/>
      <c r="F45" s="1"/>
      <c r="G45" s="1"/>
      <c r="H45" s="47"/>
    </row>
    <row r="46" spans="1:8" ht="14.1" customHeight="1" x14ac:dyDescent="0.2">
      <c r="A46" s="1"/>
      <c r="B46" s="1"/>
      <c r="C46" s="2" t="s">
        <v>122</v>
      </c>
      <c r="D46" s="1"/>
      <c r="E46" s="1" t="s">
        <v>123</v>
      </c>
      <c r="F46" s="9">
        <v>0</v>
      </c>
      <c r="G46" s="10">
        <v>0</v>
      </c>
      <c r="H46" s="47"/>
    </row>
    <row r="47" spans="1:8" ht="14.1" customHeight="1" x14ac:dyDescent="0.2">
      <c r="A47" s="1"/>
      <c r="B47" s="1"/>
      <c r="C47" s="11"/>
      <c r="D47" s="1"/>
      <c r="E47" s="1"/>
      <c r="F47" s="12"/>
      <c r="G47" s="12"/>
      <c r="H47" s="47"/>
    </row>
    <row r="48" spans="1:8" ht="14.1" customHeight="1" x14ac:dyDescent="0.2">
      <c r="A48" s="1"/>
      <c r="B48" s="1"/>
      <c r="C48" s="2" t="s">
        <v>127</v>
      </c>
      <c r="D48" s="1"/>
      <c r="E48" s="1"/>
      <c r="F48" s="12"/>
      <c r="G48" s="12"/>
      <c r="H48" s="47"/>
    </row>
    <row r="49" spans="1:8" ht="14.1" customHeight="1" x14ac:dyDescent="0.2">
      <c r="A49" s="1"/>
      <c r="B49" s="1"/>
      <c r="C49" s="2" t="s">
        <v>122</v>
      </c>
      <c r="D49" s="1"/>
      <c r="E49" s="1" t="s">
        <v>123</v>
      </c>
      <c r="F49" s="13">
        <v>0</v>
      </c>
      <c r="G49" s="14">
        <v>0</v>
      </c>
      <c r="H49" s="47"/>
    </row>
    <row r="50" spans="1:8" ht="14.1" customHeight="1" x14ac:dyDescent="0.2">
      <c r="A50" s="1"/>
      <c r="B50" s="1"/>
      <c r="C50" s="11"/>
      <c r="D50" s="1"/>
      <c r="E50" s="1"/>
      <c r="F50" s="12"/>
      <c r="G50" s="12"/>
      <c r="H50" s="47"/>
    </row>
    <row r="51" spans="1:8" ht="14.1" customHeight="1" x14ac:dyDescent="0.2">
      <c r="A51" s="1"/>
      <c r="B51" s="1"/>
      <c r="C51" s="2" t="s">
        <v>128</v>
      </c>
      <c r="D51" s="1"/>
      <c r="E51" s="1"/>
      <c r="F51" s="12"/>
      <c r="G51" s="12"/>
      <c r="H51" s="47"/>
    </row>
    <row r="52" spans="1:8" ht="14.1" customHeight="1" x14ac:dyDescent="0.2">
      <c r="A52" s="1"/>
      <c r="B52" s="1"/>
      <c r="C52" s="2" t="s">
        <v>122</v>
      </c>
      <c r="D52" s="1"/>
      <c r="E52" s="1" t="s">
        <v>123</v>
      </c>
      <c r="F52" s="13">
        <v>0</v>
      </c>
      <c r="G52" s="14">
        <v>0</v>
      </c>
      <c r="H52" s="47"/>
    </row>
    <row r="53" spans="1:8" ht="14.1" customHeight="1" x14ac:dyDescent="0.2">
      <c r="A53" s="1"/>
      <c r="B53" s="1"/>
      <c r="C53" s="11"/>
      <c r="D53" s="1"/>
      <c r="E53" s="1"/>
      <c r="F53" s="12"/>
      <c r="G53" s="12"/>
      <c r="H53" s="47"/>
    </row>
    <row r="54" spans="1:8" ht="18" customHeight="1" x14ac:dyDescent="0.2">
      <c r="A54" s="1"/>
      <c r="B54" s="1"/>
      <c r="C54" s="2" t="s">
        <v>129</v>
      </c>
      <c r="D54" s="1"/>
      <c r="E54" s="1"/>
      <c r="F54" s="9">
        <v>58173.225257500002</v>
      </c>
      <c r="G54" s="10">
        <v>0.89674516199999998</v>
      </c>
      <c r="H54" s="47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47"/>
    </row>
    <row r="56" spans="1:8" ht="14.1" customHeight="1" x14ac:dyDescent="0.2">
      <c r="A56" s="1"/>
      <c r="B56" s="1"/>
      <c r="C56" s="2" t="s">
        <v>130</v>
      </c>
      <c r="D56" s="1"/>
      <c r="E56" s="1"/>
      <c r="F56" s="12"/>
      <c r="G56" s="12"/>
      <c r="H56" s="47"/>
    </row>
    <row r="57" spans="1:8" ht="24" customHeight="1" x14ac:dyDescent="0.2">
      <c r="A57" s="1"/>
      <c r="B57" s="1"/>
      <c r="C57" s="2" t="s">
        <v>10</v>
      </c>
      <c r="D57" s="1"/>
      <c r="E57" s="1"/>
      <c r="F57" s="12"/>
      <c r="G57" s="12"/>
      <c r="H57" s="47"/>
    </row>
    <row r="58" spans="1:8" ht="14.1" customHeight="1" x14ac:dyDescent="0.2">
      <c r="A58" s="1"/>
      <c r="B58" s="1"/>
      <c r="C58" s="2" t="s">
        <v>122</v>
      </c>
      <c r="D58" s="1"/>
      <c r="E58" s="1" t="s">
        <v>123</v>
      </c>
      <c r="F58" s="13">
        <v>0</v>
      </c>
      <c r="G58" s="14">
        <v>0</v>
      </c>
      <c r="H58" s="47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47"/>
    </row>
    <row r="60" spans="1:8" ht="14.1" customHeight="1" x14ac:dyDescent="0.2">
      <c r="A60" s="1"/>
      <c r="B60" s="1"/>
      <c r="C60" s="2" t="s">
        <v>131</v>
      </c>
      <c r="D60" s="1"/>
      <c r="E60" s="1"/>
      <c r="F60" s="1"/>
      <c r="G60" s="1"/>
      <c r="H60" s="47"/>
    </row>
    <row r="61" spans="1:8" ht="14.1" customHeight="1" x14ac:dyDescent="0.2">
      <c r="A61" s="1"/>
      <c r="B61" s="1"/>
      <c r="C61" s="2" t="s">
        <v>122</v>
      </c>
      <c r="D61" s="1"/>
      <c r="E61" s="1" t="s">
        <v>123</v>
      </c>
      <c r="F61" s="13">
        <v>0</v>
      </c>
      <c r="G61" s="14">
        <v>0</v>
      </c>
      <c r="H61" s="47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47"/>
    </row>
    <row r="63" spans="1:8" ht="14.1" customHeight="1" x14ac:dyDescent="0.2">
      <c r="A63" s="1"/>
      <c r="B63" s="1"/>
      <c r="C63" s="2" t="s">
        <v>132</v>
      </c>
      <c r="D63" s="1"/>
      <c r="E63" s="1"/>
      <c r="F63" s="1"/>
      <c r="G63" s="1"/>
      <c r="H63" s="47"/>
    </row>
    <row r="64" spans="1:8" ht="14.1" customHeight="1" x14ac:dyDescent="0.2">
      <c r="A64" s="1"/>
      <c r="B64" s="1"/>
      <c r="C64" s="2" t="s">
        <v>122</v>
      </c>
      <c r="D64" s="1"/>
      <c r="E64" s="1" t="s">
        <v>123</v>
      </c>
      <c r="F64" s="13">
        <v>0</v>
      </c>
      <c r="G64" s="14">
        <v>0</v>
      </c>
      <c r="H64" s="47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47"/>
    </row>
    <row r="66" spans="1:8" ht="14.1" customHeight="1" x14ac:dyDescent="0.2">
      <c r="A66" s="1"/>
      <c r="B66" s="1"/>
      <c r="C66" s="2" t="s">
        <v>133</v>
      </c>
      <c r="D66" s="1"/>
      <c r="E66" s="1"/>
      <c r="F66" s="12"/>
      <c r="G66" s="12"/>
      <c r="H66" s="47"/>
    </row>
    <row r="67" spans="1:8" ht="14.1" customHeight="1" x14ac:dyDescent="0.2">
      <c r="A67" s="1"/>
      <c r="B67" s="1"/>
      <c r="C67" s="2" t="s">
        <v>122</v>
      </c>
      <c r="D67" s="1"/>
      <c r="E67" s="1" t="s">
        <v>123</v>
      </c>
      <c r="F67" s="13">
        <v>0</v>
      </c>
      <c r="G67" s="14">
        <v>0</v>
      </c>
      <c r="H67" s="47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47"/>
    </row>
    <row r="69" spans="1:8" ht="14.1" customHeight="1" x14ac:dyDescent="0.2">
      <c r="A69" s="1"/>
      <c r="B69" s="1"/>
      <c r="C69" s="2" t="s">
        <v>134</v>
      </c>
      <c r="D69" s="1"/>
      <c r="E69" s="1"/>
      <c r="F69" s="9">
        <v>0</v>
      </c>
      <c r="G69" s="10">
        <v>0</v>
      </c>
      <c r="H69" s="47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47"/>
    </row>
    <row r="71" spans="1:8" ht="14.1" customHeight="1" x14ac:dyDescent="0.2">
      <c r="A71" s="1"/>
      <c r="B71" s="1"/>
      <c r="C71" s="2" t="s">
        <v>135</v>
      </c>
      <c r="D71" s="1"/>
      <c r="E71" s="1"/>
      <c r="F71" s="12"/>
      <c r="G71" s="12"/>
      <c r="H71" s="47"/>
    </row>
    <row r="72" spans="1:8" ht="14.1" customHeight="1" x14ac:dyDescent="0.2">
      <c r="A72" s="1"/>
      <c r="B72" s="1"/>
      <c r="C72" s="2" t="s">
        <v>136</v>
      </c>
      <c r="D72" s="1"/>
      <c r="E72" s="1"/>
      <c r="F72" s="12"/>
      <c r="G72" s="12"/>
      <c r="H72" s="47"/>
    </row>
    <row r="73" spans="1:8" ht="14.1" customHeight="1" x14ac:dyDescent="0.2">
      <c r="A73" s="1"/>
      <c r="B73" s="1"/>
      <c r="C73" s="2" t="s">
        <v>122</v>
      </c>
      <c r="D73" s="1"/>
      <c r="E73" s="1" t="s">
        <v>123</v>
      </c>
      <c r="F73" s="13">
        <v>0</v>
      </c>
      <c r="G73" s="14">
        <v>0</v>
      </c>
      <c r="H73" s="47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47"/>
    </row>
    <row r="75" spans="1:8" ht="14.1" customHeight="1" x14ac:dyDescent="0.2">
      <c r="A75" s="1"/>
      <c r="B75" s="1"/>
      <c r="C75" s="2" t="s">
        <v>137</v>
      </c>
      <c r="D75" s="1"/>
      <c r="E75" s="1"/>
      <c r="F75" s="12"/>
      <c r="G75" s="12"/>
      <c r="H75" s="47"/>
    </row>
    <row r="76" spans="1:8" ht="14.1" customHeight="1" x14ac:dyDescent="0.2">
      <c r="A76" s="1"/>
      <c r="B76" s="1"/>
      <c r="C76" s="2" t="s">
        <v>122</v>
      </c>
      <c r="D76" s="1"/>
      <c r="E76" s="1" t="s">
        <v>123</v>
      </c>
      <c r="F76" s="13">
        <v>0</v>
      </c>
      <c r="G76" s="14">
        <v>0</v>
      </c>
      <c r="H76" s="47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47"/>
    </row>
    <row r="78" spans="1:8" ht="14.1" customHeight="1" x14ac:dyDescent="0.2">
      <c r="A78" s="1"/>
      <c r="B78" s="1"/>
      <c r="C78" s="2" t="s">
        <v>138</v>
      </c>
      <c r="D78" s="1"/>
      <c r="E78" s="1"/>
      <c r="F78" s="12"/>
      <c r="G78" s="12"/>
      <c r="H78" s="47"/>
    </row>
    <row r="79" spans="1:8" ht="14.1" customHeight="1" x14ac:dyDescent="0.2">
      <c r="A79" s="1"/>
      <c r="B79" s="1"/>
      <c r="C79" s="2" t="s">
        <v>122</v>
      </c>
      <c r="D79" s="1"/>
      <c r="E79" s="1" t="s">
        <v>123</v>
      </c>
      <c r="F79" s="13">
        <v>0</v>
      </c>
      <c r="G79" s="14">
        <v>0</v>
      </c>
      <c r="H79" s="47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47"/>
    </row>
    <row r="81" spans="1:8" ht="14.1" customHeight="1" x14ac:dyDescent="0.2">
      <c r="A81" s="1"/>
      <c r="B81" s="1"/>
      <c r="C81" s="2" t="s">
        <v>139</v>
      </c>
      <c r="D81" s="1"/>
      <c r="E81" s="1"/>
      <c r="F81" s="12"/>
      <c r="G81" s="12"/>
      <c r="H81" s="47"/>
    </row>
    <row r="82" spans="1:8" ht="17.100000000000001" customHeight="1" x14ac:dyDescent="0.2">
      <c r="A82" s="3">
        <v>1</v>
      </c>
      <c r="B82" s="4"/>
      <c r="C82" s="4" t="s">
        <v>140</v>
      </c>
      <c r="D82" s="4"/>
      <c r="E82" s="8"/>
      <c r="F82" s="6">
        <v>6711.3149532999996</v>
      </c>
      <c r="G82" s="7">
        <v>0.103455485</v>
      </c>
      <c r="H82" s="47">
        <v>4.6730752161314033</v>
      </c>
    </row>
    <row r="83" spans="1:8" ht="14.1" customHeight="1" x14ac:dyDescent="0.2">
      <c r="A83" s="1"/>
      <c r="B83" s="1"/>
      <c r="C83" s="2" t="s">
        <v>122</v>
      </c>
      <c r="D83" s="1"/>
      <c r="E83" s="1" t="s">
        <v>123</v>
      </c>
      <c r="F83" s="9">
        <v>6711.3149532999996</v>
      </c>
      <c r="G83" s="10">
        <v>0.103455485</v>
      </c>
      <c r="H83" s="47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141</v>
      </c>
      <c r="D85" s="1"/>
      <c r="E85" s="1"/>
      <c r="F85" s="9">
        <v>6711.3149532999996</v>
      </c>
      <c r="G85" s="10">
        <v>0.103455485</v>
      </c>
      <c r="H85" s="47"/>
    </row>
    <row r="86" spans="1:8" ht="14.1" customHeight="1" x14ac:dyDescent="0.2">
      <c r="A86" s="1"/>
      <c r="B86" s="1"/>
      <c r="C86" s="12"/>
      <c r="D86" s="1"/>
      <c r="E86" s="1"/>
      <c r="F86" s="1"/>
      <c r="G86" s="1"/>
      <c r="H86" s="47"/>
    </row>
    <row r="87" spans="1:8" ht="14.1" customHeight="1" x14ac:dyDescent="0.2">
      <c r="A87" s="1"/>
      <c r="B87" s="1"/>
      <c r="C87" s="2" t="s">
        <v>142</v>
      </c>
      <c r="D87" s="1"/>
      <c r="E87" s="1"/>
      <c r="F87" s="1"/>
      <c r="G87" s="1"/>
      <c r="H87" s="47"/>
    </row>
    <row r="88" spans="1:8" ht="14.1" customHeight="1" x14ac:dyDescent="0.2">
      <c r="A88" s="1"/>
      <c r="B88" s="1"/>
      <c r="C88" s="2" t="s">
        <v>143</v>
      </c>
      <c r="D88" s="1"/>
      <c r="E88" s="1"/>
      <c r="F88" s="1"/>
      <c r="G88" s="1"/>
      <c r="H88" s="47"/>
    </row>
    <row r="89" spans="1:8" ht="14.1" customHeight="1" x14ac:dyDescent="0.2">
      <c r="A89" s="1"/>
      <c r="B89" s="1"/>
      <c r="C89" s="2" t="s">
        <v>122</v>
      </c>
      <c r="D89" s="1"/>
      <c r="E89" s="1" t="s">
        <v>123</v>
      </c>
      <c r="F89" s="13">
        <v>0</v>
      </c>
      <c r="G89" s="14">
        <v>0</v>
      </c>
      <c r="H89" s="47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47"/>
    </row>
    <row r="91" spans="1:8" ht="14.1" customHeight="1" x14ac:dyDescent="0.2">
      <c r="A91" s="1"/>
      <c r="B91" s="1"/>
      <c r="C91" s="2" t="s">
        <v>144</v>
      </c>
      <c r="D91" s="1"/>
      <c r="E91" s="1"/>
      <c r="F91" s="1"/>
      <c r="G91" s="1"/>
      <c r="H91" s="47"/>
    </row>
    <row r="92" spans="1:8" ht="14.1" customHeight="1" x14ac:dyDescent="0.2">
      <c r="A92" s="1"/>
      <c r="B92" s="1"/>
      <c r="C92" s="2" t="s">
        <v>145</v>
      </c>
      <c r="D92" s="1"/>
      <c r="E92" s="1"/>
      <c r="F92" s="1"/>
      <c r="G92" s="1"/>
      <c r="H92" s="47"/>
    </row>
    <row r="93" spans="1:8" ht="14.1" customHeight="1" x14ac:dyDescent="0.2">
      <c r="A93" s="1"/>
      <c r="B93" s="1"/>
      <c r="C93" s="2" t="s">
        <v>122</v>
      </c>
      <c r="D93" s="1"/>
      <c r="E93" s="1" t="s">
        <v>123</v>
      </c>
      <c r="F93" s="13">
        <v>0</v>
      </c>
      <c r="G93" s="14">
        <v>0</v>
      </c>
      <c r="H93" s="47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47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47"/>
    </row>
    <row r="96" spans="1:8" ht="24" customHeight="1" x14ac:dyDescent="0.2">
      <c r="A96" s="1"/>
      <c r="B96" s="1"/>
      <c r="C96" s="2" t="s">
        <v>146</v>
      </c>
      <c r="D96" s="1"/>
      <c r="E96" s="1"/>
      <c r="F96" s="12"/>
      <c r="G96" s="12"/>
      <c r="H96" s="47"/>
    </row>
    <row r="97" spans="1:8" ht="14.1" customHeight="1" x14ac:dyDescent="0.2">
      <c r="A97" s="1"/>
      <c r="B97" s="1"/>
      <c r="C97" s="2" t="s">
        <v>122</v>
      </c>
      <c r="D97" s="1"/>
      <c r="E97" s="1" t="s">
        <v>123</v>
      </c>
      <c r="F97" s="13">
        <v>0</v>
      </c>
      <c r="G97" s="14">
        <v>0</v>
      </c>
      <c r="H97" s="47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47"/>
    </row>
    <row r="99" spans="1:8" ht="14.1" customHeight="1" x14ac:dyDescent="0.2">
      <c r="A99" s="1"/>
      <c r="B99" s="4"/>
      <c r="C99" s="4"/>
      <c r="D99" s="2"/>
      <c r="E99" s="1"/>
      <c r="F99" s="4"/>
      <c r="G99" s="8"/>
      <c r="H99" s="47"/>
    </row>
    <row r="100" spans="1:8" ht="18" customHeight="1" x14ac:dyDescent="0.2">
      <c r="A100" s="8"/>
      <c r="B100" s="4"/>
      <c r="C100" s="4" t="s">
        <v>147</v>
      </c>
      <c r="D100" s="4"/>
      <c r="E100" s="8"/>
      <c r="F100" s="6">
        <v>-13.016296730000001</v>
      </c>
      <c r="G100" s="7">
        <v>-2.0064700000000001E-4</v>
      </c>
      <c r="H100" s="47"/>
    </row>
    <row r="101" spans="1:8" ht="14.1" customHeight="1" x14ac:dyDescent="0.2">
      <c r="A101" s="11"/>
      <c r="B101" s="11"/>
      <c r="C101" s="2" t="s">
        <v>148</v>
      </c>
      <c r="D101" s="15"/>
      <c r="E101" s="15"/>
      <c r="F101" s="9">
        <v>64871.52391407</v>
      </c>
      <c r="G101" s="10">
        <v>1</v>
      </c>
      <c r="H101" s="47"/>
    </row>
    <row r="102" spans="1:8" ht="14.1" customHeight="1" x14ac:dyDescent="0.2">
      <c r="A102" s="18"/>
      <c r="B102" s="18"/>
      <c r="C102" s="18"/>
      <c r="D102" s="20"/>
      <c r="E102" s="20"/>
      <c r="F102" s="20"/>
      <c r="G102" s="20"/>
    </row>
    <row r="103" spans="1:8" ht="14.1" customHeight="1" x14ac:dyDescent="0.2">
      <c r="A103" s="18"/>
      <c r="B103" s="257" t="s">
        <v>150</v>
      </c>
      <c r="C103" s="258"/>
      <c r="D103" s="12" t="s">
        <v>123</v>
      </c>
      <c r="E103" s="21"/>
      <c r="F103" s="20"/>
      <c r="G103" s="20"/>
    </row>
    <row r="104" spans="1:8" ht="29.1" customHeight="1" x14ac:dyDescent="0.2">
      <c r="A104" s="18"/>
      <c r="B104" s="259" t="s">
        <v>151</v>
      </c>
      <c r="C104" s="260"/>
      <c r="D104" s="2" t="s">
        <v>152</v>
      </c>
      <c r="E104" s="21"/>
      <c r="F104" s="20"/>
      <c r="G104" s="20"/>
    </row>
    <row r="105" spans="1:8" ht="17.100000000000001" customHeight="1" x14ac:dyDescent="0.2">
      <c r="A105" s="18"/>
      <c r="B105" s="259" t="s">
        <v>153</v>
      </c>
      <c r="C105" s="260"/>
      <c r="D105" s="2" t="s">
        <v>152</v>
      </c>
      <c r="E105" s="21"/>
      <c r="F105" s="20"/>
      <c r="G105" s="20"/>
    </row>
    <row r="106" spans="1:8" ht="17.100000000000001" customHeight="1" x14ac:dyDescent="0.2">
      <c r="A106" s="18"/>
      <c r="B106" s="259" t="s">
        <v>154</v>
      </c>
      <c r="C106" s="260"/>
      <c r="D106" s="12" t="s">
        <v>123</v>
      </c>
      <c r="E106" s="21"/>
      <c r="F106" s="20"/>
      <c r="G106" s="20"/>
    </row>
    <row r="107" spans="1:8" ht="24" customHeight="1" x14ac:dyDescent="0.2">
      <c r="A107" s="22"/>
      <c r="B107" s="23" t="s">
        <v>123</v>
      </c>
      <c r="C107" s="23" t="s">
        <v>155</v>
      </c>
      <c r="D107" s="23" t="s">
        <v>156</v>
      </c>
      <c r="E107" s="22"/>
      <c r="F107" s="22"/>
      <c r="G107" s="22"/>
    </row>
    <row r="108" spans="1:8" ht="18" customHeight="1" x14ac:dyDescent="0.2">
      <c r="A108" s="22"/>
      <c r="B108" s="23" t="s">
        <v>157</v>
      </c>
      <c r="C108" s="23" t="s">
        <v>158</v>
      </c>
      <c r="D108" s="23" t="s">
        <v>159</v>
      </c>
      <c r="E108" s="22"/>
      <c r="F108" s="22"/>
      <c r="G108" s="22"/>
    </row>
    <row r="109" spans="1:8" ht="17.100000000000001" customHeight="1" x14ac:dyDescent="0.2">
      <c r="A109" s="22"/>
      <c r="B109" s="4" t="s">
        <v>160</v>
      </c>
      <c r="C109" s="24">
        <v>108.28060000000001</v>
      </c>
      <c r="D109" s="24">
        <v>102.3646</v>
      </c>
      <c r="E109" s="22"/>
      <c r="F109" s="19"/>
      <c r="G109" s="25"/>
    </row>
    <row r="110" spans="1:8" ht="29.1" customHeight="1" x14ac:dyDescent="0.2">
      <c r="A110" s="22"/>
      <c r="B110" s="4" t="s">
        <v>1104</v>
      </c>
      <c r="C110" s="24">
        <v>34.274000000000001</v>
      </c>
      <c r="D110" s="24">
        <v>32.400199999999998</v>
      </c>
      <c r="E110" s="22"/>
      <c r="F110" s="19"/>
      <c r="G110" s="25"/>
    </row>
    <row r="111" spans="1:8" ht="17.100000000000001" customHeight="1" x14ac:dyDescent="0.2">
      <c r="A111" s="22"/>
      <c r="B111" s="4" t="s">
        <v>161</v>
      </c>
      <c r="C111" s="24">
        <v>101.00530000000001</v>
      </c>
      <c r="D111" s="24">
        <v>95.401300000000006</v>
      </c>
      <c r="E111" s="22"/>
      <c r="F111" s="19"/>
      <c r="G111" s="25"/>
    </row>
    <row r="112" spans="1:8" ht="29.1" customHeight="1" x14ac:dyDescent="0.2">
      <c r="A112" s="22"/>
      <c r="B112" s="4" t="s">
        <v>1105</v>
      </c>
      <c r="C112" s="24">
        <v>32.560299999999998</v>
      </c>
      <c r="D112" s="24">
        <v>30.753599999999999</v>
      </c>
      <c r="E112" s="22"/>
      <c r="F112" s="19"/>
      <c r="G112" s="25"/>
    </row>
    <row r="113" spans="1:7" ht="14.1" customHeight="1" x14ac:dyDescent="0.2">
      <c r="A113" s="22"/>
      <c r="B113" s="22"/>
      <c r="C113" s="22"/>
      <c r="D113" s="22"/>
      <c r="E113" s="22"/>
      <c r="F113" s="22"/>
      <c r="G113" s="22"/>
    </row>
    <row r="114" spans="1:7" ht="17.100000000000001" customHeight="1" x14ac:dyDescent="0.2">
      <c r="A114" s="22"/>
      <c r="B114" s="259" t="s">
        <v>1103</v>
      </c>
      <c r="C114" s="260"/>
      <c r="D114" s="2" t="s">
        <v>152</v>
      </c>
      <c r="E114" s="22"/>
      <c r="F114" s="22"/>
      <c r="G114" s="22"/>
    </row>
    <row r="115" spans="1:7" ht="18" customHeight="1" x14ac:dyDescent="0.2">
      <c r="A115" s="22"/>
      <c r="B115" s="26"/>
      <c r="C115" s="26"/>
      <c r="D115" s="27"/>
      <c r="E115" s="22"/>
      <c r="F115" s="22"/>
      <c r="G115" s="22"/>
    </row>
    <row r="116" spans="1:7" ht="29.1" customHeight="1" x14ac:dyDescent="0.2">
      <c r="A116" s="22"/>
      <c r="B116" s="259" t="s">
        <v>162</v>
      </c>
      <c r="C116" s="260"/>
      <c r="D116" s="2" t="s">
        <v>152</v>
      </c>
      <c r="E116" s="22"/>
      <c r="F116" s="22"/>
      <c r="G116" s="22"/>
    </row>
    <row r="117" spans="1:7" ht="29.1" customHeight="1" x14ac:dyDescent="0.2">
      <c r="A117" s="22"/>
      <c r="B117" s="259" t="s">
        <v>163</v>
      </c>
      <c r="C117" s="260"/>
      <c r="D117" s="2" t="s">
        <v>152</v>
      </c>
      <c r="E117" s="22"/>
      <c r="F117" s="22"/>
      <c r="G117" s="22"/>
    </row>
    <row r="118" spans="1:7" ht="17.100000000000001" customHeight="1" x14ac:dyDescent="0.2">
      <c r="A118" s="22"/>
      <c r="B118" s="259" t="s">
        <v>164</v>
      </c>
      <c r="C118" s="260"/>
      <c r="D118" s="28">
        <v>0.38744987229424194</v>
      </c>
      <c r="E118" s="22"/>
      <c r="F118" s="19"/>
      <c r="G118" s="25"/>
    </row>
    <row r="119" spans="1:7" ht="17.100000000000001" customHeight="1" x14ac:dyDescent="0.2">
      <c r="A119" s="22"/>
      <c r="B119" s="259" t="s">
        <v>165</v>
      </c>
      <c r="C119" s="260"/>
      <c r="D119" s="2" t="s">
        <v>152</v>
      </c>
      <c r="E119" s="22"/>
      <c r="F119" s="22"/>
      <c r="G119" s="22"/>
    </row>
  </sheetData>
  <mergeCells count="13">
    <mergeCell ref="J2:N2"/>
    <mergeCell ref="A2:H2"/>
    <mergeCell ref="A3:H3"/>
    <mergeCell ref="A1:H1"/>
    <mergeCell ref="B103:C103"/>
    <mergeCell ref="B118:C118"/>
    <mergeCell ref="B119:C119"/>
    <mergeCell ref="B104:C104"/>
    <mergeCell ref="B105:C105"/>
    <mergeCell ref="B106:C106"/>
    <mergeCell ref="B114:C114"/>
    <mergeCell ref="B116:C116"/>
    <mergeCell ref="B117:C11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N16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0.5703125" bestFit="1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94" t="s">
        <v>1149</v>
      </c>
      <c r="B2" s="295"/>
      <c r="C2" s="295"/>
      <c r="D2" s="295"/>
      <c r="E2" s="295"/>
      <c r="F2" s="295"/>
      <c r="G2" s="295"/>
      <c r="H2" s="296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369044</v>
      </c>
      <c r="F7" s="6">
        <v>9579.0905860000003</v>
      </c>
      <c r="G7" s="7">
        <v>5.7342252000000003E-2</v>
      </c>
      <c r="H7" s="47"/>
    </row>
    <row r="8" spans="1:14" ht="17.100000000000001" customHeight="1" x14ac:dyDescent="0.2">
      <c r="A8" s="3">
        <v>2</v>
      </c>
      <c r="B8" s="4" t="s">
        <v>46</v>
      </c>
      <c r="C8" s="4" t="s">
        <v>47</v>
      </c>
      <c r="D8" s="4" t="s">
        <v>19</v>
      </c>
      <c r="E8" s="5">
        <v>1539698</v>
      </c>
      <c r="F8" s="6">
        <v>7173.4529819999998</v>
      </c>
      <c r="G8" s="7">
        <v>4.2941648999999998E-2</v>
      </c>
      <c r="H8" s="47"/>
    </row>
    <row r="9" spans="1:14" ht="17.100000000000001" customHeight="1" x14ac:dyDescent="0.2">
      <c r="A9" s="3">
        <v>3</v>
      </c>
      <c r="B9" s="4" t="s">
        <v>358</v>
      </c>
      <c r="C9" s="4" t="s">
        <v>359</v>
      </c>
      <c r="D9" s="4" t="s">
        <v>19</v>
      </c>
      <c r="E9" s="5">
        <v>530246</v>
      </c>
      <c r="F9" s="6">
        <v>7147.7160800000001</v>
      </c>
      <c r="G9" s="7">
        <v>4.2787582999999997E-2</v>
      </c>
      <c r="H9" s="47"/>
    </row>
    <row r="10" spans="1:14" ht="17.100000000000001" customHeight="1" x14ac:dyDescent="0.2">
      <c r="A10" s="3">
        <v>4</v>
      </c>
      <c r="B10" s="4" t="s">
        <v>17</v>
      </c>
      <c r="C10" s="4" t="s">
        <v>18</v>
      </c>
      <c r="D10" s="4" t="s">
        <v>19</v>
      </c>
      <c r="E10" s="5">
        <v>993969</v>
      </c>
      <c r="F10" s="6">
        <v>7029.3487679999998</v>
      </c>
      <c r="G10" s="7">
        <v>4.2079013999999998E-2</v>
      </c>
      <c r="H10" s="47"/>
    </row>
    <row r="11" spans="1:14" ht="17.100000000000001" customHeight="1" x14ac:dyDescent="0.2">
      <c r="A11" s="3">
        <v>5</v>
      </c>
      <c r="B11" s="4" t="s">
        <v>393</v>
      </c>
      <c r="C11" s="4" t="s">
        <v>394</v>
      </c>
      <c r="D11" s="4" t="s">
        <v>191</v>
      </c>
      <c r="E11" s="5">
        <v>462217</v>
      </c>
      <c r="F11" s="6">
        <v>6757.1503229999998</v>
      </c>
      <c r="G11" s="7">
        <v>4.0449581999999998E-2</v>
      </c>
      <c r="H11" s="47"/>
    </row>
    <row r="12" spans="1:14" ht="53.1" customHeight="1" x14ac:dyDescent="0.2">
      <c r="A12" s="3">
        <v>6</v>
      </c>
      <c r="B12" s="4" t="s">
        <v>60</v>
      </c>
      <c r="C12" s="4" t="s">
        <v>61</v>
      </c>
      <c r="D12" s="4" t="s">
        <v>62</v>
      </c>
      <c r="E12" s="5">
        <v>3600690</v>
      </c>
      <c r="F12" s="6">
        <v>5321.8198199999997</v>
      </c>
      <c r="G12" s="7">
        <v>3.1857422000000003E-2</v>
      </c>
      <c r="H12" s="47"/>
    </row>
    <row r="13" spans="1:14" ht="17.100000000000001" customHeight="1" x14ac:dyDescent="0.2">
      <c r="A13" s="3">
        <v>7</v>
      </c>
      <c r="B13" s="4" t="s">
        <v>304</v>
      </c>
      <c r="C13" s="4" t="s">
        <v>305</v>
      </c>
      <c r="D13" s="4" t="s">
        <v>19</v>
      </c>
      <c r="E13" s="5">
        <v>741897</v>
      </c>
      <c r="F13" s="6">
        <v>4724.4000960000003</v>
      </c>
      <c r="G13" s="7">
        <v>2.8281153999999999E-2</v>
      </c>
      <c r="H13" s="47"/>
      <c r="J13" s="147" t="s">
        <v>1132</v>
      </c>
    </row>
    <row r="14" spans="1:14" ht="17.100000000000001" customHeight="1" x14ac:dyDescent="0.2">
      <c r="A14" s="3">
        <v>8</v>
      </c>
      <c r="B14" s="4" t="s">
        <v>36</v>
      </c>
      <c r="C14" s="4" t="s">
        <v>37</v>
      </c>
      <c r="D14" s="4" t="s">
        <v>28</v>
      </c>
      <c r="E14" s="5">
        <v>185969</v>
      </c>
      <c r="F14" s="6">
        <v>4093.5496280000002</v>
      </c>
      <c r="G14" s="7">
        <v>2.4504763999999998E-2</v>
      </c>
      <c r="H14" s="47"/>
    </row>
    <row r="15" spans="1:14" ht="17.100000000000001" customHeight="1" x14ac:dyDescent="0.2">
      <c r="A15" s="3">
        <v>9</v>
      </c>
      <c r="B15" s="4" t="s">
        <v>301</v>
      </c>
      <c r="C15" s="4" t="s">
        <v>302</v>
      </c>
      <c r="D15" s="4" t="s">
        <v>303</v>
      </c>
      <c r="E15" s="5">
        <v>9394</v>
      </c>
      <c r="F15" s="6">
        <v>3773.2410100000002</v>
      </c>
      <c r="G15" s="7">
        <v>2.2587336E-2</v>
      </c>
      <c r="H15" s="47"/>
    </row>
    <row r="16" spans="1:14" ht="29.1" customHeight="1" x14ac:dyDescent="0.2">
      <c r="A16" s="3">
        <v>10</v>
      </c>
      <c r="B16" s="4" t="s">
        <v>297</v>
      </c>
      <c r="C16" s="4" t="s">
        <v>298</v>
      </c>
      <c r="D16" s="4" t="s">
        <v>201</v>
      </c>
      <c r="E16" s="5">
        <v>164150</v>
      </c>
      <c r="F16" s="6">
        <v>3696.9863</v>
      </c>
      <c r="G16" s="7">
        <v>2.2130861000000002E-2</v>
      </c>
      <c r="H16" s="47"/>
    </row>
    <row r="17" spans="1:10" ht="17.100000000000001" customHeight="1" x14ac:dyDescent="0.2">
      <c r="A17" s="3">
        <v>11</v>
      </c>
      <c r="B17" s="4" t="s">
        <v>660</v>
      </c>
      <c r="C17" s="4" t="s">
        <v>661</v>
      </c>
      <c r="D17" s="4" t="s">
        <v>662</v>
      </c>
      <c r="E17" s="5">
        <v>16458</v>
      </c>
      <c r="F17" s="6">
        <v>3596.7395489999999</v>
      </c>
      <c r="G17" s="7">
        <v>2.1530765E-2</v>
      </c>
      <c r="H17" s="47"/>
    </row>
    <row r="18" spans="1:10" ht="17.100000000000001" customHeight="1" x14ac:dyDescent="0.2">
      <c r="A18" s="3">
        <v>12</v>
      </c>
      <c r="B18" s="4" t="s">
        <v>20</v>
      </c>
      <c r="C18" s="4" t="s">
        <v>21</v>
      </c>
      <c r="D18" s="4" t="s">
        <v>22</v>
      </c>
      <c r="E18" s="5">
        <v>503797</v>
      </c>
      <c r="F18" s="6">
        <v>3450.7575514999999</v>
      </c>
      <c r="G18" s="7">
        <v>2.0656889000000001E-2</v>
      </c>
      <c r="H18" s="47"/>
    </row>
    <row r="19" spans="1:10" ht="17.100000000000001" customHeight="1" x14ac:dyDescent="0.2">
      <c r="A19" s="3">
        <v>13</v>
      </c>
      <c r="B19" s="4" t="s">
        <v>434</v>
      </c>
      <c r="C19" s="4" t="s">
        <v>435</v>
      </c>
      <c r="D19" s="4" t="s">
        <v>19</v>
      </c>
      <c r="E19" s="5">
        <v>1899000</v>
      </c>
      <c r="F19" s="6">
        <v>3441.9375</v>
      </c>
      <c r="G19" s="7">
        <v>2.0604089999999999E-2</v>
      </c>
      <c r="H19" s="47"/>
    </row>
    <row r="20" spans="1:10" ht="29.1" customHeight="1" x14ac:dyDescent="0.2">
      <c r="A20" s="3">
        <v>14</v>
      </c>
      <c r="B20" s="4" t="s">
        <v>539</v>
      </c>
      <c r="C20" s="4" t="s">
        <v>540</v>
      </c>
      <c r="D20" s="4" t="s">
        <v>204</v>
      </c>
      <c r="E20" s="5">
        <v>719075</v>
      </c>
      <c r="F20" s="6">
        <v>3324.2837249999998</v>
      </c>
      <c r="G20" s="7">
        <v>1.9899791999999999E-2</v>
      </c>
      <c r="H20" s="47"/>
    </row>
    <row r="21" spans="1:10" ht="17.100000000000001" customHeight="1" x14ac:dyDescent="0.2">
      <c r="A21" s="3">
        <v>15</v>
      </c>
      <c r="B21" s="4" t="s">
        <v>83</v>
      </c>
      <c r="C21" s="4" t="s">
        <v>84</v>
      </c>
      <c r="D21" s="4" t="s">
        <v>85</v>
      </c>
      <c r="E21" s="5">
        <v>37000</v>
      </c>
      <c r="F21" s="6">
        <v>3134.1774999999998</v>
      </c>
      <c r="G21" s="7">
        <v>1.8761781000000002E-2</v>
      </c>
      <c r="H21" s="47"/>
    </row>
    <row r="22" spans="1:10" ht="29.1" customHeight="1" x14ac:dyDescent="0.2">
      <c r="A22" s="3">
        <v>16</v>
      </c>
      <c r="B22" s="4" t="s">
        <v>330</v>
      </c>
      <c r="C22" s="4" t="s">
        <v>331</v>
      </c>
      <c r="D22" s="4" t="s">
        <v>204</v>
      </c>
      <c r="E22" s="5">
        <v>115973</v>
      </c>
      <c r="F22" s="6">
        <v>3133.2425410000001</v>
      </c>
      <c r="G22" s="7">
        <v>1.8756183999999999E-2</v>
      </c>
      <c r="H22" s="47"/>
    </row>
    <row r="23" spans="1:10" ht="17.100000000000001" customHeight="1" x14ac:dyDescent="0.2">
      <c r="A23" s="3">
        <v>17</v>
      </c>
      <c r="B23" s="4" t="s">
        <v>397</v>
      </c>
      <c r="C23" s="4" t="s">
        <v>398</v>
      </c>
      <c r="D23" s="4" t="s">
        <v>191</v>
      </c>
      <c r="E23" s="5">
        <v>92000</v>
      </c>
      <c r="F23" s="6">
        <v>3005.732</v>
      </c>
      <c r="G23" s="7">
        <v>1.7992880999999999E-2</v>
      </c>
      <c r="H23" s="47"/>
    </row>
    <row r="24" spans="1:10" ht="17.100000000000001" customHeight="1" x14ac:dyDescent="0.2">
      <c r="A24" s="3">
        <v>18</v>
      </c>
      <c r="B24" s="4" t="s">
        <v>440</v>
      </c>
      <c r="C24" s="4" t="s">
        <v>441</v>
      </c>
      <c r="D24" s="4" t="s">
        <v>91</v>
      </c>
      <c r="E24" s="5">
        <v>53311</v>
      </c>
      <c r="F24" s="6">
        <v>2879.060555</v>
      </c>
      <c r="G24" s="7">
        <v>1.7234602000000002E-2</v>
      </c>
      <c r="H24" s="47"/>
      <c r="J24" s="147" t="s">
        <v>1133</v>
      </c>
    </row>
    <row r="25" spans="1:10" ht="17.100000000000001" customHeight="1" x14ac:dyDescent="0.2">
      <c r="A25" s="3">
        <v>19</v>
      </c>
      <c r="B25" s="4" t="s">
        <v>534</v>
      </c>
      <c r="C25" s="4" t="s">
        <v>535</v>
      </c>
      <c r="D25" s="4" t="s">
        <v>184</v>
      </c>
      <c r="E25" s="5">
        <v>75584</v>
      </c>
      <c r="F25" s="6">
        <v>2794.2271040000001</v>
      </c>
      <c r="G25" s="7">
        <v>1.6726773E-2</v>
      </c>
      <c r="H25" s="47"/>
    </row>
    <row r="26" spans="1:10" ht="17.100000000000001" customHeight="1" x14ac:dyDescent="0.2">
      <c r="A26" s="3">
        <v>20</v>
      </c>
      <c r="B26" s="4" t="s">
        <v>98</v>
      </c>
      <c r="C26" s="4" t="s">
        <v>99</v>
      </c>
      <c r="D26" s="4" t="s">
        <v>97</v>
      </c>
      <c r="E26" s="5">
        <v>367403</v>
      </c>
      <c r="F26" s="6">
        <v>2710.1482295000001</v>
      </c>
      <c r="G26" s="7">
        <v>1.6223461000000002E-2</v>
      </c>
      <c r="H26" s="47"/>
    </row>
    <row r="27" spans="1:10" ht="17.100000000000001" customHeight="1" x14ac:dyDescent="0.2">
      <c r="A27" s="3">
        <v>21</v>
      </c>
      <c r="B27" s="4" t="s">
        <v>95</v>
      </c>
      <c r="C27" s="4" t="s">
        <v>96</v>
      </c>
      <c r="D27" s="4" t="s">
        <v>97</v>
      </c>
      <c r="E27" s="5">
        <v>604958</v>
      </c>
      <c r="F27" s="6">
        <v>2688.433352</v>
      </c>
      <c r="G27" s="7">
        <v>1.6093472000000001E-2</v>
      </c>
      <c r="H27" s="47"/>
    </row>
    <row r="28" spans="1:10" ht="17.100000000000001" customHeight="1" x14ac:dyDescent="0.2">
      <c r="A28" s="3">
        <v>22</v>
      </c>
      <c r="B28" s="4" t="s">
        <v>442</v>
      </c>
      <c r="C28" s="4" t="s">
        <v>443</v>
      </c>
      <c r="D28" s="4" t="s">
        <v>85</v>
      </c>
      <c r="E28" s="5">
        <v>632528</v>
      </c>
      <c r="F28" s="6">
        <v>2604.7503040000001</v>
      </c>
      <c r="G28" s="7">
        <v>1.5592529000000001E-2</v>
      </c>
      <c r="H28" s="47"/>
    </row>
    <row r="29" spans="1:10" ht="17.100000000000001" customHeight="1" x14ac:dyDescent="0.2">
      <c r="A29" s="3">
        <v>23</v>
      </c>
      <c r="B29" s="4" t="s">
        <v>532</v>
      </c>
      <c r="C29" s="4" t="s">
        <v>533</v>
      </c>
      <c r="D29" s="4" t="s">
        <v>191</v>
      </c>
      <c r="E29" s="5">
        <v>178535</v>
      </c>
      <c r="F29" s="6">
        <v>2520.7356650000002</v>
      </c>
      <c r="G29" s="7">
        <v>1.5089600999999999E-2</v>
      </c>
      <c r="H29" s="47"/>
    </row>
    <row r="30" spans="1:10" ht="53.1" customHeight="1" x14ac:dyDescent="0.2">
      <c r="A30" s="3">
        <v>24</v>
      </c>
      <c r="B30" s="4" t="s">
        <v>100</v>
      </c>
      <c r="C30" s="4" t="s">
        <v>101</v>
      </c>
      <c r="D30" s="4" t="s">
        <v>62</v>
      </c>
      <c r="E30" s="5">
        <v>196629</v>
      </c>
      <c r="F30" s="6">
        <v>2467.7922644999999</v>
      </c>
      <c r="G30" s="7">
        <v>1.4772672000000001E-2</v>
      </c>
      <c r="H30" s="47"/>
    </row>
    <row r="31" spans="1:10" ht="17.100000000000001" customHeight="1" x14ac:dyDescent="0.2">
      <c r="A31" s="3">
        <v>25</v>
      </c>
      <c r="B31" s="4" t="s">
        <v>189</v>
      </c>
      <c r="C31" s="4" t="s">
        <v>190</v>
      </c>
      <c r="D31" s="4" t="s">
        <v>191</v>
      </c>
      <c r="E31" s="5">
        <v>474453</v>
      </c>
      <c r="F31" s="6">
        <v>2456.0059544999999</v>
      </c>
      <c r="G31" s="7">
        <v>1.4702117000000001E-2</v>
      </c>
      <c r="H31" s="47"/>
    </row>
    <row r="32" spans="1:10" ht="29.1" customHeight="1" x14ac:dyDescent="0.2">
      <c r="A32" s="3">
        <v>26</v>
      </c>
      <c r="B32" s="4" t="s">
        <v>175</v>
      </c>
      <c r="C32" s="4" t="s">
        <v>176</v>
      </c>
      <c r="D32" s="4" t="s">
        <v>88</v>
      </c>
      <c r="E32" s="5">
        <v>698963</v>
      </c>
      <c r="F32" s="6">
        <v>2377.5226444999998</v>
      </c>
      <c r="G32" s="7">
        <v>1.4232300999999999E-2</v>
      </c>
      <c r="H32" s="47"/>
    </row>
    <row r="33" spans="1:8" ht="17.100000000000001" customHeight="1" x14ac:dyDescent="0.2">
      <c r="A33" s="3">
        <v>27</v>
      </c>
      <c r="B33" s="4" t="s">
        <v>254</v>
      </c>
      <c r="C33" s="4" t="s">
        <v>255</v>
      </c>
      <c r="D33" s="4" t="s">
        <v>28</v>
      </c>
      <c r="E33" s="5">
        <v>205288</v>
      </c>
      <c r="F33" s="6">
        <v>2366.046844</v>
      </c>
      <c r="G33" s="7">
        <v>1.4163604999999999E-2</v>
      </c>
      <c r="H33" s="47"/>
    </row>
    <row r="34" spans="1:8" ht="29.1" customHeight="1" x14ac:dyDescent="0.2">
      <c r="A34" s="3">
        <v>28</v>
      </c>
      <c r="B34" s="4" t="s">
        <v>199</v>
      </c>
      <c r="C34" s="4" t="s">
        <v>200</v>
      </c>
      <c r="D34" s="4" t="s">
        <v>201</v>
      </c>
      <c r="E34" s="5">
        <v>58000</v>
      </c>
      <c r="F34" s="6">
        <v>2117.9279999999999</v>
      </c>
      <c r="G34" s="7">
        <v>1.2678317999999999E-2</v>
      </c>
      <c r="H34" s="47"/>
    </row>
    <row r="35" spans="1:8" ht="17.100000000000001" customHeight="1" x14ac:dyDescent="0.2">
      <c r="A35" s="3">
        <v>29</v>
      </c>
      <c r="B35" s="4" t="s">
        <v>187</v>
      </c>
      <c r="C35" s="4" t="s">
        <v>188</v>
      </c>
      <c r="D35" s="4" t="s">
        <v>91</v>
      </c>
      <c r="E35" s="5">
        <v>492570</v>
      </c>
      <c r="F35" s="6">
        <v>2100.0721950000002</v>
      </c>
      <c r="G35" s="7">
        <v>1.257143E-2</v>
      </c>
      <c r="H35" s="47"/>
    </row>
    <row r="36" spans="1:8" ht="17.100000000000001" customHeight="1" x14ac:dyDescent="0.2">
      <c r="A36" s="3">
        <v>30</v>
      </c>
      <c r="B36" s="4" t="s">
        <v>432</v>
      </c>
      <c r="C36" s="4" t="s">
        <v>433</v>
      </c>
      <c r="D36" s="4" t="s">
        <v>94</v>
      </c>
      <c r="E36" s="5">
        <v>379063</v>
      </c>
      <c r="F36" s="6">
        <v>2099.2508939999998</v>
      </c>
      <c r="G36" s="7">
        <v>1.2566514000000001E-2</v>
      </c>
      <c r="H36" s="47"/>
    </row>
    <row r="37" spans="1:8" ht="29.1" customHeight="1" x14ac:dyDescent="0.2">
      <c r="A37" s="3">
        <v>31</v>
      </c>
      <c r="B37" s="4" t="s">
        <v>89</v>
      </c>
      <c r="C37" s="4" t="s">
        <v>90</v>
      </c>
      <c r="D37" s="4" t="s">
        <v>91</v>
      </c>
      <c r="E37" s="5">
        <v>335461</v>
      </c>
      <c r="F37" s="6">
        <v>2078.180895</v>
      </c>
      <c r="G37" s="7">
        <v>1.2440385E-2</v>
      </c>
      <c r="H37" s="47"/>
    </row>
    <row r="38" spans="1:8" ht="17.100000000000001" customHeight="1" x14ac:dyDescent="0.2">
      <c r="A38" s="3">
        <v>32</v>
      </c>
      <c r="B38" s="4" t="s">
        <v>524</v>
      </c>
      <c r="C38" s="4" t="s">
        <v>525</v>
      </c>
      <c r="D38" s="4" t="s">
        <v>184</v>
      </c>
      <c r="E38" s="5">
        <v>90303</v>
      </c>
      <c r="F38" s="6">
        <v>2038.8159825</v>
      </c>
      <c r="G38" s="7">
        <v>1.2204738999999999E-2</v>
      </c>
      <c r="H38" s="47"/>
    </row>
    <row r="39" spans="1:8" ht="17.100000000000001" customHeight="1" x14ac:dyDescent="0.2">
      <c r="A39" s="3">
        <v>33</v>
      </c>
      <c r="B39" s="4" t="s">
        <v>364</v>
      </c>
      <c r="C39" s="4" t="s">
        <v>365</v>
      </c>
      <c r="D39" s="4" t="s">
        <v>91</v>
      </c>
      <c r="E39" s="5">
        <v>18101</v>
      </c>
      <c r="F39" s="6">
        <v>1978.7560675</v>
      </c>
      <c r="G39" s="7">
        <v>1.1845209000000001E-2</v>
      </c>
      <c r="H39" s="47"/>
    </row>
    <row r="40" spans="1:8" ht="17.100000000000001" customHeight="1" x14ac:dyDescent="0.2">
      <c r="A40" s="3">
        <v>34</v>
      </c>
      <c r="B40" s="4" t="s">
        <v>376</v>
      </c>
      <c r="C40" s="4" t="s">
        <v>377</v>
      </c>
      <c r="D40" s="4" t="s">
        <v>88</v>
      </c>
      <c r="E40" s="5">
        <v>314277</v>
      </c>
      <c r="F40" s="6">
        <v>1881.7335375</v>
      </c>
      <c r="G40" s="7">
        <v>1.1264414E-2</v>
      </c>
      <c r="H40" s="47"/>
    </row>
    <row r="41" spans="1:8" ht="17.100000000000001" customHeight="1" x14ac:dyDescent="0.2">
      <c r="A41" s="3">
        <v>35</v>
      </c>
      <c r="B41" s="4" t="s">
        <v>380</v>
      </c>
      <c r="C41" s="4" t="s">
        <v>381</v>
      </c>
      <c r="D41" s="4" t="s">
        <v>88</v>
      </c>
      <c r="E41" s="5">
        <v>51713</v>
      </c>
      <c r="F41" s="6">
        <v>1848.73975</v>
      </c>
      <c r="G41" s="7">
        <v>1.1066907000000001E-2</v>
      </c>
      <c r="H41" s="47"/>
    </row>
    <row r="42" spans="1:8" ht="17.100000000000001" customHeight="1" x14ac:dyDescent="0.2">
      <c r="A42" s="3">
        <v>36</v>
      </c>
      <c r="B42" s="4" t="s">
        <v>528</v>
      </c>
      <c r="C42" s="4" t="s">
        <v>529</v>
      </c>
      <c r="D42" s="4" t="s">
        <v>296</v>
      </c>
      <c r="E42" s="5">
        <v>210000</v>
      </c>
      <c r="F42" s="6">
        <v>1832.25</v>
      </c>
      <c r="G42" s="7">
        <v>1.0968196E-2</v>
      </c>
      <c r="H42" s="47"/>
    </row>
    <row r="43" spans="1:8" ht="17.100000000000001" customHeight="1" x14ac:dyDescent="0.2">
      <c r="A43" s="3">
        <v>37</v>
      </c>
      <c r="B43" s="4" t="s">
        <v>446</v>
      </c>
      <c r="C43" s="4" t="s">
        <v>447</v>
      </c>
      <c r="D43" s="4" t="s">
        <v>312</v>
      </c>
      <c r="E43" s="5">
        <v>51000</v>
      </c>
      <c r="F43" s="6">
        <v>1737.1110000000001</v>
      </c>
      <c r="G43" s="7">
        <v>1.0398676000000001E-2</v>
      </c>
      <c r="H43" s="47"/>
    </row>
    <row r="44" spans="1:8" ht="17.100000000000001" customHeight="1" x14ac:dyDescent="0.2">
      <c r="A44" s="3">
        <v>38</v>
      </c>
      <c r="B44" s="4" t="s">
        <v>26</v>
      </c>
      <c r="C44" s="4" t="s">
        <v>27</v>
      </c>
      <c r="D44" s="4" t="s">
        <v>28</v>
      </c>
      <c r="E44" s="5">
        <v>100996</v>
      </c>
      <c r="F44" s="6">
        <v>1699.8131780000001</v>
      </c>
      <c r="G44" s="7">
        <v>1.0175404000000001E-2</v>
      </c>
      <c r="H44" s="47"/>
    </row>
    <row r="45" spans="1:8" ht="17.100000000000001" customHeight="1" x14ac:dyDescent="0.2">
      <c r="A45" s="3">
        <v>39</v>
      </c>
      <c r="B45" s="4" t="s">
        <v>541</v>
      </c>
      <c r="C45" s="4" t="s">
        <v>542</v>
      </c>
      <c r="D45" s="4" t="s">
        <v>88</v>
      </c>
      <c r="E45" s="5">
        <v>621211</v>
      </c>
      <c r="F45" s="6">
        <v>1690.0045255</v>
      </c>
      <c r="G45" s="7">
        <v>1.0116686999999999E-2</v>
      </c>
      <c r="H45" s="47"/>
    </row>
    <row r="46" spans="1:8" ht="17.100000000000001" customHeight="1" x14ac:dyDescent="0.2">
      <c r="A46" s="3">
        <v>40</v>
      </c>
      <c r="B46" s="4" t="s">
        <v>384</v>
      </c>
      <c r="C46" s="4" t="s">
        <v>385</v>
      </c>
      <c r="D46" s="4" t="s">
        <v>88</v>
      </c>
      <c r="E46" s="5">
        <v>167824</v>
      </c>
      <c r="F46" s="6">
        <v>1590.468048</v>
      </c>
      <c r="G46" s="7">
        <v>9.5208429999999993E-3</v>
      </c>
      <c r="H46" s="47"/>
    </row>
    <row r="47" spans="1:8" ht="17.100000000000001" customHeight="1" x14ac:dyDescent="0.2">
      <c r="A47" s="3">
        <v>41</v>
      </c>
      <c r="B47" s="4" t="s">
        <v>343</v>
      </c>
      <c r="C47" s="4" t="s">
        <v>344</v>
      </c>
      <c r="D47" s="4" t="s">
        <v>91</v>
      </c>
      <c r="E47" s="5">
        <v>265000</v>
      </c>
      <c r="F47" s="6">
        <v>1571.98</v>
      </c>
      <c r="G47" s="7">
        <v>9.4101700000000007E-3</v>
      </c>
      <c r="H47" s="47"/>
    </row>
    <row r="48" spans="1:8" ht="17.100000000000001" customHeight="1" x14ac:dyDescent="0.2">
      <c r="A48" s="3">
        <v>42</v>
      </c>
      <c r="B48" s="4" t="s">
        <v>366</v>
      </c>
      <c r="C48" s="4" t="s">
        <v>367</v>
      </c>
      <c r="D48" s="4" t="s">
        <v>209</v>
      </c>
      <c r="E48" s="5">
        <v>640000</v>
      </c>
      <c r="F48" s="6">
        <v>1536</v>
      </c>
      <c r="G48" s="7">
        <v>9.1947869999999994E-3</v>
      </c>
      <c r="H48" s="47"/>
    </row>
    <row r="49" spans="1:8" ht="17.100000000000001" customHeight="1" x14ac:dyDescent="0.2">
      <c r="A49" s="3">
        <v>43</v>
      </c>
      <c r="B49" s="4" t="s">
        <v>444</v>
      </c>
      <c r="C49" s="4" t="s">
        <v>445</v>
      </c>
      <c r="D49" s="4" t="s">
        <v>45</v>
      </c>
      <c r="E49" s="5">
        <v>94469</v>
      </c>
      <c r="F49" s="6">
        <v>1506.2137359999999</v>
      </c>
      <c r="G49" s="7">
        <v>9.0164809999999998E-3</v>
      </c>
      <c r="H49" s="47"/>
    </row>
    <row r="50" spans="1:8" ht="29.1" customHeight="1" x14ac:dyDescent="0.2">
      <c r="A50" s="3">
        <v>44</v>
      </c>
      <c r="B50" s="4" t="s">
        <v>362</v>
      </c>
      <c r="C50" s="4" t="s">
        <v>363</v>
      </c>
      <c r="D50" s="4" t="s">
        <v>94</v>
      </c>
      <c r="E50" s="5">
        <v>19364</v>
      </c>
      <c r="F50" s="6">
        <v>1494.242424</v>
      </c>
      <c r="G50" s="7">
        <v>8.9448180000000002E-3</v>
      </c>
      <c r="H50" s="47"/>
    </row>
    <row r="51" spans="1:8" ht="17.100000000000001" customHeight="1" x14ac:dyDescent="0.2">
      <c r="A51" s="3">
        <v>45</v>
      </c>
      <c r="B51" s="4" t="s">
        <v>426</v>
      </c>
      <c r="C51" s="4" t="s">
        <v>427</v>
      </c>
      <c r="D51" s="4" t="s">
        <v>428</v>
      </c>
      <c r="E51" s="5">
        <v>424719</v>
      </c>
      <c r="F51" s="6">
        <v>1438.3108935</v>
      </c>
      <c r="G51" s="7">
        <v>8.6100020000000003E-3</v>
      </c>
      <c r="H51" s="47"/>
    </row>
    <row r="52" spans="1:8" ht="17.100000000000001" customHeight="1" x14ac:dyDescent="0.2">
      <c r="A52" s="3">
        <v>46</v>
      </c>
      <c r="B52" s="4" t="s">
        <v>547</v>
      </c>
      <c r="C52" s="4" t="s">
        <v>548</v>
      </c>
      <c r="D52" s="4" t="s">
        <v>94</v>
      </c>
      <c r="E52" s="5">
        <v>478148</v>
      </c>
      <c r="F52" s="6">
        <v>1434.9221480000001</v>
      </c>
      <c r="G52" s="7">
        <v>8.5897160000000007E-3</v>
      </c>
      <c r="H52" s="47"/>
    </row>
    <row r="53" spans="1:8" ht="29.1" customHeight="1" x14ac:dyDescent="0.2">
      <c r="A53" s="3">
        <v>47</v>
      </c>
      <c r="B53" s="4" t="s">
        <v>625</v>
      </c>
      <c r="C53" s="4" t="s">
        <v>626</v>
      </c>
      <c r="D53" s="4" t="s">
        <v>201</v>
      </c>
      <c r="E53" s="5">
        <v>90000</v>
      </c>
      <c r="F53" s="6">
        <v>1341.0450000000001</v>
      </c>
      <c r="G53" s="7">
        <v>8.0277500000000002E-3</v>
      </c>
      <c r="H53" s="47"/>
    </row>
    <row r="54" spans="1:8" ht="17.100000000000001" customHeight="1" x14ac:dyDescent="0.2">
      <c r="A54" s="3">
        <v>48</v>
      </c>
      <c r="B54" s="4" t="s">
        <v>63</v>
      </c>
      <c r="C54" s="4" t="s">
        <v>64</v>
      </c>
      <c r="D54" s="4" t="s">
        <v>13</v>
      </c>
      <c r="E54" s="5">
        <v>527540</v>
      </c>
      <c r="F54" s="6">
        <v>1277.4381100000001</v>
      </c>
      <c r="G54" s="7">
        <v>7.6469870000000001E-3</v>
      </c>
      <c r="H54" s="47"/>
    </row>
    <row r="55" spans="1:8" ht="29.1" customHeight="1" x14ac:dyDescent="0.2">
      <c r="A55" s="3">
        <v>49</v>
      </c>
      <c r="B55" s="4" t="s">
        <v>52</v>
      </c>
      <c r="C55" s="4" t="s">
        <v>53</v>
      </c>
      <c r="D55" s="4" t="s">
        <v>25</v>
      </c>
      <c r="E55" s="5">
        <v>58907</v>
      </c>
      <c r="F55" s="6">
        <v>1242.3191764999999</v>
      </c>
      <c r="G55" s="7">
        <v>7.4367579999999999E-3</v>
      </c>
      <c r="H55" s="47"/>
    </row>
    <row r="56" spans="1:8" ht="17.100000000000001" customHeight="1" x14ac:dyDescent="0.2">
      <c r="A56" s="3">
        <v>50</v>
      </c>
      <c r="B56" s="4" t="s">
        <v>403</v>
      </c>
      <c r="C56" s="4" t="s">
        <v>404</v>
      </c>
      <c r="D56" s="4" t="s">
        <v>405</v>
      </c>
      <c r="E56" s="5">
        <v>55280</v>
      </c>
      <c r="F56" s="6">
        <v>1233.0756799999999</v>
      </c>
      <c r="G56" s="7">
        <v>7.3814249999999996E-3</v>
      </c>
      <c r="H56" s="47"/>
    </row>
    <row r="57" spans="1:8" ht="17.100000000000001" customHeight="1" x14ac:dyDescent="0.2">
      <c r="A57" s="3">
        <v>51</v>
      </c>
      <c r="B57" s="4" t="s">
        <v>92</v>
      </c>
      <c r="C57" s="4" t="s">
        <v>93</v>
      </c>
      <c r="D57" s="4" t="s">
        <v>94</v>
      </c>
      <c r="E57" s="5">
        <v>52890</v>
      </c>
      <c r="F57" s="6">
        <v>1211.4454499999999</v>
      </c>
      <c r="G57" s="7">
        <v>7.2519419999999999E-3</v>
      </c>
      <c r="H57" s="47"/>
    </row>
    <row r="58" spans="1:8" ht="17.100000000000001" customHeight="1" x14ac:dyDescent="0.2">
      <c r="A58" s="3">
        <v>52</v>
      </c>
      <c r="B58" s="4" t="s">
        <v>563</v>
      </c>
      <c r="C58" s="4" t="s">
        <v>564</v>
      </c>
      <c r="D58" s="4" t="s">
        <v>88</v>
      </c>
      <c r="E58" s="5">
        <v>187368</v>
      </c>
      <c r="F58" s="6">
        <v>1173.86052</v>
      </c>
      <c r="G58" s="7">
        <v>7.0269520000000004E-3</v>
      </c>
      <c r="H58" s="47"/>
    </row>
    <row r="59" spans="1:8" ht="17.100000000000001" customHeight="1" x14ac:dyDescent="0.2">
      <c r="A59" s="3">
        <v>53</v>
      </c>
      <c r="B59" s="4" t="s">
        <v>182</v>
      </c>
      <c r="C59" s="4" t="s">
        <v>183</v>
      </c>
      <c r="D59" s="4" t="s">
        <v>184</v>
      </c>
      <c r="E59" s="5">
        <v>88413</v>
      </c>
      <c r="F59" s="6">
        <v>1156.3978334999999</v>
      </c>
      <c r="G59" s="7">
        <v>6.9224170000000002E-3</v>
      </c>
      <c r="H59" s="47"/>
    </row>
    <row r="60" spans="1:8" ht="17.100000000000001" customHeight="1" x14ac:dyDescent="0.2">
      <c r="A60" s="3">
        <v>54</v>
      </c>
      <c r="B60" s="4" t="s">
        <v>349</v>
      </c>
      <c r="C60" s="4" t="s">
        <v>350</v>
      </c>
      <c r="D60" s="4" t="s">
        <v>351</v>
      </c>
      <c r="E60" s="5">
        <v>240639</v>
      </c>
      <c r="F60" s="6">
        <v>1011.2853975</v>
      </c>
      <c r="G60" s="7">
        <v>6.0537459999999996E-3</v>
      </c>
      <c r="H60" s="47"/>
    </row>
    <row r="61" spans="1:8" ht="17.100000000000001" customHeight="1" x14ac:dyDescent="0.2">
      <c r="A61" s="3">
        <v>55</v>
      </c>
      <c r="B61" s="4" t="s">
        <v>549</v>
      </c>
      <c r="C61" s="4" t="s">
        <v>550</v>
      </c>
      <c r="D61" s="4" t="s">
        <v>85</v>
      </c>
      <c r="E61" s="5">
        <v>88379</v>
      </c>
      <c r="F61" s="6">
        <v>903.89622250000002</v>
      </c>
      <c r="G61" s="7">
        <v>5.4108940000000003E-3</v>
      </c>
      <c r="H61" s="47"/>
    </row>
    <row r="62" spans="1:8" ht="17.100000000000001" customHeight="1" x14ac:dyDescent="0.2">
      <c r="A62" s="3">
        <v>56</v>
      </c>
      <c r="B62" s="4" t="s">
        <v>306</v>
      </c>
      <c r="C62" s="4" t="s">
        <v>307</v>
      </c>
      <c r="D62" s="4" t="s">
        <v>19</v>
      </c>
      <c r="E62" s="5">
        <v>831718</v>
      </c>
      <c r="F62" s="6">
        <v>810.09333200000003</v>
      </c>
      <c r="G62" s="7">
        <v>4.8493720000000002E-3</v>
      </c>
      <c r="H62" s="47"/>
    </row>
    <row r="63" spans="1:8" ht="17.100000000000001" customHeight="1" x14ac:dyDescent="0.2">
      <c r="A63" s="3">
        <v>57</v>
      </c>
      <c r="B63" s="4" t="s">
        <v>86</v>
      </c>
      <c r="C63" s="4" t="s">
        <v>87</v>
      </c>
      <c r="D63" s="4" t="s">
        <v>88</v>
      </c>
      <c r="E63" s="5">
        <v>176148</v>
      </c>
      <c r="F63" s="6">
        <v>763.95387600000004</v>
      </c>
      <c r="G63" s="7">
        <v>4.5731729999999998E-3</v>
      </c>
      <c r="H63" s="47"/>
    </row>
    <row r="64" spans="1:8" ht="29.1" customHeight="1" x14ac:dyDescent="0.2">
      <c r="A64" s="3">
        <v>58</v>
      </c>
      <c r="B64" s="4" t="s">
        <v>522</v>
      </c>
      <c r="C64" s="4" t="s">
        <v>523</v>
      </c>
      <c r="D64" s="4" t="s">
        <v>204</v>
      </c>
      <c r="E64" s="5">
        <v>96183</v>
      </c>
      <c r="F64" s="6">
        <v>758.83577849999995</v>
      </c>
      <c r="G64" s="7">
        <v>4.5425350000000003E-3</v>
      </c>
      <c r="H64" s="47"/>
    </row>
    <row r="65" spans="1:8" ht="17.100000000000001" customHeight="1" x14ac:dyDescent="0.2">
      <c r="A65" s="3">
        <v>59</v>
      </c>
      <c r="B65" s="4" t="s">
        <v>575</v>
      </c>
      <c r="C65" s="4" t="s">
        <v>576</v>
      </c>
      <c r="D65" s="4" t="s">
        <v>209</v>
      </c>
      <c r="E65" s="5">
        <v>50000</v>
      </c>
      <c r="F65" s="6">
        <v>703.22500000000002</v>
      </c>
      <c r="G65" s="7">
        <v>4.2096379999999999E-3</v>
      </c>
      <c r="H65" s="47"/>
    </row>
    <row r="66" spans="1:8" ht="17.100000000000001" customHeight="1" x14ac:dyDescent="0.2">
      <c r="A66" s="3">
        <v>60</v>
      </c>
      <c r="B66" s="4" t="s">
        <v>106</v>
      </c>
      <c r="C66" s="4" t="s">
        <v>107</v>
      </c>
      <c r="D66" s="4" t="s">
        <v>88</v>
      </c>
      <c r="E66" s="5">
        <v>30850</v>
      </c>
      <c r="F66" s="6">
        <v>693.09152500000005</v>
      </c>
      <c r="G66" s="7">
        <v>4.1489769999999999E-3</v>
      </c>
      <c r="H66" s="47"/>
    </row>
    <row r="67" spans="1:8" ht="29.1" customHeight="1" x14ac:dyDescent="0.2">
      <c r="A67" s="3">
        <v>61</v>
      </c>
      <c r="B67" s="4" t="s">
        <v>390</v>
      </c>
      <c r="C67" s="4" t="s">
        <v>391</v>
      </c>
      <c r="D67" s="4" t="s">
        <v>201</v>
      </c>
      <c r="E67" s="5">
        <v>113031</v>
      </c>
      <c r="F67" s="6">
        <v>689.60213099999999</v>
      </c>
      <c r="G67" s="7">
        <v>4.1280889999999997E-3</v>
      </c>
      <c r="H67" s="47"/>
    </row>
    <row r="68" spans="1:8" ht="17.100000000000001" customHeight="1" x14ac:dyDescent="0.2">
      <c r="A68" s="3">
        <v>62</v>
      </c>
      <c r="B68" s="4" t="s">
        <v>555</v>
      </c>
      <c r="C68" s="4" t="s">
        <v>556</v>
      </c>
      <c r="D68" s="4" t="s">
        <v>13</v>
      </c>
      <c r="E68" s="5">
        <v>258712</v>
      </c>
      <c r="F68" s="6">
        <v>602.928316</v>
      </c>
      <c r="G68" s="7">
        <v>3.6092429999999998E-3</v>
      </c>
      <c r="H68" s="47"/>
    </row>
    <row r="69" spans="1:8" ht="17.100000000000001" customHeight="1" x14ac:dyDescent="0.2">
      <c r="A69" s="3">
        <v>63</v>
      </c>
      <c r="B69" s="4" t="s">
        <v>169</v>
      </c>
      <c r="C69" s="4" t="s">
        <v>170</v>
      </c>
      <c r="D69" s="4" t="s">
        <v>171</v>
      </c>
      <c r="E69" s="5">
        <v>50981</v>
      </c>
      <c r="F69" s="6">
        <v>540.55154300000004</v>
      </c>
      <c r="G69" s="7">
        <v>3.2358439999999999E-3</v>
      </c>
      <c r="H69" s="47"/>
    </row>
    <row r="70" spans="1:8" ht="29.1" customHeight="1" x14ac:dyDescent="0.2">
      <c r="A70" s="3">
        <v>64</v>
      </c>
      <c r="B70" s="4" t="s">
        <v>526</v>
      </c>
      <c r="C70" s="4" t="s">
        <v>527</v>
      </c>
      <c r="D70" s="4" t="s">
        <v>201</v>
      </c>
      <c r="E70" s="5">
        <v>30432</v>
      </c>
      <c r="F70" s="6">
        <v>396.194208</v>
      </c>
      <c r="G70" s="7">
        <v>2.3716940000000001E-3</v>
      </c>
      <c r="H70" s="47"/>
    </row>
    <row r="71" spans="1:8" ht="14.1" customHeight="1" x14ac:dyDescent="0.2">
      <c r="A71" s="1"/>
      <c r="B71" s="1"/>
      <c r="C71" s="2" t="s">
        <v>122</v>
      </c>
      <c r="D71" s="1"/>
      <c r="E71" s="1" t="s">
        <v>123</v>
      </c>
      <c r="F71" s="9">
        <f>SUM(F7:F70)</f>
        <v>158432.38125050004</v>
      </c>
      <c r="G71" s="10">
        <f>SUM(G7:G70)</f>
        <v>0.94840626400000017</v>
      </c>
      <c r="H71" s="47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47"/>
    </row>
    <row r="73" spans="1:8" ht="14.1" customHeight="1" x14ac:dyDescent="0.2">
      <c r="A73" s="1"/>
      <c r="B73" s="1"/>
      <c r="C73" s="2" t="s">
        <v>124</v>
      </c>
      <c r="D73" s="1"/>
      <c r="E73" s="1"/>
      <c r="F73" s="1"/>
      <c r="G73" s="1"/>
      <c r="H73" s="47"/>
    </row>
    <row r="74" spans="1:8" ht="14.1" customHeight="1" x14ac:dyDescent="0.2">
      <c r="A74" s="1"/>
      <c r="B74" s="1"/>
      <c r="C74" s="2" t="s">
        <v>122</v>
      </c>
      <c r="D74" s="1"/>
      <c r="E74" s="1" t="s">
        <v>123</v>
      </c>
      <c r="F74" s="13">
        <v>0</v>
      </c>
      <c r="G74" s="14">
        <v>0</v>
      </c>
      <c r="H74" s="47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47"/>
    </row>
    <row r="76" spans="1:8" ht="14.1" customHeight="1" x14ac:dyDescent="0.2">
      <c r="A76" s="1"/>
      <c r="B76" s="1"/>
      <c r="C76" s="2" t="s">
        <v>125</v>
      </c>
      <c r="D76" s="1"/>
      <c r="E76" s="1"/>
      <c r="F76" s="1"/>
      <c r="G76" s="1"/>
      <c r="H76" s="47"/>
    </row>
    <row r="77" spans="1:8" ht="17.100000000000001" customHeight="1" x14ac:dyDescent="0.2">
      <c r="A77" s="3">
        <v>1</v>
      </c>
      <c r="B77" s="4" t="s">
        <v>663</v>
      </c>
      <c r="C77" s="4" t="s">
        <v>1042</v>
      </c>
      <c r="D77" s="4" t="s">
        <v>174</v>
      </c>
      <c r="E77" s="5">
        <v>511578</v>
      </c>
      <c r="F77" s="6">
        <v>32.024782799999997</v>
      </c>
      <c r="G77" s="7">
        <v>1.9170600000000001E-4</v>
      </c>
      <c r="H77" s="47"/>
    </row>
    <row r="78" spans="1:8" ht="17.100000000000001" customHeight="1" x14ac:dyDescent="0.2">
      <c r="A78" s="3">
        <v>2</v>
      </c>
      <c r="B78" s="4" t="s">
        <v>664</v>
      </c>
      <c r="C78" s="4" t="s">
        <v>1048</v>
      </c>
      <c r="D78" s="4" t="s">
        <v>184</v>
      </c>
      <c r="E78" s="5">
        <v>39500</v>
      </c>
      <c r="F78" s="6">
        <v>21.859300000000001</v>
      </c>
      <c r="G78" s="7">
        <v>1.3085399999999999E-4</v>
      </c>
      <c r="H78" s="47"/>
    </row>
    <row r="79" spans="1:8" ht="31.5" customHeight="1" x14ac:dyDescent="0.2">
      <c r="A79" s="3">
        <v>3</v>
      </c>
      <c r="B79" s="4" t="s">
        <v>665</v>
      </c>
      <c r="C79" s="4" t="s">
        <v>1049</v>
      </c>
      <c r="D79" s="4" t="s">
        <v>285</v>
      </c>
      <c r="E79" s="5">
        <v>200000</v>
      </c>
      <c r="F79" s="6">
        <v>1.9999999999999999E-6</v>
      </c>
      <c r="G79" s="8" t="s">
        <v>121</v>
      </c>
      <c r="H79" s="47"/>
    </row>
    <row r="80" spans="1:8" ht="17.100000000000001" customHeight="1" x14ac:dyDescent="0.2">
      <c r="A80" s="3">
        <v>4</v>
      </c>
      <c r="B80" s="4" t="s">
        <v>666</v>
      </c>
      <c r="C80" s="4" t="s">
        <v>1050</v>
      </c>
      <c r="D80" s="4"/>
      <c r="E80" s="5">
        <v>176305</v>
      </c>
      <c r="F80" s="6">
        <v>1.7630000000000001E-6</v>
      </c>
      <c r="G80" s="8" t="s">
        <v>121</v>
      </c>
      <c r="H80" s="47"/>
    </row>
    <row r="81" spans="1:8" ht="17.100000000000001" customHeight="1" x14ac:dyDescent="0.2">
      <c r="A81" s="3">
        <v>5</v>
      </c>
      <c r="B81" s="4" t="s">
        <v>667</v>
      </c>
      <c r="C81" s="4" t="s">
        <v>1051</v>
      </c>
      <c r="D81" s="4"/>
      <c r="E81" s="5">
        <v>200</v>
      </c>
      <c r="F81" s="6">
        <v>2.0000000000000001E-9</v>
      </c>
      <c r="G81" s="8" t="s">
        <v>121</v>
      </c>
      <c r="H81" s="47"/>
    </row>
    <row r="82" spans="1:8" ht="17.100000000000001" customHeight="1" x14ac:dyDescent="0.2">
      <c r="A82" s="3">
        <v>6</v>
      </c>
      <c r="B82" s="4" t="s">
        <v>668</v>
      </c>
      <c r="C82" s="4" t="s">
        <v>1052</v>
      </c>
      <c r="D82" s="4"/>
      <c r="E82" s="5">
        <v>93200</v>
      </c>
      <c r="F82" s="6">
        <v>9.3200000000000003E-7</v>
      </c>
      <c r="G82" s="8" t="s">
        <v>121</v>
      </c>
      <c r="H82" s="47"/>
    </row>
    <row r="83" spans="1:8" ht="29.1" customHeight="1" x14ac:dyDescent="0.2">
      <c r="A83" s="3">
        <v>7</v>
      </c>
      <c r="B83" s="4" t="s">
        <v>669</v>
      </c>
      <c r="C83" s="4" t="s">
        <v>1053</v>
      </c>
      <c r="D83" s="4" t="s">
        <v>45</v>
      </c>
      <c r="E83" s="5">
        <v>54000</v>
      </c>
      <c r="F83" s="6">
        <v>5.4000000000000002E-7</v>
      </c>
      <c r="G83" s="8" t="s">
        <v>121</v>
      </c>
      <c r="H83" s="47"/>
    </row>
    <row r="84" spans="1:8" ht="29.1" customHeight="1" x14ac:dyDescent="0.2">
      <c r="A84" s="3">
        <v>8</v>
      </c>
      <c r="B84" s="4" t="s">
        <v>670</v>
      </c>
      <c r="C84" s="4" t="s">
        <v>1054</v>
      </c>
      <c r="D84" s="4" t="s">
        <v>292</v>
      </c>
      <c r="E84" s="5">
        <v>50800</v>
      </c>
      <c r="F84" s="6">
        <v>5.0800000000000005E-7</v>
      </c>
      <c r="G84" s="8" t="s">
        <v>121</v>
      </c>
      <c r="H84" s="47"/>
    </row>
    <row r="85" spans="1:8" ht="14.1" customHeight="1" x14ac:dyDescent="0.2">
      <c r="A85" s="1"/>
      <c r="B85" s="1"/>
      <c r="C85" s="2" t="s">
        <v>122</v>
      </c>
      <c r="D85" s="1"/>
      <c r="E85" s="1" t="s">
        <v>123</v>
      </c>
      <c r="F85" s="13">
        <f>SUM(F77:F84)</f>
        <v>53.884088545000004</v>
      </c>
      <c r="G85" s="14">
        <f>SUM(G77:G84)</f>
        <v>3.2256E-4</v>
      </c>
      <c r="H85" s="47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47"/>
    </row>
    <row r="87" spans="1:8" ht="14.1" customHeight="1" x14ac:dyDescent="0.2">
      <c r="A87" s="1"/>
      <c r="B87" s="1"/>
      <c r="C87" s="2" t="s">
        <v>126</v>
      </c>
      <c r="D87" s="1"/>
      <c r="E87" s="1"/>
      <c r="F87" s="1"/>
      <c r="G87" s="1"/>
      <c r="H87" s="47"/>
    </row>
    <row r="88" spans="1:8" ht="14.1" customHeight="1" x14ac:dyDescent="0.2">
      <c r="A88" s="1"/>
      <c r="B88" s="1"/>
      <c r="C88" s="2" t="s">
        <v>122</v>
      </c>
      <c r="D88" s="1"/>
      <c r="E88" s="1" t="s">
        <v>123</v>
      </c>
      <c r="F88" s="13">
        <v>0</v>
      </c>
      <c r="G88" s="14">
        <v>0</v>
      </c>
      <c r="H88" s="47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127</v>
      </c>
      <c r="D90" s="1"/>
      <c r="E90" s="1"/>
      <c r="F90" s="12"/>
      <c r="G90" s="12"/>
      <c r="H90" s="47"/>
    </row>
    <row r="91" spans="1:8" ht="25.5" x14ac:dyDescent="0.2">
      <c r="A91" s="50">
        <v>1</v>
      </c>
      <c r="B91" s="45" t="s">
        <v>1008</v>
      </c>
      <c r="C91" s="45" t="s">
        <v>1009</v>
      </c>
      <c r="D91" s="45" t="s">
        <v>91</v>
      </c>
      <c r="E91" s="46">
        <v>399600</v>
      </c>
      <c r="F91" s="47">
        <v>1562.6358</v>
      </c>
      <c r="G91" s="48">
        <v>9.3542299999999998E-3</v>
      </c>
      <c r="H91" s="47"/>
    </row>
    <row r="92" spans="1:8" ht="14.1" customHeight="1" x14ac:dyDescent="0.2">
      <c r="A92" s="1"/>
      <c r="B92" s="1"/>
      <c r="C92" s="2" t="s">
        <v>122</v>
      </c>
      <c r="D92" s="1"/>
      <c r="E92" s="1" t="s">
        <v>123</v>
      </c>
      <c r="F92" s="13">
        <v>1562.6358</v>
      </c>
      <c r="G92" s="14">
        <v>9.3542299999999998E-3</v>
      </c>
      <c r="H92" s="47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47"/>
    </row>
    <row r="94" spans="1:8" ht="14.1" customHeight="1" x14ac:dyDescent="0.2">
      <c r="A94" s="1"/>
      <c r="B94" s="1"/>
      <c r="C94" s="2" t="s">
        <v>128</v>
      </c>
      <c r="D94" s="1"/>
      <c r="E94" s="1"/>
      <c r="F94" s="12"/>
      <c r="G94" s="12"/>
      <c r="H94" s="47"/>
    </row>
    <row r="95" spans="1:8" ht="14.1" customHeight="1" x14ac:dyDescent="0.2">
      <c r="A95" s="1"/>
      <c r="B95" s="1"/>
      <c r="C95" s="2" t="s">
        <v>122</v>
      </c>
      <c r="D95" s="1"/>
      <c r="E95" s="1" t="s">
        <v>123</v>
      </c>
      <c r="F95" s="13">
        <v>0</v>
      </c>
      <c r="G95" s="14">
        <v>0</v>
      </c>
      <c r="H95" s="47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47"/>
    </row>
    <row r="97" spans="1:8" ht="18" customHeight="1" x14ac:dyDescent="0.2">
      <c r="A97" s="1"/>
      <c r="B97" s="1"/>
      <c r="C97" s="2" t="s">
        <v>129</v>
      </c>
      <c r="D97" s="1"/>
      <c r="E97" s="1"/>
      <c r="F97" s="9">
        <f>158486.265339045+F92</f>
        <v>160048.90113904499</v>
      </c>
      <c r="G97" s="10">
        <f>94.8728824%+G92</f>
        <v>0.95808305399999993</v>
      </c>
      <c r="H97" s="47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47"/>
    </row>
    <row r="99" spans="1:8" ht="14.1" customHeight="1" x14ac:dyDescent="0.2">
      <c r="A99" s="1"/>
      <c r="B99" s="1"/>
      <c r="C99" s="2" t="s">
        <v>130</v>
      </c>
      <c r="D99" s="1"/>
      <c r="E99" s="1"/>
      <c r="F99" s="12"/>
      <c r="G99" s="12"/>
      <c r="H99" s="47"/>
    </row>
    <row r="100" spans="1:8" ht="24" customHeight="1" x14ac:dyDescent="0.2">
      <c r="A100" s="1"/>
      <c r="B100" s="1"/>
      <c r="C100" s="2" t="s">
        <v>10</v>
      </c>
      <c r="D100" s="1"/>
      <c r="E100" s="1"/>
      <c r="F100" s="12"/>
      <c r="G100" s="12"/>
      <c r="H100" s="47"/>
    </row>
    <row r="101" spans="1:8" ht="14.1" customHeight="1" x14ac:dyDescent="0.2">
      <c r="A101" s="1"/>
      <c r="B101" s="1"/>
      <c r="C101" s="2" t="s">
        <v>122</v>
      </c>
      <c r="D101" s="1"/>
      <c r="E101" s="1" t="s">
        <v>123</v>
      </c>
      <c r="F101" s="13">
        <v>0</v>
      </c>
      <c r="G101" s="14">
        <v>0</v>
      </c>
      <c r="H101" s="47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47"/>
    </row>
    <row r="103" spans="1:8" ht="14.1" customHeight="1" x14ac:dyDescent="0.2">
      <c r="A103" s="1"/>
      <c r="B103" s="1"/>
      <c r="C103" s="2" t="s">
        <v>131</v>
      </c>
      <c r="D103" s="1"/>
      <c r="E103" s="1"/>
      <c r="F103" s="1"/>
      <c r="G103" s="1"/>
      <c r="H103" s="47"/>
    </row>
    <row r="104" spans="1:8" ht="14.1" customHeight="1" x14ac:dyDescent="0.2">
      <c r="A104" s="1"/>
      <c r="B104" s="1"/>
      <c r="C104" s="2" t="s">
        <v>122</v>
      </c>
      <c r="D104" s="1"/>
      <c r="E104" s="1" t="s">
        <v>123</v>
      </c>
      <c r="F104" s="13">
        <v>0</v>
      </c>
      <c r="G104" s="14">
        <v>0</v>
      </c>
      <c r="H104" s="47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47"/>
    </row>
    <row r="106" spans="1:8" ht="14.1" customHeight="1" x14ac:dyDescent="0.2">
      <c r="A106" s="1"/>
      <c r="B106" s="1"/>
      <c r="C106" s="2" t="s">
        <v>132</v>
      </c>
      <c r="D106" s="1"/>
      <c r="E106" s="1"/>
      <c r="F106" s="1"/>
      <c r="G106" s="1"/>
      <c r="H106" s="47"/>
    </row>
    <row r="107" spans="1:8" ht="14.1" customHeight="1" x14ac:dyDescent="0.2">
      <c r="A107" s="1"/>
      <c r="B107" s="1"/>
      <c r="C107" s="2" t="s">
        <v>122</v>
      </c>
      <c r="D107" s="1"/>
      <c r="E107" s="1" t="s">
        <v>123</v>
      </c>
      <c r="F107" s="13">
        <v>0</v>
      </c>
      <c r="G107" s="14">
        <v>0</v>
      </c>
      <c r="H107" s="47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47"/>
    </row>
    <row r="109" spans="1:8" ht="14.1" customHeight="1" x14ac:dyDescent="0.2">
      <c r="A109" s="1"/>
      <c r="B109" s="1"/>
      <c r="C109" s="2" t="s">
        <v>133</v>
      </c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2" t="s">
        <v>122</v>
      </c>
      <c r="D110" s="1"/>
      <c r="E110" s="1" t="s">
        <v>123</v>
      </c>
      <c r="F110" s="13">
        <v>0</v>
      </c>
      <c r="G110" s="14">
        <v>0</v>
      </c>
      <c r="H110" s="47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47"/>
    </row>
    <row r="112" spans="1:8" ht="14.1" customHeight="1" x14ac:dyDescent="0.2">
      <c r="A112" s="1"/>
      <c r="B112" s="1"/>
      <c r="C112" s="2" t="s">
        <v>134</v>
      </c>
      <c r="D112" s="1"/>
      <c r="E112" s="1"/>
      <c r="F112" s="9">
        <v>0</v>
      </c>
      <c r="G112" s="10">
        <v>0</v>
      </c>
      <c r="H112" s="47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47"/>
    </row>
    <row r="114" spans="1:8" ht="14.1" customHeight="1" x14ac:dyDescent="0.2">
      <c r="A114" s="1"/>
      <c r="B114" s="1"/>
      <c r="C114" s="2" t="s">
        <v>135</v>
      </c>
      <c r="D114" s="1"/>
      <c r="E114" s="1"/>
      <c r="F114" s="12"/>
      <c r="G114" s="12"/>
      <c r="H114" s="47"/>
    </row>
    <row r="115" spans="1:8" ht="14.1" customHeight="1" x14ac:dyDescent="0.2">
      <c r="A115" s="1"/>
      <c r="B115" s="1"/>
      <c r="C115" s="2" t="s">
        <v>136</v>
      </c>
      <c r="D115" s="1"/>
      <c r="E115" s="1"/>
      <c r="F115" s="12"/>
      <c r="G115" s="12"/>
      <c r="H115" s="47"/>
    </row>
    <row r="116" spans="1:8" ht="14.1" customHeight="1" x14ac:dyDescent="0.2">
      <c r="A116" s="1"/>
      <c r="B116" s="1"/>
      <c r="C116" s="2" t="s">
        <v>122</v>
      </c>
      <c r="D116" s="1"/>
      <c r="E116" s="1" t="s">
        <v>123</v>
      </c>
      <c r="F116" s="13">
        <v>0</v>
      </c>
      <c r="G116" s="14">
        <v>0</v>
      </c>
      <c r="H116" s="47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47"/>
    </row>
    <row r="118" spans="1:8" ht="14.1" customHeight="1" x14ac:dyDescent="0.2">
      <c r="A118" s="1"/>
      <c r="B118" s="1"/>
      <c r="C118" s="2" t="s">
        <v>137</v>
      </c>
      <c r="D118" s="1"/>
      <c r="E118" s="1"/>
      <c r="F118" s="12"/>
      <c r="G118" s="12"/>
      <c r="H118" s="47"/>
    </row>
    <row r="119" spans="1:8" ht="14.1" customHeight="1" x14ac:dyDescent="0.2">
      <c r="A119" s="1"/>
      <c r="B119" s="1"/>
      <c r="C119" s="2" t="s">
        <v>122</v>
      </c>
      <c r="D119" s="1"/>
      <c r="E119" s="1" t="s">
        <v>123</v>
      </c>
      <c r="F119" s="13">
        <v>0</v>
      </c>
      <c r="G119" s="14">
        <v>0</v>
      </c>
      <c r="H119" s="47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47"/>
    </row>
    <row r="121" spans="1:8" ht="14.1" customHeight="1" x14ac:dyDescent="0.2">
      <c r="A121" s="1"/>
      <c r="B121" s="1"/>
      <c r="C121" s="2" t="s">
        <v>138</v>
      </c>
      <c r="D121" s="1"/>
      <c r="E121" s="1"/>
      <c r="F121" s="12"/>
      <c r="G121" s="12"/>
      <c r="H121" s="47"/>
    </row>
    <row r="122" spans="1:8" ht="14.1" customHeight="1" x14ac:dyDescent="0.2">
      <c r="A122" s="1"/>
      <c r="B122" s="1"/>
      <c r="C122" s="2" t="s">
        <v>122</v>
      </c>
      <c r="D122" s="1"/>
      <c r="E122" s="1" t="s">
        <v>123</v>
      </c>
      <c r="F122" s="13">
        <v>0</v>
      </c>
      <c r="G122" s="14">
        <v>0</v>
      </c>
      <c r="H122" s="47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47"/>
    </row>
    <row r="124" spans="1:8" ht="14.1" customHeight="1" x14ac:dyDescent="0.2">
      <c r="A124" s="1"/>
      <c r="B124" s="1"/>
      <c r="C124" s="2" t="s">
        <v>139</v>
      </c>
      <c r="D124" s="1"/>
      <c r="E124" s="1"/>
      <c r="F124" s="12"/>
      <c r="G124" s="12"/>
      <c r="H124" s="47"/>
    </row>
    <row r="125" spans="1:8" ht="17.100000000000001" customHeight="1" x14ac:dyDescent="0.2">
      <c r="A125" s="3">
        <v>1</v>
      </c>
      <c r="B125" s="4"/>
      <c r="C125" s="4" t="s">
        <v>140</v>
      </c>
      <c r="D125" s="4"/>
      <c r="E125" s="8"/>
      <c r="F125" s="6">
        <v>7468.2797393999999</v>
      </c>
      <c r="G125" s="7">
        <v>4.4706537999999997E-2</v>
      </c>
      <c r="H125" s="47">
        <v>4.6730752161314033</v>
      </c>
    </row>
    <row r="126" spans="1:8" ht="14.1" customHeight="1" x14ac:dyDescent="0.2">
      <c r="A126" s="1"/>
      <c r="B126" s="1"/>
      <c r="C126" s="2" t="s">
        <v>122</v>
      </c>
      <c r="D126" s="1"/>
      <c r="E126" s="1" t="s">
        <v>123</v>
      </c>
      <c r="F126" s="9">
        <v>7468.2797393999999</v>
      </c>
      <c r="G126" s="10">
        <v>4.4706537999999997E-2</v>
      </c>
      <c r="H126" s="47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47"/>
    </row>
    <row r="128" spans="1:8" ht="14.1" customHeight="1" x14ac:dyDescent="0.2">
      <c r="A128" s="1"/>
      <c r="B128" s="1"/>
      <c r="C128" s="2" t="s">
        <v>141</v>
      </c>
      <c r="D128" s="1"/>
      <c r="E128" s="1"/>
      <c r="F128" s="9">
        <v>7468.2797393999999</v>
      </c>
      <c r="G128" s="10">
        <v>4.4706537999999997E-2</v>
      </c>
      <c r="H128" s="47"/>
    </row>
    <row r="129" spans="1:8" ht="14.1" customHeight="1" x14ac:dyDescent="0.2">
      <c r="A129" s="1"/>
      <c r="B129" s="1"/>
      <c r="C129" s="12"/>
      <c r="D129" s="1"/>
      <c r="E129" s="1"/>
      <c r="F129" s="1"/>
      <c r="G129" s="1"/>
      <c r="H129" s="47"/>
    </row>
    <row r="130" spans="1:8" ht="14.1" customHeight="1" x14ac:dyDescent="0.2">
      <c r="A130" s="1"/>
      <c r="B130" s="1"/>
      <c r="C130" s="2" t="s">
        <v>142</v>
      </c>
      <c r="D130" s="1"/>
      <c r="E130" s="1"/>
      <c r="F130" s="1"/>
      <c r="G130" s="1"/>
      <c r="H130" s="47"/>
    </row>
    <row r="131" spans="1:8" ht="14.1" customHeight="1" x14ac:dyDescent="0.2">
      <c r="A131" s="1"/>
      <c r="B131" s="1"/>
      <c r="C131" s="2" t="s">
        <v>143</v>
      </c>
      <c r="D131" s="1"/>
      <c r="E131" s="1"/>
      <c r="F131" s="1"/>
      <c r="G131" s="1"/>
      <c r="H131" s="47"/>
    </row>
    <row r="132" spans="1:8" ht="14.1" customHeight="1" x14ac:dyDescent="0.2">
      <c r="A132" s="1"/>
      <c r="B132" s="1"/>
      <c r="C132" s="2" t="s">
        <v>122</v>
      </c>
      <c r="D132" s="1"/>
      <c r="E132" s="1" t="s">
        <v>123</v>
      </c>
      <c r="F132" s="13">
        <v>0</v>
      </c>
      <c r="G132" s="14">
        <v>0</v>
      </c>
      <c r="H132" s="47"/>
    </row>
    <row r="133" spans="1:8" ht="14.1" customHeight="1" x14ac:dyDescent="0.2">
      <c r="A133" s="1"/>
      <c r="B133" s="1"/>
      <c r="C133" s="11"/>
      <c r="D133" s="1"/>
      <c r="E133" s="1"/>
      <c r="F133" s="12"/>
      <c r="G133" s="12"/>
      <c r="H133" s="47"/>
    </row>
    <row r="134" spans="1:8" ht="14.1" customHeight="1" x14ac:dyDescent="0.2">
      <c r="A134" s="1"/>
      <c r="B134" s="1"/>
      <c r="C134" s="2" t="s">
        <v>144</v>
      </c>
      <c r="D134" s="1"/>
      <c r="E134" s="1"/>
      <c r="F134" s="1"/>
      <c r="G134" s="1"/>
      <c r="H134" s="47"/>
    </row>
    <row r="135" spans="1:8" ht="14.1" customHeight="1" x14ac:dyDescent="0.2">
      <c r="A135" s="1"/>
      <c r="B135" s="1"/>
      <c r="C135" s="2" t="s">
        <v>145</v>
      </c>
      <c r="D135" s="1"/>
      <c r="E135" s="1"/>
      <c r="F135" s="1"/>
      <c r="G135" s="1"/>
      <c r="H135" s="47"/>
    </row>
    <row r="136" spans="1:8" ht="14.1" customHeight="1" x14ac:dyDescent="0.2">
      <c r="A136" s="1"/>
      <c r="B136" s="1"/>
      <c r="C136" s="2" t="s">
        <v>122</v>
      </c>
      <c r="D136" s="1"/>
      <c r="E136" s="1" t="s">
        <v>123</v>
      </c>
      <c r="F136" s="13">
        <v>0</v>
      </c>
      <c r="G136" s="14">
        <v>0</v>
      </c>
      <c r="H136" s="47"/>
    </row>
    <row r="137" spans="1:8" ht="14.1" customHeight="1" x14ac:dyDescent="0.2">
      <c r="A137" s="1"/>
      <c r="B137" s="1"/>
      <c r="C137" s="11"/>
      <c r="D137" s="1"/>
      <c r="E137" s="1"/>
      <c r="F137" s="12"/>
      <c r="G137" s="12"/>
      <c r="H137" s="47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47"/>
    </row>
    <row r="139" spans="1:8" ht="24" customHeight="1" x14ac:dyDescent="0.2">
      <c r="A139" s="1"/>
      <c r="B139" s="1"/>
      <c r="C139" s="2" t="s">
        <v>146</v>
      </c>
      <c r="D139" s="1"/>
      <c r="E139" s="1"/>
      <c r="F139" s="12"/>
      <c r="G139" s="12"/>
      <c r="H139" s="47"/>
    </row>
    <row r="140" spans="1:8" ht="14.1" customHeight="1" x14ac:dyDescent="0.2">
      <c r="A140" s="1"/>
      <c r="B140" s="1"/>
      <c r="C140" s="2" t="s">
        <v>122</v>
      </c>
      <c r="D140" s="1"/>
      <c r="E140" s="1" t="s">
        <v>123</v>
      </c>
      <c r="F140" s="13">
        <v>0</v>
      </c>
      <c r="G140" s="14">
        <v>0</v>
      </c>
      <c r="H140" s="47"/>
    </row>
    <row r="141" spans="1:8" ht="14.1" customHeight="1" x14ac:dyDescent="0.2">
      <c r="A141" s="1"/>
      <c r="B141" s="1"/>
      <c r="C141" s="11"/>
      <c r="D141" s="1"/>
      <c r="E141" s="1"/>
      <c r="F141" s="12"/>
      <c r="G141" s="12"/>
      <c r="H141" s="47"/>
    </row>
    <row r="142" spans="1:8" ht="14.1" customHeight="1" x14ac:dyDescent="0.2">
      <c r="A142" s="1"/>
      <c r="B142" s="4"/>
      <c r="C142" s="4"/>
      <c r="D142" s="2"/>
      <c r="E142" s="1"/>
      <c r="F142" s="4"/>
      <c r="G142" s="8"/>
      <c r="H142" s="47"/>
    </row>
    <row r="143" spans="1:8" ht="18" customHeight="1" x14ac:dyDescent="0.2">
      <c r="A143" s="8"/>
      <c r="B143" s="4"/>
      <c r="C143" s="4" t="s">
        <v>147</v>
      </c>
      <c r="D143" s="4"/>
      <c r="E143" s="8"/>
      <c r="F143" s="6">
        <v>-466.00484833000002</v>
      </c>
      <c r="G143" s="7">
        <v>-2.7895929999999999E-3</v>
      </c>
      <c r="H143" s="47"/>
    </row>
    <row r="144" spans="1:8" ht="14.1" customHeight="1" x14ac:dyDescent="0.2">
      <c r="A144" s="11"/>
      <c r="B144" s="11"/>
      <c r="C144" s="2" t="s">
        <v>148</v>
      </c>
      <c r="D144" s="15"/>
      <c r="E144" s="15"/>
      <c r="F144" s="9">
        <v>167051.17603011499</v>
      </c>
      <c r="G144" s="14">
        <v>0.99999999899999992</v>
      </c>
      <c r="H144" s="47"/>
    </row>
    <row r="145" spans="1:7" ht="14.1" customHeight="1" x14ac:dyDescent="0.2">
      <c r="A145" s="16"/>
      <c r="B145" s="16"/>
      <c r="C145" s="16"/>
      <c r="D145" s="17"/>
      <c r="E145" s="17"/>
      <c r="F145" s="17"/>
      <c r="G145" s="17"/>
    </row>
    <row r="146" spans="1:7" ht="17.100000000000001" customHeight="1" x14ac:dyDescent="0.2">
      <c r="A146" s="18"/>
      <c r="B146" s="264" t="s">
        <v>149</v>
      </c>
      <c r="C146" s="264"/>
      <c r="D146" s="264"/>
      <c r="E146" s="264"/>
      <c r="F146" s="264"/>
      <c r="G146" s="20"/>
    </row>
    <row r="147" spans="1:7" ht="14.1" customHeight="1" x14ac:dyDescent="0.2">
      <c r="A147" s="18"/>
      <c r="B147" s="18"/>
      <c r="C147" s="18"/>
      <c r="D147" s="20"/>
      <c r="E147" s="20"/>
      <c r="F147" s="20"/>
      <c r="G147" s="20"/>
    </row>
    <row r="148" spans="1:7" ht="14.1" customHeight="1" x14ac:dyDescent="0.2">
      <c r="A148" s="18"/>
      <c r="B148" s="257" t="s">
        <v>150</v>
      </c>
      <c r="C148" s="258"/>
      <c r="D148" s="12" t="s">
        <v>123</v>
      </c>
      <c r="E148" s="21"/>
      <c r="F148" s="20"/>
      <c r="G148" s="20"/>
    </row>
    <row r="149" spans="1:7" ht="29.1" customHeight="1" x14ac:dyDescent="0.2">
      <c r="A149" s="18"/>
      <c r="B149" s="259" t="s">
        <v>151</v>
      </c>
      <c r="C149" s="260"/>
      <c r="D149" s="93" t="s">
        <v>1091</v>
      </c>
      <c r="E149" s="21"/>
      <c r="F149" s="20"/>
      <c r="G149" s="20"/>
    </row>
    <row r="150" spans="1:7" ht="17.100000000000001" customHeight="1" x14ac:dyDescent="0.2">
      <c r="A150" s="18"/>
      <c r="B150" s="259" t="s">
        <v>1039</v>
      </c>
      <c r="C150" s="260"/>
      <c r="D150" s="2" t="s">
        <v>1055</v>
      </c>
      <c r="E150" s="21"/>
      <c r="F150" s="20"/>
      <c r="G150" s="20"/>
    </row>
    <row r="151" spans="1:7" ht="17.100000000000001" customHeight="1" x14ac:dyDescent="0.2">
      <c r="A151" s="18"/>
      <c r="B151" s="259" t="s">
        <v>154</v>
      </c>
      <c r="C151" s="260"/>
      <c r="D151" s="12" t="s">
        <v>123</v>
      </c>
      <c r="E151" s="21"/>
      <c r="F151" s="20"/>
      <c r="G151" s="20"/>
    </row>
    <row r="152" spans="1:7" ht="24" customHeight="1" x14ac:dyDescent="0.2">
      <c r="A152" s="22"/>
      <c r="B152" s="23" t="s">
        <v>123</v>
      </c>
      <c r="C152" s="23" t="s">
        <v>155</v>
      </c>
      <c r="D152" s="23" t="s">
        <v>156</v>
      </c>
      <c r="E152" s="22"/>
      <c r="F152" s="22"/>
      <c r="G152" s="22"/>
    </row>
    <row r="153" spans="1:7" ht="18" customHeight="1" x14ac:dyDescent="0.2">
      <c r="A153" s="22"/>
      <c r="B153" s="23" t="s">
        <v>157</v>
      </c>
      <c r="C153" s="23" t="s">
        <v>158</v>
      </c>
      <c r="D153" s="23" t="s">
        <v>159</v>
      </c>
      <c r="E153" s="22"/>
      <c r="F153" s="22"/>
      <c r="G153" s="22"/>
    </row>
    <row r="154" spans="1:7" ht="17.100000000000001" customHeight="1" x14ac:dyDescent="0.2">
      <c r="A154" s="22"/>
      <c r="B154" s="4" t="s">
        <v>160</v>
      </c>
      <c r="C154" s="24">
        <v>237.24809999999999</v>
      </c>
      <c r="D154" s="24">
        <v>227.99619999999999</v>
      </c>
      <c r="E154" s="22"/>
      <c r="F154" s="19"/>
      <c r="G154" s="25"/>
    </row>
    <row r="155" spans="1:7" ht="29.1" customHeight="1" x14ac:dyDescent="0.2">
      <c r="A155" s="22"/>
      <c r="B155" s="4" t="s">
        <v>1104</v>
      </c>
      <c r="C155" s="24">
        <v>63.089199999999998</v>
      </c>
      <c r="D155" s="24">
        <v>60.627499999999998</v>
      </c>
      <c r="E155" s="22"/>
      <c r="F155" s="19"/>
      <c r="G155" s="25"/>
    </row>
    <row r="156" spans="1:7" ht="17.100000000000001" customHeight="1" x14ac:dyDescent="0.2">
      <c r="A156" s="22"/>
      <c r="B156" s="4" t="s">
        <v>161</v>
      </c>
      <c r="C156" s="24">
        <v>220.66380000000001</v>
      </c>
      <c r="D156" s="24">
        <v>211.84989999999999</v>
      </c>
      <c r="E156" s="22"/>
      <c r="F156" s="19"/>
      <c r="G156" s="25"/>
    </row>
    <row r="157" spans="1:7" ht="29.1" customHeight="1" x14ac:dyDescent="0.2">
      <c r="A157" s="22"/>
      <c r="B157" s="4" t="s">
        <v>1105</v>
      </c>
      <c r="C157" s="24">
        <v>48.444200000000002</v>
      </c>
      <c r="D157" s="24">
        <v>46.509</v>
      </c>
      <c r="E157" s="22"/>
      <c r="F157" s="19"/>
      <c r="G157" s="25"/>
    </row>
    <row r="158" spans="1:7" ht="14.1" customHeight="1" x14ac:dyDescent="0.2">
      <c r="A158" s="22"/>
      <c r="B158" s="22"/>
      <c r="C158" s="22"/>
      <c r="D158" s="22"/>
      <c r="E158" s="22"/>
      <c r="F158" s="22"/>
      <c r="G158" s="22"/>
    </row>
    <row r="159" spans="1:7" ht="17.100000000000001" customHeight="1" x14ac:dyDescent="0.2">
      <c r="A159" s="22"/>
      <c r="B159" s="259" t="s">
        <v>1103</v>
      </c>
      <c r="C159" s="260"/>
      <c r="D159" s="2" t="s">
        <v>152</v>
      </c>
      <c r="E159" s="22"/>
      <c r="F159" s="22"/>
      <c r="G159" s="22"/>
    </row>
    <row r="160" spans="1:7" ht="18" customHeight="1" x14ac:dyDescent="0.2">
      <c r="A160" s="22"/>
      <c r="B160" s="26"/>
      <c r="C160" s="26"/>
      <c r="D160" s="27"/>
      <c r="E160" s="22"/>
      <c r="F160" s="22"/>
      <c r="G160" s="22"/>
    </row>
    <row r="161" spans="1:7" ht="29.1" customHeight="1" x14ac:dyDescent="0.2">
      <c r="A161" s="22"/>
      <c r="B161" s="259" t="s">
        <v>162</v>
      </c>
      <c r="C161" s="260"/>
      <c r="D161" s="2" t="s">
        <v>152</v>
      </c>
      <c r="E161" s="22"/>
      <c r="F161" s="22"/>
      <c r="G161" s="22"/>
    </row>
    <row r="162" spans="1:7" ht="29.1" customHeight="1" x14ac:dyDescent="0.2">
      <c r="A162" s="22"/>
      <c r="B162" s="259" t="s">
        <v>163</v>
      </c>
      <c r="C162" s="260"/>
      <c r="D162" s="2" t="s">
        <v>152</v>
      </c>
      <c r="E162" s="22"/>
      <c r="F162" s="22"/>
      <c r="G162" s="22"/>
    </row>
    <row r="163" spans="1:7" ht="17.100000000000001" customHeight="1" x14ac:dyDescent="0.2">
      <c r="A163" s="22"/>
      <c r="B163" s="259" t="s">
        <v>164</v>
      </c>
      <c r="C163" s="260"/>
      <c r="D163" s="28">
        <v>0.66334555557599262</v>
      </c>
      <c r="E163" s="22"/>
      <c r="F163" s="19"/>
      <c r="G163" s="25"/>
    </row>
    <row r="164" spans="1:7" ht="17.100000000000001" customHeight="1" x14ac:dyDescent="0.2">
      <c r="A164" s="22"/>
      <c r="B164" s="259" t="s">
        <v>165</v>
      </c>
      <c r="C164" s="260"/>
      <c r="D164" s="2" t="s">
        <v>152</v>
      </c>
      <c r="E164" s="22"/>
      <c r="F164" s="22"/>
      <c r="G164" s="22"/>
    </row>
    <row r="166" spans="1:7" x14ac:dyDescent="0.2">
      <c r="B166" s="139" t="s">
        <v>1095</v>
      </c>
    </row>
    <row r="167" spans="1:7" ht="38.25" x14ac:dyDescent="0.2">
      <c r="B167" s="100" t="s">
        <v>1067</v>
      </c>
      <c r="C167" s="100" t="s">
        <v>1068</v>
      </c>
      <c r="D167" s="100" t="s">
        <v>1069</v>
      </c>
      <c r="E167" s="100" t="s">
        <v>1070</v>
      </c>
      <c r="F167" s="100" t="s">
        <v>1071</v>
      </c>
    </row>
    <row r="168" spans="1:7" x14ac:dyDescent="0.2">
      <c r="B168" s="134" t="s">
        <v>1092</v>
      </c>
      <c r="C168" s="135" t="s">
        <v>1089</v>
      </c>
      <c r="D168" s="136">
        <v>0</v>
      </c>
      <c r="E168" s="137">
        <v>0</v>
      </c>
      <c r="F168" s="138">
        <v>29.407129999999999</v>
      </c>
    </row>
  </sheetData>
  <mergeCells count="14">
    <mergeCell ref="J2:N2"/>
    <mergeCell ref="B146:F146"/>
    <mergeCell ref="A1:H1"/>
    <mergeCell ref="A2:H2"/>
    <mergeCell ref="A3:H3"/>
    <mergeCell ref="B148:C148"/>
    <mergeCell ref="B163:C163"/>
    <mergeCell ref="B164:C164"/>
    <mergeCell ref="B149:C149"/>
    <mergeCell ref="B150:C150"/>
    <mergeCell ref="B151:C151"/>
    <mergeCell ref="B159:C159"/>
    <mergeCell ref="B161:C161"/>
    <mergeCell ref="B162:C16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N19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94" t="s">
        <v>1150</v>
      </c>
      <c r="B2" s="295"/>
      <c r="C2" s="295"/>
      <c r="D2" s="295"/>
      <c r="E2" s="295"/>
      <c r="F2" s="295"/>
      <c r="G2" s="295"/>
      <c r="H2" s="296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406</v>
      </c>
      <c r="C7" s="4" t="s">
        <v>407</v>
      </c>
      <c r="D7" s="4" t="s">
        <v>85</v>
      </c>
      <c r="E7" s="5">
        <v>7487</v>
      </c>
      <c r="F7" s="6">
        <v>81.844140499999995</v>
      </c>
      <c r="G7" s="7">
        <v>1.5482231000000001E-2</v>
      </c>
      <c r="H7" s="47"/>
    </row>
    <row r="8" spans="1:14" ht="29.1" customHeight="1" x14ac:dyDescent="0.2">
      <c r="A8" s="3">
        <v>2</v>
      </c>
      <c r="B8" s="4" t="s">
        <v>671</v>
      </c>
      <c r="C8" s="4" t="s">
        <v>672</v>
      </c>
      <c r="D8" s="4" t="s">
        <v>673</v>
      </c>
      <c r="E8" s="5">
        <v>10725</v>
      </c>
      <c r="F8" s="6">
        <v>72.468824999999995</v>
      </c>
      <c r="G8" s="7">
        <v>1.3708728999999999E-2</v>
      </c>
      <c r="H8" s="47"/>
    </row>
    <row r="9" spans="1:14" ht="29.1" customHeight="1" x14ac:dyDescent="0.2">
      <c r="A9" s="3">
        <v>3</v>
      </c>
      <c r="B9" s="4" t="s">
        <v>167</v>
      </c>
      <c r="C9" s="4" t="s">
        <v>168</v>
      </c>
      <c r="D9" s="4" t="s">
        <v>25</v>
      </c>
      <c r="E9" s="5">
        <v>19573</v>
      </c>
      <c r="F9" s="6">
        <v>71.049989999999994</v>
      </c>
      <c r="G9" s="7">
        <v>1.3440331E-2</v>
      </c>
      <c r="H9" s="47"/>
    </row>
    <row r="10" spans="1:14" ht="17.100000000000001" customHeight="1" x14ac:dyDescent="0.2">
      <c r="A10" s="3">
        <v>4</v>
      </c>
      <c r="B10" s="4" t="s">
        <v>608</v>
      </c>
      <c r="C10" s="4" t="s">
        <v>609</v>
      </c>
      <c r="D10" s="4" t="s">
        <v>85</v>
      </c>
      <c r="E10" s="5">
        <v>2405</v>
      </c>
      <c r="F10" s="6">
        <v>67.204117499999995</v>
      </c>
      <c r="G10" s="7">
        <v>1.2712818000000001E-2</v>
      </c>
      <c r="H10" s="47"/>
    </row>
    <row r="11" spans="1:14" ht="29.1" customHeight="1" x14ac:dyDescent="0.2">
      <c r="A11" s="3">
        <v>5</v>
      </c>
      <c r="B11" s="4" t="s">
        <v>674</v>
      </c>
      <c r="C11" s="4" t="s">
        <v>675</v>
      </c>
      <c r="D11" s="4" t="s">
        <v>676</v>
      </c>
      <c r="E11" s="5">
        <v>3011</v>
      </c>
      <c r="F11" s="6">
        <v>65.967999000000006</v>
      </c>
      <c r="G11" s="7">
        <v>1.2478985E-2</v>
      </c>
      <c r="H11" s="47"/>
    </row>
    <row r="12" spans="1:14" ht="17.100000000000001" customHeight="1" x14ac:dyDescent="0.2">
      <c r="A12" s="3">
        <v>6</v>
      </c>
      <c r="B12" s="4" t="s">
        <v>83</v>
      </c>
      <c r="C12" s="4" t="s">
        <v>84</v>
      </c>
      <c r="D12" s="4" t="s">
        <v>85</v>
      </c>
      <c r="E12" s="5">
        <v>764</v>
      </c>
      <c r="F12" s="6">
        <v>64.716530000000006</v>
      </c>
      <c r="G12" s="7">
        <v>1.2242248000000001E-2</v>
      </c>
      <c r="H12" s="47"/>
    </row>
    <row r="13" spans="1:14" ht="17.100000000000001" customHeight="1" x14ac:dyDescent="0.2">
      <c r="A13" s="3">
        <v>7</v>
      </c>
      <c r="B13" s="4" t="s">
        <v>403</v>
      </c>
      <c r="C13" s="4" t="s">
        <v>404</v>
      </c>
      <c r="D13" s="4" t="s">
        <v>405</v>
      </c>
      <c r="E13" s="5">
        <v>2898</v>
      </c>
      <c r="F13" s="6">
        <v>64.642787999999996</v>
      </c>
      <c r="G13" s="7">
        <v>1.2228299E-2</v>
      </c>
      <c r="H13" s="47"/>
      <c r="J13" s="147" t="s">
        <v>1134</v>
      </c>
    </row>
    <row r="14" spans="1:14" ht="17.100000000000001" customHeight="1" x14ac:dyDescent="0.2">
      <c r="A14" s="3">
        <v>8</v>
      </c>
      <c r="B14" s="4" t="s">
        <v>581</v>
      </c>
      <c r="C14" s="4" t="s">
        <v>582</v>
      </c>
      <c r="D14" s="4" t="s">
        <v>85</v>
      </c>
      <c r="E14" s="5">
        <v>2376</v>
      </c>
      <c r="F14" s="6">
        <v>64.620071999999993</v>
      </c>
      <c r="G14" s="7">
        <v>1.2224001999999999E-2</v>
      </c>
      <c r="H14" s="47"/>
    </row>
    <row r="15" spans="1:14" ht="17.100000000000001" customHeight="1" x14ac:dyDescent="0.2">
      <c r="A15" s="3">
        <v>9</v>
      </c>
      <c r="B15" s="4" t="s">
        <v>604</v>
      </c>
      <c r="C15" s="4" t="s">
        <v>605</v>
      </c>
      <c r="D15" s="4" t="s">
        <v>217</v>
      </c>
      <c r="E15" s="5">
        <v>1851</v>
      </c>
      <c r="F15" s="6">
        <v>64.163064000000006</v>
      </c>
      <c r="G15" s="7">
        <v>1.2137551E-2</v>
      </c>
      <c r="H15" s="47"/>
    </row>
    <row r="16" spans="1:14" ht="17.100000000000001" customHeight="1" x14ac:dyDescent="0.2">
      <c r="A16" s="3">
        <v>10</v>
      </c>
      <c r="B16" s="4" t="s">
        <v>677</v>
      </c>
      <c r="C16" s="4" t="s">
        <v>678</v>
      </c>
      <c r="D16" s="4" t="s">
        <v>351</v>
      </c>
      <c r="E16" s="5">
        <v>8264</v>
      </c>
      <c r="F16" s="6">
        <v>62.603932</v>
      </c>
      <c r="G16" s="7">
        <v>1.1842614E-2</v>
      </c>
      <c r="H16" s="47"/>
    </row>
    <row r="17" spans="1:8" ht="17.100000000000001" customHeight="1" x14ac:dyDescent="0.2">
      <c r="A17" s="3">
        <v>11</v>
      </c>
      <c r="B17" s="4" t="s">
        <v>679</v>
      </c>
      <c r="C17" s="4" t="s">
        <v>680</v>
      </c>
      <c r="D17" s="4" t="s">
        <v>94</v>
      </c>
      <c r="E17" s="5">
        <v>406</v>
      </c>
      <c r="F17" s="6">
        <v>61.832175999999997</v>
      </c>
      <c r="G17" s="7">
        <v>1.1696623E-2</v>
      </c>
      <c r="H17" s="47"/>
    </row>
    <row r="18" spans="1:8" ht="17.100000000000001" customHeight="1" x14ac:dyDescent="0.2">
      <c r="A18" s="3">
        <v>12</v>
      </c>
      <c r="B18" s="4" t="s">
        <v>29</v>
      </c>
      <c r="C18" s="4" t="s">
        <v>30</v>
      </c>
      <c r="D18" s="4" t="s">
        <v>31</v>
      </c>
      <c r="E18" s="5">
        <v>43014</v>
      </c>
      <c r="F18" s="6">
        <v>61.467005999999998</v>
      </c>
      <c r="G18" s="7">
        <v>1.1627545E-2</v>
      </c>
      <c r="H18" s="47"/>
    </row>
    <row r="19" spans="1:8" ht="17.100000000000001" customHeight="1" x14ac:dyDescent="0.2">
      <c r="A19" s="3">
        <v>13</v>
      </c>
      <c r="B19" s="4" t="s">
        <v>412</v>
      </c>
      <c r="C19" s="4" t="s">
        <v>413</v>
      </c>
      <c r="D19" s="4" t="s">
        <v>405</v>
      </c>
      <c r="E19" s="5">
        <v>22420</v>
      </c>
      <c r="F19" s="6">
        <v>61.3187</v>
      </c>
      <c r="G19" s="7">
        <v>1.159949E-2</v>
      </c>
      <c r="H19" s="47"/>
    </row>
    <row r="20" spans="1:8" ht="17.100000000000001" customHeight="1" x14ac:dyDescent="0.2">
      <c r="A20" s="3">
        <v>14</v>
      </c>
      <c r="B20" s="4" t="s">
        <v>585</v>
      </c>
      <c r="C20" s="4" t="s">
        <v>586</v>
      </c>
      <c r="D20" s="4" t="s">
        <v>321</v>
      </c>
      <c r="E20" s="5">
        <v>11131</v>
      </c>
      <c r="F20" s="6">
        <v>61.220500000000001</v>
      </c>
      <c r="G20" s="7">
        <v>1.1580913999999999E-2</v>
      </c>
      <c r="H20" s="47"/>
    </row>
    <row r="21" spans="1:8" ht="17.100000000000001" customHeight="1" x14ac:dyDescent="0.2">
      <c r="A21" s="3">
        <v>15</v>
      </c>
      <c r="B21" s="4" t="s">
        <v>681</v>
      </c>
      <c r="C21" s="4" t="s">
        <v>682</v>
      </c>
      <c r="D21" s="4" t="s">
        <v>80</v>
      </c>
      <c r="E21" s="5">
        <v>2529</v>
      </c>
      <c r="F21" s="6">
        <v>60.707380499999999</v>
      </c>
      <c r="G21" s="7">
        <v>1.1483848E-2</v>
      </c>
      <c r="H21" s="47"/>
    </row>
    <row r="22" spans="1:8" ht="29.1" customHeight="1" x14ac:dyDescent="0.2">
      <c r="A22" s="3">
        <v>16</v>
      </c>
      <c r="B22" s="4" t="s">
        <v>683</v>
      </c>
      <c r="C22" s="4" t="s">
        <v>684</v>
      </c>
      <c r="D22" s="4" t="s">
        <v>204</v>
      </c>
      <c r="E22" s="5">
        <v>2108</v>
      </c>
      <c r="F22" s="6">
        <v>60.294069999999998</v>
      </c>
      <c r="G22" s="7">
        <v>1.1405663999999999E-2</v>
      </c>
      <c r="H22" s="47"/>
    </row>
    <row r="23" spans="1:8" ht="17.100000000000001" customHeight="1" x14ac:dyDescent="0.2">
      <c r="A23" s="3">
        <v>17</v>
      </c>
      <c r="B23" s="4" t="s">
        <v>685</v>
      </c>
      <c r="C23" s="4" t="s">
        <v>686</v>
      </c>
      <c r="D23" s="4" t="s">
        <v>217</v>
      </c>
      <c r="E23" s="5">
        <v>339</v>
      </c>
      <c r="F23" s="6">
        <v>59.223300000000002</v>
      </c>
      <c r="G23" s="7">
        <v>1.1203108999999999E-2</v>
      </c>
      <c r="H23" s="47"/>
    </row>
    <row r="24" spans="1:8" ht="29.1" customHeight="1" x14ac:dyDescent="0.2">
      <c r="A24" s="3">
        <v>18</v>
      </c>
      <c r="B24" s="4" t="s">
        <v>687</v>
      </c>
      <c r="C24" s="4" t="s">
        <v>688</v>
      </c>
      <c r="D24" s="4" t="s">
        <v>25</v>
      </c>
      <c r="E24" s="5">
        <v>2790</v>
      </c>
      <c r="F24" s="6">
        <v>59.202404999999999</v>
      </c>
      <c r="G24" s="7">
        <v>1.1199156E-2</v>
      </c>
      <c r="H24" s="47"/>
    </row>
    <row r="25" spans="1:8" ht="29.1" customHeight="1" x14ac:dyDescent="0.2">
      <c r="A25" s="3">
        <v>19</v>
      </c>
      <c r="B25" s="4" t="s">
        <v>689</v>
      </c>
      <c r="C25" s="4" t="s">
        <v>690</v>
      </c>
      <c r="D25" s="4" t="s">
        <v>321</v>
      </c>
      <c r="E25" s="5">
        <v>12086</v>
      </c>
      <c r="F25" s="6">
        <v>59.100540000000002</v>
      </c>
      <c r="G25" s="7">
        <v>1.1179886999999999E-2</v>
      </c>
      <c r="H25" s="47"/>
    </row>
    <row r="26" spans="1:8" ht="29.1" customHeight="1" x14ac:dyDescent="0.2">
      <c r="A26" s="3">
        <v>20</v>
      </c>
      <c r="B26" s="4" t="s">
        <v>691</v>
      </c>
      <c r="C26" s="4" t="s">
        <v>692</v>
      </c>
      <c r="D26" s="4" t="s">
        <v>204</v>
      </c>
      <c r="E26" s="5">
        <v>1339</v>
      </c>
      <c r="F26" s="6">
        <v>58.832982000000001</v>
      </c>
      <c r="G26" s="7">
        <v>1.1129274E-2</v>
      </c>
      <c r="H26" s="47"/>
    </row>
    <row r="27" spans="1:8" ht="17.100000000000001" customHeight="1" x14ac:dyDescent="0.2">
      <c r="A27" s="3">
        <v>21</v>
      </c>
      <c r="B27" s="4" t="s">
        <v>693</v>
      </c>
      <c r="C27" s="4" t="s">
        <v>694</v>
      </c>
      <c r="D27" s="4" t="s">
        <v>31</v>
      </c>
      <c r="E27" s="5">
        <v>2346</v>
      </c>
      <c r="F27" s="6">
        <v>58.031829000000002</v>
      </c>
      <c r="G27" s="7">
        <v>1.0977722000000001E-2</v>
      </c>
      <c r="H27" s="47"/>
    </row>
    <row r="28" spans="1:8" ht="17.100000000000001" customHeight="1" x14ac:dyDescent="0.2">
      <c r="A28" s="3">
        <v>22</v>
      </c>
      <c r="B28" s="4" t="s">
        <v>695</v>
      </c>
      <c r="C28" s="4" t="s">
        <v>696</v>
      </c>
      <c r="D28" s="4" t="s">
        <v>31</v>
      </c>
      <c r="E28" s="5">
        <v>3001</v>
      </c>
      <c r="F28" s="6">
        <v>57.907296000000002</v>
      </c>
      <c r="G28" s="7">
        <v>1.0954164000000001E-2</v>
      </c>
      <c r="H28" s="47"/>
    </row>
    <row r="29" spans="1:8" ht="17.100000000000001" customHeight="1" x14ac:dyDescent="0.2">
      <c r="A29" s="3">
        <v>23</v>
      </c>
      <c r="B29" s="4" t="s">
        <v>399</v>
      </c>
      <c r="C29" s="4" t="s">
        <v>400</v>
      </c>
      <c r="D29" s="4" t="s">
        <v>321</v>
      </c>
      <c r="E29" s="5">
        <v>5330</v>
      </c>
      <c r="F29" s="6">
        <v>57.649279999999997</v>
      </c>
      <c r="G29" s="7">
        <v>1.0905356E-2</v>
      </c>
      <c r="H29" s="47"/>
    </row>
    <row r="30" spans="1:8" ht="29.1" customHeight="1" x14ac:dyDescent="0.2">
      <c r="A30" s="3">
        <v>24</v>
      </c>
      <c r="B30" s="4" t="s">
        <v>697</v>
      </c>
      <c r="C30" s="4" t="s">
        <v>698</v>
      </c>
      <c r="D30" s="4" t="s">
        <v>204</v>
      </c>
      <c r="E30" s="5">
        <v>16145</v>
      </c>
      <c r="F30" s="6">
        <v>57.637650000000001</v>
      </c>
      <c r="G30" s="7">
        <v>1.0903156000000001E-2</v>
      </c>
      <c r="H30" s="47"/>
    </row>
    <row r="31" spans="1:8" ht="17.100000000000001" customHeight="1" x14ac:dyDescent="0.2">
      <c r="A31" s="3">
        <v>25</v>
      </c>
      <c r="B31" s="4" t="s">
        <v>48</v>
      </c>
      <c r="C31" s="4" t="s">
        <v>49</v>
      </c>
      <c r="D31" s="4" t="s">
        <v>31</v>
      </c>
      <c r="E31" s="5">
        <v>27157</v>
      </c>
      <c r="F31" s="6">
        <v>57.545682999999997</v>
      </c>
      <c r="G31" s="7">
        <v>1.0885759E-2</v>
      </c>
      <c r="H31" s="47"/>
    </row>
    <row r="32" spans="1:8" ht="17.100000000000001" customHeight="1" x14ac:dyDescent="0.2">
      <c r="A32" s="3">
        <v>26</v>
      </c>
      <c r="B32" s="4" t="s">
        <v>595</v>
      </c>
      <c r="C32" s="4" t="s">
        <v>596</v>
      </c>
      <c r="D32" s="4" t="s">
        <v>85</v>
      </c>
      <c r="E32" s="5">
        <v>1551</v>
      </c>
      <c r="F32" s="6">
        <v>57.489365999999997</v>
      </c>
      <c r="G32" s="7">
        <v>1.0875104999999999E-2</v>
      </c>
      <c r="H32" s="47"/>
    </row>
    <row r="33" spans="1:8" ht="17.100000000000001" customHeight="1" x14ac:dyDescent="0.2">
      <c r="A33" s="3">
        <v>27</v>
      </c>
      <c r="B33" s="4" t="s">
        <v>699</v>
      </c>
      <c r="C33" s="4" t="s">
        <v>700</v>
      </c>
      <c r="D33" s="4" t="s">
        <v>351</v>
      </c>
      <c r="E33" s="5">
        <v>11997</v>
      </c>
      <c r="F33" s="6">
        <v>57.333663000000001</v>
      </c>
      <c r="G33" s="7">
        <v>1.0845652000000001E-2</v>
      </c>
      <c r="H33" s="47"/>
    </row>
    <row r="34" spans="1:8" ht="17.100000000000001" customHeight="1" x14ac:dyDescent="0.2">
      <c r="A34" s="3">
        <v>28</v>
      </c>
      <c r="B34" s="4" t="s">
        <v>17</v>
      </c>
      <c r="C34" s="4" t="s">
        <v>18</v>
      </c>
      <c r="D34" s="4" t="s">
        <v>19</v>
      </c>
      <c r="E34" s="5">
        <v>8097</v>
      </c>
      <c r="F34" s="6">
        <v>57.261983999999998</v>
      </c>
      <c r="G34" s="7">
        <v>1.0832092E-2</v>
      </c>
      <c r="H34" s="47"/>
    </row>
    <row r="35" spans="1:8" ht="17.100000000000001" customHeight="1" x14ac:dyDescent="0.2">
      <c r="A35" s="3">
        <v>29</v>
      </c>
      <c r="B35" s="4" t="s">
        <v>14</v>
      </c>
      <c r="C35" s="4" t="s">
        <v>15</v>
      </c>
      <c r="D35" s="4" t="s">
        <v>16</v>
      </c>
      <c r="E35" s="5">
        <v>2205</v>
      </c>
      <c r="F35" s="6">
        <v>57.2340825</v>
      </c>
      <c r="G35" s="7">
        <v>1.0826814000000001E-2</v>
      </c>
      <c r="H35" s="47"/>
    </row>
    <row r="36" spans="1:8" ht="17.100000000000001" customHeight="1" x14ac:dyDescent="0.2">
      <c r="A36" s="3">
        <v>30</v>
      </c>
      <c r="B36" s="4" t="s">
        <v>102</v>
      </c>
      <c r="C36" s="4" t="s">
        <v>103</v>
      </c>
      <c r="D36" s="4" t="s">
        <v>22</v>
      </c>
      <c r="E36" s="5">
        <v>27270</v>
      </c>
      <c r="F36" s="6">
        <v>57.021569999999997</v>
      </c>
      <c r="G36" s="7">
        <v>1.0786614E-2</v>
      </c>
      <c r="H36" s="47"/>
    </row>
    <row r="37" spans="1:8" ht="17.100000000000001" customHeight="1" x14ac:dyDescent="0.2">
      <c r="A37" s="3">
        <v>31</v>
      </c>
      <c r="B37" s="4" t="s">
        <v>701</v>
      </c>
      <c r="C37" s="4" t="s">
        <v>702</v>
      </c>
      <c r="D37" s="4" t="s">
        <v>351</v>
      </c>
      <c r="E37" s="5">
        <v>3774</v>
      </c>
      <c r="F37" s="6">
        <v>56.113719000000003</v>
      </c>
      <c r="G37" s="7">
        <v>1.0614877999999999E-2</v>
      </c>
      <c r="H37" s="47"/>
    </row>
    <row r="38" spans="1:8" ht="17.100000000000001" customHeight="1" x14ac:dyDescent="0.2">
      <c r="A38" s="3">
        <v>32</v>
      </c>
      <c r="B38" s="4" t="s">
        <v>703</v>
      </c>
      <c r="C38" s="4" t="s">
        <v>704</v>
      </c>
      <c r="D38" s="4" t="s">
        <v>705</v>
      </c>
      <c r="E38" s="5">
        <v>30152</v>
      </c>
      <c r="F38" s="6">
        <v>55.962111999999998</v>
      </c>
      <c r="G38" s="7">
        <v>1.0586198999999999E-2</v>
      </c>
      <c r="H38" s="47"/>
    </row>
    <row r="39" spans="1:8" ht="17.100000000000001" customHeight="1" x14ac:dyDescent="0.2">
      <c r="A39" s="3">
        <v>33</v>
      </c>
      <c r="B39" s="4" t="s">
        <v>706</v>
      </c>
      <c r="C39" s="4" t="s">
        <v>707</v>
      </c>
      <c r="D39" s="4" t="s">
        <v>88</v>
      </c>
      <c r="E39" s="5">
        <v>5084</v>
      </c>
      <c r="F39" s="6">
        <v>55.832487999999998</v>
      </c>
      <c r="G39" s="7">
        <v>1.0561678E-2</v>
      </c>
      <c r="H39" s="47"/>
    </row>
    <row r="40" spans="1:8" ht="17.100000000000001" customHeight="1" x14ac:dyDescent="0.2">
      <c r="A40" s="3">
        <v>34</v>
      </c>
      <c r="B40" s="4" t="s">
        <v>345</v>
      </c>
      <c r="C40" s="4" t="s">
        <v>346</v>
      </c>
      <c r="D40" s="4" t="s">
        <v>174</v>
      </c>
      <c r="E40" s="5">
        <v>10829</v>
      </c>
      <c r="F40" s="6">
        <v>55.471552500000001</v>
      </c>
      <c r="G40" s="7">
        <v>1.0493400999999999E-2</v>
      </c>
      <c r="H40" s="47"/>
    </row>
    <row r="41" spans="1:8" ht="17.100000000000001" customHeight="1" x14ac:dyDescent="0.2">
      <c r="A41" s="3">
        <v>35</v>
      </c>
      <c r="B41" s="4" t="s">
        <v>420</v>
      </c>
      <c r="C41" s="4" t="s">
        <v>421</v>
      </c>
      <c r="D41" s="4" t="s">
        <v>19</v>
      </c>
      <c r="E41" s="5">
        <v>3319</v>
      </c>
      <c r="F41" s="6">
        <v>55.131909</v>
      </c>
      <c r="G41" s="7">
        <v>1.0429152000000001E-2</v>
      </c>
      <c r="H41" s="47"/>
    </row>
    <row r="42" spans="1:8" ht="17.100000000000001" customHeight="1" x14ac:dyDescent="0.2">
      <c r="A42" s="3">
        <v>36</v>
      </c>
      <c r="B42" s="4" t="s">
        <v>583</v>
      </c>
      <c r="C42" s="4" t="s">
        <v>584</v>
      </c>
      <c r="D42" s="4" t="s">
        <v>351</v>
      </c>
      <c r="E42" s="5">
        <v>11102</v>
      </c>
      <c r="F42" s="6">
        <v>55.060369000000001</v>
      </c>
      <c r="G42" s="7">
        <v>1.0415618999999999E-2</v>
      </c>
      <c r="H42" s="47"/>
    </row>
    <row r="43" spans="1:8" ht="29.1" customHeight="1" x14ac:dyDescent="0.2">
      <c r="A43" s="3">
        <v>37</v>
      </c>
      <c r="B43" s="4" t="s">
        <v>370</v>
      </c>
      <c r="C43" s="4" t="s">
        <v>371</v>
      </c>
      <c r="D43" s="4" t="s">
        <v>238</v>
      </c>
      <c r="E43" s="5">
        <v>7744</v>
      </c>
      <c r="F43" s="6">
        <v>54.699744000000003</v>
      </c>
      <c r="G43" s="7">
        <v>1.03474E-2</v>
      </c>
      <c r="H43" s="47"/>
    </row>
    <row r="44" spans="1:8" ht="29.1" customHeight="1" x14ac:dyDescent="0.2">
      <c r="A44" s="3">
        <v>38</v>
      </c>
      <c r="B44" s="4" t="s">
        <v>395</v>
      </c>
      <c r="C44" s="4" t="s">
        <v>396</v>
      </c>
      <c r="D44" s="4" t="s">
        <v>91</v>
      </c>
      <c r="E44" s="5">
        <v>2517</v>
      </c>
      <c r="F44" s="6">
        <v>54.640294500000003</v>
      </c>
      <c r="G44" s="7">
        <v>1.0336154E-2</v>
      </c>
      <c r="H44" s="47"/>
    </row>
    <row r="45" spans="1:8" ht="17.100000000000001" customHeight="1" x14ac:dyDescent="0.2">
      <c r="A45" s="3">
        <v>39</v>
      </c>
      <c r="B45" s="4" t="s">
        <v>442</v>
      </c>
      <c r="C45" s="4" t="s">
        <v>443</v>
      </c>
      <c r="D45" s="4" t="s">
        <v>85</v>
      </c>
      <c r="E45" s="5">
        <v>13252</v>
      </c>
      <c r="F45" s="6">
        <v>54.571736000000001</v>
      </c>
      <c r="G45" s="7">
        <v>1.0323185E-2</v>
      </c>
      <c r="H45" s="47"/>
    </row>
    <row r="46" spans="1:8" ht="17.100000000000001" customHeight="1" x14ac:dyDescent="0.2">
      <c r="A46" s="3">
        <v>40</v>
      </c>
      <c r="B46" s="4" t="s">
        <v>46</v>
      </c>
      <c r="C46" s="4" t="s">
        <v>47</v>
      </c>
      <c r="D46" s="4" t="s">
        <v>19</v>
      </c>
      <c r="E46" s="5">
        <v>11561</v>
      </c>
      <c r="F46" s="6">
        <v>53.862698999999999</v>
      </c>
      <c r="G46" s="7">
        <v>1.0189059E-2</v>
      </c>
      <c r="H46" s="47"/>
    </row>
    <row r="47" spans="1:8" ht="17.100000000000001" customHeight="1" x14ac:dyDescent="0.2">
      <c r="A47" s="3">
        <v>41</v>
      </c>
      <c r="B47" s="4" t="s">
        <v>358</v>
      </c>
      <c r="C47" s="4" t="s">
        <v>359</v>
      </c>
      <c r="D47" s="4" t="s">
        <v>19</v>
      </c>
      <c r="E47" s="5">
        <v>3994</v>
      </c>
      <c r="F47" s="6">
        <v>53.839120000000001</v>
      </c>
      <c r="G47" s="7">
        <v>1.0184598E-2</v>
      </c>
      <c r="H47" s="47"/>
    </row>
    <row r="48" spans="1:8" ht="17.100000000000001" customHeight="1" x14ac:dyDescent="0.2">
      <c r="A48" s="3">
        <v>42</v>
      </c>
      <c r="B48" s="4" t="s">
        <v>20</v>
      </c>
      <c r="C48" s="4" t="s">
        <v>21</v>
      </c>
      <c r="D48" s="4" t="s">
        <v>22</v>
      </c>
      <c r="E48" s="5">
        <v>7835</v>
      </c>
      <c r="F48" s="6">
        <v>53.6658325</v>
      </c>
      <c r="G48" s="7">
        <v>1.0151818E-2</v>
      </c>
      <c r="H48" s="47"/>
    </row>
    <row r="49" spans="1:8" ht="29.1" customHeight="1" x14ac:dyDescent="0.2">
      <c r="A49" s="3">
        <v>43</v>
      </c>
      <c r="B49" s="4" t="s">
        <v>347</v>
      </c>
      <c r="C49" s="4" t="s">
        <v>348</v>
      </c>
      <c r="D49" s="4" t="s">
        <v>342</v>
      </c>
      <c r="E49" s="5">
        <v>2089</v>
      </c>
      <c r="F49" s="6">
        <v>53.467955000000003</v>
      </c>
      <c r="G49" s="7">
        <v>1.0114386E-2</v>
      </c>
      <c r="H49" s="47"/>
    </row>
    <row r="50" spans="1:8" ht="17.100000000000001" customHeight="1" x14ac:dyDescent="0.2">
      <c r="A50" s="3">
        <v>44</v>
      </c>
      <c r="B50" s="4" t="s">
        <v>81</v>
      </c>
      <c r="C50" s="4" t="s">
        <v>82</v>
      </c>
      <c r="D50" s="4" t="s">
        <v>16</v>
      </c>
      <c r="E50" s="5">
        <v>71932</v>
      </c>
      <c r="F50" s="6">
        <v>53.409509999999997</v>
      </c>
      <c r="G50" s="7">
        <v>1.0103330000000001E-2</v>
      </c>
      <c r="H50" s="47"/>
    </row>
    <row r="51" spans="1:8" ht="29.1" customHeight="1" x14ac:dyDescent="0.2">
      <c r="A51" s="3">
        <v>45</v>
      </c>
      <c r="B51" s="4" t="s">
        <v>401</v>
      </c>
      <c r="C51" s="4" t="s">
        <v>402</v>
      </c>
      <c r="D51" s="4" t="s">
        <v>204</v>
      </c>
      <c r="E51" s="5">
        <v>6337</v>
      </c>
      <c r="F51" s="6">
        <v>52.635122000000003</v>
      </c>
      <c r="G51" s="7">
        <v>9.9568409999999993E-3</v>
      </c>
      <c r="H51" s="47"/>
    </row>
    <row r="52" spans="1:8" ht="29.1" customHeight="1" x14ac:dyDescent="0.2">
      <c r="A52" s="3">
        <v>46</v>
      </c>
      <c r="B52" s="4" t="s">
        <v>708</v>
      </c>
      <c r="C52" s="4" t="s">
        <v>709</v>
      </c>
      <c r="D52" s="4" t="s">
        <v>351</v>
      </c>
      <c r="E52" s="5">
        <v>392</v>
      </c>
      <c r="F52" s="6">
        <v>52.407068000000002</v>
      </c>
      <c r="G52" s="7">
        <v>9.9137010000000005E-3</v>
      </c>
      <c r="H52" s="47"/>
    </row>
    <row r="53" spans="1:8" ht="29.1" customHeight="1" x14ac:dyDescent="0.2">
      <c r="A53" s="3">
        <v>47</v>
      </c>
      <c r="B53" s="4" t="s">
        <v>57</v>
      </c>
      <c r="C53" s="4" t="s">
        <v>58</v>
      </c>
      <c r="D53" s="4" t="s">
        <v>59</v>
      </c>
      <c r="E53" s="5">
        <v>7769</v>
      </c>
      <c r="F53" s="6">
        <v>52.211564500000001</v>
      </c>
      <c r="G53" s="7">
        <v>9.8767179999999996E-3</v>
      </c>
      <c r="H53" s="47"/>
    </row>
    <row r="54" spans="1:8" ht="17.100000000000001" customHeight="1" x14ac:dyDescent="0.2">
      <c r="A54" s="3">
        <v>48</v>
      </c>
      <c r="B54" s="4" t="s">
        <v>710</v>
      </c>
      <c r="C54" s="4" t="s">
        <v>711</v>
      </c>
      <c r="D54" s="4" t="s">
        <v>91</v>
      </c>
      <c r="E54" s="5">
        <v>1138</v>
      </c>
      <c r="F54" s="6">
        <v>52.179575999999997</v>
      </c>
      <c r="G54" s="7">
        <v>9.8706669999999996E-3</v>
      </c>
      <c r="H54" s="47"/>
    </row>
    <row r="55" spans="1:8" ht="29.1" customHeight="1" x14ac:dyDescent="0.2">
      <c r="A55" s="3">
        <v>49</v>
      </c>
      <c r="B55" s="4" t="s">
        <v>510</v>
      </c>
      <c r="C55" s="4" t="s">
        <v>511</v>
      </c>
      <c r="D55" s="4" t="s">
        <v>204</v>
      </c>
      <c r="E55" s="5">
        <v>5676</v>
      </c>
      <c r="F55" s="6">
        <v>52.060271999999998</v>
      </c>
      <c r="G55" s="7">
        <v>9.8480990000000008E-3</v>
      </c>
      <c r="H55" s="47"/>
    </row>
    <row r="56" spans="1:8" ht="17.100000000000001" customHeight="1" x14ac:dyDescent="0.2">
      <c r="A56" s="3">
        <v>50</v>
      </c>
      <c r="B56" s="4" t="s">
        <v>712</v>
      </c>
      <c r="C56" s="4" t="s">
        <v>713</v>
      </c>
      <c r="D56" s="4" t="s">
        <v>91</v>
      </c>
      <c r="E56" s="5">
        <v>6737</v>
      </c>
      <c r="F56" s="6">
        <v>51.757002499999999</v>
      </c>
      <c r="G56" s="7">
        <v>9.7907299999999992E-3</v>
      </c>
      <c r="H56" s="47"/>
    </row>
    <row r="57" spans="1:8" ht="17.100000000000001" customHeight="1" x14ac:dyDescent="0.2">
      <c r="A57" s="3">
        <v>51</v>
      </c>
      <c r="B57" s="4" t="s">
        <v>11</v>
      </c>
      <c r="C57" s="4" t="s">
        <v>12</v>
      </c>
      <c r="D57" s="4" t="s">
        <v>13</v>
      </c>
      <c r="E57" s="5">
        <v>3296</v>
      </c>
      <c r="F57" s="6">
        <v>51.359920000000002</v>
      </c>
      <c r="G57" s="7">
        <v>9.7156150000000004E-3</v>
      </c>
      <c r="H57" s="47"/>
    </row>
    <row r="58" spans="1:8" ht="17.100000000000001" customHeight="1" x14ac:dyDescent="0.2">
      <c r="A58" s="3">
        <v>52</v>
      </c>
      <c r="B58" s="4" t="s">
        <v>579</v>
      </c>
      <c r="C58" s="4" t="s">
        <v>580</v>
      </c>
      <c r="D58" s="4" t="s">
        <v>88</v>
      </c>
      <c r="E58" s="5">
        <v>1898</v>
      </c>
      <c r="F58" s="6">
        <v>51.154896000000001</v>
      </c>
      <c r="G58" s="7">
        <v>9.6768310000000003E-3</v>
      </c>
      <c r="H58" s="47"/>
    </row>
    <row r="59" spans="1:8" ht="29.1" customHeight="1" x14ac:dyDescent="0.2">
      <c r="A59" s="3">
        <v>53</v>
      </c>
      <c r="B59" s="4" t="s">
        <v>714</v>
      </c>
      <c r="C59" s="4" t="s">
        <v>715</v>
      </c>
      <c r="D59" s="4" t="s">
        <v>204</v>
      </c>
      <c r="E59" s="5">
        <v>16574</v>
      </c>
      <c r="F59" s="6">
        <v>51.114215999999999</v>
      </c>
      <c r="G59" s="7">
        <v>9.6691360000000001E-3</v>
      </c>
      <c r="H59" s="47"/>
    </row>
    <row r="60" spans="1:8" ht="17.100000000000001" customHeight="1" x14ac:dyDescent="0.2">
      <c r="A60" s="3">
        <v>54</v>
      </c>
      <c r="B60" s="4" t="s">
        <v>73</v>
      </c>
      <c r="C60" s="4" t="s">
        <v>74</v>
      </c>
      <c r="D60" s="4" t="s">
        <v>75</v>
      </c>
      <c r="E60" s="5">
        <v>37565</v>
      </c>
      <c r="F60" s="6">
        <v>50.787880000000001</v>
      </c>
      <c r="G60" s="7">
        <v>9.6074039999999999E-3</v>
      </c>
      <c r="H60" s="47"/>
    </row>
    <row r="61" spans="1:8" ht="29.1" customHeight="1" x14ac:dyDescent="0.2">
      <c r="A61" s="3">
        <v>55</v>
      </c>
      <c r="B61" s="4" t="s">
        <v>631</v>
      </c>
      <c r="C61" s="4" t="s">
        <v>632</v>
      </c>
      <c r="D61" s="4" t="s">
        <v>321</v>
      </c>
      <c r="E61" s="5">
        <v>4518</v>
      </c>
      <c r="F61" s="6">
        <v>50.644520999999997</v>
      </c>
      <c r="G61" s="7">
        <v>9.5802849999999991E-3</v>
      </c>
      <c r="H61" s="47"/>
    </row>
    <row r="62" spans="1:8" ht="17.100000000000001" customHeight="1" x14ac:dyDescent="0.2">
      <c r="A62" s="3">
        <v>56</v>
      </c>
      <c r="B62" s="4" t="s">
        <v>456</v>
      </c>
      <c r="C62" s="4" t="s">
        <v>457</v>
      </c>
      <c r="D62" s="4" t="s">
        <v>312</v>
      </c>
      <c r="E62" s="5">
        <v>3590</v>
      </c>
      <c r="F62" s="6">
        <v>50.509504999999997</v>
      </c>
      <c r="G62" s="7">
        <v>9.5547440000000004E-3</v>
      </c>
      <c r="H62" s="47"/>
    </row>
    <row r="63" spans="1:8" ht="17.100000000000001" customHeight="1" x14ac:dyDescent="0.2">
      <c r="A63" s="3">
        <v>57</v>
      </c>
      <c r="B63" s="4" t="s">
        <v>397</v>
      </c>
      <c r="C63" s="4" t="s">
        <v>398</v>
      </c>
      <c r="D63" s="4" t="s">
        <v>191</v>
      </c>
      <c r="E63" s="5">
        <v>1546</v>
      </c>
      <c r="F63" s="6">
        <v>50.509366</v>
      </c>
      <c r="G63" s="7">
        <v>9.5547180000000002E-3</v>
      </c>
      <c r="H63" s="47"/>
    </row>
    <row r="64" spans="1:8" ht="17.100000000000001" customHeight="1" x14ac:dyDescent="0.2">
      <c r="A64" s="3">
        <v>58</v>
      </c>
      <c r="B64" s="4" t="s">
        <v>716</v>
      </c>
      <c r="C64" s="4" t="s">
        <v>717</v>
      </c>
      <c r="D64" s="4" t="s">
        <v>19</v>
      </c>
      <c r="E64" s="5">
        <v>19116</v>
      </c>
      <c r="F64" s="6">
        <v>50.370660000000001</v>
      </c>
      <c r="G64" s="7">
        <v>9.5284789999999994E-3</v>
      </c>
      <c r="H64" s="47"/>
    </row>
    <row r="65" spans="1:8" ht="29.1" customHeight="1" x14ac:dyDescent="0.2">
      <c r="A65" s="3">
        <v>59</v>
      </c>
      <c r="B65" s="4" t="s">
        <v>23</v>
      </c>
      <c r="C65" s="4" t="s">
        <v>24</v>
      </c>
      <c r="D65" s="4" t="s">
        <v>25</v>
      </c>
      <c r="E65" s="5">
        <v>897</v>
      </c>
      <c r="F65" s="6">
        <v>50.297480999999998</v>
      </c>
      <c r="G65" s="7">
        <v>9.5146359999999999E-3</v>
      </c>
      <c r="H65" s="47"/>
    </row>
    <row r="66" spans="1:8" ht="29.1" customHeight="1" x14ac:dyDescent="0.2">
      <c r="A66" s="3">
        <v>60</v>
      </c>
      <c r="B66" s="4" t="s">
        <v>718</v>
      </c>
      <c r="C66" s="4" t="s">
        <v>719</v>
      </c>
      <c r="D66" s="4" t="s">
        <v>201</v>
      </c>
      <c r="E66" s="5">
        <v>2398</v>
      </c>
      <c r="F66" s="6">
        <v>50.115802000000002</v>
      </c>
      <c r="G66" s="7">
        <v>9.4802689999999995E-3</v>
      </c>
      <c r="H66" s="47"/>
    </row>
    <row r="67" spans="1:8" ht="17.100000000000001" customHeight="1" x14ac:dyDescent="0.2">
      <c r="A67" s="3">
        <v>61</v>
      </c>
      <c r="B67" s="4" t="s">
        <v>623</v>
      </c>
      <c r="C67" s="4" t="s">
        <v>624</v>
      </c>
      <c r="D67" s="4" t="s">
        <v>296</v>
      </c>
      <c r="E67" s="5">
        <v>6579</v>
      </c>
      <c r="F67" s="6">
        <v>49.983952500000001</v>
      </c>
      <c r="G67" s="7">
        <v>9.4553269999999995E-3</v>
      </c>
      <c r="H67" s="47"/>
    </row>
    <row r="68" spans="1:8" ht="17.100000000000001" customHeight="1" x14ac:dyDescent="0.2">
      <c r="A68" s="3">
        <v>62</v>
      </c>
      <c r="B68" s="4" t="s">
        <v>306</v>
      </c>
      <c r="C68" s="4" t="s">
        <v>307</v>
      </c>
      <c r="D68" s="4" t="s">
        <v>19</v>
      </c>
      <c r="E68" s="5">
        <v>51203</v>
      </c>
      <c r="F68" s="6">
        <v>49.871721999999998</v>
      </c>
      <c r="G68" s="7">
        <v>9.4340970000000007E-3</v>
      </c>
      <c r="H68" s="47"/>
    </row>
    <row r="69" spans="1:8" ht="17.100000000000001" customHeight="1" x14ac:dyDescent="0.2">
      <c r="A69" s="3">
        <v>63</v>
      </c>
      <c r="B69" s="4" t="s">
        <v>304</v>
      </c>
      <c r="C69" s="4" t="s">
        <v>305</v>
      </c>
      <c r="D69" s="4" t="s">
        <v>19</v>
      </c>
      <c r="E69" s="5">
        <v>7806</v>
      </c>
      <c r="F69" s="6">
        <v>49.708607999999998</v>
      </c>
      <c r="G69" s="7">
        <v>9.4032409999999997E-3</v>
      </c>
      <c r="H69" s="47"/>
    </row>
    <row r="70" spans="1:8" ht="17.100000000000001" customHeight="1" x14ac:dyDescent="0.2">
      <c r="A70" s="3">
        <v>64</v>
      </c>
      <c r="B70" s="4" t="s">
        <v>54</v>
      </c>
      <c r="C70" s="4" t="s">
        <v>55</v>
      </c>
      <c r="D70" s="4" t="s">
        <v>56</v>
      </c>
      <c r="E70" s="5">
        <v>32794</v>
      </c>
      <c r="F70" s="6">
        <v>49.699306999999997</v>
      </c>
      <c r="G70" s="7">
        <v>9.4014809999999997E-3</v>
      </c>
      <c r="H70" s="47"/>
    </row>
    <row r="71" spans="1:8" ht="29.1" customHeight="1" x14ac:dyDescent="0.2">
      <c r="A71" s="3">
        <v>65</v>
      </c>
      <c r="B71" s="4" t="s">
        <v>89</v>
      </c>
      <c r="C71" s="4" t="s">
        <v>90</v>
      </c>
      <c r="D71" s="4" t="s">
        <v>91</v>
      </c>
      <c r="E71" s="5">
        <v>8021</v>
      </c>
      <c r="F71" s="6">
        <v>49.690094999999999</v>
      </c>
      <c r="G71" s="7">
        <v>9.3997390000000007E-3</v>
      </c>
      <c r="H71" s="47"/>
    </row>
    <row r="72" spans="1:8" ht="29.1" customHeight="1" x14ac:dyDescent="0.2">
      <c r="A72" s="3">
        <v>66</v>
      </c>
      <c r="B72" s="4" t="s">
        <v>297</v>
      </c>
      <c r="C72" s="4" t="s">
        <v>298</v>
      </c>
      <c r="D72" s="4" t="s">
        <v>201</v>
      </c>
      <c r="E72" s="5">
        <v>2203</v>
      </c>
      <c r="F72" s="6">
        <v>49.615966</v>
      </c>
      <c r="G72" s="7">
        <v>9.3857160000000005E-3</v>
      </c>
      <c r="H72" s="47"/>
    </row>
    <row r="73" spans="1:8" ht="17.100000000000001" customHeight="1" x14ac:dyDescent="0.2">
      <c r="A73" s="3">
        <v>67</v>
      </c>
      <c r="B73" s="4" t="s">
        <v>720</v>
      </c>
      <c r="C73" s="4" t="s">
        <v>721</v>
      </c>
      <c r="D73" s="4" t="s">
        <v>97</v>
      </c>
      <c r="E73" s="5">
        <v>15735</v>
      </c>
      <c r="F73" s="6">
        <v>49.203344999999999</v>
      </c>
      <c r="G73" s="7">
        <v>9.3076619999999995E-3</v>
      </c>
      <c r="H73" s="47"/>
    </row>
    <row r="74" spans="1:8" ht="17.100000000000001" customHeight="1" x14ac:dyDescent="0.2">
      <c r="A74" s="3">
        <v>68</v>
      </c>
      <c r="B74" s="4" t="s">
        <v>69</v>
      </c>
      <c r="C74" s="4" t="s">
        <v>70</v>
      </c>
      <c r="D74" s="4" t="s">
        <v>16</v>
      </c>
      <c r="E74" s="5">
        <v>15877</v>
      </c>
      <c r="F74" s="6">
        <v>48.964668000000003</v>
      </c>
      <c r="G74" s="7">
        <v>9.2625120000000005E-3</v>
      </c>
      <c r="H74" s="47"/>
    </row>
    <row r="75" spans="1:8" ht="17.100000000000001" customHeight="1" x14ac:dyDescent="0.2">
      <c r="A75" s="3">
        <v>69</v>
      </c>
      <c r="B75" s="4" t="s">
        <v>722</v>
      </c>
      <c r="C75" s="4" t="s">
        <v>723</v>
      </c>
      <c r="D75" s="4" t="s">
        <v>312</v>
      </c>
      <c r="E75" s="5">
        <v>1301</v>
      </c>
      <c r="F75" s="6">
        <v>48.901988000000003</v>
      </c>
      <c r="G75" s="7">
        <v>9.250655E-3</v>
      </c>
      <c r="H75" s="47"/>
    </row>
    <row r="76" spans="1:8" ht="17.100000000000001" customHeight="1" x14ac:dyDescent="0.2">
      <c r="A76" s="3">
        <v>70</v>
      </c>
      <c r="B76" s="4" t="s">
        <v>724</v>
      </c>
      <c r="C76" s="4" t="s">
        <v>725</v>
      </c>
      <c r="D76" s="4" t="s">
        <v>184</v>
      </c>
      <c r="E76" s="5">
        <v>2713</v>
      </c>
      <c r="F76" s="6">
        <v>48.626455499999999</v>
      </c>
      <c r="G76" s="7">
        <v>9.1985330000000001E-3</v>
      </c>
      <c r="H76" s="47"/>
    </row>
    <row r="77" spans="1:8" ht="17.100000000000001" customHeight="1" x14ac:dyDescent="0.2">
      <c r="A77" s="3">
        <v>71</v>
      </c>
      <c r="B77" s="4" t="s">
        <v>446</v>
      </c>
      <c r="C77" s="4" t="s">
        <v>447</v>
      </c>
      <c r="D77" s="4" t="s">
        <v>312</v>
      </c>
      <c r="E77" s="5">
        <v>1420</v>
      </c>
      <c r="F77" s="6">
        <v>48.366619999999998</v>
      </c>
      <c r="G77" s="7">
        <v>9.1493809999999998E-3</v>
      </c>
      <c r="H77" s="47"/>
    </row>
    <row r="78" spans="1:8" ht="17.100000000000001" customHeight="1" x14ac:dyDescent="0.2">
      <c r="A78" s="3">
        <v>72</v>
      </c>
      <c r="B78" s="4" t="s">
        <v>416</v>
      </c>
      <c r="C78" s="4" t="s">
        <v>417</v>
      </c>
      <c r="D78" s="4" t="s">
        <v>19</v>
      </c>
      <c r="E78" s="5">
        <v>6079</v>
      </c>
      <c r="F78" s="6">
        <v>48.288536499999999</v>
      </c>
      <c r="G78" s="7">
        <v>9.1346099999999996E-3</v>
      </c>
      <c r="H78" s="47"/>
    </row>
    <row r="79" spans="1:8" ht="29.1" customHeight="1" x14ac:dyDescent="0.2">
      <c r="A79" s="3">
        <v>73</v>
      </c>
      <c r="B79" s="4" t="s">
        <v>330</v>
      </c>
      <c r="C79" s="4" t="s">
        <v>331</v>
      </c>
      <c r="D79" s="4" t="s">
        <v>204</v>
      </c>
      <c r="E79" s="5">
        <v>1779</v>
      </c>
      <c r="F79" s="6">
        <v>48.063243</v>
      </c>
      <c r="G79" s="7">
        <v>9.0919920000000001E-3</v>
      </c>
      <c r="H79" s="47"/>
    </row>
    <row r="80" spans="1:8" ht="17.100000000000001" customHeight="1" x14ac:dyDescent="0.2">
      <c r="A80" s="3">
        <v>74</v>
      </c>
      <c r="B80" s="4" t="s">
        <v>726</v>
      </c>
      <c r="C80" s="4" t="s">
        <v>727</v>
      </c>
      <c r="D80" s="4" t="s">
        <v>88</v>
      </c>
      <c r="E80" s="5">
        <v>8447</v>
      </c>
      <c r="F80" s="6">
        <v>48.004300999999998</v>
      </c>
      <c r="G80" s="7">
        <v>9.0808420000000004E-3</v>
      </c>
      <c r="H80" s="47"/>
    </row>
    <row r="81" spans="1:8" ht="17.100000000000001" customHeight="1" x14ac:dyDescent="0.2">
      <c r="A81" s="3">
        <v>75</v>
      </c>
      <c r="B81" s="4" t="s">
        <v>408</v>
      </c>
      <c r="C81" s="4" t="s">
        <v>409</v>
      </c>
      <c r="D81" s="4" t="s">
        <v>191</v>
      </c>
      <c r="E81" s="5">
        <v>4909</v>
      </c>
      <c r="F81" s="6">
        <v>47.776842500000001</v>
      </c>
      <c r="G81" s="7">
        <v>9.0378139999999999E-3</v>
      </c>
      <c r="H81" s="47"/>
    </row>
    <row r="82" spans="1:8" ht="17.100000000000001" customHeight="1" x14ac:dyDescent="0.2">
      <c r="A82" s="3">
        <v>76</v>
      </c>
      <c r="B82" s="4" t="s">
        <v>728</v>
      </c>
      <c r="C82" s="4" t="s">
        <v>729</v>
      </c>
      <c r="D82" s="4" t="s">
        <v>45</v>
      </c>
      <c r="E82" s="5">
        <v>2964</v>
      </c>
      <c r="F82" s="6">
        <v>47.607768</v>
      </c>
      <c r="G82" s="7">
        <v>9.0058310000000006E-3</v>
      </c>
      <c r="H82" s="47"/>
    </row>
    <row r="83" spans="1:8" ht="29.1" customHeight="1" x14ac:dyDescent="0.2">
      <c r="A83" s="3">
        <v>77</v>
      </c>
      <c r="B83" s="4" t="s">
        <v>436</v>
      </c>
      <c r="C83" s="4" t="s">
        <v>437</v>
      </c>
      <c r="D83" s="4" t="s">
        <v>204</v>
      </c>
      <c r="E83" s="5">
        <v>1304</v>
      </c>
      <c r="F83" s="6">
        <v>47.340415999999998</v>
      </c>
      <c r="G83" s="7">
        <v>8.955256E-3</v>
      </c>
      <c r="H83" s="47"/>
    </row>
    <row r="84" spans="1:8" ht="29.1" customHeight="1" x14ac:dyDescent="0.2">
      <c r="A84" s="3">
        <v>78</v>
      </c>
      <c r="B84" s="4" t="s">
        <v>730</v>
      </c>
      <c r="C84" s="4" t="s">
        <v>731</v>
      </c>
      <c r="D84" s="4" t="s">
        <v>25</v>
      </c>
      <c r="E84" s="5">
        <v>3551</v>
      </c>
      <c r="F84" s="6">
        <v>46.899832500000002</v>
      </c>
      <c r="G84" s="7">
        <v>8.8719119999999992E-3</v>
      </c>
      <c r="H84" s="47"/>
    </row>
    <row r="85" spans="1:8" ht="29.1" customHeight="1" x14ac:dyDescent="0.2">
      <c r="A85" s="3">
        <v>79</v>
      </c>
      <c r="B85" s="4" t="s">
        <v>452</v>
      </c>
      <c r="C85" s="4" t="s">
        <v>453</v>
      </c>
      <c r="D85" s="4" t="s">
        <v>25</v>
      </c>
      <c r="E85" s="5">
        <v>245</v>
      </c>
      <c r="F85" s="6">
        <v>46.573765000000002</v>
      </c>
      <c r="G85" s="7">
        <v>8.810231E-3</v>
      </c>
      <c r="H85" s="47"/>
    </row>
    <row r="86" spans="1:8" ht="17.100000000000001" customHeight="1" x14ac:dyDescent="0.2">
      <c r="A86" s="3">
        <v>80</v>
      </c>
      <c r="B86" s="4" t="s">
        <v>732</v>
      </c>
      <c r="C86" s="4" t="s">
        <v>733</v>
      </c>
      <c r="D86" s="4" t="s">
        <v>19</v>
      </c>
      <c r="E86" s="5">
        <v>160244</v>
      </c>
      <c r="F86" s="6">
        <v>46.470759999999999</v>
      </c>
      <c r="G86" s="7">
        <v>8.7907460000000003E-3</v>
      </c>
      <c r="H86" s="47"/>
    </row>
    <row r="87" spans="1:8" ht="29.1" customHeight="1" x14ac:dyDescent="0.2">
      <c r="A87" s="3">
        <v>81</v>
      </c>
      <c r="B87" s="4" t="s">
        <v>734</v>
      </c>
      <c r="C87" s="4" t="s">
        <v>735</v>
      </c>
      <c r="D87" s="4" t="s">
        <v>342</v>
      </c>
      <c r="E87" s="5">
        <v>7324</v>
      </c>
      <c r="F87" s="6">
        <v>46.316975999999997</v>
      </c>
      <c r="G87" s="7">
        <v>8.7616550000000001E-3</v>
      </c>
      <c r="H87" s="47"/>
    </row>
    <row r="88" spans="1:8" ht="29.1" customHeight="1" x14ac:dyDescent="0.2">
      <c r="A88" s="3">
        <v>82</v>
      </c>
      <c r="B88" s="4" t="s">
        <v>736</v>
      </c>
      <c r="C88" s="4" t="s">
        <v>737</v>
      </c>
      <c r="D88" s="4" t="s">
        <v>204</v>
      </c>
      <c r="E88" s="5">
        <v>7577</v>
      </c>
      <c r="F88" s="6">
        <v>46.291681500000003</v>
      </c>
      <c r="G88" s="7">
        <v>8.7568699999999999E-3</v>
      </c>
      <c r="H88" s="47"/>
    </row>
    <row r="89" spans="1:8" ht="17.100000000000001" customHeight="1" x14ac:dyDescent="0.2">
      <c r="A89" s="3">
        <v>83</v>
      </c>
      <c r="B89" s="4" t="s">
        <v>313</v>
      </c>
      <c r="C89" s="4" t="s">
        <v>314</v>
      </c>
      <c r="D89" s="4" t="s">
        <v>209</v>
      </c>
      <c r="E89" s="5">
        <v>1227</v>
      </c>
      <c r="F89" s="6">
        <v>45.196545</v>
      </c>
      <c r="G89" s="7">
        <v>8.5497060000000007E-3</v>
      </c>
      <c r="H89" s="47"/>
    </row>
    <row r="90" spans="1:8" ht="17.100000000000001" customHeight="1" x14ac:dyDescent="0.2">
      <c r="A90" s="3">
        <v>84</v>
      </c>
      <c r="B90" s="4" t="s">
        <v>393</v>
      </c>
      <c r="C90" s="4" t="s">
        <v>394</v>
      </c>
      <c r="D90" s="4" t="s">
        <v>191</v>
      </c>
      <c r="E90" s="5">
        <v>3052</v>
      </c>
      <c r="F90" s="6">
        <v>44.617187999999999</v>
      </c>
      <c r="G90" s="7">
        <v>8.4401110000000001E-3</v>
      </c>
      <c r="H90" s="47"/>
    </row>
    <row r="91" spans="1:8" ht="17.100000000000001" customHeight="1" x14ac:dyDescent="0.2">
      <c r="A91" s="3">
        <v>85</v>
      </c>
      <c r="B91" s="4" t="s">
        <v>440</v>
      </c>
      <c r="C91" s="4" t="s">
        <v>441</v>
      </c>
      <c r="D91" s="4" t="s">
        <v>91</v>
      </c>
      <c r="E91" s="5">
        <v>823</v>
      </c>
      <c r="F91" s="6">
        <v>44.446114999999999</v>
      </c>
      <c r="G91" s="7">
        <v>8.4077490000000008E-3</v>
      </c>
      <c r="H91" s="47"/>
    </row>
    <row r="92" spans="1:8" ht="17.100000000000001" customHeight="1" x14ac:dyDescent="0.2">
      <c r="A92" s="3">
        <v>86</v>
      </c>
      <c r="B92" s="4" t="s">
        <v>462</v>
      </c>
      <c r="C92" s="4" t="s">
        <v>463</v>
      </c>
      <c r="D92" s="4" t="s">
        <v>88</v>
      </c>
      <c r="E92" s="5">
        <v>2279</v>
      </c>
      <c r="F92" s="6">
        <v>44.241087499999999</v>
      </c>
      <c r="G92" s="7">
        <v>8.3689650000000008E-3</v>
      </c>
      <c r="H92" s="47"/>
    </row>
    <row r="93" spans="1:8" ht="17.100000000000001" customHeight="1" x14ac:dyDescent="0.2">
      <c r="A93" s="3">
        <v>87</v>
      </c>
      <c r="B93" s="4" t="s">
        <v>738</v>
      </c>
      <c r="C93" s="4" t="s">
        <v>739</v>
      </c>
      <c r="D93" s="4" t="s">
        <v>114</v>
      </c>
      <c r="E93" s="5">
        <v>7792</v>
      </c>
      <c r="F93" s="6">
        <v>43.985840000000003</v>
      </c>
      <c r="G93" s="7">
        <v>8.3206809999999999E-3</v>
      </c>
      <c r="H93" s="47"/>
    </row>
    <row r="94" spans="1:8" ht="17.100000000000001" customHeight="1" x14ac:dyDescent="0.2">
      <c r="A94" s="3">
        <v>88</v>
      </c>
      <c r="B94" s="4" t="s">
        <v>740</v>
      </c>
      <c r="C94" s="4" t="s">
        <v>741</v>
      </c>
      <c r="D94" s="4" t="s">
        <v>91</v>
      </c>
      <c r="E94" s="5">
        <v>4451</v>
      </c>
      <c r="F94" s="6">
        <v>43.455112999999997</v>
      </c>
      <c r="G94" s="7">
        <v>8.2202839999999996E-3</v>
      </c>
      <c r="H94" s="47"/>
    </row>
    <row r="95" spans="1:8" ht="17.100000000000001" customHeight="1" x14ac:dyDescent="0.2">
      <c r="A95" s="3">
        <v>89</v>
      </c>
      <c r="B95" s="4" t="s">
        <v>742</v>
      </c>
      <c r="C95" s="4" t="s">
        <v>743</v>
      </c>
      <c r="D95" s="4" t="s">
        <v>91</v>
      </c>
      <c r="E95" s="5">
        <v>2611</v>
      </c>
      <c r="F95" s="6">
        <v>43.230327000000003</v>
      </c>
      <c r="G95" s="7">
        <v>8.1777619999999999E-3</v>
      </c>
      <c r="H95" s="47"/>
    </row>
    <row r="96" spans="1:8" ht="17.100000000000001" customHeight="1" x14ac:dyDescent="0.2">
      <c r="A96" s="3">
        <v>90</v>
      </c>
      <c r="B96" s="4" t="s">
        <v>410</v>
      </c>
      <c r="C96" s="4" t="s">
        <v>411</v>
      </c>
      <c r="D96" s="4" t="s">
        <v>191</v>
      </c>
      <c r="E96" s="5">
        <v>9556</v>
      </c>
      <c r="F96" s="6">
        <v>39.757738000000003</v>
      </c>
      <c r="G96" s="7">
        <v>7.5208619999999997E-3</v>
      </c>
      <c r="H96" s="47"/>
    </row>
    <row r="97" spans="1:8" ht="17.100000000000001" customHeight="1" x14ac:dyDescent="0.2">
      <c r="A97" s="3">
        <v>91</v>
      </c>
      <c r="B97" s="4" t="s">
        <v>317</v>
      </c>
      <c r="C97" s="4" t="s">
        <v>318</v>
      </c>
      <c r="D97" s="4" t="s">
        <v>191</v>
      </c>
      <c r="E97" s="5">
        <v>1356</v>
      </c>
      <c r="F97" s="6">
        <v>39.148398</v>
      </c>
      <c r="G97" s="7">
        <v>7.4055950000000001E-3</v>
      </c>
      <c r="H97" s="47"/>
    </row>
    <row r="98" spans="1:8" ht="17.100000000000001" customHeight="1" x14ac:dyDescent="0.2">
      <c r="A98" s="3">
        <v>92</v>
      </c>
      <c r="B98" s="4" t="s">
        <v>112</v>
      </c>
      <c r="C98" s="4" t="s">
        <v>113</v>
      </c>
      <c r="D98" s="4" t="s">
        <v>114</v>
      </c>
      <c r="E98" s="5">
        <v>56877</v>
      </c>
      <c r="F98" s="6">
        <v>38.989183500000003</v>
      </c>
      <c r="G98" s="7">
        <v>7.3754770000000001E-3</v>
      </c>
      <c r="H98" s="47"/>
    </row>
    <row r="99" spans="1:8" ht="17.100000000000001" customHeight="1" x14ac:dyDescent="0.2">
      <c r="A99" s="3">
        <v>93</v>
      </c>
      <c r="B99" s="4" t="s">
        <v>744</v>
      </c>
      <c r="C99" s="4" t="s">
        <v>745</v>
      </c>
      <c r="D99" s="4" t="s">
        <v>312</v>
      </c>
      <c r="E99" s="5">
        <v>72125</v>
      </c>
      <c r="F99" s="6">
        <v>38.839312499999998</v>
      </c>
      <c r="G99" s="7">
        <v>7.3471259999999998E-3</v>
      </c>
      <c r="H99" s="47"/>
    </row>
    <row r="100" spans="1:8" ht="17.100000000000001" customHeight="1" x14ac:dyDescent="0.2">
      <c r="A100" s="3">
        <v>94</v>
      </c>
      <c r="B100" s="4" t="s">
        <v>746</v>
      </c>
      <c r="C100" s="4" t="s">
        <v>747</v>
      </c>
      <c r="D100" s="4" t="s">
        <v>748</v>
      </c>
      <c r="E100" s="5">
        <v>35755</v>
      </c>
      <c r="F100" s="6">
        <v>38.686909999999997</v>
      </c>
      <c r="G100" s="7">
        <v>7.3182960000000002E-3</v>
      </c>
      <c r="H100" s="47"/>
    </row>
    <row r="101" spans="1:8" ht="17.100000000000001" customHeight="1" x14ac:dyDescent="0.2">
      <c r="A101" s="3">
        <v>95</v>
      </c>
      <c r="B101" s="4" t="s">
        <v>364</v>
      </c>
      <c r="C101" s="4" t="s">
        <v>365</v>
      </c>
      <c r="D101" s="4" t="s">
        <v>91</v>
      </c>
      <c r="E101" s="5">
        <v>348</v>
      </c>
      <c r="F101" s="6">
        <v>38.042490000000001</v>
      </c>
      <c r="G101" s="7">
        <v>7.1963929999999997E-3</v>
      </c>
      <c r="H101" s="47"/>
    </row>
    <row r="102" spans="1:8" ht="17.100000000000001" customHeight="1" x14ac:dyDescent="0.2">
      <c r="A102" s="3">
        <v>96</v>
      </c>
      <c r="B102" s="4" t="s">
        <v>414</v>
      </c>
      <c r="C102" s="4" t="s">
        <v>415</v>
      </c>
      <c r="D102" s="4" t="s">
        <v>191</v>
      </c>
      <c r="E102" s="5">
        <v>3760</v>
      </c>
      <c r="F102" s="6">
        <v>37.6</v>
      </c>
      <c r="G102" s="7">
        <v>7.1126890000000002E-3</v>
      </c>
      <c r="H102" s="47"/>
    </row>
    <row r="103" spans="1:8" ht="17.100000000000001" customHeight="1" x14ac:dyDescent="0.2">
      <c r="A103" s="3">
        <v>97</v>
      </c>
      <c r="B103" s="4" t="s">
        <v>621</v>
      </c>
      <c r="C103" s="4" t="s">
        <v>622</v>
      </c>
      <c r="D103" s="4" t="s">
        <v>191</v>
      </c>
      <c r="E103" s="5">
        <v>940</v>
      </c>
      <c r="F103" s="6">
        <v>37.369230000000002</v>
      </c>
      <c r="G103" s="7">
        <v>7.0690350000000004E-3</v>
      </c>
      <c r="H103" s="47"/>
    </row>
    <row r="104" spans="1:8" ht="17.100000000000001" customHeight="1" x14ac:dyDescent="0.2">
      <c r="A104" s="3">
        <v>98</v>
      </c>
      <c r="B104" s="4" t="s">
        <v>424</v>
      </c>
      <c r="C104" s="4" t="s">
        <v>425</v>
      </c>
      <c r="D104" s="4" t="s">
        <v>114</v>
      </c>
      <c r="E104" s="5">
        <v>4226</v>
      </c>
      <c r="F104" s="6">
        <v>36.641533000000003</v>
      </c>
      <c r="G104" s="7">
        <v>6.9313780000000002E-3</v>
      </c>
      <c r="H104" s="47"/>
    </row>
    <row r="105" spans="1:8" ht="17.100000000000001" customHeight="1" x14ac:dyDescent="0.2">
      <c r="A105" s="3">
        <v>99</v>
      </c>
      <c r="B105" s="4" t="s">
        <v>749</v>
      </c>
      <c r="C105" s="4" t="s">
        <v>750</v>
      </c>
      <c r="D105" s="4" t="s">
        <v>751</v>
      </c>
      <c r="E105" s="5">
        <v>13838</v>
      </c>
      <c r="F105" s="6">
        <v>30.858740000000001</v>
      </c>
      <c r="G105" s="7">
        <v>5.8374630000000002E-3</v>
      </c>
      <c r="H105" s="47"/>
    </row>
    <row r="106" spans="1:8" ht="17.100000000000001" customHeight="1" x14ac:dyDescent="0.2">
      <c r="A106" s="3">
        <v>100</v>
      </c>
      <c r="B106" s="4" t="s">
        <v>426</v>
      </c>
      <c r="C106" s="4" t="s">
        <v>427</v>
      </c>
      <c r="D106" s="4" t="s">
        <v>428</v>
      </c>
      <c r="E106" s="5">
        <v>9035</v>
      </c>
      <c r="F106" s="6">
        <v>30.597027499999999</v>
      </c>
      <c r="G106" s="7">
        <v>5.7879560000000004E-3</v>
      </c>
      <c r="H106" s="47"/>
    </row>
    <row r="107" spans="1:8" ht="14.1" customHeight="1" x14ac:dyDescent="0.2">
      <c r="A107" s="1"/>
      <c r="B107" s="1"/>
      <c r="C107" s="2" t="s">
        <v>122</v>
      </c>
      <c r="D107" s="1"/>
      <c r="E107" s="1" t="s">
        <v>123</v>
      </c>
      <c r="F107" s="9">
        <v>5221.4064404999999</v>
      </c>
      <c r="G107" s="10">
        <v>0.98771911300000004</v>
      </c>
      <c r="H107" s="47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47"/>
    </row>
    <row r="109" spans="1:8" ht="14.1" customHeight="1" x14ac:dyDescent="0.2">
      <c r="A109" s="1"/>
      <c r="B109" s="1"/>
      <c r="C109" s="2" t="s">
        <v>124</v>
      </c>
      <c r="D109" s="1"/>
      <c r="E109" s="1"/>
      <c r="F109" s="1"/>
      <c r="G109" s="1"/>
      <c r="H109" s="47"/>
    </row>
    <row r="110" spans="1:8" ht="14.1" customHeight="1" x14ac:dyDescent="0.2">
      <c r="A110" s="1"/>
      <c r="B110" s="1"/>
      <c r="C110" s="2" t="s">
        <v>122</v>
      </c>
      <c r="D110" s="1"/>
      <c r="E110" s="1" t="s">
        <v>123</v>
      </c>
      <c r="F110" s="13">
        <v>0</v>
      </c>
      <c r="G110" s="14">
        <v>0</v>
      </c>
      <c r="H110" s="47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47"/>
    </row>
    <row r="112" spans="1:8" ht="14.1" customHeight="1" x14ac:dyDescent="0.2">
      <c r="A112" s="1"/>
      <c r="B112" s="1"/>
      <c r="C112" s="2" t="s">
        <v>125</v>
      </c>
      <c r="D112" s="1"/>
      <c r="E112" s="1"/>
      <c r="F112" s="1"/>
      <c r="G112" s="1"/>
      <c r="H112" s="47"/>
    </row>
    <row r="113" spans="1:8" ht="17.100000000000001" customHeight="1" x14ac:dyDescent="0.2">
      <c r="A113" s="3">
        <v>1</v>
      </c>
      <c r="B113" s="4" t="s">
        <v>752</v>
      </c>
      <c r="C113" s="91" t="s">
        <v>1056</v>
      </c>
      <c r="D113" s="4"/>
      <c r="E113" s="5">
        <v>26586</v>
      </c>
      <c r="F113" s="6">
        <v>2.6600000000000003E-7</v>
      </c>
      <c r="G113" s="8" t="s">
        <v>121</v>
      </c>
      <c r="H113" s="47"/>
    </row>
    <row r="114" spans="1:8" ht="14.1" customHeight="1" x14ac:dyDescent="0.2">
      <c r="A114" s="1"/>
      <c r="B114" s="1"/>
      <c r="C114" s="2" t="s">
        <v>122</v>
      </c>
      <c r="D114" s="1"/>
      <c r="E114" s="1" t="s">
        <v>123</v>
      </c>
      <c r="F114" s="9">
        <v>2.6600000000000003E-7</v>
      </c>
      <c r="G114" s="10">
        <v>0</v>
      </c>
      <c r="H114" s="47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47"/>
    </row>
    <row r="116" spans="1:8" ht="14.1" customHeight="1" x14ac:dyDescent="0.2">
      <c r="A116" s="1"/>
      <c r="B116" s="1"/>
      <c r="C116" s="2" t="s">
        <v>126</v>
      </c>
      <c r="D116" s="1"/>
      <c r="E116" s="1"/>
      <c r="F116" s="1"/>
      <c r="G116" s="1"/>
      <c r="H116" s="47"/>
    </row>
    <row r="117" spans="1:8" ht="14.1" customHeight="1" x14ac:dyDescent="0.2">
      <c r="A117" s="1"/>
      <c r="B117" s="1"/>
      <c r="C117" s="2" t="s">
        <v>122</v>
      </c>
      <c r="D117" s="1"/>
      <c r="E117" s="1" t="s">
        <v>123</v>
      </c>
      <c r="F117" s="13">
        <v>0</v>
      </c>
      <c r="G117" s="14">
        <v>0</v>
      </c>
      <c r="H117" s="47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47"/>
    </row>
    <row r="119" spans="1:8" ht="14.1" customHeight="1" x14ac:dyDescent="0.2">
      <c r="A119" s="1"/>
      <c r="B119" s="1"/>
      <c r="C119" s="2" t="s">
        <v>127</v>
      </c>
      <c r="D119" s="1"/>
      <c r="E119" s="1"/>
      <c r="F119" s="12"/>
      <c r="G119" s="12"/>
      <c r="H119" s="47"/>
    </row>
    <row r="120" spans="1:8" ht="14.1" customHeight="1" x14ac:dyDescent="0.2">
      <c r="A120" s="1"/>
      <c r="B120" s="1"/>
      <c r="C120" s="2" t="s">
        <v>122</v>
      </c>
      <c r="D120" s="1"/>
      <c r="E120" s="1" t="s">
        <v>123</v>
      </c>
      <c r="F120" s="13">
        <v>0</v>
      </c>
      <c r="G120" s="14">
        <v>0</v>
      </c>
      <c r="H120" s="47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47"/>
    </row>
    <row r="122" spans="1:8" ht="14.1" customHeight="1" x14ac:dyDescent="0.2">
      <c r="A122" s="1"/>
      <c r="B122" s="1"/>
      <c r="C122" s="2" t="s">
        <v>128</v>
      </c>
      <c r="D122" s="1"/>
      <c r="E122" s="1"/>
      <c r="F122" s="12"/>
      <c r="G122" s="12"/>
      <c r="H122" s="47"/>
    </row>
    <row r="123" spans="1:8" ht="14.1" customHeight="1" x14ac:dyDescent="0.2">
      <c r="A123" s="1"/>
      <c r="B123" s="1"/>
      <c r="C123" s="2" t="s">
        <v>122</v>
      </c>
      <c r="D123" s="1"/>
      <c r="E123" s="1" t="s">
        <v>123</v>
      </c>
      <c r="F123" s="13">
        <v>0</v>
      </c>
      <c r="G123" s="14">
        <v>0</v>
      </c>
      <c r="H123" s="47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47"/>
    </row>
    <row r="125" spans="1:8" ht="18" customHeight="1" x14ac:dyDescent="0.2">
      <c r="A125" s="1"/>
      <c r="B125" s="1"/>
      <c r="C125" s="2" t="s">
        <v>129</v>
      </c>
      <c r="D125" s="1"/>
      <c r="E125" s="1"/>
      <c r="F125" s="9">
        <v>5221.4064407659998</v>
      </c>
      <c r="G125" s="10">
        <v>0.98771911300000004</v>
      </c>
      <c r="H125" s="47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47"/>
    </row>
    <row r="127" spans="1:8" ht="14.1" customHeight="1" x14ac:dyDescent="0.2">
      <c r="A127" s="1"/>
      <c r="B127" s="1"/>
      <c r="C127" s="2" t="s">
        <v>130</v>
      </c>
      <c r="D127" s="1"/>
      <c r="E127" s="1"/>
      <c r="F127" s="12"/>
      <c r="G127" s="12"/>
      <c r="H127" s="47"/>
    </row>
    <row r="128" spans="1:8" ht="24" customHeight="1" x14ac:dyDescent="0.2">
      <c r="A128" s="1"/>
      <c r="B128" s="1"/>
      <c r="C128" s="2" t="s">
        <v>10</v>
      </c>
      <c r="D128" s="1"/>
      <c r="E128" s="1"/>
      <c r="F128" s="12"/>
      <c r="G128" s="12"/>
      <c r="H128" s="47"/>
    </row>
    <row r="129" spans="1:8" ht="29.1" customHeight="1" x14ac:dyDescent="0.2">
      <c r="A129" s="3">
        <v>1</v>
      </c>
      <c r="B129" s="4" t="s">
        <v>616</v>
      </c>
      <c r="C129" s="4" t="s">
        <v>617</v>
      </c>
      <c r="D129" s="4" t="s">
        <v>618</v>
      </c>
      <c r="E129" s="5">
        <v>828</v>
      </c>
      <c r="F129" s="6">
        <v>0.23297104799999999</v>
      </c>
      <c r="G129" s="8" t="s">
        <v>121</v>
      </c>
      <c r="H129" s="47">
        <v>7.2050000000000001</v>
      </c>
    </row>
    <row r="130" spans="1:8" ht="14.1" customHeight="1" x14ac:dyDescent="0.2">
      <c r="A130" s="1"/>
      <c r="B130" s="1"/>
      <c r="C130" s="2" t="s">
        <v>122</v>
      </c>
      <c r="D130" s="1"/>
      <c r="E130" s="1" t="s">
        <v>123</v>
      </c>
      <c r="F130" s="9">
        <v>0.23297104799999999</v>
      </c>
      <c r="G130" s="10">
        <v>4.4070000000000003E-5</v>
      </c>
      <c r="H130" s="47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47"/>
    </row>
    <row r="132" spans="1:8" ht="14.1" customHeight="1" x14ac:dyDescent="0.2">
      <c r="A132" s="1"/>
      <c r="B132" s="1"/>
      <c r="C132" s="2" t="s">
        <v>131</v>
      </c>
      <c r="D132" s="1"/>
      <c r="E132" s="1"/>
      <c r="F132" s="1"/>
      <c r="G132" s="1"/>
      <c r="H132" s="47"/>
    </row>
    <row r="133" spans="1:8" ht="14.1" customHeight="1" x14ac:dyDescent="0.2">
      <c r="A133" s="1"/>
      <c r="B133" s="1"/>
      <c r="C133" s="2" t="s">
        <v>122</v>
      </c>
      <c r="D133" s="1"/>
      <c r="E133" s="1" t="s">
        <v>123</v>
      </c>
      <c r="F133" s="13">
        <v>0</v>
      </c>
      <c r="G133" s="14">
        <v>0</v>
      </c>
      <c r="H133" s="47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47"/>
    </row>
    <row r="135" spans="1:8" ht="14.1" customHeight="1" x14ac:dyDescent="0.2">
      <c r="A135" s="1"/>
      <c r="B135" s="1"/>
      <c r="C135" s="2" t="s">
        <v>132</v>
      </c>
      <c r="D135" s="1"/>
      <c r="E135" s="1"/>
      <c r="F135" s="1"/>
      <c r="G135" s="1"/>
      <c r="H135" s="47"/>
    </row>
    <row r="136" spans="1:8" ht="14.1" customHeight="1" x14ac:dyDescent="0.2">
      <c r="A136" s="1"/>
      <c r="B136" s="1"/>
      <c r="C136" s="2" t="s">
        <v>122</v>
      </c>
      <c r="D136" s="1"/>
      <c r="E136" s="1" t="s">
        <v>123</v>
      </c>
      <c r="F136" s="13">
        <v>0</v>
      </c>
      <c r="G136" s="14">
        <v>0</v>
      </c>
      <c r="H136" s="47"/>
    </row>
    <row r="137" spans="1:8" ht="14.1" customHeight="1" x14ac:dyDescent="0.2">
      <c r="A137" s="1"/>
      <c r="B137" s="1"/>
      <c r="C137" s="11"/>
      <c r="D137" s="1"/>
      <c r="E137" s="1"/>
      <c r="F137" s="12"/>
      <c r="G137" s="12"/>
      <c r="H137" s="47"/>
    </row>
    <row r="138" spans="1:8" ht="14.1" customHeight="1" x14ac:dyDescent="0.2">
      <c r="A138" s="1"/>
      <c r="B138" s="1"/>
      <c r="C138" s="2" t="s">
        <v>133</v>
      </c>
      <c r="D138" s="1"/>
      <c r="E138" s="1"/>
      <c r="F138" s="12"/>
      <c r="G138" s="12"/>
      <c r="H138" s="47"/>
    </row>
    <row r="139" spans="1:8" ht="14.1" customHeight="1" x14ac:dyDescent="0.2">
      <c r="A139" s="1"/>
      <c r="B139" s="1"/>
      <c r="C139" s="2" t="s">
        <v>122</v>
      </c>
      <c r="D139" s="1"/>
      <c r="E139" s="1" t="s">
        <v>123</v>
      </c>
      <c r="F139" s="13">
        <v>0</v>
      </c>
      <c r="G139" s="14">
        <v>0</v>
      </c>
      <c r="H139" s="47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47"/>
    </row>
    <row r="141" spans="1:8" ht="14.1" customHeight="1" x14ac:dyDescent="0.2">
      <c r="A141" s="1"/>
      <c r="B141" s="1"/>
      <c r="C141" s="2" t="s">
        <v>134</v>
      </c>
      <c r="D141" s="1"/>
      <c r="E141" s="1"/>
      <c r="F141" s="9">
        <v>0.23297104799999999</v>
      </c>
      <c r="G141" s="10">
        <v>4.4070000000000003E-5</v>
      </c>
      <c r="H141" s="47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47"/>
    </row>
    <row r="143" spans="1:8" ht="14.1" customHeight="1" x14ac:dyDescent="0.2">
      <c r="A143" s="1"/>
      <c r="B143" s="1"/>
      <c r="C143" s="2" t="s">
        <v>135</v>
      </c>
      <c r="D143" s="1"/>
      <c r="E143" s="1"/>
      <c r="F143" s="12"/>
      <c r="G143" s="12"/>
      <c r="H143" s="47"/>
    </row>
    <row r="144" spans="1:8" ht="14.1" customHeight="1" x14ac:dyDescent="0.2">
      <c r="A144" s="1"/>
      <c r="B144" s="1"/>
      <c r="C144" s="2" t="s">
        <v>136</v>
      </c>
      <c r="D144" s="1"/>
      <c r="E144" s="1"/>
      <c r="F144" s="12"/>
      <c r="G144" s="12"/>
      <c r="H144" s="47"/>
    </row>
    <row r="145" spans="1:8" ht="14.1" customHeight="1" x14ac:dyDescent="0.2">
      <c r="A145" s="1"/>
      <c r="B145" s="1"/>
      <c r="C145" s="2" t="s">
        <v>122</v>
      </c>
      <c r="D145" s="1"/>
      <c r="E145" s="1" t="s">
        <v>123</v>
      </c>
      <c r="F145" s="13">
        <v>0</v>
      </c>
      <c r="G145" s="14">
        <v>0</v>
      </c>
      <c r="H145" s="47"/>
    </row>
    <row r="146" spans="1:8" ht="14.1" customHeight="1" x14ac:dyDescent="0.2">
      <c r="A146" s="1"/>
      <c r="B146" s="1"/>
      <c r="C146" s="11"/>
      <c r="D146" s="1"/>
      <c r="E146" s="1"/>
      <c r="F146" s="12"/>
      <c r="G146" s="12"/>
      <c r="H146" s="47"/>
    </row>
    <row r="147" spans="1:8" ht="14.1" customHeight="1" x14ac:dyDescent="0.2">
      <c r="A147" s="1"/>
      <c r="B147" s="1"/>
      <c r="C147" s="2" t="s">
        <v>137</v>
      </c>
      <c r="D147" s="1"/>
      <c r="E147" s="1"/>
      <c r="F147" s="12"/>
      <c r="G147" s="12"/>
      <c r="H147" s="47"/>
    </row>
    <row r="148" spans="1:8" ht="14.1" customHeight="1" x14ac:dyDescent="0.2">
      <c r="A148" s="1"/>
      <c r="B148" s="1"/>
      <c r="C148" s="2" t="s">
        <v>122</v>
      </c>
      <c r="D148" s="1"/>
      <c r="E148" s="1" t="s">
        <v>123</v>
      </c>
      <c r="F148" s="13">
        <v>0</v>
      </c>
      <c r="G148" s="14">
        <v>0</v>
      </c>
      <c r="H148" s="47"/>
    </row>
    <row r="149" spans="1:8" ht="14.1" customHeight="1" x14ac:dyDescent="0.2">
      <c r="A149" s="1"/>
      <c r="B149" s="1"/>
      <c r="C149" s="11"/>
      <c r="D149" s="1"/>
      <c r="E149" s="1"/>
      <c r="F149" s="12"/>
      <c r="G149" s="12"/>
      <c r="H149" s="47"/>
    </row>
    <row r="150" spans="1:8" ht="14.1" customHeight="1" x14ac:dyDescent="0.2">
      <c r="A150" s="1"/>
      <c r="B150" s="1"/>
      <c r="C150" s="2" t="s">
        <v>138</v>
      </c>
      <c r="D150" s="1"/>
      <c r="E150" s="1"/>
      <c r="F150" s="12"/>
      <c r="G150" s="12"/>
      <c r="H150" s="47"/>
    </row>
    <row r="151" spans="1:8" ht="14.1" customHeight="1" x14ac:dyDescent="0.2">
      <c r="A151" s="1"/>
      <c r="B151" s="1"/>
      <c r="C151" s="2" t="s">
        <v>122</v>
      </c>
      <c r="D151" s="1"/>
      <c r="E151" s="1" t="s">
        <v>123</v>
      </c>
      <c r="F151" s="13">
        <v>0</v>
      </c>
      <c r="G151" s="14">
        <v>0</v>
      </c>
      <c r="H151" s="47"/>
    </row>
    <row r="152" spans="1:8" ht="14.1" customHeight="1" x14ac:dyDescent="0.2">
      <c r="A152" s="1"/>
      <c r="B152" s="1"/>
      <c r="C152" s="11"/>
      <c r="D152" s="1"/>
      <c r="E152" s="1"/>
      <c r="F152" s="12"/>
      <c r="G152" s="12"/>
      <c r="H152" s="47"/>
    </row>
    <row r="153" spans="1:8" ht="14.1" customHeight="1" x14ac:dyDescent="0.2">
      <c r="A153" s="1"/>
      <c r="B153" s="1"/>
      <c r="C153" s="2" t="s">
        <v>139</v>
      </c>
      <c r="D153" s="1"/>
      <c r="E153" s="1"/>
      <c r="F153" s="12"/>
      <c r="G153" s="12"/>
      <c r="H153" s="47"/>
    </row>
    <row r="154" spans="1:8" ht="17.100000000000001" customHeight="1" x14ac:dyDescent="0.2">
      <c r="A154" s="3">
        <v>1</v>
      </c>
      <c r="B154" s="4"/>
      <c r="C154" s="4" t="s">
        <v>140</v>
      </c>
      <c r="D154" s="4"/>
      <c r="E154" s="8"/>
      <c r="F154" s="6">
        <v>71.387260400000002</v>
      </c>
      <c r="G154" s="7">
        <v>1.3504132E-2</v>
      </c>
      <c r="H154" s="47">
        <v>4.6730752161314033</v>
      </c>
    </row>
    <row r="155" spans="1:8" ht="14.1" customHeight="1" x14ac:dyDescent="0.2">
      <c r="A155" s="1"/>
      <c r="B155" s="1"/>
      <c r="C155" s="2" t="s">
        <v>122</v>
      </c>
      <c r="D155" s="1"/>
      <c r="E155" s="1" t="s">
        <v>123</v>
      </c>
      <c r="F155" s="9">
        <v>71.387260400000002</v>
      </c>
      <c r="G155" s="10">
        <v>1.3504132E-2</v>
      </c>
      <c r="H155" s="47"/>
    </row>
    <row r="156" spans="1:8" ht="14.1" customHeight="1" x14ac:dyDescent="0.2">
      <c r="A156" s="1"/>
      <c r="B156" s="1"/>
      <c r="C156" s="11"/>
      <c r="D156" s="1"/>
      <c r="E156" s="1"/>
      <c r="F156" s="12"/>
      <c r="G156" s="12"/>
      <c r="H156" s="47"/>
    </row>
    <row r="157" spans="1:8" ht="14.1" customHeight="1" x14ac:dyDescent="0.2">
      <c r="A157" s="1"/>
      <c r="B157" s="1"/>
      <c r="C157" s="2" t="s">
        <v>141</v>
      </c>
      <c r="D157" s="1"/>
      <c r="E157" s="1"/>
      <c r="F157" s="9">
        <v>71.387260400000002</v>
      </c>
      <c r="G157" s="10">
        <v>1.3504132E-2</v>
      </c>
      <c r="H157" s="47"/>
    </row>
    <row r="158" spans="1:8" ht="14.1" customHeight="1" x14ac:dyDescent="0.2">
      <c r="A158" s="1"/>
      <c r="B158" s="1"/>
      <c r="C158" s="12"/>
      <c r="D158" s="1"/>
      <c r="E158" s="1"/>
      <c r="F158" s="1"/>
      <c r="G158" s="1"/>
      <c r="H158" s="47"/>
    </row>
    <row r="159" spans="1:8" ht="14.1" customHeight="1" x14ac:dyDescent="0.2">
      <c r="A159" s="1"/>
      <c r="B159" s="1"/>
      <c r="C159" s="2" t="s">
        <v>142</v>
      </c>
      <c r="D159" s="1"/>
      <c r="E159" s="1"/>
      <c r="F159" s="1"/>
      <c r="G159" s="1"/>
      <c r="H159" s="47"/>
    </row>
    <row r="160" spans="1:8" ht="14.1" customHeight="1" x14ac:dyDescent="0.2">
      <c r="A160" s="1"/>
      <c r="B160" s="1"/>
      <c r="C160" s="2" t="s">
        <v>143</v>
      </c>
      <c r="D160" s="1"/>
      <c r="E160" s="1"/>
      <c r="F160" s="1"/>
      <c r="G160" s="1"/>
      <c r="H160" s="47"/>
    </row>
    <row r="161" spans="1:8" ht="14.1" customHeight="1" x14ac:dyDescent="0.2">
      <c r="A161" s="1"/>
      <c r="B161" s="1"/>
      <c r="C161" s="2" t="s">
        <v>122</v>
      </c>
      <c r="D161" s="1"/>
      <c r="E161" s="1" t="s">
        <v>123</v>
      </c>
      <c r="F161" s="13">
        <v>0</v>
      </c>
      <c r="G161" s="14">
        <v>0</v>
      </c>
      <c r="H161" s="47"/>
    </row>
    <row r="162" spans="1:8" ht="14.1" customHeight="1" x14ac:dyDescent="0.2">
      <c r="A162" s="1"/>
      <c r="B162" s="1"/>
      <c r="C162" s="11"/>
      <c r="D162" s="1"/>
      <c r="E162" s="1"/>
      <c r="F162" s="12"/>
      <c r="G162" s="12"/>
      <c r="H162" s="47"/>
    </row>
    <row r="163" spans="1:8" ht="14.1" customHeight="1" x14ac:dyDescent="0.2">
      <c r="A163" s="1"/>
      <c r="B163" s="1"/>
      <c r="C163" s="2" t="s">
        <v>144</v>
      </c>
      <c r="D163" s="1"/>
      <c r="E163" s="1"/>
      <c r="F163" s="1"/>
      <c r="G163" s="1"/>
      <c r="H163" s="47"/>
    </row>
    <row r="164" spans="1:8" ht="14.1" customHeight="1" x14ac:dyDescent="0.2">
      <c r="A164" s="1"/>
      <c r="B164" s="1"/>
      <c r="C164" s="2" t="s">
        <v>145</v>
      </c>
      <c r="D164" s="1"/>
      <c r="E164" s="1"/>
      <c r="F164" s="1"/>
      <c r="G164" s="1"/>
      <c r="H164" s="47"/>
    </row>
    <row r="165" spans="1:8" ht="14.1" customHeight="1" x14ac:dyDescent="0.2">
      <c r="A165" s="1"/>
      <c r="B165" s="1"/>
      <c r="C165" s="2" t="s">
        <v>122</v>
      </c>
      <c r="D165" s="1"/>
      <c r="E165" s="1" t="s">
        <v>123</v>
      </c>
      <c r="F165" s="13">
        <v>0</v>
      </c>
      <c r="G165" s="14">
        <v>0</v>
      </c>
      <c r="H165" s="47"/>
    </row>
    <row r="166" spans="1:8" ht="14.1" customHeight="1" x14ac:dyDescent="0.2">
      <c r="A166" s="1"/>
      <c r="B166" s="1"/>
      <c r="C166" s="11"/>
      <c r="D166" s="1"/>
      <c r="E166" s="1"/>
      <c r="F166" s="12"/>
      <c r="G166" s="12"/>
      <c r="H166" s="47"/>
    </row>
    <row r="167" spans="1:8" ht="14.1" customHeight="1" x14ac:dyDescent="0.2">
      <c r="A167" s="1"/>
      <c r="B167" s="1"/>
      <c r="C167" s="11"/>
      <c r="D167" s="1"/>
      <c r="E167" s="1"/>
      <c r="F167" s="12"/>
      <c r="G167" s="12"/>
      <c r="H167" s="47"/>
    </row>
    <row r="168" spans="1:8" ht="24" customHeight="1" x14ac:dyDescent="0.2">
      <c r="A168" s="1"/>
      <c r="B168" s="1"/>
      <c r="C168" s="2" t="s">
        <v>146</v>
      </c>
      <c r="D168" s="1"/>
      <c r="E168" s="1"/>
      <c r="F168" s="12"/>
      <c r="G168" s="12"/>
      <c r="H168" s="47"/>
    </row>
    <row r="169" spans="1:8" ht="14.1" customHeight="1" x14ac:dyDescent="0.2">
      <c r="A169" s="1"/>
      <c r="B169" s="1"/>
      <c r="C169" s="2" t="s">
        <v>122</v>
      </c>
      <c r="D169" s="1"/>
      <c r="E169" s="1" t="s">
        <v>123</v>
      </c>
      <c r="F169" s="13">
        <v>0</v>
      </c>
      <c r="G169" s="14">
        <v>0</v>
      </c>
      <c r="H169" s="47"/>
    </row>
    <row r="170" spans="1:8" ht="14.1" customHeight="1" x14ac:dyDescent="0.2">
      <c r="A170" s="1"/>
      <c r="B170" s="1"/>
      <c r="C170" s="11"/>
      <c r="D170" s="1"/>
      <c r="E170" s="1"/>
      <c r="F170" s="12"/>
      <c r="G170" s="12"/>
      <c r="H170" s="47"/>
    </row>
    <row r="171" spans="1:8" ht="14.1" customHeight="1" x14ac:dyDescent="0.2">
      <c r="A171" s="1"/>
      <c r="B171" s="4"/>
      <c r="C171" s="4"/>
      <c r="D171" s="2"/>
      <c r="E171" s="1"/>
      <c r="F171" s="4"/>
      <c r="G171" s="8"/>
      <c r="H171" s="47"/>
    </row>
    <row r="172" spans="1:8" ht="18" customHeight="1" x14ac:dyDescent="0.2">
      <c r="A172" s="8"/>
      <c r="B172" s="4"/>
      <c r="C172" s="45" t="s">
        <v>1066</v>
      </c>
      <c r="D172" s="4"/>
      <c r="E172" s="8"/>
      <c r="F172" s="6">
        <v>-6.69944351</v>
      </c>
      <c r="G172" s="7">
        <v>-1.267315E-3</v>
      </c>
      <c r="H172" s="47"/>
    </row>
    <row r="173" spans="1:8" ht="14.1" customHeight="1" x14ac:dyDescent="0.2">
      <c r="A173" s="11"/>
      <c r="B173" s="11"/>
      <c r="C173" s="2" t="s">
        <v>148</v>
      </c>
      <c r="D173" s="15"/>
      <c r="E173" s="15"/>
      <c r="F173" s="9">
        <v>5286.3272287039999</v>
      </c>
      <c r="G173" s="10">
        <v>1</v>
      </c>
      <c r="H173" s="47"/>
    </row>
    <row r="174" spans="1:8" ht="14.1" customHeight="1" x14ac:dyDescent="0.2">
      <c r="A174" s="16"/>
      <c r="B174" s="16"/>
      <c r="C174" s="16"/>
      <c r="D174" s="17"/>
      <c r="E174" s="17"/>
      <c r="F174" s="17"/>
      <c r="G174" s="17"/>
    </row>
    <row r="175" spans="1:8" ht="17.100000000000001" customHeight="1" x14ac:dyDescent="0.2">
      <c r="A175" s="18"/>
      <c r="B175" s="264" t="s">
        <v>619</v>
      </c>
      <c r="C175" s="264"/>
      <c r="D175" s="264"/>
      <c r="E175" s="264"/>
      <c r="F175" s="264"/>
      <c r="G175" s="20"/>
    </row>
    <row r="176" spans="1:8" s="49" customFormat="1" ht="17.100000000000001" customHeight="1" x14ac:dyDescent="0.2">
      <c r="A176" s="97"/>
      <c r="B176" s="293" t="s">
        <v>860</v>
      </c>
      <c r="C176" s="293"/>
      <c r="D176" s="293"/>
      <c r="E176" s="293"/>
      <c r="F176" s="293"/>
      <c r="G176" s="98"/>
      <c r="H176"/>
    </row>
    <row r="177" spans="1:7" ht="17.100000000000001" customHeight="1" x14ac:dyDescent="0.2">
      <c r="A177" s="18"/>
      <c r="B177" s="264" t="s">
        <v>149</v>
      </c>
      <c r="C177" s="264"/>
      <c r="D177" s="264"/>
      <c r="E177" s="264"/>
      <c r="F177" s="264"/>
      <c r="G177" s="20"/>
    </row>
    <row r="178" spans="1:7" ht="14.1" customHeight="1" x14ac:dyDescent="0.2">
      <c r="A178" s="51"/>
      <c r="B178" s="92" t="s">
        <v>1057</v>
      </c>
      <c r="C178" s="51"/>
      <c r="D178" s="52"/>
      <c r="E178" s="52"/>
      <c r="F178" s="52"/>
      <c r="G178" s="52"/>
    </row>
    <row r="179" spans="1:7" ht="14.1" customHeight="1" x14ac:dyDescent="0.2">
      <c r="A179" s="18"/>
      <c r="B179" s="18"/>
      <c r="C179" s="18"/>
      <c r="D179" s="20"/>
      <c r="E179" s="20"/>
      <c r="F179" s="20"/>
      <c r="G179" s="20"/>
    </row>
    <row r="180" spans="1:7" ht="14.1" customHeight="1" x14ac:dyDescent="0.2">
      <c r="A180" s="18"/>
      <c r="B180" s="257" t="s">
        <v>150</v>
      </c>
      <c r="C180" s="258"/>
      <c r="D180" s="12" t="s">
        <v>123</v>
      </c>
      <c r="E180" s="21"/>
      <c r="F180" s="20"/>
      <c r="G180" s="20"/>
    </row>
    <row r="181" spans="1:7" ht="29.1" customHeight="1" x14ac:dyDescent="0.2">
      <c r="A181" s="18"/>
      <c r="B181" s="259" t="s">
        <v>151</v>
      </c>
      <c r="C181" s="260"/>
      <c r="D181" s="2" t="s">
        <v>152</v>
      </c>
      <c r="E181" s="21"/>
      <c r="F181" s="20"/>
      <c r="G181" s="20"/>
    </row>
    <row r="182" spans="1:7" ht="17.100000000000001" customHeight="1" x14ac:dyDescent="0.2">
      <c r="A182" s="18"/>
      <c r="B182" s="259" t="s">
        <v>153</v>
      </c>
      <c r="C182" s="260"/>
      <c r="D182" s="2" t="s">
        <v>152</v>
      </c>
      <c r="E182" s="21"/>
      <c r="F182" s="20"/>
      <c r="G182" s="20"/>
    </row>
    <row r="183" spans="1:7" ht="17.100000000000001" customHeight="1" x14ac:dyDescent="0.2">
      <c r="A183" s="18"/>
      <c r="B183" s="259" t="s">
        <v>154</v>
      </c>
      <c r="C183" s="260"/>
      <c r="D183" s="12" t="s">
        <v>123</v>
      </c>
      <c r="E183" s="21"/>
      <c r="F183" s="20"/>
      <c r="G183" s="20"/>
    </row>
    <row r="184" spans="1:7" ht="24" customHeight="1" x14ac:dyDescent="0.2">
      <c r="A184" s="22"/>
      <c r="B184" s="23" t="s">
        <v>123</v>
      </c>
      <c r="C184" s="23" t="s">
        <v>155</v>
      </c>
      <c r="D184" s="23" t="s">
        <v>156</v>
      </c>
      <c r="E184" s="22"/>
      <c r="F184" s="22"/>
      <c r="G184" s="22"/>
    </row>
    <row r="185" spans="1:7" ht="18" customHeight="1" x14ac:dyDescent="0.2">
      <c r="A185" s="22"/>
      <c r="B185" s="23" t="s">
        <v>157</v>
      </c>
      <c r="C185" s="23" t="s">
        <v>158</v>
      </c>
      <c r="D185" s="23" t="s">
        <v>159</v>
      </c>
      <c r="E185" s="22"/>
      <c r="F185" s="22"/>
      <c r="G185" s="22"/>
    </row>
    <row r="186" spans="1:7" ht="17.100000000000001" customHeight="1" x14ac:dyDescent="0.2">
      <c r="A186" s="22"/>
      <c r="B186" s="4" t="s">
        <v>160</v>
      </c>
      <c r="C186" s="24">
        <v>107.39319999999999</v>
      </c>
      <c r="D186" s="24">
        <v>101.059</v>
      </c>
      <c r="E186" s="22"/>
      <c r="F186" s="19"/>
      <c r="G186" s="25"/>
    </row>
    <row r="187" spans="1:7" ht="17.100000000000001" customHeight="1" x14ac:dyDescent="0.2">
      <c r="A187" s="22"/>
      <c r="B187" s="4" t="s">
        <v>1101</v>
      </c>
      <c r="C187" s="24">
        <v>63.113399999999999</v>
      </c>
      <c r="D187" s="24">
        <v>59.390900000000002</v>
      </c>
      <c r="E187" s="22"/>
      <c r="F187" s="19"/>
      <c r="G187" s="25"/>
    </row>
    <row r="188" spans="1:7" ht="17.100000000000001" customHeight="1" x14ac:dyDescent="0.2">
      <c r="A188" s="22"/>
      <c r="B188" s="4" t="s">
        <v>161</v>
      </c>
      <c r="C188" s="24">
        <v>103.4695</v>
      </c>
      <c r="D188" s="24">
        <v>97.333200000000005</v>
      </c>
      <c r="E188" s="22"/>
      <c r="F188" s="19"/>
      <c r="G188" s="25"/>
    </row>
    <row r="189" spans="1:7" ht="17.100000000000001" customHeight="1" x14ac:dyDescent="0.2">
      <c r="A189" s="22"/>
      <c r="B189" s="4" t="s">
        <v>1102</v>
      </c>
      <c r="C189" s="24">
        <v>60.811100000000003</v>
      </c>
      <c r="D189" s="24">
        <v>57.204700000000003</v>
      </c>
      <c r="E189" s="22"/>
      <c r="F189" s="19"/>
      <c r="G189" s="25"/>
    </row>
    <row r="190" spans="1:7" ht="14.1" customHeight="1" x14ac:dyDescent="0.2">
      <c r="A190" s="22"/>
      <c r="B190" s="22"/>
      <c r="C190" s="22"/>
      <c r="D190" s="22"/>
      <c r="E190" s="22"/>
      <c r="F190" s="22"/>
      <c r="G190" s="22"/>
    </row>
    <row r="191" spans="1:7" ht="17.100000000000001" customHeight="1" x14ac:dyDescent="0.2">
      <c r="A191" s="22"/>
      <c r="B191" s="259" t="s">
        <v>1103</v>
      </c>
      <c r="C191" s="260"/>
      <c r="D191" s="2" t="s">
        <v>152</v>
      </c>
      <c r="E191" s="22"/>
      <c r="F191" s="22"/>
      <c r="G191" s="22"/>
    </row>
    <row r="192" spans="1:7" ht="18" customHeight="1" x14ac:dyDescent="0.2">
      <c r="A192" s="22"/>
      <c r="B192" s="26"/>
      <c r="C192" s="26"/>
      <c r="D192" s="27"/>
      <c r="E192" s="22"/>
      <c r="F192" s="22"/>
      <c r="G192" s="22"/>
    </row>
    <row r="193" spans="1:7" ht="29.1" customHeight="1" x14ac:dyDescent="0.2">
      <c r="A193" s="22"/>
      <c r="B193" s="259" t="s">
        <v>162</v>
      </c>
      <c r="C193" s="260"/>
      <c r="D193" s="2" t="s">
        <v>152</v>
      </c>
      <c r="E193" s="22"/>
      <c r="F193" s="22"/>
      <c r="G193" s="22"/>
    </row>
    <row r="194" spans="1:7" ht="29.1" customHeight="1" x14ac:dyDescent="0.2">
      <c r="A194" s="22"/>
      <c r="B194" s="259" t="s">
        <v>163</v>
      </c>
      <c r="C194" s="260"/>
      <c r="D194" s="2" t="s">
        <v>152</v>
      </c>
      <c r="E194" s="22"/>
      <c r="F194" s="22"/>
      <c r="G194" s="22"/>
    </row>
    <row r="195" spans="1:7" ht="17.100000000000001" customHeight="1" x14ac:dyDescent="0.2">
      <c r="A195" s="22"/>
      <c r="B195" s="259" t="s">
        <v>164</v>
      </c>
      <c r="C195" s="260"/>
      <c r="D195" s="28">
        <v>0.55743584483168607</v>
      </c>
      <c r="E195" s="22"/>
      <c r="F195" s="19"/>
      <c r="G195" s="25"/>
    </row>
    <row r="196" spans="1:7" ht="17.100000000000001" customHeight="1" x14ac:dyDescent="0.2">
      <c r="A196" s="22"/>
      <c r="B196" s="259" t="s">
        <v>165</v>
      </c>
      <c r="C196" s="260"/>
      <c r="D196" s="2" t="s">
        <v>152</v>
      </c>
      <c r="E196" s="22"/>
      <c r="F196" s="22"/>
      <c r="G196" s="22"/>
    </row>
  </sheetData>
  <mergeCells count="16">
    <mergeCell ref="J2:N2"/>
    <mergeCell ref="B175:F175"/>
    <mergeCell ref="B177:F177"/>
    <mergeCell ref="B176:F176"/>
    <mergeCell ref="A1:H1"/>
    <mergeCell ref="A2:H2"/>
    <mergeCell ref="A3:H3"/>
    <mergeCell ref="B180:C180"/>
    <mergeCell ref="B195:C195"/>
    <mergeCell ref="B196:C196"/>
    <mergeCell ref="B181:C181"/>
    <mergeCell ref="B182:C182"/>
    <mergeCell ref="B183:C183"/>
    <mergeCell ref="B191:C191"/>
    <mergeCell ref="B193:C193"/>
    <mergeCell ref="B194:C19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N15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94" t="s">
        <v>1151</v>
      </c>
      <c r="B2" s="295"/>
      <c r="C2" s="295"/>
      <c r="D2" s="295"/>
      <c r="E2" s="295"/>
      <c r="F2" s="295"/>
      <c r="G2" s="295"/>
      <c r="H2" s="296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1044215</v>
      </c>
      <c r="F7" s="6">
        <v>7384.6884799999998</v>
      </c>
      <c r="G7" s="7">
        <v>8.6453467000000006E-2</v>
      </c>
      <c r="H7" s="47"/>
    </row>
    <row r="8" spans="1:14" ht="17.100000000000001" customHeight="1" x14ac:dyDescent="0.2">
      <c r="A8" s="3">
        <v>2</v>
      </c>
      <c r="B8" s="4" t="s">
        <v>358</v>
      </c>
      <c r="C8" s="4" t="s">
        <v>359</v>
      </c>
      <c r="D8" s="4" t="s">
        <v>19</v>
      </c>
      <c r="E8" s="5">
        <v>335117</v>
      </c>
      <c r="F8" s="6">
        <v>4517.37716</v>
      </c>
      <c r="G8" s="7">
        <v>5.2885496999999997E-2</v>
      </c>
      <c r="H8" s="47"/>
    </row>
    <row r="9" spans="1:14" ht="17.100000000000001" customHeight="1" x14ac:dyDescent="0.2">
      <c r="A9" s="3">
        <v>3</v>
      </c>
      <c r="B9" s="4" t="s">
        <v>393</v>
      </c>
      <c r="C9" s="4" t="s">
        <v>394</v>
      </c>
      <c r="D9" s="4" t="s">
        <v>191</v>
      </c>
      <c r="E9" s="5">
        <v>288000</v>
      </c>
      <c r="F9" s="6">
        <v>4210.2719999999999</v>
      </c>
      <c r="G9" s="7">
        <v>4.9290177999999997E-2</v>
      </c>
      <c r="H9" s="47"/>
    </row>
    <row r="10" spans="1:14" ht="17.100000000000001" customHeight="1" x14ac:dyDescent="0.2">
      <c r="A10" s="3">
        <v>4</v>
      </c>
      <c r="B10" s="4" t="s">
        <v>46</v>
      </c>
      <c r="C10" s="4" t="s">
        <v>47</v>
      </c>
      <c r="D10" s="4" t="s">
        <v>19</v>
      </c>
      <c r="E10" s="5">
        <v>787020</v>
      </c>
      <c r="F10" s="6">
        <v>3666.7261800000001</v>
      </c>
      <c r="G10" s="7">
        <v>4.2926819999999997E-2</v>
      </c>
      <c r="H10" s="47"/>
    </row>
    <row r="11" spans="1:14" ht="17.100000000000001" customHeight="1" x14ac:dyDescent="0.2">
      <c r="A11" s="3">
        <v>5</v>
      </c>
      <c r="B11" s="4" t="s">
        <v>36</v>
      </c>
      <c r="C11" s="4" t="s">
        <v>37</v>
      </c>
      <c r="D11" s="4" t="s">
        <v>28</v>
      </c>
      <c r="E11" s="5">
        <v>166000</v>
      </c>
      <c r="F11" s="6">
        <v>3653.9920000000002</v>
      </c>
      <c r="G11" s="7">
        <v>4.2777739000000002E-2</v>
      </c>
      <c r="H11" s="47"/>
    </row>
    <row r="12" spans="1:14" ht="17.100000000000001" customHeight="1" x14ac:dyDescent="0.2">
      <c r="A12" s="3">
        <v>6</v>
      </c>
      <c r="B12" s="4" t="s">
        <v>14</v>
      </c>
      <c r="C12" s="4" t="s">
        <v>15</v>
      </c>
      <c r="D12" s="4" t="s">
        <v>16</v>
      </c>
      <c r="E12" s="5">
        <v>137512</v>
      </c>
      <c r="F12" s="6">
        <v>3569.3302279999998</v>
      </c>
      <c r="G12" s="7">
        <v>4.1786592999999997E-2</v>
      </c>
      <c r="H12" s="47"/>
    </row>
    <row r="13" spans="1:14" ht="53.1" customHeight="1" x14ac:dyDescent="0.2">
      <c r="A13" s="3">
        <v>7</v>
      </c>
      <c r="B13" s="4" t="s">
        <v>60</v>
      </c>
      <c r="C13" s="4" t="s">
        <v>61</v>
      </c>
      <c r="D13" s="4" t="s">
        <v>62</v>
      </c>
      <c r="E13" s="5">
        <v>2405310</v>
      </c>
      <c r="F13" s="6">
        <v>3555.0481799999998</v>
      </c>
      <c r="G13" s="7">
        <v>4.1619391999999998E-2</v>
      </c>
      <c r="H13" s="47"/>
      <c r="J13" s="147" t="s">
        <v>1127</v>
      </c>
    </row>
    <row r="14" spans="1:14" ht="29.1" customHeight="1" x14ac:dyDescent="0.2">
      <c r="A14" s="3">
        <v>8</v>
      </c>
      <c r="B14" s="4" t="s">
        <v>395</v>
      </c>
      <c r="C14" s="4" t="s">
        <v>396</v>
      </c>
      <c r="D14" s="4" t="s">
        <v>91</v>
      </c>
      <c r="E14" s="5">
        <v>145000</v>
      </c>
      <c r="F14" s="6">
        <v>3147.7325000000001</v>
      </c>
      <c r="G14" s="7">
        <v>3.6850896000000001E-2</v>
      </c>
      <c r="H14" s="47"/>
    </row>
    <row r="15" spans="1:14" ht="17.100000000000001" customHeight="1" x14ac:dyDescent="0.2">
      <c r="A15" s="3">
        <v>9</v>
      </c>
      <c r="B15" s="4" t="s">
        <v>83</v>
      </c>
      <c r="C15" s="4" t="s">
        <v>84</v>
      </c>
      <c r="D15" s="4" t="s">
        <v>85</v>
      </c>
      <c r="E15" s="5">
        <v>33000</v>
      </c>
      <c r="F15" s="6">
        <v>2795.3474999999999</v>
      </c>
      <c r="G15" s="7">
        <v>3.2725481000000001E-2</v>
      </c>
      <c r="H15" s="47"/>
    </row>
    <row r="16" spans="1:14" ht="17.100000000000001" customHeight="1" x14ac:dyDescent="0.2">
      <c r="A16" s="3">
        <v>10</v>
      </c>
      <c r="B16" s="4" t="s">
        <v>304</v>
      </c>
      <c r="C16" s="4" t="s">
        <v>305</v>
      </c>
      <c r="D16" s="4" t="s">
        <v>19</v>
      </c>
      <c r="E16" s="5">
        <v>410005</v>
      </c>
      <c r="F16" s="6">
        <v>2610.9118400000002</v>
      </c>
      <c r="G16" s="7">
        <v>3.056627E-2</v>
      </c>
      <c r="H16" s="47"/>
    </row>
    <row r="17" spans="1:10" ht="17.100000000000001" customHeight="1" x14ac:dyDescent="0.2">
      <c r="A17" s="3">
        <v>11</v>
      </c>
      <c r="B17" s="4" t="s">
        <v>397</v>
      </c>
      <c r="C17" s="4" t="s">
        <v>398</v>
      </c>
      <c r="D17" s="4" t="s">
        <v>191</v>
      </c>
      <c r="E17" s="5">
        <v>78000</v>
      </c>
      <c r="F17" s="6">
        <v>2548.3380000000002</v>
      </c>
      <c r="G17" s="7">
        <v>2.9833709999999999E-2</v>
      </c>
      <c r="H17" s="47"/>
    </row>
    <row r="18" spans="1:10" ht="17.100000000000001" customHeight="1" x14ac:dyDescent="0.2">
      <c r="A18" s="3">
        <v>12</v>
      </c>
      <c r="B18" s="4" t="s">
        <v>345</v>
      </c>
      <c r="C18" s="4" t="s">
        <v>346</v>
      </c>
      <c r="D18" s="4" t="s">
        <v>174</v>
      </c>
      <c r="E18" s="5">
        <v>361925</v>
      </c>
      <c r="F18" s="6">
        <v>1853.9608125</v>
      </c>
      <c r="G18" s="7">
        <v>2.170455E-2</v>
      </c>
      <c r="H18" s="47"/>
    </row>
    <row r="19" spans="1:10" ht="17.100000000000001" customHeight="1" x14ac:dyDescent="0.2">
      <c r="A19" s="3">
        <v>13</v>
      </c>
      <c r="B19" s="4" t="s">
        <v>442</v>
      </c>
      <c r="C19" s="4" t="s">
        <v>443</v>
      </c>
      <c r="D19" s="4" t="s">
        <v>85</v>
      </c>
      <c r="E19" s="5">
        <v>403269</v>
      </c>
      <c r="F19" s="6">
        <v>1660.661742</v>
      </c>
      <c r="G19" s="7">
        <v>1.9441574E-2</v>
      </c>
      <c r="H19" s="47"/>
    </row>
    <row r="20" spans="1:10" ht="29.1" customHeight="1" x14ac:dyDescent="0.2">
      <c r="A20" s="3">
        <v>14</v>
      </c>
      <c r="B20" s="4" t="s">
        <v>401</v>
      </c>
      <c r="C20" s="4" t="s">
        <v>402</v>
      </c>
      <c r="D20" s="4" t="s">
        <v>204</v>
      </c>
      <c r="E20" s="5">
        <v>185514</v>
      </c>
      <c r="F20" s="6">
        <v>1540.8792840000001</v>
      </c>
      <c r="G20" s="7">
        <v>1.8039266000000002E-2</v>
      </c>
      <c r="H20" s="47"/>
    </row>
    <row r="21" spans="1:10" ht="17.100000000000001" customHeight="1" x14ac:dyDescent="0.2">
      <c r="A21" s="3">
        <v>15</v>
      </c>
      <c r="B21" s="4" t="s">
        <v>403</v>
      </c>
      <c r="C21" s="4" t="s">
        <v>404</v>
      </c>
      <c r="D21" s="4" t="s">
        <v>405</v>
      </c>
      <c r="E21" s="5">
        <v>68396</v>
      </c>
      <c r="F21" s="6">
        <v>1525.6411760000001</v>
      </c>
      <c r="G21" s="7">
        <v>1.7860871E-2</v>
      </c>
      <c r="H21" s="47"/>
    </row>
    <row r="22" spans="1:10" ht="17.100000000000001" customHeight="1" x14ac:dyDescent="0.2">
      <c r="A22" s="3">
        <v>16</v>
      </c>
      <c r="B22" s="4" t="s">
        <v>429</v>
      </c>
      <c r="C22" s="45" t="s">
        <v>1012</v>
      </c>
      <c r="D22" s="4" t="s">
        <v>22</v>
      </c>
      <c r="E22" s="5">
        <v>493578</v>
      </c>
      <c r="F22" s="6">
        <v>1492.579872</v>
      </c>
      <c r="G22" s="7">
        <v>1.7473817999999999E-2</v>
      </c>
      <c r="H22" s="47"/>
      <c r="J22" s="147" t="s">
        <v>1128</v>
      </c>
    </row>
    <row r="23" spans="1:10" ht="17.100000000000001" customHeight="1" x14ac:dyDescent="0.2">
      <c r="A23" s="3">
        <v>17</v>
      </c>
      <c r="B23" s="4" t="s">
        <v>78</v>
      </c>
      <c r="C23" s="4" t="s">
        <v>79</v>
      </c>
      <c r="D23" s="4" t="s">
        <v>80</v>
      </c>
      <c r="E23" s="5">
        <v>60212</v>
      </c>
      <c r="F23" s="6">
        <v>1385.4179079999999</v>
      </c>
      <c r="G23" s="7">
        <v>1.6219259999999999E-2</v>
      </c>
      <c r="H23" s="47"/>
    </row>
    <row r="24" spans="1:10" ht="17.100000000000001" customHeight="1" x14ac:dyDescent="0.2">
      <c r="A24" s="3">
        <v>18</v>
      </c>
      <c r="B24" s="4" t="s">
        <v>319</v>
      </c>
      <c r="C24" s="4" t="s">
        <v>320</v>
      </c>
      <c r="D24" s="4" t="s">
        <v>321</v>
      </c>
      <c r="E24" s="5">
        <v>175000</v>
      </c>
      <c r="F24" s="6">
        <v>1369.1125</v>
      </c>
      <c r="G24" s="7">
        <v>1.602837E-2</v>
      </c>
      <c r="H24" s="47"/>
    </row>
    <row r="25" spans="1:10" ht="29.1" customHeight="1" x14ac:dyDescent="0.2">
      <c r="A25" s="3">
        <v>19</v>
      </c>
      <c r="B25" s="4" t="s">
        <v>175</v>
      </c>
      <c r="C25" s="4" t="s">
        <v>176</v>
      </c>
      <c r="D25" s="4" t="s">
        <v>88</v>
      </c>
      <c r="E25" s="5">
        <v>394000</v>
      </c>
      <c r="F25" s="6">
        <v>1340.191</v>
      </c>
      <c r="G25" s="7">
        <v>1.5689782999999999E-2</v>
      </c>
      <c r="H25" s="47"/>
    </row>
    <row r="26" spans="1:10" ht="17.100000000000001" customHeight="1" x14ac:dyDescent="0.2">
      <c r="A26" s="3">
        <v>20</v>
      </c>
      <c r="B26" s="4" t="s">
        <v>299</v>
      </c>
      <c r="C26" s="4" t="s">
        <v>300</v>
      </c>
      <c r="D26" s="4" t="s">
        <v>19</v>
      </c>
      <c r="E26" s="5">
        <v>1460988</v>
      </c>
      <c r="F26" s="6">
        <v>1317.8111759999999</v>
      </c>
      <c r="G26" s="7">
        <v>1.5427779000000001E-2</v>
      </c>
      <c r="H26" s="47"/>
    </row>
    <row r="27" spans="1:10" ht="53.1" customHeight="1" x14ac:dyDescent="0.2">
      <c r="A27" s="3">
        <v>21</v>
      </c>
      <c r="B27" s="4" t="s">
        <v>100</v>
      </c>
      <c r="C27" s="4" t="s">
        <v>101</v>
      </c>
      <c r="D27" s="4" t="s">
        <v>62</v>
      </c>
      <c r="E27" s="5">
        <v>98510</v>
      </c>
      <c r="F27" s="6">
        <v>1236.349755</v>
      </c>
      <c r="G27" s="7">
        <v>1.44741E-2</v>
      </c>
      <c r="H27" s="47"/>
    </row>
    <row r="28" spans="1:10" ht="29.1" customHeight="1" x14ac:dyDescent="0.2">
      <c r="A28" s="3">
        <v>22</v>
      </c>
      <c r="B28" s="4" t="s">
        <v>89</v>
      </c>
      <c r="C28" s="4" t="s">
        <v>90</v>
      </c>
      <c r="D28" s="4" t="s">
        <v>91</v>
      </c>
      <c r="E28" s="5">
        <v>197572</v>
      </c>
      <c r="F28" s="6">
        <v>1223.9585400000001</v>
      </c>
      <c r="G28" s="7">
        <v>1.4329035E-2</v>
      </c>
      <c r="H28" s="47"/>
    </row>
    <row r="29" spans="1:10" ht="29.1" customHeight="1" x14ac:dyDescent="0.2">
      <c r="A29" s="3">
        <v>23</v>
      </c>
      <c r="B29" s="4" t="s">
        <v>330</v>
      </c>
      <c r="C29" s="4" t="s">
        <v>331</v>
      </c>
      <c r="D29" s="4" t="s">
        <v>204</v>
      </c>
      <c r="E29" s="5">
        <v>44000</v>
      </c>
      <c r="F29" s="6">
        <v>1188.748</v>
      </c>
      <c r="G29" s="7">
        <v>1.3916820999999999E-2</v>
      </c>
      <c r="H29" s="47"/>
    </row>
    <row r="30" spans="1:10" ht="17.100000000000001" customHeight="1" x14ac:dyDescent="0.2">
      <c r="A30" s="3">
        <v>24</v>
      </c>
      <c r="B30" s="4" t="s">
        <v>563</v>
      </c>
      <c r="C30" s="4" t="s">
        <v>564</v>
      </c>
      <c r="D30" s="4" t="s">
        <v>88</v>
      </c>
      <c r="E30" s="5">
        <v>180000</v>
      </c>
      <c r="F30" s="6">
        <v>1127.7</v>
      </c>
      <c r="G30" s="7">
        <v>1.3202124000000001E-2</v>
      </c>
      <c r="H30" s="47"/>
    </row>
    <row r="31" spans="1:10" ht="17.100000000000001" customHeight="1" x14ac:dyDescent="0.2">
      <c r="A31" s="3">
        <v>25</v>
      </c>
      <c r="B31" s="4" t="s">
        <v>534</v>
      </c>
      <c r="C31" s="4" t="s">
        <v>535</v>
      </c>
      <c r="D31" s="4" t="s">
        <v>184</v>
      </c>
      <c r="E31" s="5">
        <v>30201</v>
      </c>
      <c r="F31" s="6">
        <v>1116.4856685</v>
      </c>
      <c r="G31" s="7">
        <v>1.3070837E-2</v>
      </c>
      <c r="H31" s="47"/>
    </row>
    <row r="32" spans="1:10" ht="17.100000000000001" customHeight="1" x14ac:dyDescent="0.2">
      <c r="A32" s="3">
        <v>26</v>
      </c>
      <c r="B32" s="4" t="s">
        <v>11</v>
      </c>
      <c r="C32" s="4" t="s">
        <v>12</v>
      </c>
      <c r="D32" s="4" t="s">
        <v>13</v>
      </c>
      <c r="E32" s="5">
        <v>70588</v>
      </c>
      <c r="F32" s="6">
        <v>1099.93751</v>
      </c>
      <c r="G32" s="7">
        <v>1.2877105E-2</v>
      </c>
      <c r="H32" s="47"/>
    </row>
    <row r="33" spans="1:8" ht="17.100000000000001" customHeight="1" x14ac:dyDescent="0.2">
      <c r="A33" s="3">
        <v>27</v>
      </c>
      <c r="B33" s="4" t="s">
        <v>306</v>
      </c>
      <c r="C33" s="4" t="s">
        <v>307</v>
      </c>
      <c r="D33" s="4" t="s">
        <v>19</v>
      </c>
      <c r="E33" s="5">
        <v>1077030</v>
      </c>
      <c r="F33" s="6">
        <v>1049.0272199999999</v>
      </c>
      <c r="G33" s="7">
        <v>1.2281092E-2</v>
      </c>
      <c r="H33" s="47"/>
    </row>
    <row r="34" spans="1:8" ht="29.1" customHeight="1" x14ac:dyDescent="0.2">
      <c r="A34" s="3">
        <v>28</v>
      </c>
      <c r="B34" s="4" t="s">
        <v>199</v>
      </c>
      <c r="C34" s="4" t="s">
        <v>200</v>
      </c>
      <c r="D34" s="4" t="s">
        <v>201</v>
      </c>
      <c r="E34" s="5">
        <v>28290</v>
      </c>
      <c r="F34" s="6">
        <v>1033.03764</v>
      </c>
      <c r="G34" s="7">
        <v>1.2093899999999999E-2</v>
      </c>
      <c r="H34" s="47"/>
    </row>
    <row r="35" spans="1:8" ht="17.100000000000001" customHeight="1" x14ac:dyDescent="0.2">
      <c r="A35" s="3">
        <v>29</v>
      </c>
      <c r="B35" s="4" t="s">
        <v>434</v>
      </c>
      <c r="C35" s="4" t="s">
        <v>435</v>
      </c>
      <c r="D35" s="4" t="s">
        <v>19</v>
      </c>
      <c r="E35" s="5">
        <v>522654</v>
      </c>
      <c r="F35" s="6">
        <v>947.31037500000002</v>
      </c>
      <c r="G35" s="7">
        <v>1.1090279999999999E-2</v>
      </c>
      <c r="H35" s="47"/>
    </row>
    <row r="36" spans="1:8" ht="17.100000000000001" customHeight="1" x14ac:dyDescent="0.2">
      <c r="A36" s="3">
        <v>30</v>
      </c>
      <c r="B36" s="4" t="s">
        <v>629</v>
      </c>
      <c r="C36" s="4" t="s">
        <v>630</v>
      </c>
      <c r="D36" s="4" t="s">
        <v>19</v>
      </c>
      <c r="E36" s="5">
        <v>624396</v>
      </c>
      <c r="F36" s="6">
        <v>935.65740600000004</v>
      </c>
      <c r="G36" s="7">
        <v>1.0953858E-2</v>
      </c>
      <c r="H36" s="47"/>
    </row>
    <row r="37" spans="1:8" ht="17.100000000000001" customHeight="1" x14ac:dyDescent="0.2">
      <c r="A37" s="3">
        <v>31</v>
      </c>
      <c r="B37" s="4" t="s">
        <v>543</v>
      </c>
      <c r="C37" s="4" t="s">
        <v>544</v>
      </c>
      <c r="D37" s="4" t="s">
        <v>217</v>
      </c>
      <c r="E37" s="5">
        <v>56776</v>
      </c>
      <c r="F37" s="6">
        <v>929.33795599999996</v>
      </c>
      <c r="G37" s="7">
        <v>1.0879875000000001E-2</v>
      </c>
      <c r="H37" s="47"/>
    </row>
    <row r="38" spans="1:8" ht="17.100000000000001" customHeight="1" x14ac:dyDescent="0.2">
      <c r="A38" s="3">
        <v>32</v>
      </c>
      <c r="B38" s="4" t="s">
        <v>301</v>
      </c>
      <c r="C38" s="4" t="s">
        <v>302</v>
      </c>
      <c r="D38" s="4" t="s">
        <v>303</v>
      </c>
      <c r="E38" s="5">
        <v>2238</v>
      </c>
      <c r="F38" s="6">
        <v>898.92627000000005</v>
      </c>
      <c r="G38" s="7">
        <v>1.0523842E-2</v>
      </c>
      <c r="H38" s="47"/>
    </row>
    <row r="39" spans="1:8" ht="17.100000000000001" customHeight="1" x14ac:dyDescent="0.2">
      <c r="A39" s="3">
        <v>33</v>
      </c>
      <c r="B39" s="4" t="s">
        <v>92</v>
      </c>
      <c r="C39" s="4" t="s">
        <v>93</v>
      </c>
      <c r="D39" s="4" t="s">
        <v>94</v>
      </c>
      <c r="E39" s="5">
        <v>39000</v>
      </c>
      <c r="F39" s="6">
        <v>893.29499999999996</v>
      </c>
      <c r="G39" s="7">
        <v>1.0457915999999999E-2</v>
      </c>
      <c r="H39" s="47"/>
    </row>
    <row r="40" spans="1:8" ht="17.100000000000001" customHeight="1" x14ac:dyDescent="0.2">
      <c r="A40" s="3">
        <v>34</v>
      </c>
      <c r="B40" s="4" t="s">
        <v>446</v>
      </c>
      <c r="C40" s="4" t="s">
        <v>447</v>
      </c>
      <c r="D40" s="4" t="s">
        <v>312</v>
      </c>
      <c r="E40" s="5">
        <v>26000</v>
      </c>
      <c r="F40" s="6">
        <v>885.58600000000001</v>
      </c>
      <c r="G40" s="7">
        <v>1.0367665999999999E-2</v>
      </c>
      <c r="H40" s="47"/>
    </row>
    <row r="41" spans="1:8" ht="17.100000000000001" customHeight="1" x14ac:dyDescent="0.2">
      <c r="A41" s="3">
        <v>35</v>
      </c>
      <c r="B41" s="4" t="s">
        <v>364</v>
      </c>
      <c r="C41" s="4" t="s">
        <v>365</v>
      </c>
      <c r="D41" s="4" t="s">
        <v>91</v>
      </c>
      <c r="E41" s="5">
        <v>8000</v>
      </c>
      <c r="F41" s="6">
        <v>874.54</v>
      </c>
      <c r="G41" s="7">
        <v>1.0238349000000001E-2</v>
      </c>
      <c r="H41" s="47"/>
    </row>
    <row r="42" spans="1:8" ht="17.100000000000001" customHeight="1" x14ac:dyDescent="0.2">
      <c r="A42" s="3">
        <v>36</v>
      </c>
      <c r="B42" s="4" t="s">
        <v>432</v>
      </c>
      <c r="C42" s="4" t="s">
        <v>433</v>
      </c>
      <c r="D42" s="4" t="s">
        <v>94</v>
      </c>
      <c r="E42" s="5">
        <v>154394</v>
      </c>
      <c r="F42" s="6">
        <v>855.03397199999995</v>
      </c>
      <c r="G42" s="7">
        <v>1.0009989E-2</v>
      </c>
      <c r="H42" s="47"/>
    </row>
    <row r="43" spans="1:8" ht="17.100000000000001" customHeight="1" x14ac:dyDescent="0.2">
      <c r="A43" s="3">
        <v>37</v>
      </c>
      <c r="B43" s="4" t="s">
        <v>547</v>
      </c>
      <c r="C43" s="4" t="s">
        <v>548</v>
      </c>
      <c r="D43" s="4" t="s">
        <v>94</v>
      </c>
      <c r="E43" s="5">
        <v>278622</v>
      </c>
      <c r="F43" s="6">
        <v>836.14462200000003</v>
      </c>
      <c r="G43" s="7">
        <v>9.7888490000000005E-3</v>
      </c>
      <c r="H43" s="47"/>
    </row>
    <row r="44" spans="1:8" ht="17.100000000000001" customHeight="1" x14ac:dyDescent="0.2">
      <c r="A44" s="3">
        <v>38</v>
      </c>
      <c r="B44" s="4" t="s">
        <v>524</v>
      </c>
      <c r="C44" s="4" t="s">
        <v>525</v>
      </c>
      <c r="D44" s="4" t="s">
        <v>184</v>
      </c>
      <c r="E44" s="5">
        <v>36000</v>
      </c>
      <c r="F44" s="6">
        <v>812.79</v>
      </c>
      <c r="G44" s="7">
        <v>9.5154339999999997E-3</v>
      </c>
      <c r="H44" s="47"/>
    </row>
    <row r="45" spans="1:8" ht="29.1" customHeight="1" x14ac:dyDescent="0.2">
      <c r="A45" s="3">
        <v>39</v>
      </c>
      <c r="B45" s="4" t="s">
        <v>23</v>
      </c>
      <c r="C45" s="4" t="s">
        <v>24</v>
      </c>
      <c r="D45" s="4" t="s">
        <v>25</v>
      </c>
      <c r="E45" s="5">
        <v>13315</v>
      </c>
      <c r="F45" s="6">
        <v>746.61199499999998</v>
      </c>
      <c r="G45" s="7">
        <v>8.7406800000000007E-3</v>
      </c>
      <c r="H45" s="47"/>
    </row>
    <row r="46" spans="1:8" ht="29.1" customHeight="1" x14ac:dyDescent="0.2">
      <c r="A46" s="3">
        <v>40</v>
      </c>
      <c r="B46" s="4" t="s">
        <v>625</v>
      </c>
      <c r="C46" s="4" t="s">
        <v>626</v>
      </c>
      <c r="D46" s="4" t="s">
        <v>201</v>
      </c>
      <c r="E46" s="5">
        <v>50000</v>
      </c>
      <c r="F46" s="6">
        <v>745.02499999999998</v>
      </c>
      <c r="G46" s="7">
        <v>8.7221E-3</v>
      </c>
      <c r="H46" s="47"/>
    </row>
    <row r="47" spans="1:8" ht="17.100000000000001" customHeight="1" x14ac:dyDescent="0.2">
      <c r="A47" s="3">
        <v>41</v>
      </c>
      <c r="B47" s="4" t="s">
        <v>374</v>
      </c>
      <c r="C47" s="4" t="s">
        <v>375</v>
      </c>
      <c r="D47" s="4" t="s">
        <v>94</v>
      </c>
      <c r="E47" s="5">
        <v>80545</v>
      </c>
      <c r="F47" s="6">
        <v>743.55116750000002</v>
      </c>
      <c r="G47" s="7">
        <v>8.7048460000000005E-3</v>
      </c>
      <c r="H47" s="47"/>
    </row>
    <row r="48" spans="1:8" ht="29.1" customHeight="1" x14ac:dyDescent="0.2">
      <c r="A48" s="3">
        <v>42</v>
      </c>
      <c r="B48" s="4" t="s">
        <v>328</v>
      </c>
      <c r="C48" s="4" t="s">
        <v>329</v>
      </c>
      <c r="D48" s="4" t="s">
        <v>204</v>
      </c>
      <c r="E48" s="5">
        <v>79880</v>
      </c>
      <c r="F48" s="6">
        <v>716.923</v>
      </c>
      <c r="G48" s="7">
        <v>8.3931070000000003E-3</v>
      </c>
      <c r="H48" s="47"/>
    </row>
    <row r="49" spans="1:8" ht="17.100000000000001" customHeight="1" x14ac:dyDescent="0.2">
      <c r="A49" s="3">
        <v>43</v>
      </c>
      <c r="B49" s="4" t="s">
        <v>399</v>
      </c>
      <c r="C49" s="4" t="s">
        <v>400</v>
      </c>
      <c r="D49" s="4" t="s">
        <v>321</v>
      </c>
      <c r="E49" s="5">
        <v>66146</v>
      </c>
      <c r="F49" s="6">
        <v>715.43513600000006</v>
      </c>
      <c r="G49" s="7">
        <v>8.3756879999999992E-3</v>
      </c>
      <c r="H49" s="47"/>
    </row>
    <row r="50" spans="1:8" ht="17.100000000000001" customHeight="1" x14ac:dyDescent="0.2">
      <c r="A50" s="3">
        <v>44</v>
      </c>
      <c r="B50" s="4" t="s">
        <v>532</v>
      </c>
      <c r="C50" s="4" t="s">
        <v>533</v>
      </c>
      <c r="D50" s="4" t="s">
        <v>191</v>
      </c>
      <c r="E50" s="5">
        <v>50504</v>
      </c>
      <c r="F50" s="6">
        <v>713.06597599999998</v>
      </c>
      <c r="G50" s="7">
        <v>8.3479520000000005E-3</v>
      </c>
      <c r="H50" s="47"/>
    </row>
    <row r="51" spans="1:8" ht="17.100000000000001" customHeight="1" x14ac:dyDescent="0.2">
      <c r="A51" s="3">
        <v>45</v>
      </c>
      <c r="B51" s="4" t="s">
        <v>549</v>
      </c>
      <c r="C51" s="4" t="s">
        <v>550</v>
      </c>
      <c r="D51" s="4" t="s">
        <v>85</v>
      </c>
      <c r="E51" s="5">
        <v>68000</v>
      </c>
      <c r="F51" s="6">
        <v>695.47</v>
      </c>
      <c r="G51" s="7">
        <v>8.1419539999999999E-3</v>
      </c>
      <c r="H51" s="47"/>
    </row>
    <row r="52" spans="1:8" ht="29.1" customHeight="1" x14ac:dyDescent="0.2">
      <c r="A52" s="3">
        <v>46</v>
      </c>
      <c r="B52" s="4" t="s">
        <v>631</v>
      </c>
      <c r="C52" s="4" t="s">
        <v>632</v>
      </c>
      <c r="D52" s="4" t="s">
        <v>321</v>
      </c>
      <c r="E52" s="5">
        <v>61375</v>
      </c>
      <c r="F52" s="6">
        <v>687.98306249999996</v>
      </c>
      <c r="G52" s="7">
        <v>8.0543030000000005E-3</v>
      </c>
      <c r="H52" s="47"/>
    </row>
    <row r="53" spans="1:8" ht="17.100000000000001" customHeight="1" x14ac:dyDescent="0.2">
      <c r="A53" s="3">
        <v>47</v>
      </c>
      <c r="B53" s="4" t="s">
        <v>98</v>
      </c>
      <c r="C53" s="4" t="s">
        <v>99</v>
      </c>
      <c r="D53" s="4" t="s">
        <v>97</v>
      </c>
      <c r="E53" s="5">
        <v>82001</v>
      </c>
      <c r="F53" s="6">
        <v>604.88037650000001</v>
      </c>
      <c r="G53" s="7">
        <v>7.0814099999999998E-3</v>
      </c>
      <c r="H53" s="47"/>
    </row>
    <row r="54" spans="1:8" ht="17.100000000000001" customHeight="1" x14ac:dyDescent="0.2">
      <c r="A54" s="3">
        <v>48</v>
      </c>
      <c r="B54" s="4" t="s">
        <v>633</v>
      </c>
      <c r="C54" s="4" t="s">
        <v>634</v>
      </c>
      <c r="D54" s="4" t="s">
        <v>191</v>
      </c>
      <c r="E54" s="5">
        <v>17000</v>
      </c>
      <c r="F54" s="6">
        <v>601.68100000000004</v>
      </c>
      <c r="G54" s="7">
        <v>7.0439539999999998E-3</v>
      </c>
      <c r="H54" s="47"/>
    </row>
    <row r="55" spans="1:8" ht="29.1" customHeight="1" x14ac:dyDescent="0.2">
      <c r="A55" s="3">
        <v>49</v>
      </c>
      <c r="B55" s="4" t="s">
        <v>510</v>
      </c>
      <c r="C55" s="4" t="s">
        <v>511</v>
      </c>
      <c r="D55" s="4" t="s">
        <v>204</v>
      </c>
      <c r="E55" s="5">
        <v>63000</v>
      </c>
      <c r="F55" s="6">
        <v>577.83600000000001</v>
      </c>
      <c r="G55" s="7">
        <v>6.7647979999999998E-3</v>
      </c>
      <c r="H55" s="47"/>
    </row>
    <row r="56" spans="1:8" ht="29.1" customHeight="1" x14ac:dyDescent="0.2">
      <c r="A56" s="3">
        <v>50</v>
      </c>
      <c r="B56" s="4" t="s">
        <v>436</v>
      </c>
      <c r="C56" s="4" t="s">
        <v>437</v>
      </c>
      <c r="D56" s="4" t="s">
        <v>204</v>
      </c>
      <c r="E56" s="5">
        <v>14839</v>
      </c>
      <c r="F56" s="6">
        <v>538.715056</v>
      </c>
      <c r="G56" s="7">
        <v>6.3068040000000001E-3</v>
      </c>
      <c r="H56" s="47"/>
    </row>
    <row r="57" spans="1:8" ht="17.100000000000001" customHeight="1" x14ac:dyDescent="0.2">
      <c r="A57" s="3">
        <v>51</v>
      </c>
      <c r="B57" s="4" t="s">
        <v>366</v>
      </c>
      <c r="C57" s="4" t="s">
        <v>367</v>
      </c>
      <c r="D57" s="4" t="s">
        <v>209</v>
      </c>
      <c r="E57" s="5">
        <v>200000</v>
      </c>
      <c r="F57" s="6">
        <v>480</v>
      </c>
      <c r="G57" s="7">
        <v>5.61942E-3</v>
      </c>
      <c r="H57" s="47"/>
    </row>
    <row r="58" spans="1:8" ht="17.100000000000001" customHeight="1" x14ac:dyDescent="0.2">
      <c r="A58" s="3">
        <v>52</v>
      </c>
      <c r="B58" s="4" t="s">
        <v>410</v>
      </c>
      <c r="C58" s="4" t="s">
        <v>411</v>
      </c>
      <c r="D58" s="4" t="s">
        <v>191</v>
      </c>
      <c r="E58" s="5">
        <v>91000</v>
      </c>
      <c r="F58" s="6">
        <v>378.60550000000001</v>
      </c>
      <c r="G58" s="7">
        <v>4.4323820000000003E-3</v>
      </c>
      <c r="H58" s="47"/>
    </row>
    <row r="59" spans="1:8" ht="17.100000000000001" customHeight="1" x14ac:dyDescent="0.2">
      <c r="A59" s="3">
        <v>53</v>
      </c>
      <c r="B59" s="4" t="s">
        <v>424</v>
      </c>
      <c r="C59" s="4" t="s">
        <v>425</v>
      </c>
      <c r="D59" s="4" t="s">
        <v>114</v>
      </c>
      <c r="E59" s="5">
        <v>42773</v>
      </c>
      <c r="F59" s="6">
        <v>370.86329649999999</v>
      </c>
      <c r="G59" s="7">
        <v>4.3417430000000003E-3</v>
      </c>
      <c r="H59" s="47"/>
    </row>
    <row r="60" spans="1:8" ht="17.100000000000001" customHeight="1" x14ac:dyDescent="0.2">
      <c r="A60" s="3">
        <v>54</v>
      </c>
      <c r="B60" s="4" t="s">
        <v>536</v>
      </c>
      <c r="C60" s="4" t="s">
        <v>537</v>
      </c>
      <c r="D60" s="4" t="s">
        <v>184</v>
      </c>
      <c r="E60" s="5">
        <v>55010</v>
      </c>
      <c r="F60" s="6">
        <v>355.30959000000001</v>
      </c>
      <c r="G60" s="7">
        <v>4.1596539999999996E-3</v>
      </c>
      <c r="H60" s="47"/>
    </row>
    <row r="61" spans="1:8" ht="17.100000000000001" customHeight="1" x14ac:dyDescent="0.2">
      <c r="A61" s="3">
        <v>55</v>
      </c>
      <c r="B61" s="4" t="s">
        <v>317</v>
      </c>
      <c r="C61" s="4" t="s">
        <v>318</v>
      </c>
      <c r="D61" s="4" t="s">
        <v>191</v>
      </c>
      <c r="E61" s="5">
        <v>9000</v>
      </c>
      <c r="F61" s="6">
        <v>259.83449999999999</v>
      </c>
      <c r="G61" s="7">
        <v>3.0419150000000001E-3</v>
      </c>
      <c r="H61" s="47"/>
    </row>
    <row r="62" spans="1:8" ht="17.100000000000001" customHeight="1" x14ac:dyDescent="0.2">
      <c r="A62" s="3">
        <v>56</v>
      </c>
      <c r="B62" s="4" t="s">
        <v>744</v>
      </c>
      <c r="C62" s="4" t="s">
        <v>745</v>
      </c>
      <c r="D62" s="4" t="s">
        <v>312</v>
      </c>
      <c r="E62" s="5">
        <v>370890</v>
      </c>
      <c r="F62" s="6">
        <v>199.724265</v>
      </c>
      <c r="G62" s="7">
        <v>2.3381970000000002E-3</v>
      </c>
      <c r="H62" s="47"/>
    </row>
    <row r="63" spans="1:8" ht="17.100000000000001" customHeight="1" x14ac:dyDescent="0.2">
      <c r="A63" s="3">
        <v>57</v>
      </c>
      <c r="B63" s="4" t="s">
        <v>573</v>
      </c>
      <c r="C63" s="4" t="s">
        <v>574</v>
      </c>
      <c r="D63" s="4" t="s">
        <v>312</v>
      </c>
      <c r="E63" s="5">
        <v>8126</v>
      </c>
      <c r="F63" s="6">
        <v>78.489034000000004</v>
      </c>
      <c r="G63" s="7">
        <v>9.1888099999999997E-4</v>
      </c>
      <c r="H63" s="47"/>
    </row>
    <row r="64" spans="1:8" ht="14.1" customHeight="1" x14ac:dyDescent="0.2">
      <c r="A64" s="1"/>
      <c r="B64" s="1"/>
      <c r="C64" s="2" t="s">
        <v>122</v>
      </c>
      <c r="D64" s="1"/>
      <c r="E64" s="1" t="s">
        <v>123</v>
      </c>
      <c r="F64" s="9">
        <v>83299.88942800001</v>
      </c>
      <c r="G64" s="10">
        <v>0.97520217400000031</v>
      </c>
      <c r="H64" s="47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47"/>
    </row>
    <row r="66" spans="1:8" ht="14.1" customHeight="1" x14ac:dyDescent="0.2">
      <c r="A66" s="1"/>
      <c r="B66" s="1"/>
      <c r="C66" s="2" t="s">
        <v>124</v>
      </c>
      <c r="D66" s="1"/>
      <c r="E66" s="1"/>
      <c r="F66" s="1"/>
      <c r="G66" s="1"/>
      <c r="H66" s="47"/>
    </row>
    <row r="67" spans="1:8" ht="14.1" customHeight="1" x14ac:dyDescent="0.2">
      <c r="A67" s="1"/>
      <c r="B67" s="1"/>
      <c r="C67" s="2" t="s">
        <v>122</v>
      </c>
      <c r="D67" s="1"/>
      <c r="E67" s="1" t="s">
        <v>123</v>
      </c>
      <c r="F67" s="13">
        <v>0</v>
      </c>
      <c r="G67" s="14">
        <v>0</v>
      </c>
      <c r="H67" s="47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47"/>
    </row>
    <row r="69" spans="1:8" ht="14.1" customHeight="1" x14ac:dyDescent="0.2">
      <c r="A69" s="1"/>
      <c r="B69" s="1"/>
      <c r="C69" s="2" t="s">
        <v>125</v>
      </c>
      <c r="D69" s="1"/>
      <c r="E69" s="1"/>
      <c r="F69" s="1"/>
      <c r="G69" s="1"/>
      <c r="H69" s="47"/>
    </row>
    <row r="70" spans="1:8" ht="17.100000000000001" customHeight="1" x14ac:dyDescent="0.2">
      <c r="A70" s="3">
        <v>1</v>
      </c>
      <c r="B70" s="4" t="s">
        <v>663</v>
      </c>
      <c r="C70" s="45" t="s">
        <v>1042</v>
      </c>
      <c r="D70" s="4" t="s">
        <v>174</v>
      </c>
      <c r="E70" s="5">
        <v>374002</v>
      </c>
      <c r="F70" s="6">
        <v>23.412525200000001</v>
      </c>
      <c r="G70" s="7">
        <v>2.7409299999999999E-4</v>
      </c>
      <c r="H70" s="47"/>
    </row>
    <row r="71" spans="1:8" ht="17.100000000000001" customHeight="1" x14ac:dyDescent="0.2">
      <c r="A71" s="3">
        <v>2</v>
      </c>
      <c r="B71" s="4" t="s">
        <v>666</v>
      </c>
      <c r="C71" s="45" t="s">
        <v>1050</v>
      </c>
      <c r="D71" s="4"/>
      <c r="E71" s="5">
        <v>200000</v>
      </c>
      <c r="F71" s="6">
        <v>1.9999999999999999E-6</v>
      </c>
      <c r="G71" s="8" t="s">
        <v>121</v>
      </c>
      <c r="H71" s="47"/>
    </row>
    <row r="72" spans="1:8" ht="14.1" customHeight="1" x14ac:dyDescent="0.2">
      <c r="A72" s="1"/>
      <c r="B72" s="1"/>
      <c r="C72" s="2" t="s">
        <v>122</v>
      </c>
      <c r="D72" s="1"/>
      <c r="E72" s="1" t="s">
        <v>123</v>
      </c>
      <c r="F72" s="13">
        <v>23.4125272</v>
      </c>
      <c r="G72" s="14">
        <v>2.7409299999999999E-4</v>
      </c>
      <c r="H72" s="47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47"/>
    </row>
    <row r="74" spans="1:8" ht="14.1" customHeight="1" x14ac:dyDescent="0.2">
      <c r="A74" s="1"/>
      <c r="B74" s="1"/>
      <c r="C74" s="2" t="s">
        <v>126</v>
      </c>
      <c r="D74" s="1"/>
      <c r="E74" s="1"/>
      <c r="F74" s="1"/>
      <c r="G74" s="1"/>
      <c r="H74" s="47"/>
    </row>
    <row r="75" spans="1:8" ht="14.1" customHeight="1" x14ac:dyDescent="0.2">
      <c r="A75" s="1"/>
      <c r="B75" s="1"/>
      <c r="C75" s="2" t="s">
        <v>122</v>
      </c>
      <c r="D75" s="1"/>
      <c r="E75" s="1" t="s">
        <v>123</v>
      </c>
      <c r="F75" s="9">
        <v>0</v>
      </c>
      <c r="G75" s="10">
        <v>0</v>
      </c>
      <c r="H75" s="47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47"/>
    </row>
    <row r="77" spans="1:8" ht="14.1" customHeight="1" x14ac:dyDescent="0.2">
      <c r="A77" s="1"/>
      <c r="B77" s="1"/>
      <c r="C77" s="2" t="s">
        <v>127</v>
      </c>
      <c r="D77" s="1"/>
      <c r="E77" s="1"/>
      <c r="F77" s="12"/>
      <c r="G77" s="12"/>
      <c r="H77" s="47"/>
    </row>
    <row r="78" spans="1:8" ht="14.1" customHeight="1" x14ac:dyDescent="0.2">
      <c r="A78" s="1"/>
      <c r="B78" s="1"/>
      <c r="C78" s="2" t="s">
        <v>122</v>
      </c>
      <c r="D78" s="1"/>
      <c r="E78" s="1" t="s">
        <v>123</v>
      </c>
      <c r="F78" s="13">
        <v>0</v>
      </c>
      <c r="G78" s="14">
        <v>0</v>
      </c>
      <c r="H78" s="47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128</v>
      </c>
      <c r="D80" s="1"/>
      <c r="E80" s="1"/>
      <c r="F80" s="12"/>
      <c r="G80" s="12"/>
      <c r="H80" s="47"/>
    </row>
    <row r="81" spans="1:8" ht="14.1" customHeight="1" x14ac:dyDescent="0.2">
      <c r="A81" s="1"/>
      <c r="B81" s="1"/>
      <c r="C81" s="2" t="s">
        <v>122</v>
      </c>
      <c r="D81" s="1"/>
      <c r="E81" s="1" t="s">
        <v>123</v>
      </c>
      <c r="F81" s="13">
        <v>0</v>
      </c>
      <c r="G81" s="14">
        <v>0</v>
      </c>
      <c r="H81" s="47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47"/>
    </row>
    <row r="83" spans="1:8" ht="18" customHeight="1" x14ac:dyDescent="0.2">
      <c r="A83" s="1"/>
      <c r="B83" s="1"/>
      <c r="C83" s="2" t="s">
        <v>129</v>
      </c>
      <c r="D83" s="1"/>
      <c r="E83" s="1"/>
      <c r="F83" s="9">
        <v>83323.301955200004</v>
      </c>
      <c r="G83" s="10">
        <v>0.97547626700000001</v>
      </c>
      <c r="H83" s="47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130</v>
      </c>
      <c r="D85" s="1"/>
      <c r="E85" s="1"/>
      <c r="F85" s="12"/>
      <c r="G85" s="12"/>
      <c r="H85" s="47"/>
    </row>
    <row r="86" spans="1:8" ht="24" customHeight="1" x14ac:dyDescent="0.2">
      <c r="A86" s="1"/>
      <c r="B86" s="1"/>
      <c r="C86" s="2" t="s">
        <v>10</v>
      </c>
      <c r="D86" s="1"/>
      <c r="E86" s="1"/>
      <c r="F86" s="12"/>
      <c r="G86" s="12"/>
      <c r="H86" s="47"/>
    </row>
    <row r="87" spans="1:8" ht="14.1" customHeight="1" x14ac:dyDescent="0.2">
      <c r="A87" s="1"/>
      <c r="B87" s="1"/>
      <c r="C87" s="2" t="s">
        <v>122</v>
      </c>
      <c r="D87" s="1"/>
      <c r="E87" s="1" t="s">
        <v>123</v>
      </c>
      <c r="F87" s="13">
        <v>0</v>
      </c>
      <c r="G87" s="14">
        <v>0</v>
      </c>
      <c r="H87" s="47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131</v>
      </c>
      <c r="D89" s="1"/>
      <c r="E89" s="1"/>
      <c r="F89" s="1"/>
      <c r="G89" s="1"/>
      <c r="H89" s="47"/>
    </row>
    <row r="90" spans="1:8" ht="14.1" customHeight="1" x14ac:dyDescent="0.2">
      <c r="A90" s="1"/>
      <c r="B90" s="1"/>
      <c r="C90" s="2" t="s">
        <v>122</v>
      </c>
      <c r="D90" s="1"/>
      <c r="E90" s="1" t="s">
        <v>123</v>
      </c>
      <c r="F90" s="13">
        <v>0</v>
      </c>
      <c r="G90" s="14">
        <v>0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132</v>
      </c>
      <c r="D92" s="1"/>
      <c r="E92" s="1"/>
      <c r="F92" s="1"/>
      <c r="G92" s="1"/>
      <c r="H92" s="47"/>
    </row>
    <row r="93" spans="1:8" ht="14.1" customHeight="1" x14ac:dyDescent="0.2">
      <c r="A93" s="1"/>
      <c r="B93" s="1"/>
      <c r="C93" s="2" t="s">
        <v>122</v>
      </c>
      <c r="D93" s="1"/>
      <c r="E93" s="1" t="s">
        <v>123</v>
      </c>
      <c r="F93" s="13">
        <v>0</v>
      </c>
      <c r="G93" s="14">
        <v>0</v>
      </c>
      <c r="H93" s="47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47"/>
    </row>
    <row r="95" spans="1:8" ht="14.1" customHeight="1" x14ac:dyDescent="0.2">
      <c r="A95" s="1"/>
      <c r="B95" s="1"/>
      <c r="C95" s="2" t="s">
        <v>133</v>
      </c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122</v>
      </c>
      <c r="D96" s="1"/>
      <c r="E96" s="1" t="s">
        <v>123</v>
      </c>
      <c r="F96" s="13">
        <v>0</v>
      </c>
      <c r="G96" s="14">
        <v>0</v>
      </c>
      <c r="H96" s="47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134</v>
      </c>
      <c r="D98" s="1"/>
      <c r="E98" s="1"/>
      <c r="F98" s="9">
        <v>0</v>
      </c>
      <c r="G98" s="10">
        <v>0</v>
      </c>
      <c r="H98" s="47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47"/>
    </row>
    <row r="100" spans="1:8" ht="14.1" customHeight="1" x14ac:dyDescent="0.2">
      <c r="A100" s="1"/>
      <c r="B100" s="1"/>
      <c r="C100" s="2" t="s">
        <v>135</v>
      </c>
      <c r="D100" s="1"/>
      <c r="E100" s="1"/>
      <c r="F100" s="12"/>
      <c r="G100" s="12"/>
      <c r="H100" s="47"/>
    </row>
    <row r="101" spans="1:8" ht="14.1" customHeight="1" x14ac:dyDescent="0.2">
      <c r="A101" s="1"/>
      <c r="B101" s="1"/>
      <c r="C101" s="2" t="s">
        <v>136</v>
      </c>
      <c r="D101" s="1"/>
      <c r="E101" s="1"/>
      <c r="F101" s="12"/>
      <c r="G101" s="12"/>
      <c r="H101" s="47"/>
    </row>
    <row r="102" spans="1:8" ht="14.1" customHeight="1" x14ac:dyDescent="0.2">
      <c r="A102" s="1"/>
      <c r="B102" s="1"/>
      <c r="C102" s="2" t="s">
        <v>122</v>
      </c>
      <c r="D102" s="1"/>
      <c r="E102" s="1" t="s">
        <v>123</v>
      </c>
      <c r="F102" s="13">
        <v>0</v>
      </c>
      <c r="G102" s="14">
        <v>0</v>
      </c>
      <c r="H102" s="47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2" t="s">
        <v>137</v>
      </c>
      <c r="D104" s="1"/>
      <c r="E104" s="1"/>
      <c r="F104" s="12"/>
      <c r="G104" s="12"/>
      <c r="H104" s="47"/>
    </row>
    <row r="105" spans="1:8" ht="14.1" customHeight="1" x14ac:dyDescent="0.2">
      <c r="A105" s="1"/>
      <c r="B105" s="1"/>
      <c r="C105" s="2" t="s">
        <v>122</v>
      </c>
      <c r="D105" s="1"/>
      <c r="E105" s="1" t="s">
        <v>123</v>
      </c>
      <c r="F105" s="13">
        <v>0</v>
      </c>
      <c r="G105" s="14">
        <v>0</v>
      </c>
      <c r="H105" s="47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47"/>
    </row>
    <row r="107" spans="1:8" ht="14.1" customHeight="1" x14ac:dyDescent="0.2">
      <c r="A107" s="1"/>
      <c r="B107" s="1"/>
      <c r="C107" s="2" t="s">
        <v>138</v>
      </c>
      <c r="D107" s="1"/>
      <c r="E107" s="1"/>
      <c r="F107" s="12"/>
      <c r="G107" s="12"/>
      <c r="H107" s="47"/>
    </row>
    <row r="108" spans="1:8" ht="14.1" customHeight="1" x14ac:dyDescent="0.2">
      <c r="A108" s="1"/>
      <c r="B108" s="1"/>
      <c r="C108" s="2" t="s">
        <v>122</v>
      </c>
      <c r="D108" s="1"/>
      <c r="E108" s="1" t="s">
        <v>123</v>
      </c>
      <c r="F108" s="13">
        <v>0</v>
      </c>
      <c r="G108" s="14">
        <v>0</v>
      </c>
      <c r="H108" s="47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2" t="s">
        <v>139</v>
      </c>
      <c r="D110" s="1"/>
      <c r="E110" s="1"/>
      <c r="F110" s="12"/>
      <c r="G110" s="12"/>
      <c r="H110" s="47"/>
    </row>
    <row r="111" spans="1:8" ht="17.100000000000001" customHeight="1" x14ac:dyDescent="0.2">
      <c r="A111" s="3">
        <v>1</v>
      </c>
      <c r="B111" s="4"/>
      <c r="C111" s="4" t="s">
        <v>140</v>
      </c>
      <c r="D111" s="4"/>
      <c r="E111" s="8"/>
      <c r="F111" s="6">
        <v>2026.3167716</v>
      </c>
      <c r="G111" s="7">
        <v>2.3722343E-2</v>
      </c>
      <c r="H111" s="47">
        <v>4.6730752161314033</v>
      </c>
    </row>
    <row r="112" spans="1:8" ht="14.1" customHeight="1" x14ac:dyDescent="0.2">
      <c r="A112" s="1"/>
      <c r="B112" s="1"/>
      <c r="C112" s="2" t="s">
        <v>122</v>
      </c>
      <c r="D112" s="1"/>
      <c r="E112" s="1" t="s">
        <v>123</v>
      </c>
      <c r="F112" s="9">
        <v>2026.3167716</v>
      </c>
      <c r="G112" s="10">
        <v>2.3722343E-2</v>
      </c>
      <c r="H112" s="47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47"/>
    </row>
    <row r="114" spans="1:8" ht="14.1" customHeight="1" x14ac:dyDescent="0.2">
      <c r="A114" s="1"/>
      <c r="B114" s="1"/>
      <c r="C114" s="2" t="s">
        <v>141</v>
      </c>
      <c r="D114" s="1"/>
      <c r="E114" s="1"/>
      <c r="F114" s="9">
        <v>2026.3167716</v>
      </c>
      <c r="G114" s="10">
        <v>2.3722343E-2</v>
      </c>
      <c r="H114" s="47"/>
    </row>
    <row r="115" spans="1:8" ht="14.1" customHeight="1" x14ac:dyDescent="0.2">
      <c r="A115" s="1"/>
      <c r="B115" s="1"/>
      <c r="C115" s="12"/>
      <c r="D115" s="1"/>
      <c r="E115" s="1"/>
      <c r="F115" s="1"/>
      <c r="G115" s="1"/>
      <c r="H115" s="47"/>
    </row>
    <row r="116" spans="1:8" ht="14.1" customHeight="1" x14ac:dyDescent="0.2">
      <c r="A116" s="1"/>
      <c r="B116" s="1"/>
      <c r="C116" s="2" t="s">
        <v>142</v>
      </c>
      <c r="D116" s="1"/>
      <c r="E116" s="1"/>
      <c r="F116" s="1"/>
      <c r="G116" s="1"/>
      <c r="H116" s="47"/>
    </row>
    <row r="117" spans="1:8" ht="14.1" customHeight="1" x14ac:dyDescent="0.2">
      <c r="A117" s="1"/>
      <c r="B117" s="1"/>
      <c r="C117" s="2" t="s">
        <v>143</v>
      </c>
      <c r="D117" s="1"/>
      <c r="E117" s="1"/>
      <c r="F117" s="1"/>
      <c r="G117" s="1"/>
      <c r="H117" s="47"/>
    </row>
    <row r="118" spans="1:8" ht="14.1" customHeight="1" x14ac:dyDescent="0.2">
      <c r="A118" s="1"/>
      <c r="B118" s="1"/>
      <c r="C118" s="2" t="s">
        <v>122</v>
      </c>
      <c r="D118" s="1"/>
      <c r="E118" s="1" t="s">
        <v>123</v>
      </c>
      <c r="F118" s="13">
        <v>0</v>
      </c>
      <c r="G118" s="14">
        <v>0</v>
      </c>
      <c r="H118" s="47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47"/>
    </row>
    <row r="120" spans="1:8" ht="14.1" customHeight="1" x14ac:dyDescent="0.2">
      <c r="A120" s="1"/>
      <c r="B120" s="1"/>
      <c r="C120" s="2" t="s">
        <v>144</v>
      </c>
      <c r="D120" s="1"/>
      <c r="E120" s="1"/>
      <c r="F120" s="1"/>
      <c r="G120" s="1"/>
      <c r="H120" s="47"/>
    </row>
    <row r="121" spans="1:8" ht="14.1" customHeight="1" x14ac:dyDescent="0.2">
      <c r="A121" s="1"/>
      <c r="B121" s="1"/>
      <c r="C121" s="2" t="s">
        <v>145</v>
      </c>
      <c r="D121" s="1"/>
      <c r="E121" s="1"/>
      <c r="F121" s="1"/>
      <c r="G121" s="1"/>
      <c r="H121" s="47"/>
    </row>
    <row r="122" spans="1:8" ht="14.1" customHeight="1" x14ac:dyDescent="0.2">
      <c r="A122" s="1"/>
      <c r="B122" s="1"/>
      <c r="C122" s="2" t="s">
        <v>122</v>
      </c>
      <c r="D122" s="1"/>
      <c r="E122" s="1" t="s">
        <v>123</v>
      </c>
      <c r="F122" s="13">
        <v>0</v>
      </c>
      <c r="G122" s="14">
        <v>0</v>
      </c>
      <c r="H122" s="47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47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47"/>
    </row>
    <row r="125" spans="1:8" ht="24" customHeight="1" x14ac:dyDescent="0.2">
      <c r="A125" s="1"/>
      <c r="B125" s="1"/>
      <c r="C125" s="2" t="s">
        <v>146</v>
      </c>
      <c r="D125" s="1"/>
      <c r="E125" s="1"/>
      <c r="F125" s="12"/>
      <c r="G125" s="12"/>
      <c r="H125" s="47"/>
    </row>
    <row r="126" spans="1:8" ht="14.1" customHeight="1" x14ac:dyDescent="0.2">
      <c r="A126" s="1"/>
      <c r="B126" s="1"/>
      <c r="C126" s="2" t="s">
        <v>122</v>
      </c>
      <c r="D126" s="1"/>
      <c r="E126" s="1" t="s">
        <v>123</v>
      </c>
      <c r="F126" s="13">
        <v>0</v>
      </c>
      <c r="G126" s="14">
        <v>0</v>
      </c>
      <c r="H126" s="47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47"/>
    </row>
    <row r="128" spans="1:8" ht="14.1" customHeight="1" x14ac:dyDescent="0.2">
      <c r="A128" s="1"/>
      <c r="B128" s="4"/>
      <c r="C128" s="4"/>
      <c r="D128" s="2"/>
      <c r="E128" s="1"/>
      <c r="F128" s="4"/>
      <c r="G128" s="8"/>
      <c r="H128" s="47"/>
    </row>
    <row r="129" spans="1:8" ht="18" customHeight="1" x14ac:dyDescent="0.2">
      <c r="A129" s="8"/>
      <c r="B129" s="4"/>
      <c r="C129" s="4" t="s">
        <v>147</v>
      </c>
      <c r="D129" s="4"/>
      <c r="E129" s="8"/>
      <c r="F129" s="6">
        <v>68.453024130000003</v>
      </c>
      <c r="G129" s="7">
        <v>8.0138799999999999E-4</v>
      </c>
      <c r="H129" s="47"/>
    </row>
    <row r="130" spans="1:8" ht="14.1" customHeight="1" x14ac:dyDescent="0.2">
      <c r="A130" s="11"/>
      <c r="B130" s="11"/>
      <c r="C130" s="2" t="s">
        <v>148</v>
      </c>
      <c r="D130" s="15"/>
      <c r="E130" s="15"/>
      <c r="F130" s="9">
        <v>85418.071750930001</v>
      </c>
      <c r="G130" s="10">
        <v>0.99999999799999995</v>
      </c>
      <c r="H130" s="47"/>
    </row>
    <row r="131" spans="1:8" ht="14.1" customHeight="1" x14ac:dyDescent="0.2">
      <c r="A131" s="16"/>
      <c r="B131" s="16"/>
      <c r="C131" s="16"/>
      <c r="D131" s="17"/>
      <c r="E131" s="17"/>
      <c r="F131" s="17"/>
      <c r="G131" s="17"/>
    </row>
    <row r="132" spans="1:8" ht="17.100000000000001" customHeight="1" x14ac:dyDescent="0.2">
      <c r="A132" s="18"/>
      <c r="B132" s="264" t="s">
        <v>149</v>
      </c>
      <c r="C132" s="264"/>
      <c r="D132" s="264"/>
      <c r="E132" s="264"/>
      <c r="F132" s="264"/>
      <c r="G132" s="20"/>
    </row>
    <row r="133" spans="1:8" ht="14.1" customHeight="1" x14ac:dyDescent="0.2">
      <c r="A133" s="18"/>
      <c r="B133" s="18"/>
      <c r="C133" s="18"/>
      <c r="D133" s="20"/>
      <c r="E133" s="20"/>
      <c r="F133" s="20"/>
      <c r="G133" s="20"/>
    </row>
    <row r="134" spans="1:8" ht="14.1" customHeight="1" x14ac:dyDescent="0.2">
      <c r="A134" s="18"/>
      <c r="B134" s="257" t="s">
        <v>150</v>
      </c>
      <c r="C134" s="258"/>
      <c r="D134" s="12" t="s">
        <v>123</v>
      </c>
      <c r="E134" s="21"/>
      <c r="F134" s="20"/>
      <c r="G134" s="20"/>
    </row>
    <row r="135" spans="1:8" ht="29.1" customHeight="1" x14ac:dyDescent="0.2">
      <c r="A135" s="18"/>
      <c r="B135" s="259" t="s">
        <v>151</v>
      </c>
      <c r="C135" s="260"/>
      <c r="D135" s="93" t="s">
        <v>1091</v>
      </c>
      <c r="E135" s="21"/>
      <c r="F135" s="20"/>
      <c r="G135" s="20"/>
    </row>
    <row r="136" spans="1:8" ht="17.100000000000001" customHeight="1" x14ac:dyDescent="0.2">
      <c r="A136" s="18"/>
      <c r="B136" s="259" t="s">
        <v>1039</v>
      </c>
      <c r="C136" s="260"/>
      <c r="D136" s="2" t="s">
        <v>1058</v>
      </c>
      <c r="E136" s="21"/>
      <c r="F136" s="20"/>
      <c r="G136" s="20"/>
    </row>
    <row r="137" spans="1:8" ht="17.100000000000001" customHeight="1" x14ac:dyDescent="0.2">
      <c r="A137" s="18"/>
      <c r="B137" s="259" t="s">
        <v>154</v>
      </c>
      <c r="C137" s="260"/>
      <c r="D137" s="12" t="s">
        <v>123</v>
      </c>
      <c r="E137" s="21"/>
      <c r="F137" s="20"/>
      <c r="G137" s="20"/>
    </row>
    <row r="138" spans="1:8" ht="24" customHeight="1" x14ac:dyDescent="0.2">
      <c r="A138" s="22"/>
      <c r="B138" s="23" t="s">
        <v>123</v>
      </c>
      <c r="C138" s="23" t="s">
        <v>155</v>
      </c>
      <c r="D138" s="23" t="s">
        <v>156</v>
      </c>
      <c r="E138" s="22"/>
      <c r="F138" s="22"/>
      <c r="G138" s="22"/>
    </row>
    <row r="139" spans="1:8" ht="18" customHeight="1" x14ac:dyDescent="0.2">
      <c r="A139" s="22"/>
      <c r="B139" s="23" t="s">
        <v>157</v>
      </c>
      <c r="C139" s="23" t="s">
        <v>158</v>
      </c>
      <c r="D139" s="23" t="s">
        <v>159</v>
      </c>
      <c r="E139" s="22"/>
      <c r="F139" s="22"/>
      <c r="G139" s="22"/>
    </row>
    <row r="140" spans="1:8" ht="17.100000000000001" customHeight="1" x14ac:dyDescent="0.2">
      <c r="A140" s="22"/>
      <c r="B140" s="4" t="s">
        <v>160</v>
      </c>
      <c r="C140" s="24">
        <v>327.60210000000001</v>
      </c>
      <c r="D140" s="24">
        <v>313.54320000000001</v>
      </c>
      <c r="E140" s="22"/>
      <c r="F140" s="19"/>
      <c r="G140" s="25"/>
    </row>
    <row r="141" spans="1:8" ht="29.1" customHeight="1" x14ac:dyDescent="0.2">
      <c r="A141" s="22"/>
      <c r="B141" s="4" t="s">
        <v>1104</v>
      </c>
      <c r="C141" s="24">
        <v>327.48320000000001</v>
      </c>
      <c r="D141" s="24">
        <v>313.40210000000002</v>
      </c>
      <c r="E141" s="22"/>
      <c r="F141" s="19"/>
      <c r="G141" s="25"/>
    </row>
    <row r="142" spans="1:8" ht="17.100000000000001" customHeight="1" x14ac:dyDescent="0.2">
      <c r="A142" s="22"/>
      <c r="B142" s="4" t="s">
        <v>161</v>
      </c>
      <c r="C142" s="24">
        <v>311.85770000000002</v>
      </c>
      <c r="D142" s="24">
        <v>298.31900000000002</v>
      </c>
      <c r="E142" s="22"/>
      <c r="F142" s="19"/>
      <c r="G142" s="25"/>
    </row>
    <row r="143" spans="1:8" ht="29.1" customHeight="1" x14ac:dyDescent="0.2">
      <c r="A143" s="22"/>
      <c r="B143" s="4" t="s">
        <v>1105</v>
      </c>
      <c r="C143" s="24">
        <v>311.84910000000002</v>
      </c>
      <c r="D143" s="24">
        <v>298.30700000000002</v>
      </c>
      <c r="E143" s="22"/>
      <c r="F143" s="19"/>
      <c r="G143" s="25"/>
    </row>
    <row r="144" spans="1:8" ht="14.1" customHeight="1" x14ac:dyDescent="0.2">
      <c r="A144" s="22"/>
      <c r="B144" s="22"/>
      <c r="C144" s="22"/>
      <c r="D144" s="22"/>
      <c r="E144" s="22"/>
      <c r="F144" s="22"/>
      <c r="G144" s="22"/>
    </row>
    <row r="145" spans="1:7" ht="17.100000000000001" customHeight="1" x14ac:dyDescent="0.2">
      <c r="A145" s="22"/>
      <c r="B145" s="259" t="s">
        <v>1103</v>
      </c>
      <c r="C145" s="260"/>
      <c r="D145" s="2" t="s">
        <v>152</v>
      </c>
      <c r="E145" s="22"/>
      <c r="F145" s="22"/>
      <c r="G145" s="22"/>
    </row>
    <row r="146" spans="1:7" ht="18" customHeight="1" x14ac:dyDescent="0.2">
      <c r="A146" s="22"/>
      <c r="B146" s="26"/>
      <c r="C146" s="26"/>
      <c r="D146" s="27"/>
      <c r="E146" s="22"/>
      <c r="F146" s="22"/>
      <c r="G146" s="22"/>
    </row>
    <row r="147" spans="1:7" ht="29.1" customHeight="1" x14ac:dyDescent="0.2">
      <c r="A147" s="22"/>
      <c r="B147" s="259" t="s">
        <v>162</v>
      </c>
      <c r="C147" s="260"/>
      <c r="D147" s="2" t="s">
        <v>152</v>
      </c>
      <c r="E147" s="22"/>
      <c r="F147" s="22"/>
      <c r="G147" s="22"/>
    </row>
    <row r="148" spans="1:7" ht="29.1" customHeight="1" x14ac:dyDescent="0.2">
      <c r="A148" s="22"/>
      <c r="B148" s="259" t="s">
        <v>163</v>
      </c>
      <c r="C148" s="260"/>
      <c r="D148" s="2" t="s">
        <v>152</v>
      </c>
      <c r="E148" s="22"/>
      <c r="F148" s="22"/>
      <c r="G148" s="22"/>
    </row>
    <row r="149" spans="1:7" ht="17.100000000000001" customHeight="1" x14ac:dyDescent="0.2">
      <c r="A149" s="22"/>
      <c r="B149" s="259" t="s">
        <v>164</v>
      </c>
      <c r="C149" s="260"/>
      <c r="D149" s="28">
        <v>0.42361682754580804</v>
      </c>
      <c r="E149" s="22"/>
      <c r="F149" s="19"/>
      <c r="G149" s="25"/>
    </row>
    <row r="150" spans="1:7" ht="17.100000000000001" customHeight="1" x14ac:dyDescent="0.2">
      <c r="A150" s="22"/>
      <c r="B150" s="259" t="s">
        <v>165</v>
      </c>
      <c r="C150" s="260"/>
      <c r="D150" s="2" t="s">
        <v>152</v>
      </c>
      <c r="E150" s="22"/>
      <c r="F150" s="22"/>
      <c r="G150" s="22"/>
    </row>
    <row r="152" spans="1:7" x14ac:dyDescent="0.2">
      <c r="B152" s="99" t="s">
        <v>1095</v>
      </c>
      <c r="C152" s="99"/>
      <c r="D152" s="99"/>
      <c r="E152" s="131"/>
      <c r="F152" s="124"/>
    </row>
    <row r="153" spans="1:7" ht="38.25" x14ac:dyDescent="0.2">
      <c r="B153" s="133" t="s">
        <v>1067</v>
      </c>
      <c r="C153" s="133" t="s">
        <v>1068</v>
      </c>
      <c r="D153" s="133" t="s">
        <v>1069</v>
      </c>
      <c r="E153" s="133" t="s">
        <v>1070</v>
      </c>
      <c r="F153" s="133" t="s">
        <v>1071</v>
      </c>
    </row>
    <row r="154" spans="1:7" x14ac:dyDescent="0.2">
      <c r="B154" s="134" t="s">
        <v>1093</v>
      </c>
      <c r="C154" s="135" t="s">
        <v>1089</v>
      </c>
      <c r="D154" s="140">
        <v>0</v>
      </c>
      <c r="E154" s="141">
        <v>0</v>
      </c>
      <c r="F154" s="142">
        <v>0.54925000000000002</v>
      </c>
    </row>
  </sheetData>
  <mergeCells count="14">
    <mergeCell ref="J2:N2"/>
    <mergeCell ref="B132:F132"/>
    <mergeCell ref="A1:H1"/>
    <mergeCell ref="A2:H2"/>
    <mergeCell ref="A3:H3"/>
    <mergeCell ref="B134:C134"/>
    <mergeCell ref="B149:C149"/>
    <mergeCell ref="B150:C150"/>
    <mergeCell ref="B135:C135"/>
    <mergeCell ref="B136:C136"/>
    <mergeCell ref="B137:C137"/>
    <mergeCell ref="B145:C145"/>
    <mergeCell ref="B147:C147"/>
    <mergeCell ref="B148:C14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N12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1.5703125" bestFit="1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753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403</v>
      </c>
      <c r="C7" s="4" t="s">
        <v>404</v>
      </c>
      <c r="D7" s="4" t="s">
        <v>405</v>
      </c>
      <c r="E7" s="5">
        <v>366606</v>
      </c>
      <c r="F7" s="6">
        <v>8177.5134360000002</v>
      </c>
      <c r="G7" s="7">
        <v>7.6035199999999997E-2</v>
      </c>
      <c r="H7" s="47"/>
    </row>
    <row r="8" spans="1:14" ht="17.100000000000001" customHeight="1" x14ac:dyDescent="0.2">
      <c r="A8" s="3">
        <v>2</v>
      </c>
      <c r="B8" s="4" t="s">
        <v>83</v>
      </c>
      <c r="C8" s="4" t="s">
        <v>84</v>
      </c>
      <c r="D8" s="4" t="s">
        <v>85</v>
      </c>
      <c r="E8" s="5">
        <v>82671</v>
      </c>
      <c r="F8" s="6">
        <v>7002.8537324999998</v>
      </c>
      <c r="G8" s="7">
        <v>6.5113115999999999E-2</v>
      </c>
      <c r="H8" s="47"/>
    </row>
    <row r="9" spans="1:14" ht="17.100000000000001" customHeight="1" x14ac:dyDescent="0.2">
      <c r="A9" s="3">
        <v>3</v>
      </c>
      <c r="B9" s="4" t="s">
        <v>294</v>
      </c>
      <c r="C9" s="4" t="s">
        <v>295</v>
      </c>
      <c r="D9" s="4" t="s">
        <v>296</v>
      </c>
      <c r="E9" s="5">
        <v>823127</v>
      </c>
      <c r="F9" s="6">
        <v>6507.2304985000001</v>
      </c>
      <c r="G9" s="7">
        <v>6.0504769999999999E-2</v>
      </c>
      <c r="H9" s="47"/>
    </row>
    <row r="10" spans="1:14" ht="17.100000000000001" customHeight="1" x14ac:dyDescent="0.2">
      <c r="A10" s="3">
        <v>4</v>
      </c>
      <c r="B10" s="4" t="s">
        <v>462</v>
      </c>
      <c r="C10" s="4" t="s">
        <v>463</v>
      </c>
      <c r="D10" s="4" t="s">
        <v>88</v>
      </c>
      <c r="E10" s="5">
        <v>334401</v>
      </c>
      <c r="F10" s="6">
        <v>6491.5594124999998</v>
      </c>
      <c r="G10" s="7">
        <v>6.0359059E-2</v>
      </c>
      <c r="H10" s="47"/>
    </row>
    <row r="11" spans="1:14" ht="17.100000000000001" customHeight="1" x14ac:dyDescent="0.2">
      <c r="A11" s="3">
        <v>5</v>
      </c>
      <c r="B11" s="4" t="s">
        <v>358</v>
      </c>
      <c r="C11" s="4" t="s">
        <v>359</v>
      </c>
      <c r="D11" s="4" t="s">
        <v>19</v>
      </c>
      <c r="E11" s="5">
        <v>461466</v>
      </c>
      <c r="F11" s="6">
        <v>6220.5616799999998</v>
      </c>
      <c r="G11" s="7">
        <v>5.7839300000000003E-2</v>
      </c>
      <c r="H11" s="47"/>
    </row>
    <row r="12" spans="1:14" ht="17.100000000000001" customHeight="1" x14ac:dyDescent="0.2">
      <c r="A12" s="3">
        <v>6</v>
      </c>
      <c r="B12" s="4" t="s">
        <v>17</v>
      </c>
      <c r="C12" s="4" t="s">
        <v>18</v>
      </c>
      <c r="D12" s="4" t="s">
        <v>19</v>
      </c>
      <c r="E12" s="5">
        <v>828107</v>
      </c>
      <c r="F12" s="6">
        <v>5856.3727040000003</v>
      </c>
      <c r="G12" s="7">
        <v>5.4453040000000001E-2</v>
      </c>
      <c r="H12" s="47"/>
      <c r="J12" s="147"/>
    </row>
    <row r="13" spans="1:14" ht="29.1" customHeight="1" x14ac:dyDescent="0.2">
      <c r="A13" s="3">
        <v>7</v>
      </c>
      <c r="B13" s="4" t="s">
        <v>370</v>
      </c>
      <c r="C13" s="4" t="s">
        <v>371</v>
      </c>
      <c r="D13" s="4" t="s">
        <v>238</v>
      </c>
      <c r="E13" s="5">
        <v>779645</v>
      </c>
      <c r="F13" s="6">
        <v>5507.0224575000002</v>
      </c>
      <c r="G13" s="7">
        <v>5.1204752999999999E-2</v>
      </c>
      <c r="H13" s="47"/>
      <c r="J13" s="147" t="s">
        <v>1135</v>
      </c>
    </row>
    <row r="14" spans="1:14" ht="17.100000000000001" customHeight="1" x14ac:dyDescent="0.2">
      <c r="A14" s="3">
        <v>8</v>
      </c>
      <c r="B14" s="4" t="s">
        <v>301</v>
      </c>
      <c r="C14" s="4" t="s">
        <v>302</v>
      </c>
      <c r="D14" s="4" t="s">
        <v>303</v>
      </c>
      <c r="E14" s="5">
        <v>12359</v>
      </c>
      <c r="F14" s="6">
        <v>4964.1777350000002</v>
      </c>
      <c r="G14" s="7">
        <v>4.6157337E-2</v>
      </c>
      <c r="H14" s="47"/>
    </row>
    <row r="15" spans="1:14" ht="17.100000000000001" customHeight="1" x14ac:dyDescent="0.2">
      <c r="A15" s="3">
        <v>9</v>
      </c>
      <c r="B15" s="4" t="s">
        <v>412</v>
      </c>
      <c r="C15" s="4" t="s">
        <v>413</v>
      </c>
      <c r="D15" s="4" t="s">
        <v>405</v>
      </c>
      <c r="E15" s="5">
        <v>1670266</v>
      </c>
      <c r="F15" s="6">
        <v>4568.1775100000004</v>
      </c>
      <c r="G15" s="7">
        <v>4.2475293999999997E-2</v>
      </c>
      <c r="H15" s="47"/>
    </row>
    <row r="16" spans="1:14" ht="29.1" customHeight="1" x14ac:dyDescent="0.2">
      <c r="A16" s="3">
        <v>10</v>
      </c>
      <c r="B16" s="4" t="s">
        <v>175</v>
      </c>
      <c r="C16" s="4" t="s">
        <v>176</v>
      </c>
      <c r="D16" s="4" t="s">
        <v>88</v>
      </c>
      <c r="E16" s="5">
        <v>1341890</v>
      </c>
      <c r="F16" s="6">
        <v>4564.4388349999999</v>
      </c>
      <c r="G16" s="7">
        <v>4.2440532000000003E-2</v>
      </c>
      <c r="H16" s="47"/>
    </row>
    <row r="17" spans="1:8" ht="17.100000000000001" customHeight="1" x14ac:dyDescent="0.2">
      <c r="A17" s="3">
        <v>11</v>
      </c>
      <c r="B17" s="4" t="s">
        <v>623</v>
      </c>
      <c r="C17" s="4" t="s">
        <v>624</v>
      </c>
      <c r="D17" s="4" t="s">
        <v>296</v>
      </c>
      <c r="E17" s="5">
        <v>571679</v>
      </c>
      <c r="F17" s="6">
        <v>4343.3312024999996</v>
      </c>
      <c r="G17" s="7">
        <v>4.0384654999999998E-2</v>
      </c>
      <c r="H17" s="47"/>
    </row>
    <row r="18" spans="1:8" ht="17.100000000000001" customHeight="1" x14ac:dyDescent="0.2">
      <c r="A18" s="3">
        <v>12</v>
      </c>
      <c r="B18" s="4" t="s">
        <v>608</v>
      </c>
      <c r="C18" s="4" t="s">
        <v>609</v>
      </c>
      <c r="D18" s="4" t="s">
        <v>85</v>
      </c>
      <c r="E18" s="5">
        <v>118804</v>
      </c>
      <c r="F18" s="6">
        <v>3319.7995740000001</v>
      </c>
      <c r="G18" s="7">
        <v>3.0867772000000002E-2</v>
      </c>
      <c r="H18" s="47"/>
    </row>
    <row r="19" spans="1:8" ht="17.100000000000001" customHeight="1" x14ac:dyDescent="0.2">
      <c r="A19" s="3">
        <v>13</v>
      </c>
      <c r="B19" s="4" t="s">
        <v>326</v>
      </c>
      <c r="C19" s="4" t="s">
        <v>327</v>
      </c>
      <c r="D19" s="4" t="s">
        <v>88</v>
      </c>
      <c r="E19" s="5">
        <v>292989</v>
      </c>
      <c r="F19" s="6">
        <v>2849.025036</v>
      </c>
      <c r="G19" s="7">
        <v>2.6490472000000001E-2</v>
      </c>
      <c r="H19" s="47"/>
    </row>
    <row r="20" spans="1:8" ht="17.100000000000001" customHeight="1" x14ac:dyDescent="0.2">
      <c r="A20" s="3">
        <v>14</v>
      </c>
      <c r="B20" s="4" t="s">
        <v>579</v>
      </c>
      <c r="C20" s="4" t="s">
        <v>580</v>
      </c>
      <c r="D20" s="4" t="s">
        <v>88</v>
      </c>
      <c r="E20" s="5">
        <v>104529</v>
      </c>
      <c r="F20" s="6">
        <v>2817.2656080000002</v>
      </c>
      <c r="G20" s="7">
        <v>2.619517E-2</v>
      </c>
      <c r="H20" s="47"/>
    </row>
    <row r="21" spans="1:8" ht="17.100000000000001" customHeight="1" x14ac:dyDescent="0.2">
      <c r="A21" s="3">
        <v>15</v>
      </c>
      <c r="B21" s="4" t="s">
        <v>194</v>
      </c>
      <c r="C21" s="4" t="s">
        <v>195</v>
      </c>
      <c r="D21" s="4" t="s">
        <v>174</v>
      </c>
      <c r="E21" s="5">
        <v>542213</v>
      </c>
      <c r="F21" s="6">
        <v>2696.4252489999999</v>
      </c>
      <c r="G21" s="7">
        <v>2.5071586E-2</v>
      </c>
      <c r="H21" s="47"/>
    </row>
    <row r="22" spans="1:8" ht="17.100000000000001" customHeight="1" x14ac:dyDescent="0.2">
      <c r="A22" s="3">
        <v>16</v>
      </c>
      <c r="B22" s="4" t="s">
        <v>95</v>
      </c>
      <c r="C22" s="4" t="s">
        <v>96</v>
      </c>
      <c r="D22" s="4" t="s">
        <v>97</v>
      </c>
      <c r="E22" s="5">
        <v>569042</v>
      </c>
      <c r="F22" s="6">
        <v>2528.8226479999998</v>
      </c>
      <c r="G22" s="7">
        <v>2.3513203E-2</v>
      </c>
      <c r="H22" s="47"/>
    </row>
    <row r="23" spans="1:8" ht="17.100000000000001" customHeight="1" x14ac:dyDescent="0.2">
      <c r="A23" s="3">
        <v>17</v>
      </c>
      <c r="B23" s="4" t="s">
        <v>440</v>
      </c>
      <c r="C23" s="4" t="s">
        <v>441</v>
      </c>
      <c r="D23" s="4" t="s">
        <v>91</v>
      </c>
      <c r="E23" s="5">
        <v>44859</v>
      </c>
      <c r="F23" s="6">
        <v>2422.610295</v>
      </c>
      <c r="G23" s="7">
        <v>2.2525632E-2</v>
      </c>
      <c r="H23" s="47"/>
    </row>
    <row r="24" spans="1:8" ht="17.100000000000001" customHeight="1" x14ac:dyDescent="0.2">
      <c r="A24" s="3">
        <v>18</v>
      </c>
      <c r="B24" s="4" t="s">
        <v>406</v>
      </c>
      <c r="C24" s="4" t="s">
        <v>407</v>
      </c>
      <c r="D24" s="4" t="s">
        <v>85</v>
      </c>
      <c r="E24" s="5">
        <v>195927</v>
      </c>
      <c r="F24" s="6">
        <v>2141.7760005</v>
      </c>
      <c r="G24" s="7">
        <v>1.9914411E-2</v>
      </c>
      <c r="H24" s="47"/>
    </row>
    <row r="25" spans="1:8" ht="17.100000000000001" customHeight="1" x14ac:dyDescent="0.2">
      <c r="A25" s="3">
        <v>19</v>
      </c>
      <c r="B25" s="4" t="s">
        <v>685</v>
      </c>
      <c r="C25" s="4" t="s">
        <v>686</v>
      </c>
      <c r="D25" s="4" t="s">
        <v>217</v>
      </c>
      <c r="E25" s="5">
        <v>11926</v>
      </c>
      <c r="F25" s="6">
        <v>2083.4722000000002</v>
      </c>
      <c r="G25" s="7">
        <v>1.9372298E-2</v>
      </c>
      <c r="H25" s="47"/>
    </row>
    <row r="26" spans="1:8" ht="29.1" customHeight="1" x14ac:dyDescent="0.2">
      <c r="A26" s="3">
        <v>20</v>
      </c>
      <c r="B26" s="4" t="s">
        <v>23</v>
      </c>
      <c r="C26" s="4" t="s">
        <v>24</v>
      </c>
      <c r="D26" s="4" t="s">
        <v>25</v>
      </c>
      <c r="E26" s="5">
        <v>34055</v>
      </c>
      <c r="F26" s="6">
        <v>1909.5660150000001</v>
      </c>
      <c r="G26" s="7">
        <v>1.7755304E-2</v>
      </c>
      <c r="H26" s="47"/>
    </row>
    <row r="27" spans="1:8" ht="17.100000000000001" customHeight="1" x14ac:dyDescent="0.2">
      <c r="A27" s="3">
        <v>21</v>
      </c>
      <c r="B27" s="4" t="s">
        <v>446</v>
      </c>
      <c r="C27" s="4" t="s">
        <v>447</v>
      </c>
      <c r="D27" s="4" t="s">
        <v>312</v>
      </c>
      <c r="E27" s="5">
        <v>52454</v>
      </c>
      <c r="F27" s="6">
        <v>1786.6356940000001</v>
      </c>
      <c r="G27" s="7">
        <v>1.6612287E-2</v>
      </c>
      <c r="H27" s="47"/>
    </row>
    <row r="28" spans="1:8" ht="17.100000000000001" customHeight="1" x14ac:dyDescent="0.2">
      <c r="A28" s="3">
        <v>22</v>
      </c>
      <c r="B28" s="4" t="s">
        <v>352</v>
      </c>
      <c r="C28" s="4" t="s">
        <v>353</v>
      </c>
      <c r="D28" s="4" t="s">
        <v>88</v>
      </c>
      <c r="E28" s="5">
        <v>2700040</v>
      </c>
      <c r="F28" s="6">
        <v>1617.3239599999999</v>
      </c>
      <c r="G28" s="7">
        <v>1.5038012999999999E-2</v>
      </c>
      <c r="H28" s="47"/>
    </row>
    <row r="29" spans="1:8" ht="17.100000000000001" customHeight="1" x14ac:dyDescent="0.2">
      <c r="A29" s="3">
        <v>23</v>
      </c>
      <c r="B29" s="4" t="s">
        <v>677</v>
      </c>
      <c r="C29" s="4" t="s">
        <v>678</v>
      </c>
      <c r="D29" s="4" t="s">
        <v>351</v>
      </c>
      <c r="E29" s="5">
        <v>205765</v>
      </c>
      <c r="F29" s="6">
        <v>1558.7727574999999</v>
      </c>
      <c r="G29" s="7">
        <v>1.4493598999999999E-2</v>
      </c>
      <c r="H29" s="47"/>
    </row>
    <row r="30" spans="1:8" ht="17.100000000000001" customHeight="1" x14ac:dyDescent="0.2">
      <c r="A30" s="3">
        <v>24</v>
      </c>
      <c r="B30" s="4" t="s">
        <v>722</v>
      </c>
      <c r="C30" s="4" t="s">
        <v>723</v>
      </c>
      <c r="D30" s="4" t="s">
        <v>312</v>
      </c>
      <c r="E30" s="5">
        <v>40084</v>
      </c>
      <c r="F30" s="6">
        <v>1506.6773920000001</v>
      </c>
      <c r="G30" s="7">
        <v>1.4009212E-2</v>
      </c>
      <c r="H30" s="47"/>
    </row>
    <row r="31" spans="1:8" ht="17.100000000000001" customHeight="1" x14ac:dyDescent="0.2">
      <c r="A31" s="3">
        <v>25</v>
      </c>
      <c r="B31" s="4" t="s">
        <v>356</v>
      </c>
      <c r="C31" s="4" t="s">
        <v>357</v>
      </c>
      <c r="D31" s="4" t="s">
        <v>243</v>
      </c>
      <c r="E31" s="5">
        <v>700000</v>
      </c>
      <c r="F31" s="6">
        <v>1498.7</v>
      </c>
      <c r="G31" s="7">
        <v>1.3935037000000001E-2</v>
      </c>
      <c r="H31" s="47"/>
    </row>
    <row r="32" spans="1:8" ht="17.100000000000001" customHeight="1" x14ac:dyDescent="0.2">
      <c r="A32" s="3">
        <v>26</v>
      </c>
      <c r="B32" s="4" t="s">
        <v>442</v>
      </c>
      <c r="C32" s="4" t="s">
        <v>443</v>
      </c>
      <c r="D32" s="4" t="s">
        <v>85</v>
      </c>
      <c r="E32" s="5">
        <v>351460</v>
      </c>
      <c r="F32" s="6">
        <v>1447.3122800000001</v>
      </c>
      <c r="G32" s="7">
        <v>1.3457230000000001E-2</v>
      </c>
      <c r="H32" s="47"/>
    </row>
    <row r="33" spans="1:8" ht="17.100000000000001" customHeight="1" x14ac:dyDescent="0.2">
      <c r="A33" s="3">
        <v>27</v>
      </c>
      <c r="B33" s="4" t="s">
        <v>754</v>
      </c>
      <c r="C33" s="4" t="s">
        <v>755</v>
      </c>
      <c r="D33" s="4" t="s">
        <v>174</v>
      </c>
      <c r="E33" s="5">
        <v>922900</v>
      </c>
      <c r="F33" s="6">
        <v>1433.72515</v>
      </c>
      <c r="G33" s="7">
        <v>1.3330896E-2</v>
      </c>
      <c r="H33" s="47"/>
    </row>
    <row r="34" spans="1:8" ht="17.100000000000001" customHeight="1" x14ac:dyDescent="0.2">
      <c r="A34" s="3">
        <v>28</v>
      </c>
      <c r="B34" s="4" t="s">
        <v>456</v>
      </c>
      <c r="C34" s="4" t="s">
        <v>457</v>
      </c>
      <c r="D34" s="4" t="s">
        <v>312</v>
      </c>
      <c r="E34" s="5">
        <v>98493</v>
      </c>
      <c r="F34" s="6">
        <v>1385.7472634999999</v>
      </c>
      <c r="G34" s="7">
        <v>1.2884793E-2</v>
      </c>
      <c r="H34" s="47"/>
    </row>
    <row r="35" spans="1:8" ht="17.100000000000001" customHeight="1" x14ac:dyDescent="0.2">
      <c r="A35" s="3">
        <v>29</v>
      </c>
      <c r="B35" s="4" t="s">
        <v>604</v>
      </c>
      <c r="C35" s="4" t="s">
        <v>605</v>
      </c>
      <c r="D35" s="4" t="s">
        <v>217</v>
      </c>
      <c r="E35" s="5">
        <v>35685</v>
      </c>
      <c r="F35" s="6">
        <v>1236.9848400000001</v>
      </c>
      <c r="G35" s="7">
        <v>1.1501588E-2</v>
      </c>
      <c r="H35" s="47"/>
    </row>
    <row r="36" spans="1:8" ht="17.100000000000001" customHeight="1" x14ac:dyDescent="0.2">
      <c r="A36" s="3">
        <v>30</v>
      </c>
      <c r="B36" s="4" t="s">
        <v>699</v>
      </c>
      <c r="C36" s="4" t="s">
        <v>700</v>
      </c>
      <c r="D36" s="4" t="s">
        <v>351</v>
      </c>
      <c r="E36" s="5">
        <v>246401</v>
      </c>
      <c r="F36" s="6">
        <v>1177.550379</v>
      </c>
      <c r="G36" s="7">
        <v>1.0948961E-2</v>
      </c>
      <c r="H36" s="47"/>
    </row>
    <row r="37" spans="1:8" ht="17.100000000000001" customHeight="1" x14ac:dyDescent="0.2">
      <c r="A37" s="3">
        <v>31</v>
      </c>
      <c r="B37" s="4" t="s">
        <v>524</v>
      </c>
      <c r="C37" s="4" t="s">
        <v>525</v>
      </c>
      <c r="D37" s="4" t="s">
        <v>184</v>
      </c>
      <c r="E37" s="5">
        <v>38511</v>
      </c>
      <c r="F37" s="6">
        <v>869.4821025</v>
      </c>
      <c r="G37" s="7">
        <v>8.0845169999999994E-3</v>
      </c>
      <c r="H37" s="47"/>
    </row>
    <row r="38" spans="1:8" ht="17.100000000000001" customHeight="1" x14ac:dyDescent="0.2">
      <c r="A38" s="3">
        <v>32</v>
      </c>
      <c r="B38" s="4" t="s">
        <v>471</v>
      </c>
      <c r="C38" s="4" t="s">
        <v>472</v>
      </c>
      <c r="D38" s="4" t="s">
        <v>88</v>
      </c>
      <c r="E38" s="5">
        <v>86699</v>
      </c>
      <c r="F38" s="6">
        <v>800.05837199999996</v>
      </c>
      <c r="G38" s="7">
        <v>7.4390089999999999E-3</v>
      </c>
      <c r="H38" s="47"/>
    </row>
    <row r="39" spans="1:8" ht="17.100000000000001" customHeight="1" x14ac:dyDescent="0.2">
      <c r="A39" s="3">
        <v>33</v>
      </c>
      <c r="B39" s="4" t="s">
        <v>215</v>
      </c>
      <c r="C39" s="4" t="s">
        <v>216</v>
      </c>
      <c r="D39" s="4" t="s">
        <v>217</v>
      </c>
      <c r="E39" s="5">
        <v>266953</v>
      </c>
      <c r="F39" s="6">
        <v>706.75806750000004</v>
      </c>
      <c r="G39" s="7">
        <v>6.5714950000000001E-3</v>
      </c>
      <c r="H39" s="47"/>
    </row>
    <row r="40" spans="1:8" ht="17.100000000000001" customHeight="1" x14ac:dyDescent="0.2">
      <c r="A40" s="3">
        <v>34</v>
      </c>
      <c r="B40" s="4" t="s">
        <v>756</v>
      </c>
      <c r="C40" s="4" t="s">
        <v>757</v>
      </c>
      <c r="D40" s="4" t="s">
        <v>88</v>
      </c>
      <c r="E40" s="5">
        <v>78863</v>
      </c>
      <c r="F40" s="6">
        <v>443.0129025</v>
      </c>
      <c r="G40" s="7">
        <v>4.1191709999999996E-3</v>
      </c>
      <c r="H40" s="47"/>
    </row>
    <row r="41" spans="1:8" ht="17.100000000000001" customHeight="1" x14ac:dyDescent="0.2">
      <c r="A41" s="3">
        <v>35</v>
      </c>
      <c r="B41" s="4" t="s">
        <v>378</v>
      </c>
      <c r="C41" s="4" t="s">
        <v>379</v>
      </c>
      <c r="D41" s="4" t="s">
        <v>85</v>
      </c>
      <c r="E41" s="5">
        <v>35661</v>
      </c>
      <c r="F41" s="6">
        <v>300.24778950000001</v>
      </c>
      <c r="G41" s="7">
        <v>2.7917290000000002E-3</v>
      </c>
      <c r="H41" s="47"/>
    </row>
    <row r="42" spans="1:8" ht="17.100000000000001" customHeight="1" x14ac:dyDescent="0.2">
      <c r="A42" s="3">
        <v>36</v>
      </c>
      <c r="B42" s="4" t="s">
        <v>758</v>
      </c>
      <c r="C42" s="4" t="s">
        <v>759</v>
      </c>
      <c r="D42" s="4" t="s">
        <v>243</v>
      </c>
      <c r="E42" s="5">
        <v>37518</v>
      </c>
      <c r="F42" s="6">
        <v>251.89585199999999</v>
      </c>
      <c r="G42" s="7">
        <v>2.342149E-3</v>
      </c>
      <c r="H42" s="47"/>
    </row>
    <row r="43" spans="1:8" ht="17.100000000000001" customHeight="1" x14ac:dyDescent="0.2">
      <c r="A43" s="3">
        <v>37</v>
      </c>
      <c r="B43" s="4" t="s">
        <v>376</v>
      </c>
      <c r="C43" s="4" t="s">
        <v>377</v>
      </c>
      <c r="D43" s="4" t="s">
        <v>88</v>
      </c>
      <c r="E43" s="5">
        <v>278</v>
      </c>
      <c r="F43" s="6">
        <v>1.664525</v>
      </c>
      <c r="G43" s="8" t="s">
        <v>121</v>
      </c>
      <c r="H43" s="47"/>
    </row>
    <row r="44" spans="1:8" ht="14.1" customHeight="1" x14ac:dyDescent="0.2">
      <c r="A44" s="1"/>
      <c r="B44" s="1"/>
      <c r="C44" s="2" t="s">
        <v>122</v>
      </c>
      <c r="D44" s="1"/>
      <c r="E44" s="1" t="s">
        <v>123</v>
      </c>
      <c r="F44" s="9">
        <v>104994.551156</v>
      </c>
      <c r="G44" s="10">
        <v>0.976248067</v>
      </c>
      <c r="H44" s="47"/>
    </row>
    <row r="45" spans="1:8" ht="14.1" customHeight="1" x14ac:dyDescent="0.2">
      <c r="A45" s="1"/>
      <c r="B45" s="1"/>
      <c r="C45" s="11"/>
      <c r="D45" s="1"/>
      <c r="E45" s="1"/>
      <c r="F45" s="12"/>
      <c r="G45" s="12"/>
      <c r="H45" s="47"/>
    </row>
    <row r="46" spans="1:8" ht="14.1" customHeight="1" x14ac:dyDescent="0.2">
      <c r="A46" s="1"/>
      <c r="B46" s="1"/>
      <c r="C46" s="2" t="s">
        <v>124</v>
      </c>
      <c r="D46" s="1"/>
      <c r="E46" s="1"/>
      <c r="F46" s="1"/>
      <c r="G46" s="1"/>
      <c r="H46" s="47"/>
    </row>
    <row r="47" spans="1:8" ht="14.1" customHeight="1" x14ac:dyDescent="0.2">
      <c r="A47" s="1"/>
      <c r="B47" s="1"/>
      <c r="C47" s="2" t="s">
        <v>122</v>
      </c>
      <c r="D47" s="1"/>
      <c r="E47" s="1" t="s">
        <v>123</v>
      </c>
      <c r="F47" s="13">
        <v>0</v>
      </c>
      <c r="G47" s="14">
        <v>0</v>
      </c>
      <c r="H47" s="47"/>
    </row>
    <row r="48" spans="1:8" ht="14.1" customHeight="1" x14ac:dyDescent="0.2">
      <c r="A48" s="1"/>
      <c r="B48" s="1"/>
      <c r="C48" s="11"/>
      <c r="D48" s="1"/>
      <c r="E48" s="1"/>
      <c r="F48" s="12"/>
      <c r="G48" s="12"/>
      <c r="H48" s="47"/>
    </row>
    <row r="49" spans="1:8" ht="14.1" customHeight="1" x14ac:dyDescent="0.2">
      <c r="A49" s="1"/>
      <c r="B49" s="1"/>
      <c r="C49" s="2" t="s">
        <v>125</v>
      </c>
      <c r="D49" s="1"/>
      <c r="E49" s="1"/>
      <c r="F49" s="1"/>
      <c r="G49" s="1"/>
      <c r="H49" s="47"/>
    </row>
    <row r="50" spans="1:8" ht="14.1" customHeight="1" x14ac:dyDescent="0.2">
      <c r="A50" s="1"/>
      <c r="B50" s="1"/>
      <c r="C50" s="2" t="s">
        <v>122</v>
      </c>
      <c r="D50" s="1"/>
      <c r="E50" s="1" t="s">
        <v>123</v>
      </c>
      <c r="F50" s="13">
        <v>0</v>
      </c>
      <c r="G50" s="14">
        <v>0</v>
      </c>
      <c r="H50" s="47"/>
    </row>
    <row r="51" spans="1:8" ht="14.1" customHeight="1" x14ac:dyDescent="0.2">
      <c r="A51" s="1"/>
      <c r="B51" s="1"/>
      <c r="C51" s="11"/>
      <c r="D51" s="1"/>
      <c r="E51" s="1"/>
      <c r="F51" s="12"/>
      <c r="G51" s="12"/>
      <c r="H51" s="47"/>
    </row>
    <row r="52" spans="1:8" ht="14.1" customHeight="1" x14ac:dyDescent="0.2">
      <c r="A52" s="1"/>
      <c r="B52" s="1"/>
      <c r="C52" s="2" t="s">
        <v>126</v>
      </c>
      <c r="D52" s="1"/>
      <c r="E52" s="1"/>
      <c r="F52" s="1"/>
      <c r="G52" s="1"/>
      <c r="H52" s="47"/>
    </row>
    <row r="53" spans="1:8" ht="14.1" customHeight="1" x14ac:dyDescent="0.2">
      <c r="A53" s="1"/>
      <c r="B53" s="1"/>
      <c r="C53" s="2" t="s">
        <v>122</v>
      </c>
      <c r="D53" s="1"/>
      <c r="E53" s="1" t="s">
        <v>123</v>
      </c>
      <c r="F53" s="13">
        <v>0</v>
      </c>
      <c r="G53" s="14">
        <v>0</v>
      </c>
      <c r="H53" s="47"/>
    </row>
    <row r="54" spans="1:8" ht="14.1" customHeight="1" x14ac:dyDescent="0.2">
      <c r="A54" s="1"/>
      <c r="B54" s="1"/>
      <c r="C54" s="11"/>
      <c r="D54" s="1"/>
      <c r="E54" s="1"/>
      <c r="F54" s="12"/>
      <c r="G54" s="12"/>
      <c r="H54" s="47"/>
    </row>
    <row r="55" spans="1:8" ht="14.1" customHeight="1" x14ac:dyDescent="0.2">
      <c r="A55" s="1"/>
      <c r="B55" s="1"/>
      <c r="C55" s="2" t="s">
        <v>127</v>
      </c>
      <c r="D55" s="1"/>
      <c r="E55" s="1"/>
      <c r="F55" s="12"/>
      <c r="G55" s="12"/>
      <c r="H55" s="47"/>
    </row>
    <row r="56" spans="1:8" ht="14.1" customHeight="1" x14ac:dyDescent="0.2">
      <c r="A56" s="1"/>
      <c r="B56" s="1"/>
      <c r="C56" s="2" t="s">
        <v>122</v>
      </c>
      <c r="D56" s="1"/>
      <c r="E56" s="1" t="s">
        <v>123</v>
      </c>
      <c r="F56" s="13">
        <v>0</v>
      </c>
      <c r="G56" s="14">
        <v>0</v>
      </c>
      <c r="H56" s="47"/>
    </row>
    <row r="57" spans="1:8" ht="14.1" customHeight="1" x14ac:dyDescent="0.2">
      <c r="A57" s="1"/>
      <c r="B57" s="1"/>
      <c r="C57" s="11"/>
      <c r="D57" s="1"/>
      <c r="E57" s="1"/>
      <c r="F57" s="12"/>
      <c r="G57" s="12"/>
      <c r="H57" s="47"/>
    </row>
    <row r="58" spans="1:8" ht="14.1" customHeight="1" x14ac:dyDescent="0.2">
      <c r="A58" s="1"/>
      <c r="B58" s="1"/>
      <c r="C58" s="2" t="s">
        <v>128</v>
      </c>
      <c r="D58" s="1"/>
      <c r="E58" s="1"/>
      <c r="F58" s="12"/>
      <c r="G58" s="12"/>
      <c r="H58" s="47"/>
    </row>
    <row r="59" spans="1:8" ht="14.1" customHeight="1" x14ac:dyDescent="0.2">
      <c r="A59" s="1"/>
      <c r="B59" s="1"/>
      <c r="C59" s="2" t="s">
        <v>122</v>
      </c>
      <c r="D59" s="1"/>
      <c r="E59" s="1" t="s">
        <v>123</v>
      </c>
      <c r="F59" s="13">
        <v>0</v>
      </c>
      <c r="G59" s="14">
        <v>0</v>
      </c>
      <c r="H59" s="47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47"/>
    </row>
    <row r="61" spans="1:8" ht="18" customHeight="1" x14ac:dyDescent="0.2">
      <c r="A61" s="1"/>
      <c r="B61" s="1"/>
      <c r="C61" s="2" t="s">
        <v>129</v>
      </c>
      <c r="D61" s="1"/>
      <c r="E61" s="1"/>
      <c r="F61" s="9">
        <v>104994.551156</v>
      </c>
      <c r="G61" s="10">
        <v>0.976248067</v>
      </c>
      <c r="H61" s="47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47"/>
    </row>
    <row r="63" spans="1:8" ht="14.1" customHeight="1" x14ac:dyDescent="0.2">
      <c r="A63" s="1"/>
      <c r="B63" s="1"/>
      <c r="C63" s="2" t="s">
        <v>130</v>
      </c>
      <c r="D63" s="1"/>
      <c r="E63" s="1"/>
      <c r="F63" s="12"/>
      <c r="G63" s="12"/>
      <c r="H63" s="47"/>
    </row>
    <row r="64" spans="1:8" ht="24" customHeight="1" x14ac:dyDescent="0.2">
      <c r="A64" s="1"/>
      <c r="B64" s="1"/>
      <c r="C64" s="2" t="s">
        <v>10</v>
      </c>
      <c r="D64" s="1"/>
      <c r="E64" s="1"/>
      <c r="F64" s="12"/>
      <c r="G64" s="12"/>
      <c r="H64" s="47"/>
    </row>
    <row r="65" spans="1:8" ht="14.1" customHeight="1" x14ac:dyDescent="0.2">
      <c r="A65" s="1"/>
      <c r="B65" s="1"/>
      <c r="C65" s="2" t="s">
        <v>122</v>
      </c>
      <c r="D65" s="1"/>
      <c r="E65" s="1" t="s">
        <v>123</v>
      </c>
      <c r="F65" s="13">
        <v>0</v>
      </c>
      <c r="G65" s="14">
        <v>0</v>
      </c>
      <c r="H65" s="47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47"/>
    </row>
    <row r="67" spans="1:8" ht="14.1" customHeight="1" x14ac:dyDescent="0.2">
      <c r="A67" s="1"/>
      <c r="B67" s="1"/>
      <c r="C67" s="2" t="s">
        <v>131</v>
      </c>
      <c r="D67" s="1"/>
      <c r="E67" s="1"/>
      <c r="F67" s="1"/>
      <c r="G67" s="1"/>
      <c r="H67" s="47"/>
    </row>
    <row r="68" spans="1:8" ht="14.1" customHeight="1" x14ac:dyDescent="0.2">
      <c r="A68" s="1"/>
      <c r="B68" s="1"/>
      <c r="C68" s="2" t="s">
        <v>122</v>
      </c>
      <c r="D68" s="1"/>
      <c r="E68" s="1" t="s">
        <v>123</v>
      </c>
      <c r="F68" s="13">
        <v>0</v>
      </c>
      <c r="G68" s="14">
        <v>0</v>
      </c>
      <c r="H68" s="47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47"/>
    </row>
    <row r="70" spans="1:8" ht="14.1" customHeight="1" x14ac:dyDescent="0.2">
      <c r="A70" s="1"/>
      <c r="B70" s="1"/>
      <c r="C70" s="2" t="s">
        <v>132</v>
      </c>
      <c r="D70" s="1"/>
      <c r="E70" s="1"/>
      <c r="F70" s="1"/>
      <c r="G70" s="1"/>
      <c r="H70" s="47"/>
    </row>
    <row r="71" spans="1:8" ht="14.1" customHeight="1" x14ac:dyDescent="0.2">
      <c r="A71" s="1"/>
      <c r="B71" s="1"/>
      <c r="C71" s="2" t="s">
        <v>122</v>
      </c>
      <c r="D71" s="1"/>
      <c r="E71" s="1" t="s">
        <v>123</v>
      </c>
      <c r="F71" s="13">
        <v>0</v>
      </c>
      <c r="G71" s="14">
        <v>0</v>
      </c>
      <c r="H71" s="47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47"/>
    </row>
    <row r="73" spans="1:8" ht="14.1" customHeight="1" x14ac:dyDescent="0.2">
      <c r="A73" s="1"/>
      <c r="B73" s="1"/>
      <c r="C73" s="2" t="s">
        <v>133</v>
      </c>
      <c r="D73" s="1"/>
      <c r="E73" s="1"/>
      <c r="F73" s="12"/>
      <c r="G73" s="12"/>
      <c r="H73" s="47"/>
    </row>
    <row r="74" spans="1:8" ht="14.1" customHeight="1" x14ac:dyDescent="0.2">
      <c r="A74" s="1"/>
      <c r="B74" s="1"/>
      <c r="C74" s="2" t="s">
        <v>122</v>
      </c>
      <c r="D74" s="1"/>
      <c r="E74" s="1" t="s">
        <v>123</v>
      </c>
      <c r="F74" s="13">
        <v>0</v>
      </c>
      <c r="G74" s="14">
        <v>0</v>
      </c>
      <c r="H74" s="47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47"/>
    </row>
    <row r="76" spans="1:8" ht="14.1" customHeight="1" x14ac:dyDescent="0.2">
      <c r="A76" s="1"/>
      <c r="B76" s="1"/>
      <c r="C76" s="2" t="s">
        <v>134</v>
      </c>
      <c r="D76" s="1"/>
      <c r="E76" s="1"/>
      <c r="F76" s="9">
        <v>0</v>
      </c>
      <c r="G76" s="10">
        <v>0</v>
      </c>
      <c r="H76" s="47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47"/>
    </row>
    <row r="78" spans="1:8" ht="14.1" customHeight="1" x14ac:dyDescent="0.2">
      <c r="A78" s="1"/>
      <c r="B78" s="1"/>
      <c r="C78" s="2" t="s">
        <v>135</v>
      </c>
      <c r="D78" s="1"/>
      <c r="E78" s="1"/>
      <c r="F78" s="12"/>
      <c r="G78" s="12"/>
      <c r="H78" s="47"/>
    </row>
    <row r="79" spans="1:8" ht="14.1" customHeight="1" x14ac:dyDescent="0.2">
      <c r="A79" s="1"/>
      <c r="B79" s="1"/>
      <c r="C79" s="2" t="s">
        <v>136</v>
      </c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122</v>
      </c>
      <c r="D80" s="1"/>
      <c r="E80" s="1" t="s">
        <v>123</v>
      </c>
      <c r="F80" s="13">
        <v>0</v>
      </c>
      <c r="G80" s="14">
        <v>0</v>
      </c>
      <c r="H80" s="47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47"/>
    </row>
    <row r="82" spans="1:8" ht="14.1" customHeight="1" x14ac:dyDescent="0.2">
      <c r="A82" s="1"/>
      <c r="B82" s="1"/>
      <c r="C82" s="2" t="s">
        <v>137</v>
      </c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122</v>
      </c>
      <c r="D83" s="1"/>
      <c r="E83" s="1" t="s">
        <v>123</v>
      </c>
      <c r="F83" s="13">
        <v>0</v>
      </c>
      <c r="G83" s="14">
        <v>0</v>
      </c>
      <c r="H83" s="47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47"/>
    </row>
    <row r="85" spans="1:8" ht="14.1" customHeight="1" x14ac:dyDescent="0.2">
      <c r="A85" s="1"/>
      <c r="B85" s="1"/>
      <c r="C85" s="2" t="s">
        <v>138</v>
      </c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122</v>
      </c>
      <c r="D86" s="1"/>
      <c r="E86" s="1" t="s">
        <v>123</v>
      </c>
      <c r="F86" s="13">
        <v>0</v>
      </c>
      <c r="G86" s="14">
        <v>0</v>
      </c>
      <c r="H86" s="47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47"/>
    </row>
    <row r="88" spans="1:8" ht="14.1" customHeight="1" x14ac:dyDescent="0.2">
      <c r="A88" s="1"/>
      <c r="B88" s="1"/>
      <c r="C88" s="2" t="s">
        <v>139</v>
      </c>
      <c r="D88" s="1"/>
      <c r="E88" s="1"/>
      <c r="F88" s="12"/>
      <c r="G88" s="12"/>
      <c r="H88" s="47"/>
    </row>
    <row r="89" spans="1:8" ht="17.100000000000001" customHeight="1" x14ac:dyDescent="0.2">
      <c r="A89" s="3">
        <v>1</v>
      </c>
      <c r="B89" s="4"/>
      <c r="C89" s="4" t="s">
        <v>140</v>
      </c>
      <c r="D89" s="4"/>
      <c r="E89" s="8"/>
      <c r="F89" s="6">
        <v>1557.345014</v>
      </c>
      <c r="G89" s="7">
        <v>1.4480323E-2</v>
      </c>
      <c r="H89" s="47">
        <v>4.6730752161314033</v>
      </c>
    </row>
    <row r="90" spans="1:8" ht="14.1" customHeight="1" x14ac:dyDescent="0.2">
      <c r="A90" s="1"/>
      <c r="B90" s="1"/>
      <c r="C90" s="2" t="s">
        <v>122</v>
      </c>
      <c r="D90" s="1"/>
      <c r="E90" s="1" t="s">
        <v>123</v>
      </c>
      <c r="F90" s="9">
        <v>1557.345014</v>
      </c>
      <c r="G90" s="10">
        <v>1.4480323E-2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141</v>
      </c>
      <c r="D92" s="1"/>
      <c r="E92" s="1"/>
      <c r="F92" s="9">
        <v>1557.345014</v>
      </c>
      <c r="G92" s="10">
        <v>1.4480323E-2</v>
      </c>
      <c r="H92" s="47"/>
    </row>
    <row r="93" spans="1:8" ht="14.1" customHeight="1" x14ac:dyDescent="0.2">
      <c r="A93" s="1"/>
      <c r="B93" s="1"/>
      <c r="C93" s="12"/>
      <c r="D93" s="1"/>
      <c r="E93" s="1"/>
      <c r="F93" s="1"/>
      <c r="G93" s="1"/>
      <c r="H93" s="47"/>
    </row>
    <row r="94" spans="1:8" ht="14.1" customHeight="1" x14ac:dyDescent="0.2">
      <c r="A94" s="1"/>
      <c r="B94" s="1"/>
      <c r="C94" s="2" t="s">
        <v>142</v>
      </c>
      <c r="D94" s="1"/>
      <c r="E94" s="1"/>
      <c r="F94" s="1"/>
      <c r="G94" s="1"/>
      <c r="H94" s="47"/>
    </row>
    <row r="95" spans="1:8" ht="14.1" customHeight="1" x14ac:dyDescent="0.2">
      <c r="A95" s="1"/>
      <c r="B95" s="1"/>
      <c r="C95" s="2" t="s">
        <v>143</v>
      </c>
      <c r="D95" s="1"/>
      <c r="E95" s="1"/>
      <c r="F95" s="1"/>
      <c r="G95" s="1"/>
      <c r="H95" s="47"/>
    </row>
    <row r="96" spans="1:8" ht="14.1" customHeight="1" x14ac:dyDescent="0.2">
      <c r="A96" s="1"/>
      <c r="B96" s="1"/>
      <c r="C96" s="2" t="s">
        <v>122</v>
      </c>
      <c r="D96" s="1"/>
      <c r="E96" s="1" t="s">
        <v>123</v>
      </c>
      <c r="F96" s="13">
        <v>0</v>
      </c>
      <c r="G96" s="14">
        <v>0</v>
      </c>
      <c r="H96" s="47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144</v>
      </c>
      <c r="D98" s="1"/>
      <c r="E98" s="1"/>
      <c r="F98" s="1"/>
      <c r="G98" s="1"/>
      <c r="H98" s="47"/>
    </row>
    <row r="99" spans="1:8" ht="14.1" customHeight="1" x14ac:dyDescent="0.2">
      <c r="A99" s="1"/>
      <c r="B99" s="1"/>
      <c r="C99" s="2" t="s">
        <v>145</v>
      </c>
      <c r="D99" s="1"/>
      <c r="E99" s="1"/>
      <c r="F99" s="1"/>
      <c r="G99" s="1"/>
      <c r="H99" s="47"/>
    </row>
    <row r="100" spans="1:8" ht="14.1" customHeight="1" x14ac:dyDescent="0.2">
      <c r="A100" s="1"/>
      <c r="B100" s="1"/>
      <c r="C100" s="2" t="s">
        <v>122</v>
      </c>
      <c r="D100" s="1"/>
      <c r="E100" s="1" t="s">
        <v>123</v>
      </c>
      <c r="F100" s="13">
        <v>0</v>
      </c>
      <c r="G100" s="14">
        <v>0</v>
      </c>
      <c r="H100" s="47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47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47"/>
    </row>
    <row r="103" spans="1:8" ht="24" customHeight="1" x14ac:dyDescent="0.2">
      <c r="A103" s="1"/>
      <c r="B103" s="1"/>
      <c r="C103" s="2" t="s">
        <v>146</v>
      </c>
      <c r="D103" s="1"/>
      <c r="E103" s="1"/>
      <c r="F103" s="12"/>
      <c r="G103" s="12"/>
      <c r="H103" s="47"/>
    </row>
    <row r="104" spans="1:8" ht="14.1" customHeight="1" x14ac:dyDescent="0.2">
      <c r="A104" s="1"/>
      <c r="B104" s="1"/>
      <c r="C104" s="2" t="s">
        <v>122</v>
      </c>
      <c r="D104" s="1"/>
      <c r="E104" s="1" t="s">
        <v>123</v>
      </c>
      <c r="F104" s="13">
        <v>0</v>
      </c>
      <c r="G104" s="14">
        <v>0</v>
      </c>
      <c r="H104" s="47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47"/>
    </row>
    <row r="106" spans="1:8" ht="14.1" customHeight="1" x14ac:dyDescent="0.2">
      <c r="A106" s="1"/>
      <c r="B106" s="4"/>
      <c r="C106" s="4"/>
      <c r="D106" s="2"/>
      <c r="E106" s="1"/>
      <c r="F106" s="4"/>
      <c r="G106" s="8"/>
      <c r="H106" s="47"/>
    </row>
    <row r="107" spans="1:8" ht="18" customHeight="1" x14ac:dyDescent="0.2">
      <c r="A107" s="8"/>
      <c r="B107" s="4"/>
      <c r="C107" s="4" t="s">
        <v>147</v>
      </c>
      <c r="D107" s="4"/>
      <c r="E107" s="8"/>
      <c r="F107" s="6">
        <v>997.15312515000005</v>
      </c>
      <c r="G107" s="7">
        <v>9.2716126426509223E-3</v>
      </c>
      <c r="H107" s="47"/>
    </row>
    <row r="108" spans="1:8" ht="14.1" customHeight="1" x14ac:dyDescent="0.2">
      <c r="A108" s="11"/>
      <c r="B108" s="11"/>
      <c r="C108" s="2" t="s">
        <v>148</v>
      </c>
      <c r="D108" s="15"/>
      <c r="E108" s="15"/>
      <c r="F108" s="9">
        <v>107549.04929515001</v>
      </c>
      <c r="G108" s="10">
        <v>1.000000002642651</v>
      </c>
      <c r="H108" s="47"/>
    </row>
    <row r="109" spans="1:8" ht="14.1" customHeight="1" x14ac:dyDescent="0.2">
      <c r="A109" s="18"/>
      <c r="B109" s="264" t="s">
        <v>123</v>
      </c>
      <c r="C109" s="264"/>
      <c r="D109" s="264"/>
      <c r="E109" s="264"/>
      <c r="F109" s="264"/>
      <c r="G109" s="20"/>
    </row>
    <row r="110" spans="1:8" ht="17.100000000000001" customHeight="1" x14ac:dyDescent="0.2">
      <c r="A110" s="18"/>
      <c r="B110" s="264" t="s">
        <v>149</v>
      </c>
      <c r="C110" s="264"/>
      <c r="D110" s="264"/>
      <c r="E110" s="264"/>
      <c r="F110" s="264"/>
      <c r="G110" s="20"/>
    </row>
    <row r="111" spans="1:8" ht="14.1" customHeight="1" x14ac:dyDescent="0.2">
      <c r="A111" s="18"/>
      <c r="B111" s="18"/>
      <c r="C111" s="18"/>
      <c r="D111" s="20"/>
      <c r="E111" s="20"/>
      <c r="F111" s="20"/>
      <c r="G111" s="20"/>
    </row>
    <row r="112" spans="1:8" ht="14.1" customHeight="1" x14ac:dyDescent="0.2">
      <c r="A112" s="18"/>
      <c r="B112" s="257" t="s">
        <v>150</v>
      </c>
      <c r="C112" s="258"/>
      <c r="D112" s="12" t="s">
        <v>123</v>
      </c>
      <c r="E112" s="21"/>
      <c r="F112" s="20"/>
      <c r="G112" s="20"/>
    </row>
    <row r="113" spans="1:7" ht="29.1" customHeight="1" x14ac:dyDescent="0.2">
      <c r="A113" s="18"/>
      <c r="B113" s="259" t="s">
        <v>151</v>
      </c>
      <c r="C113" s="260"/>
      <c r="D113" s="2" t="s">
        <v>152</v>
      </c>
      <c r="E113" s="21"/>
      <c r="F113" s="20"/>
      <c r="G113" s="20"/>
    </row>
    <row r="114" spans="1:7" ht="17.100000000000001" customHeight="1" x14ac:dyDescent="0.2">
      <c r="A114" s="18"/>
      <c r="B114" s="259" t="s">
        <v>153</v>
      </c>
      <c r="C114" s="260"/>
      <c r="D114" s="2" t="s">
        <v>152</v>
      </c>
      <c r="E114" s="21"/>
      <c r="F114" s="20"/>
      <c r="G114" s="20"/>
    </row>
    <row r="115" spans="1:7" ht="17.100000000000001" customHeight="1" x14ac:dyDescent="0.2">
      <c r="A115" s="18"/>
      <c r="B115" s="259" t="s">
        <v>154</v>
      </c>
      <c r="C115" s="260"/>
      <c r="D115" s="12" t="s">
        <v>123</v>
      </c>
      <c r="E115" s="21"/>
      <c r="F115" s="20"/>
      <c r="G115" s="20"/>
    </row>
    <row r="116" spans="1:7" ht="24" customHeight="1" x14ac:dyDescent="0.2">
      <c r="A116" s="22"/>
      <c r="B116" s="23" t="s">
        <v>123</v>
      </c>
      <c r="C116" s="23" t="s">
        <v>155</v>
      </c>
      <c r="D116" s="23" t="s">
        <v>156</v>
      </c>
      <c r="E116" s="22"/>
      <c r="F116" s="22"/>
      <c r="G116" s="22"/>
    </row>
    <row r="117" spans="1:7" ht="18" customHeight="1" x14ac:dyDescent="0.2">
      <c r="A117" s="22"/>
      <c r="B117" s="23" t="s">
        <v>157</v>
      </c>
      <c r="C117" s="23" t="s">
        <v>158</v>
      </c>
      <c r="D117" s="23" t="s">
        <v>159</v>
      </c>
      <c r="E117" s="22"/>
      <c r="F117" s="22"/>
      <c r="G117" s="22"/>
    </row>
    <row r="118" spans="1:7" ht="17.100000000000001" customHeight="1" x14ac:dyDescent="0.2">
      <c r="A118" s="22"/>
      <c r="B118" s="4" t="s">
        <v>160</v>
      </c>
      <c r="C118" s="24">
        <v>59.2119</v>
      </c>
      <c r="D118" s="24">
        <v>57.255000000000003</v>
      </c>
      <c r="E118" s="22"/>
      <c r="F118" s="19"/>
      <c r="G118" s="25"/>
    </row>
    <row r="119" spans="1:7" ht="17.100000000000001" customHeight="1" x14ac:dyDescent="0.2">
      <c r="A119" s="22"/>
      <c r="B119" s="4" t="s">
        <v>1101</v>
      </c>
      <c r="C119" s="24">
        <v>22.8064</v>
      </c>
      <c r="D119" s="24">
        <v>22.052700000000002</v>
      </c>
      <c r="E119" s="22"/>
      <c r="F119" s="19"/>
      <c r="G119" s="25"/>
    </row>
    <row r="120" spans="1:7" ht="17.100000000000001" customHeight="1" x14ac:dyDescent="0.2">
      <c r="A120" s="22"/>
      <c r="B120" s="4" t="s">
        <v>161</v>
      </c>
      <c r="C120" s="24">
        <v>55.526800000000001</v>
      </c>
      <c r="D120" s="24">
        <v>53.648299999999999</v>
      </c>
      <c r="E120" s="22"/>
      <c r="F120" s="19"/>
      <c r="G120" s="25"/>
    </row>
    <row r="121" spans="1:7" ht="17.100000000000001" customHeight="1" x14ac:dyDescent="0.2">
      <c r="A121" s="22"/>
      <c r="B121" s="4" t="s">
        <v>1102</v>
      </c>
      <c r="C121" s="24">
        <v>21.034500000000001</v>
      </c>
      <c r="D121" s="24">
        <v>20.322900000000001</v>
      </c>
      <c r="E121" s="22"/>
      <c r="F121" s="19"/>
      <c r="G121" s="25"/>
    </row>
    <row r="122" spans="1:7" ht="14.1" customHeight="1" x14ac:dyDescent="0.2">
      <c r="A122" s="22"/>
      <c r="B122" s="22"/>
      <c r="C122" s="22"/>
      <c r="D122" s="22"/>
      <c r="E122" s="22"/>
      <c r="F122" s="22"/>
      <c r="G122" s="22"/>
    </row>
    <row r="123" spans="1:7" ht="17.100000000000001" customHeight="1" x14ac:dyDescent="0.2">
      <c r="A123" s="22"/>
      <c r="B123" s="259" t="s">
        <v>1103</v>
      </c>
      <c r="C123" s="260"/>
      <c r="D123" s="2" t="s">
        <v>152</v>
      </c>
      <c r="E123" s="22"/>
      <c r="F123" s="22"/>
      <c r="G123" s="22"/>
    </row>
    <row r="124" spans="1:7" ht="14.1" customHeight="1" x14ac:dyDescent="0.2">
      <c r="A124" s="22"/>
      <c r="B124" s="19"/>
      <c r="C124" s="19"/>
      <c r="D124" s="22"/>
      <c r="E124" s="22"/>
      <c r="F124" s="22"/>
      <c r="G124" s="22"/>
    </row>
    <row r="125" spans="1:7" ht="29.1" customHeight="1" x14ac:dyDescent="0.2">
      <c r="A125" s="22"/>
      <c r="B125" s="259" t="s">
        <v>162</v>
      </c>
      <c r="C125" s="260"/>
      <c r="D125" s="2" t="s">
        <v>152</v>
      </c>
      <c r="E125" s="22"/>
      <c r="F125" s="22"/>
      <c r="G125" s="22"/>
    </row>
    <row r="126" spans="1:7" ht="29.1" customHeight="1" x14ac:dyDescent="0.2">
      <c r="A126" s="22"/>
      <c r="B126" s="259" t="s">
        <v>163</v>
      </c>
      <c r="C126" s="260"/>
      <c r="D126" s="2" t="s">
        <v>152</v>
      </c>
      <c r="E126" s="22"/>
      <c r="F126" s="22"/>
      <c r="G126" s="22"/>
    </row>
    <row r="127" spans="1:7" ht="17.100000000000001" customHeight="1" x14ac:dyDescent="0.2">
      <c r="A127" s="22"/>
      <c r="B127" s="259" t="s">
        <v>164</v>
      </c>
      <c r="C127" s="260"/>
      <c r="D127" s="28">
        <v>0.47631455296710723</v>
      </c>
      <c r="E127" s="22"/>
      <c r="F127" s="19"/>
      <c r="G127" s="25"/>
    </row>
    <row r="128" spans="1:7" ht="17.100000000000001" customHeight="1" x14ac:dyDescent="0.2">
      <c r="A128" s="22"/>
      <c r="B128" s="259" t="s">
        <v>165</v>
      </c>
      <c r="C128" s="260"/>
      <c r="D128" s="2" t="s">
        <v>152</v>
      </c>
      <c r="E128" s="22"/>
      <c r="F128" s="22"/>
      <c r="G128" s="22"/>
    </row>
  </sheetData>
  <mergeCells count="15">
    <mergeCell ref="J2:N2"/>
    <mergeCell ref="B109:F109"/>
    <mergeCell ref="B110:F110"/>
    <mergeCell ref="A1:H1"/>
    <mergeCell ref="A2:H2"/>
    <mergeCell ref="A3:H3"/>
    <mergeCell ref="B112:C112"/>
    <mergeCell ref="B127:C127"/>
    <mergeCell ref="B128:C128"/>
    <mergeCell ref="B113:C113"/>
    <mergeCell ref="B114:C114"/>
    <mergeCell ref="B115:C115"/>
    <mergeCell ref="B123:C123"/>
    <mergeCell ref="B125:C125"/>
    <mergeCell ref="B126:C12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N13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1.5703125" bestFit="1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760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2608588</v>
      </c>
      <c r="F7" s="6">
        <v>18447.934335999998</v>
      </c>
      <c r="G7" s="7">
        <v>9.2582511000000006E-2</v>
      </c>
      <c r="H7" s="47"/>
    </row>
    <row r="8" spans="1:14" ht="17.100000000000001" customHeight="1" x14ac:dyDescent="0.2">
      <c r="A8" s="3">
        <v>2</v>
      </c>
      <c r="B8" s="4" t="s">
        <v>358</v>
      </c>
      <c r="C8" s="4" t="s">
        <v>359</v>
      </c>
      <c r="D8" s="4" t="s">
        <v>19</v>
      </c>
      <c r="E8" s="5">
        <v>1205044</v>
      </c>
      <c r="F8" s="6">
        <v>16243.993119999999</v>
      </c>
      <c r="G8" s="7">
        <v>8.1521845999999995E-2</v>
      </c>
      <c r="H8" s="47"/>
    </row>
    <row r="9" spans="1:14" ht="17.100000000000001" customHeight="1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523988</v>
      </c>
      <c r="F9" s="6">
        <v>13600.894522000001</v>
      </c>
      <c r="G9" s="7">
        <v>6.8257233E-2</v>
      </c>
      <c r="H9" s="47"/>
    </row>
    <row r="10" spans="1:14" ht="17.100000000000001" customHeight="1" x14ac:dyDescent="0.2">
      <c r="A10" s="3">
        <v>4</v>
      </c>
      <c r="B10" s="4" t="s">
        <v>20</v>
      </c>
      <c r="C10" s="4" t="s">
        <v>21</v>
      </c>
      <c r="D10" s="4" t="s">
        <v>22</v>
      </c>
      <c r="E10" s="5">
        <v>1930861</v>
      </c>
      <c r="F10" s="6">
        <v>13225.432419500001</v>
      </c>
      <c r="G10" s="7">
        <v>6.6372945000000003E-2</v>
      </c>
      <c r="H10" s="47"/>
    </row>
    <row r="11" spans="1:14" ht="29.1" customHeight="1" x14ac:dyDescent="0.2">
      <c r="A11" s="3">
        <v>5</v>
      </c>
      <c r="B11" s="4" t="s">
        <v>395</v>
      </c>
      <c r="C11" s="4" t="s">
        <v>396</v>
      </c>
      <c r="D11" s="4" t="s">
        <v>91</v>
      </c>
      <c r="E11" s="5">
        <v>559505</v>
      </c>
      <c r="F11" s="6">
        <v>12146.0142925</v>
      </c>
      <c r="G11" s="7">
        <v>6.0955795E-2</v>
      </c>
      <c r="H11" s="47"/>
    </row>
    <row r="12" spans="1:14" ht="17.100000000000001" customHeight="1" x14ac:dyDescent="0.2">
      <c r="A12" s="3">
        <v>6</v>
      </c>
      <c r="B12" s="4" t="s">
        <v>304</v>
      </c>
      <c r="C12" s="4" t="s">
        <v>305</v>
      </c>
      <c r="D12" s="4" t="s">
        <v>19</v>
      </c>
      <c r="E12" s="5">
        <v>932278</v>
      </c>
      <c r="F12" s="6">
        <v>5936.7463040000002</v>
      </c>
      <c r="G12" s="7">
        <v>2.9794061E-2</v>
      </c>
      <c r="H12" s="47"/>
    </row>
    <row r="13" spans="1:14" ht="17.100000000000001" customHeight="1" x14ac:dyDescent="0.2">
      <c r="A13" s="3">
        <v>7</v>
      </c>
      <c r="B13" s="4" t="s">
        <v>313</v>
      </c>
      <c r="C13" s="4" t="s">
        <v>314</v>
      </c>
      <c r="D13" s="4" t="s">
        <v>209</v>
      </c>
      <c r="E13" s="5">
        <v>159237</v>
      </c>
      <c r="F13" s="6">
        <v>5865.4948949999998</v>
      </c>
      <c r="G13" s="7">
        <v>2.9436480000000001E-2</v>
      </c>
      <c r="H13" s="47"/>
      <c r="J13" s="147" t="s">
        <v>1136</v>
      </c>
    </row>
    <row r="14" spans="1:14" ht="17.100000000000001" customHeight="1" x14ac:dyDescent="0.2">
      <c r="A14" s="3">
        <v>8</v>
      </c>
      <c r="B14" s="4" t="s">
        <v>317</v>
      </c>
      <c r="C14" s="4" t="s">
        <v>318</v>
      </c>
      <c r="D14" s="4" t="s">
        <v>191</v>
      </c>
      <c r="E14" s="5">
        <v>186612</v>
      </c>
      <c r="F14" s="6">
        <v>5387.5817459999998</v>
      </c>
      <c r="G14" s="7">
        <v>2.7038032E-2</v>
      </c>
      <c r="H14" s="47"/>
    </row>
    <row r="15" spans="1:14" ht="17.100000000000001" customHeight="1" x14ac:dyDescent="0.2">
      <c r="A15" s="3">
        <v>9</v>
      </c>
      <c r="B15" s="4" t="s">
        <v>462</v>
      </c>
      <c r="C15" s="4" t="s">
        <v>463</v>
      </c>
      <c r="D15" s="4" t="s">
        <v>88</v>
      </c>
      <c r="E15" s="5">
        <v>271091</v>
      </c>
      <c r="F15" s="6">
        <v>5262.5540375</v>
      </c>
      <c r="G15" s="7">
        <v>2.6410570000000001E-2</v>
      </c>
      <c r="H15" s="47"/>
    </row>
    <row r="16" spans="1:14" ht="17.100000000000001" customHeight="1" x14ac:dyDescent="0.2">
      <c r="A16" s="3">
        <v>10</v>
      </c>
      <c r="B16" s="4" t="s">
        <v>356</v>
      </c>
      <c r="C16" s="4" t="s">
        <v>357</v>
      </c>
      <c r="D16" s="4" t="s">
        <v>243</v>
      </c>
      <c r="E16" s="5">
        <v>2283765</v>
      </c>
      <c r="F16" s="6">
        <v>4889.5408649999999</v>
      </c>
      <c r="G16" s="7">
        <v>2.4538572000000002E-2</v>
      </c>
      <c r="H16" s="47"/>
    </row>
    <row r="17" spans="1:10" ht="17.100000000000001" customHeight="1" x14ac:dyDescent="0.2">
      <c r="A17" s="3">
        <v>11</v>
      </c>
      <c r="B17" s="4" t="s">
        <v>265</v>
      </c>
      <c r="C17" s="4" t="s">
        <v>266</v>
      </c>
      <c r="D17" s="4" t="s">
        <v>97</v>
      </c>
      <c r="E17" s="5">
        <v>400823</v>
      </c>
      <c r="F17" s="6">
        <v>4744.541851</v>
      </c>
      <c r="G17" s="7">
        <v>2.3810881999999998E-2</v>
      </c>
      <c r="H17" s="47"/>
    </row>
    <row r="18" spans="1:10" ht="17.100000000000001" customHeight="1" x14ac:dyDescent="0.2">
      <c r="A18" s="3">
        <v>12</v>
      </c>
      <c r="B18" s="4" t="s">
        <v>399</v>
      </c>
      <c r="C18" s="4" t="s">
        <v>400</v>
      </c>
      <c r="D18" s="4" t="s">
        <v>321</v>
      </c>
      <c r="E18" s="5">
        <v>426938</v>
      </c>
      <c r="F18" s="6">
        <v>4617.7614080000003</v>
      </c>
      <c r="G18" s="7">
        <v>2.3174624000000001E-2</v>
      </c>
      <c r="H18" s="47"/>
    </row>
    <row r="19" spans="1:10" ht="17.100000000000001" customHeight="1" x14ac:dyDescent="0.2">
      <c r="A19" s="3">
        <v>13</v>
      </c>
      <c r="B19" s="4" t="s">
        <v>43</v>
      </c>
      <c r="C19" s="4" t="s">
        <v>44</v>
      </c>
      <c r="D19" s="4" t="s">
        <v>45</v>
      </c>
      <c r="E19" s="5">
        <v>774290</v>
      </c>
      <c r="F19" s="6">
        <v>4601.6054700000004</v>
      </c>
      <c r="G19" s="7">
        <v>2.3093544000000001E-2</v>
      </c>
      <c r="H19" s="47"/>
    </row>
    <row r="20" spans="1:10" ht="17.100000000000001" customHeight="1" x14ac:dyDescent="0.2">
      <c r="A20" s="3">
        <v>14</v>
      </c>
      <c r="B20" s="4" t="s">
        <v>220</v>
      </c>
      <c r="C20" s="4" t="s">
        <v>221</v>
      </c>
      <c r="D20" s="4" t="s">
        <v>91</v>
      </c>
      <c r="E20" s="5">
        <v>607439</v>
      </c>
      <c r="F20" s="6">
        <v>4517.5238429999999</v>
      </c>
      <c r="G20" s="7">
        <v>2.2671573E-2</v>
      </c>
      <c r="H20" s="47"/>
    </row>
    <row r="21" spans="1:10" ht="17.100000000000001" customHeight="1" x14ac:dyDescent="0.2">
      <c r="A21" s="3">
        <v>15</v>
      </c>
      <c r="B21" s="4" t="s">
        <v>420</v>
      </c>
      <c r="C21" s="4" t="s">
        <v>421</v>
      </c>
      <c r="D21" s="4" t="s">
        <v>19</v>
      </c>
      <c r="E21" s="5">
        <v>254049</v>
      </c>
      <c r="F21" s="6">
        <v>4220.0079390000001</v>
      </c>
      <c r="G21" s="7">
        <v>2.1178465E-2</v>
      </c>
      <c r="H21" s="47"/>
    </row>
    <row r="22" spans="1:10" ht="17.100000000000001" customHeight="1" x14ac:dyDescent="0.2">
      <c r="A22" s="3">
        <v>16</v>
      </c>
      <c r="B22" s="4" t="s">
        <v>115</v>
      </c>
      <c r="C22" s="4" t="s">
        <v>116</v>
      </c>
      <c r="D22" s="4" t="s">
        <v>75</v>
      </c>
      <c r="E22" s="5">
        <v>1151772</v>
      </c>
      <c r="F22" s="6">
        <v>4099.1565479999999</v>
      </c>
      <c r="G22" s="7">
        <v>2.0571961999999999E-2</v>
      </c>
      <c r="H22" s="47"/>
    </row>
    <row r="23" spans="1:10" ht="17.100000000000001" customHeight="1" x14ac:dyDescent="0.2">
      <c r="A23" s="3">
        <v>17</v>
      </c>
      <c r="B23" s="4" t="s">
        <v>241</v>
      </c>
      <c r="C23" s="4" t="s">
        <v>242</v>
      </c>
      <c r="D23" s="4" t="s">
        <v>243</v>
      </c>
      <c r="E23" s="5">
        <v>717396</v>
      </c>
      <c r="F23" s="6">
        <v>3647.5999619999998</v>
      </c>
      <c r="G23" s="7">
        <v>1.8305787E-2</v>
      </c>
      <c r="H23" s="47"/>
    </row>
    <row r="24" spans="1:10" ht="17.100000000000001" customHeight="1" x14ac:dyDescent="0.2">
      <c r="A24" s="3">
        <v>18</v>
      </c>
      <c r="B24" s="4" t="s">
        <v>301</v>
      </c>
      <c r="C24" s="4" t="s">
        <v>302</v>
      </c>
      <c r="D24" s="4" t="s">
        <v>303</v>
      </c>
      <c r="E24" s="5">
        <v>8958</v>
      </c>
      <c r="F24" s="6">
        <v>3598.1150699999998</v>
      </c>
      <c r="G24" s="7">
        <v>1.8057442999999999E-2</v>
      </c>
      <c r="H24" s="47"/>
    </row>
    <row r="25" spans="1:10" ht="29.1" customHeight="1" x14ac:dyDescent="0.2">
      <c r="A25" s="3">
        <v>19</v>
      </c>
      <c r="B25" s="4" t="s">
        <v>89</v>
      </c>
      <c r="C25" s="4" t="s">
        <v>90</v>
      </c>
      <c r="D25" s="4" t="s">
        <v>91</v>
      </c>
      <c r="E25" s="5">
        <v>563022</v>
      </c>
      <c r="F25" s="6">
        <v>3487.9212900000002</v>
      </c>
      <c r="G25" s="7">
        <v>1.7504426E-2</v>
      </c>
      <c r="H25" s="47"/>
      <c r="J25" s="147" t="s">
        <v>1137</v>
      </c>
    </row>
    <row r="26" spans="1:10" ht="17.100000000000001" customHeight="1" x14ac:dyDescent="0.2">
      <c r="A26" s="3">
        <v>20</v>
      </c>
      <c r="B26" s="4" t="s">
        <v>194</v>
      </c>
      <c r="C26" s="4" t="s">
        <v>195</v>
      </c>
      <c r="D26" s="4" t="s">
        <v>174</v>
      </c>
      <c r="E26" s="5">
        <v>667345</v>
      </c>
      <c r="F26" s="6">
        <v>3318.7066850000001</v>
      </c>
      <c r="G26" s="7">
        <v>1.6655209000000001E-2</v>
      </c>
      <c r="H26" s="47"/>
    </row>
    <row r="27" spans="1:10" ht="17.100000000000001" customHeight="1" x14ac:dyDescent="0.2">
      <c r="A27" s="3">
        <v>21</v>
      </c>
      <c r="B27" s="4" t="s">
        <v>169</v>
      </c>
      <c r="C27" s="4" t="s">
        <v>170</v>
      </c>
      <c r="D27" s="4" t="s">
        <v>171</v>
      </c>
      <c r="E27" s="5">
        <v>281609</v>
      </c>
      <c r="F27" s="6">
        <v>2985.9002270000001</v>
      </c>
      <c r="G27" s="7">
        <v>1.4984992000000001E-2</v>
      </c>
      <c r="H27" s="47"/>
    </row>
    <row r="28" spans="1:10" ht="17.100000000000001" customHeight="1" x14ac:dyDescent="0.2">
      <c r="A28" s="3">
        <v>22</v>
      </c>
      <c r="B28" s="4" t="s">
        <v>228</v>
      </c>
      <c r="C28" s="4" t="s">
        <v>229</v>
      </c>
      <c r="D28" s="4" t="s">
        <v>191</v>
      </c>
      <c r="E28" s="5">
        <v>86867</v>
      </c>
      <c r="F28" s="6">
        <v>2955.0416059999998</v>
      </c>
      <c r="G28" s="7">
        <v>1.4830125E-2</v>
      </c>
      <c r="H28" s="47"/>
    </row>
    <row r="29" spans="1:10" ht="17.100000000000001" customHeight="1" x14ac:dyDescent="0.2">
      <c r="A29" s="3">
        <v>23</v>
      </c>
      <c r="B29" s="4" t="s">
        <v>182</v>
      </c>
      <c r="C29" s="4" t="s">
        <v>183</v>
      </c>
      <c r="D29" s="4" t="s">
        <v>184</v>
      </c>
      <c r="E29" s="5">
        <v>224451</v>
      </c>
      <c r="F29" s="6">
        <v>2935.7068545000002</v>
      </c>
      <c r="G29" s="7">
        <v>1.4733092E-2</v>
      </c>
      <c r="H29" s="47"/>
    </row>
    <row r="30" spans="1:10" ht="17.100000000000001" customHeight="1" x14ac:dyDescent="0.2">
      <c r="A30" s="3">
        <v>24</v>
      </c>
      <c r="B30" s="4" t="s">
        <v>366</v>
      </c>
      <c r="C30" s="4" t="s">
        <v>367</v>
      </c>
      <c r="D30" s="4" t="s">
        <v>209</v>
      </c>
      <c r="E30" s="5">
        <v>1201373</v>
      </c>
      <c r="F30" s="6">
        <v>2883.2952</v>
      </c>
      <c r="G30" s="7">
        <v>1.447006E-2</v>
      </c>
      <c r="H30" s="47"/>
    </row>
    <row r="31" spans="1:10" ht="17.100000000000001" customHeight="1" x14ac:dyDescent="0.2">
      <c r="A31" s="3">
        <v>25</v>
      </c>
      <c r="B31" s="4" t="s">
        <v>172</v>
      </c>
      <c r="C31" s="4" t="s">
        <v>173</v>
      </c>
      <c r="D31" s="4" t="s">
        <v>174</v>
      </c>
      <c r="E31" s="5">
        <v>261517</v>
      </c>
      <c r="F31" s="6">
        <v>2837.4594499999998</v>
      </c>
      <c r="G31" s="7">
        <v>1.4240029E-2</v>
      </c>
      <c r="H31" s="47"/>
    </row>
    <row r="32" spans="1:10" ht="17.100000000000001" customHeight="1" x14ac:dyDescent="0.2">
      <c r="A32" s="3">
        <v>26</v>
      </c>
      <c r="B32" s="4" t="s">
        <v>364</v>
      </c>
      <c r="C32" s="4" t="s">
        <v>365</v>
      </c>
      <c r="D32" s="4" t="s">
        <v>91</v>
      </c>
      <c r="E32" s="5">
        <v>25000</v>
      </c>
      <c r="F32" s="6">
        <v>2732.9375</v>
      </c>
      <c r="G32" s="7">
        <v>1.3715477E-2</v>
      </c>
      <c r="H32" s="47"/>
    </row>
    <row r="33" spans="1:8" ht="17.100000000000001" customHeight="1" x14ac:dyDescent="0.2">
      <c r="A33" s="3">
        <v>27</v>
      </c>
      <c r="B33" s="4" t="s">
        <v>473</v>
      </c>
      <c r="C33" s="4" t="s">
        <v>474</v>
      </c>
      <c r="D33" s="4" t="s">
        <v>45</v>
      </c>
      <c r="E33" s="5">
        <v>398315</v>
      </c>
      <c r="F33" s="6">
        <v>2688.8254075</v>
      </c>
      <c r="G33" s="7">
        <v>1.3494097E-2</v>
      </c>
      <c r="H33" s="47"/>
    </row>
    <row r="34" spans="1:8" ht="17.100000000000001" customHeight="1" x14ac:dyDescent="0.2">
      <c r="A34" s="3">
        <v>28</v>
      </c>
      <c r="B34" s="4" t="s">
        <v>192</v>
      </c>
      <c r="C34" s="4" t="s">
        <v>193</v>
      </c>
      <c r="D34" s="4" t="s">
        <v>184</v>
      </c>
      <c r="E34" s="5">
        <v>206511</v>
      </c>
      <c r="F34" s="6">
        <v>2490.9356819999998</v>
      </c>
      <c r="G34" s="7">
        <v>1.250097E-2</v>
      </c>
      <c r="H34" s="47"/>
    </row>
    <row r="35" spans="1:8" ht="29.1" customHeight="1" x14ac:dyDescent="0.2">
      <c r="A35" s="3">
        <v>29</v>
      </c>
      <c r="B35" s="4" t="s">
        <v>179</v>
      </c>
      <c r="C35" s="4" t="s">
        <v>180</v>
      </c>
      <c r="D35" s="4" t="s">
        <v>181</v>
      </c>
      <c r="E35" s="5">
        <v>378624</v>
      </c>
      <c r="F35" s="6">
        <v>2323.4261759999999</v>
      </c>
      <c r="G35" s="7">
        <v>1.166031E-2</v>
      </c>
      <c r="H35" s="47"/>
    </row>
    <row r="36" spans="1:8" ht="29.1" customHeight="1" x14ac:dyDescent="0.2">
      <c r="A36" s="3">
        <v>30</v>
      </c>
      <c r="B36" s="4" t="s">
        <v>631</v>
      </c>
      <c r="C36" s="4" t="s">
        <v>632</v>
      </c>
      <c r="D36" s="4" t="s">
        <v>321</v>
      </c>
      <c r="E36" s="5">
        <v>191985</v>
      </c>
      <c r="F36" s="6">
        <v>2152.0558575</v>
      </c>
      <c r="G36" s="7">
        <v>1.0800273000000001E-2</v>
      </c>
      <c r="H36" s="47"/>
    </row>
    <row r="37" spans="1:8" ht="17.100000000000001" customHeight="1" x14ac:dyDescent="0.2">
      <c r="A37" s="3">
        <v>31</v>
      </c>
      <c r="B37" s="4" t="s">
        <v>440</v>
      </c>
      <c r="C37" s="4" t="s">
        <v>441</v>
      </c>
      <c r="D37" s="4" t="s">
        <v>91</v>
      </c>
      <c r="E37" s="5">
        <v>39471</v>
      </c>
      <c r="F37" s="6">
        <v>2131.631355</v>
      </c>
      <c r="G37" s="7">
        <v>1.0697771E-2</v>
      </c>
      <c r="H37" s="47"/>
    </row>
    <row r="38" spans="1:8" ht="17.100000000000001" customHeight="1" x14ac:dyDescent="0.2">
      <c r="A38" s="3">
        <v>32</v>
      </c>
      <c r="B38" s="4" t="s">
        <v>761</v>
      </c>
      <c r="C38" s="4" t="s">
        <v>762</v>
      </c>
      <c r="D38" s="4" t="s">
        <v>243</v>
      </c>
      <c r="E38" s="5">
        <v>114424</v>
      </c>
      <c r="F38" s="6">
        <v>2129.259004</v>
      </c>
      <c r="G38" s="7">
        <v>1.0685864999999999E-2</v>
      </c>
      <c r="H38" s="47"/>
    </row>
    <row r="39" spans="1:8" ht="17.100000000000001" customHeight="1" x14ac:dyDescent="0.2">
      <c r="A39" s="3">
        <v>33</v>
      </c>
      <c r="B39" s="4" t="s">
        <v>722</v>
      </c>
      <c r="C39" s="4" t="s">
        <v>723</v>
      </c>
      <c r="D39" s="4" t="s">
        <v>312</v>
      </c>
      <c r="E39" s="5">
        <v>53896</v>
      </c>
      <c r="F39" s="6">
        <v>2025.842848</v>
      </c>
      <c r="G39" s="7">
        <v>1.0166863E-2</v>
      </c>
      <c r="H39" s="47"/>
    </row>
    <row r="40" spans="1:8" ht="17.100000000000001" customHeight="1" x14ac:dyDescent="0.2">
      <c r="A40" s="3">
        <v>34</v>
      </c>
      <c r="B40" s="4" t="s">
        <v>585</v>
      </c>
      <c r="C40" s="4" t="s">
        <v>586</v>
      </c>
      <c r="D40" s="4" t="s">
        <v>321</v>
      </c>
      <c r="E40" s="5">
        <v>340066</v>
      </c>
      <c r="F40" s="6">
        <v>1870.3630000000001</v>
      </c>
      <c r="G40" s="7">
        <v>9.386574E-3</v>
      </c>
      <c r="H40" s="47"/>
    </row>
    <row r="41" spans="1:8" ht="29.1" customHeight="1" x14ac:dyDescent="0.2">
      <c r="A41" s="3">
        <v>35</v>
      </c>
      <c r="B41" s="4" t="s">
        <v>224</v>
      </c>
      <c r="C41" s="4" t="s">
        <v>225</v>
      </c>
      <c r="D41" s="4" t="s">
        <v>181</v>
      </c>
      <c r="E41" s="5">
        <v>380798</v>
      </c>
      <c r="F41" s="6">
        <v>1728.4421219999999</v>
      </c>
      <c r="G41" s="7">
        <v>8.6743319999999999E-3</v>
      </c>
      <c r="H41" s="47"/>
    </row>
    <row r="42" spans="1:8" ht="17.100000000000001" customHeight="1" x14ac:dyDescent="0.2">
      <c r="A42" s="3">
        <v>36</v>
      </c>
      <c r="B42" s="4" t="s">
        <v>536</v>
      </c>
      <c r="C42" s="4" t="s">
        <v>537</v>
      </c>
      <c r="D42" s="4" t="s">
        <v>184</v>
      </c>
      <c r="E42" s="5">
        <v>264699</v>
      </c>
      <c r="F42" s="6">
        <v>1709.6908410000001</v>
      </c>
      <c r="G42" s="7">
        <v>8.5802269999999993E-3</v>
      </c>
      <c r="H42" s="47"/>
    </row>
    <row r="43" spans="1:8" ht="17.100000000000001" customHeight="1" x14ac:dyDescent="0.2">
      <c r="A43" s="3">
        <v>37</v>
      </c>
      <c r="B43" s="4" t="s">
        <v>532</v>
      </c>
      <c r="C43" s="4" t="s">
        <v>533</v>
      </c>
      <c r="D43" s="4" t="s">
        <v>191</v>
      </c>
      <c r="E43" s="5">
        <v>107408</v>
      </c>
      <c r="F43" s="6">
        <v>1516.4935519999999</v>
      </c>
      <c r="G43" s="7">
        <v>7.6106500000000001E-3</v>
      </c>
      <c r="H43" s="47"/>
    </row>
    <row r="44" spans="1:8" ht="17.100000000000001" customHeight="1" x14ac:dyDescent="0.2">
      <c r="A44" s="3">
        <v>38</v>
      </c>
      <c r="B44" s="4" t="s">
        <v>763</v>
      </c>
      <c r="C44" s="4" t="s">
        <v>764</v>
      </c>
      <c r="D44" s="4" t="s">
        <v>174</v>
      </c>
      <c r="E44" s="5">
        <v>2164038</v>
      </c>
      <c r="F44" s="6">
        <v>1321.145199</v>
      </c>
      <c r="G44" s="7">
        <v>6.6302779999999999E-3</v>
      </c>
      <c r="H44" s="47"/>
    </row>
    <row r="45" spans="1:8" ht="17.100000000000001" customHeight="1" x14ac:dyDescent="0.2">
      <c r="A45" s="3">
        <v>39</v>
      </c>
      <c r="B45" s="4" t="s">
        <v>575</v>
      </c>
      <c r="C45" s="4" t="s">
        <v>576</v>
      </c>
      <c r="D45" s="4" t="s">
        <v>209</v>
      </c>
      <c r="E45" s="5">
        <v>82077</v>
      </c>
      <c r="F45" s="6">
        <v>1154.3719665000001</v>
      </c>
      <c r="G45" s="7">
        <v>5.7933129999999996E-3</v>
      </c>
      <c r="H45" s="47"/>
    </row>
    <row r="46" spans="1:8" ht="17.100000000000001" customHeight="1" x14ac:dyDescent="0.2">
      <c r="A46" s="3">
        <v>40</v>
      </c>
      <c r="B46" s="4" t="s">
        <v>485</v>
      </c>
      <c r="C46" s="4" t="s">
        <v>486</v>
      </c>
      <c r="D46" s="4" t="s">
        <v>174</v>
      </c>
      <c r="E46" s="5">
        <v>1648788</v>
      </c>
      <c r="F46" s="6">
        <v>918.37491599999998</v>
      </c>
      <c r="G46" s="7">
        <v>4.6089420000000004E-3</v>
      </c>
      <c r="H46" s="47"/>
    </row>
    <row r="47" spans="1:8" ht="17.100000000000001" customHeight="1" x14ac:dyDescent="0.2">
      <c r="A47" s="3">
        <v>41</v>
      </c>
      <c r="B47" s="4" t="s">
        <v>765</v>
      </c>
      <c r="C47" s="4" t="s">
        <v>766</v>
      </c>
      <c r="D47" s="4" t="s">
        <v>191</v>
      </c>
      <c r="E47" s="5">
        <v>69819</v>
      </c>
      <c r="F47" s="6">
        <v>578.76460050000003</v>
      </c>
      <c r="G47" s="7">
        <v>2.904579E-3</v>
      </c>
      <c r="H47" s="47"/>
    </row>
    <row r="48" spans="1:8" ht="17.100000000000001" customHeight="1" x14ac:dyDescent="0.2">
      <c r="A48" s="3">
        <v>42</v>
      </c>
      <c r="B48" s="4" t="s">
        <v>429</v>
      </c>
      <c r="C48" s="45" t="s">
        <v>1012</v>
      </c>
      <c r="D48" s="4" t="s">
        <v>22</v>
      </c>
      <c r="E48" s="5">
        <v>92315</v>
      </c>
      <c r="F48" s="6">
        <v>279.16055999999998</v>
      </c>
      <c r="G48" s="7">
        <v>1.4009910000000001E-3</v>
      </c>
      <c r="H48" s="47"/>
    </row>
    <row r="49" spans="1:8" ht="17.100000000000001" customHeight="1" x14ac:dyDescent="0.2">
      <c r="A49" s="3">
        <v>43</v>
      </c>
      <c r="B49" s="4" t="s">
        <v>767</v>
      </c>
      <c r="C49" s="4" t="s">
        <v>768</v>
      </c>
      <c r="D49" s="4" t="s">
        <v>191</v>
      </c>
      <c r="E49" s="5">
        <v>90000</v>
      </c>
      <c r="F49" s="6">
        <v>214.47</v>
      </c>
      <c r="G49" s="7">
        <v>1.076336E-3</v>
      </c>
      <c r="H49" s="47"/>
    </row>
    <row r="50" spans="1:8" ht="17.100000000000001" customHeight="1" x14ac:dyDescent="0.2">
      <c r="A50" s="3">
        <v>44</v>
      </c>
      <c r="B50" s="4" t="s">
        <v>769</v>
      </c>
      <c r="C50" s="4" t="s">
        <v>770</v>
      </c>
      <c r="D50" s="4" t="s">
        <v>174</v>
      </c>
      <c r="E50" s="5">
        <v>150000</v>
      </c>
      <c r="F50" s="6">
        <v>166.5</v>
      </c>
      <c r="G50" s="7">
        <v>8.3559400000000005E-4</v>
      </c>
      <c r="H50" s="47"/>
    </row>
    <row r="51" spans="1:8" ht="14.1" customHeight="1" x14ac:dyDescent="0.2">
      <c r="A51" s="1"/>
      <c r="B51" s="1"/>
      <c r="C51" s="2" t="s">
        <v>122</v>
      </c>
      <c r="D51" s="1"/>
      <c r="E51" s="1" t="s">
        <v>123</v>
      </c>
      <c r="F51" s="9">
        <v>186589.22052800003</v>
      </c>
      <c r="G51" s="10">
        <v>0.93641370000000002</v>
      </c>
      <c r="H51" s="47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47"/>
    </row>
    <row r="53" spans="1:8" ht="14.1" customHeight="1" x14ac:dyDescent="0.2">
      <c r="A53" s="1"/>
      <c r="B53" s="1"/>
      <c r="C53" s="2" t="s">
        <v>124</v>
      </c>
      <c r="D53" s="1"/>
      <c r="E53" s="1"/>
      <c r="F53" s="1"/>
      <c r="G53" s="1"/>
      <c r="H53" s="47"/>
    </row>
    <row r="54" spans="1:8" ht="17.100000000000001" customHeight="1" x14ac:dyDescent="0.2">
      <c r="A54" s="3">
        <v>1</v>
      </c>
      <c r="B54" s="4" t="s">
        <v>771</v>
      </c>
      <c r="C54" s="4" t="s">
        <v>772</v>
      </c>
      <c r="D54" s="4" t="s">
        <v>174</v>
      </c>
      <c r="E54" s="5">
        <v>37829</v>
      </c>
      <c r="F54" s="6">
        <v>753.14503676699997</v>
      </c>
      <c r="G54" s="7">
        <v>3.7797220000000001E-3</v>
      </c>
      <c r="H54" s="47"/>
    </row>
    <row r="55" spans="1:8" ht="14.1" customHeight="1" x14ac:dyDescent="0.2">
      <c r="A55" s="1"/>
      <c r="B55" s="1"/>
      <c r="C55" s="2" t="s">
        <v>122</v>
      </c>
      <c r="D55" s="1"/>
      <c r="E55" s="1" t="s">
        <v>123</v>
      </c>
      <c r="F55" s="9">
        <v>753.14503676699997</v>
      </c>
      <c r="G55" s="10">
        <v>3.7797220000000001E-3</v>
      </c>
      <c r="H55" s="47"/>
    </row>
    <row r="56" spans="1:8" ht="14.1" customHeight="1" x14ac:dyDescent="0.2">
      <c r="A56" s="1"/>
      <c r="B56" s="1"/>
      <c r="C56" s="11"/>
      <c r="D56" s="1"/>
      <c r="E56" s="1"/>
      <c r="F56" s="12"/>
      <c r="G56" s="12"/>
      <c r="H56" s="47"/>
    </row>
    <row r="57" spans="1:8" ht="14.1" customHeight="1" x14ac:dyDescent="0.2">
      <c r="A57" s="1"/>
      <c r="B57" s="1"/>
      <c r="C57" s="2" t="s">
        <v>125</v>
      </c>
      <c r="D57" s="1"/>
      <c r="E57" s="1"/>
      <c r="F57" s="1"/>
      <c r="G57" s="1"/>
      <c r="H57" s="47"/>
    </row>
    <row r="58" spans="1:8" ht="14.1" customHeight="1" x14ac:dyDescent="0.2">
      <c r="A58" s="1"/>
      <c r="B58" s="1"/>
      <c r="C58" s="2" t="s">
        <v>122</v>
      </c>
      <c r="D58" s="1"/>
      <c r="E58" s="1" t="s">
        <v>123</v>
      </c>
      <c r="F58" s="13">
        <v>0</v>
      </c>
      <c r="G58" s="14">
        <v>0</v>
      </c>
      <c r="H58" s="47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47"/>
    </row>
    <row r="60" spans="1:8" ht="14.1" customHeight="1" x14ac:dyDescent="0.2">
      <c r="A60" s="1"/>
      <c r="B60" s="1"/>
      <c r="C60" s="2" t="s">
        <v>126</v>
      </c>
      <c r="D60" s="1"/>
      <c r="E60" s="1"/>
      <c r="F60" s="1"/>
      <c r="G60" s="1"/>
      <c r="H60" s="47"/>
    </row>
    <row r="61" spans="1:8" ht="14.1" customHeight="1" x14ac:dyDescent="0.2">
      <c r="A61" s="1"/>
      <c r="B61" s="1"/>
      <c r="C61" s="2" t="s">
        <v>122</v>
      </c>
      <c r="D61" s="1"/>
      <c r="E61" s="1" t="s">
        <v>123</v>
      </c>
      <c r="F61" s="9">
        <v>0</v>
      </c>
      <c r="G61" s="10">
        <v>0</v>
      </c>
      <c r="H61" s="47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47"/>
    </row>
    <row r="63" spans="1:8" ht="14.1" customHeight="1" x14ac:dyDescent="0.2">
      <c r="A63" s="1"/>
      <c r="B63" s="1"/>
      <c r="C63" s="2" t="s">
        <v>127</v>
      </c>
      <c r="D63" s="1"/>
      <c r="E63" s="1"/>
      <c r="F63" s="12"/>
      <c r="G63" s="12"/>
      <c r="H63" s="47"/>
    </row>
    <row r="64" spans="1:8" ht="14.1" customHeight="1" x14ac:dyDescent="0.2">
      <c r="A64" s="1"/>
      <c r="B64" s="1"/>
      <c r="C64" s="2" t="s">
        <v>122</v>
      </c>
      <c r="D64" s="1"/>
      <c r="E64" s="1" t="s">
        <v>123</v>
      </c>
      <c r="F64" s="13">
        <v>0</v>
      </c>
      <c r="G64" s="14">
        <v>0</v>
      </c>
      <c r="H64" s="47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47"/>
    </row>
    <row r="66" spans="1:8" ht="14.1" customHeight="1" x14ac:dyDescent="0.2">
      <c r="A66" s="1"/>
      <c r="B66" s="1"/>
      <c r="C66" s="2" t="s">
        <v>128</v>
      </c>
      <c r="D66" s="1"/>
      <c r="E66" s="1"/>
      <c r="F66" s="12"/>
      <c r="G66" s="12"/>
      <c r="H66" s="47"/>
    </row>
    <row r="67" spans="1:8" ht="14.1" customHeight="1" x14ac:dyDescent="0.2">
      <c r="A67" s="1"/>
      <c r="B67" s="1"/>
      <c r="C67" s="2" t="s">
        <v>122</v>
      </c>
      <c r="D67" s="1"/>
      <c r="E67" s="1" t="s">
        <v>123</v>
      </c>
      <c r="F67" s="13">
        <v>0</v>
      </c>
      <c r="G67" s="14">
        <v>0</v>
      </c>
      <c r="H67" s="47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47"/>
    </row>
    <row r="69" spans="1:8" ht="18" customHeight="1" x14ac:dyDescent="0.2">
      <c r="A69" s="1"/>
      <c r="B69" s="1"/>
      <c r="C69" s="2" t="s">
        <v>129</v>
      </c>
      <c r="D69" s="1"/>
      <c r="E69" s="1"/>
      <c r="F69" s="9">
        <v>187342.36556476701</v>
      </c>
      <c r="G69" s="10">
        <v>0.940193422</v>
      </c>
      <c r="H69" s="47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47"/>
    </row>
    <row r="71" spans="1:8" ht="14.1" customHeight="1" x14ac:dyDescent="0.2">
      <c r="A71" s="1"/>
      <c r="B71" s="1"/>
      <c r="C71" s="2" t="s">
        <v>130</v>
      </c>
      <c r="D71" s="1"/>
      <c r="E71" s="1"/>
      <c r="F71" s="12"/>
      <c r="G71" s="12"/>
      <c r="H71" s="47"/>
    </row>
    <row r="72" spans="1:8" ht="24" customHeight="1" x14ac:dyDescent="0.2">
      <c r="A72" s="1"/>
      <c r="B72" s="1"/>
      <c r="C72" s="2" t="s">
        <v>10</v>
      </c>
      <c r="D72" s="1"/>
      <c r="E72" s="1"/>
      <c r="F72" s="12"/>
      <c r="G72" s="12"/>
      <c r="H72" s="47"/>
    </row>
    <row r="73" spans="1:8" ht="14.1" customHeight="1" x14ac:dyDescent="0.2">
      <c r="A73" s="1"/>
      <c r="B73" s="1"/>
      <c r="C73" s="2" t="s">
        <v>122</v>
      </c>
      <c r="D73" s="1"/>
      <c r="E73" s="1" t="s">
        <v>123</v>
      </c>
      <c r="F73" s="13">
        <v>0</v>
      </c>
      <c r="G73" s="14">
        <v>0</v>
      </c>
      <c r="H73" s="47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47"/>
    </row>
    <row r="75" spans="1:8" ht="14.1" customHeight="1" x14ac:dyDescent="0.2">
      <c r="A75" s="1"/>
      <c r="B75" s="1"/>
      <c r="C75" s="2" t="s">
        <v>131</v>
      </c>
      <c r="D75" s="1"/>
      <c r="E75" s="1"/>
      <c r="F75" s="1"/>
      <c r="G75" s="1"/>
      <c r="H75" s="47"/>
    </row>
    <row r="76" spans="1:8" ht="14.1" customHeight="1" x14ac:dyDescent="0.2">
      <c r="A76" s="1"/>
      <c r="B76" s="1"/>
      <c r="C76" s="2" t="s">
        <v>122</v>
      </c>
      <c r="D76" s="1"/>
      <c r="E76" s="1" t="s">
        <v>123</v>
      </c>
      <c r="F76" s="13">
        <v>0</v>
      </c>
      <c r="G76" s="14">
        <v>0</v>
      </c>
      <c r="H76" s="47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47"/>
    </row>
    <row r="78" spans="1:8" ht="14.1" customHeight="1" x14ac:dyDescent="0.2">
      <c r="A78" s="1"/>
      <c r="B78" s="1"/>
      <c r="C78" s="2" t="s">
        <v>132</v>
      </c>
      <c r="D78" s="1"/>
      <c r="E78" s="1"/>
      <c r="F78" s="1"/>
      <c r="G78" s="1"/>
      <c r="H78" s="47"/>
    </row>
    <row r="79" spans="1:8" ht="14.1" customHeight="1" x14ac:dyDescent="0.2">
      <c r="A79" s="1"/>
      <c r="B79" s="1"/>
      <c r="C79" s="2" t="s">
        <v>122</v>
      </c>
      <c r="D79" s="1"/>
      <c r="E79" s="1" t="s">
        <v>123</v>
      </c>
      <c r="F79" s="13">
        <v>0</v>
      </c>
      <c r="G79" s="14">
        <v>0</v>
      </c>
      <c r="H79" s="47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47"/>
    </row>
    <row r="81" spans="1:8" ht="14.1" customHeight="1" x14ac:dyDescent="0.2">
      <c r="A81" s="1"/>
      <c r="B81" s="1"/>
      <c r="C81" s="2" t="s">
        <v>133</v>
      </c>
      <c r="D81" s="1"/>
      <c r="E81" s="1"/>
      <c r="F81" s="12"/>
      <c r="G81" s="12"/>
      <c r="H81" s="47"/>
    </row>
    <row r="82" spans="1:8" ht="14.1" customHeight="1" x14ac:dyDescent="0.2">
      <c r="A82" s="1"/>
      <c r="B82" s="1"/>
      <c r="C82" s="2" t="s">
        <v>122</v>
      </c>
      <c r="D82" s="1"/>
      <c r="E82" s="1" t="s">
        <v>123</v>
      </c>
      <c r="F82" s="13">
        <v>0</v>
      </c>
      <c r="G82" s="14">
        <v>0</v>
      </c>
      <c r="H82" s="47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47"/>
    </row>
    <row r="84" spans="1:8" ht="14.1" customHeight="1" x14ac:dyDescent="0.2">
      <c r="A84" s="1"/>
      <c r="B84" s="1"/>
      <c r="C84" s="2" t="s">
        <v>134</v>
      </c>
      <c r="D84" s="1"/>
      <c r="E84" s="1"/>
      <c r="F84" s="9">
        <v>0</v>
      </c>
      <c r="G84" s="10">
        <v>0</v>
      </c>
      <c r="H84" s="47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135</v>
      </c>
      <c r="D86" s="1"/>
      <c r="E86" s="1"/>
      <c r="F86" s="12"/>
      <c r="G86" s="12"/>
      <c r="H86" s="47"/>
    </row>
    <row r="87" spans="1:8" ht="14.1" customHeight="1" x14ac:dyDescent="0.2">
      <c r="A87" s="1"/>
      <c r="B87" s="1"/>
      <c r="C87" s="2" t="s">
        <v>136</v>
      </c>
      <c r="D87" s="1"/>
      <c r="E87" s="1"/>
      <c r="F87" s="12"/>
      <c r="G87" s="12"/>
      <c r="H87" s="47"/>
    </row>
    <row r="88" spans="1:8" ht="14.1" customHeight="1" x14ac:dyDescent="0.2">
      <c r="A88" s="1"/>
      <c r="B88" s="1"/>
      <c r="C88" s="2" t="s">
        <v>122</v>
      </c>
      <c r="D88" s="1"/>
      <c r="E88" s="1" t="s">
        <v>123</v>
      </c>
      <c r="F88" s="13">
        <v>0</v>
      </c>
      <c r="G88" s="14">
        <v>0</v>
      </c>
      <c r="H88" s="47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137</v>
      </c>
      <c r="D90" s="1"/>
      <c r="E90" s="1"/>
      <c r="F90" s="12"/>
      <c r="G90" s="12"/>
      <c r="H90" s="47"/>
    </row>
    <row r="91" spans="1:8" ht="14.1" customHeight="1" x14ac:dyDescent="0.2">
      <c r="A91" s="1"/>
      <c r="B91" s="1"/>
      <c r="C91" s="2" t="s">
        <v>122</v>
      </c>
      <c r="D91" s="1"/>
      <c r="E91" s="1" t="s">
        <v>123</v>
      </c>
      <c r="F91" s="13">
        <v>0</v>
      </c>
      <c r="G91" s="14">
        <v>0</v>
      </c>
      <c r="H91" s="47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47"/>
    </row>
    <row r="93" spans="1:8" ht="14.1" customHeight="1" x14ac:dyDescent="0.2">
      <c r="A93" s="1"/>
      <c r="B93" s="1"/>
      <c r="C93" s="2" t="s">
        <v>138</v>
      </c>
      <c r="D93" s="1"/>
      <c r="E93" s="1"/>
      <c r="F93" s="12"/>
      <c r="G93" s="12"/>
      <c r="H93" s="47"/>
    </row>
    <row r="94" spans="1:8" ht="14.1" customHeight="1" x14ac:dyDescent="0.2">
      <c r="A94" s="1"/>
      <c r="B94" s="1"/>
      <c r="C94" s="2" t="s">
        <v>122</v>
      </c>
      <c r="D94" s="1"/>
      <c r="E94" s="1" t="s">
        <v>123</v>
      </c>
      <c r="F94" s="13">
        <v>0</v>
      </c>
      <c r="G94" s="14">
        <v>0</v>
      </c>
      <c r="H94" s="47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139</v>
      </c>
      <c r="D96" s="1"/>
      <c r="E96" s="1"/>
      <c r="F96" s="12"/>
      <c r="G96" s="12"/>
      <c r="H96" s="47"/>
    </row>
    <row r="97" spans="1:8" ht="17.100000000000001" customHeight="1" x14ac:dyDescent="0.2">
      <c r="A97" s="3">
        <v>1</v>
      </c>
      <c r="B97" s="4"/>
      <c r="C97" s="4" t="s">
        <v>140</v>
      </c>
      <c r="D97" s="4"/>
      <c r="E97" s="8"/>
      <c r="F97" s="6">
        <v>10521.949779500001</v>
      </c>
      <c r="G97" s="7">
        <v>5.2805289999999998E-2</v>
      </c>
      <c r="H97" s="47">
        <v>4.6730752161314033</v>
      </c>
    </row>
    <row r="98" spans="1:8" ht="14.1" customHeight="1" x14ac:dyDescent="0.2">
      <c r="A98" s="1"/>
      <c r="B98" s="1"/>
      <c r="C98" s="2" t="s">
        <v>122</v>
      </c>
      <c r="D98" s="1"/>
      <c r="E98" s="1" t="s">
        <v>123</v>
      </c>
      <c r="F98" s="9">
        <v>10521.949779500001</v>
      </c>
      <c r="G98" s="10">
        <v>5.2805289999999998E-2</v>
      </c>
      <c r="H98" s="47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47"/>
    </row>
    <row r="100" spans="1:8" ht="14.1" customHeight="1" x14ac:dyDescent="0.2">
      <c r="A100" s="1"/>
      <c r="B100" s="1"/>
      <c r="C100" s="2" t="s">
        <v>141</v>
      </c>
      <c r="D100" s="1"/>
      <c r="E100" s="1"/>
      <c r="F100" s="9">
        <v>10521.949779500001</v>
      </c>
      <c r="G100" s="10">
        <v>5.2805289999999998E-2</v>
      </c>
      <c r="H100" s="47"/>
    </row>
    <row r="101" spans="1:8" ht="14.1" customHeight="1" x14ac:dyDescent="0.2">
      <c r="A101" s="1"/>
      <c r="B101" s="1"/>
      <c r="C101" s="12"/>
      <c r="D101" s="1"/>
      <c r="E101" s="1"/>
      <c r="F101" s="1"/>
      <c r="G101" s="1"/>
      <c r="H101" s="47"/>
    </row>
    <row r="102" spans="1:8" ht="14.1" customHeight="1" x14ac:dyDescent="0.2">
      <c r="A102" s="1"/>
      <c r="B102" s="1"/>
      <c r="C102" s="2" t="s">
        <v>142</v>
      </c>
      <c r="D102" s="1"/>
      <c r="E102" s="1"/>
      <c r="F102" s="1"/>
      <c r="G102" s="1"/>
      <c r="H102" s="47"/>
    </row>
    <row r="103" spans="1:8" ht="14.1" customHeight="1" x14ac:dyDescent="0.2">
      <c r="A103" s="1"/>
      <c r="B103" s="1"/>
      <c r="C103" s="2" t="s">
        <v>143</v>
      </c>
      <c r="D103" s="1"/>
      <c r="E103" s="1"/>
      <c r="F103" s="1"/>
      <c r="G103" s="1"/>
      <c r="H103" s="47"/>
    </row>
    <row r="104" spans="1:8" ht="14.1" customHeight="1" x14ac:dyDescent="0.2">
      <c r="A104" s="1"/>
      <c r="B104" s="1"/>
      <c r="C104" s="2" t="s">
        <v>122</v>
      </c>
      <c r="D104" s="1"/>
      <c r="E104" s="1" t="s">
        <v>123</v>
      </c>
      <c r="F104" s="13">
        <v>0</v>
      </c>
      <c r="G104" s="14">
        <v>0</v>
      </c>
      <c r="H104" s="47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47"/>
    </row>
    <row r="106" spans="1:8" ht="14.1" customHeight="1" x14ac:dyDescent="0.2">
      <c r="A106" s="1"/>
      <c r="B106" s="1"/>
      <c r="C106" s="2" t="s">
        <v>144</v>
      </c>
      <c r="D106" s="1"/>
      <c r="E106" s="1"/>
      <c r="F106" s="1"/>
      <c r="G106" s="1"/>
      <c r="H106" s="47"/>
    </row>
    <row r="107" spans="1:8" ht="14.1" customHeight="1" x14ac:dyDescent="0.2">
      <c r="A107" s="1"/>
      <c r="B107" s="1"/>
      <c r="C107" s="2" t="s">
        <v>145</v>
      </c>
      <c r="D107" s="1"/>
      <c r="E107" s="1"/>
      <c r="F107" s="1"/>
      <c r="G107" s="1"/>
      <c r="H107" s="47"/>
    </row>
    <row r="108" spans="1:8" ht="14.1" customHeight="1" x14ac:dyDescent="0.2">
      <c r="A108" s="1"/>
      <c r="B108" s="1"/>
      <c r="C108" s="2" t="s">
        <v>122</v>
      </c>
      <c r="D108" s="1"/>
      <c r="E108" s="1" t="s">
        <v>123</v>
      </c>
      <c r="F108" s="13">
        <v>0</v>
      </c>
      <c r="G108" s="14">
        <v>0</v>
      </c>
      <c r="H108" s="47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47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47"/>
    </row>
    <row r="111" spans="1:8" ht="24" customHeight="1" x14ac:dyDescent="0.2">
      <c r="A111" s="1"/>
      <c r="B111" s="1"/>
      <c r="C111" s="2" t="s">
        <v>146</v>
      </c>
      <c r="D111" s="1"/>
      <c r="E111" s="1"/>
      <c r="F111" s="12"/>
      <c r="G111" s="12"/>
      <c r="H111" s="47"/>
    </row>
    <row r="112" spans="1:8" ht="14.1" customHeight="1" x14ac:dyDescent="0.2">
      <c r="A112" s="1"/>
      <c r="B112" s="1"/>
      <c r="C112" s="2" t="s">
        <v>122</v>
      </c>
      <c r="D112" s="1"/>
      <c r="E112" s="1" t="s">
        <v>123</v>
      </c>
      <c r="F112" s="13">
        <v>0</v>
      </c>
      <c r="G112" s="14">
        <v>0</v>
      </c>
      <c r="H112" s="47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47"/>
    </row>
    <row r="114" spans="1:8" ht="14.1" customHeight="1" x14ac:dyDescent="0.2">
      <c r="A114" s="1"/>
      <c r="B114" s="4"/>
      <c r="C114" s="4"/>
      <c r="D114" s="2"/>
      <c r="E114" s="1"/>
      <c r="F114" s="4"/>
      <c r="G114" s="8"/>
      <c r="H114" s="47"/>
    </row>
    <row r="115" spans="1:8" ht="18" customHeight="1" x14ac:dyDescent="0.2">
      <c r="A115" s="8"/>
      <c r="B115" s="4"/>
      <c r="C115" s="4" t="s">
        <v>147</v>
      </c>
      <c r="D115" s="4"/>
      <c r="E115" s="8"/>
      <c r="F115" s="6">
        <v>1395.0719984099999</v>
      </c>
      <c r="G115" s="7">
        <v>7.0012861979286333E-3</v>
      </c>
      <c r="H115" s="47"/>
    </row>
    <row r="116" spans="1:8" ht="14.1" customHeight="1" x14ac:dyDescent="0.2">
      <c r="A116" s="11"/>
      <c r="B116" s="11"/>
      <c r="C116" s="2" t="s">
        <v>148</v>
      </c>
      <c r="D116" s="15"/>
      <c r="E116" s="15"/>
      <c r="F116" s="9">
        <v>199259.38734267702</v>
      </c>
      <c r="G116" s="10">
        <v>0.99999999819792862</v>
      </c>
      <c r="H116" s="47"/>
    </row>
    <row r="117" spans="1:8" ht="14.1" customHeight="1" x14ac:dyDescent="0.2">
      <c r="A117" s="18"/>
      <c r="B117" s="18"/>
      <c r="C117" s="18"/>
      <c r="D117" s="20"/>
      <c r="E117" s="20"/>
      <c r="F117" s="20"/>
      <c r="G117" s="20"/>
    </row>
    <row r="118" spans="1:8" ht="14.1" customHeight="1" x14ac:dyDescent="0.2">
      <c r="A118" s="18"/>
      <c r="B118" s="257" t="s">
        <v>150</v>
      </c>
      <c r="C118" s="258"/>
      <c r="D118" s="12" t="s">
        <v>123</v>
      </c>
      <c r="E118" s="21"/>
      <c r="F118" s="20"/>
      <c r="G118" s="20"/>
    </row>
    <row r="119" spans="1:8" ht="29.1" customHeight="1" x14ac:dyDescent="0.2">
      <c r="A119" s="18"/>
      <c r="B119" s="259" t="s">
        <v>151</v>
      </c>
      <c r="C119" s="260"/>
      <c r="D119" s="2" t="s">
        <v>152</v>
      </c>
      <c r="E119" s="21"/>
      <c r="F119" s="20"/>
      <c r="G119" s="20"/>
    </row>
    <row r="120" spans="1:8" ht="17.100000000000001" customHeight="1" x14ac:dyDescent="0.2">
      <c r="A120" s="18"/>
      <c r="B120" s="259" t="s">
        <v>153</v>
      </c>
      <c r="C120" s="260"/>
      <c r="D120" s="2" t="s">
        <v>152</v>
      </c>
      <c r="E120" s="21"/>
      <c r="F120" s="20"/>
      <c r="G120" s="20"/>
    </row>
    <row r="121" spans="1:8" ht="17.100000000000001" customHeight="1" x14ac:dyDescent="0.2">
      <c r="A121" s="18"/>
      <c r="B121" s="259" t="s">
        <v>154</v>
      </c>
      <c r="C121" s="260"/>
      <c r="D121" s="12" t="s">
        <v>123</v>
      </c>
      <c r="E121" s="21"/>
      <c r="F121" s="20"/>
      <c r="G121" s="20"/>
    </row>
    <row r="122" spans="1:8" ht="24" customHeight="1" x14ac:dyDescent="0.2">
      <c r="A122" s="22"/>
      <c r="B122" s="23" t="s">
        <v>123</v>
      </c>
      <c r="C122" s="23" t="s">
        <v>155</v>
      </c>
      <c r="D122" s="23" t="s">
        <v>156</v>
      </c>
      <c r="E122" s="22"/>
      <c r="F122" s="22"/>
      <c r="G122" s="22"/>
    </row>
    <row r="123" spans="1:8" ht="18" customHeight="1" x14ac:dyDescent="0.2">
      <c r="A123" s="22"/>
      <c r="B123" s="23" t="s">
        <v>157</v>
      </c>
      <c r="C123" s="23" t="s">
        <v>158</v>
      </c>
      <c r="D123" s="23" t="s">
        <v>159</v>
      </c>
      <c r="E123" s="22"/>
      <c r="F123" s="22"/>
      <c r="G123" s="22"/>
    </row>
    <row r="124" spans="1:8" ht="17.100000000000001" customHeight="1" x14ac:dyDescent="0.2">
      <c r="A124" s="22"/>
      <c r="B124" s="4" t="s">
        <v>160</v>
      </c>
      <c r="C124" s="24">
        <v>20.627500000000001</v>
      </c>
      <c r="D124" s="24">
        <v>19.5381</v>
      </c>
      <c r="E124" s="22"/>
      <c r="F124" s="19"/>
      <c r="G124" s="25"/>
    </row>
    <row r="125" spans="1:8" ht="17.100000000000001" customHeight="1" x14ac:dyDescent="0.2">
      <c r="A125" s="22"/>
      <c r="B125" s="4" t="s">
        <v>1101</v>
      </c>
      <c r="C125" s="24">
        <v>17.579699999999999</v>
      </c>
      <c r="D125" s="24">
        <v>16.6511</v>
      </c>
      <c r="E125" s="22"/>
      <c r="F125" s="19"/>
      <c r="G125" s="25"/>
    </row>
    <row r="126" spans="1:8" ht="17.100000000000001" customHeight="1" x14ac:dyDescent="0.2">
      <c r="A126" s="22"/>
      <c r="B126" s="4" t="s">
        <v>161</v>
      </c>
      <c r="C126" s="24">
        <v>19.789400000000001</v>
      </c>
      <c r="D126" s="24">
        <v>18.721800000000002</v>
      </c>
      <c r="E126" s="22"/>
      <c r="F126" s="19"/>
      <c r="G126" s="25"/>
    </row>
    <row r="127" spans="1:8" ht="17.100000000000001" customHeight="1" x14ac:dyDescent="0.2">
      <c r="A127" s="22"/>
      <c r="B127" s="4" t="s">
        <v>1102</v>
      </c>
      <c r="C127" s="24">
        <v>16.850000000000001</v>
      </c>
      <c r="D127" s="24">
        <v>15.940899999999999</v>
      </c>
      <c r="E127" s="22"/>
      <c r="F127" s="19"/>
      <c r="G127" s="25"/>
    </row>
    <row r="128" spans="1:8" ht="14.1" customHeight="1" x14ac:dyDescent="0.2">
      <c r="A128" s="22"/>
      <c r="B128" s="22"/>
      <c r="C128" s="22"/>
      <c r="D128" s="22"/>
      <c r="E128" s="22"/>
      <c r="F128" s="22"/>
      <c r="G128" s="22"/>
    </row>
    <row r="129" spans="1:7" ht="17.100000000000001" customHeight="1" x14ac:dyDescent="0.2">
      <c r="A129" s="22"/>
      <c r="B129" s="259" t="s">
        <v>1103</v>
      </c>
      <c r="C129" s="260"/>
      <c r="D129" s="2" t="s">
        <v>152</v>
      </c>
      <c r="E129" s="22"/>
      <c r="F129" s="22"/>
      <c r="G129" s="22"/>
    </row>
    <row r="130" spans="1:7" ht="14.1" customHeight="1" x14ac:dyDescent="0.2">
      <c r="A130" s="22"/>
      <c r="B130" s="19"/>
      <c r="C130" s="19"/>
      <c r="D130" s="22"/>
      <c r="E130" s="22"/>
      <c r="F130" s="22"/>
      <c r="G130" s="22"/>
    </row>
    <row r="131" spans="1:7" ht="29.1" customHeight="1" x14ac:dyDescent="0.2">
      <c r="A131" s="22"/>
      <c r="B131" s="259" t="s">
        <v>162</v>
      </c>
      <c r="C131" s="260"/>
      <c r="D131" s="2" t="s">
        <v>152</v>
      </c>
      <c r="E131" s="22"/>
      <c r="F131" s="22"/>
      <c r="G131" s="22"/>
    </row>
    <row r="132" spans="1:7" ht="29.1" customHeight="1" x14ac:dyDescent="0.2">
      <c r="A132" s="22"/>
      <c r="B132" s="259" t="s">
        <v>163</v>
      </c>
      <c r="C132" s="260"/>
      <c r="D132" s="93" t="s">
        <v>1059</v>
      </c>
      <c r="E132" s="22"/>
      <c r="F132" s="22"/>
      <c r="G132" s="22"/>
    </row>
    <row r="133" spans="1:7" ht="17.100000000000001" customHeight="1" x14ac:dyDescent="0.2">
      <c r="A133" s="22"/>
      <c r="B133" s="259" t="s">
        <v>164</v>
      </c>
      <c r="C133" s="260"/>
      <c r="D133" s="28">
        <v>0.37576479740261531</v>
      </c>
      <c r="E133" s="22"/>
      <c r="F133" s="19"/>
      <c r="G133" s="25"/>
    </row>
    <row r="134" spans="1:7" ht="17.100000000000001" customHeight="1" x14ac:dyDescent="0.2">
      <c r="A134" s="22"/>
      <c r="B134" s="259" t="s">
        <v>165</v>
      </c>
      <c r="C134" s="260"/>
      <c r="D134" s="2" t="s">
        <v>152</v>
      </c>
      <c r="E134" s="22"/>
      <c r="F134" s="22"/>
      <c r="G134" s="22"/>
    </row>
  </sheetData>
  <mergeCells count="13">
    <mergeCell ref="J2:N2"/>
    <mergeCell ref="A1:H1"/>
    <mergeCell ref="A2:H2"/>
    <mergeCell ref="A3:H3"/>
    <mergeCell ref="B118:C118"/>
    <mergeCell ref="B133:C133"/>
    <mergeCell ref="B134:C134"/>
    <mergeCell ref="B119:C119"/>
    <mergeCell ref="B120:C120"/>
    <mergeCell ref="B121:C121"/>
    <mergeCell ref="B129:C129"/>
    <mergeCell ref="B131:C131"/>
    <mergeCell ref="B132:C13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N14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773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2082000</v>
      </c>
      <c r="F7" s="6">
        <v>14723.904</v>
      </c>
      <c r="G7" s="7">
        <v>8.8344503000000005E-2</v>
      </c>
      <c r="H7" s="47"/>
    </row>
    <row r="8" spans="1:14" ht="17.100000000000001" customHeight="1" x14ac:dyDescent="0.2">
      <c r="A8" s="3">
        <v>2</v>
      </c>
      <c r="B8" s="4" t="s">
        <v>358</v>
      </c>
      <c r="C8" s="4" t="s">
        <v>359</v>
      </c>
      <c r="D8" s="4" t="s">
        <v>19</v>
      </c>
      <c r="E8" s="5">
        <v>796000</v>
      </c>
      <c r="F8" s="6">
        <v>10730.08</v>
      </c>
      <c r="G8" s="7">
        <v>6.4381266000000006E-2</v>
      </c>
      <c r="H8" s="47"/>
    </row>
    <row r="9" spans="1:14" ht="17.100000000000001" customHeight="1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341595</v>
      </c>
      <c r="F9" s="6">
        <v>8866.6106175000004</v>
      </c>
      <c r="G9" s="7">
        <v>5.3200312999999999E-2</v>
      </c>
      <c r="H9" s="47"/>
    </row>
    <row r="10" spans="1:14" ht="17.100000000000001" customHeight="1" x14ac:dyDescent="0.2">
      <c r="A10" s="3">
        <v>4</v>
      </c>
      <c r="B10" s="4" t="s">
        <v>393</v>
      </c>
      <c r="C10" s="4" t="s">
        <v>394</v>
      </c>
      <c r="D10" s="4" t="s">
        <v>191</v>
      </c>
      <c r="E10" s="5">
        <v>592000</v>
      </c>
      <c r="F10" s="6">
        <v>8654.4480000000003</v>
      </c>
      <c r="G10" s="7">
        <v>5.1927321999999998E-2</v>
      </c>
      <c r="H10" s="47"/>
    </row>
    <row r="11" spans="1:14" ht="17.100000000000001" customHeight="1" x14ac:dyDescent="0.2">
      <c r="A11" s="3">
        <v>5</v>
      </c>
      <c r="B11" s="4" t="s">
        <v>46</v>
      </c>
      <c r="C11" s="4" t="s">
        <v>47</v>
      </c>
      <c r="D11" s="4" t="s">
        <v>19</v>
      </c>
      <c r="E11" s="5">
        <v>1715000</v>
      </c>
      <c r="F11" s="6">
        <v>7990.1850000000004</v>
      </c>
      <c r="G11" s="7">
        <v>4.7941694999999999E-2</v>
      </c>
      <c r="H11" s="47"/>
    </row>
    <row r="12" spans="1:14" ht="17.100000000000001" customHeight="1" x14ac:dyDescent="0.2">
      <c r="A12" s="3">
        <v>6</v>
      </c>
      <c r="B12" s="4" t="s">
        <v>304</v>
      </c>
      <c r="C12" s="4" t="s">
        <v>305</v>
      </c>
      <c r="D12" s="4" t="s">
        <v>19</v>
      </c>
      <c r="E12" s="5">
        <v>1170000</v>
      </c>
      <c r="F12" s="6">
        <v>7450.56</v>
      </c>
      <c r="G12" s="7">
        <v>4.4703906000000002E-2</v>
      </c>
      <c r="H12" s="47"/>
    </row>
    <row r="13" spans="1:14" ht="53.1" customHeight="1" x14ac:dyDescent="0.2">
      <c r="A13" s="3">
        <v>7</v>
      </c>
      <c r="B13" s="4" t="s">
        <v>60</v>
      </c>
      <c r="C13" s="4" t="s">
        <v>61</v>
      </c>
      <c r="D13" s="4" t="s">
        <v>62</v>
      </c>
      <c r="E13" s="5">
        <v>4089762</v>
      </c>
      <c r="F13" s="6">
        <v>6044.6682360000004</v>
      </c>
      <c r="G13" s="7">
        <v>3.6268452E-2</v>
      </c>
      <c r="H13" s="47"/>
      <c r="J13" s="147" t="s">
        <v>1127</v>
      </c>
    </row>
    <row r="14" spans="1:14" ht="29.1" customHeight="1" x14ac:dyDescent="0.2">
      <c r="A14" s="3">
        <v>8</v>
      </c>
      <c r="B14" s="4" t="s">
        <v>395</v>
      </c>
      <c r="C14" s="4" t="s">
        <v>396</v>
      </c>
      <c r="D14" s="4" t="s">
        <v>91</v>
      </c>
      <c r="E14" s="5">
        <v>272000</v>
      </c>
      <c r="F14" s="6">
        <v>5904.7120000000004</v>
      </c>
      <c r="G14" s="7">
        <v>3.5428704999999998E-2</v>
      </c>
      <c r="H14" s="47"/>
    </row>
    <row r="15" spans="1:14" ht="17.100000000000001" customHeight="1" x14ac:dyDescent="0.2">
      <c r="A15" s="3">
        <v>9</v>
      </c>
      <c r="B15" s="4" t="s">
        <v>397</v>
      </c>
      <c r="C15" s="4" t="s">
        <v>398</v>
      </c>
      <c r="D15" s="4" t="s">
        <v>191</v>
      </c>
      <c r="E15" s="5">
        <v>165000</v>
      </c>
      <c r="F15" s="6">
        <v>5390.7150000000001</v>
      </c>
      <c r="G15" s="7">
        <v>3.2344684999999998E-2</v>
      </c>
      <c r="H15" s="47"/>
    </row>
    <row r="16" spans="1:14" ht="17.100000000000001" customHeight="1" x14ac:dyDescent="0.2">
      <c r="A16" s="3">
        <v>10</v>
      </c>
      <c r="B16" s="4" t="s">
        <v>26</v>
      </c>
      <c r="C16" s="4" t="s">
        <v>27</v>
      </c>
      <c r="D16" s="4" t="s">
        <v>28</v>
      </c>
      <c r="E16" s="5">
        <v>310000</v>
      </c>
      <c r="F16" s="6">
        <v>5217.4549999999999</v>
      </c>
      <c r="G16" s="7">
        <v>3.1305112000000003E-2</v>
      </c>
      <c r="H16" s="47"/>
    </row>
    <row r="17" spans="1:10" ht="17.100000000000001" customHeight="1" x14ac:dyDescent="0.2">
      <c r="A17" s="3">
        <v>11</v>
      </c>
      <c r="B17" s="4" t="s">
        <v>36</v>
      </c>
      <c r="C17" s="4" t="s">
        <v>37</v>
      </c>
      <c r="D17" s="4" t="s">
        <v>28</v>
      </c>
      <c r="E17" s="5">
        <v>229000</v>
      </c>
      <c r="F17" s="6">
        <v>5040.7479999999996</v>
      </c>
      <c r="G17" s="7">
        <v>3.0244857E-2</v>
      </c>
      <c r="H17" s="47"/>
    </row>
    <row r="18" spans="1:10" ht="17.100000000000001" customHeight="1" x14ac:dyDescent="0.2">
      <c r="A18" s="3">
        <v>12</v>
      </c>
      <c r="B18" s="4" t="s">
        <v>20</v>
      </c>
      <c r="C18" s="4" t="s">
        <v>21</v>
      </c>
      <c r="D18" s="4" t="s">
        <v>22</v>
      </c>
      <c r="E18" s="5">
        <v>603513</v>
      </c>
      <c r="F18" s="6">
        <v>4133.7622934999999</v>
      </c>
      <c r="G18" s="7">
        <v>2.4802877000000001E-2</v>
      </c>
      <c r="H18" s="47"/>
    </row>
    <row r="19" spans="1:10" ht="17.100000000000001" customHeight="1" x14ac:dyDescent="0.2">
      <c r="A19" s="3">
        <v>13</v>
      </c>
      <c r="B19" s="4" t="s">
        <v>11</v>
      </c>
      <c r="C19" s="4" t="s">
        <v>12</v>
      </c>
      <c r="D19" s="4" t="s">
        <v>13</v>
      </c>
      <c r="E19" s="5">
        <v>262761</v>
      </c>
      <c r="F19" s="6">
        <v>4094.4732825000001</v>
      </c>
      <c r="G19" s="7">
        <v>2.4567140000000001E-2</v>
      </c>
      <c r="H19" s="47"/>
    </row>
    <row r="20" spans="1:10" ht="17.100000000000001" customHeight="1" x14ac:dyDescent="0.2">
      <c r="A20" s="3">
        <v>14</v>
      </c>
      <c r="B20" s="4" t="s">
        <v>83</v>
      </c>
      <c r="C20" s="4" t="s">
        <v>84</v>
      </c>
      <c r="D20" s="4" t="s">
        <v>85</v>
      </c>
      <c r="E20" s="5">
        <v>48000</v>
      </c>
      <c r="F20" s="6">
        <v>4065.96</v>
      </c>
      <c r="G20" s="7">
        <v>2.4396058000000002E-2</v>
      </c>
      <c r="H20" s="47"/>
    </row>
    <row r="21" spans="1:10" ht="17.100000000000001" customHeight="1" x14ac:dyDescent="0.2">
      <c r="A21" s="3">
        <v>15</v>
      </c>
      <c r="B21" s="4" t="s">
        <v>345</v>
      </c>
      <c r="C21" s="4" t="s">
        <v>346</v>
      </c>
      <c r="D21" s="4" t="s">
        <v>174</v>
      </c>
      <c r="E21" s="5">
        <v>715000</v>
      </c>
      <c r="F21" s="6">
        <v>3662.5875000000001</v>
      </c>
      <c r="G21" s="7">
        <v>2.1975793E-2</v>
      </c>
      <c r="H21" s="47"/>
    </row>
    <row r="22" spans="1:10" ht="29.1" customHeight="1" x14ac:dyDescent="0.2">
      <c r="A22" s="3">
        <v>16</v>
      </c>
      <c r="B22" s="4" t="s">
        <v>401</v>
      </c>
      <c r="C22" s="4" t="s">
        <v>402</v>
      </c>
      <c r="D22" s="4" t="s">
        <v>204</v>
      </c>
      <c r="E22" s="5">
        <v>397908</v>
      </c>
      <c r="F22" s="6">
        <v>3305.0238479999998</v>
      </c>
      <c r="G22" s="7">
        <v>1.9830384999999999E-2</v>
      </c>
      <c r="H22" s="47"/>
    </row>
    <row r="23" spans="1:10" ht="29.1" customHeight="1" x14ac:dyDescent="0.2">
      <c r="A23" s="3">
        <v>17</v>
      </c>
      <c r="B23" s="4" t="s">
        <v>199</v>
      </c>
      <c r="C23" s="4" t="s">
        <v>200</v>
      </c>
      <c r="D23" s="4" t="s">
        <v>201</v>
      </c>
      <c r="E23" s="5">
        <v>87000</v>
      </c>
      <c r="F23" s="6">
        <v>3176.8919999999998</v>
      </c>
      <c r="G23" s="7">
        <v>1.9061584999999999E-2</v>
      </c>
      <c r="H23" s="47"/>
      <c r="J23" s="147" t="s">
        <v>1138</v>
      </c>
    </row>
    <row r="24" spans="1:10" ht="17.100000000000001" customHeight="1" x14ac:dyDescent="0.2">
      <c r="A24" s="3">
        <v>18</v>
      </c>
      <c r="B24" s="4" t="s">
        <v>319</v>
      </c>
      <c r="C24" s="4" t="s">
        <v>320</v>
      </c>
      <c r="D24" s="4" t="s">
        <v>321</v>
      </c>
      <c r="E24" s="5">
        <v>371000</v>
      </c>
      <c r="F24" s="6">
        <v>2902.5185000000001</v>
      </c>
      <c r="G24" s="7">
        <v>1.7415323999999999E-2</v>
      </c>
      <c r="H24" s="47"/>
    </row>
    <row r="25" spans="1:10" ht="17.100000000000001" customHeight="1" x14ac:dyDescent="0.2">
      <c r="A25" s="3">
        <v>19</v>
      </c>
      <c r="B25" s="4" t="s">
        <v>403</v>
      </c>
      <c r="C25" s="4" t="s">
        <v>404</v>
      </c>
      <c r="D25" s="4" t="s">
        <v>405</v>
      </c>
      <c r="E25" s="5">
        <v>124000</v>
      </c>
      <c r="F25" s="6">
        <v>2765.944</v>
      </c>
      <c r="G25" s="7">
        <v>1.6595867E-2</v>
      </c>
      <c r="H25" s="47"/>
    </row>
    <row r="26" spans="1:10" ht="17.100000000000001" customHeight="1" x14ac:dyDescent="0.2">
      <c r="A26" s="3">
        <v>20</v>
      </c>
      <c r="B26" s="4" t="s">
        <v>294</v>
      </c>
      <c r="C26" s="4" t="s">
        <v>295</v>
      </c>
      <c r="D26" s="4" t="s">
        <v>296</v>
      </c>
      <c r="E26" s="5">
        <v>347500</v>
      </c>
      <c r="F26" s="6">
        <v>2747.1612500000001</v>
      </c>
      <c r="G26" s="7">
        <v>1.6483168999999999E-2</v>
      </c>
      <c r="H26" s="47"/>
    </row>
    <row r="27" spans="1:10" ht="29.1" customHeight="1" x14ac:dyDescent="0.2">
      <c r="A27" s="3">
        <v>21</v>
      </c>
      <c r="B27" s="4" t="s">
        <v>175</v>
      </c>
      <c r="C27" s="4" t="s">
        <v>176</v>
      </c>
      <c r="D27" s="4" t="s">
        <v>88</v>
      </c>
      <c r="E27" s="5">
        <v>800000</v>
      </c>
      <c r="F27" s="6">
        <v>2721.2</v>
      </c>
      <c r="G27" s="7">
        <v>1.6327398999999999E-2</v>
      </c>
      <c r="H27" s="47"/>
    </row>
    <row r="28" spans="1:10" ht="17.100000000000001" customHeight="1" x14ac:dyDescent="0.2">
      <c r="A28" s="3">
        <v>22</v>
      </c>
      <c r="B28" s="4" t="s">
        <v>432</v>
      </c>
      <c r="C28" s="4" t="s">
        <v>433</v>
      </c>
      <c r="D28" s="4" t="s">
        <v>94</v>
      </c>
      <c r="E28" s="5">
        <v>484905</v>
      </c>
      <c r="F28" s="6">
        <v>2685.40389</v>
      </c>
      <c r="G28" s="7">
        <v>1.6112620000000001E-2</v>
      </c>
      <c r="H28" s="47"/>
    </row>
    <row r="29" spans="1:10" ht="29.1" customHeight="1" x14ac:dyDescent="0.2">
      <c r="A29" s="3">
        <v>23</v>
      </c>
      <c r="B29" s="4" t="s">
        <v>330</v>
      </c>
      <c r="C29" s="4" t="s">
        <v>331</v>
      </c>
      <c r="D29" s="4" t="s">
        <v>204</v>
      </c>
      <c r="E29" s="5">
        <v>95000</v>
      </c>
      <c r="F29" s="6">
        <v>2566.6149999999998</v>
      </c>
      <c r="G29" s="7">
        <v>1.5399878000000001E-2</v>
      </c>
      <c r="H29" s="47"/>
    </row>
    <row r="30" spans="1:10" ht="29.1" customHeight="1" x14ac:dyDescent="0.2">
      <c r="A30" s="3">
        <v>24</v>
      </c>
      <c r="B30" s="4" t="s">
        <v>89</v>
      </c>
      <c r="C30" s="4" t="s">
        <v>90</v>
      </c>
      <c r="D30" s="4" t="s">
        <v>91</v>
      </c>
      <c r="E30" s="5">
        <v>392000</v>
      </c>
      <c r="F30" s="6">
        <v>2428.44</v>
      </c>
      <c r="G30" s="7">
        <v>1.4570817999999999E-2</v>
      </c>
      <c r="H30" s="47"/>
    </row>
    <row r="31" spans="1:10" ht="17.100000000000001" customHeight="1" x14ac:dyDescent="0.2">
      <c r="A31" s="3">
        <v>25</v>
      </c>
      <c r="B31" s="4" t="s">
        <v>534</v>
      </c>
      <c r="C31" s="4" t="s">
        <v>535</v>
      </c>
      <c r="D31" s="4" t="s">
        <v>184</v>
      </c>
      <c r="E31" s="5">
        <v>63944</v>
      </c>
      <c r="F31" s="6">
        <v>2363.9137639999999</v>
      </c>
      <c r="G31" s="7">
        <v>1.4183655999999999E-2</v>
      </c>
      <c r="H31" s="47"/>
    </row>
    <row r="32" spans="1:10" ht="17.100000000000001" customHeight="1" x14ac:dyDescent="0.2">
      <c r="A32" s="3">
        <v>26</v>
      </c>
      <c r="B32" s="4" t="s">
        <v>78</v>
      </c>
      <c r="C32" s="4" t="s">
        <v>79</v>
      </c>
      <c r="D32" s="4" t="s">
        <v>80</v>
      </c>
      <c r="E32" s="5">
        <v>100000</v>
      </c>
      <c r="F32" s="6">
        <v>2300.9</v>
      </c>
      <c r="G32" s="7">
        <v>1.3805569E-2</v>
      </c>
      <c r="H32" s="47"/>
    </row>
    <row r="33" spans="1:8" ht="17.100000000000001" customHeight="1" x14ac:dyDescent="0.2">
      <c r="A33" s="3">
        <v>27</v>
      </c>
      <c r="B33" s="4" t="s">
        <v>364</v>
      </c>
      <c r="C33" s="4" t="s">
        <v>365</v>
      </c>
      <c r="D33" s="4" t="s">
        <v>91</v>
      </c>
      <c r="E33" s="5">
        <v>21000</v>
      </c>
      <c r="F33" s="6">
        <v>2295.6675</v>
      </c>
      <c r="G33" s="7">
        <v>1.3774173000000001E-2</v>
      </c>
      <c r="H33" s="47"/>
    </row>
    <row r="34" spans="1:8" ht="17.100000000000001" customHeight="1" x14ac:dyDescent="0.2">
      <c r="A34" s="3">
        <v>28</v>
      </c>
      <c r="B34" s="4" t="s">
        <v>442</v>
      </c>
      <c r="C34" s="4" t="s">
        <v>443</v>
      </c>
      <c r="D34" s="4" t="s">
        <v>85</v>
      </c>
      <c r="E34" s="5">
        <v>533583</v>
      </c>
      <c r="F34" s="6">
        <v>2197.2947939999999</v>
      </c>
      <c r="G34" s="7">
        <v>1.318393E-2</v>
      </c>
      <c r="H34" s="47"/>
    </row>
    <row r="35" spans="1:8" ht="29.1" customHeight="1" x14ac:dyDescent="0.2">
      <c r="A35" s="3">
        <v>29</v>
      </c>
      <c r="B35" s="4" t="s">
        <v>23</v>
      </c>
      <c r="C35" s="4" t="s">
        <v>24</v>
      </c>
      <c r="D35" s="4" t="s">
        <v>25</v>
      </c>
      <c r="E35" s="5">
        <v>38000</v>
      </c>
      <c r="F35" s="6">
        <v>2130.7739999999999</v>
      </c>
      <c r="G35" s="7">
        <v>1.2784800000000001E-2</v>
      </c>
      <c r="H35" s="47"/>
    </row>
    <row r="36" spans="1:8" ht="17.100000000000001" customHeight="1" x14ac:dyDescent="0.2">
      <c r="A36" s="3">
        <v>30</v>
      </c>
      <c r="B36" s="4" t="s">
        <v>301</v>
      </c>
      <c r="C36" s="4" t="s">
        <v>302</v>
      </c>
      <c r="D36" s="4" t="s">
        <v>303</v>
      </c>
      <c r="E36" s="5">
        <v>4715</v>
      </c>
      <c r="F36" s="6">
        <v>1893.850475</v>
      </c>
      <c r="G36" s="7">
        <v>1.1363242000000001E-2</v>
      </c>
      <c r="H36" s="47"/>
    </row>
    <row r="37" spans="1:8" ht="17.100000000000001" customHeight="1" x14ac:dyDescent="0.2">
      <c r="A37" s="3">
        <v>31</v>
      </c>
      <c r="B37" s="4" t="s">
        <v>543</v>
      </c>
      <c r="C37" s="4" t="s">
        <v>544</v>
      </c>
      <c r="D37" s="4" t="s">
        <v>217</v>
      </c>
      <c r="E37" s="5">
        <v>115680</v>
      </c>
      <c r="F37" s="6">
        <v>1893.5080800000001</v>
      </c>
      <c r="G37" s="7">
        <v>1.1361187E-2</v>
      </c>
      <c r="H37" s="47"/>
    </row>
    <row r="38" spans="1:8" ht="17.100000000000001" customHeight="1" x14ac:dyDescent="0.2">
      <c r="A38" s="3">
        <v>32</v>
      </c>
      <c r="B38" s="4" t="s">
        <v>92</v>
      </c>
      <c r="C38" s="4" t="s">
        <v>93</v>
      </c>
      <c r="D38" s="4" t="s">
        <v>94</v>
      </c>
      <c r="E38" s="5">
        <v>79000</v>
      </c>
      <c r="F38" s="6">
        <v>1809.4949999999999</v>
      </c>
      <c r="G38" s="7">
        <v>1.0857103E-2</v>
      </c>
      <c r="H38" s="47"/>
    </row>
    <row r="39" spans="1:8" ht="17.100000000000001" customHeight="1" x14ac:dyDescent="0.2">
      <c r="A39" s="3">
        <v>33</v>
      </c>
      <c r="B39" s="4" t="s">
        <v>446</v>
      </c>
      <c r="C39" s="4" t="s">
        <v>447</v>
      </c>
      <c r="D39" s="4" t="s">
        <v>312</v>
      </c>
      <c r="E39" s="5">
        <v>52000</v>
      </c>
      <c r="F39" s="6">
        <v>1771.172</v>
      </c>
      <c r="G39" s="7">
        <v>1.0627162000000001E-2</v>
      </c>
      <c r="H39" s="47"/>
    </row>
    <row r="40" spans="1:8" ht="17.100000000000001" customHeight="1" x14ac:dyDescent="0.2">
      <c r="A40" s="3">
        <v>34</v>
      </c>
      <c r="B40" s="4" t="s">
        <v>399</v>
      </c>
      <c r="C40" s="4" t="s">
        <v>400</v>
      </c>
      <c r="D40" s="4" t="s">
        <v>321</v>
      </c>
      <c r="E40" s="5">
        <v>161000</v>
      </c>
      <c r="F40" s="6">
        <v>1741.376</v>
      </c>
      <c r="G40" s="7">
        <v>1.0448384E-2</v>
      </c>
      <c r="H40" s="47"/>
    </row>
    <row r="41" spans="1:8" ht="17.100000000000001" customHeight="1" x14ac:dyDescent="0.2">
      <c r="A41" s="3">
        <v>35</v>
      </c>
      <c r="B41" s="4" t="s">
        <v>524</v>
      </c>
      <c r="C41" s="4" t="s">
        <v>525</v>
      </c>
      <c r="D41" s="4" t="s">
        <v>184</v>
      </c>
      <c r="E41" s="5">
        <v>75000</v>
      </c>
      <c r="F41" s="6">
        <v>1693.3125</v>
      </c>
      <c r="G41" s="7">
        <v>1.0159998999999999E-2</v>
      </c>
      <c r="H41" s="47"/>
    </row>
    <row r="42" spans="1:8" ht="17.100000000000001" customHeight="1" x14ac:dyDescent="0.2">
      <c r="A42" s="3">
        <v>36</v>
      </c>
      <c r="B42" s="4" t="s">
        <v>434</v>
      </c>
      <c r="C42" s="4" t="s">
        <v>435</v>
      </c>
      <c r="D42" s="4" t="s">
        <v>19</v>
      </c>
      <c r="E42" s="5">
        <v>925292</v>
      </c>
      <c r="F42" s="6">
        <v>1677.09175</v>
      </c>
      <c r="G42" s="7">
        <v>1.0062672999999999E-2</v>
      </c>
      <c r="H42" s="47"/>
    </row>
    <row r="43" spans="1:8" ht="17.100000000000001" customHeight="1" x14ac:dyDescent="0.2">
      <c r="A43" s="3">
        <v>37</v>
      </c>
      <c r="B43" s="4" t="s">
        <v>299</v>
      </c>
      <c r="C43" s="4" t="s">
        <v>300</v>
      </c>
      <c r="D43" s="4" t="s">
        <v>19</v>
      </c>
      <c r="E43" s="5">
        <v>1809981</v>
      </c>
      <c r="F43" s="6">
        <v>1632.602862</v>
      </c>
      <c r="G43" s="7">
        <v>9.7957370000000005E-3</v>
      </c>
      <c r="H43" s="47"/>
    </row>
    <row r="44" spans="1:8" ht="53.1" customHeight="1" x14ac:dyDescent="0.2">
      <c r="A44" s="3">
        <v>38</v>
      </c>
      <c r="B44" s="4" t="s">
        <v>100</v>
      </c>
      <c r="C44" s="4" t="s">
        <v>101</v>
      </c>
      <c r="D44" s="4" t="s">
        <v>62</v>
      </c>
      <c r="E44" s="5">
        <v>125775</v>
      </c>
      <c r="F44" s="6">
        <v>1578.5391374999999</v>
      </c>
      <c r="G44" s="7">
        <v>9.4713499999999999E-3</v>
      </c>
      <c r="H44" s="47"/>
    </row>
    <row r="45" spans="1:8" ht="29.1" customHeight="1" x14ac:dyDescent="0.2">
      <c r="A45" s="3">
        <v>39</v>
      </c>
      <c r="B45" s="4" t="s">
        <v>625</v>
      </c>
      <c r="C45" s="4" t="s">
        <v>626</v>
      </c>
      <c r="D45" s="4" t="s">
        <v>201</v>
      </c>
      <c r="E45" s="5">
        <v>100000</v>
      </c>
      <c r="F45" s="6">
        <v>1490.05</v>
      </c>
      <c r="G45" s="7">
        <v>8.9404089999999999E-3</v>
      </c>
      <c r="H45" s="47"/>
    </row>
    <row r="46" spans="1:8" ht="29.1" customHeight="1" x14ac:dyDescent="0.2">
      <c r="A46" s="3">
        <v>40</v>
      </c>
      <c r="B46" s="4" t="s">
        <v>631</v>
      </c>
      <c r="C46" s="4" t="s">
        <v>632</v>
      </c>
      <c r="D46" s="4" t="s">
        <v>321</v>
      </c>
      <c r="E46" s="5">
        <v>130000</v>
      </c>
      <c r="F46" s="6">
        <v>1457.2349999999999</v>
      </c>
      <c r="G46" s="7">
        <v>8.7435169999999993E-3</v>
      </c>
      <c r="H46" s="47"/>
    </row>
    <row r="47" spans="1:8" ht="17.100000000000001" customHeight="1" x14ac:dyDescent="0.2">
      <c r="A47" s="3">
        <v>41</v>
      </c>
      <c r="B47" s="4" t="s">
        <v>532</v>
      </c>
      <c r="C47" s="4" t="s">
        <v>533</v>
      </c>
      <c r="D47" s="4" t="s">
        <v>191</v>
      </c>
      <c r="E47" s="5">
        <v>102772</v>
      </c>
      <c r="F47" s="6">
        <v>1451.0378679999999</v>
      </c>
      <c r="G47" s="7">
        <v>8.7063330000000001E-3</v>
      </c>
      <c r="H47" s="47"/>
    </row>
    <row r="48" spans="1:8" ht="17.100000000000001" customHeight="1" x14ac:dyDescent="0.2">
      <c r="A48" s="3">
        <v>42</v>
      </c>
      <c r="B48" s="4" t="s">
        <v>98</v>
      </c>
      <c r="C48" s="4" t="s">
        <v>99</v>
      </c>
      <c r="D48" s="4" t="s">
        <v>97</v>
      </c>
      <c r="E48" s="5">
        <v>173919</v>
      </c>
      <c r="F48" s="6">
        <v>1282.9135034999999</v>
      </c>
      <c r="G48" s="7">
        <v>7.6975749999999999E-3</v>
      </c>
      <c r="H48" s="47"/>
    </row>
    <row r="49" spans="1:8" ht="17.100000000000001" customHeight="1" x14ac:dyDescent="0.2">
      <c r="A49" s="3">
        <v>43</v>
      </c>
      <c r="B49" s="4" t="s">
        <v>633</v>
      </c>
      <c r="C49" s="4" t="s">
        <v>634</v>
      </c>
      <c r="D49" s="4" t="s">
        <v>191</v>
      </c>
      <c r="E49" s="5">
        <v>36000</v>
      </c>
      <c r="F49" s="6">
        <v>1274.1479999999999</v>
      </c>
      <c r="G49" s="7">
        <v>7.6449810000000003E-3</v>
      </c>
      <c r="H49" s="47"/>
    </row>
    <row r="50" spans="1:8" ht="29.1" customHeight="1" x14ac:dyDescent="0.2">
      <c r="A50" s="3">
        <v>44</v>
      </c>
      <c r="B50" s="4" t="s">
        <v>510</v>
      </c>
      <c r="C50" s="4" t="s">
        <v>511</v>
      </c>
      <c r="D50" s="4" t="s">
        <v>204</v>
      </c>
      <c r="E50" s="5">
        <v>130000</v>
      </c>
      <c r="F50" s="6">
        <v>1192.3599999999999</v>
      </c>
      <c r="G50" s="7">
        <v>7.1542469999999999E-3</v>
      </c>
      <c r="H50" s="47"/>
    </row>
    <row r="51" spans="1:8" ht="17.100000000000001" customHeight="1" x14ac:dyDescent="0.2">
      <c r="A51" s="3">
        <v>45</v>
      </c>
      <c r="B51" s="4" t="s">
        <v>306</v>
      </c>
      <c r="C51" s="4" t="s">
        <v>307</v>
      </c>
      <c r="D51" s="4" t="s">
        <v>19</v>
      </c>
      <c r="E51" s="5">
        <v>1000000</v>
      </c>
      <c r="F51" s="6">
        <v>974</v>
      </c>
      <c r="G51" s="7">
        <v>5.8440710000000002E-3</v>
      </c>
      <c r="H51" s="47"/>
    </row>
    <row r="52" spans="1:8" ht="17.100000000000001" customHeight="1" x14ac:dyDescent="0.2">
      <c r="A52" s="3">
        <v>46</v>
      </c>
      <c r="B52" s="4" t="s">
        <v>410</v>
      </c>
      <c r="C52" s="4" t="s">
        <v>411</v>
      </c>
      <c r="D52" s="4" t="s">
        <v>191</v>
      </c>
      <c r="E52" s="5">
        <v>188000</v>
      </c>
      <c r="F52" s="6">
        <v>782.17399999999998</v>
      </c>
      <c r="G52" s="7">
        <v>4.6931009999999999E-3</v>
      </c>
      <c r="H52" s="47"/>
    </row>
    <row r="53" spans="1:8" ht="17.100000000000001" customHeight="1" x14ac:dyDescent="0.2">
      <c r="A53" s="3">
        <v>47</v>
      </c>
      <c r="B53" s="4" t="s">
        <v>366</v>
      </c>
      <c r="C53" s="4" t="s">
        <v>367</v>
      </c>
      <c r="D53" s="4" t="s">
        <v>209</v>
      </c>
      <c r="E53" s="5">
        <v>300000</v>
      </c>
      <c r="F53" s="6">
        <v>720</v>
      </c>
      <c r="G53" s="7">
        <v>4.3200529999999999E-3</v>
      </c>
      <c r="H53" s="47"/>
    </row>
    <row r="54" spans="1:8" ht="17.100000000000001" customHeight="1" x14ac:dyDescent="0.2">
      <c r="A54" s="3">
        <v>48</v>
      </c>
      <c r="B54" s="4" t="s">
        <v>536</v>
      </c>
      <c r="C54" s="4" t="s">
        <v>537</v>
      </c>
      <c r="D54" s="4" t="s">
        <v>184</v>
      </c>
      <c r="E54" s="5">
        <v>101941</v>
      </c>
      <c r="F54" s="6">
        <v>658.43691899999999</v>
      </c>
      <c r="G54" s="7">
        <v>3.9506699999999999E-3</v>
      </c>
      <c r="H54" s="47"/>
    </row>
    <row r="55" spans="1:8" ht="17.100000000000001" customHeight="1" x14ac:dyDescent="0.2">
      <c r="A55" s="3">
        <v>49</v>
      </c>
      <c r="B55" s="4" t="s">
        <v>338</v>
      </c>
      <c r="C55" s="4" t="s">
        <v>339</v>
      </c>
      <c r="D55" s="4" t="s">
        <v>114</v>
      </c>
      <c r="E55" s="5">
        <v>194000</v>
      </c>
      <c r="F55" s="6">
        <v>638.745</v>
      </c>
      <c r="G55" s="7">
        <v>3.8325170000000001E-3</v>
      </c>
      <c r="H55" s="47"/>
    </row>
    <row r="56" spans="1:8" ht="17.100000000000001" customHeight="1" x14ac:dyDescent="0.2">
      <c r="A56" s="3">
        <v>50</v>
      </c>
      <c r="B56" s="4" t="s">
        <v>573</v>
      </c>
      <c r="C56" s="4" t="s">
        <v>574</v>
      </c>
      <c r="D56" s="4" t="s">
        <v>312</v>
      </c>
      <c r="E56" s="5">
        <v>18112</v>
      </c>
      <c r="F56" s="6">
        <v>174.94380799999999</v>
      </c>
      <c r="G56" s="7">
        <v>1.049676E-3</v>
      </c>
      <c r="H56" s="47"/>
    </row>
    <row r="57" spans="1:8" ht="14.1" customHeight="1" x14ac:dyDescent="0.2">
      <c r="A57" s="1"/>
      <c r="B57" s="1"/>
      <c r="C57" s="2" t="s">
        <v>122</v>
      </c>
      <c r="D57" s="1"/>
      <c r="E57" s="1" t="s">
        <v>123</v>
      </c>
      <c r="F57" s="9">
        <v>166345.6093785</v>
      </c>
      <c r="G57" s="10">
        <v>0.998085844</v>
      </c>
      <c r="H57" s="47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47"/>
    </row>
    <row r="59" spans="1:8" ht="14.1" customHeight="1" x14ac:dyDescent="0.2">
      <c r="A59" s="1"/>
      <c r="B59" s="1"/>
      <c r="C59" s="2" t="s">
        <v>124</v>
      </c>
      <c r="D59" s="1"/>
      <c r="E59" s="1"/>
      <c r="F59" s="1"/>
      <c r="G59" s="1"/>
      <c r="H59" s="47"/>
    </row>
    <row r="60" spans="1:8" ht="14.1" customHeight="1" x14ac:dyDescent="0.2">
      <c r="A60" s="1"/>
      <c r="B60" s="1"/>
      <c r="C60" s="2" t="s">
        <v>122</v>
      </c>
      <c r="D60" s="1"/>
      <c r="E60" s="1" t="s">
        <v>123</v>
      </c>
      <c r="F60" s="13">
        <v>0</v>
      </c>
      <c r="G60" s="14">
        <v>0</v>
      </c>
      <c r="H60" s="47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47"/>
    </row>
    <row r="62" spans="1:8" ht="14.1" customHeight="1" x14ac:dyDescent="0.2">
      <c r="A62" s="1"/>
      <c r="B62" s="1"/>
      <c r="C62" s="2" t="s">
        <v>125</v>
      </c>
      <c r="D62" s="1"/>
      <c r="E62" s="1"/>
      <c r="F62" s="1"/>
      <c r="G62" s="1"/>
      <c r="H62" s="47"/>
    </row>
    <row r="63" spans="1:8" ht="14.1" customHeight="1" x14ac:dyDescent="0.2">
      <c r="A63" s="1"/>
      <c r="B63" s="1"/>
      <c r="C63" s="2" t="s">
        <v>122</v>
      </c>
      <c r="D63" s="1"/>
      <c r="E63" s="1" t="s">
        <v>123</v>
      </c>
      <c r="F63" s="13">
        <v>0</v>
      </c>
      <c r="G63" s="14">
        <v>0</v>
      </c>
      <c r="H63" s="47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47"/>
    </row>
    <row r="65" spans="1:8" ht="14.1" customHeight="1" x14ac:dyDescent="0.2">
      <c r="A65" s="1"/>
      <c r="B65" s="1"/>
      <c r="C65" s="2" t="s">
        <v>126</v>
      </c>
      <c r="D65" s="1"/>
      <c r="E65" s="1"/>
      <c r="F65" s="1"/>
      <c r="G65" s="1"/>
      <c r="H65" s="47"/>
    </row>
    <row r="66" spans="1:8" ht="14.1" customHeight="1" x14ac:dyDescent="0.2">
      <c r="A66" s="1"/>
      <c r="B66" s="1"/>
      <c r="C66" s="2" t="s">
        <v>122</v>
      </c>
      <c r="D66" s="1"/>
      <c r="E66" s="1" t="s">
        <v>123</v>
      </c>
      <c r="F66" s="13">
        <v>0</v>
      </c>
      <c r="G66" s="14">
        <v>0</v>
      </c>
      <c r="H66" s="47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47"/>
    </row>
    <row r="68" spans="1:8" ht="14.1" customHeight="1" x14ac:dyDescent="0.2">
      <c r="A68" s="1"/>
      <c r="B68" s="1"/>
      <c r="C68" s="2" t="s">
        <v>127</v>
      </c>
      <c r="D68" s="1"/>
      <c r="E68" s="1"/>
      <c r="F68" s="12"/>
      <c r="G68" s="12"/>
      <c r="H68" s="47"/>
    </row>
    <row r="69" spans="1:8" ht="14.1" customHeight="1" x14ac:dyDescent="0.2">
      <c r="A69" s="1"/>
      <c r="B69" s="1"/>
      <c r="C69" s="2" t="s">
        <v>122</v>
      </c>
      <c r="D69" s="1"/>
      <c r="E69" s="1" t="s">
        <v>123</v>
      </c>
      <c r="F69" s="13">
        <v>0</v>
      </c>
      <c r="G69" s="14">
        <v>0</v>
      </c>
      <c r="H69" s="47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47"/>
    </row>
    <row r="71" spans="1:8" ht="14.1" customHeight="1" x14ac:dyDescent="0.2">
      <c r="A71" s="1"/>
      <c r="B71" s="1"/>
      <c r="C71" s="2" t="s">
        <v>128</v>
      </c>
      <c r="D71" s="1"/>
      <c r="E71" s="1"/>
      <c r="F71" s="12"/>
      <c r="G71" s="12"/>
      <c r="H71" s="47"/>
    </row>
    <row r="72" spans="1:8" ht="14.1" customHeight="1" x14ac:dyDescent="0.2">
      <c r="A72" s="1"/>
      <c r="B72" s="1"/>
      <c r="C72" s="2" t="s">
        <v>122</v>
      </c>
      <c r="D72" s="1"/>
      <c r="E72" s="1" t="s">
        <v>123</v>
      </c>
      <c r="F72" s="13">
        <v>0</v>
      </c>
      <c r="G72" s="14">
        <v>0</v>
      </c>
      <c r="H72" s="47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47"/>
    </row>
    <row r="74" spans="1:8" ht="18" customHeight="1" x14ac:dyDescent="0.2">
      <c r="A74" s="1"/>
      <c r="B74" s="1"/>
      <c r="C74" s="2" t="s">
        <v>129</v>
      </c>
      <c r="D74" s="1"/>
      <c r="E74" s="1"/>
      <c r="F74" s="9">
        <v>166345.6093785</v>
      </c>
      <c r="G74" s="10">
        <v>0.998085844</v>
      </c>
      <c r="H74" s="47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47"/>
    </row>
    <row r="76" spans="1:8" ht="14.1" customHeight="1" x14ac:dyDescent="0.2">
      <c r="A76" s="1"/>
      <c r="B76" s="1"/>
      <c r="C76" s="2" t="s">
        <v>130</v>
      </c>
      <c r="D76" s="1"/>
      <c r="E76" s="1"/>
      <c r="F76" s="12"/>
      <c r="G76" s="12"/>
      <c r="H76" s="47"/>
    </row>
    <row r="77" spans="1:8" ht="24" customHeight="1" x14ac:dyDescent="0.2">
      <c r="A77" s="1"/>
      <c r="B77" s="1"/>
      <c r="C77" s="2" t="s">
        <v>10</v>
      </c>
      <c r="D77" s="1"/>
      <c r="E77" s="1"/>
      <c r="F77" s="12"/>
      <c r="G77" s="12"/>
      <c r="H77" s="47"/>
    </row>
    <row r="78" spans="1:8" ht="14.1" customHeight="1" x14ac:dyDescent="0.2">
      <c r="A78" s="1"/>
      <c r="B78" s="1"/>
      <c r="C78" s="2" t="s">
        <v>122</v>
      </c>
      <c r="D78" s="1"/>
      <c r="E78" s="1" t="s">
        <v>123</v>
      </c>
      <c r="F78" s="13">
        <v>0</v>
      </c>
      <c r="G78" s="14">
        <v>0</v>
      </c>
      <c r="H78" s="47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47"/>
    </row>
    <row r="80" spans="1:8" ht="14.1" customHeight="1" x14ac:dyDescent="0.2">
      <c r="A80" s="1"/>
      <c r="B80" s="1"/>
      <c r="C80" s="2" t="s">
        <v>131</v>
      </c>
      <c r="D80" s="1"/>
      <c r="E80" s="1"/>
      <c r="F80" s="1"/>
      <c r="G80" s="1"/>
      <c r="H80" s="47"/>
    </row>
    <row r="81" spans="1:8" ht="14.1" customHeight="1" x14ac:dyDescent="0.2">
      <c r="A81" s="1"/>
      <c r="B81" s="1"/>
      <c r="C81" s="2" t="s">
        <v>122</v>
      </c>
      <c r="D81" s="1"/>
      <c r="E81" s="1" t="s">
        <v>123</v>
      </c>
      <c r="F81" s="13">
        <v>0</v>
      </c>
      <c r="G81" s="14">
        <v>0</v>
      </c>
      <c r="H81" s="47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47"/>
    </row>
    <row r="83" spans="1:8" ht="14.1" customHeight="1" x14ac:dyDescent="0.2">
      <c r="A83" s="1"/>
      <c r="B83" s="1"/>
      <c r="C83" s="2" t="s">
        <v>132</v>
      </c>
      <c r="D83" s="1"/>
      <c r="E83" s="1"/>
      <c r="F83" s="1"/>
      <c r="G83" s="1"/>
      <c r="H83" s="47"/>
    </row>
    <row r="84" spans="1:8" ht="14.1" customHeight="1" x14ac:dyDescent="0.2">
      <c r="A84" s="1"/>
      <c r="B84" s="1"/>
      <c r="C84" s="2" t="s">
        <v>122</v>
      </c>
      <c r="D84" s="1"/>
      <c r="E84" s="1" t="s">
        <v>123</v>
      </c>
      <c r="F84" s="13">
        <v>0</v>
      </c>
      <c r="G84" s="14">
        <v>0</v>
      </c>
      <c r="H84" s="47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47"/>
    </row>
    <row r="86" spans="1:8" ht="14.1" customHeight="1" x14ac:dyDescent="0.2">
      <c r="A86" s="1"/>
      <c r="B86" s="1"/>
      <c r="C86" s="2" t="s">
        <v>133</v>
      </c>
      <c r="D86" s="1"/>
      <c r="E86" s="1"/>
      <c r="F86" s="12"/>
      <c r="G86" s="12"/>
      <c r="H86" s="47"/>
    </row>
    <row r="87" spans="1:8" ht="14.1" customHeight="1" x14ac:dyDescent="0.2">
      <c r="A87" s="1"/>
      <c r="B87" s="1"/>
      <c r="C87" s="2" t="s">
        <v>122</v>
      </c>
      <c r="D87" s="1"/>
      <c r="E87" s="1" t="s">
        <v>123</v>
      </c>
      <c r="F87" s="13">
        <v>0</v>
      </c>
      <c r="G87" s="14">
        <v>0</v>
      </c>
      <c r="H87" s="47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47"/>
    </row>
    <row r="89" spans="1:8" ht="14.1" customHeight="1" x14ac:dyDescent="0.2">
      <c r="A89" s="1"/>
      <c r="B89" s="1"/>
      <c r="C89" s="2" t="s">
        <v>134</v>
      </c>
      <c r="D89" s="1"/>
      <c r="E89" s="1"/>
      <c r="F89" s="9">
        <v>0</v>
      </c>
      <c r="G89" s="10">
        <v>0</v>
      </c>
      <c r="H89" s="47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47"/>
    </row>
    <row r="91" spans="1:8" ht="14.1" customHeight="1" x14ac:dyDescent="0.2">
      <c r="A91" s="1"/>
      <c r="B91" s="1"/>
      <c r="C91" s="2" t="s">
        <v>135</v>
      </c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136</v>
      </c>
      <c r="D92" s="1"/>
      <c r="E92" s="1"/>
      <c r="F92" s="12"/>
      <c r="G92" s="12"/>
      <c r="H92" s="47"/>
    </row>
    <row r="93" spans="1:8" ht="14.1" customHeight="1" x14ac:dyDescent="0.2">
      <c r="A93" s="1"/>
      <c r="B93" s="1"/>
      <c r="C93" s="2" t="s">
        <v>122</v>
      </c>
      <c r="D93" s="1"/>
      <c r="E93" s="1" t="s">
        <v>123</v>
      </c>
      <c r="F93" s="13">
        <v>0</v>
      </c>
      <c r="G93" s="14">
        <v>0</v>
      </c>
      <c r="H93" s="47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47"/>
    </row>
    <row r="95" spans="1:8" ht="14.1" customHeight="1" x14ac:dyDescent="0.2">
      <c r="A95" s="1"/>
      <c r="B95" s="1"/>
      <c r="C95" s="2" t="s">
        <v>137</v>
      </c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122</v>
      </c>
      <c r="D96" s="1"/>
      <c r="E96" s="1" t="s">
        <v>123</v>
      </c>
      <c r="F96" s="13">
        <v>0</v>
      </c>
      <c r="G96" s="14">
        <v>0</v>
      </c>
      <c r="H96" s="47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47"/>
    </row>
    <row r="98" spans="1:8" ht="14.1" customHeight="1" x14ac:dyDescent="0.2">
      <c r="A98" s="1"/>
      <c r="B98" s="1"/>
      <c r="C98" s="2" t="s">
        <v>138</v>
      </c>
      <c r="D98" s="1"/>
      <c r="E98" s="1"/>
      <c r="F98" s="12"/>
      <c r="G98" s="12"/>
      <c r="H98" s="47"/>
    </row>
    <row r="99" spans="1:8" ht="14.1" customHeight="1" x14ac:dyDescent="0.2">
      <c r="A99" s="1"/>
      <c r="B99" s="1"/>
      <c r="C99" s="2" t="s">
        <v>122</v>
      </c>
      <c r="D99" s="1"/>
      <c r="E99" s="1" t="s">
        <v>123</v>
      </c>
      <c r="F99" s="13">
        <v>0</v>
      </c>
      <c r="G99" s="14">
        <v>0</v>
      </c>
      <c r="H99" s="47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47"/>
    </row>
    <row r="101" spans="1:8" ht="14.1" customHeight="1" x14ac:dyDescent="0.2">
      <c r="A101" s="1"/>
      <c r="B101" s="1"/>
      <c r="C101" s="2" t="s">
        <v>139</v>
      </c>
      <c r="D101" s="1"/>
      <c r="E101" s="1"/>
      <c r="F101" s="12"/>
      <c r="G101" s="12"/>
      <c r="H101" s="47"/>
    </row>
    <row r="102" spans="1:8" ht="17.100000000000001" customHeight="1" x14ac:dyDescent="0.2">
      <c r="A102" s="3">
        <v>1</v>
      </c>
      <c r="B102" s="4"/>
      <c r="C102" s="4" t="s">
        <v>140</v>
      </c>
      <c r="D102" s="4"/>
      <c r="E102" s="8"/>
      <c r="F102" s="6">
        <v>360.68402200000003</v>
      </c>
      <c r="G102" s="7">
        <v>2.1641310000000001E-3</v>
      </c>
      <c r="H102" s="47">
        <v>4.6730752161314033</v>
      </c>
    </row>
    <row r="103" spans="1:8" ht="14.1" customHeight="1" x14ac:dyDescent="0.2">
      <c r="A103" s="1"/>
      <c r="B103" s="1"/>
      <c r="C103" s="2" t="s">
        <v>122</v>
      </c>
      <c r="D103" s="1"/>
      <c r="E103" s="1" t="s">
        <v>123</v>
      </c>
      <c r="F103" s="9">
        <v>360.68402200000003</v>
      </c>
      <c r="G103" s="10">
        <v>2.1641310000000001E-3</v>
      </c>
      <c r="H103" s="47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47"/>
    </row>
    <row r="105" spans="1:8" ht="14.1" customHeight="1" x14ac:dyDescent="0.2">
      <c r="A105" s="1"/>
      <c r="B105" s="1"/>
      <c r="C105" s="2" t="s">
        <v>141</v>
      </c>
      <c r="D105" s="1"/>
      <c r="E105" s="1"/>
      <c r="F105" s="9">
        <v>360.68402200000003</v>
      </c>
      <c r="G105" s="10">
        <v>2.1641310000000001E-3</v>
      </c>
      <c r="H105" s="47"/>
    </row>
    <row r="106" spans="1:8" ht="14.1" customHeight="1" x14ac:dyDescent="0.2">
      <c r="A106" s="1"/>
      <c r="B106" s="1"/>
      <c r="C106" s="12"/>
      <c r="D106" s="1"/>
      <c r="E106" s="1"/>
      <c r="F106" s="1"/>
      <c r="G106" s="1"/>
      <c r="H106" s="47"/>
    </row>
    <row r="107" spans="1:8" ht="14.1" customHeight="1" x14ac:dyDescent="0.2">
      <c r="A107" s="1"/>
      <c r="B107" s="1"/>
      <c r="C107" s="2" t="s">
        <v>142</v>
      </c>
      <c r="D107" s="1"/>
      <c r="E107" s="1"/>
      <c r="F107" s="1"/>
      <c r="G107" s="1"/>
      <c r="H107" s="47"/>
    </row>
    <row r="108" spans="1:8" ht="14.1" customHeight="1" x14ac:dyDescent="0.2">
      <c r="A108" s="1"/>
      <c r="B108" s="1"/>
      <c r="C108" s="2" t="s">
        <v>143</v>
      </c>
      <c r="D108" s="1"/>
      <c r="E108" s="1"/>
      <c r="F108" s="1"/>
      <c r="G108" s="1"/>
      <c r="H108" s="47"/>
    </row>
    <row r="109" spans="1:8" ht="14.1" customHeight="1" x14ac:dyDescent="0.2">
      <c r="A109" s="1"/>
      <c r="B109" s="1"/>
      <c r="C109" s="2" t="s">
        <v>122</v>
      </c>
      <c r="D109" s="1"/>
      <c r="E109" s="1" t="s">
        <v>123</v>
      </c>
      <c r="F109" s="13">
        <v>0</v>
      </c>
      <c r="G109" s="14">
        <v>0</v>
      </c>
      <c r="H109" s="47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47"/>
    </row>
    <row r="111" spans="1:8" ht="14.1" customHeight="1" x14ac:dyDescent="0.2">
      <c r="A111" s="1"/>
      <c r="B111" s="1"/>
      <c r="C111" s="2" t="s">
        <v>144</v>
      </c>
      <c r="D111" s="1"/>
      <c r="E111" s="1"/>
      <c r="F111" s="1"/>
      <c r="G111" s="1"/>
      <c r="H111" s="47"/>
    </row>
    <row r="112" spans="1:8" ht="14.1" customHeight="1" x14ac:dyDescent="0.2">
      <c r="A112" s="1"/>
      <c r="B112" s="1"/>
      <c r="C112" s="2" t="s">
        <v>145</v>
      </c>
      <c r="D112" s="1"/>
      <c r="E112" s="1"/>
      <c r="F112" s="1"/>
      <c r="G112" s="1"/>
      <c r="H112" s="47"/>
    </row>
    <row r="113" spans="1:8" ht="14.1" customHeight="1" x14ac:dyDescent="0.2">
      <c r="A113" s="1"/>
      <c r="B113" s="1"/>
      <c r="C113" s="2" t="s">
        <v>122</v>
      </c>
      <c r="D113" s="1"/>
      <c r="E113" s="1" t="s">
        <v>123</v>
      </c>
      <c r="F113" s="13">
        <v>0</v>
      </c>
      <c r="G113" s="14">
        <v>0</v>
      </c>
      <c r="H113" s="47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47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47"/>
    </row>
    <row r="116" spans="1:8" ht="24" customHeight="1" x14ac:dyDescent="0.2">
      <c r="A116" s="1"/>
      <c r="B116" s="1"/>
      <c r="C116" s="2" t="s">
        <v>146</v>
      </c>
      <c r="D116" s="1"/>
      <c r="E116" s="1"/>
      <c r="F116" s="12"/>
      <c r="G116" s="12"/>
      <c r="H116" s="47"/>
    </row>
    <row r="117" spans="1:8" ht="14.1" customHeight="1" x14ac:dyDescent="0.2">
      <c r="A117" s="1"/>
      <c r="B117" s="1"/>
      <c r="C117" s="2" t="s">
        <v>122</v>
      </c>
      <c r="D117" s="1"/>
      <c r="E117" s="1" t="s">
        <v>123</v>
      </c>
      <c r="F117" s="13">
        <v>0</v>
      </c>
      <c r="G117" s="14">
        <v>0</v>
      </c>
      <c r="H117" s="47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47"/>
    </row>
    <row r="119" spans="1:8" ht="14.1" customHeight="1" x14ac:dyDescent="0.2">
      <c r="A119" s="1"/>
      <c r="B119" s="4"/>
      <c r="C119" s="4"/>
      <c r="D119" s="2"/>
      <c r="E119" s="1"/>
      <c r="F119" s="4"/>
      <c r="G119" s="8"/>
      <c r="H119" s="47"/>
    </row>
    <row r="120" spans="1:8" ht="18" customHeight="1" x14ac:dyDescent="0.2">
      <c r="A120" s="8"/>
      <c r="B120" s="4"/>
      <c r="C120" s="4" t="s">
        <v>147</v>
      </c>
      <c r="D120" s="4"/>
      <c r="E120" s="8"/>
      <c r="F120" s="6">
        <v>-41.661411999999999</v>
      </c>
      <c r="G120" s="7">
        <v>-2.49972E-4</v>
      </c>
      <c r="H120" s="47"/>
    </row>
    <row r="121" spans="1:8" ht="14.1" customHeight="1" x14ac:dyDescent="0.2">
      <c r="A121" s="11"/>
      <c r="B121" s="11"/>
      <c r="C121" s="2" t="s">
        <v>148</v>
      </c>
      <c r="D121" s="15"/>
      <c r="E121" s="15"/>
      <c r="F121" s="9">
        <v>166664.63198850001</v>
      </c>
      <c r="G121" s="10">
        <v>1.000000003</v>
      </c>
      <c r="H121" s="47"/>
    </row>
    <row r="122" spans="1:8" ht="14.1" customHeight="1" x14ac:dyDescent="0.2">
      <c r="A122" s="18"/>
      <c r="B122" s="18"/>
      <c r="C122" s="18"/>
      <c r="D122" s="20"/>
      <c r="E122" s="20"/>
      <c r="F122" s="20"/>
      <c r="G122" s="20"/>
    </row>
    <row r="123" spans="1:8" ht="14.1" customHeight="1" x14ac:dyDescent="0.2">
      <c r="A123" s="18"/>
      <c r="B123" s="257" t="s">
        <v>150</v>
      </c>
      <c r="C123" s="258"/>
      <c r="D123" s="12" t="s">
        <v>123</v>
      </c>
      <c r="E123" s="21"/>
      <c r="F123" s="20"/>
      <c r="G123" s="20"/>
    </row>
    <row r="124" spans="1:8" ht="29.1" customHeight="1" x14ac:dyDescent="0.2">
      <c r="A124" s="18"/>
      <c r="B124" s="259" t="s">
        <v>151</v>
      </c>
      <c r="C124" s="260"/>
      <c r="D124" s="2" t="s">
        <v>152</v>
      </c>
      <c r="E124" s="21"/>
      <c r="F124" s="20"/>
      <c r="G124" s="20"/>
    </row>
    <row r="125" spans="1:8" ht="17.100000000000001" customHeight="1" x14ac:dyDescent="0.2">
      <c r="A125" s="18"/>
      <c r="B125" s="259" t="s">
        <v>153</v>
      </c>
      <c r="C125" s="260"/>
      <c r="D125" s="2" t="s">
        <v>152</v>
      </c>
      <c r="E125" s="21"/>
      <c r="F125" s="20"/>
      <c r="G125" s="20"/>
    </row>
    <row r="126" spans="1:8" ht="17.100000000000001" customHeight="1" x14ac:dyDescent="0.2">
      <c r="A126" s="18"/>
      <c r="B126" s="259" t="s">
        <v>154</v>
      </c>
      <c r="C126" s="260"/>
      <c r="D126" s="12" t="s">
        <v>123</v>
      </c>
      <c r="E126" s="21"/>
      <c r="F126" s="20"/>
      <c r="G126" s="20"/>
    </row>
    <row r="127" spans="1:8" ht="24" customHeight="1" x14ac:dyDescent="0.2">
      <c r="A127" s="22"/>
      <c r="B127" s="23" t="s">
        <v>123</v>
      </c>
      <c r="C127" s="23" t="s">
        <v>155</v>
      </c>
      <c r="D127" s="23" t="s">
        <v>156</v>
      </c>
      <c r="E127" s="22"/>
      <c r="F127" s="22"/>
      <c r="G127" s="22"/>
    </row>
    <row r="128" spans="1:8" ht="18" customHeight="1" x14ac:dyDescent="0.2">
      <c r="A128" s="22"/>
      <c r="B128" s="23" t="s">
        <v>157</v>
      </c>
      <c r="C128" s="23" t="s">
        <v>158</v>
      </c>
      <c r="D128" s="23" t="s">
        <v>159</v>
      </c>
      <c r="E128" s="22"/>
      <c r="F128" s="22"/>
      <c r="G128" s="22"/>
    </row>
    <row r="129" spans="1:7" ht="17.100000000000001" customHeight="1" x14ac:dyDescent="0.2">
      <c r="A129" s="22"/>
      <c r="B129" s="4" t="s">
        <v>160</v>
      </c>
      <c r="C129" s="24">
        <v>146.2527</v>
      </c>
      <c r="D129" s="24">
        <v>140.25700000000001</v>
      </c>
      <c r="E129" s="22"/>
      <c r="F129" s="19"/>
      <c r="G129" s="25"/>
    </row>
    <row r="130" spans="1:7" ht="17.100000000000001" customHeight="1" x14ac:dyDescent="0.2">
      <c r="A130" s="22"/>
      <c r="B130" s="4" t="s">
        <v>1101</v>
      </c>
      <c r="C130" s="24">
        <v>15.375</v>
      </c>
      <c r="D130" s="24">
        <v>14.316800000000001</v>
      </c>
      <c r="E130" s="22"/>
      <c r="F130" s="19"/>
      <c r="G130" s="25"/>
    </row>
    <row r="131" spans="1:7" ht="17.100000000000001" customHeight="1" x14ac:dyDescent="0.2">
      <c r="A131" s="22"/>
      <c r="B131" s="4" t="s">
        <v>161</v>
      </c>
      <c r="C131" s="24">
        <v>140.52459999999999</v>
      </c>
      <c r="D131" s="24">
        <v>134.69069999999999</v>
      </c>
      <c r="E131" s="22"/>
      <c r="F131" s="19"/>
      <c r="G131" s="25"/>
    </row>
    <row r="132" spans="1:7" ht="17.100000000000001" customHeight="1" x14ac:dyDescent="0.2">
      <c r="A132" s="22"/>
      <c r="B132" s="4" t="s">
        <v>1102</v>
      </c>
      <c r="C132" s="24">
        <v>12.8797</v>
      </c>
      <c r="D132" s="24">
        <v>11.987</v>
      </c>
      <c r="E132" s="22"/>
      <c r="F132" s="19"/>
      <c r="G132" s="25"/>
    </row>
    <row r="133" spans="1:7" ht="14.1" customHeight="1" x14ac:dyDescent="0.2">
      <c r="A133" s="22"/>
      <c r="B133" s="22"/>
      <c r="C133" s="22"/>
      <c r="D133" s="22"/>
      <c r="E133" s="22"/>
      <c r="F133" s="22"/>
      <c r="G133" s="22"/>
    </row>
    <row r="134" spans="1:7" ht="17.100000000000001" customHeight="1" x14ac:dyDescent="0.2">
      <c r="A134" s="22"/>
      <c r="B134" s="259" t="s">
        <v>1103</v>
      </c>
      <c r="C134" s="260"/>
      <c r="D134" s="2" t="s">
        <v>123</v>
      </c>
      <c r="E134" s="22"/>
      <c r="F134" s="22"/>
      <c r="G134" s="22"/>
    </row>
    <row r="135" spans="1:7" ht="18" customHeight="1" x14ac:dyDescent="0.2">
      <c r="A135" s="22"/>
      <c r="B135" s="31" t="s">
        <v>157</v>
      </c>
      <c r="C135" s="32" t="s">
        <v>861</v>
      </c>
      <c r="D135" s="32" t="s">
        <v>862</v>
      </c>
      <c r="E135" s="22"/>
      <c r="F135" s="22"/>
      <c r="G135" s="22"/>
    </row>
    <row r="136" spans="1:7" ht="17.100000000000001" customHeight="1" x14ac:dyDescent="0.2">
      <c r="A136" s="22"/>
      <c r="B136" s="4" t="s">
        <v>1101</v>
      </c>
      <c r="C136" s="33">
        <v>0.42299999999999999</v>
      </c>
      <c r="D136" s="8" t="s">
        <v>895</v>
      </c>
      <c r="E136" s="22"/>
      <c r="F136" s="19"/>
      <c r="G136" s="25"/>
    </row>
    <row r="137" spans="1:7" ht="17.100000000000001" customHeight="1" x14ac:dyDescent="0.2">
      <c r="A137" s="22"/>
      <c r="B137" s="4" t="s">
        <v>1102</v>
      </c>
      <c r="C137" s="33">
        <v>0.35399999999999998</v>
      </c>
      <c r="D137" s="33">
        <v>0.35399999999999998</v>
      </c>
      <c r="E137" s="22"/>
      <c r="F137" s="19"/>
      <c r="G137" s="25"/>
    </row>
    <row r="138" spans="1:7" ht="14.1" customHeight="1" x14ac:dyDescent="0.2">
      <c r="A138" s="22"/>
      <c r="B138" s="19"/>
      <c r="C138" s="19"/>
      <c r="D138" s="22"/>
      <c r="E138" s="22"/>
      <c r="F138" s="22"/>
      <c r="G138" s="22"/>
    </row>
    <row r="139" spans="1:7" ht="29.1" customHeight="1" x14ac:dyDescent="0.2">
      <c r="A139" s="22"/>
      <c r="B139" s="259" t="s">
        <v>162</v>
      </c>
      <c r="C139" s="260"/>
      <c r="D139" s="2" t="s">
        <v>152</v>
      </c>
      <c r="E139" s="22"/>
      <c r="F139" s="22"/>
      <c r="G139" s="22"/>
    </row>
    <row r="140" spans="1:7" ht="29.1" customHeight="1" x14ac:dyDescent="0.2">
      <c r="A140" s="22"/>
      <c r="B140" s="259" t="s">
        <v>163</v>
      </c>
      <c r="C140" s="260"/>
      <c r="D140" s="2" t="s">
        <v>152</v>
      </c>
      <c r="E140" s="22"/>
      <c r="F140" s="22"/>
      <c r="G140" s="22"/>
    </row>
    <row r="141" spans="1:7" ht="17.100000000000001" customHeight="1" x14ac:dyDescent="0.2">
      <c r="A141" s="22"/>
      <c r="B141" s="259" t="s">
        <v>164</v>
      </c>
      <c r="C141" s="260"/>
      <c r="D141" s="28">
        <v>0.34435008069497081</v>
      </c>
      <c r="E141" s="22"/>
      <c r="F141" s="19"/>
      <c r="G141" s="25"/>
    </row>
    <row r="142" spans="1:7" ht="17.100000000000001" customHeight="1" x14ac:dyDescent="0.2">
      <c r="A142" s="22"/>
      <c r="B142" s="259" t="s">
        <v>165</v>
      </c>
      <c r="C142" s="260"/>
      <c r="D142" s="2" t="s">
        <v>152</v>
      </c>
      <c r="E142" s="22"/>
      <c r="F142" s="22"/>
      <c r="G142" s="22"/>
    </row>
  </sheetData>
  <mergeCells count="13">
    <mergeCell ref="J2:N2"/>
    <mergeCell ref="A1:H1"/>
    <mergeCell ref="A2:H2"/>
    <mergeCell ref="A3:H3"/>
    <mergeCell ref="B123:C123"/>
    <mergeCell ref="B141:C141"/>
    <mergeCell ref="B142:C142"/>
    <mergeCell ref="B124:C124"/>
    <mergeCell ref="B125:C125"/>
    <mergeCell ref="B126:C126"/>
    <mergeCell ref="B134:C134"/>
    <mergeCell ref="B139:C139"/>
    <mergeCell ref="B140:C14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N14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94" t="s">
        <v>1152</v>
      </c>
      <c r="B2" s="295"/>
      <c r="C2" s="295"/>
      <c r="D2" s="295"/>
      <c r="E2" s="295"/>
      <c r="F2" s="295"/>
      <c r="G2" s="295"/>
      <c r="H2" s="296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3722916</v>
      </c>
      <c r="F7" s="6">
        <v>26328.461952000001</v>
      </c>
      <c r="G7" s="7">
        <v>9.2925015E-2</v>
      </c>
      <c r="H7" s="47"/>
    </row>
    <row r="8" spans="1:14" ht="17.100000000000001" customHeight="1" x14ac:dyDescent="0.2">
      <c r="A8" s="3">
        <v>2</v>
      </c>
      <c r="B8" s="4" t="s">
        <v>358</v>
      </c>
      <c r="C8" s="4" t="s">
        <v>359</v>
      </c>
      <c r="D8" s="4" t="s">
        <v>19</v>
      </c>
      <c r="E8" s="5">
        <v>1729890</v>
      </c>
      <c r="F8" s="6">
        <v>23318.9172</v>
      </c>
      <c r="G8" s="7">
        <v>8.2302975E-2</v>
      </c>
      <c r="H8" s="47"/>
    </row>
    <row r="9" spans="1:14" ht="17.100000000000001" customHeight="1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872776</v>
      </c>
      <c r="F9" s="6">
        <v>22654.210244000002</v>
      </c>
      <c r="G9" s="7">
        <v>7.9956923999999999E-2</v>
      </c>
      <c r="H9" s="47"/>
    </row>
    <row r="10" spans="1:14" ht="17.100000000000001" customHeight="1" x14ac:dyDescent="0.2">
      <c r="A10" s="3">
        <v>4</v>
      </c>
      <c r="B10" s="4" t="s">
        <v>393</v>
      </c>
      <c r="C10" s="4" t="s">
        <v>394</v>
      </c>
      <c r="D10" s="4" t="s">
        <v>191</v>
      </c>
      <c r="E10" s="5">
        <v>1465546</v>
      </c>
      <c r="F10" s="6">
        <v>21424.816974000001</v>
      </c>
      <c r="G10" s="7">
        <v>7.5617841000000005E-2</v>
      </c>
      <c r="H10" s="47"/>
    </row>
    <row r="11" spans="1:14" ht="29.1" customHeight="1" x14ac:dyDescent="0.2">
      <c r="A11" s="3">
        <v>5</v>
      </c>
      <c r="B11" s="4" t="s">
        <v>395</v>
      </c>
      <c r="C11" s="4" t="s">
        <v>396</v>
      </c>
      <c r="D11" s="4" t="s">
        <v>91</v>
      </c>
      <c r="E11" s="5">
        <v>712897</v>
      </c>
      <c r="F11" s="6">
        <v>15475.9245245</v>
      </c>
      <c r="G11" s="7">
        <v>5.4621517000000001E-2</v>
      </c>
      <c r="H11" s="47"/>
    </row>
    <row r="12" spans="1:14" ht="29.1" customHeight="1" x14ac:dyDescent="0.2">
      <c r="A12" s="3">
        <v>6</v>
      </c>
      <c r="B12" s="4" t="s">
        <v>401</v>
      </c>
      <c r="C12" s="4" t="s">
        <v>402</v>
      </c>
      <c r="D12" s="4" t="s">
        <v>204</v>
      </c>
      <c r="E12" s="5">
        <v>1538340</v>
      </c>
      <c r="F12" s="6">
        <v>12777.45204</v>
      </c>
      <c r="G12" s="7">
        <v>4.5097390000000001E-2</v>
      </c>
      <c r="H12" s="47"/>
    </row>
    <row r="13" spans="1:14" ht="17.100000000000001" customHeight="1" x14ac:dyDescent="0.2">
      <c r="A13" s="3">
        <v>7</v>
      </c>
      <c r="B13" s="4" t="s">
        <v>11</v>
      </c>
      <c r="C13" s="4" t="s">
        <v>12</v>
      </c>
      <c r="D13" s="4" t="s">
        <v>13</v>
      </c>
      <c r="E13" s="5">
        <v>800306</v>
      </c>
      <c r="F13" s="6">
        <v>12470.768244999999</v>
      </c>
      <c r="G13" s="7">
        <v>4.4014965000000003E-2</v>
      </c>
      <c r="H13" s="47"/>
    </row>
    <row r="14" spans="1:14" ht="17.100000000000001" customHeight="1" x14ac:dyDescent="0.2">
      <c r="A14" s="3">
        <v>8</v>
      </c>
      <c r="B14" s="4" t="s">
        <v>20</v>
      </c>
      <c r="C14" s="4" t="s">
        <v>21</v>
      </c>
      <c r="D14" s="4" t="s">
        <v>22</v>
      </c>
      <c r="E14" s="5">
        <v>1702666</v>
      </c>
      <c r="F14" s="6">
        <v>11662.410766999999</v>
      </c>
      <c r="G14" s="7">
        <v>4.1161906999999998E-2</v>
      </c>
      <c r="H14" s="47"/>
    </row>
    <row r="15" spans="1:14" ht="17.100000000000001" customHeight="1" x14ac:dyDescent="0.2">
      <c r="A15" s="3">
        <v>9</v>
      </c>
      <c r="B15" s="4" t="s">
        <v>46</v>
      </c>
      <c r="C15" s="4" t="s">
        <v>47</v>
      </c>
      <c r="D15" s="4" t="s">
        <v>19</v>
      </c>
      <c r="E15" s="5">
        <v>2379541</v>
      </c>
      <c r="F15" s="6">
        <v>11086.281519</v>
      </c>
      <c r="G15" s="7">
        <v>3.9128487000000003E-2</v>
      </c>
      <c r="H15" s="47"/>
      <c r="J15" s="147" t="s">
        <v>1139</v>
      </c>
    </row>
    <row r="16" spans="1:14" ht="17.100000000000001" customHeight="1" x14ac:dyDescent="0.2">
      <c r="A16" s="3">
        <v>10</v>
      </c>
      <c r="B16" s="4" t="s">
        <v>304</v>
      </c>
      <c r="C16" s="4" t="s">
        <v>305</v>
      </c>
      <c r="D16" s="4" t="s">
        <v>19</v>
      </c>
      <c r="E16" s="5">
        <v>1494828</v>
      </c>
      <c r="F16" s="6">
        <v>9519.0647040000003</v>
      </c>
      <c r="G16" s="7">
        <v>3.3597071999999999E-2</v>
      </c>
      <c r="H16" s="47"/>
    </row>
    <row r="17" spans="1:10" ht="17.100000000000001" customHeight="1" x14ac:dyDescent="0.2">
      <c r="A17" s="3">
        <v>11</v>
      </c>
      <c r="B17" s="4" t="s">
        <v>397</v>
      </c>
      <c r="C17" s="4" t="s">
        <v>398</v>
      </c>
      <c r="D17" s="4" t="s">
        <v>191</v>
      </c>
      <c r="E17" s="5">
        <v>280401</v>
      </c>
      <c r="F17" s="6">
        <v>9160.9810710000002</v>
      </c>
      <c r="G17" s="7">
        <v>3.2333233000000003E-2</v>
      </c>
      <c r="H17" s="47"/>
    </row>
    <row r="18" spans="1:10" ht="53.1" customHeight="1" x14ac:dyDescent="0.2">
      <c r="A18" s="3">
        <v>12</v>
      </c>
      <c r="B18" s="4" t="s">
        <v>60</v>
      </c>
      <c r="C18" s="4" t="s">
        <v>61</v>
      </c>
      <c r="D18" s="4" t="s">
        <v>62</v>
      </c>
      <c r="E18" s="5">
        <v>4651000</v>
      </c>
      <c r="F18" s="6">
        <v>6874.1779999999999</v>
      </c>
      <c r="G18" s="7">
        <v>2.4262074000000002E-2</v>
      </c>
      <c r="H18" s="47"/>
    </row>
    <row r="19" spans="1:10" ht="17.100000000000001" customHeight="1" x14ac:dyDescent="0.2">
      <c r="A19" s="3">
        <v>13</v>
      </c>
      <c r="B19" s="4" t="s">
        <v>294</v>
      </c>
      <c r="C19" s="4" t="s">
        <v>295</v>
      </c>
      <c r="D19" s="4" t="s">
        <v>296</v>
      </c>
      <c r="E19" s="5">
        <v>811000</v>
      </c>
      <c r="F19" s="6">
        <v>6411.3604999999998</v>
      </c>
      <c r="G19" s="7">
        <v>2.2628582000000001E-2</v>
      </c>
      <c r="H19" s="47"/>
    </row>
    <row r="20" spans="1:10" ht="17.100000000000001" customHeight="1" x14ac:dyDescent="0.2">
      <c r="A20" s="3">
        <v>14</v>
      </c>
      <c r="B20" s="4" t="s">
        <v>83</v>
      </c>
      <c r="C20" s="4" t="s">
        <v>84</v>
      </c>
      <c r="D20" s="4" t="s">
        <v>85</v>
      </c>
      <c r="E20" s="5">
        <v>68000</v>
      </c>
      <c r="F20" s="6">
        <v>5760.11</v>
      </c>
      <c r="G20" s="7">
        <v>2.0330026000000001E-2</v>
      </c>
      <c r="H20" s="47"/>
    </row>
    <row r="21" spans="1:10" ht="29.1" customHeight="1" x14ac:dyDescent="0.2">
      <c r="A21" s="3">
        <v>15</v>
      </c>
      <c r="B21" s="4" t="s">
        <v>510</v>
      </c>
      <c r="C21" s="4" t="s">
        <v>511</v>
      </c>
      <c r="D21" s="4" t="s">
        <v>204</v>
      </c>
      <c r="E21" s="5">
        <v>584570</v>
      </c>
      <c r="F21" s="6">
        <v>5361.6760400000003</v>
      </c>
      <c r="G21" s="7">
        <v>1.8923773000000001E-2</v>
      </c>
      <c r="H21" s="47"/>
    </row>
    <row r="22" spans="1:10" ht="17.100000000000001" customHeight="1" x14ac:dyDescent="0.2">
      <c r="A22" s="3">
        <v>16</v>
      </c>
      <c r="B22" s="4" t="s">
        <v>623</v>
      </c>
      <c r="C22" s="4" t="s">
        <v>624</v>
      </c>
      <c r="D22" s="4" t="s">
        <v>296</v>
      </c>
      <c r="E22" s="5">
        <v>649734</v>
      </c>
      <c r="F22" s="6">
        <v>4936.3540650000004</v>
      </c>
      <c r="G22" s="7">
        <v>1.742262E-2</v>
      </c>
      <c r="H22" s="47"/>
    </row>
    <row r="23" spans="1:10" ht="17.100000000000001" customHeight="1" x14ac:dyDescent="0.2">
      <c r="A23" s="3">
        <v>17</v>
      </c>
      <c r="B23" s="4" t="s">
        <v>29</v>
      </c>
      <c r="C23" s="4" t="s">
        <v>30</v>
      </c>
      <c r="D23" s="4" t="s">
        <v>31</v>
      </c>
      <c r="E23" s="5">
        <v>3277836</v>
      </c>
      <c r="F23" s="6">
        <v>4684.0276439999998</v>
      </c>
      <c r="G23" s="7">
        <v>1.6532046000000002E-2</v>
      </c>
      <c r="H23" s="47"/>
    </row>
    <row r="24" spans="1:10" ht="29.1" customHeight="1" x14ac:dyDescent="0.2">
      <c r="A24" s="3">
        <v>18</v>
      </c>
      <c r="B24" s="4" t="s">
        <v>370</v>
      </c>
      <c r="C24" s="4" t="s">
        <v>371</v>
      </c>
      <c r="D24" s="4" t="s">
        <v>238</v>
      </c>
      <c r="E24" s="5">
        <v>634201</v>
      </c>
      <c r="F24" s="6">
        <v>4479.6787635000001</v>
      </c>
      <c r="G24" s="7">
        <v>1.5810807E-2</v>
      </c>
      <c r="H24" s="47"/>
    </row>
    <row r="25" spans="1:10" ht="17.100000000000001" customHeight="1" x14ac:dyDescent="0.2">
      <c r="A25" s="3">
        <v>19</v>
      </c>
      <c r="B25" s="4" t="s">
        <v>364</v>
      </c>
      <c r="C25" s="4" t="s">
        <v>365</v>
      </c>
      <c r="D25" s="4" t="s">
        <v>91</v>
      </c>
      <c r="E25" s="5">
        <v>39898</v>
      </c>
      <c r="F25" s="6">
        <v>4361.5496149999999</v>
      </c>
      <c r="G25" s="7">
        <v>1.5393875E-2</v>
      </c>
      <c r="H25" s="47"/>
    </row>
    <row r="26" spans="1:10" ht="29.1" customHeight="1" x14ac:dyDescent="0.2">
      <c r="A26" s="3">
        <v>20</v>
      </c>
      <c r="B26" s="4" t="s">
        <v>330</v>
      </c>
      <c r="C26" s="4" t="s">
        <v>331</v>
      </c>
      <c r="D26" s="4" t="s">
        <v>204</v>
      </c>
      <c r="E26" s="5">
        <v>160000</v>
      </c>
      <c r="F26" s="6">
        <v>4322.72</v>
      </c>
      <c r="G26" s="7">
        <v>1.5256828E-2</v>
      </c>
      <c r="H26" s="47"/>
      <c r="J26" s="147" t="s">
        <v>1140</v>
      </c>
    </row>
    <row r="27" spans="1:10" ht="29.1" customHeight="1" x14ac:dyDescent="0.2">
      <c r="A27" s="3">
        <v>21</v>
      </c>
      <c r="B27" s="4" t="s">
        <v>89</v>
      </c>
      <c r="C27" s="4" t="s">
        <v>90</v>
      </c>
      <c r="D27" s="4" t="s">
        <v>91</v>
      </c>
      <c r="E27" s="5">
        <v>639055</v>
      </c>
      <c r="F27" s="6">
        <v>3958.945725</v>
      </c>
      <c r="G27" s="7">
        <v>1.3972905000000001E-2</v>
      </c>
      <c r="H27" s="47"/>
    </row>
    <row r="28" spans="1:10" ht="17.100000000000001" customHeight="1" x14ac:dyDescent="0.2">
      <c r="A28" s="3">
        <v>22</v>
      </c>
      <c r="B28" s="4" t="s">
        <v>399</v>
      </c>
      <c r="C28" s="4" t="s">
        <v>400</v>
      </c>
      <c r="D28" s="4" t="s">
        <v>321</v>
      </c>
      <c r="E28" s="5">
        <v>365000</v>
      </c>
      <c r="F28" s="6">
        <v>3947.84</v>
      </c>
      <c r="G28" s="7">
        <v>1.3933708E-2</v>
      </c>
      <c r="H28" s="47"/>
    </row>
    <row r="29" spans="1:10" ht="17.100000000000001" customHeight="1" x14ac:dyDescent="0.2">
      <c r="A29" s="3">
        <v>23</v>
      </c>
      <c r="B29" s="4" t="s">
        <v>420</v>
      </c>
      <c r="C29" s="4" t="s">
        <v>421</v>
      </c>
      <c r="D29" s="4" t="s">
        <v>19</v>
      </c>
      <c r="E29" s="5">
        <v>213122</v>
      </c>
      <c r="F29" s="6">
        <v>3540.1695420000001</v>
      </c>
      <c r="G29" s="7">
        <v>1.2494854999999999E-2</v>
      </c>
      <c r="H29" s="47"/>
    </row>
    <row r="30" spans="1:10" ht="17.100000000000001" customHeight="1" x14ac:dyDescent="0.2">
      <c r="A30" s="3">
        <v>24</v>
      </c>
      <c r="B30" s="4" t="s">
        <v>595</v>
      </c>
      <c r="C30" s="4" t="s">
        <v>596</v>
      </c>
      <c r="D30" s="4" t="s">
        <v>85</v>
      </c>
      <c r="E30" s="5">
        <v>84000</v>
      </c>
      <c r="F30" s="6">
        <v>3113.5439999999999</v>
      </c>
      <c r="G30" s="7">
        <v>1.0989100999999999E-2</v>
      </c>
      <c r="H30" s="47"/>
    </row>
    <row r="31" spans="1:10" ht="17.100000000000001" customHeight="1" x14ac:dyDescent="0.2">
      <c r="A31" s="3">
        <v>25</v>
      </c>
      <c r="B31" s="4" t="s">
        <v>538</v>
      </c>
      <c r="C31" s="45" t="s">
        <v>1065</v>
      </c>
      <c r="D31" s="4" t="s">
        <v>85</v>
      </c>
      <c r="E31" s="5">
        <v>1420000</v>
      </c>
      <c r="F31" s="6">
        <v>2808.76</v>
      </c>
      <c r="G31" s="7">
        <v>9.9133810000000006E-3</v>
      </c>
      <c r="H31" s="47"/>
    </row>
    <row r="32" spans="1:10" ht="17.100000000000001" customHeight="1" x14ac:dyDescent="0.2">
      <c r="A32" s="3">
        <v>26</v>
      </c>
      <c r="B32" s="4" t="s">
        <v>408</v>
      </c>
      <c r="C32" s="4" t="s">
        <v>409</v>
      </c>
      <c r="D32" s="4" t="s">
        <v>191</v>
      </c>
      <c r="E32" s="5">
        <v>285965</v>
      </c>
      <c r="F32" s="6">
        <v>2783.1543624999999</v>
      </c>
      <c r="G32" s="7">
        <v>9.8230069999999999E-3</v>
      </c>
      <c r="H32" s="47"/>
    </row>
    <row r="33" spans="1:8" ht="17.100000000000001" customHeight="1" x14ac:dyDescent="0.2">
      <c r="A33" s="3">
        <v>27</v>
      </c>
      <c r="B33" s="4" t="s">
        <v>416</v>
      </c>
      <c r="C33" s="4" t="s">
        <v>417</v>
      </c>
      <c r="D33" s="4" t="s">
        <v>19</v>
      </c>
      <c r="E33" s="5">
        <v>331924</v>
      </c>
      <c r="F33" s="6">
        <v>2636.6382939999999</v>
      </c>
      <c r="G33" s="7">
        <v>9.3058859999999993E-3</v>
      </c>
      <c r="H33" s="47"/>
    </row>
    <row r="34" spans="1:8" ht="17.100000000000001" customHeight="1" x14ac:dyDescent="0.2">
      <c r="A34" s="3">
        <v>28</v>
      </c>
      <c r="B34" s="4" t="s">
        <v>410</v>
      </c>
      <c r="C34" s="4" t="s">
        <v>411</v>
      </c>
      <c r="D34" s="4" t="s">
        <v>191</v>
      </c>
      <c r="E34" s="5">
        <v>571413</v>
      </c>
      <c r="F34" s="6">
        <v>2377.3637865000001</v>
      </c>
      <c r="G34" s="7">
        <v>8.3907889999999992E-3</v>
      </c>
      <c r="H34" s="47"/>
    </row>
    <row r="35" spans="1:8" ht="29.1" customHeight="1" x14ac:dyDescent="0.2">
      <c r="A35" s="3">
        <v>29</v>
      </c>
      <c r="B35" s="4" t="s">
        <v>708</v>
      </c>
      <c r="C35" s="4" t="s">
        <v>709</v>
      </c>
      <c r="D35" s="4" t="s">
        <v>351</v>
      </c>
      <c r="E35" s="5">
        <v>16757</v>
      </c>
      <c r="F35" s="6">
        <v>2240.2684654999998</v>
      </c>
      <c r="G35" s="7">
        <v>7.9069180000000006E-3</v>
      </c>
      <c r="H35" s="47"/>
    </row>
    <row r="36" spans="1:8" ht="29.1" customHeight="1" x14ac:dyDescent="0.2">
      <c r="A36" s="3">
        <v>30</v>
      </c>
      <c r="B36" s="4" t="s">
        <v>167</v>
      </c>
      <c r="C36" s="4" t="s">
        <v>168</v>
      </c>
      <c r="D36" s="4" t="s">
        <v>25</v>
      </c>
      <c r="E36" s="5">
        <v>511927</v>
      </c>
      <c r="F36" s="6">
        <v>1858.29501</v>
      </c>
      <c r="G36" s="7">
        <v>6.5587609999999998E-3</v>
      </c>
      <c r="H36" s="47"/>
    </row>
    <row r="37" spans="1:8" ht="17.100000000000001" customHeight="1" x14ac:dyDescent="0.2">
      <c r="A37" s="3">
        <v>31</v>
      </c>
      <c r="B37" s="4" t="s">
        <v>403</v>
      </c>
      <c r="C37" s="4" t="s">
        <v>404</v>
      </c>
      <c r="D37" s="4" t="s">
        <v>405</v>
      </c>
      <c r="E37" s="5">
        <v>81167</v>
      </c>
      <c r="F37" s="6">
        <v>1810.5111019999999</v>
      </c>
      <c r="G37" s="7">
        <v>6.3901100000000001E-3</v>
      </c>
      <c r="H37" s="47"/>
    </row>
    <row r="38" spans="1:8" ht="17.100000000000001" customHeight="1" x14ac:dyDescent="0.2">
      <c r="A38" s="3">
        <v>32</v>
      </c>
      <c r="B38" s="4" t="s">
        <v>426</v>
      </c>
      <c r="C38" s="4" t="s">
        <v>427</v>
      </c>
      <c r="D38" s="4" t="s">
        <v>428</v>
      </c>
      <c r="E38" s="5">
        <v>518576</v>
      </c>
      <c r="F38" s="6">
        <v>1756.1576239999999</v>
      </c>
      <c r="G38" s="7">
        <v>6.1982720000000003E-3</v>
      </c>
      <c r="H38" s="47"/>
    </row>
    <row r="39" spans="1:8" ht="17.100000000000001" customHeight="1" x14ac:dyDescent="0.2">
      <c r="A39" s="3">
        <v>33</v>
      </c>
      <c r="B39" s="4" t="s">
        <v>356</v>
      </c>
      <c r="C39" s="4" t="s">
        <v>357</v>
      </c>
      <c r="D39" s="4" t="s">
        <v>243</v>
      </c>
      <c r="E39" s="5">
        <v>695601</v>
      </c>
      <c r="F39" s="6">
        <v>1489.281741</v>
      </c>
      <c r="G39" s="7">
        <v>5.2563469999999998E-3</v>
      </c>
      <c r="H39" s="47"/>
    </row>
    <row r="40" spans="1:8" ht="17.100000000000001" customHeight="1" x14ac:dyDescent="0.2">
      <c r="A40" s="3">
        <v>34</v>
      </c>
      <c r="B40" s="4" t="s">
        <v>313</v>
      </c>
      <c r="C40" s="4" t="s">
        <v>314</v>
      </c>
      <c r="D40" s="4" t="s">
        <v>209</v>
      </c>
      <c r="E40" s="5">
        <v>36866</v>
      </c>
      <c r="F40" s="6">
        <v>1357.95911</v>
      </c>
      <c r="G40" s="7">
        <v>4.7928500000000004E-3</v>
      </c>
      <c r="H40" s="47"/>
    </row>
    <row r="41" spans="1:8" ht="29.1" customHeight="1" x14ac:dyDescent="0.2">
      <c r="A41" s="3">
        <v>35</v>
      </c>
      <c r="B41" s="4" t="s">
        <v>23</v>
      </c>
      <c r="C41" s="4" t="s">
        <v>24</v>
      </c>
      <c r="D41" s="4" t="s">
        <v>25</v>
      </c>
      <c r="E41" s="5">
        <v>24067</v>
      </c>
      <c r="F41" s="6">
        <v>1349.5088909999999</v>
      </c>
      <c r="G41" s="7">
        <v>4.7630249999999997E-3</v>
      </c>
      <c r="H41" s="47"/>
    </row>
    <row r="42" spans="1:8" ht="17.100000000000001" customHeight="1" x14ac:dyDescent="0.2">
      <c r="A42" s="3">
        <v>36</v>
      </c>
      <c r="B42" s="4" t="s">
        <v>434</v>
      </c>
      <c r="C42" s="4" t="s">
        <v>435</v>
      </c>
      <c r="D42" s="4" t="s">
        <v>19</v>
      </c>
      <c r="E42" s="5">
        <v>700000</v>
      </c>
      <c r="F42" s="6">
        <v>1268.75</v>
      </c>
      <c r="G42" s="7">
        <v>4.4779909999999997E-3</v>
      </c>
      <c r="H42" s="47"/>
    </row>
    <row r="43" spans="1:8" ht="29.1" customHeight="1" x14ac:dyDescent="0.2">
      <c r="A43" s="3">
        <v>37</v>
      </c>
      <c r="B43" s="4" t="s">
        <v>175</v>
      </c>
      <c r="C43" s="4" t="s">
        <v>176</v>
      </c>
      <c r="D43" s="4" t="s">
        <v>88</v>
      </c>
      <c r="E43" s="5">
        <v>366000</v>
      </c>
      <c r="F43" s="6">
        <v>1244.9490000000001</v>
      </c>
      <c r="G43" s="7">
        <v>4.3939859999999999E-3</v>
      </c>
      <c r="H43" s="47"/>
    </row>
    <row r="44" spans="1:8" ht="29.1" customHeight="1" x14ac:dyDescent="0.2">
      <c r="A44" s="3">
        <v>38</v>
      </c>
      <c r="B44" s="4" t="s">
        <v>631</v>
      </c>
      <c r="C44" s="4" t="s">
        <v>632</v>
      </c>
      <c r="D44" s="4" t="s">
        <v>321</v>
      </c>
      <c r="E44" s="5">
        <v>103000</v>
      </c>
      <c r="F44" s="6">
        <v>1154.5785000000001</v>
      </c>
      <c r="G44" s="7">
        <v>4.0750279999999996E-3</v>
      </c>
      <c r="H44" s="47"/>
    </row>
    <row r="45" spans="1:8" ht="29.1" customHeight="1" x14ac:dyDescent="0.2">
      <c r="A45" s="3">
        <v>39</v>
      </c>
      <c r="B45" s="4" t="s">
        <v>297</v>
      </c>
      <c r="C45" s="4" t="s">
        <v>298</v>
      </c>
      <c r="D45" s="4" t="s">
        <v>201</v>
      </c>
      <c r="E45" s="5">
        <v>45821</v>
      </c>
      <c r="F45" s="6">
        <v>1031.980562</v>
      </c>
      <c r="G45" s="7">
        <v>3.6423250000000001E-3</v>
      </c>
      <c r="H45" s="47"/>
    </row>
    <row r="46" spans="1:8" ht="17.100000000000001" customHeight="1" x14ac:dyDescent="0.2">
      <c r="A46" s="3">
        <v>40</v>
      </c>
      <c r="B46" s="4" t="s">
        <v>429</v>
      </c>
      <c r="C46" s="45" t="s">
        <v>1012</v>
      </c>
      <c r="D46" s="4" t="s">
        <v>22</v>
      </c>
      <c r="E46" s="5">
        <v>312079</v>
      </c>
      <c r="F46" s="6">
        <v>943.72689600000001</v>
      </c>
      <c r="G46" s="7">
        <v>3.330838E-3</v>
      </c>
      <c r="H46" s="47"/>
    </row>
    <row r="47" spans="1:8" ht="29.1" customHeight="1" x14ac:dyDescent="0.2">
      <c r="A47" s="3">
        <v>41</v>
      </c>
      <c r="B47" s="4" t="s">
        <v>57</v>
      </c>
      <c r="C47" s="4" t="s">
        <v>58</v>
      </c>
      <c r="D47" s="4" t="s">
        <v>59</v>
      </c>
      <c r="E47" s="5">
        <v>139388</v>
      </c>
      <c r="F47" s="6">
        <v>936.75705400000004</v>
      </c>
      <c r="G47" s="7">
        <v>3.306238E-3</v>
      </c>
      <c r="H47" s="47"/>
    </row>
    <row r="48" spans="1:8" ht="17.100000000000001" customHeight="1" x14ac:dyDescent="0.2">
      <c r="A48" s="3">
        <v>42</v>
      </c>
      <c r="B48" s="4" t="s">
        <v>464</v>
      </c>
      <c r="C48" s="4" t="s">
        <v>465</v>
      </c>
      <c r="D48" s="4" t="s">
        <v>321</v>
      </c>
      <c r="E48" s="5">
        <v>134670</v>
      </c>
      <c r="F48" s="6">
        <v>907.54112999999995</v>
      </c>
      <c r="G48" s="7">
        <v>3.2031220000000001E-3</v>
      </c>
      <c r="H48" s="47"/>
    </row>
    <row r="49" spans="1:8" ht="17.100000000000001" customHeight="1" x14ac:dyDescent="0.2">
      <c r="A49" s="3">
        <v>43</v>
      </c>
      <c r="B49" s="4" t="s">
        <v>677</v>
      </c>
      <c r="C49" s="4" t="s">
        <v>678</v>
      </c>
      <c r="D49" s="4" t="s">
        <v>351</v>
      </c>
      <c r="E49" s="5">
        <v>103365</v>
      </c>
      <c r="F49" s="6">
        <v>783.04155749999995</v>
      </c>
      <c r="G49" s="7">
        <v>2.7637069999999998E-3</v>
      </c>
      <c r="H49" s="47"/>
    </row>
    <row r="50" spans="1:8" ht="17.100000000000001" customHeight="1" x14ac:dyDescent="0.2">
      <c r="A50" s="3">
        <v>44</v>
      </c>
      <c r="B50" s="4" t="s">
        <v>440</v>
      </c>
      <c r="C50" s="4" t="s">
        <v>441</v>
      </c>
      <c r="D50" s="4" t="s">
        <v>91</v>
      </c>
      <c r="E50" s="5">
        <v>13542</v>
      </c>
      <c r="F50" s="6">
        <v>731.33570999999995</v>
      </c>
      <c r="G50" s="7">
        <v>2.5812140000000001E-3</v>
      </c>
      <c r="H50" s="47"/>
    </row>
    <row r="51" spans="1:8" ht="17.100000000000001" customHeight="1" x14ac:dyDescent="0.2">
      <c r="A51" s="3">
        <v>45</v>
      </c>
      <c r="B51" s="4" t="s">
        <v>462</v>
      </c>
      <c r="C51" s="4" t="s">
        <v>463</v>
      </c>
      <c r="D51" s="4" t="s">
        <v>88</v>
      </c>
      <c r="E51" s="5">
        <v>35309</v>
      </c>
      <c r="F51" s="6">
        <v>685.43596249999996</v>
      </c>
      <c r="G51" s="7">
        <v>2.4192129999999999E-3</v>
      </c>
      <c r="H51" s="47"/>
    </row>
    <row r="52" spans="1:8" ht="17.100000000000001" customHeight="1" x14ac:dyDescent="0.2">
      <c r="A52" s="3">
        <v>46</v>
      </c>
      <c r="B52" s="4" t="s">
        <v>532</v>
      </c>
      <c r="C52" s="4" t="s">
        <v>533</v>
      </c>
      <c r="D52" s="4" t="s">
        <v>191</v>
      </c>
      <c r="E52" s="5">
        <v>46374</v>
      </c>
      <c r="F52" s="6">
        <v>654.75450599999999</v>
      </c>
      <c r="G52" s="7">
        <v>2.3109239999999998E-3</v>
      </c>
      <c r="H52" s="47"/>
    </row>
    <row r="53" spans="1:8" ht="17.100000000000001" customHeight="1" x14ac:dyDescent="0.2">
      <c r="A53" s="3">
        <v>47</v>
      </c>
      <c r="B53" s="4" t="s">
        <v>372</v>
      </c>
      <c r="C53" s="4" t="s">
        <v>373</v>
      </c>
      <c r="D53" s="4" t="s">
        <v>28</v>
      </c>
      <c r="E53" s="5">
        <v>38585</v>
      </c>
      <c r="F53" s="6">
        <v>638.774675</v>
      </c>
      <c r="G53" s="7">
        <v>2.2545239999999999E-3</v>
      </c>
      <c r="H53" s="47"/>
    </row>
    <row r="54" spans="1:8" ht="29.1" customHeight="1" x14ac:dyDescent="0.2">
      <c r="A54" s="3">
        <v>48</v>
      </c>
      <c r="B54" s="4" t="s">
        <v>436</v>
      </c>
      <c r="C54" s="4" t="s">
        <v>437</v>
      </c>
      <c r="D54" s="4" t="s">
        <v>204</v>
      </c>
      <c r="E54" s="5">
        <v>13721</v>
      </c>
      <c r="F54" s="6">
        <v>498.127184</v>
      </c>
      <c r="G54" s="7">
        <v>1.758115E-3</v>
      </c>
      <c r="H54" s="47"/>
    </row>
    <row r="55" spans="1:8" ht="17.100000000000001" customHeight="1" x14ac:dyDescent="0.2">
      <c r="A55" s="3">
        <v>49</v>
      </c>
      <c r="B55" s="4" t="s">
        <v>442</v>
      </c>
      <c r="C55" s="4" t="s">
        <v>443</v>
      </c>
      <c r="D55" s="4" t="s">
        <v>85</v>
      </c>
      <c r="E55" s="5">
        <v>58791</v>
      </c>
      <c r="F55" s="6">
        <v>242.101338</v>
      </c>
      <c r="G55" s="7">
        <v>8.5448499999999999E-4</v>
      </c>
      <c r="H55" s="47"/>
    </row>
    <row r="56" spans="1:8" ht="14.1" customHeight="1" x14ac:dyDescent="0.2">
      <c r="A56" s="1"/>
      <c r="B56" s="1"/>
      <c r="C56" s="2" t="s">
        <v>122</v>
      </c>
      <c r="D56" s="1"/>
      <c r="E56" s="1" t="s">
        <v>123</v>
      </c>
      <c r="F56" s="9">
        <v>271821.19559650001</v>
      </c>
      <c r="G56" s="10">
        <v>0.95937958200000018</v>
      </c>
      <c r="H56" s="47"/>
    </row>
    <row r="57" spans="1:8" ht="14.1" customHeight="1" x14ac:dyDescent="0.2">
      <c r="A57" s="1"/>
      <c r="B57" s="1"/>
      <c r="C57" s="11"/>
      <c r="D57" s="1"/>
      <c r="E57" s="1"/>
      <c r="F57" s="12"/>
      <c r="G57" s="12"/>
      <c r="H57" s="47"/>
    </row>
    <row r="58" spans="1:8" ht="14.1" customHeight="1" x14ac:dyDescent="0.2">
      <c r="A58" s="1"/>
      <c r="B58" s="1"/>
      <c r="C58" s="2" t="s">
        <v>124</v>
      </c>
      <c r="D58" s="1"/>
      <c r="E58" s="1"/>
      <c r="F58" s="1"/>
      <c r="G58" s="1"/>
      <c r="H58" s="47"/>
    </row>
    <row r="59" spans="1:8" ht="14.1" customHeight="1" x14ac:dyDescent="0.2">
      <c r="A59" s="1"/>
      <c r="B59" s="1"/>
      <c r="C59" s="2" t="s">
        <v>122</v>
      </c>
      <c r="D59" s="1"/>
      <c r="E59" s="1" t="s">
        <v>123</v>
      </c>
      <c r="F59" s="13">
        <v>0</v>
      </c>
      <c r="G59" s="14">
        <v>0</v>
      </c>
      <c r="H59" s="47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47"/>
    </row>
    <row r="61" spans="1:8" ht="14.1" customHeight="1" x14ac:dyDescent="0.2">
      <c r="A61" s="1"/>
      <c r="B61" s="1"/>
      <c r="C61" s="2" t="s">
        <v>125</v>
      </c>
      <c r="D61" s="1"/>
      <c r="E61" s="1"/>
      <c r="F61" s="1"/>
      <c r="G61" s="1"/>
      <c r="H61" s="47"/>
    </row>
    <row r="62" spans="1:8" ht="14.1" customHeight="1" x14ac:dyDescent="0.2">
      <c r="A62" s="1"/>
      <c r="B62" s="1"/>
      <c r="C62" s="2" t="s">
        <v>122</v>
      </c>
      <c r="D62" s="1"/>
      <c r="E62" s="1" t="s">
        <v>123</v>
      </c>
      <c r="F62" s="13">
        <v>0</v>
      </c>
      <c r="G62" s="14">
        <v>0</v>
      </c>
      <c r="H62" s="47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47"/>
    </row>
    <row r="64" spans="1:8" ht="14.1" customHeight="1" x14ac:dyDescent="0.2">
      <c r="A64" s="1"/>
      <c r="B64" s="1"/>
      <c r="C64" s="2" t="s">
        <v>126</v>
      </c>
      <c r="D64" s="1"/>
      <c r="E64" s="1"/>
      <c r="F64" s="1"/>
      <c r="G64" s="1"/>
      <c r="H64" s="47"/>
    </row>
    <row r="65" spans="1:8" ht="14.1" customHeight="1" x14ac:dyDescent="0.2">
      <c r="A65" s="1"/>
      <c r="B65" s="1"/>
      <c r="C65" s="2" t="s">
        <v>122</v>
      </c>
      <c r="D65" s="1"/>
      <c r="E65" s="1" t="s">
        <v>123</v>
      </c>
      <c r="F65" s="9">
        <v>0</v>
      </c>
      <c r="G65" s="10">
        <v>0</v>
      </c>
      <c r="H65" s="47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47"/>
    </row>
    <row r="67" spans="1:8" ht="14.1" customHeight="1" x14ac:dyDescent="0.2">
      <c r="A67" s="1"/>
      <c r="B67" s="1"/>
      <c r="C67" s="2" t="s">
        <v>127</v>
      </c>
      <c r="D67" s="1"/>
      <c r="E67" s="1"/>
      <c r="F67" s="12"/>
      <c r="G67" s="12"/>
      <c r="H67" s="47"/>
    </row>
    <row r="68" spans="1:8" ht="25.5" x14ac:dyDescent="0.2">
      <c r="A68" s="50">
        <v>1</v>
      </c>
      <c r="B68" s="45" t="s">
        <v>1008</v>
      </c>
      <c r="C68" s="45" t="s">
        <v>1009</v>
      </c>
      <c r="D68" s="45" t="s">
        <v>91</v>
      </c>
      <c r="E68" s="46">
        <v>90000</v>
      </c>
      <c r="F68" s="47">
        <v>351.94499999999999</v>
      </c>
      <c r="G68" s="48">
        <v>1.2421699999999999E-3</v>
      </c>
      <c r="H68" s="47"/>
    </row>
    <row r="69" spans="1:8" ht="14.1" customHeight="1" x14ac:dyDescent="0.2">
      <c r="A69" s="1"/>
      <c r="B69" s="1"/>
      <c r="C69" s="2" t="s">
        <v>122</v>
      </c>
      <c r="D69" s="1"/>
      <c r="E69" s="1" t="s">
        <v>123</v>
      </c>
      <c r="F69" s="13">
        <v>351.94499999999999</v>
      </c>
      <c r="G69" s="14">
        <v>1.2421699999999999E-3</v>
      </c>
      <c r="H69" s="47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47"/>
    </row>
    <row r="71" spans="1:8" ht="14.1" customHeight="1" x14ac:dyDescent="0.2">
      <c r="A71" s="1"/>
      <c r="B71" s="1"/>
      <c r="C71" s="2" t="s">
        <v>128</v>
      </c>
      <c r="D71" s="1"/>
      <c r="E71" s="1"/>
      <c r="F71" s="12"/>
      <c r="G71" s="12"/>
      <c r="H71" s="47"/>
    </row>
    <row r="72" spans="1:8" ht="14.1" customHeight="1" x14ac:dyDescent="0.2">
      <c r="A72" s="1"/>
      <c r="B72" s="1"/>
      <c r="C72" s="2" t="s">
        <v>122</v>
      </c>
      <c r="D72" s="1"/>
      <c r="E72" s="1" t="s">
        <v>123</v>
      </c>
      <c r="F72" s="13">
        <v>0</v>
      </c>
      <c r="G72" s="14">
        <v>0</v>
      </c>
      <c r="H72" s="47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47"/>
    </row>
    <row r="74" spans="1:8" ht="18" customHeight="1" x14ac:dyDescent="0.2">
      <c r="A74" s="1"/>
      <c r="B74" s="1"/>
      <c r="C74" s="2" t="s">
        <v>129</v>
      </c>
      <c r="D74" s="1"/>
      <c r="E74" s="1"/>
      <c r="F74" s="9">
        <f>271821.1955965+F69</f>
        <v>272173.14059650002</v>
      </c>
      <c r="G74" s="10">
        <f>95.9379582%+G69</f>
        <v>0.960621752</v>
      </c>
      <c r="H74" s="47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47"/>
    </row>
    <row r="76" spans="1:8" ht="14.1" customHeight="1" x14ac:dyDescent="0.2">
      <c r="A76" s="1"/>
      <c r="B76" s="1"/>
      <c r="C76" s="2" t="s">
        <v>130</v>
      </c>
      <c r="D76" s="1"/>
      <c r="E76" s="1"/>
      <c r="F76" s="12"/>
      <c r="G76" s="12"/>
      <c r="H76" s="47"/>
    </row>
    <row r="77" spans="1:8" ht="24" customHeight="1" x14ac:dyDescent="0.2">
      <c r="A77" s="1"/>
      <c r="B77" s="1"/>
      <c r="C77" s="2" t="s">
        <v>10</v>
      </c>
      <c r="D77" s="1"/>
      <c r="E77" s="1"/>
      <c r="F77" s="12"/>
      <c r="G77" s="12"/>
      <c r="H77" s="47"/>
    </row>
    <row r="78" spans="1:8" ht="29.1" customHeight="1" x14ac:dyDescent="0.2">
      <c r="A78" s="3">
        <v>1</v>
      </c>
      <c r="B78" s="4" t="s">
        <v>616</v>
      </c>
      <c r="C78" s="4" t="s">
        <v>617</v>
      </c>
      <c r="D78" s="4" t="s">
        <v>618</v>
      </c>
      <c r="E78" s="5">
        <v>28980</v>
      </c>
      <c r="F78" s="6">
        <v>8.1539866799999992</v>
      </c>
      <c r="G78" s="8" t="s">
        <v>121</v>
      </c>
      <c r="H78" s="47">
        <v>7.2050000000000001</v>
      </c>
    </row>
    <row r="79" spans="1:8" ht="14.1" customHeight="1" x14ac:dyDescent="0.2">
      <c r="A79" s="1"/>
      <c r="B79" s="1"/>
      <c r="C79" s="2" t="s">
        <v>122</v>
      </c>
      <c r="D79" s="1"/>
      <c r="E79" s="1" t="s">
        <v>123</v>
      </c>
      <c r="F79" s="9">
        <v>8.1539866799999992</v>
      </c>
      <c r="G79" s="10">
        <v>2.8779E-5</v>
      </c>
      <c r="H79" s="47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47"/>
    </row>
    <row r="81" spans="1:8" ht="14.1" customHeight="1" x14ac:dyDescent="0.2">
      <c r="A81" s="1"/>
      <c r="B81" s="1"/>
      <c r="C81" s="2" t="s">
        <v>131</v>
      </c>
      <c r="D81" s="1"/>
      <c r="E81" s="1"/>
      <c r="F81" s="1"/>
      <c r="G81" s="1"/>
      <c r="H81" s="47"/>
    </row>
    <row r="82" spans="1:8" ht="14.1" customHeight="1" x14ac:dyDescent="0.2">
      <c r="A82" s="1"/>
      <c r="B82" s="1"/>
      <c r="C82" s="2" t="s">
        <v>122</v>
      </c>
      <c r="D82" s="1"/>
      <c r="E82" s="1" t="s">
        <v>123</v>
      </c>
      <c r="F82" s="13">
        <v>0</v>
      </c>
      <c r="G82" s="14">
        <v>0</v>
      </c>
      <c r="H82" s="47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47"/>
    </row>
    <row r="84" spans="1:8" ht="14.1" customHeight="1" x14ac:dyDescent="0.2">
      <c r="A84" s="1"/>
      <c r="B84" s="1"/>
      <c r="C84" s="2" t="s">
        <v>132</v>
      </c>
      <c r="D84" s="1"/>
      <c r="E84" s="1"/>
      <c r="F84" s="1"/>
      <c r="G84" s="1"/>
      <c r="H84" s="47"/>
    </row>
    <row r="85" spans="1:8" ht="14.1" customHeight="1" x14ac:dyDescent="0.2">
      <c r="A85" s="1"/>
      <c r="B85" s="1"/>
      <c r="C85" s="2" t="s">
        <v>122</v>
      </c>
      <c r="D85" s="1"/>
      <c r="E85" s="1" t="s">
        <v>123</v>
      </c>
      <c r="F85" s="13">
        <v>0</v>
      </c>
      <c r="G85" s="14">
        <v>0</v>
      </c>
      <c r="H85" s="47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47"/>
    </row>
    <row r="87" spans="1:8" ht="14.1" customHeight="1" x14ac:dyDescent="0.2">
      <c r="A87" s="1"/>
      <c r="B87" s="1"/>
      <c r="C87" s="2" t="s">
        <v>133</v>
      </c>
      <c r="D87" s="1"/>
      <c r="E87" s="1"/>
      <c r="F87" s="12"/>
      <c r="G87" s="12"/>
      <c r="H87" s="47"/>
    </row>
    <row r="88" spans="1:8" ht="14.1" customHeight="1" x14ac:dyDescent="0.2">
      <c r="A88" s="1"/>
      <c r="B88" s="1"/>
      <c r="C88" s="2" t="s">
        <v>122</v>
      </c>
      <c r="D88" s="1"/>
      <c r="E88" s="1" t="s">
        <v>123</v>
      </c>
      <c r="F88" s="13">
        <v>0</v>
      </c>
      <c r="G88" s="14">
        <v>0</v>
      </c>
      <c r="H88" s="47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134</v>
      </c>
      <c r="D90" s="1"/>
      <c r="E90" s="1"/>
      <c r="F90" s="9">
        <v>8.1539866799999992</v>
      </c>
      <c r="G90" s="10">
        <v>2.8779E-5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4.1" customHeight="1" x14ac:dyDescent="0.2">
      <c r="A92" s="1"/>
      <c r="B92" s="1"/>
      <c r="C92" s="2" t="s">
        <v>135</v>
      </c>
      <c r="D92" s="1"/>
      <c r="E92" s="1"/>
      <c r="F92" s="12"/>
      <c r="G92" s="12"/>
      <c r="H92" s="47"/>
    </row>
    <row r="93" spans="1:8" ht="14.1" customHeight="1" x14ac:dyDescent="0.2">
      <c r="A93" s="1"/>
      <c r="B93" s="1"/>
      <c r="C93" s="2" t="s">
        <v>136</v>
      </c>
      <c r="D93" s="1"/>
      <c r="E93" s="1"/>
      <c r="F93" s="12"/>
      <c r="G93" s="12"/>
      <c r="H93" s="47"/>
    </row>
    <row r="94" spans="1:8" ht="14.1" customHeight="1" x14ac:dyDescent="0.2">
      <c r="A94" s="1"/>
      <c r="B94" s="1"/>
      <c r="C94" s="2" t="s">
        <v>122</v>
      </c>
      <c r="D94" s="1"/>
      <c r="E94" s="1" t="s">
        <v>123</v>
      </c>
      <c r="F94" s="13">
        <v>0</v>
      </c>
      <c r="G94" s="14">
        <v>0</v>
      </c>
      <c r="H94" s="47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47"/>
    </row>
    <row r="96" spans="1:8" ht="14.1" customHeight="1" x14ac:dyDescent="0.2">
      <c r="A96" s="1"/>
      <c r="B96" s="1"/>
      <c r="C96" s="2" t="s">
        <v>137</v>
      </c>
      <c r="D96" s="1"/>
      <c r="E96" s="1"/>
      <c r="F96" s="12"/>
      <c r="G96" s="12"/>
      <c r="H96" s="47"/>
    </row>
    <row r="97" spans="1:8" ht="14.1" customHeight="1" x14ac:dyDescent="0.2">
      <c r="A97" s="1"/>
      <c r="B97" s="1"/>
      <c r="C97" s="2" t="s">
        <v>122</v>
      </c>
      <c r="D97" s="1"/>
      <c r="E97" s="1" t="s">
        <v>123</v>
      </c>
      <c r="F97" s="13">
        <v>0</v>
      </c>
      <c r="G97" s="14">
        <v>0</v>
      </c>
      <c r="H97" s="47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47"/>
    </row>
    <row r="99" spans="1:8" ht="14.1" customHeight="1" x14ac:dyDescent="0.2">
      <c r="A99" s="1"/>
      <c r="B99" s="1"/>
      <c r="C99" s="2" t="s">
        <v>138</v>
      </c>
      <c r="D99" s="1"/>
      <c r="E99" s="1"/>
      <c r="F99" s="12"/>
      <c r="G99" s="12"/>
      <c r="H99" s="47"/>
    </row>
    <row r="100" spans="1:8" ht="14.1" customHeight="1" x14ac:dyDescent="0.2">
      <c r="A100" s="1"/>
      <c r="B100" s="1"/>
      <c r="C100" s="2" t="s">
        <v>122</v>
      </c>
      <c r="D100" s="1"/>
      <c r="E100" s="1" t="s">
        <v>123</v>
      </c>
      <c r="F100" s="13">
        <v>0</v>
      </c>
      <c r="G100" s="14">
        <v>0</v>
      </c>
      <c r="H100" s="47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47"/>
    </row>
    <row r="102" spans="1:8" ht="14.1" customHeight="1" x14ac:dyDescent="0.2">
      <c r="A102" s="1"/>
      <c r="B102" s="1"/>
      <c r="C102" s="2" t="s">
        <v>139</v>
      </c>
      <c r="D102" s="1"/>
      <c r="E102" s="1"/>
      <c r="F102" s="12"/>
      <c r="G102" s="12"/>
      <c r="H102" s="47"/>
    </row>
    <row r="103" spans="1:8" ht="17.100000000000001" customHeight="1" x14ac:dyDescent="0.2">
      <c r="A103" s="3">
        <v>1</v>
      </c>
      <c r="B103" s="4"/>
      <c r="C103" s="4" t="s">
        <v>140</v>
      </c>
      <c r="D103" s="4"/>
      <c r="E103" s="8"/>
      <c r="F103" s="6">
        <v>8745.9755564000006</v>
      </c>
      <c r="G103" s="7">
        <v>3.0868492000000001E-2</v>
      </c>
      <c r="H103" s="47">
        <v>4.6730752161314033</v>
      </c>
    </row>
    <row r="104" spans="1:8" ht="14.1" customHeight="1" x14ac:dyDescent="0.2">
      <c r="A104" s="1"/>
      <c r="B104" s="1"/>
      <c r="C104" s="2" t="s">
        <v>122</v>
      </c>
      <c r="D104" s="1"/>
      <c r="E104" s="1" t="s">
        <v>123</v>
      </c>
      <c r="F104" s="9">
        <v>8745.9755564000006</v>
      </c>
      <c r="G104" s="10">
        <v>3.0868492000000001E-2</v>
      </c>
      <c r="H104" s="47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47"/>
    </row>
    <row r="106" spans="1:8" ht="14.1" customHeight="1" x14ac:dyDescent="0.2">
      <c r="A106" s="1"/>
      <c r="B106" s="1"/>
      <c r="C106" s="2" t="s">
        <v>141</v>
      </c>
      <c r="D106" s="1"/>
      <c r="E106" s="1"/>
      <c r="F106" s="9">
        <v>8745.9755564000006</v>
      </c>
      <c r="G106" s="10">
        <v>3.0868492000000001E-2</v>
      </c>
      <c r="H106" s="47"/>
    </row>
    <row r="107" spans="1:8" ht="14.1" customHeight="1" x14ac:dyDescent="0.2">
      <c r="A107" s="1"/>
      <c r="B107" s="1"/>
      <c r="C107" s="12"/>
      <c r="D107" s="1"/>
      <c r="E107" s="1"/>
      <c r="F107" s="1"/>
      <c r="G107" s="1"/>
      <c r="H107" s="47"/>
    </row>
    <row r="108" spans="1:8" ht="14.1" customHeight="1" x14ac:dyDescent="0.2">
      <c r="A108" s="1"/>
      <c r="B108" s="1"/>
      <c r="C108" s="2" t="s">
        <v>142</v>
      </c>
      <c r="D108" s="1"/>
      <c r="E108" s="1"/>
      <c r="F108" s="1"/>
      <c r="G108" s="1"/>
      <c r="H108" s="47"/>
    </row>
    <row r="109" spans="1:8" ht="14.1" customHeight="1" x14ac:dyDescent="0.2">
      <c r="A109" s="1"/>
      <c r="B109" s="1"/>
      <c r="C109" s="2" t="s">
        <v>143</v>
      </c>
      <c r="D109" s="1"/>
      <c r="E109" s="1"/>
      <c r="F109" s="1"/>
      <c r="G109" s="1"/>
      <c r="H109" s="47"/>
    </row>
    <row r="110" spans="1:8" ht="14.1" customHeight="1" x14ac:dyDescent="0.2">
      <c r="A110" s="1"/>
      <c r="B110" s="1"/>
      <c r="C110" s="2" t="s">
        <v>122</v>
      </c>
      <c r="D110" s="1"/>
      <c r="E110" s="1" t="s">
        <v>123</v>
      </c>
      <c r="F110" s="13">
        <v>0</v>
      </c>
      <c r="G110" s="14">
        <v>0</v>
      </c>
      <c r="H110" s="47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47"/>
    </row>
    <row r="112" spans="1:8" ht="14.1" customHeight="1" x14ac:dyDescent="0.2">
      <c r="A112" s="1"/>
      <c r="B112" s="1"/>
      <c r="C112" s="2" t="s">
        <v>144</v>
      </c>
      <c r="D112" s="1"/>
      <c r="E112" s="1"/>
      <c r="F112" s="1"/>
      <c r="G112" s="1"/>
      <c r="H112" s="47"/>
    </row>
    <row r="113" spans="1:8" ht="14.1" customHeight="1" x14ac:dyDescent="0.2">
      <c r="A113" s="1"/>
      <c r="B113" s="1"/>
      <c r="C113" s="2" t="s">
        <v>145</v>
      </c>
      <c r="D113" s="1"/>
      <c r="E113" s="1"/>
      <c r="F113" s="1"/>
      <c r="G113" s="1"/>
      <c r="H113" s="47"/>
    </row>
    <row r="114" spans="1:8" ht="14.1" customHeight="1" x14ac:dyDescent="0.2">
      <c r="A114" s="1"/>
      <c r="B114" s="1"/>
      <c r="C114" s="2" t="s">
        <v>122</v>
      </c>
      <c r="D114" s="1"/>
      <c r="E114" s="1" t="s">
        <v>123</v>
      </c>
      <c r="F114" s="13">
        <v>0</v>
      </c>
      <c r="G114" s="14">
        <v>0</v>
      </c>
      <c r="H114" s="47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47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47"/>
    </row>
    <row r="117" spans="1:8" ht="24" customHeight="1" x14ac:dyDescent="0.2">
      <c r="A117" s="1"/>
      <c r="B117" s="1"/>
      <c r="C117" s="2" t="s">
        <v>146</v>
      </c>
      <c r="D117" s="1"/>
      <c r="E117" s="1"/>
      <c r="F117" s="12"/>
      <c r="G117" s="12"/>
      <c r="H117" s="47"/>
    </row>
    <row r="118" spans="1:8" ht="14.1" customHeight="1" x14ac:dyDescent="0.2">
      <c r="A118" s="1"/>
      <c r="B118" s="1"/>
      <c r="C118" s="2" t="s">
        <v>122</v>
      </c>
      <c r="D118" s="1"/>
      <c r="E118" s="1" t="s">
        <v>123</v>
      </c>
      <c r="F118" s="13">
        <v>0</v>
      </c>
      <c r="G118" s="14">
        <v>0</v>
      </c>
      <c r="H118" s="47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47"/>
    </row>
    <row r="120" spans="1:8" ht="14.1" customHeight="1" x14ac:dyDescent="0.2">
      <c r="A120" s="1"/>
      <c r="B120" s="4"/>
      <c r="C120" s="4"/>
      <c r="D120" s="2"/>
      <c r="E120" s="1"/>
      <c r="F120" s="4"/>
      <c r="G120" s="8"/>
      <c r="H120" s="47"/>
    </row>
    <row r="121" spans="1:8" ht="18" customHeight="1" x14ac:dyDescent="0.2">
      <c r="A121" s="8"/>
      <c r="B121" s="4"/>
      <c r="C121" s="45" t="s">
        <v>1066</v>
      </c>
      <c r="D121" s="4"/>
      <c r="E121" s="8"/>
      <c r="F121" s="6">
        <v>2402.9168459000002</v>
      </c>
      <c r="G121" s="7">
        <v>8.4809770000000007E-3</v>
      </c>
      <c r="H121" s="47"/>
    </row>
    <row r="122" spans="1:8" ht="14.1" customHeight="1" x14ac:dyDescent="0.2">
      <c r="A122" s="11"/>
      <c r="B122" s="11"/>
      <c r="C122" s="2" t="s">
        <v>148</v>
      </c>
      <c r="D122" s="15"/>
      <c r="E122" s="15"/>
      <c r="F122" s="9">
        <v>283330.18698548002</v>
      </c>
      <c r="G122" s="10">
        <v>0.99997122100000002</v>
      </c>
      <c r="H122" s="47"/>
    </row>
    <row r="123" spans="1:8" ht="14.1" customHeight="1" x14ac:dyDescent="0.2">
      <c r="A123" s="16"/>
      <c r="B123" s="16"/>
      <c r="C123" s="16"/>
      <c r="D123" s="17"/>
      <c r="E123" s="17"/>
      <c r="F123" s="17"/>
      <c r="G123" s="17"/>
    </row>
    <row r="124" spans="1:8" ht="17.100000000000001" customHeight="1" x14ac:dyDescent="0.2">
      <c r="A124" s="18"/>
      <c r="B124" s="264" t="s">
        <v>619</v>
      </c>
      <c r="C124" s="264"/>
      <c r="D124" s="264"/>
      <c r="E124" s="264"/>
      <c r="F124" s="264"/>
      <c r="G124" s="20"/>
    </row>
    <row r="125" spans="1:8" s="49" customFormat="1" ht="17.100000000000001" customHeight="1" x14ac:dyDescent="0.2">
      <c r="A125" s="97"/>
      <c r="B125" s="293" t="s">
        <v>860</v>
      </c>
      <c r="C125" s="293"/>
      <c r="D125" s="293"/>
      <c r="E125" s="293"/>
      <c r="F125" s="293"/>
      <c r="G125" s="98"/>
      <c r="H125"/>
    </row>
    <row r="126" spans="1:8" ht="17.100000000000001" customHeight="1" x14ac:dyDescent="0.2">
      <c r="A126" s="18"/>
      <c r="B126" s="264" t="s">
        <v>149</v>
      </c>
      <c r="C126" s="264"/>
      <c r="D126" s="264"/>
      <c r="E126" s="264"/>
      <c r="F126" s="264"/>
      <c r="G126" s="20"/>
    </row>
    <row r="127" spans="1:8" ht="14.1" customHeight="1" x14ac:dyDescent="0.2">
      <c r="A127" s="18"/>
      <c r="B127" s="18"/>
      <c r="C127" s="18"/>
      <c r="D127" s="20"/>
      <c r="E127" s="20"/>
      <c r="F127" s="20"/>
      <c r="G127" s="20"/>
    </row>
    <row r="128" spans="1:8" ht="14.1" customHeight="1" x14ac:dyDescent="0.2">
      <c r="A128" s="18"/>
      <c r="B128" s="257" t="s">
        <v>150</v>
      </c>
      <c r="C128" s="258"/>
      <c r="D128" s="12" t="s">
        <v>123</v>
      </c>
      <c r="E128" s="21"/>
      <c r="F128" s="20"/>
      <c r="G128" s="20"/>
    </row>
    <row r="129" spans="1:7" ht="29.1" customHeight="1" x14ac:dyDescent="0.2">
      <c r="A129" s="18"/>
      <c r="B129" s="259" t="s">
        <v>151</v>
      </c>
      <c r="C129" s="260"/>
      <c r="D129" s="2" t="s">
        <v>152</v>
      </c>
      <c r="E129" s="21"/>
      <c r="F129" s="20"/>
      <c r="G129" s="20"/>
    </row>
    <row r="130" spans="1:7" ht="17.100000000000001" customHeight="1" x14ac:dyDescent="0.2">
      <c r="A130" s="18"/>
      <c r="B130" s="259" t="s">
        <v>153</v>
      </c>
      <c r="C130" s="260"/>
      <c r="D130" s="2" t="s">
        <v>152</v>
      </c>
      <c r="E130" s="21"/>
      <c r="F130" s="20"/>
      <c r="G130" s="20"/>
    </row>
    <row r="131" spans="1:7" ht="17.100000000000001" customHeight="1" x14ac:dyDescent="0.2">
      <c r="A131" s="18"/>
      <c r="B131" s="259" t="s">
        <v>154</v>
      </c>
      <c r="C131" s="260"/>
      <c r="D131" s="12" t="s">
        <v>123</v>
      </c>
      <c r="E131" s="21"/>
      <c r="F131" s="20"/>
      <c r="G131" s="20"/>
    </row>
    <row r="132" spans="1:7" ht="24" customHeight="1" x14ac:dyDescent="0.2">
      <c r="A132" s="22"/>
      <c r="B132" s="23" t="s">
        <v>123</v>
      </c>
      <c r="C132" s="23" t="s">
        <v>155</v>
      </c>
      <c r="D132" s="23" t="s">
        <v>156</v>
      </c>
      <c r="E132" s="22"/>
      <c r="F132" s="22"/>
      <c r="G132" s="22"/>
    </row>
    <row r="133" spans="1:7" ht="18" customHeight="1" x14ac:dyDescent="0.2">
      <c r="A133" s="22"/>
      <c r="B133" s="23" t="s">
        <v>157</v>
      </c>
      <c r="C133" s="23" t="s">
        <v>158</v>
      </c>
      <c r="D133" s="23" t="s">
        <v>159</v>
      </c>
      <c r="E133" s="22"/>
      <c r="F133" s="22"/>
      <c r="G133" s="22"/>
    </row>
    <row r="134" spans="1:7" ht="17.100000000000001" customHeight="1" x14ac:dyDescent="0.2">
      <c r="A134" s="22"/>
      <c r="B134" s="4" t="s">
        <v>160</v>
      </c>
      <c r="C134" s="24">
        <v>14.381600000000001</v>
      </c>
      <c r="D134" s="24">
        <v>13.7796</v>
      </c>
      <c r="E134" s="22"/>
      <c r="F134" s="19"/>
      <c r="G134" s="25"/>
    </row>
    <row r="135" spans="1:7" ht="17.100000000000001" customHeight="1" x14ac:dyDescent="0.2">
      <c r="A135" s="22"/>
      <c r="B135" s="4" t="s">
        <v>1101</v>
      </c>
      <c r="C135" s="24">
        <v>13.398400000000001</v>
      </c>
      <c r="D135" s="24">
        <v>12.837400000000001</v>
      </c>
      <c r="E135" s="22"/>
      <c r="F135" s="19"/>
      <c r="G135" s="25"/>
    </row>
    <row r="136" spans="1:7" ht="17.100000000000001" customHeight="1" x14ac:dyDescent="0.2">
      <c r="A136" s="22"/>
      <c r="B136" s="4" t="s">
        <v>161</v>
      </c>
      <c r="C136" s="24">
        <v>13.957100000000001</v>
      </c>
      <c r="D136" s="24">
        <v>13.357799999999999</v>
      </c>
      <c r="E136" s="22"/>
      <c r="F136" s="19"/>
      <c r="G136" s="25"/>
    </row>
    <row r="137" spans="1:7" ht="17.100000000000001" customHeight="1" x14ac:dyDescent="0.2">
      <c r="A137" s="22"/>
      <c r="B137" s="4" t="s">
        <v>1102</v>
      </c>
      <c r="C137" s="24">
        <v>13.004300000000001</v>
      </c>
      <c r="D137" s="24">
        <v>12.4458</v>
      </c>
      <c r="E137" s="22"/>
      <c r="F137" s="19"/>
      <c r="G137" s="25"/>
    </row>
    <row r="138" spans="1:7" ht="14.1" customHeight="1" x14ac:dyDescent="0.2">
      <c r="A138" s="22"/>
      <c r="B138" s="22"/>
      <c r="C138" s="22"/>
      <c r="D138" s="22"/>
      <c r="E138" s="22"/>
      <c r="F138" s="22"/>
      <c r="G138" s="22"/>
    </row>
    <row r="139" spans="1:7" ht="17.100000000000001" customHeight="1" x14ac:dyDescent="0.2">
      <c r="A139" s="22"/>
      <c r="B139" s="259" t="s">
        <v>1103</v>
      </c>
      <c r="C139" s="260"/>
      <c r="D139" s="2" t="s">
        <v>152</v>
      </c>
      <c r="E139" s="22"/>
      <c r="F139" s="22"/>
      <c r="G139" s="22"/>
    </row>
    <row r="140" spans="1:7" ht="18" customHeight="1" x14ac:dyDescent="0.2">
      <c r="A140" s="22"/>
      <c r="B140" s="26"/>
      <c r="C140" s="26"/>
      <c r="D140" s="27"/>
      <c r="E140" s="22"/>
      <c r="F140" s="22"/>
      <c r="G140" s="22"/>
    </row>
    <row r="141" spans="1:7" ht="29.1" customHeight="1" x14ac:dyDescent="0.2">
      <c r="A141" s="22"/>
      <c r="B141" s="259" t="s">
        <v>162</v>
      </c>
      <c r="C141" s="260"/>
      <c r="D141" s="2" t="s">
        <v>152</v>
      </c>
      <c r="E141" s="22"/>
      <c r="F141" s="22"/>
      <c r="G141" s="22"/>
    </row>
    <row r="142" spans="1:7" ht="29.1" customHeight="1" x14ac:dyDescent="0.2">
      <c r="A142" s="22"/>
      <c r="B142" s="259" t="s">
        <v>163</v>
      </c>
      <c r="C142" s="260"/>
      <c r="D142" s="2" t="s">
        <v>152</v>
      </c>
      <c r="E142" s="22"/>
      <c r="F142" s="22"/>
      <c r="G142" s="22"/>
    </row>
    <row r="143" spans="1:7" ht="17.100000000000001" customHeight="1" x14ac:dyDescent="0.2">
      <c r="A143" s="22"/>
      <c r="B143" s="259" t="s">
        <v>164</v>
      </c>
      <c r="C143" s="260"/>
      <c r="D143" s="28">
        <v>0.60771588503758622</v>
      </c>
      <c r="E143" s="22"/>
      <c r="F143" s="19"/>
      <c r="G143" s="25"/>
    </row>
    <row r="144" spans="1:7" ht="17.100000000000001" customHeight="1" x14ac:dyDescent="0.2">
      <c r="A144" s="22"/>
      <c r="B144" s="259" t="s">
        <v>165</v>
      </c>
      <c r="C144" s="260"/>
      <c r="D144" s="2" t="s">
        <v>152</v>
      </c>
      <c r="E144" s="22"/>
      <c r="F144" s="22"/>
      <c r="G144" s="22"/>
    </row>
  </sheetData>
  <mergeCells count="16">
    <mergeCell ref="J2:N2"/>
    <mergeCell ref="B124:F124"/>
    <mergeCell ref="B126:F126"/>
    <mergeCell ref="B125:F125"/>
    <mergeCell ref="A1:H1"/>
    <mergeCell ref="A2:H2"/>
    <mergeCell ref="A3:H3"/>
    <mergeCell ref="B128:C128"/>
    <mergeCell ref="B143:C143"/>
    <mergeCell ref="B144:C144"/>
    <mergeCell ref="B129:C129"/>
    <mergeCell ref="B130:C130"/>
    <mergeCell ref="B131:C131"/>
    <mergeCell ref="B139:C139"/>
    <mergeCell ref="B141:C141"/>
    <mergeCell ref="B142:C14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N11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5" t="s">
        <v>0</v>
      </c>
      <c r="B1" s="265"/>
      <c r="C1" s="265"/>
      <c r="D1" s="265"/>
      <c r="E1" s="265"/>
      <c r="F1" s="265"/>
      <c r="G1" s="265"/>
      <c r="H1" s="265"/>
    </row>
    <row r="2" spans="1:14" ht="17.100000000000001" customHeight="1" x14ac:dyDescent="0.2">
      <c r="A2" s="266" t="s">
        <v>775</v>
      </c>
      <c r="B2" s="267"/>
      <c r="C2" s="267"/>
      <c r="D2" s="267"/>
      <c r="E2" s="267"/>
      <c r="F2" s="267"/>
      <c r="G2" s="267"/>
      <c r="H2" s="268"/>
      <c r="J2" s="263" t="s">
        <v>1112</v>
      </c>
      <c r="K2" s="263"/>
      <c r="L2" s="263"/>
      <c r="M2" s="263"/>
      <c r="N2" s="263"/>
    </row>
    <row r="3" spans="1:14" ht="21" customHeight="1" x14ac:dyDescent="0.2">
      <c r="A3" s="265" t="s">
        <v>1111</v>
      </c>
      <c r="B3" s="265"/>
      <c r="C3" s="265"/>
      <c r="D3" s="265"/>
      <c r="E3" s="265"/>
      <c r="F3" s="265"/>
      <c r="G3" s="265"/>
      <c r="H3" s="265"/>
    </row>
    <row r="4" spans="1:14" s="145" customFormat="1" ht="30" x14ac:dyDescent="0.2">
      <c r="A4" s="144" t="s">
        <v>2</v>
      </c>
      <c r="B4" s="144" t="s">
        <v>3</v>
      </c>
      <c r="C4" s="144" t="s">
        <v>4</v>
      </c>
      <c r="D4" s="144" t="s">
        <v>5</v>
      </c>
      <c r="E4" s="144" t="s">
        <v>6</v>
      </c>
      <c r="F4" s="144" t="s">
        <v>7</v>
      </c>
      <c r="G4" s="144" t="s">
        <v>8</v>
      </c>
      <c r="H4" s="57" t="s">
        <v>1020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47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47"/>
    </row>
    <row r="7" spans="1:14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1288219</v>
      </c>
      <c r="F7" s="6">
        <v>9110.2847679999995</v>
      </c>
      <c r="G7" s="7">
        <v>0.182835576</v>
      </c>
      <c r="H7" s="47"/>
    </row>
    <row r="8" spans="1:14" ht="17.100000000000001" customHeight="1" x14ac:dyDescent="0.2">
      <c r="A8" s="3">
        <v>2</v>
      </c>
      <c r="B8" s="4" t="s">
        <v>358</v>
      </c>
      <c r="C8" s="4" t="s">
        <v>359</v>
      </c>
      <c r="D8" s="4" t="s">
        <v>19</v>
      </c>
      <c r="E8" s="5">
        <v>574001</v>
      </c>
      <c r="F8" s="6">
        <v>7737.5334800000001</v>
      </c>
      <c r="G8" s="7">
        <v>0.155285638</v>
      </c>
      <c r="H8" s="47"/>
    </row>
    <row r="9" spans="1:14" ht="29.1" customHeight="1" x14ac:dyDescent="0.2">
      <c r="A9" s="3">
        <v>3</v>
      </c>
      <c r="B9" s="4" t="s">
        <v>395</v>
      </c>
      <c r="C9" s="4" t="s">
        <v>396</v>
      </c>
      <c r="D9" s="4" t="s">
        <v>91</v>
      </c>
      <c r="E9" s="5">
        <v>229306</v>
      </c>
      <c r="F9" s="6">
        <v>4977.8893010000002</v>
      </c>
      <c r="G9" s="7">
        <v>9.9901955000000001E-2</v>
      </c>
      <c r="H9" s="47"/>
    </row>
    <row r="10" spans="1:14" ht="17.100000000000001" customHeight="1" x14ac:dyDescent="0.2">
      <c r="A10" s="3">
        <v>4</v>
      </c>
      <c r="B10" s="4" t="s">
        <v>46</v>
      </c>
      <c r="C10" s="4" t="s">
        <v>47</v>
      </c>
      <c r="D10" s="4" t="s">
        <v>19</v>
      </c>
      <c r="E10" s="5">
        <v>1051414</v>
      </c>
      <c r="F10" s="6">
        <v>4898.5378259999998</v>
      </c>
      <c r="G10" s="7">
        <v>9.8309438999999998E-2</v>
      </c>
      <c r="H10" s="47"/>
    </row>
    <row r="11" spans="1:14" ht="17.100000000000001" customHeight="1" x14ac:dyDescent="0.2">
      <c r="A11" s="3">
        <v>5</v>
      </c>
      <c r="B11" s="4" t="s">
        <v>304</v>
      </c>
      <c r="C11" s="4" t="s">
        <v>305</v>
      </c>
      <c r="D11" s="4" t="s">
        <v>19</v>
      </c>
      <c r="E11" s="5">
        <v>628945</v>
      </c>
      <c r="F11" s="6">
        <v>4005.12176</v>
      </c>
      <c r="G11" s="7">
        <v>8.0379347000000004E-2</v>
      </c>
      <c r="H11" s="47"/>
    </row>
    <row r="12" spans="1:14" ht="17.100000000000001" customHeight="1" x14ac:dyDescent="0.2">
      <c r="A12" s="3">
        <v>6</v>
      </c>
      <c r="B12" s="4" t="s">
        <v>440</v>
      </c>
      <c r="C12" s="4" t="s">
        <v>441</v>
      </c>
      <c r="D12" s="4" t="s">
        <v>91</v>
      </c>
      <c r="E12" s="5">
        <v>35505</v>
      </c>
      <c r="F12" s="6">
        <v>1917.447525</v>
      </c>
      <c r="G12" s="7">
        <v>3.8481521999999997E-2</v>
      </c>
      <c r="H12" s="47"/>
    </row>
    <row r="13" spans="1:14" ht="17.100000000000001" customHeight="1" x14ac:dyDescent="0.2">
      <c r="A13" s="3">
        <v>7</v>
      </c>
      <c r="B13" s="4" t="s">
        <v>306</v>
      </c>
      <c r="C13" s="4" t="s">
        <v>307</v>
      </c>
      <c r="D13" s="4" t="s">
        <v>19</v>
      </c>
      <c r="E13" s="5">
        <v>1482958</v>
      </c>
      <c r="F13" s="6">
        <v>1444.4010920000001</v>
      </c>
      <c r="G13" s="7">
        <v>2.8987887E-2</v>
      </c>
      <c r="H13" s="47"/>
    </row>
    <row r="14" spans="1:14" ht="17.100000000000001" customHeight="1" x14ac:dyDescent="0.2">
      <c r="A14" s="3">
        <v>8</v>
      </c>
      <c r="B14" s="4" t="s">
        <v>416</v>
      </c>
      <c r="C14" s="4" t="s">
        <v>417</v>
      </c>
      <c r="D14" s="4" t="s">
        <v>19</v>
      </c>
      <c r="E14" s="5">
        <v>176451</v>
      </c>
      <c r="F14" s="6">
        <v>1401.6385184999999</v>
      </c>
      <c r="G14" s="7">
        <v>2.8129679000000001E-2</v>
      </c>
      <c r="H14" s="47"/>
    </row>
    <row r="15" spans="1:14" ht="29.1" customHeight="1" x14ac:dyDescent="0.2">
      <c r="A15" s="3">
        <v>9</v>
      </c>
      <c r="B15" s="4" t="s">
        <v>89</v>
      </c>
      <c r="C15" s="4" t="s">
        <v>90</v>
      </c>
      <c r="D15" s="4" t="s">
        <v>91</v>
      </c>
      <c r="E15" s="5">
        <v>212440</v>
      </c>
      <c r="F15" s="6">
        <v>1316.0658000000001</v>
      </c>
      <c r="G15" s="7">
        <v>2.6412307999999999E-2</v>
      </c>
      <c r="H15" s="47"/>
      <c r="J15" s="147" t="s">
        <v>1141</v>
      </c>
    </row>
    <row r="16" spans="1:14" ht="17.100000000000001" customHeight="1" x14ac:dyDescent="0.2">
      <c r="A16" s="3">
        <v>10</v>
      </c>
      <c r="B16" s="4" t="s">
        <v>364</v>
      </c>
      <c r="C16" s="4" t="s">
        <v>365</v>
      </c>
      <c r="D16" s="4" t="s">
        <v>91</v>
      </c>
      <c r="E16" s="5">
        <v>10365</v>
      </c>
      <c r="F16" s="6">
        <v>1133.0758874999999</v>
      </c>
      <c r="G16" s="7">
        <v>2.2739858000000002E-2</v>
      </c>
      <c r="H16" s="47"/>
    </row>
    <row r="17" spans="1:8" ht="17.100000000000001" customHeight="1" x14ac:dyDescent="0.2">
      <c r="A17" s="3">
        <v>11</v>
      </c>
      <c r="B17" s="4" t="s">
        <v>420</v>
      </c>
      <c r="C17" s="4" t="s">
        <v>421</v>
      </c>
      <c r="D17" s="4" t="s">
        <v>19</v>
      </c>
      <c r="E17" s="5">
        <v>66913</v>
      </c>
      <c r="F17" s="6">
        <v>1111.491843</v>
      </c>
      <c r="G17" s="7">
        <v>2.2306685E-2</v>
      </c>
      <c r="H17" s="47"/>
    </row>
    <row r="18" spans="1:8" ht="17.100000000000001" customHeight="1" x14ac:dyDescent="0.2">
      <c r="A18" s="3">
        <v>12</v>
      </c>
      <c r="B18" s="4" t="s">
        <v>585</v>
      </c>
      <c r="C18" s="4" t="s">
        <v>586</v>
      </c>
      <c r="D18" s="4" t="s">
        <v>321</v>
      </c>
      <c r="E18" s="5">
        <v>187384</v>
      </c>
      <c r="F18" s="6">
        <v>1030.6120000000001</v>
      </c>
      <c r="G18" s="7">
        <v>2.0683495999999999E-2</v>
      </c>
      <c r="H18" s="47"/>
    </row>
    <row r="19" spans="1:8" ht="17.100000000000001" customHeight="1" x14ac:dyDescent="0.2">
      <c r="A19" s="3">
        <v>13</v>
      </c>
      <c r="B19" s="4" t="s">
        <v>220</v>
      </c>
      <c r="C19" s="4" t="s">
        <v>221</v>
      </c>
      <c r="D19" s="4" t="s">
        <v>91</v>
      </c>
      <c r="E19" s="5">
        <v>130895</v>
      </c>
      <c r="F19" s="6">
        <v>973.46611499999995</v>
      </c>
      <c r="G19" s="7">
        <v>1.9536627000000001E-2</v>
      </c>
      <c r="H19" s="47"/>
    </row>
    <row r="20" spans="1:8" ht="17.100000000000001" customHeight="1" x14ac:dyDescent="0.2">
      <c r="A20" s="3">
        <v>14</v>
      </c>
      <c r="B20" s="4" t="s">
        <v>418</v>
      </c>
      <c r="C20" s="4" t="s">
        <v>419</v>
      </c>
      <c r="D20" s="4" t="s">
        <v>91</v>
      </c>
      <c r="E20" s="5">
        <v>58615</v>
      </c>
      <c r="F20" s="6">
        <v>973.33138250000002</v>
      </c>
      <c r="G20" s="7">
        <v>1.9533923000000002E-2</v>
      </c>
      <c r="H20" s="47"/>
    </row>
    <row r="21" spans="1:8" ht="17.100000000000001" customHeight="1" x14ac:dyDescent="0.2">
      <c r="A21" s="3">
        <v>15</v>
      </c>
      <c r="B21" s="4" t="s">
        <v>192</v>
      </c>
      <c r="C21" s="4" t="s">
        <v>193</v>
      </c>
      <c r="D21" s="4" t="s">
        <v>184</v>
      </c>
      <c r="E21" s="5">
        <v>80558</v>
      </c>
      <c r="F21" s="6">
        <v>971.69059600000003</v>
      </c>
      <c r="G21" s="7">
        <v>1.9500994000000001E-2</v>
      </c>
      <c r="H21" s="47"/>
    </row>
    <row r="22" spans="1:8" ht="17.100000000000001" customHeight="1" x14ac:dyDescent="0.2">
      <c r="A22" s="3">
        <v>16</v>
      </c>
      <c r="B22" s="4" t="s">
        <v>434</v>
      </c>
      <c r="C22" s="4" t="s">
        <v>435</v>
      </c>
      <c r="D22" s="4" t="s">
        <v>19</v>
      </c>
      <c r="E22" s="5">
        <v>512544</v>
      </c>
      <c r="F22" s="6">
        <v>928.98599999999999</v>
      </c>
      <c r="G22" s="7">
        <v>1.8643949999999999E-2</v>
      </c>
      <c r="H22" s="47"/>
    </row>
    <row r="23" spans="1:8" ht="17.100000000000001" customHeight="1" x14ac:dyDescent="0.2">
      <c r="A23" s="3">
        <v>17</v>
      </c>
      <c r="B23" s="4" t="s">
        <v>288</v>
      </c>
      <c r="C23" s="4" t="s">
        <v>289</v>
      </c>
      <c r="D23" s="4" t="s">
        <v>19</v>
      </c>
      <c r="E23" s="5">
        <v>457344</v>
      </c>
      <c r="F23" s="6">
        <v>883.13126399999999</v>
      </c>
      <c r="G23" s="7">
        <v>1.7723684E-2</v>
      </c>
      <c r="H23" s="47"/>
    </row>
    <row r="24" spans="1:8" ht="17.100000000000001" customHeight="1" x14ac:dyDescent="0.2">
      <c r="A24" s="3">
        <v>18</v>
      </c>
      <c r="B24" s="4" t="s">
        <v>399</v>
      </c>
      <c r="C24" s="4" t="s">
        <v>400</v>
      </c>
      <c r="D24" s="4" t="s">
        <v>321</v>
      </c>
      <c r="E24" s="5">
        <v>71309</v>
      </c>
      <c r="F24" s="6">
        <v>771.278144</v>
      </c>
      <c r="G24" s="7">
        <v>1.5478888999999999E-2</v>
      </c>
      <c r="H24" s="47"/>
    </row>
    <row r="25" spans="1:8" ht="17.100000000000001" customHeight="1" x14ac:dyDescent="0.2">
      <c r="A25" s="3">
        <v>19</v>
      </c>
      <c r="B25" s="4" t="s">
        <v>182</v>
      </c>
      <c r="C25" s="4" t="s">
        <v>183</v>
      </c>
      <c r="D25" s="4" t="s">
        <v>184</v>
      </c>
      <c r="E25" s="5">
        <v>56202</v>
      </c>
      <c r="F25" s="6">
        <v>735.09405900000002</v>
      </c>
      <c r="G25" s="7">
        <v>1.4752705E-2</v>
      </c>
      <c r="H25" s="47"/>
    </row>
    <row r="26" spans="1:8" ht="17.100000000000001" customHeight="1" x14ac:dyDescent="0.2">
      <c r="A26" s="3">
        <v>20</v>
      </c>
      <c r="B26" s="4" t="s">
        <v>177</v>
      </c>
      <c r="C26" s="4" t="s">
        <v>178</v>
      </c>
      <c r="D26" s="4" t="s">
        <v>91</v>
      </c>
      <c r="E26" s="5">
        <v>614686</v>
      </c>
      <c r="F26" s="6">
        <v>504.04252000000002</v>
      </c>
      <c r="G26" s="7">
        <v>1.01157E-2</v>
      </c>
      <c r="H26" s="47"/>
    </row>
    <row r="27" spans="1:8" ht="17.100000000000001" customHeight="1" x14ac:dyDescent="0.2">
      <c r="A27" s="3">
        <v>21</v>
      </c>
      <c r="B27" s="4" t="s">
        <v>716</v>
      </c>
      <c r="C27" s="4" t="s">
        <v>717</v>
      </c>
      <c r="D27" s="4" t="s">
        <v>19</v>
      </c>
      <c r="E27" s="5">
        <v>155429</v>
      </c>
      <c r="F27" s="6">
        <v>409.55541499999998</v>
      </c>
      <c r="G27" s="7">
        <v>8.2194250000000007E-3</v>
      </c>
      <c r="H27" s="47"/>
    </row>
    <row r="28" spans="1:8" ht="17.100000000000001" customHeight="1" x14ac:dyDescent="0.2">
      <c r="A28" s="3">
        <v>22</v>
      </c>
      <c r="B28" s="4" t="s">
        <v>360</v>
      </c>
      <c r="C28" s="4" t="s">
        <v>361</v>
      </c>
      <c r="D28" s="4" t="s">
        <v>91</v>
      </c>
      <c r="E28" s="5">
        <v>119631</v>
      </c>
      <c r="F28" s="6">
        <v>391.6120785</v>
      </c>
      <c r="G28" s="7">
        <v>7.8593169999999993E-3</v>
      </c>
      <c r="H28" s="47"/>
    </row>
    <row r="29" spans="1:8" ht="29.1" customHeight="1" x14ac:dyDescent="0.2">
      <c r="A29" s="3">
        <v>23</v>
      </c>
      <c r="B29" s="4" t="s">
        <v>631</v>
      </c>
      <c r="C29" s="4" t="s">
        <v>632</v>
      </c>
      <c r="D29" s="4" t="s">
        <v>321</v>
      </c>
      <c r="E29" s="5">
        <v>32775</v>
      </c>
      <c r="F29" s="6">
        <v>367.39136250000001</v>
      </c>
      <c r="G29" s="7">
        <v>7.3732279999999999E-3</v>
      </c>
      <c r="H29" s="47"/>
    </row>
    <row r="30" spans="1:8" ht="14.1" customHeight="1" x14ac:dyDescent="0.2">
      <c r="A30" s="1"/>
      <c r="B30" s="1"/>
      <c r="C30" s="2" t="s">
        <v>122</v>
      </c>
      <c r="D30" s="1"/>
      <c r="E30" s="1" t="s">
        <v>123</v>
      </c>
      <c r="F30" s="9">
        <v>47993.678737499999</v>
      </c>
      <c r="G30" s="10">
        <v>0.96319183200000003</v>
      </c>
      <c r="H30" s="47"/>
    </row>
    <row r="31" spans="1:8" ht="14.1" customHeight="1" x14ac:dyDescent="0.2">
      <c r="A31" s="1"/>
      <c r="B31" s="1"/>
      <c r="C31" s="11"/>
      <c r="D31" s="1"/>
      <c r="E31" s="1"/>
      <c r="F31" s="12"/>
      <c r="G31" s="12"/>
      <c r="H31" s="47"/>
    </row>
    <row r="32" spans="1:8" ht="14.1" customHeight="1" x14ac:dyDescent="0.2">
      <c r="A32" s="1"/>
      <c r="B32" s="1"/>
      <c r="C32" s="2" t="s">
        <v>124</v>
      </c>
      <c r="D32" s="1"/>
      <c r="E32" s="1"/>
      <c r="F32" s="1"/>
      <c r="G32" s="1"/>
      <c r="H32" s="47"/>
    </row>
    <row r="33" spans="1:8" ht="14.1" customHeight="1" x14ac:dyDescent="0.2">
      <c r="A33" s="1"/>
      <c r="B33" s="1"/>
      <c r="C33" s="2" t="s">
        <v>122</v>
      </c>
      <c r="D33" s="1"/>
      <c r="E33" s="1" t="s">
        <v>123</v>
      </c>
      <c r="F33" s="13">
        <v>0</v>
      </c>
      <c r="G33" s="14">
        <v>0</v>
      </c>
      <c r="H33" s="47"/>
    </row>
    <row r="34" spans="1:8" ht="14.1" customHeight="1" x14ac:dyDescent="0.2">
      <c r="A34" s="1"/>
      <c r="B34" s="1"/>
      <c r="C34" s="11"/>
      <c r="D34" s="1"/>
      <c r="E34" s="1"/>
      <c r="F34" s="12"/>
      <c r="G34" s="12"/>
      <c r="H34" s="47"/>
    </row>
    <row r="35" spans="1:8" ht="14.1" customHeight="1" x14ac:dyDescent="0.2">
      <c r="A35" s="1"/>
      <c r="B35" s="1"/>
      <c r="C35" s="2" t="s">
        <v>125</v>
      </c>
      <c r="D35" s="1"/>
      <c r="E35" s="1"/>
      <c r="F35" s="1"/>
      <c r="G35" s="1"/>
      <c r="H35" s="47"/>
    </row>
    <row r="36" spans="1:8" ht="14.1" customHeight="1" x14ac:dyDescent="0.2">
      <c r="A36" s="1"/>
      <c r="B36" s="1"/>
      <c r="C36" s="2" t="s">
        <v>122</v>
      </c>
      <c r="D36" s="1"/>
      <c r="E36" s="1" t="s">
        <v>123</v>
      </c>
      <c r="F36" s="13">
        <v>0</v>
      </c>
      <c r="G36" s="14">
        <v>0</v>
      </c>
      <c r="H36" s="47"/>
    </row>
    <row r="37" spans="1:8" ht="14.1" customHeight="1" x14ac:dyDescent="0.2">
      <c r="A37" s="1"/>
      <c r="B37" s="1"/>
      <c r="C37" s="11"/>
      <c r="D37" s="1"/>
      <c r="E37" s="1"/>
      <c r="F37" s="12"/>
      <c r="G37" s="12"/>
      <c r="H37" s="47"/>
    </row>
    <row r="38" spans="1:8" ht="14.1" customHeight="1" x14ac:dyDescent="0.2">
      <c r="A38" s="1"/>
      <c r="B38" s="1"/>
      <c r="C38" s="2" t="s">
        <v>126</v>
      </c>
      <c r="D38" s="1"/>
      <c r="E38" s="1"/>
      <c r="F38" s="1"/>
      <c r="G38" s="1"/>
      <c r="H38" s="47"/>
    </row>
    <row r="39" spans="1:8" ht="14.1" customHeight="1" x14ac:dyDescent="0.2">
      <c r="A39" s="1"/>
      <c r="B39" s="1"/>
      <c r="C39" s="2" t="s">
        <v>122</v>
      </c>
      <c r="D39" s="1"/>
      <c r="E39" s="1" t="s">
        <v>123</v>
      </c>
      <c r="F39" s="13">
        <v>0</v>
      </c>
      <c r="G39" s="14">
        <v>0</v>
      </c>
      <c r="H39" s="47"/>
    </row>
    <row r="40" spans="1:8" ht="14.1" customHeight="1" x14ac:dyDescent="0.2">
      <c r="A40" s="1"/>
      <c r="B40" s="1"/>
      <c r="C40" s="11"/>
      <c r="D40" s="1"/>
      <c r="E40" s="1"/>
      <c r="F40" s="12"/>
      <c r="G40" s="12"/>
      <c r="H40" s="47"/>
    </row>
    <row r="41" spans="1:8" ht="14.1" customHeight="1" x14ac:dyDescent="0.2">
      <c r="A41" s="1"/>
      <c r="B41" s="1"/>
      <c r="C41" s="2" t="s">
        <v>127</v>
      </c>
      <c r="D41" s="1"/>
      <c r="E41" s="1"/>
      <c r="F41" s="12"/>
      <c r="G41" s="12"/>
      <c r="H41" s="47"/>
    </row>
    <row r="42" spans="1:8" ht="14.1" customHeight="1" x14ac:dyDescent="0.2">
      <c r="A42" s="1"/>
      <c r="B42" s="1"/>
      <c r="C42" s="2" t="s">
        <v>122</v>
      </c>
      <c r="D42" s="1"/>
      <c r="E42" s="1" t="s">
        <v>123</v>
      </c>
      <c r="F42" s="13">
        <v>0</v>
      </c>
      <c r="G42" s="14">
        <v>0</v>
      </c>
      <c r="H42" s="47"/>
    </row>
    <row r="43" spans="1:8" ht="14.1" customHeight="1" x14ac:dyDescent="0.2">
      <c r="A43" s="1"/>
      <c r="B43" s="1"/>
      <c r="C43" s="11"/>
      <c r="D43" s="1"/>
      <c r="E43" s="1"/>
      <c r="F43" s="12"/>
      <c r="G43" s="12"/>
      <c r="H43" s="47"/>
    </row>
    <row r="44" spans="1:8" ht="14.1" customHeight="1" x14ac:dyDescent="0.2">
      <c r="A44" s="1"/>
      <c r="B44" s="1"/>
      <c r="C44" s="2" t="s">
        <v>128</v>
      </c>
      <c r="D44" s="1"/>
      <c r="E44" s="1"/>
      <c r="F44" s="12"/>
      <c r="G44" s="12"/>
      <c r="H44" s="47"/>
    </row>
    <row r="45" spans="1:8" ht="14.1" customHeight="1" x14ac:dyDescent="0.2">
      <c r="A45" s="1"/>
      <c r="B45" s="1"/>
      <c r="C45" s="2" t="s">
        <v>122</v>
      </c>
      <c r="D45" s="1"/>
      <c r="E45" s="1" t="s">
        <v>123</v>
      </c>
      <c r="F45" s="13">
        <v>0</v>
      </c>
      <c r="G45" s="14">
        <v>0</v>
      </c>
      <c r="H45" s="47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47"/>
    </row>
    <row r="47" spans="1:8" ht="18" customHeight="1" x14ac:dyDescent="0.2">
      <c r="A47" s="1"/>
      <c r="B47" s="1"/>
      <c r="C47" s="2" t="s">
        <v>129</v>
      </c>
      <c r="D47" s="1"/>
      <c r="E47" s="1"/>
      <c r="F47" s="9">
        <v>47993.678737499999</v>
      </c>
      <c r="G47" s="10">
        <v>0.96319183200000003</v>
      </c>
      <c r="H47" s="47"/>
    </row>
    <row r="48" spans="1:8" ht="14.1" customHeight="1" x14ac:dyDescent="0.2">
      <c r="A48" s="1"/>
      <c r="B48" s="1"/>
      <c r="C48" s="11"/>
      <c r="D48" s="1"/>
      <c r="E48" s="1"/>
      <c r="F48" s="12"/>
      <c r="G48" s="12"/>
      <c r="H48" s="47"/>
    </row>
    <row r="49" spans="1:8" ht="14.1" customHeight="1" x14ac:dyDescent="0.2">
      <c r="A49" s="1"/>
      <c r="B49" s="1"/>
      <c r="C49" s="2" t="s">
        <v>130</v>
      </c>
      <c r="D49" s="1"/>
      <c r="E49" s="1"/>
      <c r="F49" s="12"/>
      <c r="G49" s="12"/>
      <c r="H49" s="47"/>
    </row>
    <row r="50" spans="1:8" ht="24" customHeight="1" x14ac:dyDescent="0.2">
      <c r="A50" s="1"/>
      <c r="B50" s="1"/>
      <c r="C50" s="2" t="s">
        <v>10</v>
      </c>
      <c r="D50" s="1"/>
      <c r="E50" s="1"/>
      <c r="F50" s="12"/>
      <c r="G50" s="12"/>
      <c r="H50" s="47"/>
    </row>
    <row r="51" spans="1:8" ht="14.1" customHeight="1" x14ac:dyDescent="0.2">
      <c r="A51" s="1"/>
      <c r="B51" s="1"/>
      <c r="C51" s="2" t="s">
        <v>122</v>
      </c>
      <c r="D51" s="1"/>
      <c r="E51" s="1" t="s">
        <v>123</v>
      </c>
      <c r="F51" s="13">
        <v>0</v>
      </c>
      <c r="G51" s="14">
        <v>0</v>
      </c>
      <c r="H51" s="47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47"/>
    </row>
    <row r="53" spans="1:8" ht="14.1" customHeight="1" x14ac:dyDescent="0.2">
      <c r="A53" s="1"/>
      <c r="B53" s="1"/>
      <c r="C53" s="2" t="s">
        <v>131</v>
      </c>
      <c r="D53" s="1"/>
      <c r="E53" s="1"/>
      <c r="F53" s="1"/>
      <c r="G53" s="1"/>
      <c r="H53" s="47"/>
    </row>
    <row r="54" spans="1:8" ht="14.1" customHeight="1" x14ac:dyDescent="0.2">
      <c r="A54" s="1"/>
      <c r="B54" s="1"/>
      <c r="C54" s="2" t="s">
        <v>122</v>
      </c>
      <c r="D54" s="1"/>
      <c r="E54" s="1" t="s">
        <v>123</v>
      </c>
      <c r="F54" s="13">
        <v>0</v>
      </c>
      <c r="G54" s="14">
        <v>0</v>
      </c>
      <c r="H54" s="47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47"/>
    </row>
    <row r="56" spans="1:8" ht="14.1" customHeight="1" x14ac:dyDescent="0.2">
      <c r="A56" s="1"/>
      <c r="B56" s="1"/>
      <c r="C56" s="2" t="s">
        <v>132</v>
      </c>
      <c r="D56" s="1"/>
      <c r="E56" s="1"/>
      <c r="F56" s="1"/>
      <c r="G56" s="1"/>
      <c r="H56" s="47"/>
    </row>
    <row r="57" spans="1:8" ht="14.1" customHeight="1" x14ac:dyDescent="0.2">
      <c r="A57" s="1"/>
      <c r="B57" s="1"/>
      <c r="C57" s="2" t="s">
        <v>122</v>
      </c>
      <c r="D57" s="1"/>
      <c r="E57" s="1" t="s">
        <v>123</v>
      </c>
      <c r="F57" s="13">
        <v>0</v>
      </c>
      <c r="G57" s="14">
        <v>0</v>
      </c>
      <c r="H57" s="47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47"/>
    </row>
    <row r="59" spans="1:8" ht="14.1" customHeight="1" x14ac:dyDescent="0.2">
      <c r="A59" s="1"/>
      <c r="B59" s="1"/>
      <c r="C59" s="2" t="s">
        <v>133</v>
      </c>
      <c r="D59" s="1"/>
      <c r="E59" s="1"/>
      <c r="F59" s="12"/>
      <c r="G59" s="12"/>
      <c r="H59" s="47"/>
    </row>
    <row r="60" spans="1:8" ht="14.1" customHeight="1" x14ac:dyDescent="0.2">
      <c r="A60" s="1"/>
      <c r="B60" s="1"/>
      <c r="C60" s="2" t="s">
        <v>122</v>
      </c>
      <c r="D60" s="1"/>
      <c r="E60" s="1" t="s">
        <v>123</v>
      </c>
      <c r="F60" s="13">
        <v>0</v>
      </c>
      <c r="G60" s="14">
        <v>0</v>
      </c>
      <c r="H60" s="47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47"/>
    </row>
    <row r="62" spans="1:8" ht="14.1" customHeight="1" x14ac:dyDescent="0.2">
      <c r="A62" s="1"/>
      <c r="B62" s="1"/>
      <c r="C62" s="2" t="s">
        <v>134</v>
      </c>
      <c r="D62" s="1"/>
      <c r="E62" s="1"/>
      <c r="F62" s="9">
        <v>0</v>
      </c>
      <c r="G62" s="10">
        <v>0</v>
      </c>
      <c r="H62" s="47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47"/>
    </row>
    <row r="64" spans="1:8" ht="14.1" customHeight="1" x14ac:dyDescent="0.2">
      <c r="A64" s="1"/>
      <c r="B64" s="1"/>
      <c r="C64" s="2" t="s">
        <v>135</v>
      </c>
      <c r="D64" s="1"/>
      <c r="E64" s="1"/>
      <c r="F64" s="12"/>
      <c r="G64" s="12"/>
      <c r="H64" s="47"/>
    </row>
    <row r="65" spans="1:8" ht="14.1" customHeight="1" x14ac:dyDescent="0.2">
      <c r="A65" s="1"/>
      <c r="B65" s="1"/>
      <c r="C65" s="2" t="s">
        <v>136</v>
      </c>
      <c r="D65" s="1"/>
      <c r="E65" s="1"/>
      <c r="F65" s="12"/>
      <c r="G65" s="12"/>
      <c r="H65" s="47"/>
    </row>
    <row r="66" spans="1:8" ht="14.1" customHeight="1" x14ac:dyDescent="0.2">
      <c r="A66" s="1"/>
      <c r="B66" s="1"/>
      <c r="C66" s="2" t="s">
        <v>122</v>
      </c>
      <c r="D66" s="1"/>
      <c r="E66" s="1" t="s">
        <v>123</v>
      </c>
      <c r="F66" s="13">
        <v>0</v>
      </c>
      <c r="G66" s="14">
        <v>0</v>
      </c>
      <c r="H66" s="47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47"/>
    </row>
    <row r="68" spans="1:8" ht="14.1" customHeight="1" x14ac:dyDescent="0.2">
      <c r="A68" s="1"/>
      <c r="B68" s="1"/>
      <c r="C68" s="2" t="s">
        <v>137</v>
      </c>
      <c r="D68" s="1"/>
      <c r="E68" s="1"/>
      <c r="F68" s="12"/>
      <c r="G68" s="12"/>
      <c r="H68" s="47"/>
    </row>
    <row r="69" spans="1:8" ht="14.1" customHeight="1" x14ac:dyDescent="0.2">
      <c r="A69" s="1"/>
      <c r="B69" s="1"/>
      <c r="C69" s="2" t="s">
        <v>122</v>
      </c>
      <c r="D69" s="1"/>
      <c r="E69" s="1" t="s">
        <v>123</v>
      </c>
      <c r="F69" s="13">
        <v>0</v>
      </c>
      <c r="G69" s="14">
        <v>0</v>
      </c>
      <c r="H69" s="47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47"/>
    </row>
    <row r="71" spans="1:8" ht="14.1" customHeight="1" x14ac:dyDescent="0.2">
      <c r="A71" s="1"/>
      <c r="B71" s="1"/>
      <c r="C71" s="2" t="s">
        <v>138</v>
      </c>
      <c r="D71" s="1"/>
      <c r="E71" s="1"/>
      <c r="F71" s="12"/>
      <c r="G71" s="12"/>
      <c r="H71" s="47"/>
    </row>
    <row r="72" spans="1:8" ht="14.1" customHeight="1" x14ac:dyDescent="0.2">
      <c r="A72" s="1"/>
      <c r="B72" s="1"/>
      <c r="C72" s="2" t="s">
        <v>122</v>
      </c>
      <c r="D72" s="1"/>
      <c r="E72" s="1" t="s">
        <v>123</v>
      </c>
      <c r="F72" s="13">
        <v>0</v>
      </c>
      <c r="G72" s="14">
        <v>0</v>
      </c>
      <c r="H72" s="47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47"/>
    </row>
    <row r="74" spans="1:8" ht="14.1" customHeight="1" x14ac:dyDescent="0.2">
      <c r="A74" s="1"/>
      <c r="B74" s="1"/>
      <c r="C74" s="2" t="s">
        <v>139</v>
      </c>
      <c r="D74" s="1"/>
      <c r="E74" s="1"/>
      <c r="F74" s="12"/>
      <c r="G74" s="12"/>
      <c r="H74" s="47"/>
    </row>
    <row r="75" spans="1:8" ht="17.100000000000001" customHeight="1" x14ac:dyDescent="0.2">
      <c r="A75" s="3">
        <v>1</v>
      </c>
      <c r="B75" s="4"/>
      <c r="C75" s="4" t="s">
        <v>140</v>
      </c>
      <c r="D75" s="4"/>
      <c r="E75" s="8"/>
      <c r="F75" s="6">
        <v>1690.6899415</v>
      </c>
      <c r="G75" s="7">
        <v>3.3930691999999998E-2</v>
      </c>
      <c r="H75" s="47">
        <v>4.6730752161314033</v>
      </c>
    </row>
    <row r="76" spans="1:8" ht="14.1" customHeight="1" x14ac:dyDescent="0.2">
      <c r="A76" s="1"/>
      <c r="B76" s="1"/>
      <c r="C76" s="2" t="s">
        <v>122</v>
      </c>
      <c r="D76" s="1"/>
      <c r="E76" s="1" t="s">
        <v>123</v>
      </c>
      <c r="F76" s="9">
        <v>1690.6899415</v>
      </c>
      <c r="G76" s="10">
        <v>3.3930691999999998E-2</v>
      </c>
      <c r="H76" s="47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47"/>
    </row>
    <row r="78" spans="1:8" ht="14.1" customHeight="1" x14ac:dyDescent="0.2">
      <c r="A78" s="1"/>
      <c r="B78" s="1"/>
      <c r="C78" s="2" t="s">
        <v>141</v>
      </c>
      <c r="D78" s="1"/>
      <c r="E78" s="1"/>
      <c r="F78" s="9">
        <v>1690.6899415</v>
      </c>
      <c r="G78" s="10">
        <v>3.3930691999999998E-2</v>
      </c>
      <c r="H78" s="47"/>
    </row>
    <row r="79" spans="1:8" ht="14.1" customHeight="1" x14ac:dyDescent="0.2">
      <c r="A79" s="1"/>
      <c r="B79" s="1"/>
      <c r="C79" s="12"/>
      <c r="D79" s="1"/>
      <c r="E79" s="1"/>
      <c r="F79" s="1"/>
      <c r="G79" s="1"/>
      <c r="H79" s="47"/>
    </row>
    <row r="80" spans="1:8" ht="14.1" customHeight="1" x14ac:dyDescent="0.2">
      <c r="A80" s="1"/>
      <c r="B80" s="1"/>
      <c r="C80" s="2" t="s">
        <v>142</v>
      </c>
      <c r="D80" s="1"/>
      <c r="E80" s="1"/>
      <c r="F80" s="1"/>
      <c r="G80" s="1"/>
      <c r="H80" s="47"/>
    </row>
    <row r="81" spans="1:8" ht="14.1" customHeight="1" x14ac:dyDescent="0.2">
      <c r="A81" s="1"/>
      <c r="B81" s="1"/>
      <c r="C81" s="2" t="s">
        <v>143</v>
      </c>
      <c r="D81" s="1"/>
      <c r="E81" s="1"/>
      <c r="F81" s="1"/>
      <c r="G81" s="1"/>
      <c r="H81" s="47"/>
    </row>
    <row r="82" spans="1:8" ht="14.1" customHeight="1" x14ac:dyDescent="0.2">
      <c r="A82" s="1"/>
      <c r="B82" s="1"/>
      <c r="C82" s="2" t="s">
        <v>122</v>
      </c>
      <c r="D82" s="1"/>
      <c r="E82" s="1" t="s">
        <v>123</v>
      </c>
      <c r="F82" s="13">
        <v>0</v>
      </c>
      <c r="G82" s="14">
        <v>0</v>
      </c>
      <c r="H82" s="47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47"/>
    </row>
    <row r="84" spans="1:8" ht="14.1" customHeight="1" x14ac:dyDescent="0.2">
      <c r="A84" s="1"/>
      <c r="B84" s="1"/>
      <c r="C84" s="2" t="s">
        <v>144</v>
      </c>
      <c r="D84" s="1"/>
      <c r="E84" s="1"/>
      <c r="F84" s="1"/>
      <c r="G84" s="1"/>
      <c r="H84" s="47"/>
    </row>
    <row r="85" spans="1:8" ht="14.1" customHeight="1" x14ac:dyDescent="0.2">
      <c r="A85" s="1"/>
      <c r="B85" s="1"/>
      <c r="C85" s="2" t="s">
        <v>145</v>
      </c>
      <c r="D85" s="1"/>
      <c r="E85" s="1"/>
      <c r="F85" s="1"/>
      <c r="G85" s="1"/>
      <c r="H85" s="47"/>
    </row>
    <row r="86" spans="1:8" ht="14.1" customHeight="1" x14ac:dyDescent="0.2">
      <c r="A86" s="1"/>
      <c r="B86" s="1"/>
      <c r="C86" s="2" t="s">
        <v>122</v>
      </c>
      <c r="D86" s="1"/>
      <c r="E86" s="1" t="s">
        <v>123</v>
      </c>
      <c r="F86" s="13">
        <v>0</v>
      </c>
      <c r="G86" s="14">
        <v>0</v>
      </c>
      <c r="H86" s="47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47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47"/>
    </row>
    <row r="89" spans="1:8" ht="24" customHeight="1" x14ac:dyDescent="0.2">
      <c r="A89" s="1"/>
      <c r="B89" s="1"/>
      <c r="C89" s="2" t="s">
        <v>146</v>
      </c>
      <c r="D89" s="1"/>
      <c r="E89" s="1"/>
      <c r="F89" s="12"/>
      <c r="G89" s="12"/>
      <c r="H89" s="47"/>
    </row>
    <row r="90" spans="1:8" ht="14.1" customHeight="1" x14ac:dyDescent="0.2">
      <c r="A90" s="1"/>
      <c r="B90" s="1"/>
      <c r="C90" s="2" t="s">
        <v>122</v>
      </c>
      <c r="D90" s="1"/>
      <c r="E90" s="1" t="s">
        <v>123</v>
      </c>
      <c r="F90" s="13">
        <v>0</v>
      </c>
      <c r="G90" s="14">
        <v>0</v>
      </c>
      <c r="H90" s="47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47"/>
    </row>
    <row r="92" spans="1:8" ht="14.1" customHeight="1" x14ac:dyDescent="0.2">
      <c r="A92" s="1"/>
      <c r="B92" s="4"/>
      <c r="C92" s="4"/>
      <c r="D92" s="2"/>
      <c r="E92" s="1"/>
      <c r="F92" s="4"/>
      <c r="G92" s="8"/>
      <c r="H92" s="47"/>
    </row>
    <row r="93" spans="1:8" ht="18" customHeight="1" x14ac:dyDescent="0.2">
      <c r="A93" s="8"/>
      <c r="B93" s="4"/>
      <c r="C93" s="4" t="s">
        <v>147</v>
      </c>
      <c r="D93" s="4"/>
      <c r="E93" s="8"/>
      <c r="F93" s="6">
        <v>143.37815232</v>
      </c>
      <c r="G93" s="7">
        <v>2.8774759999999999E-3</v>
      </c>
      <c r="H93" s="47"/>
    </row>
    <row r="94" spans="1:8" ht="14.1" customHeight="1" x14ac:dyDescent="0.2">
      <c r="A94" s="11"/>
      <c r="B94" s="11"/>
      <c r="C94" s="2" t="s">
        <v>148</v>
      </c>
      <c r="D94" s="15"/>
      <c r="E94" s="15"/>
      <c r="F94" s="9">
        <v>49827.746831320001</v>
      </c>
      <c r="G94" s="10">
        <v>1</v>
      </c>
      <c r="H94" s="47"/>
    </row>
    <row r="95" spans="1:8" ht="14.1" customHeight="1" x14ac:dyDescent="0.2">
      <c r="A95" s="18"/>
      <c r="B95" s="18"/>
      <c r="C95" s="18"/>
      <c r="D95" s="20"/>
      <c r="E95" s="20"/>
      <c r="F95" s="20"/>
      <c r="G95" s="20"/>
    </row>
    <row r="96" spans="1:8" ht="14.1" customHeight="1" x14ac:dyDescent="0.2">
      <c r="A96" s="18"/>
      <c r="B96" s="257" t="s">
        <v>150</v>
      </c>
      <c r="C96" s="258"/>
      <c r="D96" s="12" t="s">
        <v>123</v>
      </c>
      <c r="E96" s="21"/>
      <c r="F96" s="20"/>
      <c r="G96" s="20"/>
    </row>
    <row r="97" spans="1:7" ht="29.1" customHeight="1" x14ac:dyDescent="0.2">
      <c r="A97" s="18"/>
      <c r="B97" s="259" t="s">
        <v>151</v>
      </c>
      <c r="C97" s="260"/>
      <c r="D97" s="2" t="s">
        <v>152</v>
      </c>
      <c r="E97" s="21"/>
      <c r="F97" s="20"/>
      <c r="G97" s="20"/>
    </row>
    <row r="98" spans="1:7" ht="17.100000000000001" customHeight="1" x14ac:dyDescent="0.2">
      <c r="A98" s="18"/>
      <c r="B98" s="259" t="s">
        <v>153</v>
      </c>
      <c r="C98" s="260"/>
      <c r="D98" s="2" t="s">
        <v>152</v>
      </c>
      <c r="E98" s="21"/>
      <c r="F98" s="20"/>
      <c r="G98" s="20"/>
    </row>
    <row r="99" spans="1:7" ht="17.100000000000001" customHeight="1" x14ac:dyDescent="0.2">
      <c r="A99" s="18"/>
      <c r="B99" s="259" t="s">
        <v>154</v>
      </c>
      <c r="C99" s="260"/>
      <c r="D99" s="12" t="s">
        <v>123</v>
      </c>
      <c r="E99" s="21"/>
      <c r="F99" s="20"/>
      <c r="G99" s="20"/>
    </row>
    <row r="100" spans="1:7" ht="24" customHeight="1" x14ac:dyDescent="0.2">
      <c r="A100" s="22"/>
      <c r="B100" s="23" t="s">
        <v>123</v>
      </c>
      <c r="C100" s="23" t="s">
        <v>155</v>
      </c>
      <c r="D100" s="23" t="s">
        <v>156</v>
      </c>
      <c r="E100" s="22"/>
      <c r="F100" s="22"/>
      <c r="G100" s="22"/>
    </row>
    <row r="101" spans="1:7" ht="18" customHeight="1" x14ac:dyDescent="0.2">
      <c r="A101" s="22"/>
      <c r="B101" s="23" t="s">
        <v>157</v>
      </c>
      <c r="C101" s="23" t="s">
        <v>158</v>
      </c>
      <c r="D101" s="23" t="s">
        <v>159</v>
      </c>
      <c r="E101" s="22"/>
      <c r="F101" s="22"/>
      <c r="G101" s="22"/>
    </row>
    <row r="102" spans="1:7" ht="17.100000000000001" customHeight="1" x14ac:dyDescent="0.2">
      <c r="A102" s="22"/>
      <c r="B102" s="4" t="s">
        <v>160</v>
      </c>
      <c r="C102" s="24">
        <v>60.283999999999999</v>
      </c>
      <c r="D102" s="24">
        <v>56.782800000000002</v>
      </c>
      <c r="E102" s="22"/>
      <c r="F102" s="19"/>
      <c r="G102" s="25"/>
    </row>
    <row r="103" spans="1:7" ht="17.100000000000001" customHeight="1" x14ac:dyDescent="0.2">
      <c r="A103" s="22"/>
      <c r="B103" s="4" t="s">
        <v>1101</v>
      </c>
      <c r="C103" s="24">
        <v>23.675799999999999</v>
      </c>
      <c r="D103" s="24">
        <v>22.300699999999999</v>
      </c>
      <c r="E103" s="22"/>
      <c r="F103" s="19"/>
      <c r="G103" s="25"/>
    </row>
    <row r="104" spans="1:7" ht="29.1" customHeight="1" x14ac:dyDescent="0.2">
      <c r="A104" s="22"/>
      <c r="B104" s="4" t="s">
        <v>776</v>
      </c>
      <c r="C104" s="24">
        <v>61.982900000000001</v>
      </c>
      <c r="D104" s="24">
        <v>58.383000000000003</v>
      </c>
      <c r="E104" s="22"/>
      <c r="F104" s="19"/>
      <c r="G104" s="25"/>
    </row>
    <row r="105" spans="1:7" ht="29.1" customHeight="1" x14ac:dyDescent="0.2">
      <c r="A105" s="22"/>
      <c r="B105" s="4" t="s">
        <v>1110</v>
      </c>
      <c r="C105" s="24">
        <v>24.092199999999998</v>
      </c>
      <c r="D105" s="24">
        <v>22.692799999999998</v>
      </c>
      <c r="E105" s="22"/>
      <c r="F105" s="19"/>
      <c r="G105" s="25"/>
    </row>
    <row r="106" spans="1:7" ht="17.100000000000001" customHeight="1" x14ac:dyDescent="0.2">
      <c r="A106" s="22"/>
      <c r="B106" s="4" t="s">
        <v>161</v>
      </c>
      <c r="C106" s="24">
        <v>55.861899999999999</v>
      </c>
      <c r="D106" s="24">
        <v>52.5533</v>
      </c>
      <c r="E106" s="22"/>
      <c r="F106" s="19"/>
      <c r="G106" s="25"/>
    </row>
    <row r="107" spans="1:7" ht="17.100000000000001" customHeight="1" x14ac:dyDescent="0.2">
      <c r="A107" s="22"/>
      <c r="B107" s="4" t="s">
        <v>1102</v>
      </c>
      <c r="C107" s="24">
        <v>21.5825</v>
      </c>
      <c r="D107" s="24">
        <v>20.304099999999998</v>
      </c>
      <c r="E107" s="22"/>
      <c r="F107" s="19"/>
      <c r="G107" s="25"/>
    </row>
    <row r="108" spans="1:7" ht="14.1" customHeight="1" x14ac:dyDescent="0.2">
      <c r="A108" s="22"/>
      <c r="B108" s="22"/>
      <c r="C108" s="22"/>
      <c r="D108" s="22"/>
      <c r="E108" s="22"/>
      <c r="F108" s="22"/>
      <c r="G108" s="22"/>
    </row>
    <row r="109" spans="1:7" ht="17.100000000000001" customHeight="1" x14ac:dyDescent="0.2">
      <c r="A109" s="22"/>
      <c r="B109" s="259" t="s">
        <v>1103</v>
      </c>
      <c r="C109" s="260"/>
      <c r="D109" s="2" t="s">
        <v>152</v>
      </c>
      <c r="E109" s="22"/>
      <c r="F109" s="22"/>
      <c r="G109" s="22"/>
    </row>
    <row r="110" spans="1:7" ht="14.1" customHeight="1" x14ac:dyDescent="0.2">
      <c r="A110" s="22"/>
      <c r="B110" s="19"/>
      <c r="C110" s="19"/>
      <c r="D110" s="22"/>
      <c r="E110" s="22"/>
      <c r="F110" s="22"/>
      <c r="G110" s="22"/>
    </row>
    <row r="111" spans="1:7" ht="29.1" customHeight="1" x14ac:dyDescent="0.2">
      <c r="A111" s="22"/>
      <c r="B111" s="259" t="s">
        <v>162</v>
      </c>
      <c r="C111" s="260"/>
      <c r="D111" s="2" t="s">
        <v>152</v>
      </c>
      <c r="E111" s="22"/>
      <c r="F111" s="22"/>
      <c r="G111" s="22"/>
    </row>
    <row r="112" spans="1:7" ht="29.1" customHeight="1" x14ac:dyDescent="0.2">
      <c r="A112" s="22"/>
      <c r="B112" s="259" t="s">
        <v>163</v>
      </c>
      <c r="C112" s="260"/>
      <c r="D112" s="2" t="s">
        <v>152</v>
      </c>
      <c r="E112" s="22"/>
      <c r="F112" s="22"/>
      <c r="G112" s="22"/>
    </row>
    <row r="113" spans="1:7" ht="17.100000000000001" customHeight="1" x14ac:dyDescent="0.2">
      <c r="A113" s="22"/>
      <c r="B113" s="259" t="s">
        <v>164</v>
      </c>
      <c r="C113" s="260"/>
      <c r="D113" s="28">
        <v>0.41715484307426459</v>
      </c>
      <c r="E113" s="22"/>
      <c r="F113" s="19"/>
      <c r="G113" s="25"/>
    </row>
    <row r="114" spans="1:7" ht="17.100000000000001" customHeight="1" x14ac:dyDescent="0.2">
      <c r="A114" s="22"/>
      <c r="B114" s="259" t="s">
        <v>165</v>
      </c>
      <c r="C114" s="260"/>
      <c r="D114" s="2" t="s">
        <v>152</v>
      </c>
      <c r="E114" s="22"/>
      <c r="F114" s="22"/>
      <c r="G114" s="22"/>
    </row>
  </sheetData>
  <mergeCells count="13">
    <mergeCell ref="J2:N2"/>
    <mergeCell ref="A1:H1"/>
    <mergeCell ref="A2:H2"/>
    <mergeCell ref="A3:H3"/>
    <mergeCell ref="B96:C96"/>
    <mergeCell ref="B113:C113"/>
    <mergeCell ref="B114:C114"/>
    <mergeCell ref="B97:C97"/>
    <mergeCell ref="B98:C98"/>
    <mergeCell ref="B99:C99"/>
    <mergeCell ref="B109:C109"/>
    <mergeCell ref="B111:C111"/>
    <mergeCell ref="B112:C11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081B-6EE2-4DB5-A707-837CCFE6D651}">
  <dimension ref="A1:N61"/>
  <sheetViews>
    <sheetView showGridLines="0" workbookViewId="0">
      <selection sqref="A1:H1"/>
    </sheetView>
  </sheetViews>
  <sheetFormatPr defaultRowHeight="15" x14ac:dyDescent="0.25"/>
  <cols>
    <col min="1" max="1" width="5.42578125" style="55" bestFit="1" customWidth="1"/>
    <col min="2" max="2" width="19.7109375" style="55" bestFit="1" customWidth="1"/>
    <col min="3" max="3" width="40.28515625" style="55" bestFit="1" customWidth="1"/>
    <col min="4" max="4" width="15.28515625" style="55" bestFit="1" customWidth="1"/>
    <col min="5" max="5" width="12.42578125" style="55" bestFit="1" customWidth="1"/>
    <col min="6" max="6" width="10.140625" style="55" bestFit="1" customWidth="1"/>
    <col min="7" max="7" width="9.7109375" style="55" bestFit="1" customWidth="1"/>
    <col min="8" max="8" width="8.42578125" style="55" bestFit="1" customWidth="1"/>
    <col min="9" max="10" width="9.140625" style="55"/>
    <col min="11" max="11" width="10.5703125" style="55" bestFit="1" customWidth="1"/>
    <col min="12" max="250" width="9.140625" style="55"/>
    <col min="251" max="251" width="5.42578125" style="55" bestFit="1" customWidth="1"/>
    <col min="252" max="252" width="20.42578125" style="55" bestFit="1" customWidth="1"/>
    <col min="253" max="253" width="41.42578125" style="55" customWidth="1"/>
    <col min="254" max="254" width="15.28515625" style="55" bestFit="1" customWidth="1"/>
    <col min="255" max="255" width="16.7109375" style="55" bestFit="1" customWidth="1"/>
    <col min="256" max="256" width="11.28515625" style="55" bestFit="1" customWidth="1"/>
    <col min="257" max="257" width="14" style="55" bestFit="1" customWidth="1"/>
    <col min="258" max="258" width="11.85546875" style="55" bestFit="1" customWidth="1"/>
    <col min="259" max="259" width="14.85546875" style="55" bestFit="1" customWidth="1"/>
    <col min="260" max="260" width="9.7109375" style="55" customWidth="1"/>
    <col min="261" max="261" width="4.85546875" style="55" customWidth="1"/>
    <col min="262" max="506" width="9.140625" style="55"/>
    <col min="507" max="507" width="5.42578125" style="55" bestFit="1" customWidth="1"/>
    <col min="508" max="508" width="20.42578125" style="55" bestFit="1" customWidth="1"/>
    <col min="509" max="509" width="41.42578125" style="55" customWidth="1"/>
    <col min="510" max="510" width="15.28515625" style="55" bestFit="1" customWidth="1"/>
    <col min="511" max="511" width="16.7109375" style="55" bestFit="1" customWidth="1"/>
    <col min="512" max="512" width="11.28515625" style="55" bestFit="1" customWidth="1"/>
    <col min="513" max="513" width="14" style="55" bestFit="1" customWidth="1"/>
    <col min="514" max="514" width="11.85546875" style="55" bestFit="1" customWidth="1"/>
    <col min="515" max="515" width="14.85546875" style="55" bestFit="1" customWidth="1"/>
    <col min="516" max="516" width="9.7109375" style="55" customWidth="1"/>
    <col min="517" max="517" width="4.85546875" style="55" customWidth="1"/>
    <col min="518" max="762" width="9.140625" style="55"/>
    <col min="763" max="763" width="5.42578125" style="55" bestFit="1" customWidth="1"/>
    <col min="764" max="764" width="20.42578125" style="55" bestFit="1" customWidth="1"/>
    <col min="765" max="765" width="41.42578125" style="55" customWidth="1"/>
    <col min="766" max="766" width="15.28515625" style="55" bestFit="1" customWidth="1"/>
    <col min="767" max="767" width="16.7109375" style="55" bestFit="1" customWidth="1"/>
    <col min="768" max="768" width="11.28515625" style="55" bestFit="1" customWidth="1"/>
    <col min="769" max="769" width="14" style="55" bestFit="1" customWidth="1"/>
    <col min="770" max="770" width="11.85546875" style="55" bestFit="1" customWidth="1"/>
    <col min="771" max="771" width="14.85546875" style="55" bestFit="1" customWidth="1"/>
    <col min="772" max="772" width="9.7109375" style="55" customWidth="1"/>
    <col min="773" max="773" width="4.85546875" style="55" customWidth="1"/>
    <col min="774" max="1018" width="9.140625" style="55"/>
    <col min="1019" max="1019" width="5.42578125" style="55" bestFit="1" customWidth="1"/>
    <col min="1020" max="1020" width="20.42578125" style="55" bestFit="1" customWidth="1"/>
    <col min="1021" max="1021" width="41.42578125" style="55" customWidth="1"/>
    <col min="1022" max="1022" width="15.28515625" style="55" bestFit="1" customWidth="1"/>
    <col min="1023" max="1023" width="16.7109375" style="55" bestFit="1" customWidth="1"/>
    <col min="1024" max="1024" width="11.28515625" style="55" bestFit="1" customWidth="1"/>
    <col min="1025" max="1025" width="14" style="55" bestFit="1" customWidth="1"/>
    <col min="1026" max="1026" width="11.85546875" style="55" bestFit="1" customWidth="1"/>
    <col min="1027" max="1027" width="14.85546875" style="55" bestFit="1" customWidth="1"/>
    <col min="1028" max="1028" width="9.7109375" style="55" customWidth="1"/>
    <col min="1029" max="1029" width="4.85546875" style="55" customWidth="1"/>
    <col min="1030" max="1274" width="9.140625" style="55"/>
    <col min="1275" max="1275" width="5.42578125" style="55" bestFit="1" customWidth="1"/>
    <col min="1276" max="1276" width="20.42578125" style="55" bestFit="1" customWidth="1"/>
    <col min="1277" max="1277" width="41.42578125" style="55" customWidth="1"/>
    <col min="1278" max="1278" width="15.28515625" style="55" bestFit="1" customWidth="1"/>
    <col min="1279" max="1279" width="16.7109375" style="55" bestFit="1" customWidth="1"/>
    <col min="1280" max="1280" width="11.28515625" style="55" bestFit="1" customWidth="1"/>
    <col min="1281" max="1281" width="14" style="55" bestFit="1" customWidth="1"/>
    <col min="1282" max="1282" width="11.85546875" style="55" bestFit="1" customWidth="1"/>
    <col min="1283" max="1283" width="14.85546875" style="55" bestFit="1" customWidth="1"/>
    <col min="1284" max="1284" width="9.7109375" style="55" customWidth="1"/>
    <col min="1285" max="1285" width="4.85546875" style="55" customWidth="1"/>
    <col min="1286" max="1530" width="9.140625" style="55"/>
    <col min="1531" max="1531" width="5.42578125" style="55" bestFit="1" customWidth="1"/>
    <col min="1532" max="1532" width="20.42578125" style="55" bestFit="1" customWidth="1"/>
    <col min="1533" max="1533" width="41.42578125" style="55" customWidth="1"/>
    <col min="1534" max="1534" width="15.28515625" style="55" bestFit="1" customWidth="1"/>
    <col min="1535" max="1535" width="16.7109375" style="55" bestFit="1" customWidth="1"/>
    <col min="1536" max="1536" width="11.28515625" style="55" bestFit="1" customWidth="1"/>
    <col min="1537" max="1537" width="14" style="55" bestFit="1" customWidth="1"/>
    <col min="1538" max="1538" width="11.85546875" style="55" bestFit="1" customWidth="1"/>
    <col min="1539" max="1539" width="14.85546875" style="55" bestFit="1" customWidth="1"/>
    <col min="1540" max="1540" width="9.7109375" style="55" customWidth="1"/>
    <col min="1541" max="1541" width="4.85546875" style="55" customWidth="1"/>
    <col min="1542" max="1786" width="9.140625" style="55"/>
    <col min="1787" max="1787" width="5.42578125" style="55" bestFit="1" customWidth="1"/>
    <col min="1788" max="1788" width="20.42578125" style="55" bestFit="1" customWidth="1"/>
    <col min="1789" max="1789" width="41.42578125" style="55" customWidth="1"/>
    <col min="1790" max="1790" width="15.28515625" style="55" bestFit="1" customWidth="1"/>
    <col min="1791" max="1791" width="16.7109375" style="55" bestFit="1" customWidth="1"/>
    <col min="1792" max="1792" width="11.28515625" style="55" bestFit="1" customWidth="1"/>
    <col min="1793" max="1793" width="14" style="55" bestFit="1" customWidth="1"/>
    <col min="1794" max="1794" width="11.85546875" style="55" bestFit="1" customWidth="1"/>
    <col min="1795" max="1795" width="14.85546875" style="55" bestFit="1" customWidth="1"/>
    <col min="1796" max="1796" width="9.7109375" style="55" customWidth="1"/>
    <col min="1797" max="1797" width="4.85546875" style="55" customWidth="1"/>
    <col min="1798" max="2042" width="9.140625" style="55"/>
    <col min="2043" max="2043" width="5.42578125" style="55" bestFit="1" customWidth="1"/>
    <col min="2044" max="2044" width="20.42578125" style="55" bestFit="1" customWidth="1"/>
    <col min="2045" max="2045" width="41.42578125" style="55" customWidth="1"/>
    <col min="2046" max="2046" width="15.28515625" style="55" bestFit="1" customWidth="1"/>
    <col min="2047" max="2047" width="16.7109375" style="55" bestFit="1" customWidth="1"/>
    <col min="2048" max="2048" width="11.28515625" style="55" bestFit="1" customWidth="1"/>
    <col min="2049" max="2049" width="14" style="55" bestFit="1" customWidth="1"/>
    <col min="2050" max="2050" width="11.85546875" style="55" bestFit="1" customWidth="1"/>
    <col min="2051" max="2051" width="14.85546875" style="55" bestFit="1" customWidth="1"/>
    <col min="2052" max="2052" width="9.7109375" style="55" customWidth="1"/>
    <col min="2053" max="2053" width="4.85546875" style="55" customWidth="1"/>
    <col min="2054" max="2298" width="9.140625" style="55"/>
    <col min="2299" max="2299" width="5.42578125" style="55" bestFit="1" customWidth="1"/>
    <col min="2300" max="2300" width="20.42578125" style="55" bestFit="1" customWidth="1"/>
    <col min="2301" max="2301" width="41.42578125" style="55" customWidth="1"/>
    <col min="2302" max="2302" width="15.28515625" style="55" bestFit="1" customWidth="1"/>
    <col min="2303" max="2303" width="16.7109375" style="55" bestFit="1" customWidth="1"/>
    <col min="2304" max="2304" width="11.28515625" style="55" bestFit="1" customWidth="1"/>
    <col min="2305" max="2305" width="14" style="55" bestFit="1" customWidth="1"/>
    <col min="2306" max="2306" width="11.85546875" style="55" bestFit="1" customWidth="1"/>
    <col min="2307" max="2307" width="14.85546875" style="55" bestFit="1" customWidth="1"/>
    <col min="2308" max="2308" width="9.7109375" style="55" customWidth="1"/>
    <col min="2309" max="2309" width="4.85546875" style="55" customWidth="1"/>
    <col min="2310" max="2554" width="9.140625" style="55"/>
    <col min="2555" max="2555" width="5.42578125" style="55" bestFit="1" customWidth="1"/>
    <col min="2556" max="2556" width="20.42578125" style="55" bestFit="1" customWidth="1"/>
    <col min="2557" max="2557" width="41.42578125" style="55" customWidth="1"/>
    <col min="2558" max="2558" width="15.28515625" style="55" bestFit="1" customWidth="1"/>
    <col min="2559" max="2559" width="16.7109375" style="55" bestFit="1" customWidth="1"/>
    <col min="2560" max="2560" width="11.28515625" style="55" bestFit="1" customWidth="1"/>
    <col min="2561" max="2561" width="14" style="55" bestFit="1" customWidth="1"/>
    <col min="2562" max="2562" width="11.85546875" style="55" bestFit="1" customWidth="1"/>
    <col min="2563" max="2563" width="14.85546875" style="55" bestFit="1" customWidth="1"/>
    <col min="2564" max="2564" width="9.7109375" style="55" customWidth="1"/>
    <col min="2565" max="2565" width="4.85546875" style="55" customWidth="1"/>
    <col min="2566" max="2810" width="9.140625" style="55"/>
    <col min="2811" max="2811" width="5.42578125" style="55" bestFit="1" customWidth="1"/>
    <col min="2812" max="2812" width="20.42578125" style="55" bestFit="1" customWidth="1"/>
    <col min="2813" max="2813" width="41.42578125" style="55" customWidth="1"/>
    <col min="2814" max="2814" width="15.28515625" style="55" bestFit="1" customWidth="1"/>
    <col min="2815" max="2815" width="16.7109375" style="55" bestFit="1" customWidth="1"/>
    <col min="2816" max="2816" width="11.28515625" style="55" bestFit="1" customWidth="1"/>
    <col min="2817" max="2817" width="14" style="55" bestFit="1" customWidth="1"/>
    <col min="2818" max="2818" width="11.85546875" style="55" bestFit="1" customWidth="1"/>
    <col min="2819" max="2819" width="14.85546875" style="55" bestFit="1" customWidth="1"/>
    <col min="2820" max="2820" width="9.7109375" style="55" customWidth="1"/>
    <col min="2821" max="2821" width="4.85546875" style="55" customWidth="1"/>
    <col min="2822" max="3066" width="9.140625" style="55"/>
    <col min="3067" max="3067" width="5.42578125" style="55" bestFit="1" customWidth="1"/>
    <col min="3068" max="3068" width="20.42578125" style="55" bestFit="1" customWidth="1"/>
    <col min="3069" max="3069" width="41.42578125" style="55" customWidth="1"/>
    <col min="3070" max="3070" width="15.28515625" style="55" bestFit="1" customWidth="1"/>
    <col min="3071" max="3071" width="16.7109375" style="55" bestFit="1" customWidth="1"/>
    <col min="3072" max="3072" width="11.28515625" style="55" bestFit="1" customWidth="1"/>
    <col min="3073" max="3073" width="14" style="55" bestFit="1" customWidth="1"/>
    <col min="3074" max="3074" width="11.85546875" style="55" bestFit="1" customWidth="1"/>
    <col min="3075" max="3075" width="14.85546875" style="55" bestFit="1" customWidth="1"/>
    <col min="3076" max="3076" width="9.7109375" style="55" customWidth="1"/>
    <col min="3077" max="3077" width="4.85546875" style="55" customWidth="1"/>
    <col min="3078" max="3322" width="9.140625" style="55"/>
    <col min="3323" max="3323" width="5.42578125" style="55" bestFit="1" customWidth="1"/>
    <col min="3324" max="3324" width="20.42578125" style="55" bestFit="1" customWidth="1"/>
    <col min="3325" max="3325" width="41.42578125" style="55" customWidth="1"/>
    <col min="3326" max="3326" width="15.28515625" style="55" bestFit="1" customWidth="1"/>
    <col min="3327" max="3327" width="16.7109375" style="55" bestFit="1" customWidth="1"/>
    <col min="3328" max="3328" width="11.28515625" style="55" bestFit="1" customWidth="1"/>
    <col min="3329" max="3329" width="14" style="55" bestFit="1" customWidth="1"/>
    <col min="3330" max="3330" width="11.85546875" style="55" bestFit="1" customWidth="1"/>
    <col min="3331" max="3331" width="14.85546875" style="55" bestFit="1" customWidth="1"/>
    <col min="3332" max="3332" width="9.7109375" style="55" customWidth="1"/>
    <col min="3333" max="3333" width="4.85546875" style="55" customWidth="1"/>
    <col min="3334" max="3578" width="9.140625" style="55"/>
    <col min="3579" max="3579" width="5.42578125" style="55" bestFit="1" customWidth="1"/>
    <col min="3580" max="3580" width="20.42578125" style="55" bestFit="1" customWidth="1"/>
    <col min="3581" max="3581" width="41.42578125" style="55" customWidth="1"/>
    <col min="3582" max="3582" width="15.28515625" style="55" bestFit="1" customWidth="1"/>
    <col min="3583" max="3583" width="16.7109375" style="55" bestFit="1" customWidth="1"/>
    <col min="3584" max="3584" width="11.28515625" style="55" bestFit="1" customWidth="1"/>
    <col min="3585" max="3585" width="14" style="55" bestFit="1" customWidth="1"/>
    <col min="3586" max="3586" width="11.85546875" style="55" bestFit="1" customWidth="1"/>
    <col min="3587" max="3587" width="14.85546875" style="55" bestFit="1" customWidth="1"/>
    <col min="3588" max="3588" width="9.7109375" style="55" customWidth="1"/>
    <col min="3589" max="3589" width="4.85546875" style="55" customWidth="1"/>
    <col min="3590" max="3834" width="9.140625" style="55"/>
    <col min="3835" max="3835" width="5.42578125" style="55" bestFit="1" customWidth="1"/>
    <col min="3836" max="3836" width="20.42578125" style="55" bestFit="1" customWidth="1"/>
    <col min="3837" max="3837" width="41.42578125" style="55" customWidth="1"/>
    <col min="3838" max="3838" width="15.28515625" style="55" bestFit="1" customWidth="1"/>
    <col min="3839" max="3839" width="16.7109375" style="55" bestFit="1" customWidth="1"/>
    <col min="3840" max="3840" width="11.28515625" style="55" bestFit="1" customWidth="1"/>
    <col min="3841" max="3841" width="14" style="55" bestFit="1" customWidth="1"/>
    <col min="3842" max="3842" width="11.85546875" style="55" bestFit="1" customWidth="1"/>
    <col min="3843" max="3843" width="14.85546875" style="55" bestFit="1" customWidth="1"/>
    <col min="3844" max="3844" width="9.7109375" style="55" customWidth="1"/>
    <col min="3845" max="3845" width="4.85546875" style="55" customWidth="1"/>
    <col min="3846" max="4090" width="9.140625" style="55"/>
    <col min="4091" max="4091" width="5.42578125" style="55" bestFit="1" customWidth="1"/>
    <col min="4092" max="4092" width="20.42578125" style="55" bestFit="1" customWidth="1"/>
    <col min="4093" max="4093" width="41.42578125" style="55" customWidth="1"/>
    <col min="4094" max="4094" width="15.28515625" style="55" bestFit="1" customWidth="1"/>
    <col min="4095" max="4095" width="16.7109375" style="55" bestFit="1" customWidth="1"/>
    <col min="4096" max="4096" width="11.28515625" style="55" bestFit="1" customWidth="1"/>
    <col min="4097" max="4097" width="14" style="55" bestFit="1" customWidth="1"/>
    <col min="4098" max="4098" width="11.85546875" style="55" bestFit="1" customWidth="1"/>
    <col min="4099" max="4099" width="14.85546875" style="55" bestFit="1" customWidth="1"/>
    <col min="4100" max="4100" width="9.7109375" style="55" customWidth="1"/>
    <col min="4101" max="4101" width="4.85546875" style="55" customWidth="1"/>
    <col min="4102" max="4346" width="9.140625" style="55"/>
    <col min="4347" max="4347" width="5.42578125" style="55" bestFit="1" customWidth="1"/>
    <col min="4348" max="4348" width="20.42578125" style="55" bestFit="1" customWidth="1"/>
    <col min="4349" max="4349" width="41.42578125" style="55" customWidth="1"/>
    <col min="4350" max="4350" width="15.28515625" style="55" bestFit="1" customWidth="1"/>
    <col min="4351" max="4351" width="16.7109375" style="55" bestFit="1" customWidth="1"/>
    <col min="4352" max="4352" width="11.28515625" style="55" bestFit="1" customWidth="1"/>
    <col min="4353" max="4353" width="14" style="55" bestFit="1" customWidth="1"/>
    <col min="4354" max="4354" width="11.85546875" style="55" bestFit="1" customWidth="1"/>
    <col min="4355" max="4355" width="14.85546875" style="55" bestFit="1" customWidth="1"/>
    <col min="4356" max="4356" width="9.7109375" style="55" customWidth="1"/>
    <col min="4357" max="4357" width="4.85546875" style="55" customWidth="1"/>
    <col min="4358" max="4602" width="9.140625" style="55"/>
    <col min="4603" max="4603" width="5.42578125" style="55" bestFit="1" customWidth="1"/>
    <col min="4604" max="4604" width="20.42578125" style="55" bestFit="1" customWidth="1"/>
    <col min="4605" max="4605" width="41.42578125" style="55" customWidth="1"/>
    <col min="4606" max="4606" width="15.28515625" style="55" bestFit="1" customWidth="1"/>
    <col min="4607" max="4607" width="16.7109375" style="55" bestFit="1" customWidth="1"/>
    <col min="4608" max="4608" width="11.28515625" style="55" bestFit="1" customWidth="1"/>
    <col min="4609" max="4609" width="14" style="55" bestFit="1" customWidth="1"/>
    <col min="4610" max="4610" width="11.85546875" style="55" bestFit="1" customWidth="1"/>
    <col min="4611" max="4611" width="14.85546875" style="55" bestFit="1" customWidth="1"/>
    <col min="4612" max="4612" width="9.7109375" style="55" customWidth="1"/>
    <col min="4613" max="4613" width="4.85546875" style="55" customWidth="1"/>
    <col min="4614" max="4858" width="9.140625" style="55"/>
    <col min="4859" max="4859" width="5.42578125" style="55" bestFit="1" customWidth="1"/>
    <col min="4860" max="4860" width="20.42578125" style="55" bestFit="1" customWidth="1"/>
    <col min="4861" max="4861" width="41.42578125" style="55" customWidth="1"/>
    <col min="4862" max="4862" width="15.28515625" style="55" bestFit="1" customWidth="1"/>
    <col min="4863" max="4863" width="16.7109375" style="55" bestFit="1" customWidth="1"/>
    <col min="4864" max="4864" width="11.28515625" style="55" bestFit="1" customWidth="1"/>
    <col min="4865" max="4865" width="14" style="55" bestFit="1" customWidth="1"/>
    <col min="4866" max="4866" width="11.85546875" style="55" bestFit="1" customWidth="1"/>
    <col min="4867" max="4867" width="14.85546875" style="55" bestFit="1" customWidth="1"/>
    <col min="4868" max="4868" width="9.7109375" style="55" customWidth="1"/>
    <col min="4869" max="4869" width="4.85546875" style="55" customWidth="1"/>
    <col min="4870" max="5114" width="9.140625" style="55"/>
    <col min="5115" max="5115" width="5.42578125" style="55" bestFit="1" customWidth="1"/>
    <col min="5116" max="5116" width="20.42578125" style="55" bestFit="1" customWidth="1"/>
    <col min="5117" max="5117" width="41.42578125" style="55" customWidth="1"/>
    <col min="5118" max="5118" width="15.28515625" style="55" bestFit="1" customWidth="1"/>
    <col min="5119" max="5119" width="16.7109375" style="55" bestFit="1" customWidth="1"/>
    <col min="5120" max="5120" width="11.28515625" style="55" bestFit="1" customWidth="1"/>
    <col min="5121" max="5121" width="14" style="55" bestFit="1" customWidth="1"/>
    <col min="5122" max="5122" width="11.85546875" style="55" bestFit="1" customWidth="1"/>
    <col min="5123" max="5123" width="14.85546875" style="55" bestFit="1" customWidth="1"/>
    <col min="5124" max="5124" width="9.7109375" style="55" customWidth="1"/>
    <col min="5125" max="5125" width="4.85546875" style="55" customWidth="1"/>
    <col min="5126" max="5370" width="9.140625" style="55"/>
    <col min="5371" max="5371" width="5.42578125" style="55" bestFit="1" customWidth="1"/>
    <col min="5372" max="5372" width="20.42578125" style="55" bestFit="1" customWidth="1"/>
    <col min="5373" max="5373" width="41.42578125" style="55" customWidth="1"/>
    <col min="5374" max="5374" width="15.28515625" style="55" bestFit="1" customWidth="1"/>
    <col min="5375" max="5375" width="16.7109375" style="55" bestFit="1" customWidth="1"/>
    <col min="5376" max="5376" width="11.28515625" style="55" bestFit="1" customWidth="1"/>
    <col min="5377" max="5377" width="14" style="55" bestFit="1" customWidth="1"/>
    <col min="5378" max="5378" width="11.85546875" style="55" bestFit="1" customWidth="1"/>
    <col min="5379" max="5379" width="14.85546875" style="55" bestFit="1" customWidth="1"/>
    <col min="5380" max="5380" width="9.7109375" style="55" customWidth="1"/>
    <col min="5381" max="5381" width="4.85546875" style="55" customWidth="1"/>
    <col min="5382" max="5626" width="9.140625" style="55"/>
    <col min="5627" max="5627" width="5.42578125" style="55" bestFit="1" customWidth="1"/>
    <col min="5628" max="5628" width="20.42578125" style="55" bestFit="1" customWidth="1"/>
    <col min="5629" max="5629" width="41.42578125" style="55" customWidth="1"/>
    <col min="5630" max="5630" width="15.28515625" style="55" bestFit="1" customWidth="1"/>
    <col min="5631" max="5631" width="16.7109375" style="55" bestFit="1" customWidth="1"/>
    <col min="5632" max="5632" width="11.28515625" style="55" bestFit="1" customWidth="1"/>
    <col min="5633" max="5633" width="14" style="55" bestFit="1" customWidth="1"/>
    <col min="5634" max="5634" width="11.85546875" style="55" bestFit="1" customWidth="1"/>
    <col min="5635" max="5635" width="14.85546875" style="55" bestFit="1" customWidth="1"/>
    <col min="5636" max="5636" width="9.7109375" style="55" customWidth="1"/>
    <col min="5637" max="5637" width="4.85546875" style="55" customWidth="1"/>
    <col min="5638" max="5882" width="9.140625" style="55"/>
    <col min="5883" max="5883" width="5.42578125" style="55" bestFit="1" customWidth="1"/>
    <col min="5884" max="5884" width="20.42578125" style="55" bestFit="1" customWidth="1"/>
    <col min="5885" max="5885" width="41.42578125" style="55" customWidth="1"/>
    <col min="5886" max="5886" width="15.28515625" style="55" bestFit="1" customWidth="1"/>
    <col min="5887" max="5887" width="16.7109375" style="55" bestFit="1" customWidth="1"/>
    <col min="5888" max="5888" width="11.28515625" style="55" bestFit="1" customWidth="1"/>
    <col min="5889" max="5889" width="14" style="55" bestFit="1" customWidth="1"/>
    <col min="5890" max="5890" width="11.85546875" style="55" bestFit="1" customWidth="1"/>
    <col min="5891" max="5891" width="14.85546875" style="55" bestFit="1" customWidth="1"/>
    <col min="5892" max="5892" width="9.7109375" style="55" customWidth="1"/>
    <col min="5893" max="5893" width="4.85546875" style="55" customWidth="1"/>
    <col min="5894" max="6138" width="9.140625" style="55"/>
    <col min="6139" max="6139" width="5.42578125" style="55" bestFit="1" customWidth="1"/>
    <col min="6140" max="6140" width="20.42578125" style="55" bestFit="1" customWidth="1"/>
    <col min="6141" max="6141" width="41.42578125" style="55" customWidth="1"/>
    <col min="6142" max="6142" width="15.28515625" style="55" bestFit="1" customWidth="1"/>
    <col min="6143" max="6143" width="16.7109375" style="55" bestFit="1" customWidth="1"/>
    <col min="6144" max="6144" width="11.28515625" style="55" bestFit="1" customWidth="1"/>
    <col min="6145" max="6145" width="14" style="55" bestFit="1" customWidth="1"/>
    <col min="6146" max="6146" width="11.85546875" style="55" bestFit="1" customWidth="1"/>
    <col min="6147" max="6147" width="14.85546875" style="55" bestFit="1" customWidth="1"/>
    <col min="6148" max="6148" width="9.7109375" style="55" customWidth="1"/>
    <col min="6149" max="6149" width="4.85546875" style="55" customWidth="1"/>
    <col min="6150" max="6394" width="9.140625" style="55"/>
    <col min="6395" max="6395" width="5.42578125" style="55" bestFit="1" customWidth="1"/>
    <col min="6396" max="6396" width="20.42578125" style="55" bestFit="1" customWidth="1"/>
    <col min="6397" max="6397" width="41.42578125" style="55" customWidth="1"/>
    <col min="6398" max="6398" width="15.28515625" style="55" bestFit="1" customWidth="1"/>
    <col min="6399" max="6399" width="16.7109375" style="55" bestFit="1" customWidth="1"/>
    <col min="6400" max="6400" width="11.28515625" style="55" bestFit="1" customWidth="1"/>
    <col min="6401" max="6401" width="14" style="55" bestFit="1" customWidth="1"/>
    <col min="6402" max="6402" width="11.85546875" style="55" bestFit="1" customWidth="1"/>
    <col min="6403" max="6403" width="14.85546875" style="55" bestFit="1" customWidth="1"/>
    <col min="6404" max="6404" width="9.7109375" style="55" customWidth="1"/>
    <col min="6405" max="6405" width="4.85546875" style="55" customWidth="1"/>
    <col min="6406" max="6650" width="9.140625" style="55"/>
    <col min="6651" max="6651" width="5.42578125" style="55" bestFit="1" customWidth="1"/>
    <col min="6652" max="6652" width="20.42578125" style="55" bestFit="1" customWidth="1"/>
    <col min="6653" max="6653" width="41.42578125" style="55" customWidth="1"/>
    <col min="6654" max="6654" width="15.28515625" style="55" bestFit="1" customWidth="1"/>
    <col min="6655" max="6655" width="16.7109375" style="55" bestFit="1" customWidth="1"/>
    <col min="6656" max="6656" width="11.28515625" style="55" bestFit="1" customWidth="1"/>
    <col min="6657" max="6657" width="14" style="55" bestFit="1" customWidth="1"/>
    <col min="6658" max="6658" width="11.85546875" style="55" bestFit="1" customWidth="1"/>
    <col min="6659" max="6659" width="14.85546875" style="55" bestFit="1" customWidth="1"/>
    <col min="6660" max="6660" width="9.7109375" style="55" customWidth="1"/>
    <col min="6661" max="6661" width="4.85546875" style="55" customWidth="1"/>
    <col min="6662" max="6906" width="9.140625" style="55"/>
    <col min="6907" max="6907" width="5.42578125" style="55" bestFit="1" customWidth="1"/>
    <col min="6908" max="6908" width="20.42578125" style="55" bestFit="1" customWidth="1"/>
    <col min="6909" max="6909" width="41.42578125" style="55" customWidth="1"/>
    <col min="6910" max="6910" width="15.28515625" style="55" bestFit="1" customWidth="1"/>
    <col min="6911" max="6911" width="16.7109375" style="55" bestFit="1" customWidth="1"/>
    <col min="6912" max="6912" width="11.28515625" style="55" bestFit="1" customWidth="1"/>
    <col min="6913" max="6913" width="14" style="55" bestFit="1" customWidth="1"/>
    <col min="6914" max="6914" width="11.85546875" style="55" bestFit="1" customWidth="1"/>
    <col min="6915" max="6915" width="14.85546875" style="55" bestFit="1" customWidth="1"/>
    <col min="6916" max="6916" width="9.7109375" style="55" customWidth="1"/>
    <col min="6917" max="6917" width="4.85546875" style="55" customWidth="1"/>
    <col min="6918" max="7162" width="9.140625" style="55"/>
    <col min="7163" max="7163" width="5.42578125" style="55" bestFit="1" customWidth="1"/>
    <col min="7164" max="7164" width="20.42578125" style="55" bestFit="1" customWidth="1"/>
    <col min="7165" max="7165" width="41.42578125" style="55" customWidth="1"/>
    <col min="7166" max="7166" width="15.28515625" style="55" bestFit="1" customWidth="1"/>
    <col min="7167" max="7167" width="16.7109375" style="55" bestFit="1" customWidth="1"/>
    <col min="7168" max="7168" width="11.28515625" style="55" bestFit="1" customWidth="1"/>
    <col min="7169" max="7169" width="14" style="55" bestFit="1" customWidth="1"/>
    <col min="7170" max="7170" width="11.85546875" style="55" bestFit="1" customWidth="1"/>
    <col min="7171" max="7171" width="14.85546875" style="55" bestFit="1" customWidth="1"/>
    <col min="7172" max="7172" width="9.7109375" style="55" customWidth="1"/>
    <col min="7173" max="7173" width="4.85546875" style="55" customWidth="1"/>
    <col min="7174" max="7418" width="9.140625" style="55"/>
    <col min="7419" max="7419" width="5.42578125" style="55" bestFit="1" customWidth="1"/>
    <col min="7420" max="7420" width="20.42578125" style="55" bestFit="1" customWidth="1"/>
    <col min="7421" max="7421" width="41.42578125" style="55" customWidth="1"/>
    <col min="7422" max="7422" width="15.28515625" style="55" bestFit="1" customWidth="1"/>
    <col min="7423" max="7423" width="16.7109375" style="55" bestFit="1" customWidth="1"/>
    <col min="7424" max="7424" width="11.28515625" style="55" bestFit="1" customWidth="1"/>
    <col min="7425" max="7425" width="14" style="55" bestFit="1" customWidth="1"/>
    <col min="7426" max="7426" width="11.85546875" style="55" bestFit="1" customWidth="1"/>
    <col min="7427" max="7427" width="14.85546875" style="55" bestFit="1" customWidth="1"/>
    <col min="7428" max="7428" width="9.7109375" style="55" customWidth="1"/>
    <col min="7429" max="7429" width="4.85546875" style="55" customWidth="1"/>
    <col min="7430" max="7674" width="9.140625" style="55"/>
    <col min="7675" max="7675" width="5.42578125" style="55" bestFit="1" customWidth="1"/>
    <col min="7676" max="7676" width="20.42578125" style="55" bestFit="1" customWidth="1"/>
    <col min="7677" max="7677" width="41.42578125" style="55" customWidth="1"/>
    <col min="7678" max="7678" width="15.28515625" style="55" bestFit="1" customWidth="1"/>
    <col min="7679" max="7679" width="16.7109375" style="55" bestFit="1" customWidth="1"/>
    <col min="7680" max="7680" width="11.28515625" style="55" bestFit="1" customWidth="1"/>
    <col min="7681" max="7681" width="14" style="55" bestFit="1" customWidth="1"/>
    <col min="7682" max="7682" width="11.85546875" style="55" bestFit="1" customWidth="1"/>
    <col min="7683" max="7683" width="14.85546875" style="55" bestFit="1" customWidth="1"/>
    <col min="7684" max="7684" width="9.7109375" style="55" customWidth="1"/>
    <col min="7685" max="7685" width="4.85546875" style="55" customWidth="1"/>
    <col min="7686" max="7930" width="9.140625" style="55"/>
    <col min="7931" max="7931" width="5.42578125" style="55" bestFit="1" customWidth="1"/>
    <col min="7932" max="7932" width="20.42578125" style="55" bestFit="1" customWidth="1"/>
    <col min="7933" max="7933" width="41.42578125" style="55" customWidth="1"/>
    <col min="7934" max="7934" width="15.28515625" style="55" bestFit="1" customWidth="1"/>
    <col min="7935" max="7935" width="16.7109375" style="55" bestFit="1" customWidth="1"/>
    <col min="7936" max="7936" width="11.28515625" style="55" bestFit="1" customWidth="1"/>
    <col min="7937" max="7937" width="14" style="55" bestFit="1" customWidth="1"/>
    <col min="7938" max="7938" width="11.85546875" style="55" bestFit="1" customWidth="1"/>
    <col min="7939" max="7939" width="14.85546875" style="55" bestFit="1" customWidth="1"/>
    <col min="7940" max="7940" width="9.7109375" style="55" customWidth="1"/>
    <col min="7941" max="7941" width="4.85546875" style="55" customWidth="1"/>
    <col min="7942" max="8186" width="9.140625" style="55"/>
    <col min="8187" max="8187" width="5.42578125" style="55" bestFit="1" customWidth="1"/>
    <col min="8188" max="8188" width="20.42578125" style="55" bestFit="1" customWidth="1"/>
    <col min="8189" max="8189" width="41.42578125" style="55" customWidth="1"/>
    <col min="8190" max="8190" width="15.28515625" style="55" bestFit="1" customWidth="1"/>
    <col min="8191" max="8191" width="16.7109375" style="55" bestFit="1" customWidth="1"/>
    <col min="8192" max="8192" width="11.28515625" style="55" bestFit="1" customWidth="1"/>
    <col min="8193" max="8193" width="14" style="55" bestFit="1" customWidth="1"/>
    <col min="8194" max="8194" width="11.85546875" style="55" bestFit="1" customWidth="1"/>
    <col min="8195" max="8195" width="14.85546875" style="55" bestFit="1" customWidth="1"/>
    <col min="8196" max="8196" width="9.7109375" style="55" customWidth="1"/>
    <col min="8197" max="8197" width="4.85546875" style="55" customWidth="1"/>
    <col min="8198" max="8442" width="9.140625" style="55"/>
    <col min="8443" max="8443" width="5.42578125" style="55" bestFit="1" customWidth="1"/>
    <col min="8444" max="8444" width="20.42578125" style="55" bestFit="1" customWidth="1"/>
    <col min="8445" max="8445" width="41.42578125" style="55" customWidth="1"/>
    <col min="8446" max="8446" width="15.28515625" style="55" bestFit="1" customWidth="1"/>
    <col min="8447" max="8447" width="16.7109375" style="55" bestFit="1" customWidth="1"/>
    <col min="8448" max="8448" width="11.28515625" style="55" bestFit="1" customWidth="1"/>
    <col min="8449" max="8449" width="14" style="55" bestFit="1" customWidth="1"/>
    <col min="8450" max="8450" width="11.85546875" style="55" bestFit="1" customWidth="1"/>
    <col min="8451" max="8451" width="14.85546875" style="55" bestFit="1" customWidth="1"/>
    <col min="8452" max="8452" width="9.7109375" style="55" customWidth="1"/>
    <col min="8453" max="8453" width="4.85546875" style="55" customWidth="1"/>
    <col min="8454" max="8698" width="9.140625" style="55"/>
    <col min="8699" max="8699" width="5.42578125" style="55" bestFit="1" customWidth="1"/>
    <col min="8700" max="8700" width="20.42578125" style="55" bestFit="1" customWidth="1"/>
    <col min="8701" max="8701" width="41.42578125" style="55" customWidth="1"/>
    <col min="8702" max="8702" width="15.28515625" style="55" bestFit="1" customWidth="1"/>
    <col min="8703" max="8703" width="16.7109375" style="55" bestFit="1" customWidth="1"/>
    <col min="8704" max="8704" width="11.28515625" style="55" bestFit="1" customWidth="1"/>
    <col min="8705" max="8705" width="14" style="55" bestFit="1" customWidth="1"/>
    <col min="8706" max="8706" width="11.85546875" style="55" bestFit="1" customWidth="1"/>
    <col min="8707" max="8707" width="14.85546875" style="55" bestFit="1" customWidth="1"/>
    <col min="8708" max="8708" width="9.7109375" style="55" customWidth="1"/>
    <col min="8709" max="8709" width="4.85546875" style="55" customWidth="1"/>
    <col min="8710" max="8954" width="9.140625" style="55"/>
    <col min="8955" max="8955" width="5.42578125" style="55" bestFit="1" customWidth="1"/>
    <col min="8956" max="8956" width="20.42578125" style="55" bestFit="1" customWidth="1"/>
    <col min="8957" max="8957" width="41.42578125" style="55" customWidth="1"/>
    <col min="8958" max="8958" width="15.28515625" style="55" bestFit="1" customWidth="1"/>
    <col min="8959" max="8959" width="16.7109375" style="55" bestFit="1" customWidth="1"/>
    <col min="8960" max="8960" width="11.28515625" style="55" bestFit="1" customWidth="1"/>
    <col min="8961" max="8961" width="14" style="55" bestFit="1" customWidth="1"/>
    <col min="8962" max="8962" width="11.85546875" style="55" bestFit="1" customWidth="1"/>
    <col min="8963" max="8963" width="14.85546875" style="55" bestFit="1" customWidth="1"/>
    <col min="8964" max="8964" width="9.7109375" style="55" customWidth="1"/>
    <col min="8965" max="8965" width="4.85546875" style="55" customWidth="1"/>
    <col min="8966" max="9210" width="9.140625" style="55"/>
    <col min="9211" max="9211" width="5.42578125" style="55" bestFit="1" customWidth="1"/>
    <col min="9212" max="9212" width="20.42578125" style="55" bestFit="1" customWidth="1"/>
    <col min="9213" max="9213" width="41.42578125" style="55" customWidth="1"/>
    <col min="9214" max="9214" width="15.28515625" style="55" bestFit="1" customWidth="1"/>
    <col min="9215" max="9215" width="16.7109375" style="55" bestFit="1" customWidth="1"/>
    <col min="9216" max="9216" width="11.28515625" style="55" bestFit="1" customWidth="1"/>
    <col min="9217" max="9217" width="14" style="55" bestFit="1" customWidth="1"/>
    <col min="9218" max="9218" width="11.85546875" style="55" bestFit="1" customWidth="1"/>
    <col min="9219" max="9219" width="14.85546875" style="55" bestFit="1" customWidth="1"/>
    <col min="9220" max="9220" width="9.7109375" style="55" customWidth="1"/>
    <col min="9221" max="9221" width="4.85546875" style="55" customWidth="1"/>
    <col min="9222" max="9466" width="9.140625" style="55"/>
    <col min="9467" max="9467" width="5.42578125" style="55" bestFit="1" customWidth="1"/>
    <col min="9468" max="9468" width="20.42578125" style="55" bestFit="1" customWidth="1"/>
    <col min="9469" max="9469" width="41.42578125" style="55" customWidth="1"/>
    <col min="9470" max="9470" width="15.28515625" style="55" bestFit="1" customWidth="1"/>
    <col min="9471" max="9471" width="16.7109375" style="55" bestFit="1" customWidth="1"/>
    <col min="9472" max="9472" width="11.28515625" style="55" bestFit="1" customWidth="1"/>
    <col min="9473" max="9473" width="14" style="55" bestFit="1" customWidth="1"/>
    <col min="9474" max="9474" width="11.85546875" style="55" bestFit="1" customWidth="1"/>
    <col min="9475" max="9475" width="14.85546875" style="55" bestFit="1" customWidth="1"/>
    <col min="9476" max="9476" width="9.7109375" style="55" customWidth="1"/>
    <col min="9477" max="9477" width="4.85546875" style="55" customWidth="1"/>
    <col min="9478" max="9722" width="9.140625" style="55"/>
    <col min="9723" max="9723" width="5.42578125" style="55" bestFit="1" customWidth="1"/>
    <col min="9724" max="9724" width="20.42578125" style="55" bestFit="1" customWidth="1"/>
    <col min="9725" max="9725" width="41.42578125" style="55" customWidth="1"/>
    <col min="9726" max="9726" width="15.28515625" style="55" bestFit="1" customWidth="1"/>
    <col min="9727" max="9727" width="16.7109375" style="55" bestFit="1" customWidth="1"/>
    <col min="9728" max="9728" width="11.28515625" style="55" bestFit="1" customWidth="1"/>
    <col min="9729" max="9729" width="14" style="55" bestFit="1" customWidth="1"/>
    <col min="9730" max="9730" width="11.85546875" style="55" bestFit="1" customWidth="1"/>
    <col min="9731" max="9731" width="14.85546875" style="55" bestFit="1" customWidth="1"/>
    <col min="9732" max="9732" width="9.7109375" style="55" customWidth="1"/>
    <col min="9733" max="9733" width="4.85546875" style="55" customWidth="1"/>
    <col min="9734" max="9978" width="9.140625" style="55"/>
    <col min="9979" max="9979" width="5.42578125" style="55" bestFit="1" customWidth="1"/>
    <col min="9980" max="9980" width="20.42578125" style="55" bestFit="1" customWidth="1"/>
    <col min="9981" max="9981" width="41.42578125" style="55" customWidth="1"/>
    <col min="9982" max="9982" width="15.28515625" style="55" bestFit="1" customWidth="1"/>
    <col min="9983" max="9983" width="16.7109375" style="55" bestFit="1" customWidth="1"/>
    <col min="9984" max="9984" width="11.28515625" style="55" bestFit="1" customWidth="1"/>
    <col min="9985" max="9985" width="14" style="55" bestFit="1" customWidth="1"/>
    <col min="9986" max="9986" width="11.85546875" style="55" bestFit="1" customWidth="1"/>
    <col min="9987" max="9987" width="14.85546875" style="55" bestFit="1" customWidth="1"/>
    <col min="9988" max="9988" width="9.7109375" style="55" customWidth="1"/>
    <col min="9989" max="9989" width="4.85546875" style="55" customWidth="1"/>
    <col min="9990" max="10234" width="9.140625" style="55"/>
    <col min="10235" max="10235" width="5.42578125" style="55" bestFit="1" customWidth="1"/>
    <col min="10236" max="10236" width="20.42578125" style="55" bestFit="1" customWidth="1"/>
    <col min="10237" max="10237" width="41.42578125" style="55" customWidth="1"/>
    <col min="10238" max="10238" width="15.28515625" style="55" bestFit="1" customWidth="1"/>
    <col min="10239" max="10239" width="16.7109375" style="55" bestFit="1" customWidth="1"/>
    <col min="10240" max="10240" width="11.28515625" style="55" bestFit="1" customWidth="1"/>
    <col min="10241" max="10241" width="14" style="55" bestFit="1" customWidth="1"/>
    <col min="10242" max="10242" width="11.85546875" style="55" bestFit="1" customWidth="1"/>
    <col min="10243" max="10243" width="14.85546875" style="55" bestFit="1" customWidth="1"/>
    <col min="10244" max="10244" width="9.7109375" style="55" customWidth="1"/>
    <col min="10245" max="10245" width="4.85546875" style="55" customWidth="1"/>
    <col min="10246" max="10490" width="9.140625" style="55"/>
    <col min="10491" max="10491" width="5.42578125" style="55" bestFit="1" customWidth="1"/>
    <col min="10492" max="10492" width="20.42578125" style="55" bestFit="1" customWidth="1"/>
    <col min="10493" max="10493" width="41.42578125" style="55" customWidth="1"/>
    <col min="10494" max="10494" width="15.28515625" style="55" bestFit="1" customWidth="1"/>
    <col min="10495" max="10495" width="16.7109375" style="55" bestFit="1" customWidth="1"/>
    <col min="10496" max="10496" width="11.28515625" style="55" bestFit="1" customWidth="1"/>
    <col min="10497" max="10497" width="14" style="55" bestFit="1" customWidth="1"/>
    <col min="10498" max="10498" width="11.85546875" style="55" bestFit="1" customWidth="1"/>
    <col min="10499" max="10499" width="14.85546875" style="55" bestFit="1" customWidth="1"/>
    <col min="10500" max="10500" width="9.7109375" style="55" customWidth="1"/>
    <col min="10501" max="10501" width="4.85546875" style="55" customWidth="1"/>
    <col min="10502" max="10746" width="9.140625" style="55"/>
    <col min="10747" max="10747" width="5.42578125" style="55" bestFit="1" customWidth="1"/>
    <col min="10748" max="10748" width="20.42578125" style="55" bestFit="1" customWidth="1"/>
    <col min="10749" max="10749" width="41.42578125" style="55" customWidth="1"/>
    <col min="10750" max="10750" width="15.28515625" style="55" bestFit="1" customWidth="1"/>
    <col min="10751" max="10751" width="16.7109375" style="55" bestFit="1" customWidth="1"/>
    <col min="10752" max="10752" width="11.28515625" style="55" bestFit="1" customWidth="1"/>
    <col min="10753" max="10753" width="14" style="55" bestFit="1" customWidth="1"/>
    <col min="10754" max="10754" width="11.85546875" style="55" bestFit="1" customWidth="1"/>
    <col min="10755" max="10755" width="14.85546875" style="55" bestFit="1" customWidth="1"/>
    <col min="10756" max="10756" width="9.7109375" style="55" customWidth="1"/>
    <col min="10757" max="10757" width="4.85546875" style="55" customWidth="1"/>
    <col min="10758" max="11002" width="9.140625" style="55"/>
    <col min="11003" max="11003" width="5.42578125" style="55" bestFit="1" customWidth="1"/>
    <col min="11004" max="11004" width="20.42578125" style="55" bestFit="1" customWidth="1"/>
    <col min="11005" max="11005" width="41.42578125" style="55" customWidth="1"/>
    <col min="11006" max="11006" width="15.28515625" style="55" bestFit="1" customWidth="1"/>
    <col min="11007" max="11007" width="16.7109375" style="55" bestFit="1" customWidth="1"/>
    <col min="11008" max="11008" width="11.28515625" style="55" bestFit="1" customWidth="1"/>
    <col min="11009" max="11009" width="14" style="55" bestFit="1" customWidth="1"/>
    <col min="11010" max="11010" width="11.85546875" style="55" bestFit="1" customWidth="1"/>
    <col min="11011" max="11011" width="14.85546875" style="55" bestFit="1" customWidth="1"/>
    <col min="11012" max="11012" width="9.7109375" style="55" customWidth="1"/>
    <col min="11013" max="11013" width="4.85546875" style="55" customWidth="1"/>
    <col min="11014" max="11258" width="9.140625" style="55"/>
    <col min="11259" max="11259" width="5.42578125" style="55" bestFit="1" customWidth="1"/>
    <col min="11260" max="11260" width="20.42578125" style="55" bestFit="1" customWidth="1"/>
    <col min="11261" max="11261" width="41.42578125" style="55" customWidth="1"/>
    <col min="11262" max="11262" width="15.28515625" style="55" bestFit="1" customWidth="1"/>
    <col min="11263" max="11263" width="16.7109375" style="55" bestFit="1" customWidth="1"/>
    <col min="11264" max="11264" width="11.28515625" style="55" bestFit="1" customWidth="1"/>
    <col min="11265" max="11265" width="14" style="55" bestFit="1" customWidth="1"/>
    <col min="11266" max="11266" width="11.85546875" style="55" bestFit="1" customWidth="1"/>
    <col min="11267" max="11267" width="14.85546875" style="55" bestFit="1" customWidth="1"/>
    <col min="11268" max="11268" width="9.7109375" style="55" customWidth="1"/>
    <col min="11269" max="11269" width="4.85546875" style="55" customWidth="1"/>
    <col min="11270" max="11514" width="9.140625" style="55"/>
    <col min="11515" max="11515" width="5.42578125" style="55" bestFit="1" customWidth="1"/>
    <col min="11516" max="11516" width="20.42578125" style="55" bestFit="1" customWidth="1"/>
    <col min="11517" max="11517" width="41.42578125" style="55" customWidth="1"/>
    <col min="11518" max="11518" width="15.28515625" style="55" bestFit="1" customWidth="1"/>
    <col min="11519" max="11519" width="16.7109375" style="55" bestFit="1" customWidth="1"/>
    <col min="11520" max="11520" width="11.28515625" style="55" bestFit="1" customWidth="1"/>
    <col min="11521" max="11521" width="14" style="55" bestFit="1" customWidth="1"/>
    <col min="11522" max="11522" width="11.85546875" style="55" bestFit="1" customWidth="1"/>
    <col min="11523" max="11523" width="14.85546875" style="55" bestFit="1" customWidth="1"/>
    <col min="11524" max="11524" width="9.7109375" style="55" customWidth="1"/>
    <col min="11525" max="11525" width="4.85546875" style="55" customWidth="1"/>
    <col min="11526" max="11770" width="9.140625" style="55"/>
    <col min="11771" max="11771" width="5.42578125" style="55" bestFit="1" customWidth="1"/>
    <col min="11772" max="11772" width="20.42578125" style="55" bestFit="1" customWidth="1"/>
    <col min="11773" max="11773" width="41.42578125" style="55" customWidth="1"/>
    <col min="11774" max="11774" width="15.28515625" style="55" bestFit="1" customWidth="1"/>
    <col min="11775" max="11775" width="16.7109375" style="55" bestFit="1" customWidth="1"/>
    <col min="11776" max="11776" width="11.28515625" style="55" bestFit="1" customWidth="1"/>
    <col min="11777" max="11777" width="14" style="55" bestFit="1" customWidth="1"/>
    <col min="11778" max="11778" width="11.85546875" style="55" bestFit="1" customWidth="1"/>
    <col min="11779" max="11779" width="14.85546875" style="55" bestFit="1" customWidth="1"/>
    <col min="11780" max="11780" width="9.7109375" style="55" customWidth="1"/>
    <col min="11781" max="11781" width="4.85546875" style="55" customWidth="1"/>
    <col min="11782" max="12026" width="9.140625" style="55"/>
    <col min="12027" max="12027" width="5.42578125" style="55" bestFit="1" customWidth="1"/>
    <col min="12028" max="12028" width="20.42578125" style="55" bestFit="1" customWidth="1"/>
    <col min="12029" max="12029" width="41.42578125" style="55" customWidth="1"/>
    <col min="12030" max="12030" width="15.28515625" style="55" bestFit="1" customWidth="1"/>
    <col min="12031" max="12031" width="16.7109375" style="55" bestFit="1" customWidth="1"/>
    <col min="12032" max="12032" width="11.28515625" style="55" bestFit="1" customWidth="1"/>
    <col min="12033" max="12033" width="14" style="55" bestFit="1" customWidth="1"/>
    <col min="12034" max="12034" width="11.85546875" style="55" bestFit="1" customWidth="1"/>
    <col min="12035" max="12035" width="14.85546875" style="55" bestFit="1" customWidth="1"/>
    <col min="12036" max="12036" width="9.7109375" style="55" customWidth="1"/>
    <col min="12037" max="12037" width="4.85546875" style="55" customWidth="1"/>
    <col min="12038" max="12282" width="9.140625" style="55"/>
    <col min="12283" max="12283" width="5.42578125" style="55" bestFit="1" customWidth="1"/>
    <col min="12284" max="12284" width="20.42578125" style="55" bestFit="1" customWidth="1"/>
    <col min="12285" max="12285" width="41.42578125" style="55" customWidth="1"/>
    <col min="12286" max="12286" width="15.28515625" style="55" bestFit="1" customWidth="1"/>
    <col min="12287" max="12287" width="16.7109375" style="55" bestFit="1" customWidth="1"/>
    <col min="12288" max="12288" width="11.28515625" style="55" bestFit="1" customWidth="1"/>
    <col min="12289" max="12289" width="14" style="55" bestFit="1" customWidth="1"/>
    <col min="12290" max="12290" width="11.85546875" style="55" bestFit="1" customWidth="1"/>
    <col min="12291" max="12291" width="14.85546875" style="55" bestFit="1" customWidth="1"/>
    <col min="12292" max="12292" width="9.7109375" style="55" customWidth="1"/>
    <col min="12293" max="12293" width="4.85546875" style="55" customWidth="1"/>
    <col min="12294" max="12538" width="9.140625" style="55"/>
    <col min="12539" max="12539" width="5.42578125" style="55" bestFit="1" customWidth="1"/>
    <col min="12540" max="12540" width="20.42578125" style="55" bestFit="1" customWidth="1"/>
    <col min="12541" max="12541" width="41.42578125" style="55" customWidth="1"/>
    <col min="12542" max="12542" width="15.28515625" style="55" bestFit="1" customWidth="1"/>
    <col min="12543" max="12543" width="16.7109375" style="55" bestFit="1" customWidth="1"/>
    <col min="12544" max="12544" width="11.28515625" style="55" bestFit="1" customWidth="1"/>
    <col min="12545" max="12545" width="14" style="55" bestFit="1" customWidth="1"/>
    <col min="12546" max="12546" width="11.85546875" style="55" bestFit="1" customWidth="1"/>
    <col min="12547" max="12547" width="14.85546875" style="55" bestFit="1" customWidth="1"/>
    <col min="12548" max="12548" width="9.7109375" style="55" customWidth="1"/>
    <col min="12549" max="12549" width="4.85546875" style="55" customWidth="1"/>
    <col min="12550" max="12794" width="9.140625" style="55"/>
    <col min="12795" max="12795" width="5.42578125" style="55" bestFit="1" customWidth="1"/>
    <col min="12796" max="12796" width="20.42578125" style="55" bestFit="1" customWidth="1"/>
    <col min="12797" max="12797" width="41.42578125" style="55" customWidth="1"/>
    <col min="12798" max="12798" width="15.28515625" style="55" bestFit="1" customWidth="1"/>
    <col min="12799" max="12799" width="16.7109375" style="55" bestFit="1" customWidth="1"/>
    <col min="12800" max="12800" width="11.28515625" style="55" bestFit="1" customWidth="1"/>
    <col min="12801" max="12801" width="14" style="55" bestFit="1" customWidth="1"/>
    <col min="12802" max="12802" width="11.85546875" style="55" bestFit="1" customWidth="1"/>
    <col min="12803" max="12803" width="14.85546875" style="55" bestFit="1" customWidth="1"/>
    <col min="12804" max="12804" width="9.7109375" style="55" customWidth="1"/>
    <col min="12805" max="12805" width="4.85546875" style="55" customWidth="1"/>
    <col min="12806" max="13050" width="9.140625" style="55"/>
    <col min="13051" max="13051" width="5.42578125" style="55" bestFit="1" customWidth="1"/>
    <col min="13052" max="13052" width="20.42578125" style="55" bestFit="1" customWidth="1"/>
    <col min="13053" max="13053" width="41.42578125" style="55" customWidth="1"/>
    <col min="13054" max="13054" width="15.28515625" style="55" bestFit="1" customWidth="1"/>
    <col min="13055" max="13055" width="16.7109375" style="55" bestFit="1" customWidth="1"/>
    <col min="13056" max="13056" width="11.28515625" style="55" bestFit="1" customWidth="1"/>
    <col min="13057" max="13057" width="14" style="55" bestFit="1" customWidth="1"/>
    <col min="13058" max="13058" width="11.85546875" style="55" bestFit="1" customWidth="1"/>
    <col min="13059" max="13059" width="14.85546875" style="55" bestFit="1" customWidth="1"/>
    <col min="13060" max="13060" width="9.7109375" style="55" customWidth="1"/>
    <col min="13061" max="13061" width="4.85546875" style="55" customWidth="1"/>
    <col min="13062" max="13306" width="9.140625" style="55"/>
    <col min="13307" max="13307" width="5.42578125" style="55" bestFit="1" customWidth="1"/>
    <col min="13308" max="13308" width="20.42578125" style="55" bestFit="1" customWidth="1"/>
    <col min="13309" max="13309" width="41.42578125" style="55" customWidth="1"/>
    <col min="13310" max="13310" width="15.28515625" style="55" bestFit="1" customWidth="1"/>
    <col min="13311" max="13311" width="16.7109375" style="55" bestFit="1" customWidth="1"/>
    <col min="13312" max="13312" width="11.28515625" style="55" bestFit="1" customWidth="1"/>
    <col min="13313" max="13313" width="14" style="55" bestFit="1" customWidth="1"/>
    <col min="13314" max="13314" width="11.85546875" style="55" bestFit="1" customWidth="1"/>
    <col min="13315" max="13315" width="14.85546875" style="55" bestFit="1" customWidth="1"/>
    <col min="13316" max="13316" width="9.7109375" style="55" customWidth="1"/>
    <col min="13317" max="13317" width="4.85546875" style="55" customWidth="1"/>
    <col min="13318" max="13562" width="9.140625" style="55"/>
    <col min="13563" max="13563" width="5.42578125" style="55" bestFit="1" customWidth="1"/>
    <col min="13564" max="13564" width="20.42578125" style="55" bestFit="1" customWidth="1"/>
    <col min="13565" max="13565" width="41.42578125" style="55" customWidth="1"/>
    <col min="13566" max="13566" width="15.28515625" style="55" bestFit="1" customWidth="1"/>
    <col min="13567" max="13567" width="16.7109375" style="55" bestFit="1" customWidth="1"/>
    <col min="13568" max="13568" width="11.28515625" style="55" bestFit="1" customWidth="1"/>
    <col min="13569" max="13569" width="14" style="55" bestFit="1" customWidth="1"/>
    <col min="13570" max="13570" width="11.85546875" style="55" bestFit="1" customWidth="1"/>
    <col min="13571" max="13571" width="14.85546875" style="55" bestFit="1" customWidth="1"/>
    <col min="13572" max="13572" width="9.7109375" style="55" customWidth="1"/>
    <col min="13573" max="13573" width="4.85546875" style="55" customWidth="1"/>
    <col min="13574" max="13818" width="9.140625" style="55"/>
    <col min="13819" max="13819" width="5.42578125" style="55" bestFit="1" customWidth="1"/>
    <col min="13820" max="13820" width="20.42578125" style="55" bestFit="1" customWidth="1"/>
    <col min="13821" max="13821" width="41.42578125" style="55" customWidth="1"/>
    <col min="13822" max="13822" width="15.28515625" style="55" bestFit="1" customWidth="1"/>
    <col min="13823" max="13823" width="16.7109375" style="55" bestFit="1" customWidth="1"/>
    <col min="13824" max="13824" width="11.28515625" style="55" bestFit="1" customWidth="1"/>
    <col min="13825" max="13825" width="14" style="55" bestFit="1" customWidth="1"/>
    <col min="13826" max="13826" width="11.85546875" style="55" bestFit="1" customWidth="1"/>
    <col min="13827" max="13827" width="14.85546875" style="55" bestFit="1" customWidth="1"/>
    <col min="13828" max="13828" width="9.7109375" style="55" customWidth="1"/>
    <col min="13829" max="13829" width="4.85546875" style="55" customWidth="1"/>
    <col min="13830" max="14074" width="9.140625" style="55"/>
    <col min="14075" max="14075" width="5.42578125" style="55" bestFit="1" customWidth="1"/>
    <col min="14076" max="14076" width="20.42578125" style="55" bestFit="1" customWidth="1"/>
    <col min="14077" max="14077" width="41.42578125" style="55" customWidth="1"/>
    <col min="14078" max="14078" width="15.28515625" style="55" bestFit="1" customWidth="1"/>
    <col min="14079" max="14079" width="16.7109375" style="55" bestFit="1" customWidth="1"/>
    <col min="14080" max="14080" width="11.28515625" style="55" bestFit="1" customWidth="1"/>
    <col min="14081" max="14081" width="14" style="55" bestFit="1" customWidth="1"/>
    <col min="14082" max="14082" width="11.85546875" style="55" bestFit="1" customWidth="1"/>
    <col min="14083" max="14083" width="14.85546875" style="55" bestFit="1" customWidth="1"/>
    <col min="14084" max="14084" width="9.7109375" style="55" customWidth="1"/>
    <col min="14085" max="14085" width="4.85546875" style="55" customWidth="1"/>
    <col min="14086" max="14330" width="9.140625" style="55"/>
    <col min="14331" max="14331" width="5.42578125" style="55" bestFit="1" customWidth="1"/>
    <col min="14332" max="14332" width="20.42578125" style="55" bestFit="1" customWidth="1"/>
    <col min="14333" max="14333" width="41.42578125" style="55" customWidth="1"/>
    <col min="14334" max="14334" width="15.28515625" style="55" bestFit="1" customWidth="1"/>
    <col min="14335" max="14335" width="16.7109375" style="55" bestFit="1" customWidth="1"/>
    <col min="14336" max="14336" width="11.28515625" style="55" bestFit="1" customWidth="1"/>
    <col min="14337" max="14337" width="14" style="55" bestFit="1" customWidth="1"/>
    <col min="14338" max="14338" width="11.85546875" style="55" bestFit="1" customWidth="1"/>
    <col min="14339" max="14339" width="14.85546875" style="55" bestFit="1" customWidth="1"/>
    <col min="14340" max="14340" width="9.7109375" style="55" customWidth="1"/>
    <col min="14341" max="14341" width="4.85546875" style="55" customWidth="1"/>
    <col min="14342" max="14586" width="9.140625" style="55"/>
    <col min="14587" max="14587" width="5.42578125" style="55" bestFit="1" customWidth="1"/>
    <col min="14588" max="14588" width="20.42578125" style="55" bestFit="1" customWidth="1"/>
    <col min="14589" max="14589" width="41.42578125" style="55" customWidth="1"/>
    <col min="14590" max="14590" width="15.28515625" style="55" bestFit="1" customWidth="1"/>
    <col min="14591" max="14591" width="16.7109375" style="55" bestFit="1" customWidth="1"/>
    <col min="14592" max="14592" width="11.28515625" style="55" bestFit="1" customWidth="1"/>
    <col min="14593" max="14593" width="14" style="55" bestFit="1" customWidth="1"/>
    <col min="14594" max="14594" width="11.85546875" style="55" bestFit="1" customWidth="1"/>
    <col min="14595" max="14595" width="14.85546875" style="55" bestFit="1" customWidth="1"/>
    <col min="14596" max="14596" width="9.7109375" style="55" customWidth="1"/>
    <col min="14597" max="14597" width="4.85546875" style="55" customWidth="1"/>
    <col min="14598" max="14842" width="9.140625" style="55"/>
    <col min="14843" max="14843" width="5.42578125" style="55" bestFit="1" customWidth="1"/>
    <col min="14844" max="14844" width="20.42578125" style="55" bestFit="1" customWidth="1"/>
    <col min="14845" max="14845" width="41.42578125" style="55" customWidth="1"/>
    <col min="14846" max="14846" width="15.28515625" style="55" bestFit="1" customWidth="1"/>
    <col min="14847" max="14847" width="16.7109375" style="55" bestFit="1" customWidth="1"/>
    <col min="14848" max="14848" width="11.28515625" style="55" bestFit="1" customWidth="1"/>
    <col min="14849" max="14849" width="14" style="55" bestFit="1" customWidth="1"/>
    <col min="14850" max="14850" width="11.85546875" style="55" bestFit="1" customWidth="1"/>
    <col min="14851" max="14851" width="14.85546875" style="55" bestFit="1" customWidth="1"/>
    <col min="14852" max="14852" width="9.7109375" style="55" customWidth="1"/>
    <col min="14853" max="14853" width="4.85546875" style="55" customWidth="1"/>
    <col min="14854" max="15098" width="9.140625" style="55"/>
    <col min="15099" max="15099" width="5.42578125" style="55" bestFit="1" customWidth="1"/>
    <col min="15100" max="15100" width="20.42578125" style="55" bestFit="1" customWidth="1"/>
    <col min="15101" max="15101" width="41.42578125" style="55" customWidth="1"/>
    <col min="15102" max="15102" width="15.28515625" style="55" bestFit="1" customWidth="1"/>
    <col min="15103" max="15103" width="16.7109375" style="55" bestFit="1" customWidth="1"/>
    <col min="15104" max="15104" width="11.28515625" style="55" bestFit="1" customWidth="1"/>
    <col min="15105" max="15105" width="14" style="55" bestFit="1" customWidth="1"/>
    <col min="15106" max="15106" width="11.85546875" style="55" bestFit="1" customWidth="1"/>
    <col min="15107" max="15107" width="14.85546875" style="55" bestFit="1" customWidth="1"/>
    <col min="15108" max="15108" width="9.7109375" style="55" customWidth="1"/>
    <col min="15109" max="15109" width="4.85546875" style="55" customWidth="1"/>
    <col min="15110" max="15354" width="9.140625" style="55"/>
    <col min="15355" max="15355" width="5.42578125" style="55" bestFit="1" customWidth="1"/>
    <col min="15356" max="15356" width="20.42578125" style="55" bestFit="1" customWidth="1"/>
    <col min="15357" max="15357" width="41.42578125" style="55" customWidth="1"/>
    <col min="15358" max="15358" width="15.28515625" style="55" bestFit="1" customWidth="1"/>
    <col min="15359" max="15359" width="16.7109375" style="55" bestFit="1" customWidth="1"/>
    <col min="15360" max="15360" width="11.28515625" style="55" bestFit="1" customWidth="1"/>
    <col min="15361" max="15361" width="14" style="55" bestFit="1" customWidth="1"/>
    <col min="15362" max="15362" width="11.85546875" style="55" bestFit="1" customWidth="1"/>
    <col min="15363" max="15363" width="14.85546875" style="55" bestFit="1" customWidth="1"/>
    <col min="15364" max="15364" width="9.7109375" style="55" customWidth="1"/>
    <col min="15365" max="15365" width="4.85546875" style="55" customWidth="1"/>
    <col min="15366" max="15610" width="9.140625" style="55"/>
    <col min="15611" max="15611" width="5.42578125" style="55" bestFit="1" customWidth="1"/>
    <col min="15612" max="15612" width="20.42578125" style="55" bestFit="1" customWidth="1"/>
    <col min="15613" max="15613" width="41.42578125" style="55" customWidth="1"/>
    <col min="15614" max="15614" width="15.28515625" style="55" bestFit="1" customWidth="1"/>
    <col min="15615" max="15615" width="16.7109375" style="55" bestFit="1" customWidth="1"/>
    <col min="15616" max="15616" width="11.28515625" style="55" bestFit="1" customWidth="1"/>
    <col min="15617" max="15617" width="14" style="55" bestFit="1" customWidth="1"/>
    <col min="15618" max="15618" width="11.85546875" style="55" bestFit="1" customWidth="1"/>
    <col min="15619" max="15619" width="14.85546875" style="55" bestFit="1" customWidth="1"/>
    <col min="15620" max="15620" width="9.7109375" style="55" customWidth="1"/>
    <col min="15621" max="15621" width="4.85546875" style="55" customWidth="1"/>
    <col min="15622" max="15866" width="9.140625" style="55"/>
    <col min="15867" max="15867" width="5.42578125" style="55" bestFit="1" customWidth="1"/>
    <col min="15868" max="15868" width="20.42578125" style="55" bestFit="1" customWidth="1"/>
    <col min="15869" max="15869" width="41.42578125" style="55" customWidth="1"/>
    <col min="15870" max="15870" width="15.28515625" style="55" bestFit="1" customWidth="1"/>
    <col min="15871" max="15871" width="16.7109375" style="55" bestFit="1" customWidth="1"/>
    <col min="15872" max="15872" width="11.28515625" style="55" bestFit="1" customWidth="1"/>
    <col min="15873" max="15873" width="14" style="55" bestFit="1" customWidth="1"/>
    <col min="15874" max="15874" width="11.85546875" style="55" bestFit="1" customWidth="1"/>
    <col min="15875" max="15875" width="14.85546875" style="55" bestFit="1" customWidth="1"/>
    <col min="15876" max="15876" width="9.7109375" style="55" customWidth="1"/>
    <col min="15877" max="15877" width="4.85546875" style="55" customWidth="1"/>
    <col min="15878" max="16122" width="9.140625" style="55"/>
    <col min="16123" max="16123" width="5.42578125" style="55" bestFit="1" customWidth="1"/>
    <col min="16124" max="16124" width="20.42578125" style="55" bestFit="1" customWidth="1"/>
    <col min="16125" max="16125" width="41.42578125" style="55" customWidth="1"/>
    <col min="16126" max="16126" width="15.28515625" style="55" bestFit="1" customWidth="1"/>
    <col min="16127" max="16127" width="16.7109375" style="55" bestFit="1" customWidth="1"/>
    <col min="16128" max="16128" width="11.28515625" style="55" bestFit="1" customWidth="1"/>
    <col min="16129" max="16129" width="14" style="55" bestFit="1" customWidth="1"/>
    <col min="16130" max="16130" width="11.85546875" style="55" bestFit="1" customWidth="1"/>
    <col min="16131" max="16131" width="14.85546875" style="55" bestFit="1" customWidth="1"/>
    <col min="16132" max="16132" width="9.7109375" style="55" customWidth="1"/>
    <col min="16133" max="16133" width="4.85546875" style="55" customWidth="1"/>
    <col min="16134" max="16384" width="9.140625" style="55"/>
  </cols>
  <sheetData>
    <row r="1" spans="1:14" x14ac:dyDescent="0.25">
      <c r="A1" s="299" t="s">
        <v>0</v>
      </c>
      <c r="B1" s="299"/>
      <c r="C1" s="299"/>
      <c r="D1" s="299"/>
      <c r="E1" s="299"/>
      <c r="F1" s="299"/>
      <c r="G1" s="299"/>
      <c r="H1" s="299"/>
      <c r="J1" s="153"/>
      <c r="K1" s="153"/>
      <c r="L1" s="153"/>
      <c r="M1" s="153"/>
      <c r="N1" s="153"/>
    </row>
    <row r="2" spans="1:14" x14ac:dyDescent="0.25">
      <c r="A2" s="300" t="s">
        <v>1014</v>
      </c>
      <c r="B2" s="300"/>
      <c r="C2" s="300"/>
      <c r="D2" s="300"/>
      <c r="E2" s="300"/>
      <c r="F2" s="300"/>
      <c r="G2" s="300"/>
      <c r="H2" s="300"/>
      <c r="J2" s="263" t="s">
        <v>1112</v>
      </c>
      <c r="K2" s="263"/>
      <c r="L2" s="263"/>
      <c r="M2" s="263"/>
      <c r="N2" s="263"/>
    </row>
    <row r="3" spans="1:14" ht="15" customHeight="1" x14ac:dyDescent="0.25">
      <c r="A3" s="301" t="s">
        <v>1015</v>
      </c>
      <c r="B3" s="301"/>
      <c r="C3" s="301"/>
      <c r="D3" s="301"/>
      <c r="E3" s="301"/>
      <c r="F3" s="301"/>
      <c r="G3" s="301"/>
      <c r="H3" s="301"/>
      <c r="J3" s="153"/>
      <c r="K3" s="153"/>
      <c r="L3" s="153"/>
      <c r="M3" s="153"/>
      <c r="N3" s="153"/>
    </row>
    <row r="4" spans="1:14" s="146" customFormat="1" ht="30" x14ac:dyDescent="0.2">
      <c r="A4" s="56" t="s">
        <v>1016</v>
      </c>
      <c r="B4" s="56" t="s">
        <v>1017</v>
      </c>
      <c r="C4" s="56" t="s">
        <v>1018</v>
      </c>
      <c r="D4" s="56" t="s">
        <v>1019</v>
      </c>
      <c r="E4" s="56" t="s">
        <v>6</v>
      </c>
      <c r="F4" s="56" t="s">
        <v>7</v>
      </c>
      <c r="G4" s="56" t="s">
        <v>8</v>
      </c>
      <c r="H4" s="57" t="s">
        <v>1020</v>
      </c>
      <c r="J4" s="154"/>
      <c r="K4" s="154"/>
      <c r="L4" s="154"/>
      <c r="M4" s="154"/>
      <c r="N4" s="154"/>
    </row>
    <row r="5" spans="1:14" ht="25.5" x14ac:dyDescent="0.25">
      <c r="A5" s="158"/>
      <c r="B5" s="158"/>
      <c r="C5" s="160" t="s">
        <v>1021</v>
      </c>
      <c r="D5" s="158"/>
      <c r="E5" s="158"/>
      <c r="F5" s="161"/>
      <c r="G5" s="161"/>
      <c r="H5" s="162"/>
      <c r="J5" s="153"/>
      <c r="K5" s="153"/>
      <c r="L5" s="153"/>
      <c r="M5" s="153"/>
      <c r="N5" s="153"/>
    </row>
    <row r="6" spans="1:14" ht="25.5" x14ac:dyDescent="0.25">
      <c r="A6" s="158">
        <v>1</v>
      </c>
      <c r="B6" s="158" t="s">
        <v>1022</v>
      </c>
      <c r="C6" s="157" t="s">
        <v>1023</v>
      </c>
      <c r="D6" s="158" t="s">
        <v>1024</v>
      </c>
      <c r="E6" s="159">
        <v>13385595.022</v>
      </c>
      <c r="F6" s="140">
        <v>10873.309034200001</v>
      </c>
      <c r="G6" s="7">
        <v>0.96936358999999994</v>
      </c>
      <c r="H6" s="162"/>
      <c r="I6" s="58"/>
      <c r="J6" s="153"/>
      <c r="K6" s="155"/>
      <c r="L6" s="153"/>
      <c r="M6" s="153"/>
      <c r="N6" s="153"/>
    </row>
    <row r="7" spans="1:14" ht="25.5" x14ac:dyDescent="0.25">
      <c r="A7" s="163"/>
      <c r="B7" s="162"/>
      <c r="C7" s="59" t="s">
        <v>1025</v>
      </c>
      <c r="D7" s="59"/>
      <c r="E7" s="60"/>
      <c r="F7" s="61">
        <v>10873.309034200001</v>
      </c>
      <c r="G7" s="10">
        <v>0.96936358999999994</v>
      </c>
      <c r="H7" s="164"/>
      <c r="J7" s="153"/>
      <c r="K7" s="153"/>
      <c r="L7" s="153"/>
      <c r="M7" s="153"/>
      <c r="N7" s="153"/>
    </row>
    <row r="8" spans="1:14" x14ac:dyDescent="0.25">
      <c r="A8" s="165"/>
      <c r="B8" s="165"/>
      <c r="C8" s="59"/>
      <c r="D8" s="59"/>
      <c r="E8" s="60"/>
      <c r="F8" s="61"/>
      <c r="G8" s="10"/>
      <c r="H8" s="166"/>
      <c r="J8" s="153"/>
      <c r="K8" s="153"/>
      <c r="L8" s="153"/>
      <c r="M8" s="153"/>
      <c r="N8" s="153"/>
    </row>
    <row r="9" spans="1:14" x14ac:dyDescent="0.25">
      <c r="A9" s="165"/>
      <c r="B9" s="165"/>
      <c r="C9" s="167" t="s">
        <v>1026</v>
      </c>
      <c r="D9" s="167"/>
      <c r="E9" s="167"/>
      <c r="F9" s="168"/>
      <c r="G9" s="165"/>
      <c r="H9" s="162"/>
      <c r="J9" s="153"/>
      <c r="K9" s="153"/>
      <c r="L9" s="153"/>
      <c r="M9" s="153"/>
      <c r="N9" s="153"/>
    </row>
    <row r="10" spans="1:14" x14ac:dyDescent="0.25">
      <c r="A10" s="158"/>
      <c r="B10" s="158"/>
      <c r="C10" s="63" t="s">
        <v>1027</v>
      </c>
      <c r="D10" s="167"/>
      <c r="E10" s="167"/>
      <c r="F10" s="168"/>
      <c r="G10" s="165"/>
      <c r="H10" s="162"/>
      <c r="J10" s="153"/>
      <c r="K10" s="153"/>
      <c r="L10" s="153"/>
      <c r="M10" s="153"/>
      <c r="N10" s="153"/>
    </row>
    <row r="11" spans="1:14" x14ac:dyDescent="0.25">
      <c r="A11" s="158"/>
      <c r="B11" s="158"/>
      <c r="C11" s="169" t="s">
        <v>140</v>
      </c>
      <c r="D11" s="167"/>
      <c r="E11" s="167"/>
      <c r="F11" s="170">
        <v>394.70428195299996</v>
      </c>
      <c r="G11" s="7">
        <v>3.5188180390982766E-2</v>
      </c>
      <c r="H11" s="171">
        <v>4.67</v>
      </c>
      <c r="J11" s="153"/>
      <c r="K11" s="153"/>
      <c r="L11" s="153"/>
      <c r="M11" s="153"/>
      <c r="N11" s="153"/>
    </row>
    <row r="12" spans="1:14" x14ac:dyDescent="0.25">
      <c r="A12" s="165"/>
      <c r="B12" s="165"/>
      <c r="C12" s="172" t="s">
        <v>141</v>
      </c>
      <c r="D12" s="165"/>
      <c r="E12" s="165"/>
      <c r="F12" s="173">
        <v>394.70428195299996</v>
      </c>
      <c r="G12" s="10">
        <v>3.5188180390982766E-2</v>
      </c>
      <c r="H12" s="162"/>
      <c r="J12" s="153"/>
      <c r="K12" s="153"/>
      <c r="L12" s="153"/>
      <c r="M12" s="153"/>
      <c r="N12" s="153"/>
    </row>
    <row r="13" spans="1:14" x14ac:dyDescent="0.25">
      <c r="A13" s="165"/>
      <c r="B13" s="165"/>
      <c r="C13" s="172"/>
      <c r="D13" s="165"/>
      <c r="E13" s="165"/>
      <c r="F13" s="173"/>
      <c r="G13" s="62"/>
      <c r="H13" s="162"/>
      <c r="J13" s="156" t="s">
        <v>1142</v>
      </c>
      <c r="K13" s="153"/>
      <c r="L13" s="153"/>
      <c r="M13" s="153"/>
      <c r="N13" s="153"/>
    </row>
    <row r="14" spans="1:14" x14ac:dyDescent="0.25">
      <c r="A14" s="165"/>
      <c r="B14" s="165"/>
      <c r="C14" s="165"/>
      <c r="D14" s="165"/>
      <c r="E14" s="165"/>
      <c r="F14" s="174"/>
      <c r="G14" s="165"/>
      <c r="H14" s="162"/>
      <c r="J14" s="153"/>
      <c r="K14" s="153"/>
      <c r="L14" s="153"/>
      <c r="M14" s="153"/>
      <c r="N14" s="153"/>
    </row>
    <row r="15" spans="1:14" x14ac:dyDescent="0.25">
      <c r="A15" s="165"/>
      <c r="B15" s="165"/>
      <c r="C15" s="165"/>
      <c r="D15" s="165"/>
      <c r="E15" s="165"/>
      <c r="F15" s="174"/>
      <c r="G15" s="165"/>
      <c r="H15" s="162"/>
      <c r="J15" s="153"/>
      <c r="K15" s="153"/>
      <c r="L15" s="153"/>
      <c r="M15" s="153"/>
      <c r="N15" s="153"/>
    </row>
    <row r="16" spans="1:14" x14ac:dyDescent="0.25">
      <c r="A16" s="165"/>
      <c r="B16" s="165"/>
      <c r="C16" s="169" t="s">
        <v>1028</v>
      </c>
      <c r="D16" s="167"/>
      <c r="E16" s="167"/>
      <c r="F16" s="170">
        <v>-51.057009593145267</v>
      </c>
      <c r="G16" s="7">
        <v>-4.5517703909826509E-3</v>
      </c>
      <c r="H16" s="175"/>
      <c r="J16" s="153"/>
      <c r="K16" s="153"/>
      <c r="L16" s="153"/>
      <c r="M16" s="153"/>
      <c r="N16" s="153"/>
    </row>
    <row r="17" spans="1:14" x14ac:dyDescent="0.25">
      <c r="A17" s="165"/>
      <c r="B17" s="165"/>
      <c r="C17" s="165"/>
      <c r="D17" s="165"/>
      <c r="E17" s="165"/>
      <c r="F17" s="174"/>
      <c r="G17" s="165"/>
      <c r="H17" s="162"/>
      <c r="J17" s="153"/>
      <c r="K17" s="153"/>
      <c r="L17" s="153"/>
      <c r="M17" s="153"/>
      <c r="N17" s="153"/>
    </row>
    <row r="18" spans="1:14" x14ac:dyDescent="0.25">
      <c r="A18" s="165"/>
      <c r="B18" s="165"/>
      <c r="C18" s="172" t="s">
        <v>148</v>
      </c>
      <c r="D18" s="165"/>
      <c r="E18" s="165"/>
      <c r="F18" s="173">
        <v>11216.956306559856</v>
      </c>
      <c r="G18" s="10">
        <v>1</v>
      </c>
      <c r="H18" s="176"/>
      <c r="I18" s="58"/>
      <c r="J18" s="153"/>
      <c r="K18" s="153"/>
      <c r="L18" s="153"/>
      <c r="M18" s="153"/>
      <c r="N18" s="153"/>
    </row>
    <row r="19" spans="1:14" x14ac:dyDescent="0.25">
      <c r="F19" s="64"/>
      <c r="H19" s="65"/>
      <c r="J19" s="153"/>
      <c r="K19" s="153"/>
      <c r="L19" s="153"/>
      <c r="M19" s="153"/>
      <c r="N19" s="153"/>
    </row>
    <row r="20" spans="1:14" x14ac:dyDescent="0.25">
      <c r="B20" s="66" t="s">
        <v>150</v>
      </c>
      <c r="C20" s="67"/>
      <c r="D20" s="67"/>
      <c r="E20" s="67"/>
      <c r="F20" s="68"/>
      <c r="G20" s="67"/>
      <c r="J20" s="153"/>
      <c r="K20" s="153"/>
      <c r="L20" s="153"/>
      <c r="M20" s="153"/>
      <c r="N20" s="153"/>
    </row>
    <row r="21" spans="1:14" x14ac:dyDescent="0.25">
      <c r="B21" s="67" t="s">
        <v>1029</v>
      </c>
      <c r="C21" s="67"/>
      <c r="D21" s="67"/>
      <c r="E21" s="67"/>
      <c r="F21" s="69"/>
      <c r="G21" s="69"/>
      <c r="J21" s="153"/>
      <c r="K21" s="153"/>
      <c r="L21" s="153"/>
      <c r="M21" s="153"/>
      <c r="N21" s="153"/>
    </row>
    <row r="22" spans="1:14" x14ac:dyDescent="0.25">
      <c r="B22" s="297" t="s">
        <v>1030</v>
      </c>
      <c r="C22" s="297"/>
      <c r="D22" s="67"/>
      <c r="E22" s="67"/>
      <c r="F22" s="70"/>
      <c r="G22" s="70"/>
      <c r="J22" s="153"/>
      <c r="K22" s="153"/>
      <c r="L22" s="153"/>
      <c r="M22" s="153"/>
      <c r="N22" s="153"/>
    </row>
    <row r="23" spans="1:14" x14ac:dyDescent="0.25">
      <c r="B23" s="302" t="s">
        <v>154</v>
      </c>
      <c r="C23" s="303"/>
      <c r="D23" s="304"/>
      <c r="E23" s="71"/>
      <c r="F23" s="67" t="s">
        <v>1031</v>
      </c>
      <c r="G23" s="67"/>
      <c r="J23" s="153"/>
      <c r="K23" s="153"/>
      <c r="L23" s="153"/>
      <c r="M23" s="153"/>
      <c r="N23" s="153"/>
    </row>
    <row r="24" spans="1:14" x14ac:dyDescent="0.25">
      <c r="B24" s="72"/>
      <c r="C24" s="73" t="s">
        <v>155</v>
      </c>
      <c r="D24" s="73" t="s">
        <v>156</v>
      </c>
      <c r="E24" s="74"/>
      <c r="F24" s="74"/>
      <c r="G24" s="67"/>
      <c r="J24" s="153"/>
      <c r="K24" s="153"/>
      <c r="L24" s="153"/>
      <c r="M24" s="153"/>
      <c r="N24" s="153"/>
    </row>
    <row r="25" spans="1:14" x14ac:dyDescent="0.25">
      <c r="B25" s="75" t="s">
        <v>1032</v>
      </c>
      <c r="C25" s="76">
        <v>44712</v>
      </c>
      <c r="D25" s="76">
        <v>44742</v>
      </c>
      <c r="E25" s="77"/>
      <c r="F25" s="77"/>
      <c r="G25" s="78"/>
      <c r="J25" s="153"/>
      <c r="K25" s="153"/>
      <c r="L25" s="153"/>
      <c r="M25" s="153"/>
      <c r="N25" s="153"/>
    </row>
    <row r="26" spans="1:14" x14ac:dyDescent="0.25">
      <c r="B26" s="79" t="s">
        <v>160</v>
      </c>
      <c r="C26" s="80">
        <v>23.72</v>
      </c>
      <c r="D26" s="80">
        <v>22.083200000000001</v>
      </c>
      <c r="E26" s="81"/>
      <c r="F26" s="78"/>
      <c r="G26" s="78"/>
      <c r="J26" s="153"/>
      <c r="K26" s="153"/>
      <c r="L26" s="153"/>
      <c r="M26" s="153"/>
      <c r="N26" s="153"/>
    </row>
    <row r="27" spans="1:14" x14ac:dyDescent="0.25">
      <c r="B27" s="82" t="s">
        <v>1033</v>
      </c>
      <c r="C27" s="80">
        <v>21.098600000000001</v>
      </c>
      <c r="D27" s="80">
        <v>19.642499999999998</v>
      </c>
      <c r="E27" s="81"/>
      <c r="F27" s="78"/>
      <c r="G27" s="78"/>
      <c r="J27" s="153"/>
      <c r="K27" s="153"/>
      <c r="L27" s="153"/>
      <c r="M27" s="153"/>
      <c r="N27" s="153"/>
    </row>
    <row r="28" spans="1:14" x14ac:dyDescent="0.25">
      <c r="B28" s="79" t="s">
        <v>161</v>
      </c>
      <c r="C28" s="80">
        <v>22.345099999999999</v>
      </c>
      <c r="D28" s="80">
        <v>20.7821</v>
      </c>
      <c r="E28" s="81"/>
      <c r="F28" s="78"/>
      <c r="G28" s="78"/>
      <c r="J28" s="153"/>
      <c r="K28" s="153"/>
      <c r="L28" s="153"/>
      <c r="M28" s="153"/>
      <c r="N28" s="153"/>
    </row>
    <row r="29" spans="1:14" x14ac:dyDescent="0.25">
      <c r="B29" s="83" t="s">
        <v>1034</v>
      </c>
      <c r="C29" s="80">
        <v>19.1478</v>
      </c>
      <c r="D29" s="80">
        <v>17.808499999999999</v>
      </c>
      <c r="E29" s="81"/>
      <c r="F29" s="78"/>
      <c r="G29" s="78"/>
      <c r="J29" s="153"/>
      <c r="K29" s="153"/>
      <c r="L29" s="153"/>
      <c r="M29" s="153"/>
      <c r="N29" s="153"/>
    </row>
    <row r="30" spans="1:14" ht="15" customHeight="1" x14ac:dyDescent="0.25">
      <c r="B30" s="84"/>
      <c r="C30" s="85"/>
      <c r="D30" s="85"/>
      <c r="E30" s="85"/>
      <c r="F30" s="85"/>
      <c r="G30" s="67"/>
      <c r="J30" s="153"/>
      <c r="K30" s="153"/>
      <c r="L30" s="153"/>
      <c r="M30" s="153"/>
      <c r="N30" s="153"/>
    </row>
    <row r="31" spans="1:14" x14ac:dyDescent="0.25">
      <c r="B31" s="305" t="s">
        <v>1035</v>
      </c>
      <c r="C31" s="305"/>
      <c r="D31" s="305"/>
      <c r="E31" s="86"/>
      <c r="F31" s="86"/>
      <c r="G31" s="78"/>
      <c r="J31" s="153"/>
      <c r="K31" s="153"/>
      <c r="L31" s="153"/>
      <c r="M31" s="153"/>
      <c r="N31" s="153"/>
    </row>
    <row r="32" spans="1:14" x14ac:dyDescent="0.25">
      <c r="B32" s="297" t="s">
        <v>1036</v>
      </c>
      <c r="C32" s="297"/>
      <c r="D32" s="297"/>
      <c r="E32" s="67"/>
      <c r="F32" s="67"/>
      <c r="G32" s="67"/>
      <c r="J32" s="153"/>
      <c r="K32" s="153"/>
      <c r="L32" s="153"/>
      <c r="M32" s="153"/>
      <c r="N32" s="153"/>
    </row>
    <row r="33" spans="2:14" ht="15" customHeight="1" x14ac:dyDescent="0.25">
      <c r="B33" s="87" t="s">
        <v>1037</v>
      </c>
      <c r="C33" s="87"/>
      <c r="D33" s="87"/>
      <c r="E33" s="88"/>
      <c r="F33" s="88"/>
      <c r="G33" s="67"/>
      <c r="J33" s="153"/>
      <c r="K33" s="153"/>
      <c r="L33" s="153"/>
      <c r="M33" s="153"/>
      <c r="N33" s="153"/>
    </row>
    <row r="34" spans="2:14" x14ac:dyDescent="0.25">
      <c r="B34" s="298" t="s">
        <v>1038</v>
      </c>
      <c r="C34" s="298"/>
      <c r="D34" s="298"/>
      <c r="E34" s="78"/>
      <c r="F34" s="78"/>
      <c r="G34" s="78"/>
      <c r="J34" s="153"/>
      <c r="K34" s="153"/>
      <c r="L34" s="153"/>
      <c r="M34" s="153"/>
      <c r="N34" s="153"/>
    </row>
    <row r="35" spans="2:14" x14ac:dyDescent="0.25">
      <c r="J35" s="153"/>
      <c r="K35" s="153"/>
      <c r="L35" s="153"/>
      <c r="M35" s="153"/>
      <c r="N35" s="153"/>
    </row>
    <row r="36" spans="2:14" x14ac:dyDescent="0.25">
      <c r="J36" s="153"/>
      <c r="K36" s="153"/>
      <c r="L36" s="153"/>
      <c r="M36" s="153"/>
      <c r="N36" s="153"/>
    </row>
    <row r="37" spans="2:14" x14ac:dyDescent="0.25">
      <c r="J37" s="153"/>
      <c r="K37" s="153"/>
      <c r="L37" s="153"/>
      <c r="M37" s="153"/>
      <c r="N37" s="153"/>
    </row>
    <row r="38" spans="2:14" x14ac:dyDescent="0.25">
      <c r="J38" s="153"/>
      <c r="K38" s="153"/>
      <c r="L38" s="153"/>
      <c r="M38" s="153"/>
      <c r="N38" s="153"/>
    </row>
    <row r="39" spans="2:14" x14ac:dyDescent="0.25">
      <c r="J39" s="153"/>
      <c r="K39" s="153"/>
      <c r="L39" s="153"/>
      <c r="M39" s="153"/>
      <c r="N39" s="153"/>
    </row>
    <row r="40" spans="2:14" x14ac:dyDescent="0.25">
      <c r="J40" s="153"/>
      <c r="K40" s="153"/>
      <c r="L40" s="153"/>
      <c r="M40" s="153"/>
      <c r="N40" s="153"/>
    </row>
    <row r="41" spans="2:14" x14ac:dyDescent="0.25">
      <c r="J41" s="153"/>
      <c r="K41" s="153"/>
      <c r="L41" s="153"/>
      <c r="M41" s="153"/>
      <c r="N41" s="153"/>
    </row>
    <row r="42" spans="2:14" x14ac:dyDescent="0.25">
      <c r="J42" s="153"/>
      <c r="K42" s="153"/>
      <c r="L42" s="153"/>
      <c r="M42" s="153"/>
      <c r="N42" s="153"/>
    </row>
    <row r="43" spans="2:14" x14ac:dyDescent="0.25">
      <c r="J43" s="153"/>
      <c r="K43" s="153"/>
      <c r="L43" s="153"/>
      <c r="M43" s="153"/>
      <c r="N43" s="153"/>
    </row>
    <row r="44" spans="2:14" x14ac:dyDescent="0.25">
      <c r="J44" s="153"/>
      <c r="K44" s="153"/>
      <c r="L44" s="153"/>
      <c r="M44" s="153"/>
      <c r="N44" s="153"/>
    </row>
    <row r="45" spans="2:14" x14ac:dyDescent="0.25">
      <c r="J45" s="153"/>
      <c r="K45" s="153"/>
      <c r="L45" s="153"/>
      <c r="M45" s="153"/>
      <c r="N45" s="153"/>
    </row>
    <row r="46" spans="2:14" x14ac:dyDescent="0.25">
      <c r="J46" s="153"/>
      <c r="K46" s="153"/>
      <c r="L46" s="153"/>
      <c r="M46" s="153"/>
      <c r="N46" s="153"/>
    </row>
    <row r="47" spans="2:14" x14ac:dyDescent="0.25">
      <c r="J47" s="153"/>
      <c r="K47" s="153"/>
      <c r="L47" s="153"/>
      <c r="M47" s="153"/>
      <c r="N47" s="153"/>
    </row>
    <row r="48" spans="2:14" x14ac:dyDescent="0.25">
      <c r="J48" s="153"/>
      <c r="K48" s="153"/>
      <c r="L48" s="153"/>
      <c r="M48" s="153"/>
      <c r="N48" s="153"/>
    </row>
    <row r="49" spans="10:14" x14ac:dyDescent="0.25">
      <c r="J49" s="153"/>
      <c r="K49" s="153"/>
      <c r="L49" s="153"/>
      <c r="M49" s="153"/>
      <c r="N49" s="153"/>
    </row>
    <row r="50" spans="10:14" x14ac:dyDescent="0.25">
      <c r="J50" s="153"/>
      <c r="K50" s="153"/>
      <c r="L50" s="153"/>
      <c r="M50" s="153"/>
      <c r="N50" s="153"/>
    </row>
    <row r="51" spans="10:14" x14ac:dyDescent="0.25">
      <c r="J51" s="153"/>
      <c r="K51" s="153"/>
      <c r="L51" s="153"/>
      <c r="M51" s="153"/>
      <c r="N51" s="153"/>
    </row>
    <row r="52" spans="10:14" x14ac:dyDescent="0.25">
      <c r="J52" s="153"/>
      <c r="K52" s="153"/>
      <c r="L52" s="153"/>
      <c r="M52" s="153"/>
      <c r="N52" s="153"/>
    </row>
    <row r="53" spans="10:14" x14ac:dyDescent="0.25">
      <c r="J53" s="153"/>
      <c r="K53" s="153"/>
      <c r="L53" s="153"/>
      <c r="M53" s="153"/>
      <c r="N53" s="153"/>
    </row>
    <row r="54" spans="10:14" x14ac:dyDescent="0.25">
      <c r="J54" s="153"/>
      <c r="K54" s="153"/>
      <c r="L54" s="153"/>
      <c r="M54" s="153"/>
      <c r="N54" s="153"/>
    </row>
    <row r="55" spans="10:14" x14ac:dyDescent="0.25">
      <c r="J55" s="153"/>
      <c r="K55" s="153"/>
      <c r="L55" s="153"/>
      <c r="M55" s="153"/>
      <c r="N55" s="153"/>
    </row>
    <row r="56" spans="10:14" x14ac:dyDescent="0.25">
      <c r="J56" s="153"/>
      <c r="K56" s="153"/>
      <c r="L56" s="153"/>
      <c r="M56" s="153"/>
      <c r="N56" s="153"/>
    </row>
    <row r="57" spans="10:14" x14ac:dyDescent="0.25">
      <c r="J57" s="153"/>
      <c r="K57" s="153"/>
      <c r="L57" s="153"/>
      <c r="M57" s="153"/>
      <c r="N57" s="153"/>
    </row>
    <row r="58" spans="10:14" x14ac:dyDescent="0.25">
      <c r="J58" s="153"/>
      <c r="K58" s="153"/>
      <c r="L58" s="153"/>
      <c r="M58" s="153"/>
      <c r="N58" s="153"/>
    </row>
    <row r="59" spans="10:14" x14ac:dyDescent="0.25">
      <c r="J59" s="153"/>
      <c r="K59" s="153"/>
      <c r="L59" s="153"/>
      <c r="M59" s="153"/>
      <c r="N59" s="153"/>
    </row>
    <row r="60" spans="10:14" x14ac:dyDescent="0.25">
      <c r="J60" s="153"/>
      <c r="K60" s="153"/>
      <c r="L60" s="153"/>
      <c r="M60" s="153"/>
      <c r="N60" s="153"/>
    </row>
    <row r="61" spans="10:14" x14ac:dyDescent="0.25">
      <c r="J61" s="153"/>
      <c r="K61" s="153"/>
      <c r="L61" s="153"/>
      <c r="M61" s="153"/>
      <c r="N61" s="153"/>
    </row>
  </sheetData>
  <mergeCells count="9">
    <mergeCell ref="J2:N2"/>
    <mergeCell ref="B32:D32"/>
    <mergeCell ref="B34:D34"/>
    <mergeCell ref="A1:H1"/>
    <mergeCell ref="A2:H2"/>
    <mergeCell ref="A3:H3"/>
    <mergeCell ref="B22:C22"/>
    <mergeCell ref="B23:D23"/>
    <mergeCell ref="B31:D31"/>
  </mergeCells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D6BF-1980-47C2-8127-B61FFEE360F2}">
  <dimension ref="B1:L192"/>
  <sheetViews>
    <sheetView workbookViewId="0"/>
  </sheetViews>
  <sheetFormatPr defaultRowHeight="12.75" x14ac:dyDescent="0.2"/>
  <cols>
    <col min="1" max="1" width="6.85546875" style="139" customWidth="1"/>
    <col min="2" max="2" width="41.140625" style="139" customWidth="1"/>
    <col min="3" max="3" width="49.42578125" style="139" customWidth="1"/>
    <col min="4" max="4" width="17.28515625" style="139" bestFit="1" customWidth="1"/>
    <col min="5" max="5" width="20.140625" style="139" bestFit="1" customWidth="1"/>
    <col min="6" max="6" width="16.5703125" style="139" customWidth="1"/>
    <col min="7" max="7" width="19" style="139" customWidth="1"/>
    <col min="8" max="8" width="17.5703125" style="139" customWidth="1"/>
    <col min="9" max="9" width="15.5703125" style="139" bestFit="1" customWidth="1"/>
    <col min="10" max="10" width="13.5703125" style="139" customWidth="1"/>
    <col min="11" max="11" width="20.5703125" style="139" customWidth="1"/>
    <col min="12" max="12" width="12.42578125" style="139" bestFit="1" customWidth="1"/>
    <col min="13" max="256" width="9.140625" style="139"/>
    <col min="257" max="257" width="23" style="139" customWidth="1"/>
    <col min="258" max="258" width="41.140625" style="139" customWidth="1"/>
    <col min="259" max="259" width="49.42578125" style="139" customWidth="1"/>
    <col min="260" max="260" width="17.28515625" style="139" bestFit="1" customWidth="1"/>
    <col min="261" max="261" width="20.140625" style="139" bestFit="1" customWidth="1"/>
    <col min="262" max="262" width="16.5703125" style="139" customWidth="1"/>
    <col min="263" max="263" width="19" style="139" customWidth="1"/>
    <col min="264" max="264" width="17.5703125" style="139" customWidth="1"/>
    <col min="265" max="265" width="15.5703125" style="139" bestFit="1" customWidth="1"/>
    <col min="266" max="266" width="13.5703125" style="139" customWidth="1"/>
    <col min="267" max="267" width="20.5703125" style="139" customWidth="1"/>
    <col min="268" max="268" width="12.42578125" style="139" bestFit="1" customWidth="1"/>
    <col min="269" max="512" width="9.140625" style="139"/>
    <col min="513" max="513" width="23" style="139" customWidth="1"/>
    <col min="514" max="514" width="41.140625" style="139" customWidth="1"/>
    <col min="515" max="515" width="49.42578125" style="139" customWidth="1"/>
    <col min="516" max="516" width="17.28515625" style="139" bestFit="1" customWidth="1"/>
    <col min="517" max="517" width="20.140625" style="139" bestFit="1" customWidth="1"/>
    <col min="518" max="518" width="16.5703125" style="139" customWidth="1"/>
    <col min="519" max="519" width="19" style="139" customWidth="1"/>
    <col min="520" max="520" width="17.5703125" style="139" customWidth="1"/>
    <col min="521" max="521" width="15.5703125" style="139" bestFit="1" customWidth="1"/>
    <col min="522" max="522" width="13.5703125" style="139" customWidth="1"/>
    <col min="523" max="523" width="20.5703125" style="139" customWidth="1"/>
    <col min="524" max="524" width="12.42578125" style="139" bestFit="1" customWidth="1"/>
    <col min="525" max="768" width="9.140625" style="139"/>
    <col min="769" max="769" width="23" style="139" customWidth="1"/>
    <col min="770" max="770" width="41.140625" style="139" customWidth="1"/>
    <col min="771" max="771" width="49.42578125" style="139" customWidth="1"/>
    <col min="772" max="772" width="17.28515625" style="139" bestFit="1" customWidth="1"/>
    <col min="773" max="773" width="20.140625" style="139" bestFit="1" customWidth="1"/>
    <col min="774" max="774" width="16.5703125" style="139" customWidth="1"/>
    <col min="775" max="775" width="19" style="139" customWidth="1"/>
    <col min="776" max="776" width="17.5703125" style="139" customWidth="1"/>
    <col min="777" max="777" width="15.5703125" style="139" bestFit="1" customWidth="1"/>
    <col min="778" max="778" width="13.5703125" style="139" customWidth="1"/>
    <col min="779" max="779" width="20.5703125" style="139" customWidth="1"/>
    <col min="780" max="780" width="12.42578125" style="139" bestFit="1" customWidth="1"/>
    <col min="781" max="1024" width="9.140625" style="139"/>
    <col min="1025" max="1025" width="23" style="139" customWidth="1"/>
    <col min="1026" max="1026" width="41.140625" style="139" customWidth="1"/>
    <col min="1027" max="1027" width="49.42578125" style="139" customWidth="1"/>
    <col min="1028" max="1028" width="17.28515625" style="139" bestFit="1" customWidth="1"/>
    <col min="1029" max="1029" width="20.140625" style="139" bestFit="1" customWidth="1"/>
    <col min="1030" max="1030" width="16.5703125" style="139" customWidth="1"/>
    <col min="1031" max="1031" width="19" style="139" customWidth="1"/>
    <col min="1032" max="1032" width="17.5703125" style="139" customWidth="1"/>
    <col min="1033" max="1033" width="15.5703125" style="139" bestFit="1" customWidth="1"/>
    <col min="1034" max="1034" width="13.5703125" style="139" customWidth="1"/>
    <col min="1035" max="1035" width="20.5703125" style="139" customWidth="1"/>
    <col min="1036" max="1036" width="12.42578125" style="139" bestFit="1" customWidth="1"/>
    <col min="1037" max="1280" width="9.140625" style="139"/>
    <col min="1281" max="1281" width="23" style="139" customWidth="1"/>
    <col min="1282" max="1282" width="41.140625" style="139" customWidth="1"/>
    <col min="1283" max="1283" width="49.42578125" style="139" customWidth="1"/>
    <col min="1284" max="1284" width="17.28515625" style="139" bestFit="1" customWidth="1"/>
    <col min="1285" max="1285" width="20.140625" style="139" bestFit="1" customWidth="1"/>
    <col min="1286" max="1286" width="16.5703125" style="139" customWidth="1"/>
    <col min="1287" max="1287" width="19" style="139" customWidth="1"/>
    <col min="1288" max="1288" width="17.5703125" style="139" customWidth="1"/>
    <col min="1289" max="1289" width="15.5703125" style="139" bestFit="1" customWidth="1"/>
    <col min="1290" max="1290" width="13.5703125" style="139" customWidth="1"/>
    <col min="1291" max="1291" width="20.5703125" style="139" customWidth="1"/>
    <col min="1292" max="1292" width="12.42578125" style="139" bestFit="1" customWidth="1"/>
    <col min="1293" max="1536" width="9.140625" style="139"/>
    <col min="1537" max="1537" width="23" style="139" customWidth="1"/>
    <col min="1538" max="1538" width="41.140625" style="139" customWidth="1"/>
    <col min="1539" max="1539" width="49.42578125" style="139" customWidth="1"/>
    <col min="1540" max="1540" width="17.28515625" style="139" bestFit="1" customWidth="1"/>
    <col min="1541" max="1541" width="20.140625" style="139" bestFit="1" customWidth="1"/>
    <col min="1542" max="1542" width="16.5703125" style="139" customWidth="1"/>
    <col min="1543" max="1543" width="19" style="139" customWidth="1"/>
    <col min="1544" max="1544" width="17.5703125" style="139" customWidth="1"/>
    <col min="1545" max="1545" width="15.5703125" style="139" bestFit="1" customWidth="1"/>
    <col min="1546" max="1546" width="13.5703125" style="139" customWidth="1"/>
    <col min="1547" max="1547" width="20.5703125" style="139" customWidth="1"/>
    <col min="1548" max="1548" width="12.42578125" style="139" bestFit="1" customWidth="1"/>
    <col min="1549" max="1792" width="9.140625" style="139"/>
    <col min="1793" max="1793" width="23" style="139" customWidth="1"/>
    <col min="1794" max="1794" width="41.140625" style="139" customWidth="1"/>
    <col min="1795" max="1795" width="49.42578125" style="139" customWidth="1"/>
    <col min="1796" max="1796" width="17.28515625" style="139" bestFit="1" customWidth="1"/>
    <col min="1797" max="1797" width="20.140625" style="139" bestFit="1" customWidth="1"/>
    <col min="1798" max="1798" width="16.5703125" style="139" customWidth="1"/>
    <col min="1799" max="1799" width="19" style="139" customWidth="1"/>
    <col min="1800" max="1800" width="17.5703125" style="139" customWidth="1"/>
    <col min="1801" max="1801" width="15.5703125" style="139" bestFit="1" customWidth="1"/>
    <col min="1802" max="1802" width="13.5703125" style="139" customWidth="1"/>
    <col min="1803" max="1803" width="20.5703125" style="139" customWidth="1"/>
    <col min="1804" max="1804" width="12.42578125" style="139" bestFit="1" customWidth="1"/>
    <col min="1805" max="2048" width="9.140625" style="139"/>
    <col min="2049" max="2049" width="23" style="139" customWidth="1"/>
    <col min="2050" max="2050" width="41.140625" style="139" customWidth="1"/>
    <col min="2051" max="2051" width="49.42578125" style="139" customWidth="1"/>
    <col min="2052" max="2052" width="17.28515625" style="139" bestFit="1" customWidth="1"/>
    <col min="2053" max="2053" width="20.140625" style="139" bestFit="1" customWidth="1"/>
    <col min="2054" max="2054" width="16.5703125" style="139" customWidth="1"/>
    <col min="2055" max="2055" width="19" style="139" customWidth="1"/>
    <col min="2056" max="2056" width="17.5703125" style="139" customWidth="1"/>
    <col min="2057" max="2057" width="15.5703125" style="139" bestFit="1" customWidth="1"/>
    <col min="2058" max="2058" width="13.5703125" style="139" customWidth="1"/>
    <col min="2059" max="2059" width="20.5703125" style="139" customWidth="1"/>
    <col min="2060" max="2060" width="12.42578125" style="139" bestFit="1" customWidth="1"/>
    <col min="2061" max="2304" width="9.140625" style="139"/>
    <col min="2305" max="2305" width="23" style="139" customWidth="1"/>
    <col min="2306" max="2306" width="41.140625" style="139" customWidth="1"/>
    <col min="2307" max="2307" width="49.42578125" style="139" customWidth="1"/>
    <col min="2308" max="2308" width="17.28515625" style="139" bestFit="1" customWidth="1"/>
    <col min="2309" max="2309" width="20.140625" style="139" bestFit="1" customWidth="1"/>
    <col min="2310" max="2310" width="16.5703125" style="139" customWidth="1"/>
    <col min="2311" max="2311" width="19" style="139" customWidth="1"/>
    <col min="2312" max="2312" width="17.5703125" style="139" customWidth="1"/>
    <col min="2313" max="2313" width="15.5703125" style="139" bestFit="1" customWidth="1"/>
    <col min="2314" max="2314" width="13.5703125" style="139" customWidth="1"/>
    <col min="2315" max="2315" width="20.5703125" style="139" customWidth="1"/>
    <col min="2316" max="2316" width="12.42578125" style="139" bestFit="1" customWidth="1"/>
    <col min="2317" max="2560" width="9.140625" style="139"/>
    <col min="2561" max="2561" width="23" style="139" customWidth="1"/>
    <col min="2562" max="2562" width="41.140625" style="139" customWidth="1"/>
    <col min="2563" max="2563" width="49.42578125" style="139" customWidth="1"/>
    <col min="2564" max="2564" width="17.28515625" style="139" bestFit="1" customWidth="1"/>
    <col min="2565" max="2565" width="20.140625" style="139" bestFit="1" customWidth="1"/>
    <col min="2566" max="2566" width="16.5703125" style="139" customWidth="1"/>
    <col min="2567" max="2567" width="19" style="139" customWidth="1"/>
    <col min="2568" max="2568" width="17.5703125" style="139" customWidth="1"/>
    <col min="2569" max="2569" width="15.5703125" style="139" bestFit="1" customWidth="1"/>
    <col min="2570" max="2570" width="13.5703125" style="139" customWidth="1"/>
    <col min="2571" max="2571" width="20.5703125" style="139" customWidth="1"/>
    <col min="2572" max="2572" width="12.42578125" style="139" bestFit="1" customWidth="1"/>
    <col min="2573" max="2816" width="9.140625" style="139"/>
    <col min="2817" max="2817" width="23" style="139" customWidth="1"/>
    <col min="2818" max="2818" width="41.140625" style="139" customWidth="1"/>
    <col min="2819" max="2819" width="49.42578125" style="139" customWidth="1"/>
    <col min="2820" max="2820" width="17.28515625" style="139" bestFit="1" customWidth="1"/>
    <col min="2821" max="2821" width="20.140625" style="139" bestFit="1" customWidth="1"/>
    <col min="2822" max="2822" width="16.5703125" style="139" customWidth="1"/>
    <col min="2823" max="2823" width="19" style="139" customWidth="1"/>
    <col min="2824" max="2824" width="17.5703125" style="139" customWidth="1"/>
    <col min="2825" max="2825" width="15.5703125" style="139" bestFit="1" customWidth="1"/>
    <col min="2826" max="2826" width="13.5703125" style="139" customWidth="1"/>
    <col min="2827" max="2827" width="20.5703125" style="139" customWidth="1"/>
    <col min="2828" max="2828" width="12.42578125" style="139" bestFit="1" customWidth="1"/>
    <col min="2829" max="3072" width="9.140625" style="139"/>
    <col min="3073" max="3073" width="23" style="139" customWidth="1"/>
    <col min="3074" max="3074" width="41.140625" style="139" customWidth="1"/>
    <col min="3075" max="3075" width="49.42578125" style="139" customWidth="1"/>
    <col min="3076" max="3076" width="17.28515625" style="139" bestFit="1" customWidth="1"/>
    <col min="3077" max="3077" width="20.140625" style="139" bestFit="1" customWidth="1"/>
    <col min="3078" max="3078" width="16.5703125" style="139" customWidth="1"/>
    <col min="3079" max="3079" width="19" style="139" customWidth="1"/>
    <col min="3080" max="3080" width="17.5703125" style="139" customWidth="1"/>
    <col min="3081" max="3081" width="15.5703125" style="139" bestFit="1" customWidth="1"/>
    <col min="3082" max="3082" width="13.5703125" style="139" customWidth="1"/>
    <col min="3083" max="3083" width="20.5703125" style="139" customWidth="1"/>
    <col min="3084" max="3084" width="12.42578125" style="139" bestFit="1" customWidth="1"/>
    <col min="3085" max="3328" width="9.140625" style="139"/>
    <col min="3329" max="3329" width="23" style="139" customWidth="1"/>
    <col min="3330" max="3330" width="41.140625" style="139" customWidth="1"/>
    <col min="3331" max="3331" width="49.42578125" style="139" customWidth="1"/>
    <col min="3332" max="3332" width="17.28515625" style="139" bestFit="1" customWidth="1"/>
    <col min="3333" max="3333" width="20.140625" style="139" bestFit="1" customWidth="1"/>
    <col min="3334" max="3334" width="16.5703125" style="139" customWidth="1"/>
    <col min="3335" max="3335" width="19" style="139" customWidth="1"/>
    <col min="3336" max="3336" width="17.5703125" style="139" customWidth="1"/>
    <col min="3337" max="3337" width="15.5703125" style="139" bestFit="1" customWidth="1"/>
    <col min="3338" max="3338" width="13.5703125" style="139" customWidth="1"/>
    <col min="3339" max="3339" width="20.5703125" style="139" customWidth="1"/>
    <col min="3340" max="3340" width="12.42578125" style="139" bestFit="1" customWidth="1"/>
    <col min="3341" max="3584" width="9.140625" style="139"/>
    <col min="3585" max="3585" width="23" style="139" customWidth="1"/>
    <col min="3586" max="3586" width="41.140625" style="139" customWidth="1"/>
    <col min="3587" max="3587" width="49.42578125" style="139" customWidth="1"/>
    <col min="3588" max="3588" width="17.28515625" style="139" bestFit="1" customWidth="1"/>
    <col min="3589" max="3589" width="20.140625" style="139" bestFit="1" customWidth="1"/>
    <col min="3590" max="3590" width="16.5703125" style="139" customWidth="1"/>
    <col min="3591" max="3591" width="19" style="139" customWidth="1"/>
    <col min="3592" max="3592" width="17.5703125" style="139" customWidth="1"/>
    <col min="3593" max="3593" width="15.5703125" style="139" bestFit="1" customWidth="1"/>
    <col min="3594" max="3594" width="13.5703125" style="139" customWidth="1"/>
    <col min="3595" max="3595" width="20.5703125" style="139" customWidth="1"/>
    <col min="3596" max="3596" width="12.42578125" style="139" bestFit="1" customWidth="1"/>
    <col min="3597" max="3840" width="9.140625" style="139"/>
    <col min="3841" max="3841" width="23" style="139" customWidth="1"/>
    <col min="3842" max="3842" width="41.140625" style="139" customWidth="1"/>
    <col min="3843" max="3843" width="49.42578125" style="139" customWidth="1"/>
    <col min="3844" max="3844" width="17.28515625" style="139" bestFit="1" customWidth="1"/>
    <col min="3845" max="3845" width="20.140625" style="139" bestFit="1" customWidth="1"/>
    <col min="3846" max="3846" width="16.5703125" style="139" customWidth="1"/>
    <col min="3847" max="3847" width="19" style="139" customWidth="1"/>
    <col min="3848" max="3848" width="17.5703125" style="139" customWidth="1"/>
    <col min="3849" max="3849" width="15.5703125" style="139" bestFit="1" customWidth="1"/>
    <col min="3850" max="3850" width="13.5703125" style="139" customWidth="1"/>
    <col min="3851" max="3851" width="20.5703125" style="139" customWidth="1"/>
    <col min="3852" max="3852" width="12.42578125" style="139" bestFit="1" customWidth="1"/>
    <col min="3853" max="4096" width="9.140625" style="139"/>
    <col min="4097" max="4097" width="23" style="139" customWidth="1"/>
    <col min="4098" max="4098" width="41.140625" style="139" customWidth="1"/>
    <col min="4099" max="4099" width="49.42578125" style="139" customWidth="1"/>
    <col min="4100" max="4100" width="17.28515625" style="139" bestFit="1" customWidth="1"/>
    <col min="4101" max="4101" width="20.140625" style="139" bestFit="1" customWidth="1"/>
    <col min="4102" max="4102" width="16.5703125" style="139" customWidth="1"/>
    <col min="4103" max="4103" width="19" style="139" customWidth="1"/>
    <col min="4104" max="4104" width="17.5703125" style="139" customWidth="1"/>
    <col min="4105" max="4105" width="15.5703125" style="139" bestFit="1" customWidth="1"/>
    <col min="4106" max="4106" width="13.5703125" style="139" customWidth="1"/>
    <col min="4107" max="4107" width="20.5703125" style="139" customWidth="1"/>
    <col min="4108" max="4108" width="12.42578125" style="139" bestFit="1" customWidth="1"/>
    <col min="4109" max="4352" width="9.140625" style="139"/>
    <col min="4353" max="4353" width="23" style="139" customWidth="1"/>
    <col min="4354" max="4354" width="41.140625" style="139" customWidth="1"/>
    <col min="4355" max="4355" width="49.42578125" style="139" customWidth="1"/>
    <col min="4356" max="4356" width="17.28515625" style="139" bestFit="1" customWidth="1"/>
    <col min="4357" max="4357" width="20.140625" style="139" bestFit="1" customWidth="1"/>
    <col min="4358" max="4358" width="16.5703125" style="139" customWidth="1"/>
    <col min="4359" max="4359" width="19" style="139" customWidth="1"/>
    <col min="4360" max="4360" width="17.5703125" style="139" customWidth="1"/>
    <col min="4361" max="4361" width="15.5703125" style="139" bestFit="1" customWidth="1"/>
    <col min="4362" max="4362" width="13.5703125" style="139" customWidth="1"/>
    <col min="4363" max="4363" width="20.5703125" style="139" customWidth="1"/>
    <col min="4364" max="4364" width="12.42578125" style="139" bestFit="1" customWidth="1"/>
    <col min="4365" max="4608" width="9.140625" style="139"/>
    <col min="4609" max="4609" width="23" style="139" customWidth="1"/>
    <col min="4610" max="4610" width="41.140625" style="139" customWidth="1"/>
    <col min="4611" max="4611" width="49.42578125" style="139" customWidth="1"/>
    <col min="4612" max="4612" width="17.28515625" style="139" bestFit="1" customWidth="1"/>
    <col min="4613" max="4613" width="20.140625" style="139" bestFit="1" customWidth="1"/>
    <col min="4614" max="4614" width="16.5703125" style="139" customWidth="1"/>
    <col min="4615" max="4615" width="19" style="139" customWidth="1"/>
    <col min="4616" max="4616" width="17.5703125" style="139" customWidth="1"/>
    <col min="4617" max="4617" width="15.5703125" style="139" bestFit="1" customWidth="1"/>
    <col min="4618" max="4618" width="13.5703125" style="139" customWidth="1"/>
    <col min="4619" max="4619" width="20.5703125" style="139" customWidth="1"/>
    <col min="4620" max="4620" width="12.42578125" style="139" bestFit="1" customWidth="1"/>
    <col min="4621" max="4864" width="9.140625" style="139"/>
    <col min="4865" max="4865" width="23" style="139" customWidth="1"/>
    <col min="4866" max="4866" width="41.140625" style="139" customWidth="1"/>
    <col min="4867" max="4867" width="49.42578125" style="139" customWidth="1"/>
    <col min="4868" max="4868" width="17.28515625" style="139" bestFit="1" customWidth="1"/>
    <col min="4869" max="4869" width="20.140625" style="139" bestFit="1" customWidth="1"/>
    <col min="4870" max="4870" width="16.5703125" style="139" customWidth="1"/>
    <col min="4871" max="4871" width="19" style="139" customWidth="1"/>
    <col min="4872" max="4872" width="17.5703125" style="139" customWidth="1"/>
    <col min="4873" max="4873" width="15.5703125" style="139" bestFit="1" customWidth="1"/>
    <col min="4874" max="4874" width="13.5703125" style="139" customWidth="1"/>
    <col min="4875" max="4875" width="20.5703125" style="139" customWidth="1"/>
    <col min="4876" max="4876" width="12.42578125" style="139" bestFit="1" customWidth="1"/>
    <col min="4877" max="5120" width="9.140625" style="139"/>
    <col min="5121" max="5121" width="23" style="139" customWidth="1"/>
    <col min="5122" max="5122" width="41.140625" style="139" customWidth="1"/>
    <col min="5123" max="5123" width="49.42578125" style="139" customWidth="1"/>
    <col min="5124" max="5124" width="17.28515625" style="139" bestFit="1" customWidth="1"/>
    <col min="5125" max="5125" width="20.140625" style="139" bestFit="1" customWidth="1"/>
    <col min="5126" max="5126" width="16.5703125" style="139" customWidth="1"/>
    <col min="5127" max="5127" width="19" style="139" customWidth="1"/>
    <col min="5128" max="5128" width="17.5703125" style="139" customWidth="1"/>
    <col min="5129" max="5129" width="15.5703125" style="139" bestFit="1" customWidth="1"/>
    <col min="5130" max="5130" width="13.5703125" style="139" customWidth="1"/>
    <col min="5131" max="5131" width="20.5703125" style="139" customWidth="1"/>
    <col min="5132" max="5132" width="12.42578125" style="139" bestFit="1" customWidth="1"/>
    <col min="5133" max="5376" width="9.140625" style="139"/>
    <col min="5377" max="5377" width="23" style="139" customWidth="1"/>
    <col min="5378" max="5378" width="41.140625" style="139" customWidth="1"/>
    <col min="5379" max="5379" width="49.42578125" style="139" customWidth="1"/>
    <col min="5380" max="5380" width="17.28515625" style="139" bestFit="1" customWidth="1"/>
    <col min="5381" max="5381" width="20.140625" style="139" bestFit="1" customWidth="1"/>
    <col min="5382" max="5382" width="16.5703125" style="139" customWidth="1"/>
    <col min="5383" max="5383" width="19" style="139" customWidth="1"/>
    <col min="5384" max="5384" width="17.5703125" style="139" customWidth="1"/>
    <col min="5385" max="5385" width="15.5703125" style="139" bestFit="1" customWidth="1"/>
    <col min="5386" max="5386" width="13.5703125" style="139" customWidth="1"/>
    <col min="5387" max="5387" width="20.5703125" style="139" customWidth="1"/>
    <col min="5388" max="5388" width="12.42578125" style="139" bestFit="1" customWidth="1"/>
    <col min="5389" max="5632" width="9.140625" style="139"/>
    <col min="5633" max="5633" width="23" style="139" customWidth="1"/>
    <col min="5634" max="5634" width="41.140625" style="139" customWidth="1"/>
    <col min="5635" max="5635" width="49.42578125" style="139" customWidth="1"/>
    <col min="5636" max="5636" width="17.28515625" style="139" bestFit="1" customWidth="1"/>
    <col min="5637" max="5637" width="20.140625" style="139" bestFit="1" customWidth="1"/>
    <col min="5638" max="5638" width="16.5703125" style="139" customWidth="1"/>
    <col min="5639" max="5639" width="19" style="139" customWidth="1"/>
    <col min="5640" max="5640" width="17.5703125" style="139" customWidth="1"/>
    <col min="5641" max="5641" width="15.5703125" style="139" bestFit="1" customWidth="1"/>
    <col min="5642" max="5642" width="13.5703125" style="139" customWidth="1"/>
    <col min="5643" max="5643" width="20.5703125" style="139" customWidth="1"/>
    <col min="5644" max="5644" width="12.42578125" style="139" bestFit="1" customWidth="1"/>
    <col min="5645" max="5888" width="9.140625" style="139"/>
    <col min="5889" max="5889" width="23" style="139" customWidth="1"/>
    <col min="5890" max="5890" width="41.140625" style="139" customWidth="1"/>
    <col min="5891" max="5891" width="49.42578125" style="139" customWidth="1"/>
    <col min="5892" max="5892" width="17.28515625" style="139" bestFit="1" customWidth="1"/>
    <col min="5893" max="5893" width="20.140625" style="139" bestFit="1" customWidth="1"/>
    <col min="5894" max="5894" width="16.5703125" style="139" customWidth="1"/>
    <col min="5895" max="5895" width="19" style="139" customWidth="1"/>
    <col min="5896" max="5896" width="17.5703125" style="139" customWidth="1"/>
    <col min="5897" max="5897" width="15.5703125" style="139" bestFit="1" customWidth="1"/>
    <col min="5898" max="5898" width="13.5703125" style="139" customWidth="1"/>
    <col min="5899" max="5899" width="20.5703125" style="139" customWidth="1"/>
    <col min="5900" max="5900" width="12.42578125" style="139" bestFit="1" customWidth="1"/>
    <col min="5901" max="6144" width="9.140625" style="139"/>
    <col min="6145" max="6145" width="23" style="139" customWidth="1"/>
    <col min="6146" max="6146" width="41.140625" style="139" customWidth="1"/>
    <col min="6147" max="6147" width="49.42578125" style="139" customWidth="1"/>
    <col min="6148" max="6148" width="17.28515625" style="139" bestFit="1" customWidth="1"/>
    <col min="6149" max="6149" width="20.140625" style="139" bestFit="1" customWidth="1"/>
    <col min="6150" max="6150" width="16.5703125" style="139" customWidth="1"/>
    <col min="6151" max="6151" width="19" style="139" customWidth="1"/>
    <col min="6152" max="6152" width="17.5703125" style="139" customWidth="1"/>
    <col min="6153" max="6153" width="15.5703125" style="139" bestFit="1" customWidth="1"/>
    <col min="6154" max="6154" width="13.5703125" style="139" customWidth="1"/>
    <col min="6155" max="6155" width="20.5703125" style="139" customWidth="1"/>
    <col min="6156" max="6156" width="12.42578125" style="139" bestFit="1" customWidth="1"/>
    <col min="6157" max="6400" width="9.140625" style="139"/>
    <col min="6401" max="6401" width="23" style="139" customWidth="1"/>
    <col min="6402" max="6402" width="41.140625" style="139" customWidth="1"/>
    <col min="6403" max="6403" width="49.42578125" style="139" customWidth="1"/>
    <col min="6404" max="6404" width="17.28515625" style="139" bestFit="1" customWidth="1"/>
    <col min="6405" max="6405" width="20.140625" style="139" bestFit="1" customWidth="1"/>
    <col min="6406" max="6406" width="16.5703125" style="139" customWidth="1"/>
    <col min="6407" max="6407" width="19" style="139" customWidth="1"/>
    <col min="6408" max="6408" width="17.5703125" style="139" customWidth="1"/>
    <col min="6409" max="6409" width="15.5703125" style="139" bestFit="1" customWidth="1"/>
    <col min="6410" max="6410" width="13.5703125" style="139" customWidth="1"/>
    <col min="6411" max="6411" width="20.5703125" style="139" customWidth="1"/>
    <col min="6412" max="6412" width="12.42578125" style="139" bestFit="1" customWidth="1"/>
    <col min="6413" max="6656" width="9.140625" style="139"/>
    <col min="6657" max="6657" width="23" style="139" customWidth="1"/>
    <col min="6658" max="6658" width="41.140625" style="139" customWidth="1"/>
    <col min="6659" max="6659" width="49.42578125" style="139" customWidth="1"/>
    <col min="6660" max="6660" width="17.28515625" style="139" bestFit="1" customWidth="1"/>
    <col min="6661" max="6661" width="20.140625" style="139" bestFit="1" customWidth="1"/>
    <col min="6662" max="6662" width="16.5703125" style="139" customWidth="1"/>
    <col min="6663" max="6663" width="19" style="139" customWidth="1"/>
    <col min="6664" max="6664" width="17.5703125" style="139" customWidth="1"/>
    <col min="6665" max="6665" width="15.5703125" style="139" bestFit="1" customWidth="1"/>
    <col min="6666" max="6666" width="13.5703125" style="139" customWidth="1"/>
    <col min="6667" max="6667" width="20.5703125" style="139" customWidth="1"/>
    <col min="6668" max="6668" width="12.42578125" style="139" bestFit="1" customWidth="1"/>
    <col min="6669" max="6912" width="9.140625" style="139"/>
    <col min="6913" max="6913" width="23" style="139" customWidth="1"/>
    <col min="6914" max="6914" width="41.140625" style="139" customWidth="1"/>
    <col min="6915" max="6915" width="49.42578125" style="139" customWidth="1"/>
    <col min="6916" max="6916" width="17.28515625" style="139" bestFit="1" customWidth="1"/>
    <col min="6917" max="6917" width="20.140625" style="139" bestFit="1" customWidth="1"/>
    <col min="6918" max="6918" width="16.5703125" style="139" customWidth="1"/>
    <col min="6919" max="6919" width="19" style="139" customWidth="1"/>
    <col min="6920" max="6920" width="17.5703125" style="139" customWidth="1"/>
    <col min="6921" max="6921" width="15.5703125" style="139" bestFit="1" customWidth="1"/>
    <col min="6922" max="6922" width="13.5703125" style="139" customWidth="1"/>
    <col min="6923" max="6923" width="20.5703125" style="139" customWidth="1"/>
    <col min="6924" max="6924" width="12.42578125" style="139" bestFit="1" customWidth="1"/>
    <col min="6925" max="7168" width="9.140625" style="139"/>
    <col min="7169" max="7169" width="23" style="139" customWidth="1"/>
    <col min="7170" max="7170" width="41.140625" style="139" customWidth="1"/>
    <col min="7171" max="7171" width="49.42578125" style="139" customWidth="1"/>
    <col min="7172" max="7172" width="17.28515625" style="139" bestFit="1" customWidth="1"/>
    <col min="7173" max="7173" width="20.140625" style="139" bestFit="1" customWidth="1"/>
    <col min="7174" max="7174" width="16.5703125" style="139" customWidth="1"/>
    <col min="7175" max="7175" width="19" style="139" customWidth="1"/>
    <col min="7176" max="7176" width="17.5703125" style="139" customWidth="1"/>
    <col min="7177" max="7177" width="15.5703125" style="139" bestFit="1" customWidth="1"/>
    <col min="7178" max="7178" width="13.5703125" style="139" customWidth="1"/>
    <col min="7179" max="7179" width="20.5703125" style="139" customWidth="1"/>
    <col min="7180" max="7180" width="12.42578125" style="139" bestFit="1" customWidth="1"/>
    <col min="7181" max="7424" width="9.140625" style="139"/>
    <col min="7425" max="7425" width="23" style="139" customWidth="1"/>
    <col min="7426" max="7426" width="41.140625" style="139" customWidth="1"/>
    <col min="7427" max="7427" width="49.42578125" style="139" customWidth="1"/>
    <col min="7428" max="7428" width="17.28515625" style="139" bestFit="1" customWidth="1"/>
    <col min="7429" max="7429" width="20.140625" style="139" bestFit="1" customWidth="1"/>
    <col min="7430" max="7430" width="16.5703125" style="139" customWidth="1"/>
    <col min="7431" max="7431" width="19" style="139" customWidth="1"/>
    <col min="7432" max="7432" width="17.5703125" style="139" customWidth="1"/>
    <col min="7433" max="7433" width="15.5703125" style="139" bestFit="1" customWidth="1"/>
    <col min="7434" max="7434" width="13.5703125" style="139" customWidth="1"/>
    <col min="7435" max="7435" width="20.5703125" style="139" customWidth="1"/>
    <col min="7436" max="7436" width="12.42578125" style="139" bestFit="1" customWidth="1"/>
    <col min="7437" max="7680" width="9.140625" style="139"/>
    <col min="7681" max="7681" width="23" style="139" customWidth="1"/>
    <col min="7682" max="7682" width="41.140625" style="139" customWidth="1"/>
    <col min="7683" max="7683" width="49.42578125" style="139" customWidth="1"/>
    <col min="7684" max="7684" width="17.28515625" style="139" bestFit="1" customWidth="1"/>
    <col min="7685" max="7685" width="20.140625" style="139" bestFit="1" customWidth="1"/>
    <col min="7686" max="7686" width="16.5703125" style="139" customWidth="1"/>
    <col min="7687" max="7687" width="19" style="139" customWidth="1"/>
    <col min="7688" max="7688" width="17.5703125" style="139" customWidth="1"/>
    <col min="7689" max="7689" width="15.5703125" style="139" bestFit="1" customWidth="1"/>
    <col min="7690" max="7690" width="13.5703125" style="139" customWidth="1"/>
    <col min="7691" max="7691" width="20.5703125" style="139" customWidth="1"/>
    <col min="7692" max="7692" width="12.42578125" style="139" bestFit="1" customWidth="1"/>
    <col min="7693" max="7936" width="9.140625" style="139"/>
    <col min="7937" max="7937" width="23" style="139" customWidth="1"/>
    <col min="7938" max="7938" width="41.140625" style="139" customWidth="1"/>
    <col min="7939" max="7939" width="49.42578125" style="139" customWidth="1"/>
    <col min="7940" max="7940" width="17.28515625" style="139" bestFit="1" customWidth="1"/>
    <col min="7941" max="7941" width="20.140625" style="139" bestFit="1" customWidth="1"/>
    <col min="7942" max="7942" width="16.5703125" style="139" customWidth="1"/>
    <col min="7943" max="7943" width="19" style="139" customWidth="1"/>
    <col min="7944" max="7944" width="17.5703125" style="139" customWidth="1"/>
    <col min="7945" max="7945" width="15.5703125" style="139" bestFit="1" customWidth="1"/>
    <col min="7946" max="7946" width="13.5703125" style="139" customWidth="1"/>
    <col min="7947" max="7947" width="20.5703125" style="139" customWidth="1"/>
    <col min="7948" max="7948" width="12.42578125" style="139" bestFit="1" customWidth="1"/>
    <col min="7949" max="8192" width="9.140625" style="139"/>
    <col min="8193" max="8193" width="23" style="139" customWidth="1"/>
    <col min="8194" max="8194" width="41.140625" style="139" customWidth="1"/>
    <col min="8195" max="8195" width="49.42578125" style="139" customWidth="1"/>
    <col min="8196" max="8196" width="17.28515625" style="139" bestFit="1" customWidth="1"/>
    <col min="8197" max="8197" width="20.140625" style="139" bestFit="1" customWidth="1"/>
    <col min="8198" max="8198" width="16.5703125" style="139" customWidth="1"/>
    <col min="8199" max="8199" width="19" style="139" customWidth="1"/>
    <col min="8200" max="8200" width="17.5703125" style="139" customWidth="1"/>
    <col min="8201" max="8201" width="15.5703125" style="139" bestFit="1" customWidth="1"/>
    <col min="8202" max="8202" width="13.5703125" style="139" customWidth="1"/>
    <col min="8203" max="8203" width="20.5703125" style="139" customWidth="1"/>
    <col min="8204" max="8204" width="12.42578125" style="139" bestFit="1" customWidth="1"/>
    <col min="8205" max="8448" width="9.140625" style="139"/>
    <col min="8449" max="8449" width="23" style="139" customWidth="1"/>
    <col min="8450" max="8450" width="41.140625" style="139" customWidth="1"/>
    <col min="8451" max="8451" width="49.42578125" style="139" customWidth="1"/>
    <col min="8452" max="8452" width="17.28515625" style="139" bestFit="1" customWidth="1"/>
    <col min="8453" max="8453" width="20.140625" style="139" bestFit="1" customWidth="1"/>
    <col min="8454" max="8454" width="16.5703125" style="139" customWidth="1"/>
    <col min="8455" max="8455" width="19" style="139" customWidth="1"/>
    <col min="8456" max="8456" width="17.5703125" style="139" customWidth="1"/>
    <col min="8457" max="8457" width="15.5703125" style="139" bestFit="1" customWidth="1"/>
    <col min="8458" max="8458" width="13.5703125" style="139" customWidth="1"/>
    <col min="8459" max="8459" width="20.5703125" style="139" customWidth="1"/>
    <col min="8460" max="8460" width="12.42578125" style="139" bestFit="1" customWidth="1"/>
    <col min="8461" max="8704" width="9.140625" style="139"/>
    <col min="8705" max="8705" width="23" style="139" customWidth="1"/>
    <col min="8706" max="8706" width="41.140625" style="139" customWidth="1"/>
    <col min="8707" max="8707" width="49.42578125" style="139" customWidth="1"/>
    <col min="8708" max="8708" width="17.28515625" style="139" bestFit="1" customWidth="1"/>
    <col min="8709" max="8709" width="20.140625" style="139" bestFit="1" customWidth="1"/>
    <col min="8710" max="8710" width="16.5703125" style="139" customWidth="1"/>
    <col min="8711" max="8711" width="19" style="139" customWidth="1"/>
    <col min="8712" max="8712" width="17.5703125" style="139" customWidth="1"/>
    <col min="8713" max="8713" width="15.5703125" style="139" bestFit="1" customWidth="1"/>
    <col min="8714" max="8714" width="13.5703125" style="139" customWidth="1"/>
    <col min="8715" max="8715" width="20.5703125" style="139" customWidth="1"/>
    <col min="8716" max="8716" width="12.42578125" style="139" bestFit="1" customWidth="1"/>
    <col min="8717" max="8960" width="9.140625" style="139"/>
    <col min="8961" max="8961" width="23" style="139" customWidth="1"/>
    <col min="8962" max="8962" width="41.140625" style="139" customWidth="1"/>
    <col min="8963" max="8963" width="49.42578125" style="139" customWidth="1"/>
    <col min="8964" max="8964" width="17.28515625" style="139" bestFit="1" customWidth="1"/>
    <col min="8965" max="8965" width="20.140625" style="139" bestFit="1" customWidth="1"/>
    <col min="8966" max="8966" width="16.5703125" style="139" customWidth="1"/>
    <col min="8967" max="8967" width="19" style="139" customWidth="1"/>
    <col min="8968" max="8968" width="17.5703125" style="139" customWidth="1"/>
    <col min="8969" max="8969" width="15.5703125" style="139" bestFit="1" customWidth="1"/>
    <col min="8970" max="8970" width="13.5703125" style="139" customWidth="1"/>
    <col min="8971" max="8971" width="20.5703125" style="139" customWidth="1"/>
    <col min="8972" max="8972" width="12.42578125" style="139" bestFit="1" customWidth="1"/>
    <col min="8973" max="9216" width="9.140625" style="139"/>
    <col min="9217" max="9217" width="23" style="139" customWidth="1"/>
    <col min="9218" max="9218" width="41.140625" style="139" customWidth="1"/>
    <col min="9219" max="9219" width="49.42578125" style="139" customWidth="1"/>
    <col min="9220" max="9220" width="17.28515625" style="139" bestFit="1" customWidth="1"/>
    <col min="9221" max="9221" width="20.140625" style="139" bestFit="1" customWidth="1"/>
    <col min="9222" max="9222" width="16.5703125" style="139" customWidth="1"/>
    <col min="9223" max="9223" width="19" style="139" customWidth="1"/>
    <col min="9224" max="9224" width="17.5703125" style="139" customWidth="1"/>
    <col min="9225" max="9225" width="15.5703125" style="139" bestFit="1" customWidth="1"/>
    <col min="9226" max="9226" width="13.5703125" style="139" customWidth="1"/>
    <col min="9227" max="9227" width="20.5703125" style="139" customWidth="1"/>
    <col min="9228" max="9228" width="12.42578125" style="139" bestFit="1" customWidth="1"/>
    <col min="9229" max="9472" width="9.140625" style="139"/>
    <col min="9473" max="9473" width="23" style="139" customWidth="1"/>
    <col min="9474" max="9474" width="41.140625" style="139" customWidth="1"/>
    <col min="9475" max="9475" width="49.42578125" style="139" customWidth="1"/>
    <col min="9476" max="9476" width="17.28515625" style="139" bestFit="1" customWidth="1"/>
    <col min="9477" max="9477" width="20.140625" style="139" bestFit="1" customWidth="1"/>
    <col min="9478" max="9478" width="16.5703125" style="139" customWidth="1"/>
    <col min="9479" max="9479" width="19" style="139" customWidth="1"/>
    <col min="9480" max="9480" width="17.5703125" style="139" customWidth="1"/>
    <col min="9481" max="9481" width="15.5703125" style="139" bestFit="1" customWidth="1"/>
    <col min="9482" max="9482" width="13.5703125" style="139" customWidth="1"/>
    <col min="9483" max="9483" width="20.5703125" style="139" customWidth="1"/>
    <col min="9484" max="9484" width="12.42578125" style="139" bestFit="1" customWidth="1"/>
    <col min="9485" max="9728" width="9.140625" style="139"/>
    <col min="9729" max="9729" width="23" style="139" customWidth="1"/>
    <col min="9730" max="9730" width="41.140625" style="139" customWidth="1"/>
    <col min="9731" max="9731" width="49.42578125" style="139" customWidth="1"/>
    <col min="9732" max="9732" width="17.28515625" style="139" bestFit="1" customWidth="1"/>
    <col min="9733" max="9733" width="20.140625" style="139" bestFit="1" customWidth="1"/>
    <col min="9734" max="9734" width="16.5703125" style="139" customWidth="1"/>
    <col min="9735" max="9735" width="19" style="139" customWidth="1"/>
    <col min="9736" max="9736" width="17.5703125" style="139" customWidth="1"/>
    <col min="9737" max="9737" width="15.5703125" style="139" bestFit="1" customWidth="1"/>
    <col min="9738" max="9738" width="13.5703125" style="139" customWidth="1"/>
    <col min="9739" max="9739" width="20.5703125" style="139" customWidth="1"/>
    <col min="9740" max="9740" width="12.42578125" style="139" bestFit="1" customWidth="1"/>
    <col min="9741" max="9984" width="9.140625" style="139"/>
    <col min="9985" max="9985" width="23" style="139" customWidth="1"/>
    <col min="9986" max="9986" width="41.140625" style="139" customWidth="1"/>
    <col min="9987" max="9987" width="49.42578125" style="139" customWidth="1"/>
    <col min="9988" max="9988" width="17.28515625" style="139" bestFit="1" customWidth="1"/>
    <col min="9989" max="9989" width="20.140625" style="139" bestFit="1" customWidth="1"/>
    <col min="9990" max="9990" width="16.5703125" style="139" customWidth="1"/>
    <col min="9991" max="9991" width="19" style="139" customWidth="1"/>
    <col min="9992" max="9992" width="17.5703125" style="139" customWidth="1"/>
    <col min="9993" max="9993" width="15.5703125" style="139" bestFit="1" customWidth="1"/>
    <col min="9994" max="9994" width="13.5703125" style="139" customWidth="1"/>
    <col min="9995" max="9995" width="20.5703125" style="139" customWidth="1"/>
    <col min="9996" max="9996" width="12.42578125" style="139" bestFit="1" customWidth="1"/>
    <col min="9997" max="10240" width="9.140625" style="139"/>
    <col min="10241" max="10241" width="23" style="139" customWidth="1"/>
    <col min="10242" max="10242" width="41.140625" style="139" customWidth="1"/>
    <col min="10243" max="10243" width="49.42578125" style="139" customWidth="1"/>
    <col min="10244" max="10244" width="17.28515625" style="139" bestFit="1" customWidth="1"/>
    <col min="10245" max="10245" width="20.140625" style="139" bestFit="1" customWidth="1"/>
    <col min="10246" max="10246" width="16.5703125" style="139" customWidth="1"/>
    <col min="10247" max="10247" width="19" style="139" customWidth="1"/>
    <col min="10248" max="10248" width="17.5703125" style="139" customWidth="1"/>
    <col min="10249" max="10249" width="15.5703125" style="139" bestFit="1" customWidth="1"/>
    <col min="10250" max="10250" width="13.5703125" style="139" customWidth="1"/>
    <col min="10251" max="10251" width="20.5703125" style="139" customWidth="1"/>
    <col min="10252" max="10252" width="12.42578125" style="139" bestFit="1" customWidth="1"/>
    <col min="10253" max="10496" width="9.140625" style="139"/>
    <col min="10497" max="10497" width="23" style="139" customWidth="1"/>
    <col min="10498" max="10498" width="41.140625" style="139" customWidth="1"/>
    <col min="10499" max="10499" width="49.42578125" style="139" customWidth="1"/>
    <col min="10500" max="10500" width="17.28515625" style="139" bestFit="1" customWidth="1"/>
    <col min="10501" max="10501" width="20.140625" style="139" bestFit="1" customWidth="1"/>
    <col min="10502" max="10502" width="16.5703125" style="139" customWidth="1"/>
    <col min="10503" max="10503" width="19" style="139" customWidth="1"/>
    <col min="10504" max="10504" width="17.5703125" style="139" customWidth="1"/>
    <col min="10505" max="10505" width="15.5703125" style="139" bestFit="1" customWidth="1"/>
    <col min="10506" max="10506" width="13.5703125" style="139" customWidth="1"/>
    <col min="10507" max="10507" width="20.5703125" style="139" customWidth="1"/>
    <col min="10508" max="10508" width="12.42578125" style="139" bestFit="1" customWidth="1"/>
    <col min="10509" max="10752" width="9.140625" style="139"/>
    <col min="10753" max="10753" width="23" style="139" customWidth="1"/>
    <col min="10754" max="10754" width="41.140625" style="139" customWidth="1"/>
    <col min="10755" max="10755" width="49.42578125" style="139" customWidth="1"/>
    <col min="10756" max="10756" width="17.28515625" style="139" bestFit="1" customWidth="1"/>
    <col min="10757" max="10757" width="20.140625" style="139" bestFit="1" customWidth="1"/>
    <col min="10758" max="10758" width="16.5703125" style="139" customWidth="1"/>
    <col min="10759" max="10759" width="19" style="139" customWidth="1"/>
    <col min="10760" max="10760" width="17.5703125" style="139" customWidth="1"/>
    <col min="10761" max="10761" width="15.5703125" style="139" bestFit="1" customWidth="1"/>
    <col min="10762" max="10762" width="13.5703125" style="139" customWidth="1"/>
    <col min="10763" max="10763" width="20.5703125" style="139" customWidth="1"/>
    <col min="10764" max="10764" width="12.42578125" style="139" bestFit="1" customWidth="1"/>
    <col min="10765" max="11008" width="9.140625" style="139"/>
    <col min="11009" max="11009" width="23" style="139" customWidth="1"/>
    <col min="11010" max="11010" width="41.140625" style="139" customWidth="1"/>
    <col min="11011" max="11011" width="49.42578125" style="139" customWidth="1"/>
    <col min="11012" max="11012" width="17.28515625" style="139" bestFit="1" customWidth="1"/>
    <col min="11013" max="11013" width="20.140625" style="139" bestFit="1" customWidth="1"/>
    <col min="11014" max="11014" width="16.5703125" style="139" customWidth="1"/>
    <col min="11015" max="11015" width="19" style="139" customWidth="1"/>
    <col min="11016" max="11016" width="17.5703125" style="139" customWidth="1"/>
    <col min="11017" max="11017" width="15.5703125" style="139" bestFit="1" customWidth="1"/>
    <col min="11018" max="11018" width="13.5703125" style="139" customWidth="1"/>
    <col min="11019" max="11019" width="20.5703125" style="139" customWidth="1"/>
    <col min="11020" max="11020" width="12.42578125" style="139" bestFit="1" customWidth="1"/>
    <col min="11021" max="11264" width="9.140625" style="139"/>
    <col min="11265" max="11265" width="23" style="139" customWidth="1"/>
    <col min="11266" max="11266" width="41.140625" style="139" customWidth="1"/>
    <col min="11267" max="11267" width="49.42578125" style="139" customWidth="1"/>
    <col min="11268" max="11268" width="17.28515625" style="139" bestFit="1" customWidth="1"/>
    <col min="11269" max="11269" width="20.140625" style="139" bestFit="1" customWidth="1"/>
    <col min="11270" max="11270" width="16.5703125" style="139" customWidth="1"/>
    <col min="11271" max="11271" width="19" style="139" customWidth="1"/>
    <col min="11272" max="11272" width="17.5703125" style="139" customWidth="1"/>
    <col min="11273" max="11273" width="15.5703125" style="139" bestFit="1" customWidth="1"/>
    <col min="11274" max="11274" width="13.5703125" style="139" customWidth="1"/>
    <col min="11275" max="11275" width="20.5703125" style="139" customWidth="1"/>
    <col min="11276" max="11276" width="12.42578125" style="139" bestFit="1" customWidth="1"/>
    <col min="11277" max="11520" width="9.140625" style="139"/>
    <col min="11521" max="11521" width="23" style="139" customWidth="1"/>
    <col min="11522" max="11522" width="41.140625" style="139" customWidth="1"/>
    <col min="11523" max="11523" width="49.42578125" style="139" customWidth="1"/>
    <col min="11524" max="11524" width="17.28515625" style="139" bestFit="1" customWidth="1"/>
    <col min="11525" max="11525" width="20.140625" style="139" bestFit="1" customWidth="1"/>
    <col min="11526" max="11526" width="16.5703125" style="139" customWidth="1"/>
    <col min="11527" max="11527" width="19" style="139" customWidth="1"/>
    <col min="11528" max="11528" width="17.5703125" style="139" customWidth="1"/>
    <col min="11529" max="11529" width="15.5703125" style="139" bestFit="1" customWidth="1"/>
    <col min="11530" max="11530" width="13.5703125" style="139" customWidth="1"/>
    <col min="11531" max="11531" width="20.5703125" style="139" customWidth="1"/>
    <col min="11532" max="11532" width="12.42578125" style="139" bestFit="1" customWidth="1"/>
    <col min="11533" max="11776" width="9.140625" style="139"/>
    <col min="11777" max="11777" width="23" style="139" customWidth="1"/>
    <col min="11778" max="11778" width="41.140625" style="139" customWidth="1"/>
    <col min="11779" max="11779" width="49.42578125" style="139" customWidth="1"/>
    <col min="11780" max="11780" width="17.28515625" style="139" bestFit="1" customWidth="1"/>
    <col min="11781" max="11781" width="20.140625" style="139" bestFit="1" customWidth="1"/>
    <col min="11782" max="11782" width="16.5703125" style="139" customWidth="1"/>
    <col min="11783" max="11783" width="19" style="139" customWidth="1"/>
    <col min="11784" max="11784" width="17.5703125" style="139" customWidth="1"/>
    <col min="11785" max="11785" width="15.5703125" style="139" bestFit="1" customWidth="1"/>
    <col min="11786" max="11786" width="13.5703125" style="139" customWidth="1"/>
    <col min="11787" max="11787" width="20.5703125" style="139" customWidth="1"/>
    <col min="11788" max="11788" width="12.42578125" style="139" bestFit="1" customWidth="1"/>
    <col min="11789" max="12032" width="9.140625" style="139"/>
    <col min="12033" max="12033" width="23" style="139" customWidth="1"/>
    <col min="12034" max="12034" width="41.140625" style="139" customWidth="1"/>
    <col min="12035" max="12035" width="49.42578125" style="139" customWidth="1"/>
    <col min="12036" max="12036" width="17.28515625" style="139" bestFit="1" customWidth="1"/>
    <col min="12037" max="12037" width="20.140625" style="139" bestFit="1" customWidth="1"/>
    <col min="12038" max="12038" width="16.5703125" style="139" customWidth="1"/>
    <col min="12039" max="12039" width="19" style="139" customWidth="1"/>
    <col min="12040" max="12040" width="17.5703125" style="139" customWidth="1"/>
    <col min="12041" max="12041" width="15.5703125" style="139" bestFit="1" customWidth="1"/>
    <col min="12042" max="12042" width="13.5703125" style="139" customWidth="1"/>
    <col min="12043" max="12043" width="20.5703125" style="139" customWidth="1"/>
    <col min="12044" max="12044" width="12.42578125" style="139" bestFit="1" customWidth="1"/>
    <col min="12045" max="12288" width="9.140625" style="139"/>
    <col min="12289" max="12289" width="23" style="139" customWidth="1"/>
    <col min="12290" max="12290" width="41.140625" style="139" customWidth="1"/>
    <col min="12291" max="12291" width="49.42578125" style="139" customWidth="1"/>
    <col min="12292" max="12292" width="17.28515625" style="139" bestFit="1" customWidth="1"/>
    <col min="12293" max="12293" width="20.140625" style="139" bestFit="1" customWidth="1"/>
    <col min="12294" max="12294" width="16.5703125" style="139" customWidth="1"/>
    <col min="12295" max="12295" width="19" style="139" customWidth="1"/>
    <col min="12296" max="12296" width="17.5703125" style="139" customWidth="1"/>
    <col min="12297" max="12297" width="15.5703125" style="139" bestFit="1" customWidth="1"/>
    <col min="12298" max="12298" width="13.5703125" style="139" customWidth="1"/>
    <col min="12299" max="12299" width="20.5703125" style="139" customWidth="1"/>
    <col min="12300" max="12300" width="12.42578125" style="139" bestFit="1" customWidth="1"/>
    <col min="12301" max="12544" width="9.140625" style="139"/>
    <col min="12545" max="12545" width="23" style="139" customWidth="1"/>
    <col min="12546" max="12546" width="41.140625" style="139" customWidth="1"/>
    <col min="12547" max="12547" width="49.42578125" style="139" customWidth="1"/>
    <col min="12548" max="12548" width="17.28515625" style="139" bestFit="1" customWidth="1"/>
    <col min="12549" max="12549" width="20.140625" style="139" bestFit="1" customWidth="1"/>
    <col min="12550" max="12550" width="16.5703125" style="139" customWidth="1"/>
    <col min="12551" max="12551" width="19" style="139" customWidth="1"/>
    <col min="12552" max="12552" width="17.5703125" style="139" customWidth="1"/>
    <col min="12553" max="12553" width="15.5703125" style="139" bestFit="1" customWidth="1"/>
    <col min="12554" max="12554" width="13.5703125" style="139" customWidth="1"/>
    <col min="12555" max="12555" width="20.5703125" style="139" customWidth="1"/>
    <col min="12556" max="12556" width="12.42578125" style="139" bestFit="1" customWidth="1"/>
    <col min="12557" max="12800" width="9.140625" style="139"/>
    <col min="12801" max="12801" width="23" style="139" customWidth="1"/>
    <col min="12802" max="12802" width="41.140625" style="139" customWidth="1"/>
    <col min="12803" max="12803" width="49.42578125" style="139" customWidth="1"/>
    <col min="12804" max="12804" width="17.28515625" style="139" bestFit="1" customWidth="1"/>
    <col min="12805" max="12805" width="20.140625" style="139" bestFit="1" customWidth="1"/>
    <col min="12806" max="12806" width="16.5703125" style="139" customWidth="1"/>
    <col min="12807" max="12807" width="19" style="139" customWidth="1"/>
    <col min="12808" max="12808" width="17.5703125" style="139" customWidth="1"/>
    <col min="12809" max="12809" width="15.5703125" style="139" bestFit="1" customWidth="1"/>
    <col min="12810" max="12810" width="13.5703125" style="139" customWidth="1"/>
    <col min="12811" max="12811" width="20.5703125" style="139" customWidth="1"/>
    <col min="12812" max="12812" width="12.42578125" style="139" bestFit="1" customWidth="1"/>
    <col min="12813" max="13056" width="9.140625" style="139"/>
    <col min="13057" max="13057" width="23" style="139" customWidth="1"/>
    <col min="13058" max="13058" width="41.140625" style="139" customWidth="1"/>
    <col min="13059" max="13059" width="49.42578125" style="139" customWidth="1"/>
    <col min="13060" max="13060" width="17.28515625" style="139" bestFit="1" customWidth="1"/>
    <col min="13061" max="13061" width="20.140625" style="139" bestFit="1" customWidth="1"/>
    <col min="13062" max="13062" width="16.5703125" style="139" customWidth="1"/>
    <col min="13063" max="13063" width="19" style="139" customWidth="1"/>
    <col min="13064" max="13064" width="17.5703125" style="139" customWidth="1"/>
    <col min="13065" max="13065" width="15.5703125" style="139" bestFit="1" customWidth="1"/>
    <col min="13066" max="13066" width="13.5703125" style="139" customWidth="1"/>
    <col min="13067" max="13067" width="20.5703125" style="139" customWidth="1"/>
    <col min="13068" max="13068" width="12.42578125" style="139" bestFit="1" customWidth="1"/>
    <col min="13069" max="13312" width="9.140625" style="139"/>
    <col min="13313" max="13313" width="23" style="139" customWidth="1"/>
    <col min="13314" max="13314" width="41.140625" style="139" customWidth="1"/>
    <col min="13315" max="13315" width="49.42578125" style="139" customWidth="1"/>
    <col min="13316" max="13316" width="17.28515625" style="139" bestFit="1" customWidth="1"/>
    <col min="13317" max="13317" width="20.140625" style="139" bestFit="1" customWidth="1"/>
    <col min="13318" max="13318" width="16.5703125" style="139" customWidth="1"/>
    <col min="13319" max="13319" width="19" style="139" customWidth="1"/>
    <col min="13320" max="13320" width="17.5703125" style="139" customWidth="1"/>
    <col min="13321" max="13321" width="15.5703125" style="139" bestFit="1" customWidth="1"/>
    <col min="13322" max="13322" width="13.5703125" style="139" customWidth="1"/>
    <col min="13323" max="13323" width="20.5703125" style="139" customWidth="1"/>
    <col min="13324" max="13324" width="12.42578125" style="139" bestFit="1" customWidth="1"/>
    <col min="13325" max="13568" width="9.140625" style="139"/>
    <col min="13569" max="13569" width="23" style="139" customWidth="1"/>
    <col min="13570" max="13570" width="41.140625" style="139" customWidth="1"/>
    <col min="13571" max="13571" width="49.42578125" style="139" customWidth="1"/>
    <col min="13572" max="13572" width="17.28515625" style="139" bestFit="1" customWidth="1"/>
    <col min="13573" max="13573" width="20.140625" style="139" bestFit="1" customWidth="1"/>
    <col min="13574" max="13574" width="16.5703125" style="139" customWidth="1"/>
    <col min="13575" max="13575" width="19" style="139" customWidth="1"/>
    <col min="13576" max="13576" width="17.5703125" style="139" customWidth="1"/>
    <col min="13577" max="13577" width="15.5703125" style="139" bestFit="1" customWidth="1"/>
    <col min="13578" max="13578" width="13.5703125" style="139" customWidth="1"/>
    <col min="13579" max="13579" width="20.5703125" style="139" customWidth="1"/>
    <col min="13580" max="13580" width="12.42578125" style="139" bestFit="1" customWidth="1"/>
    <col min="13581" max="13824" width="9.140625" style="139"/>
    <col min="13825" max="13825" width="23" style="139" customWidth="1"/>
    <col min="13826" max="13826" width="41.140625" style="139" customWidth="1"/>
    <col min="13827" max="13827" width="49.42578125" style="139" customWidth="1"/>
    <col min="13828" max="13828" width="17.28515625" style="139" bestFit="1" customWidth="1"/>
    <col min="13829" max="13829" width="20.140625" style="139" bestFit="1" customWidth="1"/>
    <col min="13830" max="13830" width="16.5703125" style="139" customWidth="1"/>
    <col min="13831" max="13831" width="19" style="139" customWidth="1"/>
    <col min="13832" max="13832" width="17.5703125" style="139" customWidth="1"/>
    <col min="13833" max="13833" width="15.5703125" style="139" bestFit="1" customWidth="1"/>
    <col min="13834" max="13834" width="13.5703125" style="139" customWidth="1"/>
    <col min="13835" max="13835" width="20.5703125" style="139" customWidth="1"/>
    <col min="13836" max="13836" width="12.42578125" style="139" bestFit="1" customWidth="1"/>
    <col min="13837" max="14080" width="9.140625" style="139"/>
    <col min="14081" max="14081" width="23" style="139" customWidth="1"/>
    <col min="14082" max="14082" width="41.140625" style="139" customWidth="1"/>
    <col min="14083" max="14083" width="49.42578125" style="139" customWidth="1"/>
    <col min="14084" max="14084" width="17.28515625" style="139" bestFit="1" customWidth="1"/>
    <col min="14085" max="14085" width="20.140625" style="139" bestFit="1" customWidth="1"/>
    <col min="14086" max="14086" width="16.5703125" style="139" customWidth="1"/>
    <col min="14087" max="14087" width="19" style="139" customWidth="1"/>
    <col min="14088" max="14088" width="17.5703125" style="139" customWidth="1"/>
    <col min="14089" max="14089" width="15.5703125" style="139" bestFit="1" customWidth="1"/>
    <col min="14090" max="14090" width="13.5703125" style="139" customWidth="1"/>
    <col min="14091" max="14091" width="20.5703125" style="139" customWidth="1"/>
    <col min="14092" max="14092" width="12.42578125" style="139" bestFit="1" customWidth="1"/>
    <col min="14093" max="14336" width="9.140625" style="139"/>
    <col min="14337" max="14337" width="23" style="139" customWidth="1"/>
    <col min="14338" max="14338" width="41.140625" style="139" customWidth="1"/>
    <col min="14339" max="14339" width="49.42578125" style="139" customWidth="1"/>
    <col min="14340" max="14340" width="17.28515625" style="139" bestFit="1" customWidth="1"/>
    <col min="14341" max="14341" width="20.140625" style="139" bestFit="1" customWidth="1"/>
    <col min="14342" max="14342" width="16.5703125" style="139" customWidth="1"/>
    <col min="14343" max="14343" width="19" style="139" customWidth="1"/>
    <col min="14344" max="14344" width="17.5703125" style="139" customWidth="1"/>
    <col min="14345" max="14345" width="15.5703125" style="139" bestFit="1" customWidth="1"/>
    <col min="14346" max="14346" width="13.5703125" style="139" customWidth="1"/>
    <col min="14347" max="14347" width="20.5703125" style="139" customWidth="1"/>
    <col min="14348" max="14348" width="12.42578125" style="139" bestFit="1" customWidth="1"/>
    <col min="14349" max="14592" width="9.140625" style="139"/>
    <col min="14593" max="14593" width="23" style="139" customWidth="1"/>
    <col min="14594" max="14594" width="41.140625" style="139" customWidth="1"/>
    <col min="14595" max="14595" width="49.42578125" style="139" customWidth="1"/>
    <col min="14596" max="14596" width="17.28515625" style="139" bestFit="1" customWidth="1"/>
    <col min="14597" max="14597" width="20.140625" style="139" bestFit="1" customWidth="1"/>
    <col min="14598" max="14598" width="16.5703125" style="139" customWidth="1"/>
    <col min="14599" max="14599" width="19" style="139" customWidth="1"/>
    <col min="14600" max="14600" width="17.5703125" style="139" customWidth="1"/>
    <col min="14601" max="14601" width="15.5703125" style="139" bestFit="1" customWidth="1"/>
    <col min="14602" max="14602" width="13.5703125" style="139" customWidth="1"/>
    <col min="14603" max="14603" width="20.5703125" style="139" customWidth="1"/>
    <col min="14604" max="14604" width="12.42578125" style="139" bestFit="1" customWidth="1"/>
    <col min="14605" max="14848" width="9.140625" style="139"/>
    <col min="14849" max="14849" width="23" style="139" customWidth="1"/>
    <col min="14850" max="14850" width="41.140625" style="139" customWidth="1"/>
    <col min="14851" max="14851" width="49.42578125" style="139" customWidth="1"/>
    <col min="14852" max="14852" width="17.28515625" style="139" bestFit="1" customWidth="1"/>
    <col min="14853" max="14853" width="20.140625" style="139" bestFit="1" customWidth="1"/>
    <col min="14854" max="14854" width="16.5703125" style="139" customWidth="1"/>
    <col min="14855" max="14855" width="19" style="139" customWidth="1"/>
    <col min="14856" max="14856" width="17.5703125" style="139" customWidth="1"/>
    <col min="14857" max="14857" width="15.5703125" style="139" bestFit="1" customWidth="1"/>
    <col min="14858" max="14858" width="13.5703125" style="139" customWidth="1"/>
    <col min="14859" max="14859" width="20.5703125" style="139" customWidth="1"/>
    <col min="14860" max="14860" width="12.42578125" style="139" bestFit="1" customWidth="1"/>
    <col min="14861" max="15104" width="9.140625" style="139"/>
    <col min="15105" max="15105" width="23" style="139" customWidth="1"/>
    <col min="15106" max="15106" width="41.140625" style="139" customWidth="1"/>
    <col min="15107" max="15107" width="49.42578125" style="139" customWidth="1"/>
    <col min="15108" max="15108" width="17.28515625" style="139" bestFit="1" customWidth="1"/>
    <col min="15109" max="15109" width="20.140625" style="139" bestFit="1" customWidth="1"/>
    <col min="15110" max="15110" width="16.5703125" style="139" customWidth="1"/>
    <col min="15111" max="15111" width="19" style="139" customWidth="1"/>
    <col min="15112" max="15112" width="17.5703125" style="139" customWidth="1"/>
    <col min="15113" max="15113" width="15.5703125" style="139" bestFit="1" customWidth="1"/>
    <col min="15114" max="15114" width="13.5703125" style="139" customWidth="1"/>
    <col min="15115" max="15115" width="20.5703125" style="139" customWidth="1"/>
    <col min="15116" max="15116" width="12.42578125" style="139" bestFit="1" customWidth="1"/>
    <col min="15117" max="15360" width="9.140625" style="139"/>
    <col min="15361" max="15361" width="23" style="139" customWidth="1"/>
    <col min="15362" max="15362" width="41.140625" style="139" customWidth="1"/>
    <col min="15363" max="15363" width="49.42578125" style="139" customWidth="1"/>
    <col min="15364" max="15364" width="17.28515625" style="139" bestFit="1" customWidth="1"/>
    <col min="15365" max="15365" width="20.140625" style="139" bestFit="1" customWidth="1"/>
    <col min="15366" max="15366" width="16.5703125" style="139" customWidth="1"/>
    <col min="15367" max="15367" width="19" style="139" customWidth="1"/>
    <col min="15368" max="15368" width="17.5703125" style="139" customWidth="1"/>
    <col min="15369" max="15369" width="15.5703125" style="139" bestFit="1" customWidth="1"/>
    <col min="15370" max="15370" width="13.5703125" style="139" customWidth="1"/>
    <col min="15371" max="15371" width="20.5703125" style="139" customWidth="1"/>
    <col min="15372" max="15372" width="12.42578125" style="139" bestFit="1" customWidth="1"/>
    <col min="15373" max="15616" width="9.140625" style="139"/>
    <col min="15617" max="15617" width="23" style="139" customWidth="1"/>
    <col min="15618" max="15618" width="41.140625" style="139" customWidth="1"/>
    <col min="15619" max="15619" width="49.42578125" style="139" customWidth="1"/>
    <col min="15620" max="15620" width="17.28515625" style="139" bestFit="1" customWidth="1"/>
    <col min="15621" max="15621" width="20.140625" style="139" bestFit="1" customWidth="1"/>
    <col min="15622" max="15622" width="16.5703125" style="139" customWidth="1"/>
    <col min="15623" max="15623" width="19" style="139" customWidth="1"/>
    <col min="15624" max="15624" width="17.5703125" style="139" customWidth="1"/>
    <col min="15625" max="15625" width="15.5703125" style="139" bestFit="1" customWidth="1"/>
    <col min="15626" max="15626" width="13.5703125" style="139" customWidth="1"/>
    <col min="15627" max="15627" width="20.5703125" style="139" customWidth="1"/>
    <col min="15628" max="15628" width="12.42578125" style="139" bestFit="1" customWidth="1"/>
    <col min="15629" max="15872" width="9.140625" style="139"/>
    <col min="15873" max="15873" width="23" style="139" customWidth="1"/>
    <col min="15874" max="15874" width="41.140625" style="139" customWidth="1"/>
    <col min="15875" max="15875" width="49.42578125" style="139" customWidth="1"/>
    <col min="15876" max="15876" width="17.28515625" style="139" bestFit="1" customWidth="1"/>
    <col min="15877" max="15877" width="20.140625" style="139" bestFit="1" customWidth="1"/>
    <col min="15878" max="15878" width="16.5703125" style="139" customWidth="1"/>
    <col min="15879" max="15879" width="19" style="139" customWidth="1"/>
    <col min="15880" max="15880" width="17.5703125" style="139" customWidth="1"/>
    <col min="15881" max="15881" width="15.5703125" style="139" bestFit="1" customWidth="1"/>
    <col min="15882" max="15882" width="13.5703125" style="139" customWidth="1"/>
    <col min="15883" max="15883" width="20.5703125" style="139" customWidth="1"/>
    <col min="15884" max="15884" width="12.42578125" style="139" bestFit="1" customWidth="1"/>
    <col min="15885" max="16128" width="9.140625" style="139"/>
    <col min="16129" max="16129" width="23" style="139" customWidth="1"/>
    <col min="16130" max="16130" width="41.140625" style="139" customWidth="1"/>
    <col min="16131" max="16131" width="49.42578125" style="139" customWidth="1"/>
    <col min="16132" max="16132" width="17.28515625" style="139" bestFit="1" customWidth="1"/>
    <col min="16133" max="16133" width="20.140625" style="139" bestFit="1" customWidth="1"/>
    <col min="16134" max="16134" width="16.5703125" style="139" customWidth="1"/>
    <col min="16135" max="16135" width="19" style="139" customWidth="1"/>
    <col min="16136" max="16136" width="17.5703125" style="139" customWidth="1"/>
    <col min="16137" max="16137" width="15.5703125" style="139" bestFit="1" customWidth="1"/>
    <col min="16138" max="16138" width="13.5703125" style="139" customWidth="1"/>
    <col min="16139" max="16139" width="20.5703125" style="139" customWidth="1"/>
    <col min="16140" max="16140" width="12.42578125" style="139" bestFit="1" customWidth="1"/>
    <col min="16141" max="16384" width="9.140625" style="139"/>
  </cols>
  <sheetData>
    <row r="1" spans="2:7" x14ac:dyDescent="0.2">
      <c r="G1" s="179" t="s">
        <v>1060</v>
      </c>
    </row>
    <row r="2" spans="2:7" x14ac:dyDescent="0.2">
      <c r="B2" s="306" t="s">
        <v>1153</v>
      </c>
      <c r="C2" s="306"/>
      <c r="D2" s="306"/>
      <c r="E2" s="306"/>
      <c r="F2" s="306"/>
      <c r="G2" s="306"/>
    </row>
    <row r="3" spans="2:7" x14ac:dyDescent="0.2">
      <c r="B3" s="306" t="s">
        <v>1154</v>
      </c>
      <c r="C3" s="306"/>
      <c r="D3" s="306"/>
      <c r="E3" s="306"/>
      <c r="F3" s="306"/>
      <c r="G3" s="306"/>
    </row>
    <row r="4" spans="2:7" x14ac:dyDescent="0.2">
      <c r="B4" s="179"/>
      <c r="C4" s="179"/>
      <c r="D4" s="179"/>
      <c r="E4" s="179"/>
      <c r="F4" s="179"/>
      <c r="G4" s="179"/>
    </row>
    <row r="5" spans="2:7" x14ac:dyDescent="0.2">
      <c r="B5" s="306" t="s">
        <v>1155</v>
      </c>
      <c r="C5" s="306"/>
      <c r="D5" s="306"/>
      <c r="E5" s="306"/>
      <c r="F5" s="306"/>
      <c r="G5" s="306"/>
    </row>
    <row r="6" spans="2:7" x14ac:dyDescent="0.2">
      <c r="B6" s="179" t="s">
        <v>1156</v>
      </c>
    </row>
    <row r="8" spans="2:7" ht="25.5" x14ac:dyDescent="0.2">
      <c r="B8" s="180" t="s">
        <v>1157</v>
      </c>
      <c r="C8" s="180" t="s">
        <v>1158</v>
      </c>
      <c r="D8" s="180" t="s">
        <v>1159</v>
      </c>
      <c r="E8" s="181" t="s">
        <v>1160</v>
      </c>
      <c r="F8" s="181" t="s">
        <v>1161</v>
      </c>
      <c r="G8" s="181" t="s">
        <v>1162</v>
      </c>
    </row>
    <row r="9" spans="2:7" x14ac:dyDescent="0.2">
      <c r="B9" s="182" t="s">
        <v>1163</v>
      </c>
      <c r="C9" s="183" t="s">
        <v>971</v>
      </c>
      <c r="D9" s="184" t="s">
        <v>1164</v>
      </c>
      <c r="E9" s="185">
        <v>670.81</v>
      </c>
      <c r="F9" s="185">
        <v>667.9</v>
      </c>
      <c r="G9" s="186">
        <v>131.690752</v>
      </c>
    </row>
    <row r="10" spans="2:7" x14ac:dyDescent="0.2">
      <c r="B10" s="182" t="s">
        <v>1163</v>
      </c>
      <c r="C10" s="187" t="s">
        <v>968</v>
      </c>
      <c r="D10" s="184" t="s">
        <v>1164</v>
      </c>
      <c r="E10" s="185">
        <v>2755.76</v>
      </c>
      <c r="F10" s="185">
        <v>2698.3</v>
      </c>
      <c r="G10" s="186">
        <v>36.494534999999999</v>
      </c>
    </row>
    <row r="11" spans="2:7" x14ac:dyDescent="0.2">
      <c r="B11" s="182" t="s">
        <v>1163</v>
      </c>
      <c r="C11" s="187" t="s">
        <v>958</v>
      </c>
      <c r="D11" s="184" t="s">
        <v>1164</v>
      </c>
      <c r="E11" s="185">
        <v>525.74</v>
      </c>
      <c r="F11" s="185">
        <v>513.54999999999995</v>
      </c>
      <c r="G11" s="186">
        <v>18.854467499999998</v>
      </c>
    </row>
    <row r="12" spans="2:7" x14ac:dyDescent="0.2">
      <c r="B12" s="182" t="s">
        <v>1163</v>
      </c>
      <c r="C12" s="187" t="s">
        <v>973</v>
      </c>
      <c r="D12" s="184" t="s">
        <v>1164</v>
      </c>
      <c r="E12" s="185">
        <v>637.67999999999995</v>
      </c>
      <c r="F12" s="185">
        <v>636.70000000000005</v>
      </c>
      <c r="G12" s="186">
        <v>105.782544</v>
      </c>
    </row>
    <row r="13" spans="2:7" x14ac:dyDescent="0.2">
      <c r="B13" s="182" t="s">
        <v>1163</v>
      </c>
      <c r="C13" s="187" t="s">
        <v>969</v>
      </c>
      <c r="D13" s="184" t="s">
        <v>1164</v>
      </c>
      <c r="E13" s="185">
        <v>11682.06</v>
      </c>
      <c r="F13" s="185">
        <v>10960.65</v>
      </c>
      <c r="G13" s="186">
        <v>55.141849000000001</v>
      </c>
    </row>
    <row r="14" spans="2:7" x14ac:dyDescent="0.2">
      <c r="B14" s="182" t="s">
        <v>1163</v>
      </c>
      <c r="C14" s="187" t="s">
        <v>974</v>
      </c>
      <c r="D14" s="184" t="s">
        <v>1164</v>
      </c>
      <c r="E14" s="185">
        <v>5553.8</v>
      </c>
      <c r="F14" s="185">
        <v>5396.7</v>
      </c>
      <c r="G14" s="186">
        <v>114.0157476</v>
      </c>
    </row>
    <row r="15" spans="2:7" x14ac:dyDescent="0.2">
      <c r="B15" s="182" t="s">
        <v>1163</v>
      </c>
      <c r="C15" s="187" t="s">
        <v>961</v>
      </c>
      <c r="D15" s="184" t="s">
        <v>1164</v>
      </c>
      <c r="E15" s="185">
        <v>498.26</v>
      </c>
      <c r="F15" s="185">
        <v>495.7</v>
      </c>
      <c r="G15" s="186">
        <v>18.676519599999999</v>
      </c>
    </row>
    <row r="16" spans="2:7" x14ac:dyDescent="0.2">
      <c r="B16" s="182" t="s">
        <v>1163</v>
      </c>
      <c r="C16" s="187" t="s">
        <v>975</v>
      </c>
      <c r="D16" s="184" t="s">
        <v>1164</v>
      </c>
      <c r="E16" s="185">
        <v>1351.94</v>
      </c>
      <c r="F16" s="185">
        <v>1345.25</v>
      </c>
      <c r="G16" s="186">
        <v>104.6615262</v>
      </c>
    </row>
    <row r="17" spans="2:7" x14ac:dyDescent="0.2">
      <c r="B17" s="182" t="s">
        <v>1163</v>
      </c>
      <c r="C17" s="187" t="s">
        <v>959</v>
      </c>
      <c r="D17" s="184" t="s">
        <v>1164</v>
      </c>
      <c r="E17" s="185">
        <v>564.9</v>
      </c>
      <c r="F17" s="185">
        <v>551.29999999999995</v>
      </c>
      <c r="G17" s="186">
        <v>14.906655499999998</v>
      </c>
    </row>
    <row r="18" spans="2:7" x14ac:dyDescent="0.2">
      <c r="B18" s="182" t="s">
        <v>1163</v>
      </c>
      <c r="C18" s="187" t="s">
        <v>967</v>
      </c>
      <c r="D18" s="184" t="s">
        <v>1164</v>
      </c>
      <c r="E18" s="185">
        <v>2760.35</v>
      </c>
      <c r="F18" s="185">
        <v>2691.15</v>
      </c>
      <c r="G18" s="186">
        <v>39.407298400000002</v>
      </c>
    </row>
    <row r="19" spans="2:7" x14ac:dyDescent="0.2">
      <c r="B19" s="182" t="s">
        <v>1163</v>
      </c>
      <c r="C19" s="187" t="s">
        <v>964</v>
      </c>
      <c r="D19" s="184" t="s">
        <v>1164</v>
      </c>
      <c r="E19" s="185">
        <v>705.1</v>
      </c>
      <c r="F19" s="185">
        <v>708.6</v>
      </c>
      <c r="G19" s="186">
        <v>29.522907000000004</v>
      </c>
    </row>
    <row r="20" spans="2:7" x14ac:dyDescent="0.2">
      <c r="B20" s="182" t="s">
        <v>1163</v>
      </c>
      <c r="C20" s="187" t="s">
        <v>966</v>
      </c>
      <c r="D20" s="184" t="s">
        <v>1164</v>
      </c>
      <c r="E20" s="185">
        <v>1444.85</v>
      </c>
      <c r="F20" s="185">
        <v>1465.2</v>
      </c>
      <c r="G20" s="186">
        <v>32.408639999999998</v>
      </c>
    </row>
    <row r="21" spans="2:7" x14ac:dyDescent="0.2">
      <c r="B21" s="182" t="s">
        <v>1163</v>
      </c>
      <c r="C21" s="187" t="s">
        <v>972</v>
      </c>
      <c r="D21" s="184" t="s">
        <v>1164</v>
      </c>
      <c r="E21" s="185">
        <v>1525.77</v>
      </c>
      <c r="F21" s="185">
        <v>1533.5</v>
      </c>
      <c r="G21" s="186">
        <v>78.670019999999994</v>
      </c>
    </row>
    <row r="22" spans="2:7" x14ac:dyDescent="0.2">
      <c r="B22" s="182" t="s">
        <v>1163</v>
      </c>
      <c r="C22" s="187" t="s">
        <v>965</v>
      </c>
      <c r="D22" s="184" t="s">
        <v>1164</v>
      </c>
      <c r="E22" s="185">
        <v>327.12</v>
      </c>
      <c r="F22" s="185">
        <v>326.95</v>
      </c>
      <c r="G22" s="186">
        <v>52.084890000000001</v>
      </c>
    </row>
    <row r="23" spans="2:7" x14ac:dyDescent="0.2">
      <c r="B23" s="188" t="s">
        <v>1163</v>
      </c>
      <c r="C23" s="189" t="s">
        <v>960</v>
      </c>
      <c r="D23" s="184" t="s">
        <v>1164</v>
      </c>
      <c r="E23" s="190">
        <v>8488.14</v>
      </c>
      <c r="F23" s="190">
        <v>8462.75</v>
      </c>
      <c r="G23" s="186">
        <v>24.629619300000002</v>
      </c>
    </row>
    <row r="24" spans="2:7" x14ac:dyDescent="0.2">
      <c r="B24" s="182" t="s">
        <v>1163</v>
      </c>
      <c r="C24" s="191" t="s">
        <v>962</v>
      </c>
      <c r="D24" s="184" t="s">
        <v>1164</v>
      </c>
      <c r="E24" s="190">
        <v>846.48</v>
      </c>
      <c r="F24" s="190">
        <v>831.6</v>
      </c>
      <c r="G24" s="186">
        <v>29.342082000000001</v>
      </c>
    </row>
    <row r="25" spans="2:7" x14ac:dyDescent="0.2">
      <c r="B25" s="182" t="s">
        <v>1163</v>
      </c>
      <c r="C25" s="191" t="s">
        <v>963</v>
      </c>
      <c r="D25" s="184" t="s">
        <v>1164</v>
      </c>
      <c r="E25" s="190">
        <v>865.92</v>
      </c>
      <c r="F25" s="190">
        <v>865.4</v>
      </c>
      <c r="G25" s="186">
        <v>40.947840500000005</v>
      </c>
    </row>
    <row r="26" spans="2:7" x14ac:dyDescent="0.2">
      <c r="B26" s="182" t="s">
        <v>1163</v>
      </c>
      <c r="C26" s="192" t="s">
        <v>957</v>
      </c>
      <c r="D26" s="184" t="s">
        <v>1164</v>
      </c>
      <c r="E26" s="190">
        <v>967.45</v>
      </c>
      <c r="F26" s="190">
        <v>971.45</v>
      </c>
      <c r="G26" s="186">
        <v>5.2416179999999999</v>
      </c>
    </row>
    <row r="27" spans="2:7" x14ac:dyDescent="0.2">
      <c r="B27" s="182" t="s">
        <v>1163</v>
      </c>
      <c r="C27" s="192" t="s">
        <v>956</v>
      </c>
      <c r="D27" s="184" t="s">
        <v>1164</v>
      </c>
      <c r="E27" s="190">
        <v>2012.95</v>
      </c>
      <c r="F27" s="190">
        <v>1936.2</v>
      </c>
      <c r="G27" s="186">
        <v>3.0507526</v>
      </c>
    </row>
    <row r="28" spans="2:7" x14ac:dyDescent="0.2">
      <c r="B28" s="182" t="s">
        <v>1163</v>
      </c>
      <c r="C28" s="193" t="s">
        <v>970</v>
      </c>
      <c r="D28" s="184" t="s">
        <v>1164</v>
      </c>
      <c r="E28" s="185">
        <v>216.7</v>
      </c>
      <c r="F28" s="185">
        <v>214.6</v>
      </c>
      <c r="G28" s="186">
        <v>118.80692999999999</v>
      </c>
    </row>
    <row r="29" spans="2:7" x14ac:dyDescent="0.2">
      <c r="B29" s="182" t="s">
        <v>863</v>
      </c>
      <c r="C29" s="187" t="s">
        <v>979</v>
      </c>
      <c r="D29" s="184" t="s">
        <v>1164</v>
      </c>
      <c r="E29" s="194">
        <v>367.49</v>
      </c>
      <c r="F29" s="185">
        <v>362.85</v>
      </c>
      <c r="G29" s="186">
        <v>8.8892664999999997</v>
      </c>
    </row>
    <row r="30" spans="2:7" x14ac:dyDescent="0.2">
      <c r="B30" s="182" t="s">
        <v>863</v>
      </c>
      <c r="C30" s="187" t="s">
        <v>983</v>
      </c>
      <c r="D30" s="184" t="s">
        <v>1164</v>
      </c>
      <c r="E30" s="194">
        <v>3767.34</v>
      </c>
      <c r="F30" s="185">
        <v>3684.85</v>
      </c>
      <c r="G30" s="186">
        <v>24.950468399999998</v>
      </c>
    </row>
    <row r="31" spans="2:7" x14ac:dyDescent="0.2">
      <c r="B31" s="182" t="s">
        <v>863</v>
      </c>
      <c r="C31" s="187" t="s">
        <v>973</v>
      </c>
      <c r="D31" s="184" t="s">
        <v>1164</v>
      </c>
      <c r="E31" s="194">
        <v>639.14</v>
      </c>
      <c r="F31" s="185">
        <v>636.70000000000005</v>
      </c>
      <c r="G31" s="186">
        <v>377.79480000000001</v>
      </c>
    </row>
    <row r="32" spans="2:7" x14ac:dyDescent="0.2">
      <c r="B32" s="182" t="s">
        <v>863</v>
      </c>
      <c r="C32" s="187" t="s">
        <v>974</v>
      </c>
      <c r="D32" s="184" t="s">
        <v>1164</v>
      </c>
      <c r="E32" s="194">
        <v>5573.6</v>
      </c>
      <c r="F32" s="185">
        <v>5396.7</v>
      </c>
      <c r="G32" s="186">
        <v>22.481978399999999</v>
      </c>
    </row>
    <row r="33" spans="2:8" x14ac:dyDescent="0.2">
      <c r="B33" s="182" t="s">
        <v>863</v>
      </c>
      <c r="C33" s="187" t="s">
        <v>978</v>
      </c>
      <c r="D33" s="184" t="s">
        <v>1164</v>
      </c>
      <c r="E33" s="194">
        <v>3577.43</v>
      </c>
      <c r="F33" s="185">
        <v>3623.8</v>
      </c>
      <c r="G33" s="186">
        <v>6.5729369999999996</v>
      </c>
    </row>
    <row r="34" spans="2:8" x14ac:dyDescent="0.2">
      <c r="B34" s="182" t="s">
        <v>863</v>
      </c>
      <c r="C34" s="187" t="s">
        <v>982</v>
      </c>
      <c r="D34" s="184" t="s">
        <v>1164</v>
      </c>
      <c r="E34" s="194">
        <v>312.62</v>
      </c>
      <c r="F34" s="185">
        <v>313.39999999999998</v>
      </c>
      <c r="G34" s="186">
        <v>21.324427499999999</v>
      </c>
    </row>
    <row r="35" spans="2:8" x14ac:dyDescent="0.2">
      <c r="B35" s="182" t="s">
        <v>863</v>
      </c>
      <c r="C35" s="187" t="s">
        <v>990</v>
      </c>
      <c r="D35" s="184" t="s">
        <v>1164</v>
      </c>
      <c r="E35" s="194">
        <v>4331.18</v>
      </c>
      <c r="F35" s="185">
        <v>4345.2</v>
      </c>
      <c r="G35" s="186">
        <v>82.537769999999995</v>
      </c>
      <c r="H35" s="195"/>
    </row>
    <row r="36" spans="2:8" ht="18" customHeight="1" x14ac:dyDescent="0.2">
      <c r="B36" s="182" t="s">
        <v>863</v>
      </c>
      <c r="C36" s="187" t="s">
        <v>987</v>
      </c>
      <c r="D36" s="184" t="s">
        <v>1164</v>
      </c>
      <c r="E36" s="194">
        <v>1339.88</v>
      </c>
      <c r="F36" s="185">
        <v>1324.1</v>
      </c>
      <c r="G36" s="186">
        <v>69.535030399999997</v>
      </c>
      <c r="H36" s="195"/>
    </row>
    <row r="37" spans="2:8" x14ac:dyDescent="0.2">
      <c r="B37" s="182" t="s">
        <v>863</v>
      </c>
      <c r="C37" s="187" t="s">
        <v>975</v>
      </c>
      <c r="D37" s="184" t="s">
        <v>1164</v>
      </c>
      <c r="E37" s="194">
        <v>1356.18</v>
      </c>
      <c r="F37" s="185">
        <v>1345.25</v>
      </c>
      <c r="G37" s="186">
        <v>1189.335525</v>
      </c>
      <c r="H37" s="195"/>
    </row>
    <row r="38" spans="2:8" x14ac:dyDescent="0.2">
      <c r="B38" s="182" t="s">
        <v>863</v>
      </c>
      <c r="C38" s="187" t="s">
        <v>959</v>
      </c>
      <c r="D38" s="184" t="s">
        <v>1164</v>
      </c>
      <c r="E38" s="194">
        <v>556.14</v>
      </c>
      <c r="F38" s="185">
        <v>551.29999999999995</v>
      </c>
      <c r="G38" s="186">
        <v>318.46036749999996</v>
      </c>
      <c r="H38" s="195"/>
    </row>
    <row r="39" spans="2:8" x14ac:dyDescent="0.2">
      <c r="B39" s="182" t="s">
        <v>863</v>
      </c>
      <c r="C39" s="187" t="s">
        <v>991</v>
      </c>
      <c r="D39" s="184" t="s">
        <v>1164</v>
      </c>
      <c r="E39" s="194">
        <v>333.82</v>
      </c>
      <c r="F39" s="185">
        <v>339.1</v>
      </c>
      <c r="G39" s="186">
        <v>132.77874119999998</v>
      </c>
      <c r="H39" s="195"/>
    </row>
    <row r="40" spans="2:8" x14ac:dyDescent="0.2">
      <c r="B40" s="182" t="s">
        <v>863</v>
      </c>
      <c r="C40" s="187" t="s">
        <v>993</v>
      </c>
      <c r="D40" s="184" t="s">
        <v>1164</v>
      </c>
      <c r="E40" s="194">
        <v>2296.79</v>
      </c>
      <c r="F40" s="185">
        <v>2234.25</v>
      </c>
      <c r="G40" s="186">
        <v>166.10108200000002</v>
      </c>
      <c r="H40" s="195"/>
    </row>
    <row r="41" spans="2:8" x14ac:dyDescent="0.2">
      <c r="B41" s="182" t="s">
        <v>863</v>
      </c>
      <c r="C41" s="187" t="s">
        <v>964</v>
      </c>
      <c r="D41" s="184" t="s">
        <v>1164</v>
      </c>
      <c r="E41" s="194">
        <v>708.66</v>
      </c>
      <c r="F41" s="185">
        <v>708.6</v>
      </c>
      <c r="G41" s="186">
        <v>118.09162800000001</v>
      </c>
      <c r="H41" s="195"/>
    </row>
    <row r="42" spans="2:8" x14ac:dyDescent="0.2">
      <c r="B42" s="182" t="s">
        <v>863</v>
      </c>
      <c r="C42" s="187" t="s">
        <v>966</v>
      </c>
      <c r="D42" s="184" t="s">
        <v>1164</v>
      </c>
      <c r="E42" s="194">
        <v>1467.94</v>
      </c>
      <c r="F42" s="185">
        <v>1465.2</v>
      </c>
      <c r="G42" s="105">
        <v>413.21015999999997</v>
      </c>
      <c r="H42" s="195"/>
    </row>
    <row r="43" spans="2:8" x14ac:dyDescent="0.2">
      <c r="B43" s="182" t="s">
        <v>863</v>
      </c>
      <c r="C43" s="187" t="s">
        <v>988</v>
      </c>
      <c r="D43" s="184" t="s">
        <v>1164</v>
      </c>
      <c r="E43" s="194">
        <v>329.86</v>
      </c>
      <c r="F43" s="185">
        <v>327.55</v>
      </c>
      <c r="G43" s="105">
        <v>115.416376</v>
      </c>
      <c r="H43" s="195"/>
    </row>
    <row r="44" spans="2:8" x14ac:dyDescent="0.2">
      <c r="B44" s="182" t="s">
        <v>863</v>
      </c>
      <c r="C44" s="187" t="s">
        <v>981</v>
      </c>
      <c r="D44" s="184" t="s">
        <v>1164</v>
      </c>
      <c r="E44" s="194">
        <v>558.66999999999996</v>
      </c>
      <c r="F44" s="185">
        <v>548.20000000000005</v>
      </c>
      <c r="G44" s="105">
        <v>19.985045</v>
      </c>
      <c r="H44" s="195"/>
    </row>
    <row r="45" spans="2:8" x14ac:dyDescent="0.2">
      <c r="B45" s="182" t="s">
        <v>863</v>
      </c>
      <c r="C45" s="187" t="s">
        <v>972</v>
      </c>
      <c r="D45" s="184" t="s">
        <v>1164</v>
      </c>
      <c r="E45" s="194">
        <v>1533.88</v>
      </c>
      <c r="F45" s="185">
        <v>1533.5</v>
      </c>
      <c r="G45" s="105">
        <v>41.122965000000001</v>
      </c>
      <c r="H45" s="195"/>
    </row>
    <row r="46" spans="2:8" x14ac:dyDescent="0.2">
      <c r="B46" s="182" t="s">
        <v>863</v>
      </c>
      <c r="C46" s="187" t="s">
        <v>989</v>
      </c>
      <c r="D46" s="184" t="s">
        <v>1164</v>
      </c>
      <c r="E46" s="194">
        <v>3055.4</v>
      </c>
      <c r="F46" s="185">
        <v>3023.4</v>
      </c>
      <c r="G46" s="105">
        <v>111.10245999999999</v>
      </c>
      <c r="H46" s="196"/>
    </row>
    <row r="47" spans="2:8" x14ac:dyDescent="0.2">
      <c r="B47" s="182" t="s">
        <v>863</v>
      </c>
      <c r="C47" s="187" t="s">
        <v>980</v>
      </c>
      <c r="D47" s="184" t="s">
        <v>1164</v>
      </c>
      <c r="E47" s="194">
        <v>1054.98</v>
      </c>
      <c r="F47" s="185">
        <v>1082.1500000000001</v>
      </c>
      <c r="G47" s="105">
        <v>13.8774408</v>
      </c>
      <c r="H47" s="195"/>
    </row>
    <row r="48" spans="2:8" x14ac:dyDescent="0.2">
      <c r="B48" s="182" t="s">
        <v>863</v>
      </c>
      <c r="C48" s="187" t="s">
        <v>994</v>
      </c>
      <c r="D48" s="184" t="s">
        <v>1164</v>
      </c>
      <c r="E48" s="194">
        <v>766.65</v>
      </c>
      <c r="F48" s="185">
        <v>760.95</v>
      </c>
      <c r="G48" s="105">
        <v>479.11094399999996</v>
      </c>
      <c r="H48" s="197"/>
    </row>
    <row r="49" spans="2:8" x14ac:dyDescent="0.2">
      <c r="B49" s="182" t="s">
        <v>863</v>
      </c>
      <c r="C49" s="187" t="s">
        <v>995</v>
      </c>
      <c r="D49" s="184" t="s">
        <v>1164</v>
      </c>
      <c r="E49" s="194">
        <v>15763.36</v>
      </c>
      <c r="F49" s="185">
        <v>15744.35</v>
      </c>
      <c r="G49" s="105">
        <v>368.30381249999999</v>
      </c>
      <c r="H49" s="197"/>
    </row>
    <row r="50" spans="2:8" x14ac:dyDescent="0.2">
      <c r="B50" s="182" t="s">
        <v>863</v>
      </c>
      <c r="C50" s="187" t="s">
        <v>992</v>
      </c>
      <c r="D50" s="184" t="s">
        <v>1164</v>
      </c>
      <c r="E50" s="194">
        <v>462.28</v>
      </c>
      <c r="F50" s="185">
        <v>464.8</v>
      </c>
      <c r="G50" s="105">
        <v>263.21679</v>
      </c>
      <c r="H50" s="197"/>
    </row>
    <row r="51" spans="2:8" x14ac:dyDescent="0.2">
      <c r="B51" s="182" t="s">
        <v>863</v>
      </c>
      <c r="C51" s="187" t="s">
        <v>986</v>
      </c>
      <c r="D51" s="184" t="s">
        <v>1164</v>
      </c>
      <c r="E51" s="194">
        <v>1081.98</v>
      </c>
      <c r="F51" s="185">
        <v>1083.2</v>
      </c>
      <c r="G51" s="105">
        <v>64.634910000000005</v>
      </c>
      <c r="H51" s="197"/>
    </row>
    <row r="52" spans="2:8" x14ac:dyDescent="0.2">
      <c r="B52" s="182" t="s">
        <v>863</v>
      </c>
      <c r="C52" s="187" t="s">
        <v>962</v>
      </c>
      <c r="D52" s="184" t="s">
        <v>1164</v>
      </c>
      <c r="E52" s="194">
        <v>832.05</v>
      </c>
      <c r="F52" s="185">
        <v>831.6</v>
      </c>
      <c r="G52" s="105">
        <v>83.834520000000012</v>
      </c>
      <c r="H52" s="197"/>
    </row>
    <row r="53" spans="2:8" x14ac:dyDescent="0.2">
      <c r="B53" s="182" t="s">
        <v>863</v>
      </c>
      <c r="C53" s="187" t="s">
        <v>984</v>
      </c>
      <c r="D53" s="184" t="s">
        <v>1164</v>
      </c>
      <c r="E53" s="194">
        <v>807.84</v>
      </c>
      <c r="F53" s="185">
        <v>792.15</v>
      </c>
      <c r="G53" s="105">
        <v>25.468982499999999</v>
      </c>
      <c r="H53" s="197"/>
    </row>
    <row r="54" spans="2:8" x14ac:dyDescent="0.2">
      <c r="B54" s="182" t="s">
        <v>863</v>
      </c>
      <c r="C54" s="187" t="s">
        <v>963</v>
      </c>
      <c r="D54" s="184" t="s">
        <v>1164</v>
      </c>
      <c r="E54" s="194">
        <v>874.11</v>
      </c>
      <c r="F54" s="185">
        <v>865.4</v>
      </c>
      <c r="G54" s="105">
        <v>375.55019429999999</v>
      </c>
      <c r="H54" s="197"/>
    </row>
    <row r="55" spans="2:8" x14ac:dyDescent="0.2">
      <c r="B55" s="182" t="s">
        <v>863</v>
      </c>
      <c r="C55" s="187" t="s">
        <v>957</v>
      </c>
      <c r="D55" s="184" t="s">
        <v>1164</v>
      </c>
      <c r="E55" s="194">
        <v>977.97</v>
      </c>
      <c r="F55" s="185">
        <v>971.45</v>
      </c>
      <c r="G55" s="105">
        <v>534.645036</v>
      </c>
      <c r="H55" s="197"/>
    </row>
    <row r="56" spans="2:8" x14ac:dyDescent="0.2">
      <c r="B56" s="182" t="s">
        <v>863</v>
      </c>
      <c r="C56" s="187" t="s">
        <v>985</v>
      </c>
      <c r="D56" s="184" t="s">
        <v>1164</v>
      </c>
      <c r="E56" s="194">
        <v>227.36</v>
      </c>
      <c r="F56" s="185">
        <v>223.55</v>
      </c>
      <c r="G56" s="105">
        <v>54.589315499999998</v>
      </c>
      <c r="H56" s="197"/>
    </row>
    <row r="57" spans="2:8" x14ac:dyDescent="0.2">
      <c r="B57" s="182" t="s">
        <v>620</v>
      </c>
      <c r="C57" s="4" t="s">
        <v>979</v>
      </c>
      <c r="D57" s="184" t="s">
        <v>1164</v>
      </c>
      <c r="E57" s="194">
        <v>362.5</v>
      </c>
      <c r="F57" s="185">
        <v>362.85</v>
      </c>
      <c r="G57" s="105">
        <v>8.8892664999999997</v>
      </c>
      <c r="H57" s="197"/>
    </row>
    <row r="58" spans="2:8" x14ac:dyDescent="0.2">
      <c r="B58" s="182" t="s">
        <v>620</v>
      </c>
      <c r="C58" s="4" t="s">
        <v>1002</v>
      </c>
      <c r="D58" s="184" t="s">
        <v>1164</v>
      </c>
      <c r="E58" s="194">
        <v>141.54</v>
      </c>
      <c r="F58" s="185">
        <v>146.4</v>
      </c>
      <c r="G58" s="105">
        <v>105.01479999999999</v>
      </c>
      <c r="H58" s="197"/>
    </row>
    <row r="59" spans="2:8" x14ac:dyDescent="0.2">
      <c r="B59" s="182" t="s">
        <v>620</v>
      </c>
      <c r="C59" s="4" t="s">
        <v>968</v>
      </c>
      <c r="D59" s="184" t="s">
        <v>1164</v>
      </c>
      <c r="E59" s="194">
        <v>2808.98</v>
      </c>
      <c r="F59" s="185">
        <v>2698.3</v>
      </c>
      <c r="G59" s="105">
        <v>34.409133000000004</v>
      </c>
      <c r="H59" s="197"/>
    </row>
    <row r="60" spans="2:8" x14ac:dyDescent="0.2">
      <c r="B60" s="182" t="s">
        <v>620</v>
      </c>
      <c r="C60" s="4" t="s">
        <v>973</v>
      </c>
      <c r="D60" s="184" t="s">
        <v>1164</v>
      </c>
      <c r="E60" s="194">
        <v>640.07000000000005</v>
      </c>
      <c r="F60" s="185">
        <v>636.70000000000005</v>
      </c>
      <c r="G60" s="105">
        <v>54.780245999999998</v>
      </c>
      <c r="H60" s="197"/>
    </row>
    <row r="61" spans="2:8" x14ac:dyDescent="0.2">
      <c r="B61" s="182" t="s">
        <v>620</v>
      </c>
      <c r="C61" s="4" t="s">
        <v>974</v>
      </c>
      <c r="D61" s="184" t="s">
        <v>1164</v>
      </c>
      <c r="E61" s="194">
        <v>5616.59</v>
      </c>
      <c r="F61" s="185">
        <v>5396.7</v>
      </c>
      <c r="G61" s="186">
        <v>168.61483800000002</v>
      </c>
    </row>
    <row r="62" spans="2:8" x14ac:dyDescent="0.2">
      <c r="B62" s="182" t="s">
        <v>620</v>
      </c>
      <c r="C62" s="4" t="s">
        <v>969</v>
      </c>
      <c r="D62" s="184" t="s">
        <v>1164</v>
      </c>
      <c r="E62" s="194">
        <v>11652.28</v>
      </c>
      <c r="F62" s="185">
        <v>10960.65</v>
      </c>
      <c r="G62" s="186">
        <v>37.811553600000003</v>
      </c>
    </row>
    <row r="63" spans="2:8" x14ac:dyDescent="0.2">
      <c r="B63" s="182" t="s">
        <v>620</v>
      </c>
      <c r="C63" s="4" t="s">
        <v>998</v>
      </c>
      <c r="D63" s="184" t="s">
        <v>1164</v>
      </c>
      <c r="E63" s="194">
        <v>98.22</v>
      </c>
      <c r="F63" s="185">
        <v>97.65</v>
      </c>
      <c r="G63" s="186">
        <v>47.062804799999995</v>
      </c>
    </row>
    <row r="64" spans="2:8" x14ac:dyDescent="0.2">
      <c r="B64" s="182" t="s">
        <v>620</v>
      </c>
      <c r="C64" s="4" t="s">
        <v>978</v>
      </c>
      <c r="D64" s="184" t="s">
        <v>1164</v>
      </c>
      <c r="E64" s="194">
        <v>3682.7</v>
      </c>
      <c r="F64" s="185">
        <v>3623.8</v>
      </c>
      <c r="G64" s="186">
        <v>12.0503845</v>
      </c>
    </row>
    <row r="65" spans="2:7" x14ac:dyDescent="0.2">
      <c r="B65" s="182" t="s">
        <v>620</v>
      </c>
      <c r="C65" s="4" t="s">
        <v>975</v>
      </c>
      <c r="D65" s="184" t="s">
        <v>1164</v>
      </c>
      <c r="E65" s="194">
        <v>1363.14</v>
      </c>
      <c r="F65" s="185">
        <v>1345.25</v>
      </c>
      <c r="G65" s="186">
        <v>386.0243304</v>
      </c>
    </row>
    <row r="66" spans="2:7" x14ac:dyDescent="0.2">
      <c r="B66" s="182" t="s">
        <v>620</v>
      </c>
      <c r="C66" s="4" t="s">
        <v>959</v>
      </c>
      <c r="D66" s="184" t="s">
        <v>1164</v>
      </c>
      <c r="E66" s="194">
        <v>563.86</v>
      </c>
      <c r="F66" s="185">
        <v>551.29999999999995</v>
      </c>
      <c r="G66" s="186">
        <v>32.523612</v>
      </c>
    </row>
    <row r="67" spans="2:7" x14ac:dyDescent="0.2">
      <c r="B67" s="182" t="s">
        <v>620</v>
      </c>
      <c r="C67" s="4" t="s">
        <v>996</v>
      </c>
      <c r="D67" s="184" t="s">
        <v>1164</v>
      </c>
      <c r="E67" s="194">
        <v>219.25</v>
      </c>
      <c r="F67" s="185">
        <v>217.7</v>
      </c>
      <c r="G67" s="186">
        <v>8.1625859999999992</v>
      </c>
    </row>
    <row r="68" spans="2:7" x14ac:dyDescent="0.2">
      <c r="B68" s="182" t="s">
        <v>620</v>
      </c>
      <c r="C68" s="4" t="s">
        <v>993</v>
      </c>
      <c r="D68" s="184" t="s">
        <v>1164</v>
      </c>
      <c r="E68" s="194">
        <v>2325.13</v>
      </c>
      <c r="F68" s="185">
        <v>2234.25</v>
      </c>
      <c r="G68" s="186">
        <v>168.47395460000001</v>
      </c>
    </row>
    <row r="69" spans="2:7" x14ac:dyDescent="0.2">
      <c r="B69" s="182" t="s">
        <v>620</v>
      </c>
      <c r="C69" s="4" t="s">
        <v>1001</v>
      </c>
      <c r="D69" s="184" t="s">
        <v>1164</v>
      </c>
      <c r="E69" s="194">
        <v>2205.2199999999998</v>
      </c>
      <c r="F69" s="185">
        <v>2168.1999999999998</v>
      </c>
      <c r="G69" s="186">
        <v>64.144037999999995</v>
      </c>
    </row>
    <row r="70" spans="2:7" x14ac:dyDescent="0.2">
      <c r="B70" s="182" t="s">
        <v>620</v>
      </c>
      <c r="C70" s="4" t="s">
        <v>964</v>
      </c>
      <c r="D70" s="184" t="s">
        <v>1164</v>
      </c>
      <c r="E70" s="194">
        <v>709.6</v>
      </c>
      <c r="F70" s="185">
        <v>708.6</v>
      </c>
      <c r="G70" s="186">
        <v>208.62854280000002</v>
      </c>
    </row>
    <row r="71" spans="2:7" x14ac:dyDescent="0.2">
      <c r="B71" s="182" t="s">
        <v>620</v>
      </c>
      <c r="C71" s="4" t="s">
        <v>966</v>
      </c>
      <c r="D71" s="184" t="s">
        <v>1164</v>
      </c>
      <c r="E71" s="194">
        <v>1461.05</v>
      </c>
      <c r="F71" s="185">
        <v>1465.2</v>
      </c>
      <c r="G71" s="186">
        <v>151.51039200000002</v>
      </c>
    </row>
    <row r="72" spans="2:7" x14ac:dyDescent="0.2">
      <c r="B72" s="182" t="s">
        <v>620</v>
      </c>
      <c r="C72" s="4" t="s">
        <v>988</v>
      </c>
      <c r="D72" s="184" t="s">
        <v>1164</v>
      </c>
      <c r="E72" s="194">
        <v>328.03</v>
      </c>
      <c r="F72" s="185">
        <v>327.55</v>
      </c>
      <c r="G72" s="186">
        <v>69.249825600000008</v>
      </c>
    </row>
    <row r="73" spans="2:7" x14ac:dyDescent="0.2">
      <c r="B73" s="182" t="s">
        <v>620</v>
      </c>
      <c r="C73" s="4" t="s">
        <v>997</v>
      </c>
      <c r="D73" s="184" t="s">
        <v>1164</v>
      </c>
      <c r="E73" s="194">
        <v>1664.38</v>
      </c>
      <c r="F73" s="185">
        <v>1658.4</v>
      </c>
      <c r="G73" s="186">
        <v>7.5661440000000004</v>
      </c>
    </row>
    <row r="74" spans="2:7" x14ac:dyDescent="0.2">
      <c r="B74" s="182" t="s">
        <v>620</v>
      </c>
      <c r="C74" s="4" t="s">
        <v>1003</v>
      </c>
      <c r="D74" s="184" t="s">
        <v>1164</v>
      </c>
      <c r="E74" s="194">
        <v>4075.53</v>
      </c>
      <c r="F74" s="185">
        <v>3983.55</v>
      </c>
      <c r="G74" s="186">
        <v>96.821816000000013</v>
      </c>
    </row>
    <row r="75" spans="2:7" x14ac:dyDescent="0.2">
      <c r="B75" s="182" t="s">
        <v>620</v>
      </c>
      <c r="C75" s="4" t="s">
        <v>965</v>
      </c>
      <c r="D75" s="184" t="s">
        <v>1164</v>
      </c>
      <c r="E75" s="194">
        <v>329.95</v>
      </c>
      <c r="F75" s="185">
        <v>326.95</v>
      </c>
      <c r="G75" s="186">
        <v>40.065300000000001</v>
      </c>
    </row>
    <row r="76" spans="2:7" x14ac:dyDescent="0.2">
      <c r="B76" s="182" t="s">
        <v>620</v>
      </c>
      <c r="C76" s="4" t="s">
        <v>1000</v>
      </c>
      <c r="D76" s="184" t="s">
        <v>1164</v>
      </c>
      <c r="E76" s="194">
        <v>172.51</v>
      </c>
      <c r="F76" s="185">
        <v>172.3</v>
      </c>
      <c r="G76" s="186">
        <v>48.495719999999999</v>
      </c>
    </row>
    <row r="77" spans="2:7" x14ac:dyDescent="0.2">
      <c r="B77" s="182" t="s">
        <v>620</v>
      </c>
      <c r="C77" s="4" t="s">
        <v>980</v>
      </c>
      <c r="D77" s="184" t="s">
        <v>1164</v>
      </c>
      <c r="E77" s="194">
        <v>1040.1099999999999</v>
      </c>
      <c r="F77" s="185">
        <v>1082.1500000000001</v>
      </c>
      <c r="G77" s="186">
        <v>27.754881600000001</v>
      </c>
    </row>
    <row r="78" spans="2:7" x14ac:dyDescent="0.2">
      <c r="B78" s="182" t="s">
        <v>620</v>
      </c>
      <c r="C78" s="4" t="s">
        <v>992</v>
      </c>
      <c r="D78" s="184" t="s">
        <v>1164</v>
      </c>
      <c r="E78" s="194">
        <v>461.97</v>
      </c>
      <c r="F78" s="185">
        <v>464.8</v>
      </c>
      <c r="G78" s="186">
        <v>145.13822999999999</v>
      </c>
    </row>
    <row r="79" spans="2:7" x14ac:dyDescent="0.2">
      <c r="B79" s="182" t="s">
        <v>620</v>
      </c>
      <c r="C79" s="4" t="s">
        <v>999</v>
      </c>
      <c r="D79" s="184" t="s">
        <v>1164</v>
      </c>
      <c r="E79" s="194">
        <v>729.64</v>
      </c>
      <c r="F79" s="185">
        <v>708.2</v>
      </c>
      <c r="G79" s="186">
        <v>41.376311999999999</v>
      </c>
    </row>
    <row r="80" spans="2:7" x14ac:dyDescent="0.2">
      <c r="B80" s="182" t="s">
        <v>620</v>
      </c>
      <c r="C80" s="4" t="s">
        <v>963</v>
      </c>
      <c r="D80" s="184" t="s">
        <v>1164</v>
      </c>
      <c r="E80" s="194">
        <v>864.17</v>
      </c>
      <c r="F80" s="185">
        <v>865.4</v>
      </c>
      <c r="G80" s="186">
        <v>80.725742699999998</v>
      </c>
    </row>
    <row r="81" spans="2:12" x14ac:dyDescent="0.2">
      <c r="B81" s="182" t="s">
        <v>620</v>
      </c>
      <c r="C81" s="4" t="s">
        <v>957</v>
      </c>
      <c r="D81" s="184" t="s">
        <v>1164</v>
      </c>
      <c r="E81" s="194">
        <v>976.15</v>
      </c>
      <c r="F81" s="185">
        <v>971.45</v>
      </c>
      <c r="G81" s="186">
        <v>289.59939450000002</v>
      </c>
    </row>
    <row r="82" spans="2:12" x14ac:dyDescent="0.2">
      <c r="B82" s="182" t="s">
        <v>620</v>
      </c>
      <c r="C82" s="4" t="s">
        <v>956</v>
      </c>
      <c r="D82" s="184" t="s">
        <v>1164</v>
      </c>
      <c r="E82" s="194">
        <v>1938.76</v>
      </c>
      <c r="F82" s="185">
        <v>1936.2</v>
      </c>
      <c r="G82" s="186">
        <v>28.982149700000001</v>
      </c>
    </row>
    <row r="83" spans="2:12" x14ac:dyDescent="0.2">
      <c r="B83" s="182" t="s">
        <v>620</v>
      </c>
      <c r="C83" s="4" t="s">
        <v>994</v>
      </c>
      <c r="D83" s="184" t="s">
        <v>1164</v>
      </c>
      <c r="E83" s="194">
        <v>765.43</v>
      </c>
      <c r="F83" s="185">
        <v>760.95</v>
      </c>
      <c r="G83" s="186">
        <v>63.881459200000002</v>
      </c>
    </row>
    <row r="84" spans="2:12" hidden="1" x14ac:dyDescent="0.2">
      <c r="B84" s="182"/>
      <c r="C84" s="198"/>
      <c r="D84" s="184"/>
      <c r="E84" s="185"/>
      <c r="F84" s="185"/>
      <c r="G84" s="186"/>
    </row>
    <row r="86" spans="2:12" x14ac:dyDescent="0.2">
      <c r="B86" s="179" t="s">
        <v>1165</v>
      </c>
      <c r="E86" s="199"/>
      <c r="F86" s="199"/>
      <c r="G86" s="199"/>
    </row>
    <row r="88" spans="2:12" x14ac:dyDescent="0.2">
      <c r="B88" s="200" t="s">
        <v>1157</v>
      </c>
      <c r="C88" s="200" t="s">
        <v>1166</v>
      </c>
    </row>
    <row r="89" spans="2:12" x14ac:dyDescent="0.2">
      <c r="B89" s="182" t="s">
        <v>1163</v>
      </c>
      <c r="C89" s="201">
        <v>65.58</v>
      </c>
    </row>
    <row r="90" spans="2:12" x14ac:dyDescent="0.2">
      <c r="B90" s="182" t="s">
        <v>863</v>
      </c>
      <c r="C90" s="201">
        <v>16.97</v>
      </c>
    </row>
    <row r="91" spans="2:12" x14ac:dyDescent="0.2">
      <c r="B91" s="102" t="s">
        <v>620</v>
      </c>
      <c r="C91" s="201">
        <v>27.88</v>
      </c>
    </row>
    <row r="93" spans="2:12" x14ac:dyDescent="0.2">
      <c r="B93" s="179" t="s">
        <v>1167</v>
      </c>
    </row>
    <row r="94" spans="2:12" x14ac:dyDescent="0.2">
      <c r="B94" s="179"/>
    </row>
    <row r="95" spans="2:12" ht="63.75" x14ac:dyDescent="0.2">
      <c r="B95" s="180" t="s">
        <v>1157</v>
      </c>
      <c r="C95" s="181" t="s">
        <v>1168</v>
      </c>
      <c r="D95" s="181" t="s">
        <v>1169</v>
      </c>
      <c r="E95" s="181" t="s">
        <v>1170</v>
      </c>
      <c r="F95" s="181" t="s">
        <v>1171</v>
      </c>
      <c r="G95" s="181" t="s">
        <v>1172</v>
      </c>
    </row>
    <row r="96" spans="2:12" ht="15" customHeight="1" x14ac:dyDescent="0.2">
      <c r="B96" s="182" t="s">
        <v>1163</v>
      </c>
      <c r="C96" s="202">
        <v>1946</v>
      </c>
      <c r="D96" s="202">
        <v>1914</v>
      </c>
      <c r="E96" s="105">
        <v>13543.409900000001</v>
      </c>
      <c r="F96" s="105">
        <v>14080.2058</v>
      </c>
      <c r="G96" s="203">
        <v>536.79589999999916</v>
      </c>
      <c r="H96" s="204"/>
      <c r="I96" s="205"/>
      <c r="J96" s="206"/>
      <c r="K96" s="206"/>
      <c r="L96" s="206"/>
    </row>
    <row r="97" spans="2:12" ht="15" customHeight="1" x14ac:dyDescent="0.2">
      <c r="B97" s="182" t="s">
        <v>863</v>
      </c>
      <c r="C97" s="207">
        <v>15129</v>
      </c>
      <c r="D97" s="207">
        <v>14914</v>
      </c>
      <c r="E97" s="208">
        <v>97196.469730000012</v>
      </c>
      <c r="F97" s="208">
        <v>100730.06149999998</v>
      </c>
      <c r="G97" s="203">
        <v>3533.59176999997</v>
      </c>
      <c r="H97" s="204"/>
      <c r="I97" s="205"/>
      <c r="J97" s="206"/>
      <c r="K97" s="206"/>
      <c r="L97" s="206"/>
    </row>
    <row r="98" spans="2:12" ht="15" customHeight="1" x14ac:dyDescent="0.2">
      <c r="B98" s="102" t="s">
        <v>620</v>
      </c>
      <c r="C98" s="202">
        <v>4931</v>
      </c>
      <c r="D98" s="202">
        <v>4875</v>
      </c>
      <c r="E98" s="105">
        <v>31531.760200000001</v>
      </c>
      <c r="F98" s="105">
        <v>32676.085699999996</v>
      </c>
      <c r="G98" s="203">
        <v>1144.3254999999954</v>
      </c>
      <c r="H98" s="204"/>
      <c r="I98" s="205"/>
      <c r="J98" s="206"/>
      <c r="K98" s="206"/>
      <c r="L98" s="206"/>
    </row>
    <row r="99" spans="2:12" ht="25.5" x14ac:dyDescent="0.2">
      <c r="B99" s="209" t="s">
        <v>1152</v>
      </c>
      <c r="C99" s="202">
        <v>500</v>
      </c>
      <c r="D99" s="202">
        <v>500</v>
      </c>
      <c r="E99" s="105">
        <v>2417.11</v>
      </c>
      <c r="F99" s="105">
        <v>2635.38</v>
      </c>
      <c r="G99" s="203">
        <v>218.26999999999998</v>
      </c>
      <c r="H99" s="204"/>
      <c r="I99" s="205"/>
      <c r="J99" s="206"/>
      <c r="K99" s="206"/>
      <c r="L99" s="206"/>
    </row>
    <row r="100" spans="2:12" x14ac:dyDescent="0.2">
      <c r="B100" s="182" t="s">
        <v>777</v>
      </c>
      <c r="C100" s="207">
        <v>60</v>
      </c>
      <c r="D100" s="207">
        <v>60</v>
      </c>
      <c r="E100" s="210">
        <v>428.70619999999997</v>
      </c>
      <c r="F100" s="208">
        <v>427.166</v>
      </c>
      <c r="G100" s="203">
        <v>-1.5401999999999703</v>
      </c>
      <c r="H100" s="204"/>
      <c r="I100" s="205"/>
      <c r="J100" s="206"/>
      <c r="K100" s="206"/>
      <c r="L100" s="206"/>
    </row>
    <row r="101" spans="2:12" hidden="1" x14ac:dyDescent="0.2">
      <c r="B101" s="209"/>
      <c r="C101" s="207"/>
      <c r="D101" s="207"/>
      <c r="E101" s="210"/>
      <c r="F101" s="208"/>
      <c r="G101" s="203">
        <f t="shared" ref="G101:G102" si="0">+F101-E101</f>
        <v>0</v>
      </c>
      <c r="H101" s="204"/>
      <c r="I101" s="205"/>
      <c r="J101" s="206"/>
      <c r="K101" s="206"/>
      <c r="L101" s="206"/>
    </row>
    <row r="102" spans="2:12" hidden="1" x14ac:dyDescent="0.2">
      <c r="B102" s="182"/>
      <c r="C102" s="207"/>
      <c r="D102" s="207"/>
      <c r="E102" s="208"/>
      <c r="F102" s="208"/>
      <c r="G102" s="211">
        <f t="shared" si="0"/>
        <v>0</v>
      </c>
      <c r="H102" s="204"/>
      <c r="I102" s="205"/>
      <c r="J102" s="206"/>
    </row>
    <row r="103" spans="2:12" x14ac:dyDescent="0.2">
      <c r="H103" s="204"/>
      <c r="I103" s="205"/>
      <c r="J103" s="206"/>
    </row>
    <row r="104" spans="2:12" ht="15" customHeight="1" x14ac:dyDescent="0.2">
      <c r="E104" s="206"/>
      <c r="F104" s="206"/>
      <c r="H104" s="204"/>
      <c r="I104" s="205"/>
      <c r="J104" s="206"/>
    </row>
    <row r="105" spans="2:12" x14ac:dyDescent="0.2">
      <c r="B105" s="179" t="s">
        <v>1173</v>
      </c>
      <c r="F105" s="206"/>
      <c r="G105" s="205"/>
      <c r="H105" s="204"/>
      <c r="I105" s="205"/>
      <c r="L105" s="204"/>
    </row>
    <row r="106" spans="2:12" x14ac:dyDescent="0.2">
      <c r="H106" s="212"/>
      <c r="L106" s="205"/>
    </row>
    <row r="107" spans="2:12" ht="25.5" x14ac:dyDescent="0.2">
      <c r="B107" s="180" t="s">
        <v>1157</v>
      </c>
      <c r="C107" s="180" t="s">
        <v>1158</v>
      </c>
      <c r="D107" s="180" t="s">
        <v>1159</v>
      </c>
      <c r="E107" s="181" t="s">
        <v>1160</v>
      </c>
      <c r="F107" s="181" t="s">
        <v>1161</v>
      </c>
      <c r="G107" s="181" t="s">
        <v>1174</v>
      </c>
    </row>
    <row r="108" spans="2:12" x14ac:dyDescent="0.2">
      <c r="B108" s="182" t="s">
        <v>863</v>
      </c>
      <c r="C108" s="182" t="s">
        <v>976</v>
      </c>
      <c r="D108" s="184" t="s">
        <v>1175</v>
      </c>
      <c r="E108" s="194">
        <v>572.48</v>
      </c>
      <c r="F108" s="213">
        <v>580.15</v>
      </c>
      <c r="G108" s="255">
        <v>63.150100000000002</v>
      </c>
    </row>
    <row r="109" spans="2:12" x14ac:dyDescent="0.2">
      <c r="B109" s="182" t="s">
        <v>863</v>
      </c>
      <c r="C109" s="182" t="s">
        <v>977</v>
      </c>
      <c r="D109" s="184" t="s">
        <v>1175</v>
      </c>
      <c r="E109" s="194">
        <v>1210.1300000000001</v>
      </c>
      <c r="F109" s="194">
        <v>1188.2</v>
      </c>
      <c r="G109" s="256">
        <v>20.945219999999999</v>
      </c>
    </row>
    <row r="110" spans="2:12" x14ac:dyDescent="0.2">
      <c r="D110" s="214"/>
      <c r="E110" s="215"/>
      <c r="F110" s="215"/>
      <c r="G110" s="215"/>
      <c r="I110" s="205"/>
    </row>
    <row r="111" spans="2:12" x14ac:dyDescent="0.2">
      <c r="C111" s="216"/>
      <c r="D111" s="217"/>
      <c r="E111" s="218"/>
      <c r="F111" s="219"/>
      <c r="G111" s="219"/>
      <c r="I111" s="205"/>
    </row>
    <row r="112" spans="2:12" x14ac:dyDescent="0.2">
      <c r="B112" s="179" t="s">
        <v>1176</v>
      </c>
      <c r="I112" s="205"/>
    </row>
    <row r="113" spans="2:12" x14ac:dyDescent="0.2">
      <c r="I113" s="205"/>
      <c r="L113" s="206"/>
    </row>
    <row r="114" spans="2:12" x14ac:dyDescent="0.2">
      <c r="B114" s="200" t="s">
        <v>1157</v>
      </c>
      <c r="C114" s="200" t="s">
        <v>1166</v>
      </c>
    </row>
    <row r="115" spans="2:12" x14ac:dyDescent="0.2">
      <c r="B115" s="182" t="s">
        <v>863</v>
      </c>
      <c r="C115" s="251">
        <v>0.2</v>
      </c>
    </row>
    <row r="116" spans="2:12" x14ac:dyDescent="0.2">
      <c r="B116" s="182"/>
      <c r="C116" s="184"/>
    </row>
    <row r="117" spans="2:12" x14ac:dyDescent="0.2">
      <c r="B117" s="183"/>
      <c r="C117" s="220"/>
    </row>
    <row r="118" spans="2:12" x14ac:dyDescent="0.2">
      <c r="B118" s="179" t="s">
        <v>1177</v>
      </c>
    </row>
    <row r="119" spans="2:12" x14ac:dyDescent="0.2">
      <c r="B119" s="179"/>
    </row>
    <row r="120" spans="2:12" ht="63.75" x14ac:dyDescent="0.2">
      <c r="B120" s="180" t="s">
        <v>1157</v>
      </c>
      <c r="C120" s="181" t="s">
        <v>1168</v>
      </c>
      <c r="D120" s="181" t="s">
        <v>1169</v>
      </c>
      <c r="E120" s="181" t="s">
        <v>1170</v>
      </c>
      <c r="F120" s="181" t="s">
        <v>1178</v>
      </c>
      <c r="G120" s="181" t="s">
        <v>1179</v>
      </c>
    </row>
    <row r="121" spans="2:12" x14ac:dyDescent="0.2">
      <c r="B121" s="182" t="s">
        <v>863</v>
      </c>
      <c r="C121" s="207">
        <v>248</v>
      </c>
      <c r="D121" s="207">
        <v>248</v>
      </c>
      <c r="E121" s="208">
        <v>1766.2294999999999</v>
      </c>
      <c r="F121" s="208">
        <v>1961.23</v>
      </c>
      <c r="G121" s="221">
        <v>195.0005000000001</v>
      </c>
      <c r="H121" s="204"/>
      <c r="I121" s="205"/>
    </row>
    <row r="122" spans="2:12" x14ac:dyDescent="0.2">
      <c r="B122" s="102" t="s">
        <v>293</v>
      </c>
      <c r="C122" s="222">
        <v>1890</v>
      </c>
      <c r="D122" s="222">
        <v>1890</v>
      </c>
      <c r="E122" s="223">
        <v>11395.37</v>
      </c>
      <c r="F122" s="223">
        <v>12184.88</v>
      </c>
      <c r="G122" s="221">
        <v>789.5099999999984</v>
      </c>
      <c r="H122" s="224"/>
    </row>
    <row r="123" spans="2:12" x14ac:dyDescent="0.2">
      <c r="B123" s="102" t="s">
        <v>942</v>
      </c>
      <c r="C123" s="222">
        <v>25</v>
      </c>
      <c r="D123" s="222">
        <v>25</v>
      </c>
      <c r="E123" s="223">
        <v>286.49090000000001</v>
      </c>
      <c r="F123" s="223">
        <v>294.68299999999999</v>
      </c>
      <c r="G123" s="221">
        <v>8.1920999999999822</v>
      </c>
    </row>
    <row r="124" spans="2:12" x14ac:dyDescent="0.2">
      <c r="B124" s="182" t="s">
        <v>944</v>
      </c>
      <c r="C124" s="225">
        <v>95</v>
      </c>
      <c r="D124" s="225">
        <v>95</v>
      </c>
      <c r="E124" s="223">
        <v>311.71100000000001</v>
      </c>
      <c r="F124" s="223">
        <v>267.23</v>
      </c>
      <c r="G124" s="221">
        <v>-44.480999999999995</v>
      </c>
      <c r="H124" s="226"/>
      <c r="I124" s="227"/>
    </row>
    <row r="125" spans="2:12" x14ac:dyDescent="0.2">
      <c r="B125" s="182" t="s">
        <v>777</v>
      </c>
      <c r="C125" s="225">
        <v>473</v>
      </c>
      <c r="D125" s="225">
        <v>473</v>
      </c>
      <c r="E125" s="223">
        <v>3005.4250000000002</v>
      </c>
      <c r="F125" s="223">
        <v>3011.65</v>
      </c>
      <c r="G125" s="221">
        <v>6.2249999999999091</v>
      </c>
      <c r="H125" s="226"/>
      <c r="I125" s="205"/>
    </row>
    <row r="126" spans="2:12" hidden="1" x14ac:dyDescent="0.2">
      <c r="B126" s="102"/>
      <c r="C126" s="225"/>
      <c r="D126" s="225"/>
      <c r="E126" s="223"/>
      <c r="F126" s="223"/>
      <c r="G126" s="221">
        <f t="shared" ref="G126:G127" si="1">+F126-E126</f>
        <v>0</v>
      </c>
      <c r="H126" s="226"/>
      <c r="I126" s="205"/>
    </row>
    <row r="127" spans="2:12" s="179" customFormat="1" hidden="1" x14ac:dyDescent="0.2">
      <c r="B127" s="228"/>
      <c r="C127" s="207"/>
      <c r="D127" s="207"/>
      <c r="E127" s="208"/>
      <c r="F127" s="208"/>
      <c r="G127" s="221">
        <f t="shared" si="1"/>
        <v>0</v>
      </c>
      <c r="H127" s="226"/>
      <c r="I127" s="229"/>
    </row>
    <row r="128" spans="2:12" hidden="1" x14ac:dyDescent="0.2">
      <c r="B128" s="102"/>
      <c r="C128" s="222"/>
      <c r="D128" s="222"/>
      <c r="E128" s="223"/>
      <c r="F128" s="223"/>
      <c r="G128" s="221">
        <f>+F128-E128</f>
        <v>0</v>
      </c>
      <c r="H128" s="224"/>
    </row>
    <row r="129" spans="2:9" hidden="1" x14ac:dyDescent="0.2">
      <c r="B129" s="209"/>
      <c r="C129" s="230"/>
      <c r="D129" s="230"/>
      <c r="E129" s="231"/>
      <c r="F129" s="231"/>
      <c r="G129" s="232">
        <f>+F129-E129</f>
        <v>0</v>
      </c>
      <c r="H129" s="204"/>
      <c r="I129" s="205"/>
    </row>
    <row r="130" spans="2:9" ht="15" customHeight="1" x14ac:dyDescent="0.2">
      <c r="H130" s="204"/>
      <c r="I130" s="205"/>
    </row>
    <row r="131" spans="2:9" x14ac:dyDescent="0.2">
      <c r="B131" s="233"/>
      <c r="C131" s="234"/>
      <c r="D131" s="234"/>
      <c r="E131" s="235"/>
      <c r="F131" s="235"/>
      <c r="G131" s="235"/>
      <c r="H131" s="205"/>
    </row>
    <row r="132" spans="2:9" x14ac:dyDescent="0.2">
      <c r="B132" s="179" t="s">
        <v>1180</v>
      </c>
      <c r="D132" s="213"/>
    </row>
    <row r="134" spans="2:9" ht="25.5" x14ac:dyDescent="0.2">
      <c r="B134" s="181" t="s">
        <v>1157</v>
      </c>
      <c r="C134" s="181" t="s">
        <v>1158</v>
      </c>
      <c r="D134" s="181" t="s">
        <v>1181</v>
      </c>
      <c r="E134" s="181" t="s">
        <v>1182</v>
      </c>
      <c r="F134" s="181" t="s">
        <v>1183</v>
      </c>
      <c r="G134" s="181" t="s">
        <v>1184</v>
      </c>
    </row>
    <row r="135" spans="2:9" x14ac:dyDescent="0.2">
      <c r="B135" s="236" t="s">
        <v>895</v>
      </c>
      <c r="C135" s="236" t="s">
        <v>895</v>
      </c>
      <c r="D135" s="236" t="s">
        <v>895</v>
      </c>
      <c r="E135" s="236" t="s">
        <v>895</v>
      </c>
      <c r="F135" s="236" t="s">
        <v>895</v>
      </c>
      <c r="G135" s="236" t="s">
        <v>895</v>
      </c>
    </row>
    <row r="136" spans="2:9" x14ac:dyDescent="0.2">
      <c r="D136" s="213"/>
      <c r="E136" s="213"/>
      <c r="F136" s="237"/>
      <c r="G136" s="237"/>
    </row>
    <row r="137" spans="2:9" x14ac:dyDescent="0.2">
      <c r="D137" s="213"/>
      <c r="E137" s="213"/>
      <c r="F137" s="237"/>
      <c r="G137" s="237"/>
    </row>
    <row r="138" spans="2:9" x14ac:dyDescent="0.2">
      <c r="B138" s="179" t="s">
        <v>1185</v>
      </c>
      <c r="G138" s="139" t="s">
        <v>1031</v>
      </c>
    </row>
    <row r="139" spans="2:9" x14ac:dyDescent="0.2">
      <c r="B139" s="179"/>
    </row>
    <row r="140" spans="2:9" x14ac:dyDescent="0.2">
      <c r="B140" s="200" t="s">
        <v>1157</v>
      </c>
      <c r="C140" s="200" t="s">
        <v>1166</v>
      </c>
    </row>
    <row r="141" spans="2:9" x14ac:dyDescent="0.2">
      <c r="B141" s="236" t="s">
        <v>895</v>
      </c>
      <c r="C141" s="236" t="s">
        <v>895</v>
      </c>
    </row>
    <row r="142" spans="2:9" x14ac:dyDescent="0.2">
      <c r="C142" s="238"/>
      <c r="D142" s="220"/>
    </row>
    <row r="143" spans="2:9" x14ac:dyDescent="0.2">
      <c r="B143" s="179" t="s">
        <v>1186</v>
      </c>
    </row>
    <row r="145" spans="2:7" ht="38.25" x14ac:dyDescent="0.2">
      <c r="B145" s="180" t="s">
        <v>1157</v>
      </c>
      <c r="C145" s="181" t="s">
        <v>1187</v>
      </c>
      <c r="D145" s="181" t="s">
        <v>1188</v>
      </c>
      <c r="E145" s="181" t="s">
        <v>1189</v>
      </c>
      <c r="F145" s="181" t="s">
        <v>1190</v>
      </c>
    </row>
    <row r="146" spans="2:7" x14ac:dyDescent="0.2">
      <c r="B146" s="239"/>
      <c r="C146" s="236"/>
      <c r="D146" s="240"/>
      <c r="E146" s="221"/>
      <c r="F146" s="221">
        <f>+E146-D146</f>
        <v>0</v>
      </c>
    </row>
    <row r="147" spans="2:7" x14ac:dyDescent="0.2">
      <c r="B147" s="241"/>
      <c r="C147" s="242"/>
      <c r="D147" s="243"/>
      <c r="E147" s="243"/>
      <c r="F147" s="244"/>
    </row>
    <row r="148" spans="2:7" x14ac:dyDescent="0.2">
      <c r="B148" s="241"/>
      <c r="C148" s="242"/>
      <c r="D148" s="243"/>
      <c r="E148" s="243"/>
      <c r="F148" s="244"/>
    </row>
    <row r="150" spans="2:7" x14ac:dyDescent="0.2">
      <c r="B150" s="179" t="s">
        <v>1191</v>
      </c>
    </row>
    <row r="152" spans="2:7" ht="25.5" x14ac:dyDescent="0.2">
      <c r="B152" s="181" t="s">
        <v>1157</v>
      </c>
      <c r="C152" s="181" t="s">
        <v>1158</v>
      </c>
      <c r="D152" s="181" t="s">
        <v>1181</v>
      </c>
      <c r="E152" s="181" t="s">
        <v>1182</v>
      </c>
      <c r="F152" s="181" t="s">
        <v>1183</v>
      </c>
      <c r="G152" s="181" t="s">
        <v>1184</v>
      </c>
    </row>
    <row r="153" spans="2:7" x14ac:dyDescent="0.2">
      <c r="B153" s="182" t="s">
        <v>895</v>
      </c>
      <c r="C153" s="182" t="s">
        <v>895</v>
      </c>
      <c r="D153" s="182" t="s">
        <v>895</v>
      </c>
      <c r="E153" s="182" t="s">
        <v>895</v>
      </c>
      <c r="F153" s="182" t="s">
        <v>895</v>
      </c>
      <c r="G153" s="182" t="s">
        <v>895</v>
      </c>
    </row>
    <row r="154" spans="2:7" x14ac:dyDescent="0.2">
      <c r="C154" s="216"/>
      <c r="D154" s="245"/>
      <c r="E154" s="246"/>
      <c r="F154" s="237"/>
      <c r="G154" s="237"/>
    </row>
    <row r="155" spans="2:7" x14ac:dyDescent="0.2">
      <c r="B155" s="179" t="s">
        <v>1192</v>
      </c>
    </row>
    <row r="156" spans="2:7" x14ac:dyDescent="0.2">
      <c r="B156" s="179"/>
    </row>
    <row r="157" spans="2:7" x14ac:dyDescent="0.2">
      <c r="B157" s="200" t="s">
        <v>1157</v>
      </c>
      <c r="C157" s="200" t="s">
        <v>1166</v>
      </c>
    </row>
    <row r="158" spans="2:7" x14ac:dyDescent="0.2">
      <c r="B158" s="182" t="s">
        <v>895</v>
      </c>
      <c r="C158" s="182" t="s">
        <v>895</v>
      </c>
    </row>
    <row r="159" spans="2:7" x14ac:dyDescent="0.2">
      <c r="B159" s="183"/>
      <c r="C159" s="220"/>
    </row>
    <row r="160" spans="2:7" x14ac:dyDescent="0.2">
      <c r="B160" s="179" t="s">
        <v>1193</v>
      </c>
    </row>
    <row r="162" spans="2:7" ht="38.25" x14ac:dyDescent="0.2">
      <c r="B162" s="180" t="s">
        <v>1157</v>
      </c>
      <c r="C162" s="181" t="s">
        <v>1187</v>
      </c>
      <c r="D162" s="181" t="s">
        <v>1194</v>
      </c>
      <c r="E162" s="181" t="s">
        <v>1195</v>
      </c>
      <c r="F162" s="181" t="s">
        <v>1190</v>
      </c>
    </row>
    <row r="163" spans="2:7" x14ac:dyDescent="0.2">
      <c r="B163" s="182"/>
      <c r="C163" s="236"/>
      <c r="D163" s="240"/>
      <c r="E163" s="236"/>
      <c r="F163" s="236"/>
    </row>
    <row r="164" spans="2:7" x14ac:dyDescent="0.2">
      <c r="G164" s="247"/>
    </row>
    <row r="165" spans="2:7" x14ac:dyDescent="0.2">
      <c r="F165" s="248"/>
      <c r="G165" s="206"/>
    </row>
    <row r="166" spans="2:7" x14ac:dyDescent="0.2">
      <c r="B166" s="179" t="s">
        <v>1196</v>
      </c>
    </row>
    <row r="167" spans="2:7" x14ac:dyDescent="0.2">
      <c r="B167" s="179"/>
    </row>
    <row r="168" spans="2:7" x14ac:dyDescent="0.2">
      <c r="E168" s="206"/>
    </row>
    <row r="169" spans="2:7" x14ac:dyDescent="0.2">
      <c r="B169" s="179" t="s">
        <v>1197</v>
      </c>
      <c r="E169" s="206"/>
    </row>
    <row r="170" spans="2:7" x14ac:dyDescent="0.2">
      <c r="E170" s="206"/>
    </row>
    <row r="171" spans="2:7" ht="25.5" x14ac:dyDescent="0.2">
      <c r="B171" s="180" t="s">
        <v>1157</v>
      </c>
      <c r="C171" s="181" t="s">
        <v>1158</v>
      </c>
      <c r="D171" s="181" t="s">
        <v>1159</v>
      </c>
      <c r="E171" s="181" t="s">
        <v>1198</v>
      </c>
      <c r="F171" s="181" t="s">
        <v>1199</v>
      </c>
      <c r="G171" s="181" t="s">
        <v>1200</v>
      </c>
    </row>
    <row r="172" spans="2:7" x14ac:dyDescent="0.2">
      <c r="B172" s="102" t="s">
        <v>895</v>
      </c>
      <c r="C172" s="228" t="s">
        <v>895</v>
      </c>
      <c r="D172" s="249" t="s">
        <v>895</v>
      </c>
      <c r="E172" s="250" t="s">
        <v>895</v>
      </c>
      <c r="F172" s="250" t="s">
        <v>895</v>
      </c>
      <c r="G172" s="250" t="s">
        <v>895</v>
      </c>
    </row>
    <row r="173" spans="2:7" x14ac:dyDescent="0.2">
      <c r="E173" s="206"/>
    </row>
    <row r="174" spans="2:7" x14ac:dyDescent="0.2">
      <c r="B174" s="179" t="s">
        <v>1201</v>
      </c>
      <c r="E174" s="206"/>
    </row>
    <row r="175" spans="2:7" x14ac:dyDescent="0.2">
      <c r="B175" s="179"/>
      <c r="E175" s="206"/>
    </row>
    <row r="176" spans="2:7" x14ac:dyDescent="0.2">
      <c r="B176" s="200" t="s">
        <v>1157</v>
      </c>
      <c r="C176" s="200" t="s">
        <v>1166</v>
      </c>
      <c r="E176" s="206"/>
    </row>
    <row r="177" spans="2:10" x14ac:dyDescent="0.2">
      <c r="B177" s="236" t="s">
        <v>895</v>
      </c>
      <c r="C177" s="222" t="s">
        <v>895</v>
      </c>
      <c r="E177" s="206"/>
    </row>
    <row r="178" spans="2:10" x14ac:dyDescent="0.2">
      <c r="E178" s="206"/>
    </row>
    <row r="179" spans="2:10" x14ac:dyDescent="0.2">
      <c r="B179" s="179" t="s">
        <v>1202</v>
      </c>
      <c r="E179" s="206"/>
    </row>
    <row r="180" spans="2:10" x14ac:dyDescent="0.2">
      <c r="E180" s="206"/>
    </row>
    <row r="181" spans="2:10" ht="63.75" x14ac:dyDescent="0.2">
      <c r="B181" s="180" t="s">
        <v>1157</v>
      </c>
      <c r="C181" s="181" t="s">
        <v>1168</v>
      </c>
      <c r="D181" s="181" t="s">
        <v>1169</v>
      </c>
      <c r="E181" s="181" t="s">
        <v>1170</v>
      </c>
      <c r="F181" s="181" t="s">
        <v>1171</v>
      </c>
      <c r="G181" s="181" t="s">
        <v>1172</v>
      </c>
    </row>
    <row r="182" spans="2:10" x14ac:dyDescent="0.2">
      <c r="B182" s="222"/>
      <c r="C182" s="222"/>
      <c r="D182" s="202"/>
      <c r="E182" s="251"/>
      <c r="F182" s="252"/>
      <c r="G182" s="253"/>
      <c r="I182" s="205"/>
      <c r="J182" s="206"/>
    </row>
    <row r="183" spans="2:10" x14ac:dyDescent="0.2">
      <c r="E183" s="206"/>
    </row>
    <row r="184" spans="2:10" x14ac:dyDescent="0.2">
      <c r="E184" s="206"/>
    </row>
    <row r="185" spans="2:10" x14ac:dyDescent="0.2">
      <c r="B185" s="179" t="s">
        <v>1203</v>
      </c>
      <c r="E185" s="206"/>
    </row>
    <row r="186" spans="2:10" x14ac:dyDescent="0.2">
      <c r="E186" s="206"/>
    </row>
    <row r="187" spans="2:10" ht="63.75" x14ac:dyDescent="0.2">
      <c r="B187" s="180" t="s">
        <v>1157</v>
      </c>
      <c r="C187" s="181" t="s">
        <v>1168</v>
      </c>
      <c r="D187" s="181" t="s">
        <v>1169</v>
      </c>
      <c r="E187" s="181" t="s">
        <v>1170</v>
      </c>
      <c r="F187" s="181" t="s">
        <v>1171</v>
      </c>
      <c r="G187" s="181" t="s">
        <v>1172</v>
      </c>
    </row>
    <row r="188" spans="2:10" x14ac:dyDescent="0.2">
      <c r="B188" s="184"/>
      <c r="C188" s="236"/>
      <c r="D188" s="236"/>
      <c r="E188" s="254"/>
      <c r="F188" s="254"/>
      <c r="G188" s="254"/>
    </row>
    <row r="189" spans="2:10" x14ac:dyDescent="0.2">
      <c r="E189" s="206"/>
    </row>
    <row r="190" spans="2:10" x14ac:dyDescent="0.2">
      <c r="E190" s="206"/>
    </row>
    <row r="191" spans="2:10" x14ac:dyDescent="0.2">
      <c r="E191" s="206"/>
    </row>
    <row r="192" spans="2:10" x14ac:dyDescent="0.2">
      <c r="B192" s="139" t="s">
        <v>1204</v>
      </c>
    </row>
  </sheetData>
  <mergeCells count="3">
    <mergeCell ref="B2:G2"/>
    <mergeCell ref="B3:G3"/>
    <mergeCell ref="B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Index</vt:lpstr>
      <vt:lpstr>CAPEXG</vt:lpstr>
      <vt:lpstr>MICAP16</vt:lpstr>
      <vt:lpstr>MICAP17</vt:lpstr>
      <vt:lpstr>MIDCAP</vt:lpstr>
      <vt:lpstr>MULTI1</vt:lpstr>
      <vt:lpstr>MULTI2</vt:lpstr>
      <vt:lpstr>MULTIP</vt:lpstr>
      <vt:lpstr>SESCAP1</vt:lpstr>
      <vt:lpstr>SESCAP2</vt:lpstr>
      <vt:lpstr>SESCAP3</vt:lpstr>
      <vt:lpstr>SESCAP4</vt:lpstr>
      <vt:lpstr>SESCAP5</vt:lpstr>
      <vt:lpstr>SESCAP6</vt:lpstr>
      <vt:lpstr>SESCAP7</vt:lpstr>
      <vt:lpstr>SLTADV3</vt:lpstr>
      <vt:lpstr>SLTADV4</vt:lpstr>
      <vt:lpstr>SLTAX1</vt:lpstr>
      <vt:lpstr>SLTAX2</vt:lpstr>
      <vt:lpstr>SLTAX3</vt:lpstr>
      <vt:lpstr>SLTAX4</vt:lpstr>
      <vt:lpstr>SLTAX5</vt:lpstr>
      <vt:lpstr>SLTAX6</vt:lpstr>
      <vt:lpstr>SMILE</vt:lpstr>
      <vt:lpstr>SPAHF</vt:lpstr>
      <vt:lpstr>SPARF</vt:lpstr>
      <vt:lpstr>SPBAF</vt:lpstr>
      <vt:lpstr>SPDYF</vt:lpstr>
      <vt:lpstr>SPESF</vt:lpstr>
      <vt:lpstr>SPFOCUS</vt:lpstr>
      <vt:lpstr>SPMUCF</vt:lpstr>
      <vt:lpstr>SPSN100</vt:lpstr>
      <vt:lpstr>SPTAX</vt:lpstr>
      <vt:lpstr>SRURAL</vt:lpstr>
      <vt:lpstr>SSFUND</vt:lpstr>
      <vt:lpstr>STAX</vt:lpstr>
      <vt:lpstr>SUNBCF</vt:lpstr>
      <vt:lpstr>SUNFOP</vt:lpstr>
      <vt:lpstr>GLOB</vt:lpstr>
      <vt:lpstr>Annexure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Bharathi B - Sundaram Mutual</cp:lastModifiedBy>
  <dcterms:created xsi:type="dcterms:W3CDTF">2022-07-03T06:42:21Z</dcterms:created>
  <dcterms:modified xsi:type="dcterms:W3CDTF">2023-02-09T10:47:40Z</dcterms:modified>
</cp:coreProperties>
</file>