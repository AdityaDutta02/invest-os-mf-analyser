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132.201.0.2\fasundaram\DEBT_BACKOFFICE\Debt_Factsheets\2024 - Monthly Portfolio\12.31122024\"/>
    </mc:Choice>
  </mc:AlternateContent>
  <xr:revisionPtr revIDLastSave="0" documentId="13_ncr:1_{FE508A38-1B40-4193-8C86-22C6098A68EA}" xr6:coauthVersionLast="47" xr6:coauthVersionMax="47" xr10:uidLastSave="{00000000-0000-0000-0000-000000000000}"/>
  <bookViews>
    <workbookView xWindow="-120" yWindow="-120" windowWidth="19440" windowHeight="15000" tabRatio="719" xr2:uid="{6CC642A2-C570-47AD-A4F6-982580ABCB0F}"/>
  </bookViews>
  <sheets>
    <sheet name="Index" sheetId="12"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8" i="7" l="1"/>
  <c r="F108" i="7"/>
  <c r="G93" i="7"/>
  <c r="F93" i="7"/>
  <c r="G80" i="3"/>
  <c r="F80" i="3"/>
  <c r="G68" i="3"/>
  <c r="F68" i="3"/>
  <c r="F72" i="10"/>
  <c r="F71" i="10"/>
  <c r="F82" i="8"/>
  <c r="F81" i="8"/>
  <c r="F101" i="6"/>
  <c r="F100" i="6"/>
  <c r="F148" i="5"/>
  <c r="F147" i="5"/>
  <c r="F110" i="4"/>
  <c r="F109" i="4"/>
  <c r="F95" i="2"/>
  <c r="F94" i="2"/>
  <c r="J151" i="9" l="1"/>
  <c r="G102" i="9"/>
  <c r="F102" i="9"/>
  <c r="G13" i="9" s="1"/>
  <c r="G34" i="9" s="1"/>
  <c r="G51" i="9" s="1"/>
  <c r="F34" i="9"/>
  <c r="F51" i="9"/>
  <c r="G119" i="8"/>
  <c r="I164" i="6"/>
  <c r="J164" i="6" s="1"/>
  <c r="I163" i="6"/>
  <c r="J163" i="6" s="1"/>
  <c r="I162" i="6"/>
  <c r="J162" i="6" s="1"/>
  <c r="G162" i="6"/>
  <c r="I161" i="6"/>
  <c r="J161" i="6" s="1"/>
  <c r="I169" i="4"/>
  <c r="J169" i="4" s="1"/>
  <c r="I168" i="4"/>
  <c r="J168" i="4" s="1"/>
  <c r="I167" i="4"/>
  <c r="J167" i="4" s="1"/>
  <c r="G92" i="9"/>
  <c r="F92" i="9"/>
  <c r="G72" i="8"/>
  <c r="F72" i="8"/>
  <c r="G91" i="6"/>
  <c r="F91" i="6"/>
  <c r="G138" i="5"/>
  <c r="F138" i="5"/>
  <c r="G100" i="4"/>
  <c r="F100" i="4"/>
  <c r="G101" i="3"/>
  <c r="F101" i="3"/>
  <c r="G85" i="2"/>
  <c r="F85" i="2"/>
  <c r="G94" i="1"/>
  <c r="F94" i="1"/>
  <c r="H102" i="9"/>
  <c r="H101" i="9"/>
  <c r="H100" i="9"/>
  <c r="H99" i="9"/>
  <c r="H98" i="9"/>
  <c r="H97" i="9"/>
  <c r="H96" i="9"/>
  <c r="H95" i="9"/>
  <c r="H94" i="9"/>
  <c r="H93" i="9"/>
  <c r="H88" i="9"/>
  <c r="H87" i="9"/>
  <c r="H86" i="9"/>
  <c r="H85" i="9"/>
  <c r="H84" i="9"/>
  <c r="H83" i="9"/>
  <c r="H82" i="9"/>
  <c r="H80" i="9"/>
  <c r="H82" i="8"/>
  <c r="H81" i="8"/>
  <c r="H80" i="8"/>
  <c r="H79" i="8"/>
  <c r="H78" i="8"/>
  <c r="H77" i="8"/>
  <c r="H76" i="8"/>
  <c r="H75" i="8"/>
  <c r="H74" i="8"/>
  <c r="H73" i="8"/>
  <c r="H68" i="8"/>
  <c r="H67" i="8"/>
  <c r="H66" i="8"/>
  <c r="H65" i="8"/>
  <c r="H64" i="8"/>
  <c r="H63" i="8"/>
  <c r="H62" i="8"/>
  <c r="H60" i="8"/>
  <c r="H101" i="6"/>
  <c r="H100" i="6"/>
  <c r="H99" i="6"/>
  <c r="H98" i="6"/>
  <c r="H97" i="6"/>
  <c r="H96" i="6"/>
  <c r="H95" i="6"/>
  <c r="H94" i="6"/>
  <c r="H93" i="6"/>
  <c r="H92" i="6"/>
  <c r="H87" i="6"/>
  <c r="H86" i="6"/>
  <c r="H85" i="6"/>
  <c r="H84" i="6"/>
  <c r="H83" i="6"/>
  <c r="H82" i="6"/>
  <c r="H81" i="6"/>
  <c r="H79" i="6"/>
  <c r="H148" i="5"/>
  <c r="H147" i="5"/>
  <c r="H146" i="5"/>
  <c r="H145" i="5"/>
  <c r="H144" i="5"/>
  <c r="H143" i="5"/>
  <c r="H142" i="5"/>
  <c r="H141" i="5"/>
  <c r="H140" i="5"/>
  <c r="H139" i="5"/>
  <c r="H134" i="5"/>
  <c r="H133" i="5"/>
  <c r="H132" i="5"/>
  <c r="H131" i="5"/>
  <c r="H130" i="5"/>
  <c r="H129" i="5"/>
  <c r="H128" i="5"/>
  <c r="H126" i="5"/>
  <c r="H125" i="5"/>
  <c r="H110" i="4"/>
  <c r="H109" i="4"/>
  <c r="H108" i="4"/>
  <c r="H107" i="4"/>
  <c r="H106" i="4"/>
  <c r="H105" i="4"/>
  <c r="H104" i="4"/>
  <c r="H103" i="4"/>
  <c r="H102" i="4"/>
  <c r="H101" i="4"/>
  <c r="H111" i="3"/>
  <c r="H110" i="3"/>
  <c r="H109" i="3"/>
  <c r="H108" i="3"/>
  <c r="H107" i="3"/>
  <c r="H106" i="3"/>
  <c r="H105" i="3"/>
  <c r="H104" i="3"/>
  <c r="H103" i="3"/>
  <c r="H102" i="3"/>
  <c r="H95" i="2"/>
  <c r="H94" i="2"/>
  <c r="H93" i="2"/>
  <c r="H92" i="2"/>
  <c r="H91" i="2"/>
  <c r="H90" i="2"/>
  <c r="H89" i="2"/>
  <c r="H88" i="2"/>
  <c r="H87" i="2"/>
  <c r="H86" i="2"/>
  <c r="H81" i="2"/>
  <c r="H80" i="2"/>
  <c r="H79" i="2"/>
  <c r="H78" i="2"/>
  <c r="H77" i="2"/>
  <c r="H76" i="2"/>
  <c r="H75" i="2"/>
  <c r="H104" i="1"/>
  <c r="H103" i="1"/>
  <c r="H102" i="1"/>
</calcChain>
</file>

<file path=xl/sharedStrings.xml><?xml version="1.0" encoding="utf-8"?>
<sst xmlns="http://schemas.openxmlformats.org/spreadsheetml/2006/main" count="3216" uniqueCount="716">
  <si>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</si>
  <si>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</si>
  <si>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</si>
  <si>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</si>
  <si>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</si>
  <si>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</si>
  <si>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</si>
  <si>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</si>
  <si>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</si>
  <si>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</si>
  <si>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</si>
  <si>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</si>
  <si>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</si>
  <si>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</si>
  <si>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</si>
  <si>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</si>
  <si>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</si>
  <si>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</si>
  <si>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</si>
  <si>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</si>
  <si>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</si>
  <si>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INE556F08KL3</t>
  </si>
  <si>
    <t>Small Industries Development Bank of India - 7.83% - 24/11/2028**</t>
  </si>
  <si>
    <t>CRISIL AAA</t>
  </si>
  <si>
    <t>INE053F08411</t>
  </si>
  <si>
    <t>Indian Railway Finance Corporation Ltd - 7.37% - 31/07/2029**</t>
  </si>
  <si>
    <t>INE557F08FR8</t>
  </si>
  <si>
    <t>National Housing Bank - 7.22% - 23/07/2026**</t>
  </si>
  <si>
    <t>INE115A07QJ2</t>
  </si>
  <si>
    <t>LIC Housing Finance Ltd - 7.7% - 16/05/2028**</t>
  </si>
  <si>
    <t>INE134E08NB7</t>
  </si>
  <si>
    <t>Power Finance Corporation Ltd - 7.32% - 15/07/2039**</t>
  </si>
  <si>
    <t>INE040A08930</t>
  </si>
  <si>
    <t>HDFC Bank Ltd (Prev HDFC Ltd) - 7.65% - 25/05/2033**</t>
  </si>
  <si>
    <t>INE261F08EJ7</t>
  </si>
  <si>
    <t>National Bank for Agriculture &amp; Rural Development - 7.64% - 06/12/2029**</t>
  </si>
  <si>
    <t>ICRA AAA</t>
  </si>
  <si>
    <t>INE261F08EH1</t>
  </si>
  <si>
    <t>National Bank for Agriculture &amp; Rural Development - 7.62% - 10/05/2029**</t>
  </si>
  <si>
    <t>INE020B08EK4</t>
  </si>
  <si>
    <t>REC LTD - 7.46% - 30/06/2028**</t>
  </si>
  <si>
    <t>INE020B08EL2</t>
  </si>
  <si>
    <t>REC LTD - 7.44% - 30/04/2026</t>
  </si>
  <si>
    <t>INE053F08304</t>
  </si>
  <si>
    <t>Indian Railway Finance Corporation Ltd - 7.23% - 15/10/2026**</t>
  </si>
  <si>
    <t>INE134E08MX3</t>
  </si>
  <si>
    <t>Power Finance Corporation Ltd - 7.6% - 13/04/2029**</t>
  </si>
  <si>
    <t>INE296A07SV1</t>
  </si>
  <si>
    <t>Bajaj Finance Ltd - 7.82% - 31/01/2034**</t>
  </si>
  <si>
    <t>INE242A08544</t>
  </si>
  <si>
    <t>Indian Oil Corporation Ltd - 7.44% - 25/11/2027**</t>
  </si>
  <si>
    <t>INE557F08FS6</t>
  </si>
  <si>
    <t>National Housing Bank - 7.4% - 16/07/2026**</t>
  </si>
  <si>
    <t>INE040A08666</t>
  </si>
  <si>
    <t>HDFC Bank Ltd (Prev HDFC Ltd) - 7.8% - 03/05/2033**</t>
  </si>
  <si>
    <t>INE020B08EP3</t>
  </si>
  <si>
    <t>REC LTD - 7.77% - 30/09/2026**</t>
  </si>
  <si>
    <t>INE261F08DX0</t>
  </si>
  <si>
    <t>National Bank for Agriculture &amp; Rural Development - 7.58% - 31/07/2026</t>
  </si>
  <si>
    <t>INE115A07MW4</t>
  </si>
  <si>
    <t>LIC Housing Finance Ltd - 7.95% - 29/01/2028**</t>
  </si>
  <si>
    <t>INE041007100</t>
  </si>
  <si>
    <t>Embassy Office Parks REIT - 7.77% - 05/06/2025**</t>
  </si>
  <si>
    <t>INE556F08KH1</t>
  </si>
  <si>
    <t>Small Industries Development Bank of India - 7.43% - 31/08/2026**</t>
  </si>
  <si>
    <t>INE296A07SU3</t>
  </si>
  <si>
    <t>Bajaj Finance Ltd - 7.87% - 08/02/2034**</t>
  </si>
  <si>
    <t>INE556F08KP4</t>
  </si>
  <si>
    <t>Small Industries Development Bank of India - 7.68% - 10/08/2027</t>
  </si>
  <si>
    <t>INE134E08IO0</t>
  </si>
  <si>
    <t>Power Finance Corporation Ltd - 7.23% - 05/01/2027**</t>
  </si>
  <si>
    <t>(b) Privately Placed / Unlisted</t>
  </si>
  <si>
    <t>(c) Govt Security</t>
  </si>
  <si>
    <t>IN0020240019</t>
  </si>
  <si>
    <t>7.10% Central Government Securities 08/04/2034</t>
  </si>
  <si>
    <t>Sovereign</t>
  </si>
  <si>
    <t>IN0020230135</t>
  </si>
  <si>
    <t>7.32% Government Securities-13/11/2030</t>
  </si>
  <si>
    <t>IN0020230051</t>
  </si>
  <si>
    <t>7.30% Government Securities - 19/06/2053</t>
  </si>
  <si>
    <t>IN3120240400</t>
  </si>
  <si>
    <t>6.96% Tamil Nadu State Government Securities - 04/12/2028</t>
  </si>
  <si>
    <t>IN0020230101</t>
  </si>
  <si>
    <t>7.37% Government Securities-23/10/2028</t>
  </si>
  <si>
    <t>IN0020240035</t>
  </si>
  <si>
    <t>7.34% Central Government Securities 22/04/2064</t>
  </si>
  <si>
    <t>IN0020230077</t>
  </si>
  <si>
    <t>7.18%  Government Securities - 24/07/2037</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</si>
  <si>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</si>
  <si>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</si>
  <si>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</si>
  <si>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</si>
  <si>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</si>
  <si>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</si>
  <si>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</si>
  <si>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</si>
  <si>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</si>
  <si>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</si>
  <si>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</si>
  <si>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INF0RQ622028</t>
  </si>
  <si>
    <t>Corporate Debt Market Development Fund - Class A2</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</si>
  <si>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</si>
  <si>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</si>
  <si>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</si>
  <si>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</si>
  <si>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</si>
  <si>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</si>
  <si>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</si>
  <si>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</si>
  <si>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</si>
  <si>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</si>
  <si>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end</t>
  </si>
  <si>
    <t>Option</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</si>
  <si>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</si>
  <si>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</si>
  <si>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</si>
  <si>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</si>
  <si>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</si>
  <si>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</si>
  <si>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</si>
  <si>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Fund</t>
  </si>
  <si>
    <t>INE020B08EA5</t>
  </si>
  <si>
    <t>REC LTD - 7.55% - 31/03/2028**</t>
  </si>
  <si>
    <t>INE040A08955</t>
  </si>
  <si>
    <t>HDFC Bank Ltd - 7.7% - 16/05/2028**</t>
  </si>
  <si>
    <t>INE557F08FY4</t>
  </si>
  <si>
    <t>National Housing Bank - 7.59% - 14/07/2027**</t>
  </si>
  <si>
    <t>INE556F08KF5</t>
  </si>
  <si>
    <t>Small Industries Development Bank of India - 7.54% - 12/01/2026**</t>
  </si>
  <si>
    <t>INE134E08LK2</t>
  </si>
  <si>
    <t>Power Finance Corporation Ltd - 6.09% - 27/08/2026</t>
  </si>
  <si>
    <t>INE261F08DO9</t>
  </si>
  <si>
    <t>National Bank for Agriculture &amp; Rural Development - 7.4% - 30/01/2026</t>
  </si>
  <si>
    <t>INE752E08734</t>
  </si>
  <si>
    <t>Power Grid Corporation of India Ltd - 7.35% - 12/03/2034**</t>
  </si>
  <si>
    <t>INE0KUG08035</t>
  </si>
  <si>
    <t>National Bank for Financing Infrastructure and Development - 7.43% - 04/07/2034</t>
  </si>
  <si>
    <t>INE053F08338</t>
  </si>
  <si>
    <t>Indian Railway Finance Corporation Ltd - 7.68% - 24/11/2026**</t>
  </si>
  <si>
    <t>IN0020240027</t>
  </si>
  <si>
    <t>7.23% Central Government Securities 15/04/2039</t>
  </si>
  <si>
    <t>Direct Plan - Bonus</t>
  </si>
  <si>
    <t>Regular Plan - Bonus</t>
  </si>
  <si>
    <t>Sundaram Money Market Fund</t>
  </si>
  <si>
    <t>INE261F16843</t>
  </si>
  <si>
    <t>National Bank for Agriculture &amp; Rural Development - 12/03/2025**</t>
  </si>
  <si>
    <t>CRISIL A1+</t>
  </si>
  <si>
    <t>INE090AD6147</t>
  </si>
  <si>
    <t>ICICI Bank Ltd - 17/03/2025**</t>
  </si>
  <si>
    <t>ICRA A1+</t>
  </si>
  <si>
    <t>INE028A16GR2</t>
  </si>
  <si>
    <t>Bank of Baroda - 15/05/2025**</t>
  </si>
  <si>
    <t>IND A1+</t>
  </si>
  <si>
    <t>INE949L16CY1</t>
  </si>
  <si>
    <t>AU Small Finance Bank Ltd - 28/10/2025**</t>
  </si>
  <si>
    <t>INE171A16MK3</t>
  </si>
  <si>
    <t>The Federal Bank Ltd - 25/11/2025**</t>
  </si>
  <si>
    <t>INE084A16CS2</t>
  </si>
  <si>
    <t>Bank of India - 28/11/2025**</t>
  </si>
  <si>
    <t>INE040A16FY5</t>
  </si>
  <si>
    <t>HDFC Bank Ltd - 04/12/2025**</t>
  </si>
  <si>
    <t>INE095A16X85</t>
  </si>
  <si>
    <t>IndusInd Bank Ltd - 05/12/2025**</t>
  </si>
  <si>
    <t>INE092T16XM4</t>
  </si>
  <si>
    <t>IDFC First Bank Ltd - 28/05/2025**</t>
  </si>
  <si>
    <t>INE476A16YB0</t>
  </si>
  <si>
    <t>Canara Bank - 20/03/2025**</t>
  </si>
  <si>
    <t>INE040A16GC9</t>
  </si>
  <si>
    <t>HDFC Bank Ltd - 24/03/2025**</t>
  </si>
  <si>
    <t>INE562A16MZ1</t>
  </si>
  <si>
    <t>Indian Bank - 23/05/2025**</t>
  </si>
  <si>
    <t>INE01GA16228</t>
  </si>
  <si>
    <t>DBS Bank India Ltd - 07/03/2025**</t>
  </si>
  <si>
    <t>INE160A16QQ4</t>
  </si>
  <si>
    <t>Punjab National Bank - 27/03/2025**</t>
  </si>
  <si>
    <t>INE095A16X69</t>
  </si>
  <si>
    <t>IndusInd Bank Ltd - 21/11/2025**</t>
  </si>
  <si>
    <t>INE476A16ZQ5</t>
  </si>
  <si>
    <t>Canara Bank - 12/12/2025**</t>
  </si>
  <si>
    <t>INE090AD6170</t>
  </si>
  <si>
    <t>ICICI Bank Ltd - 25/07/2025**</t>
  </si>
  <si>
    <t>INE092T16WB9</t>
  </si>
  <si>
    <t>IDFC First Bank Ltd - 21/02/2025**</t>
  </si>
  <si>
    <t>INE095A16V79</t>
  </si>
  <si>
    <t>IndusInd Bank Ltd - 24/02/2025**</t>
  </si>
  <si>
    <t>INE090AD6113</t>
  </si>
  <si>
    <t>ICICI Bank Ltd - 31/01/2025**</t>
  </si>
  <si>
    <t>INE171A16LP4</t>
  </si>
  <si>
    <t>The Federal Bank Ltd - 04/02/2025**</t>
  </si>
  <si>
    <t>INE028A16GP6</t>
  </si>
  <si>
    <t>Bank of Baroda - 05/05/2025**</t>
  </si>
  <si>
    <t>INE238AD6967</t>
  </si>
  <si>
    <t>Axis Bank Ltd - 19/05/2025</t>
  </si>
  <si>
    <t>INE040A16FA5</t>
  </si>
  <si>
    <t>HDFC Bank Ltd - 24/06/2025</t>
  </si>
  <si>
    <t>INE338I14IN8</t>
  </si>
  <si>
    <t>Motilal Oswal Financial Services Ltd - 29/01/2025**</t>
  </si>
  <si>
    <t>INE121A14WW7</t>
  </si>
  <si>
    <t>Cholamandalam Investment and Finance Co Ltd - 10/02/2025**</t>
  </si>
  <si>
    <t>INE403D14544</t>
  </si>
  <si>
    <t>Bharti Telecom Ltd - 17/10/2025**</t>
  </si>
  <si>
    <t>INE556F16AX2</t>
  </si>
  <si>
    <t>Small Industries Development Bank of India - 05/12/2025**</t>
  </si>
  <si>
    <t>INE824H14QT9</t>
  </si>
  <si>
    <t>Julius Baer Capital (India) Private Ltd - 17/06/2025**</t>
  </si>
  <si>
    <t>INE572E14JM1</t>
  </si>
  <si>
    <t>PNB Housing Finance Ltd - 25/09/2025**</t>
  </si>
  <si>
    <t>INE763G14TE7</t>
  </si>
  <si>
    <t>ICICI Securities Ltd - 21/02/2025**</t>
  </si>
  <si>
    <t>INE115A14EX5</t>
  </si>
  <si>
    <t>LIC Housing Finance Ltd - 21/03/2025**</t>
  </si>
  <si>
    <t>INE556F14KU2</t>
  </si>
  <si>
    <t>Small Industries Development Bank of India - 24/03/2025**</t>
  </si>
  <si>
    <t>INE556F14KH9</t>
  </si>
  <si>
    <t>Small Industries Development Bank of India - 28/05/2025**</t>
  </si>
  <si>
    <t>IN002024Y290</t>
  </si>
  <si>
    <t>182 Days - T Bill - 01/05/2025</t>
  </si>
  <si>
    <t>IN002024Y332</t>
  </si>
  <si>
    <t>182 Days - T Bill - 29/05/2025</t>
  </si>
  <si>
    <t>IN002024Y340</t>
  </si>
  <si>
    <t>182 Days - T Bill - 05/06/2025</t>
  </si>
  <si>
    <t>IN002024Z073</t>
  </si>
  <si>
    <t>364 Days - T Bill - 15/05/2025</t>
  </si>
  <si>
    <t>Sundaram Low Duration Fund</t>
  </si>
  <si>
    <t>INE134E08KT5</t>
  </si>
  <si>
    <t>Power Finance Corporation Ltd - 7.17% - 22/05/2025**</t>
  </si>
  <si>
    <t>INE557F08FV0</t>
  </si>
  <si>
    <t>National Housing Bank - 7.78% - 26/04/2027**</t>
  </si>
  <si>
    <t>CARE AAA</t>
  </si>
  <si>
    <t>INE477A07373</t>
  </si>
  <si>
    <t>Can Fin Homes Ltd - 8.45% - 27/05/2026**</t>
  </si>
  <si>
    <t>IND AA+</t>
  </si>
  <si>
    <t>INE721A07SB0</t>
  </si>
  <si>
    <t>Shriram Finance Ltd - 9.2% - 22/05/2026**</t>
  </si>
  <si>
    <t>CRISIL AA+</t>
  </si>
  <si>
    <t>INE115A07OY6</t>
  </si>
  <si>
    <t>LIC Housing Finance Ltd - 5.776% - 11/09/2025**</t>
  </si>
  <si>
    <t>INE403D08181</t>
  </si>
  <si>
    <t>Bharti Telecom Ltd - 8.9% - 04/12/2025**</t>
  </si>
  <si>
    <t>INE572E07183</t>
  </si>
  <si>
    <t>PNB Housing Finance Ltd - 8.15% - 29/07/2027**</t>
  </si>
  <si>
    <t>INE020B08EM0</t>
  </si>
  <si>
    <t>REC LTD - 7.64% - 30/06/2026**</t>
  </si>
  <si>
    <t>INE020B08ED9</t>
  </si>
  <si>
    <t>REC LTD - 7.56% - 30/06/2026**</t>
  </si>
  <si>
    <t>INE523H07CB9</t>
  </si>
  <si>
    <t>JM Financial Products Ltd - 8.92% - 16/11/2026**</t>
  </si>
  <si>
    <t>CRISIL AA</t>
  </si>
  <si>
    <t>INE414G07HI7</t>
  </si>
  <si>
    <t>Muthoot Finance Ltd - 8.3% - 06/01/2026**</t>
  </si>
  <si>
    <t>INE261F08DP6</t>
  </si>
  <si>
    <t>National Bank for Agriculture &amp; Rural Development - 7.35% - 08/07/2025**</t>
  </si>
  <si>
    <t>INE233A08121</t>
  </si>
  <si>
    <t>Godrej Industries Ltd - 8.36% - 28/08/2026**</t>
  </si>
  <si>
    <t>INE721A07RU2</t>
  </si>
  <si>
    <t>Shriram Finance Ltd - 9.25% - 19/12/2025</t>
  </si>
  <si>
    <t>INE121A07QT9</t>
  </si>
  <si>
    <t>Cholamandalam Investment and Finance Co Ltd - 8.45% - 21/11/2025**</t>
  </si>
  <si>
    <t>ICRA AA+</t>
  </si>
  <si>
    <t>INE020B08FF1</t>
  </si>
  <si>
    <t>REC LTD - 7.56% - 31/08/2027**</t>
  </si>
  <si>
    <t>IN0020220037</t>
  </si>
  <si>
    <t>7.38% Central Government Securities 20/06/2027</t>
  </si>
  <si>
    <t>IN0020240050</t>
  </si>
  <si>
    <t>7.04% Central Government Securities 03/06/2029</t>
  </si>
  <si>
    <t>INE949L16CX3</t>
  </si>
  <si>
    <t>AU Small Finance Bank Ltd - 01/10/2025**</t>
  </si>
  <si>
    <t>INE160A16OP1</t>
  </si>
  <si>
    <t>Punjab National Bank - 11/03/2025**</t>
  </si>
  <si>
    <t>INE261F16785</t>
  </si>
  <si>
    <t>National Bank for Agriculture &amp; Rural Development - 07/02/2025**</t>
  </si>
  <si>
    <t>INE237A168Y2</t>
  </si>
  <si>
    <t>Kotak Mahindra Bank Ltd - 04/12/2025**</t>
  </si>
  <si>
    <t>INE466L14DI2</t>
  </si>
  <si>
    <t>360 ONE WAM Ltd (Prev IIFL Wealth Management Ltd) - 14/03/2025**</t>
  </si>
  <si>
    <t>Sundaram Liquid Fund</t>
  </si>
  <si>
    <t>INE115A07PD7</t>
  </si>
  <si>
    <t>LIC Housing Finance Ltd - 6.4% - 24/01/2025**</t>
  </si>
  <si>
    <t>INE040A08682</t>
  </si>
  <si>
    <t>HDFC Bank Ltd - 8.4% - 23/01/2025**</t>
  </si>
  <si>
    <t>INE261F08DI1</t>
  </si>
  <si>
    <t>National Bank for Agriculture &amp; Rural Development - 5.23% - 31/01/2025**</t>
  </si>
  <si>
    <t>INE040A16EU6</t>
  </si>
  <si>
    <t>HDFC Bank Ltd - 12/03/2025**</t>
  </si>
  <si>
    <t>INE160A16QO9</t>
  </si>
  <si>
    <t>Punjab National Bank - 13/03/2025**</t>
  </si>
  <si>
    <t>INE238AD6694</t>
  </si>
  <si>
    <t>Axis Bank Ltd - 21/02/2025</t>
  </si>
  <si>
    <t>INE562A16MT4</t>
  </si>
  <si>
    <t>Indian Bank - 10/03/2025**</t>
  </si>
  <si>
    <t>INE476A16YZ9</t>
  </si>
  <si>
    <t>Canara Bank - 28/02/2025**</t>
  </si>
  <si>
    <t>INE040A16ER2</t>
  </si>
  <si>
    <t>HDFC Bank Ltd - 06/03/2025**</t>
  </si>
  <si>
    <t>INE692A16HP7</t>
  </si>
  <si>
    <t>Union Bank of India - 18/03/2025**</t>
  </si>
  <si>
    <t>INE238AD6629</t>
  </si>
  <si>
    <t>Axis Bank Ltd - 10/01/2025**</t>
  </si>
  <si>
    <t>INE476A16XI7</t>
  </si>
  <si>
    <t>Canara Bank - 16/01/2025</t>
  </si>
  <si>
    <t>INE476A16YV8</t>
  </si>
  <si>
    <t>Canara Bank - 03/02/2025**</t>
  </si>
  <si>
    <t>INE040A16EM3</t>
  </si>
  <si>
    <t>HDFC Bank Ltd - 03/02/2025</t>
  </si>
  <si>
    <t>INE008A16X32</t>
  </si>
  <si>
    <t>IDBI Bank Ltd - 04/02/2025**</t>
  </si>
  <si>
    <t>INE028A16EU1</t>
  </si>
  <si>
    <t>Bank of Baroda - 07/02/2025**</t>
  </si>
  <si>
    <t>INE692A16GY1</t>
  </si>
  <si>
    <t>Union Bank of India - 25/02/2025**</t>
  </si>
  <si>
    <t>INE084A16CR4</t>
  </si>
  <si>
    <t>Bank of India - 27/02/2025**</t>
  </si>
  <si>
    <t>INE084A16CN3</t>
  </si>
  <si>
    <t>Bank of India - 03/03/2025**</t>
  </si>
  <si>
    <t>INE457A16MO8</t>
  </si>
  <si>
    <t>Bank of Maharashtra - 13/03/2025**</t>
  </si>
  <si>
    <t>INE01GA16236</t>
  </si>
  <si>
    <t>DBS Bank India Ltd - 19/03/2025**</t>
  </si>
  <si>
    <t>INE160A16QP6</t>
  </si>
  <si>
    <t>Punjab National Bank - 20/03/2025**</t>
  </si>
  <si>
    <t>INE556F16AO1</t>
  </si>
  <si>
    <t>Small Industries Development Bank of India - 10/01/2025**</t>
  </si>
  <si>
    <t>INE092T16XJ0</t>
  </si>
  <si>
    <t>IDFC First Bank Ltd - 17/01/2025**</t>
  </si>
  <si>
    <t>INE028A16GT8</t>
  </si>
  <si>
    <t>Bank of Baroda - 04/02/2025</t>
  </si>
  <si>
    <t>INE562A16NL9</t>
  </si>
  <si>
    <t>Indian Bank - 05/02/2025**</t>
  </si>
  <si>
    <t>INE160A16QI1</t>
  </si>
  <si>
    <t>Punjab National Bank - 11/02/2025**</t>
  </si>
  <si>
    <t>INE028A16EX5</t>
  </si>
  <si>
    <t>Bank of Baroda - 20/02/2025**</t>
  </si>
  <si>
    <t>INE160A16PK9</t>
  </si>
  <si>
    <t>Punjab National Bank - 20/02/2025</t>
  </si>
  <si>
    <t>INE238AD6827</t>
  </si>
  <si>
    <t>Axis Bank Ltd - 28/02/2025</t>
  </si>
  <si>
    <t>INE476A16ZC5</t>
  </si>
  <si>
    <t>Canara Bank - 07/03/2025**</t>
  </si>
  <si>
    <t>INE261F16835</t>
  </si>
  <si>
    <t>National Bank for Agriculture &amp; Rural Development - 07/03/2025**</t>
  </si>
  <si>
    <t>INE261F16769</t>
  </si>
  <si>
    <t>National Bank for Agriculture &amp; Rural Development - 17/01/2025**</t>
  </si>
  <si>
    <t>INE692A16GX3</t>
  </si>
  <si>
    <t>Union Bank of India - 21/02/2025**</t>
  </si>
  <si>
    <t>INE556F14KR8</t>
  </si>
  <si>
    <t>Small Industries Development Bank of India - 12/03/2025**</t>
  </si>
  <si>
    <t>INE417C14645</t>
  </si>
  <si>
    <t>Pilani Investment and Industries Corporation Ltd. - 14/01/2025**</t>
  </si>
  <si>
    <t>INE763G14WD3</t>
  </si>
  <si>
    <t>ICICI Securities Ltd - 11/02/2025**</t>
  </si>
  <si>
    <t>INE514E14RY1</t>
  </si>
  <si>
    <t>Export Import Bank of India - 24/01/2025**</t>
  </si>
  <si>
    <t>INE018A14LG1</t>
  </si>
  <si>
    <t>Larsen &amp; Toubro Ltd - 14/02/2025**</t>
  </si>
  <si>
    <t>INE929O14CT2</t>
  </si>
  <si>
    <t>Reliance Retail Ventures Ltd - 18/02/2025**</t>
  </si>
  <si>
    <t>INE891D14ZI1</t>
  </si>
  <si>
    <t>Redington Ltd - 27/02/2025**</t>
  </si>
  <si>
    <t>INE556F14KG1</t>
  </si>
  <si>
    <t>Small Industries Development Bank of India - 28/02/2025**</t>
  </si>
  <si>
    <t>INE556F14KQ0</t>
  </si>
  <si>
    <t>Small Industries Development Bank of India - 06/03/2025**</t>
  </si>
  <si>
    <t>INE261F14MP5</t>
  </si>
  <si>
    <t>National Bank for Agriculture &amp; Rural Development - 13/03/2025**</t>
  </si>
  <si>
    <t>INE0DZE14172</t>
  </si>
  <si>
    <t>Kisetsu Saison Finance - 20/03/2025**</t>
  </si>
  <si>
    <t>INE121A14WX5</t>
  </si>
  <si>
    <t>Cholamandalam Investment and Finance Co Ltd - 29/01/2025**</t>
  </si>
  <si>
    <t>INE700G14MJ3</t>
  </si>
  <si>
    <t>HDFC Securities Ltd - 27/02/2025**</t>
  </si>
  <si>
    <t>INE071G14GH5</t>
  </si>
  <si>
    <t>ICICI Home Finance Company Ltd - 13/03/2025**</t>
  </si>
  <si>
    <t>INE233A14X49</t>
  </si>
  <si>
    <t>Godrej Industries Ltd - 20/03/2025**</t>
  </si>
  <si>
    <t>INE763G14WK8</t>
  </si>
  <si>
    <t>ICICI Securities Ltd - 21/03/2025**</t>
  </si>
  <si>
    <t>INE212K14AL2</t>
  </si>
  <si>
    <t>SBI Cap securities Ltd - 20/03/2025**</t>
  </si>
  <si>
    <t>INE824H14QY9</t>
  </si>
  <si>
    <t>Julius Baer Capital (India) Private Ltd - 20/03/2025**</t>
  </si>
  <si>
    <t>INE338I14IQ1</t>
  </si>
  <si>
    <t>Motilal Oswal Financial Services Ltd - 04/02/2025**</t>
  </si>
  <si>
    <t>INE929O14CS4</t>
  </si>
  <si>
    <t>Reliance Retail Ventures Ltd - 11/02/2025**</t>
  </si>
  <si>
    <t>INE700G14MD6</t>
  </si>
  <si>
    <t>HDFC Securities Ltd - 12/02/2025**</t>
  </si>
  <si>
    <t>INE498L14CV0</t>
  </si>
  <si>
    <t>L &amp; T Finance Ltd - 13/02/2025**</t>
  </si>
  <si>
    <t>INE860H143M7</t>
  </si>
  <si>
    <t>Aditya Birla Finance Ltd - 25/02/2025**</t>
  </si>
  <si>
    <t>INE047A14AC2</t>
  </si>
  <si>
    <t>Grasim Industries Ltd - 28/02/2025</t>
  </si>
  <si>
    <t>INE071G14GF9</t>
  </si>
  <si>
    <t>ICICI Home Finance Company Ltd - 07/03/2025**</t>
  </si>
  <si>
    <t>INE144H14HF0</t>
  </si>
  <si>
    <t>Deutsche Investments India Private Ltd - 13/03/2025**</t>
  </si>
  <si>
    <t>INE417C14835</t>
  </si>
  <si>
    <t>Pilani Investment and Industries Corporation Ltd. - 13/03/2025**</t>
  </si>
  <si>
    <t>INE865C14MW6</t>
  </si>
  <si>
    <t>Aditya Birla Money Ltd - 20/03/2025**</t>
  </si>
  <si>
    <t>INE261F14ML4</t>
  </si>
  <si>
    <t>National Bank for Agriculture &amp; Rural Development - 21/02/2025**</t>
  </si>
  <si>
    <t>INE692Q14BH8</t>
  </si>
  <si>
    <t>TOYOTA FINANCIAL SERVICES - 27/01/2025**</t>
  </si>
  <si>
    <t>INE865C14MJ3</t>
  </si>
  <si>
    <t>Aditya Birla Money Ltd - 05/02/2025**</t>
  </si>
  <si>
    <t>INE027214738</t>
  </si>
  <si>
    <t>BOBCARD Ltd - 27/02/2025**</t>
  </si>
  <si>
    <t>IN002024X300</t>
  </si>
  <si>
    <t>91 Days - T Bill - 30/01/2025</t>
  </si>
  <si>
    <t>IN002024Y183</t>
  </si>
  <si>
    <t>182 Days - T Bill - 30/01/2025</t>
  </si>
  <si>
    <t>IN002023Z471</t>
  </si>
  <si>
    <t>364 Days- T Bill-06/02/2025</t>
  </si>
  <si>
    <t>IN002024Y217</t>
  </si>
  <si>
    <t>182 Days - T Bill - 20/02/2025</t>
  </si>
  <si>
    <t>IN002024X375</t>
  </si>
  <si>
    <t>91 Days - T Bill - 20/03/2025</t>
  </si>
  <si>
    <t>IN002024X276</t>
  </si>
  <si>
    <t>91 Days - T Bill - 09/01/2025</t>
  </si>
  <si>
    <t>IN002023Z430</t>
  </si>
  <si>
    <t>364 Days -T Bill- 09/01/2025</t>
  </si>
  <si>
    <t>Sundaram Short Duration Fund</t>
  </si>
  <si>
    <t>INE134E08MJ2</t>
  </si>
  <si>
    <t>Power Finance Corporation Ltd - 7.77% - 15/04/2028**</t>
  </si>
  <si>
    <t>INE121A07RZ4</t>
  </si>
  <si>
    <t>Cholamandalam Investment and Finance Co Ltd - 8.54% - 12/04/2029**</t>
  </si>
  <si>
    <t>INE261F08EF5</t>
  </si>
  <si>
    <t>National Bank for Agriculture &amp; Rural Development - 7.8% - 15/03/2027**</t>
  </si>
  <si>
    <t>INE020B08EI8</t>
  </si>
  <si>
    <t>REC LTD - 7.51% - 31/07/2026**</t>
  </si>
  <si>
    <t>INE134E08LP1</t>
  </si>
  <si>
    <t>Power Finance Corporation Ltd - 7.13% - 15/07/2026**</t>
  </si>
  <si>
    <t>INE115A07PI6</t>
  </si>
  <si>
    <t>LIC Housing Finance Ltd - 6.17% - 03/09/2026**</t>
  </si>
  <si>
    <t>IN3120230484</t>
  </si>
  <si>
    <t>7.44% Tamil Nadu State Government Securities -20/03/2034</t>
  </si>
  <si>
    <t>IN0020210160</t>
  </si>
  <si>
    <t>Sundaram Ultra Short Duration Fund</t>
  </si>
  <si>
    <t>INE081A08231</t>
  </si>
  <si>
    <t>Tata Steel Ltd - 7.7% - 13/03/2025**</t>
  </si>
  <si>
    <t>INE115A07PQ9</t>
  </si>
  <si>
    <t>LIC Housing Finance Ltd - 5.9943% - 12/03/2025**</t>
  </si>
  <si>
    <t>INE572E07134</t>
  </si>
  <si>
    <t>PNB Housing Finance Ltd - 8.43% - 14/03/2025**</t>
  </si>
  <si>
    <t>INE121A07RB5</t>
  </si>
  <si>
    <t>Cholamandalam Investment and Finance Co Ltd - 8.25% - 04/03/2025**</t>
  </si>
  <si>
    <t>INE756I07EI4</t>
  </si>
  <si>
    <t>HDB Financial Services Ltd - 7.5% - 23/09/2025**</t>
  </si>
  <si>
    <t>INE261F08DK7</t>
  </si>
  <si>
    <t>National Bank for Agriculture &amp; Rural Development - 5.7% - 31/07/2025**</t>
  </si>
  <si>
    <t>INE238AD6819</t>
  </si>
  <si>
    <t>Axis Bank Ltd - 27/02/2025**</t>
  </si>
  <si>
    <t>INE238AD6843</t>
  </si>
  <si>
    <t>Axis Bank Ltd - 05/06/2025</t>
  </si>
  <si>
    <t>INE692A16IC3</t>
  </si>
  <si>
    <t>Union Bank of India - 04/12/2025**</t>
  </si>
  <si>
    <t>INE237A160W3</t>
  </si>
  <si>
    <t>Kotak Mahindra Bank Ltd - 05/02/2025**</t>
  </si>
  <si>
    <t>INE556F16AQ6</t>
  </si>
  <si>
    <t>Small Industries Development Bank of India - 07/02/2025**</t>
  </si>
  <si>
    <t>INE160A16OL0</t>
  </si>
  <si>
    <t>Punjab National Bank - 07/02/2025**</t>
  </si>
  <si>
    <t>INE476A16XV0</t>
  </si>
  <si>
    <t>Canara Bank - 11/03/2025**</t>
  </si>
  <si>
    <t>INE084A16CT0</t>
  </si>
  <si>
    <t>Bank of India - 28/05/2025**</t>
  </si>
  <si>
    <t>INE095A16X10</t>
  </si>
  <si>
    <t>IndusInd Bank Ltd - 19/08/2025**</t>
  </si>
  <si>
    <t>INE238AD6884</t>
  </si>
  <si>
    <t>Axis Bank Ltd - 22/08/2025**</t>
  </si>
  <si>
    <t>INE414G14TC1</t>
  </si>
  <si>
    <t>Muthoot Finance Ltd - 25/02/2025**</t>
  </si>
  <si>
    <t>INE477S14CC9</t>
  </si>
  <si>
    <t>Tata Motors Finance Ltd - 11/03/2025**</t>
  </si>
  <si>
    <t>INE514E14SL6</t>
  </si>
  <si>
    <t>Export Import Bank of India - 03/06/2025</t>
  </si>
  <si>
    <t>INE115A14FF9</t>
  </si>
  <si>
    <t>LIC Housing Finance Ltd - 11/09/2025**</t>
  </si>
  <si>
    <t>INE115A14EV9</t>
  </si>
  <si>
    <t>LIC Housing Finance Ltd - 04/03/2025**</t>
  </si>
  <si>
    <t>INE417C14710</t>
  </si>
  <si>
    <t>Pilani Investment and Industries Corporation Ltd. - 21/03/2025**</t>
  </si>
  <si>
    <t>INE763G14TX7</t>
  </si>
  <si>
    <t>ICICI Securities Ltd - 10/03/2025**</t>
  </si>
  <si>
    <t>IN002024Y241</t>
  </si>
  <si>
    <t>182 Days - T Bill - 13/03/2025</t>
  </si>
  <si>
    <t>IN002024Y324</t>
  </si>
  <si>
    <t>182 Days - T Bill - 23/05/2025</t>
  </si>
  <si>
    <t>IN002024Y233</t>
  </si>
  <si>
    <t>182 Days - T Bill - 06/03/2025</t>
  </si>
  <si>
    <t>Sundaram Medium Duration Fund</t>
  </si>
  <si>
    <t>IN0020210186</t>
  </si>
  <si>
    <t>5.74% Central Government Securities 15/11/2026</t>
  </si>
  <si>
    <t>Institutional Plan - Growth</t>
  </si>
  <si>
    <t>Sundaram Conservative Hybrid Fund</t>
  </si>
  <si>
    <t>INE040A01034</t>
  </si>
  <si>
    <t>HDFC Bank Ltd</t>
  </si>
  <si>
    <t>Banks</t>
  </si>
  <si>
    <t>INE090A01021</t>
  </si>
  <si>
    <t>ICICI Bank Ltd</t>
  </si>
  <si>
    <t>INE397D01024</t>
  </si>
  <si>
    <t>Bharti Airtel Ltd</t>
  </si>
  <si>
    <t>Telecom - Services</t>
  </si>
  <si>
    <t>INE002A01018</t>
  </si>
  <si>
    <t>Reliance Industries Ltd</t>
  </si>
  <si>
    <t>Petroleum Products</t>
  </si>
  <si>
    <t>INE860A01027</t>
  </si>
  <si>
    <t>HCL Technologies Ltd</t>
  </si>
  <si>
    <t>It - Software</t>
  </si>
  <si>
    <t>INE009A01021</t>
  </si>
  <si>
    <t>Infosys Ltd</t>
  </si>
  <si>
    <t>INE018A01030</t>
  </si>
  <si>
    <t>Larsen &amp; Toubro Ltd</t>
  </si>
  <si>
    <t>Construction</t>
  </si>
  <si>
    <t>INE238A01034</t>
  </si>
  <si>
    <t>Axis Bank Ltd</t>
  </si>
  <si>
    <t>INE062A01020</t>
  </si>
  <si>
    <t>State Bank of India</t>
  </si>
  <si>
    <t>INE154A01025</t>
  </si>
  <si>
    <t>ITC Ltd</t>
  </si>
  <si>
    <t>Diversified Fmcg</t>
  </si>
  <si>
    <t>INE044A01036</t>
  </si>
  <si>
    <t>Sun Pharmaceutical Industries Ltd</t>
  </si>
  <si>
    <t>Pharmaceuticals &amp; Biotechnology</t>
  </si>
  <si>
    <t>INE200M01039</t>
  </si>
  <si>
    <t>Varun Beverages Ltd</t>
  </si>
  <si>
    <t>Beverages</t>
  </si>
  <si>
    <t>INE854D01024</t>
  </si>
  <si>
    <t>United Spirits Ltd</t>
  </si>
  <si>
    <t>INE029A01011</t>
  </si>
  <si>
    <t>Bharat Petroleum Corporation Ltd</t>
  </si>
  <si>
    <t>INE797F01020</t>
  </si>
  <si>
    <t>Jubilant Foodworks Ltd</t>
  </si>
  <si>
    <t>Leisure Services</t>
  </si>
  <si>
    <t>INE481G01011</t>
  </si>
  <si>
    <t>Ultratech Cement Ltd</t>
  </si>
  <si>
    <t>Cement &amp; Cement Products</t>
  </si>
  <si>
    <t>INE540L01014</t>
  </si>
  <si>
    <t>Alkem Laboratories Ltd</t>
  </si>
  <si>
    <t>INE917I01010</t>
  </si>
  <si>
    <t>Bajaj Auto Ltd</t>
  </si>
  <si>
    <t>Automobiles</t>
  </si>
  <si>
    <t>INE726G01019</t>
  </si>
  <si>
    <t>ICICI Prudential Life Insurance Company Ltd</t>
  </si>
  <si>
    <t>Insurance</t>
  </si>
  <si>
    <t>INE196A01026</t>
  </si>
  <si>
    <t>Marico Ltd</t>
  </si>
  <si>
    <t>Agricultural Food &amp; Other Products</t>
  </si>
  <si>
    <t>INE603J01030</t>
  </si>
  <si>
    <t>PI Industries Ltd</t>
  </si>
  <si>
    <t>Fertilizers &amp; Agrochemicals</t>
  </si>
  <si>
    <t>INE047A01021</t>
  </si>
  <si>
    <t>Grasim Industries Ltd</t>
  </si>
  <si>
    <t>INE585B01010</t>
  </si>
  <si>
    <t>Maruti Suzuki India Ltd</t>
  </si>
  <si>
    <t>INE438A01022</t>
  </si>
  <si>
    <t>Apollo Tyres Ltd</t>
  </si>
  <si>
    <t>Auto Components</t>
  </si>
  <si>
    <t>INE028A01039</t>
  </si>
  <si>
    <t>Bank of Baroda</t>
  </si>
  <si>
    <t>IN9397D01014</t>
  </si>
  <si>
    <t>Sundaram Overnight Fund</t>
  </si>
  <si>
    <t>IN002024Y175</t>
  </si>
  <si>
    <t>182 Days - T Bill - 23/01/2025</t>
  </si>
  <si>
    <t>Reverse Repo</t>
  </si>
  <si>
    <t>S. No.</t>
  </si>
  <si>
    <t>ACRONYM</t>
  </si>
  <si>
    <t>SCHEME NAME</t>
  </si>
  <si>
    <t>SFRLTP</t>
  </si>
  <si>
    <t>SFRSTP</t>
  </si>
  <si>
    <t>SMMF</t>
  </si>
  <si>
    <t>SPLDF</t>
  </si>
  <si>
    <t>SPMON</t>
  </si>
  <si>
    <t>SPSDF</t>
  </si>
  <si>
    <t>SPUSDF</t>
  </si>
  <si>
    <t>SUNBDS</t>
  </si>
  <si>
    <t>SUNMIA</t>
  </si>
  <si>
    <t>SUNONF</t>
  </si>
  <si>
    <t>Index</t>
  </si>
  <si>
    <t>YTM (%)*</t>
  </si>
  <si>
    <t>(b) Corporate Debt Market Development Fund</t>
  </si>
  <si>
    <t>**Non Traded Securities - Wherever applicable</t>
  </si>
  <si>
    <t>^ Net current assets includes interest accrued on fixed income securities - Wherever applicable</t>
  </si>
  <si>
    <t># percentage to NAV of security is less than 0.01% - Wherever applicable</t>
  </si>
  <si>
    <t>At the beginning</t>
  </si>
  <si>
    <t>g) Repo in corporate debt</t>
  </si>
  <si>
    <t>Portfolio Information</t>
  </si>
  <si>
    <t>Scheme Name :</t>
  </si>
  <si>
    <t>Description (if any)</t>
  </si>
  <si>
    <t>Annualised Portfolio YTM %* :</t>
  </si>
  <si>
    <t>Macaulay Duration (years)</t>
  </si>
  <si>
    <t>Average Maturity (years)</t>
  </si>
  <si>
    <t xml:space="preserve">As on (Date) </t>
  </si>
  <si>
    <t>* in case of semi annual YTM,  it will be annualised </t>
  </si>
  <si>
    <t>Scheme Riskometer :</t>
  </si>
  <si>
    <t>Tier I Benchmark Riskometer :</t>
  </si>
  <si>
    <t>Tier II Benchmark Riskometer :</t>
  </si>
  <si>
    <t xml:space="preserve">                    NIFTY Corporate Bond Index A-II</t>
  </si>
  <si>
    <t xml:space="preserve">               NIFTY AAA Short Duration Bond Index</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</si>
  <si>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</si>
  <si>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</si>
  <si>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</si>
  <si>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</si>
  <si>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           NIFTY Banking and PSU Debt Index A-II</t>
  </si>
  <si>
    <t xml:space="preserve">            NIFTY AAA Short Duration Bond Index</t>
  </si>
  <si>
    <t xml:space="preserve">                    NIFTY Money Market Index A-I</t>
  </si>
  <si>
    <t xml:space="preserve">                     NIFTY Money Market Index</t>
  </si>
  <si>
    <t>Refer below point i)</t>
  </si>
  <si>
    <t>Average Maturity  (years)</t>
  </si>
  <si>
    <t xml:space="preserve">ISIN </t>
  </si>
  <si>
    <t>Name of The security</t>
  </si>
  <si>
    <t>VALUE OF THE SECURITY CONSIDERED UNDER NET RECEIVABLES</t>
  </si>
  <si>
    <t>% TO AUM</t>
  </si>
  <si>
    <t>Total Amount (Principal &amp; Interest)  (Rs. Lakh)</t>
  </si>
  <si>
    <t>INE121H14JU3</t>
  </si>
  <si>
    <t xml:space="preserve">IL&amp;FS Financial Services Ltd. 24SEP18 CP </t>
  </si>
  <si>
    <t>ISIN</t>
  </si>
  <si>
    <t>NAME OF THE SECURITY</t>
  </si>
  <si>
    <t>INE202B07IK1</t>
  </si>
  <si>
    <t xml:space="preserve">Dewan Housing Finance Corporation Ltd-9.10%-09/09/2019 </t>
  </si>
  <si>
    <t>INE202B07HQ0</t>
  </si>
  <si>
    <t>9.10%-Dewan Housing Finance Corporation Ltd-16/08/2019</t>
  </si>
  <si>
    <t>INE202B07IJ3</t>
  </si>
  <si>
    <t xml:space="preserve">9.05% Dewan Housing Finance Corporation Ltd-NCD-09/09/2019 </t>
  </si>
  <si>
    <t>TOTAL AMOUNT INCLUDING INTEREST DUE TO AND RECOVERED BY THE SCHEME</t>
  </si>
  <si>
    <t>TOTAL AMOUNT DUE</t>
  </si>
  <si>
    <t>Amount Recovered 30th Sep 2021 (Rs. In Lacs)</t>
  </si>
  <si>
    <t>Further amount received on 31-Aug-2024  (Rs. In Lacs)</t>
  </si>
  <si>
    <t xml:space="preserve">Total settlement till date  ( Rs . In Lacs ) </t>
  </si>
  <si>
    <t>PRINCIPAL (Rs. in Lacs)</t>
  </si>
  <si>
    <t>Interest Accrued till 3rd June 2019
(Rs. in Lacs)</t>
  </si>
  <si>
    <t>Interest not accrued due to category by rating agency as default till maturity (Rs. in Lacs)</t>
  </si>
  <si>
    <t>Total 
(Rs. in Lacs)</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</si>
  <si>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</si>
  <si>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</si>
  <si>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</si>
  <si>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https://www.sundarammutual.com/pdf2/2024/Rationale_for_Valuation/Update_on_DHFL_Recovery_31_Aug_2024_V1.pdf</t>
  </si>
  <si>
    <t xml:space="preserve">              NIFTY Low Duration Debt Index A-I</t>
  </si>
  <si>
    <t xml:space="preserve">                  NIFTY Low Duration Debt Index</t>
  </si>
  <si>
    <t>++ Aggregate Investments by Other schemes of Sundaram Mutual Fund - Rs.11,136.95 Lakhs</t>
  </si>
  <si>
    <t>Net receivable/ Market value  (Rs. Lakh)</t>
  </si>
  <si>
    <t>% to NAV</t>
  </si>
  <si>
    <t xml:space="preserve">                      NIFTY Liquid Index A-I</t>
  </si>
  <si>
    <t xml:space="preserve">                       NIFTY Liquid Index</t>
  </si>
  <si>
    <t>7.30%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</si>
  <si>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</si>
  <si>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9.05% Dewan Housing Finance Corporation Ltd-NCD-09/09/2019</t>
  </si>
  <si>
    <t>Dewan Housing Finance Corporation Ltd-9.10%-09/09/2019</t>
  </si>
  <si>
    <t>INE202B07654</t>
  </si>
  <si>
    <t>11.55%_Prev 11.45%-Dewan Housing Finance Corp Ltd-12/09/2019  ##</t>
  </si>
  <si>
    <t>9.10%-Dewan Housing Finance Corporation Ltd-16/08/2019 ##</t>
  </si>
  <si>
    <t>Further amount received on  31-Aug-2024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</si>
  <si>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</si>
  <si>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</si>
  <si>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</si>
  <si>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 xml:space="preserve">               Nifty Short Duration Debt Index A-II</t>
  </si>
  <si>
    <t xml:space="preserve">                NIFTY Short Duration Debt Index</t>
  </si>
  <si>
    <t>Interest Rate Swaps</t>
  </si>
  <si>
    <t>#</t>
  </si>
  <si>
    <t>Refer below point h)</t>
  </si>
  <si>
    <t>Swap Type</t>
  </si>
  <si>
    <t>Underlying Security</t>
  </si>
  <si>
    <t>Long Position</t>
  </si>
  <si>
    <t>Short Position</t>
  </si>
  <si>
    <t>Notional Value (Rs. in lacs.)</t>
  </si>
  <si>
    <t>Maturity date</t>
  </si>
  <si>
    <t>Fixed to Float</t>
  </si>
  <si>
    <t xml:space="preserve">Shriram Finance Ltd </t>
  </si>
  <si>
    <t>Receiving Floating</t>
  </si>
  <si>
    <t>Pay Fixed</t>
  </si>
  <si>
    <t>Total Amount(Principal &amp; Interest)  (Rs. Lakh)</t>
  </si>
  <si>
    <t xml:space="preserve">          NIFTY Ultra Short Duration Debt Index A-I</t>
  </si>
  <si>
    <t xml:space="preserve">              NIFTY Ultra Short Duration Debt Index</t>
  </si>
  <si>
    <t>Regular Plan - Quarterly IDCW</t>
  </si>
  <si>
    <t>INE528G08394</t>
  </si>
  <si>
    <t>9%-YES BANK LTD-NCD-Call opt-18/10/2022-Perpetual Bond $</t>
  </si>
  <si>
    <t>TOTAL AMOUNT INCLUDING INTEREST DUE TO THE SCHEME</t>
  </si>
  <si>
    <t>Interest Accrued till 05 Mar 2020
(Rs. in Lacs)</t>
  </si>
  <si>
    <t>$ Yes Bank Limited Reconstruction Scheme 2020” was notified in the Official Gazette on March 13, 2020. Based on that, the Basel III Additional Tier I Bonds (ISIN - INE528G08394) were written down in the scheme along with the Interest accrued.</t>
  </si>
  <si>
    <t xml:space="preserve">          NIFTY Medium Duration Debt Index A-III</t>
  </si>
  <si>
    <t xml:space="preserve">              NIFTY Medium Duration Debt Index</t>
  </si>
  <si>
    <t>INE0GGX23010</t>
  </si>
  <si>
    <t>Power Grid Infrastructure Investment Trust(InvIT)</t>
  </si>
  <si>
    <t>Power</t>
  </si>
  <si>
    <t>Bharti Airtel Ltd - Partly Paid Right Shares</t>
  </si>
  <si>
    <t>Macaulay Duration - only for Debt portion (years)</t>
  </si>
  <si>
    <t>Average Maturity  - only for Debt portion (years)</t>
  </si>
  <si>
    <t>VALUE OF THE SECURITY CONSIDERED 
UNDER NET RECEIVABLES</t>
  </si>
  <si>
    <t xml:space="preserve">11.55% Prev 11.45%-Dewan Housing Finance Corp Ltd-12/09/2019  </t>
  </si>
  <si>
    <t>Amount Recovered (Rs. In Lacs) 30th Sep 2021</t>
  </si>
  <si>
    <t>Further amount received on 31/08/2024  (Rs. In Lacs)</t>
  </si>
  <si>
    <t xml:space="preserve">11.55%_Prev 11.45%-Dewan Housing Finance Corp Ltd-12/09/2019  </t>
  </si>
  <si>
    <t>Benchmark Riskometer :</t>
  </si>
  <si>
    <t xml:space="preserve">      CRISIL Hybrid 85 Plus 15 - Conservative Index</t>
  </si>
  <si>
    <t>Macaulay Duration (Days)</t>
  </si>
  <si>
    <t>Average Maturity (Days)</t>
  </si>
  <si>
    <t xml:space="preserve">                        NIFTY 1D Rate Index</t>
  </si>
  <si>
    <t xml:space="preserve">                         NIFTY 1D Rate Index</t>
  </si>
  <si>
    <t>31-Dec-2024</t>
  </si>
  <si>
    <t>i) Exposure to securities classified as below investment grade or default as on 31-Dec-2024:-</t>
  </si>
  <si>
    <t>h)  Hedging Positions through Swaps as on 31-Dec-2024:-</t>
  </si>
  <si>
    <t>% to AUM as on  31-Dec-2024</t>
  </si>
  <si>
    <t>h) Exposure to securities classified as below investment grade or default as on 31-Dec-2024:-</t>
  </si>
  <si>
    <t>YTM (%)</t>
  </si>
  <si>
    <t>Direct Plan - Monthly IDCW</t>
  </si>
  <si>
    <t>Direct Plan - Quarterly IDCW</t>
  </si>
  <si>
    <t>Direct Plan - Halfyearly IDCW</t>
  </si>
  <si>
    <t>Direct Plan - Annual IDCW</t>
  </si>
  <si>
    <t>Regular Plan - Monthly IDCW</t>
  </si>
  <si>
    <t>Regular Plan - Halfyearly IDCW</t>
  </si>
  <si>
    <t>Regular Plan - Annual IDCW</t>
  </si>
  <si>
    <t>d) IDCW declared during the period (Rupees per unit)</t>
  </si>
  <si>
    <t>++ Aggregate Investments by Other schemes of Sundaram Mutual Fund - Rs.1,02,352.88 Lakhs</t>
  </si>
  <si>
    <t>Interest Rate Swaps Pay Fix Receive Floating (11/12/2025) (FV 2500 Lacs)~</t>
  </si>
  <si>
    <t>Monthly Portfolio Statement for the month ended as on 31 December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</si>
</sst>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1014009]###0.00%;\(###0.00%\)"/>
    <numFmt numFmtId="165" formatCode="[$-1014009]###0.00;\(###0.00\)"/>
    <numFmt numFmtId="166" formatCode="[$-1014009]General"/>
    <numFmt numFmtId="167" formatCode="[$-1014009]###0;\(###0\)"/>
    <numFmt numFmtId="168" formatCode="[$-1014009]###0.0000;\(###0.0000\)"/>
    <numFmt numFmtId="169" formatCode="[$-1014009]#,##0.00\ %;\(#,##0.00\)"/>
    <numFmt numFmtId="170" formatCode="[$-1014009]#.0000"/>
    <numFmt numFmtId="171" formatCode="[$-1014009]#,##0.000000;\-#,##0.000000"/>
    <numFmt numFmtId="172" formatCode="[$-1014009]#,##0.00;\(#,##0.00\)"/>
    <numFmt numFmtId="173" formatCode="dd\-mmm\-yyyy"/>
    <numFmt numFmtId="174" formatCode="[$-1014009]#,##0;\(#,##0\)"/>
    <numFmt numFmtId="175" formatCode="_(* #,##0.00_);_(* \(#,##0.00\);_(* &quot;-&quot;??_);_(@_)"/>
    <numFmt numFmtId="176" formatCode="[$-409]d\-mmm\-yy;@"/>
  </numFmts>
  <fonts count="39" x14ac:knownFonts="1">
    <font>
      <sz val="10"/>
      <name val="Arial"/>
      <charset val="1"/>
    </font>
    <font>
      <sz val="11"/>
      <color theme="1"/>
      <name val="Aptos Narrow"/>
      <family val="2"/>
      <scheme val="minor"/>
    </font>
    <font>
      <sz val="10"/>
      <color indexed="8"/>
      <name val="Calibri"/>
      <charset val="1"/>
    </font>
    <font>
      <b/>
      <sz val="10"/>
      <color indexed="8"/>
      <name val="Calibri"/>
      <charset val="1"/>
    </font>
    <font>
      <b/>
      <i/>
      <sz val="10"/>
      <color indexed="8"/>
      <name val="Calibri"/>
      <charset val="1"/>
    </font>
    <font>
      <b/>
      <sz val="9"/>
      <color indexed="8"/>
      <name val="Calibri"/>
      <charset val="1"/>
    </font>
    <font>
      <sz val="10"/>
      <name val="Arial"/>
      <charset val="1"/>
    </font>
    <font>
      <b/>
      <sz val="11"/>
      <color theme="0"/>
      <name val="Aptos Narrow"/>
      <family val="2"/>
      <scheme val="minor"/>
    </font>
    <font>
      <sz val="11"/>
      <color theme="0"/>
      <name val="Aptos Narrow"/>
      <family val="2"/>
      <scheme val="minor"/>
    </font>
    <font>
      <b/>
      <sz val="11"/>
      <color theme="1"/>
      <name val="Calibri"/>
      <family val="2"/>
    </font>
    <font>
      <b/>
      <sz val="11"/>
      <name val="Calibri"/>
      <family val="2"/>
    </font>
    <font>
      <sz val="11"/>
      <color theme="1"/>
      <name val="Calibri"/>
      <family val="2"/>
    </font>
    <font>
      <u/>
      <sz val="10"/>
      <color theme="10"/>
      <name val="Arial"/>
      <family val="2"/>
    </font>
    <font>
      <u/>
      <sz val="11"/>
      <color theme="10"/>
      <name val="Calibri"/>
      <family val="2"/>
    </font>
    <font>
      <sz val="11"/>
      <name val="Calibri"/>
      <family val="2"/>
    </font>
    <font>
      <b/>
      <sz val="11"/>
      <color indexed="8"/>
      <name val="Calibri"/>
      <family val="2"/>
    </font>
    <font>
      <u/>
      <sz val="11"/>
      <color rgb="FF002060"/>
      <name val="Aptos Narrow"/>
      <family val="2"/>
      <scheme val="minor"/>
    </font>
    <font>
      <sz val="10"/>
      <name val="Arial"/>
      <family val="2"/>
    </font>
    <font>
      <sz val="10"/>
      <color indexed="8"/>
      <name val="Calibri"/>
      <family val="2"/>
    </font>
    <font>
      <b/>
      <i/>
      <sz val="10"/>
      <color indexed="8"/>
      <name val="Calibri"/>
      <family val="2"/>
    </font>
    <font>
      <b/>
      <sz val="10"/>
      <color indexed="8"/>
      <name val="Calibri"/>
      <family val="2"/>
    </font>
    <font>
      <sz val="10"/>
      <name val="Calibri"/>
      <family val="2"/>
    </font>
    <font>
      <b/>
      <sz val="10"/>
      <name val="Calibri"/>
      <family val="2"/>
    </font>
    <font>
      <b/>
      <sz val="10"/>
      <name val="Arial"/>
      <family val="2"/>
    </font>
    <font>
      <b/>
      <sz val="10"/>
      <color theme="1"/>
      <name val="Calibri"/>
      <family val="2"/>
    </font>
    <font>
      <sz val="10"/>
      <color theme="1"/>
      <name val="Calibri"/>
      <family val="2"/>
    </font>
    <font>
      <b/>
      <sz val="10"/>
      <color theme="1"/>
      <name val="Aptos Narrow"/>
      <family val="2"/>
      <scheme val="minor"/>
    </font>
    <font>
      <sz val="10"/>
      <color theme="1"/>
      <name val="Aptos Narrow"/>
      <family val="2"/>
      <scheme val="minor"/>
    </font>
    <font>
      <sz val="11"/>
      <color indexed="8"/>
      <name val="Calibri"/>
      <family val="2"/>
    </font>
    <font>
      <b/>
      <sz val="10"/>
      <name val="Aptos Narrow"/>
      <family val="2"/>
      <scheme val="minor"/>
    </font>
    <font>
      <b/>
      <u/>
      <sz val="8.5"/>
      <name val="Verdana"/>
      <family val="2"/>
    </font>
    <font>
      <sz val="8.5"/>
      <name val="Verdana"/>
      <family val="2"/>
    </font>
    <font>
      <b/>
      <sz val="10"/>
      <color theme="1"/>
      <name val="Tahoma"/>
      <family val="2"/>
    </font>
    <font>
      <b/>
      <sz val="10"/>
      <color rgb="FF000000"/>
      <name val="Tahoma"/>
      <family val="2"/>
    </font>
    <font>
      <sz val="10"/>
      <color theme="1"/>
      <name val="Tahoma"/>
      <family val="2"/>
    </font>
    <font>
      <sz val="10"/>
      <color rgb="FF000000"/>
      <name val="Tahoma"/>
      <family val="2"/>
    </font>
    <font>
      <sz val="10"/>
      <color theme="1"/>
      <name val="Arial"/>
      <family val="2"/>
    </font>
    <font>
      <sz val="11"/>
      <name val="Aptos Narrow"/>
      <family val="2"/>
      <scheme val="minor"/>
    </font>
    <font>
      <b/>
      <sz val="11"/>
      <name val="Aptos Narrow"/>
      <family val="2"/>
      <scheme val="minor"/>
    </font>
  </fonts>
  <fills count="3">
    <fill>
      <patternFill patternType="none"/>
    </fill>
    <fill>
      <patternFill patternType="gray125"/>
    </fill>
    <fill>
      <patternFill patternType="solid">
        <fgColor indexed="9"/>
      </patternFill>
    </fill>
  </fills>
  <borders count="15">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8"/>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s>
  <cellStyleXfs count="11">
    <xf numFmtId="0" fontId="0" fillId="0" borderId="0">
      <alignment wrapText="1"/>
    </xf>
    <xf numFmtId="43" fontId="6" fillId="0" borderId="0" applyFont="0" applyFill="0" applyBorder="0" applyAlignment="0" applyProtection="0"/>
    <xf numFmtId="0" fontId="1" fillId="0" borderId="0"/>
    <xf numFmtId="0" fontId="1" fillId="0" borderId="0"/>
    <xf numFmtId="0" fontId="12" fillId="0" borderId="0" applyNumberFormat="0" applyFill="0" applyBorder="0" applyAlignment="0" applyProtection="0">
      <alignment wrapText="1"/>
    </xf>
    <xf numFmtId="0" fontId="17" fillId="0" borderId="0">
      <alignment wrapText="1"/>
    </xf>
    <xf numFmtId="43" fontId="17" fillId="0" borderId="0" applyFont="0" applyFill="0" applyBorder="0" applyAlignment="0" applyProtection="0"/>
    <xf numFmtId="9" fontId="28" fillId="0" borderId="0" applyFont="0" applyFill="0" applyBorder="0" applyAlignment="0" applyProtection="0"/>
    <xf numFmtId="9" fontId="17" fillId="0" borderId="0" applyFont="0" applyFill="0" applyBorder="0" applyAlignment="0" applyProtection="0"/>
    <xf numFmtId="0" fontId="1" fillId="0" borderId="0"/>
    <xf numFmtId="0" fontId="1" fillId="0" borderId="0"/>
  </cellStyleXfs>
  <cellXfs count="213">
    <xf numFmtId="0" fontId="0" fillId="0" borderId="0" xfId="0">
      <alignment wrapText="1"/>
    </xf>
    <xf numFmtId="0" fontId="9" fillId="0" borderId="7" xfId="2" applyFont="1" applyBorder="1" applyAlignment="1">
      <alignment horizontal="center"/>
    </xf>
    <xf numFmtId="0" fontId="10" fillId="0" borderId="7" xfId="2" applyFont="1" applyBorder="1" applyAlignment="1">
      <alignment horizontal="center" vertical="center"/>
    </xf>
    <xf numFmtId="0" fontId="11" fillId="0" borderId="0" xfId="3" applyFont="1"/>
    <xf numFmtId="0" fontId="11" fillId="0" borderId="7" xfId="2" applyFont="1" applyBorder="1" applyAlignment="1">
      <alignment horizontal="center"/>
    </xf>
    <xf numFmtId="0" fontId="13" fillId="0" borderId="7" xfId="4" applyFont="1" applyBorder="1" applyAlignment="1">
      <alignment vertical="center"/>
    </xf>
    <xf numFmtId="0" fontId="14" fillId="0" borderId="7" xfId="2" applyFont="1" applyBorder="1" applyAlignment="1">
      <alignment vertical="top"/>
    </xf>
    <xf numFmtId="0" fontId="16" fillId="0" borderId="0" xfId="4" applyFont="1" applyFill="1" applyBorder="1" applyAlignment="1">
      <alignment horizontal="center" vertical="center" wrapText="1"/>
    </xf>
    <xf numFmtId="0" fontId="0" fillId="0" borderId="0" xfId="0" applyAlignment="1">
      <alignment horizontal="center" vertical="center" wrapText="1"/>
    </xf>
    <xf numFmtId="0" fontId="17" fillId="0" borderId="0" xfId="5">
      <alignment wrapText="1"/>
    </xf>
    <xf numFmtId="0" fontId="21" fillId="0" borderId="0" xfId="0" applyFont="1">
      <alignment wrapText="1"/>
    </xf>
    <xf numFmtId="0" fontId="21" fillId="0" borderId="0" xfId="0" applyFont="1" applyAlignment="1">
      <alignment vertical="center" wrapText="1"/>
    </xf>
    <xf numFmtId="0" fontId="22" fillId="0" borderId="7" xfId="0" applyFont="1" applyBorder="1" applyAlignment="1">
      <alignment horizontal="center" vertical="center" wrapText="1"/>
    </xf>
    <xf numFmtId="0" fontId="21" fillId="0" borderId="7" xfId="0" applyFont="1" applyBorder="1" applyAlignment="1">
      <alignment vertical="center" wrapText="1"/>
    </xf>
    <xf numFmtId="0" fontId="21" fillId="0" borderId="7" xfId="0" applyFont="1" applyBorder="1" applyAlignment="1">
      <alignment horizontal="justify" vertical="center" wrapText="1"/>
    </xf>
    <xf numFmtId="0" fontId="0" fillId="0" borderId="0" xfId="0" applyAlignment="1">
      <alignment vertical="center" wrapText="1"/>
    </xf>
    <xf numFmtId="0" fontId="23" fillId="0" borderId="0" xfId="0" applyFont="1">
      <alignment wrapText="1"/>
    </xf>
    <xf numFmtId="0" fontId="23" fillId="0" borderId="0" xfId="0" applyFont="1" applyAlignment="1"/>
    <xf numFmtId="0" fontId="0" fillId="0" borderId="0" xfId="0" applyAlignment="1"/>
    <xf numFmtId="172" fontId="20" fillId="0" borderId="4" xfId="0" applyNumberFormat="1" applyFont="1" applyBorder="1" applyAlignment="1">
      <alignment horizontal="left" vertical="center" wrapText="1" readingOrder="1"/>
    </xf>
    <xf numFmtId="0" fontId="18" fillId="0" borderId="0" xfId="0" applyFont="1" applyAlignment="1">
      <alignment horizontal="left" vertical="center" wrapText="1" readingOrder="1"/>
    </xf>
    <xf numFmtId="0" fontId="22" fillId="0" borderId="0" xfId="0" applyFont="1" applyAlignment="1">
      <alignment vertical="center" readingOrder="1"/>
    </xf>
    <xf numFmtId="0" fontId="22" fillId="0" borderId="0" xfId="0" applyFont="1" applyAlignment="1">
      <alignment horizontal="left" vertical="center" readingOrder="1"/>
    </xf>
    <xf numFmtId="0" fontId="24" fillId="0" borderId="7" xfId="0" applyFont="1" applyBorder="1" applyAlignment="1">
      <alignment horizontal="center" vertical="center" wrapText="1"/>
    </xf>
    <xf numFmtId="0" fontId="21" fillId="0" borderId="7" xfId="0" applyFont="1" applyBorder="1" applyAlignment="1">
      <alignment vertical="center"/>
    </xf>
    <xf numFmtId="43" fontId="21" fillId="0" borderId="7" xfId="6" applyFont="1" applyFill="1" applyBorder="1" applyAlignment="1">
      <alignment vertical="center"/>
    </xf>
    <xf numFmtId="43" fontId="25" fillId="0" borderId="7" xfId="6" applyFont="1" applyFill="1" applyBorder="1" applyAlignment="1">
      <alignment vertical="center"/>
    </xf>
    <xf numFmtId="4" fontId="21" fillId="0" borderId="7" xfId="0" applyNumberFormat="1" applyFont="1" applyBorder="1" applyAlignment="1">
      <alignment vertical="center"/>
    </xf>
    <xf numFmtId="4" fontId="27" fillId="0" borderId="7" xfId="7" applyNumberFormat="1" applyFont="1" applyFill="1" applyBorder="1"/>
    <xf numFmtId="10" fontId="25" fillId="0" borderId="7" xfId="8" applyNumberFormat="1" applyFont="1" applyFill="1" applyBorder="1" applyAlignment="1">
      <alignment vertical="center"/>
    </xf>
    <xf numFmtId="4" fontId="27" fillId="0" borderId="0" xfId="7" applyNumberFormat="1" applyFont="1" applyFill="1" applyBorder="1"/>
    <xf numFmtId="164" fontId="20" fillId="0" borderId="4" xfId="0" applyNumberFormat="1" applyFont="1" applyBorder="1" applyAlignment="1">
      <alignment horizontal="right" vertical="center" wrapText="1" readingOrder="1"/>
    </xf>
    <xf numFmtId="0" fontId="15" fillId="0" borderId="4" xfId="0" applyFont="1" applyBorder="1" applyAlignment="1">
      <alignment horizontal="center" vertical="center" wrapText="1" readingOrder="1"/>
    </xf>
    <xf numFmtId="43" fontId="15" fillId="0" borderId="7" xfId="1" applyFont="1" applyFill="1" applyBorder="1" applyAlignment="1">
      <alignment horizontal="center" vertical="center" wrapText="1" readingOrder="1"/>
    </xf>
    <xf numFmtId="0" fontId="2" fillId="0" borderId="4" xfId="0" applyFont="1" applyBorder="1" applyAlignment="1">
      <alignment horizontal="right" vertical="top" wrapText="1" readingOrder="1"/>
    </xf>
    <xf numFmtId="0" fontId="3" fillId="0" borderId="4" xfId="0" applyFont="1" applyBorder="1" applyAlignment="1">
      <alignment horizontal="left" vertical="center" wrapText="1" readingOrder="1"/>
    </xf>
    <xf numFmtId="165" fontId="18" fillId="0" borderId="7" xfId="0" applyNumberFormat="1" applyFont="1" applyBorder="1" applyAlignment="1">
      <alignment horizontal="right" vertical="center" wrapText="1" readingOrder="1"/>
    </xf>
    <xf numFmtId="0" fontId="3" fillId="0" borderId="4" xfId="0" applyFont="1" applyBorder="1" applyAlignment="1">
      <alignment horizontal="right" vertical="center" wrapText="1" readingOrder="1"/>
    </xf>
    <xf numFmtId="164" fontId="3" fillId="0" borderId="4" xfId="0" applyNumberFormat="1" applyFont="1" applyBorder="1" applyAlignment="1">
      <alignment horizontal="right" vertical="center" wrapText="1" readingOrder="1"/>
    </xf>
    <xf numFmtId="0" fontId="4" fillId="0" borderId="4" xfId="0" applyFont="1" applyBorder="1" applyAlignment="1">
      <alignment horizontal="left" vertical="center" wrapText="1" readingOrder="1"/>
    </xf>
    <xf numFmtId="0" fontId="4" fillId="0" borderId="4" xfId="0" applyFont="1" applyBorder="1" applyAlignment="1">
      <alignment horizontal="right" vertical="center" wrapText="1" readingOrder="1"/>
    </xf>
    <xf numFmtId="165" fontId="3" fillId="0" borderId="4" xfId="0" applyNumberFormat="1" applyFont="1" applyBorder="1" applyAlignment="1">
      <alignment horizontal="right" vertical="center" wrapText="1" readingOrder="1"/>
    </xf>
    <xf numFmtId="166" fontId="2" fillId="0" borderId="4" xfId="0" applyNumberFormat="1" applyFont="1" applyBorder="1" applyAlignment="1">
      <alignment horizontal="right" vertical="center" wrapText="1" readingOrder="1"/>
    </xf>
    <xf numFmtId="0" fontId="2" fillId="0" borderId="4" xfId="0" applyFont="1" applyBorder="1" applyAlignment="1">
      <alignment horizontal="left" vertical="center" wrapText="1" readingOrder="1"/>
    </xf>
    <xf numFmtId="167" fontId="2" fillId="0" borderId="4" xfId="0" applyNumberFormat="1" applyFont="1" applyBorder="1" applyAlignment="1">
      <alignment horizontal="right" vertical="center" wrapText="1" readingOrder="1"/>
    </xf>
    <xf numFmtId="165" fontId="2" fillId="0" borderId="4" xfId="0" applyNumberFormat="1" applyFont="1" applyBorder="1" applyAlignment="1">
      <alignment horizontal="right" vertical="center" wrapText="1" readingOrder="1"/>
    </xf>
    <xf numFmtId="164" fontId="2" fillId="0" borderId="4" xfId="0" applyNumberFormat="1" applyFont="1" applyBorder="1" applyAlignment="1">
      <alignment horizontal="right" vertical="center" wrapText="1" readingOrder="1"/>
    </xf>
    <xf numFmtId="0" fontId="2" fillId="0" borderId="4" xfId="0" applyFont="1" applyBorder="1" applyAlignment="1">
      <alignment horizontal="right" vertical="center" wrapText="1" readingOrder="1"/>
    </xf>
    <xf numFmtId="169" fontId="3" fillId="0" borderId="4" xfId="0" applyNumberFormat="1" applyFont="1" applyBorder="1" applyAlignment="1">
      <alignment horizontal="right" vertical="center" wrapText="1" readingOrder="1"/>
    </xf>
    <xf numFmtId="0" fontId="4" fillId="0" borderId="5" xfId="0" applyFont="1" applyBorder="1" applyAlignment="1">
      <alignment horizontal="left" vertical="center" wrapText="1" readingOrder="1"/>
    </xf>
    <xf numFmtId="0" fontId="4" fillId="0" borderId="5" xfId="0" applyFont="1" applyBorder="1" applyAlignment="1">
      <alignment horizontal="right" vertical="center" wrapText="1" readingOrder="1"/>
    </xf>
    <xf numFmtId="0" fontId="19" fillId="0" borderId="0" xfId="0" applyFont="1" applyAlignment="1">
      <alignment horizontal="left" vertical="center" wrapText="1" readingOrder="1"/>
    </xf>
    <xf numFmtId="0" fontId="19" fillId="0" borderId="0" xfId="0" applyFont="1" applyAlignment="1">
      <alignment horizontal="right" vertical="center" wrapText="1" readingOrder="1"/>
    </xf>
    <xf numFmtId="0" fontId="4" fillId="0" borderId="0" xfId="0" applyFont="1" applyAlignment="1">
      <alignment horizontal="left" vertical="center" wrapText="1" readingOrder="1"/>
    </xf>
    <xf numFmtId="0" fontId="4" fillId="0" borderId="6" xfId="0" applyFont="1" applyBorder="1" applyAlignment="1">
      <alignment horizontal="right" vertical="center" wrapText="1" readingOrder="1"/>
    </xf>
    <xf numFmtId="0" fontId="4" fillId="0" borderId="0" xfId="0" applyFont="1" applyAlignment="1">
      <alignment horizontal="right" vertical="center" wrapText="1" readingOrder="1"/>
    </xf>
    <xf numFmtId="0" fontId="18" fillId="0" borderId="0" xfId="0" applyFont="1" applyAlignment="1">
      <alignment horizontal="right" vertical="top" wrapText="1" readingOrder="1"/>
    </xf>
    <xf numFmtId="0" fontId="20" fillId="0" borderId="4" xfId="0" applyFont="1" applyBorder="1" applyAlignment="1">
      <alignment horizontal="right" vertical="top" wrapText="1" readingOrder="1"/>
    </xf>
    <xf numFmtId="43" fontId="18" fillId="0" borderId="0" xfId="1" applyFont="1" applyFill="1" applyBorder="1" applyAlignment="1">
      <alignment horizontal="right" vertical="top" wrapText="1" readingOrder="1"/>
    </xf>
    <xf numFmtId="0" fontId="20" fillId="0" borderId="4" xfId="0" applyFont="1" applyBorder="1" applyAlignment="1">
      <alignment horizontal="left" vertical="top" wrapText="1" readingOrder="1"/>
    </xf>
    <xf numFmtId="173" fontId="20" fillId="0" borderId="4" xfId="0" applyNumberFormat="1" applyFont="1" applyBorder="1" applyAlignment="1">
      <alignment horizontal="right" vertical="top" wrapText="1" readingOrder="1"/>
    </xf>
    <xf numFmtId="0" fontId="2" fillId="0" borderId="0" xfId="0" applyFont="1" applyAlignment="1">
      <alignment horizontal="right" vertical="top" wrapText="1" readingOrder="1"/>
    </xf>
    <xf numFmtId="170" fontId="2" fillId="0" borderId="4" xfId="0" applyNumberFormat="1" applyFont="1" applyBorder="1" applyAlignment="1">
      <alignment horizontal="right" vertical="center" wrapText="1" readingOrder="1"/>
    </xf>
    <xf numFmtId="0" fontId="2" fillId="0" borderId="0" xfId="0" applyFont="1" applyAlignment="1">
      <alignment horizontal="left" vertical="center" wrapText="1" readingOrder="1"/>
    </xf>
    <xf numFmtId="0" fontId="2" fillId="0" borderId="0" xfId="0" applyFont="1" applyAlignment="1">
      <alignment horizontal="right" vertical="center" wrapText="1" readingOrder="1"/>
    </xf>
    <xf numFmtId="0" fontId="5" fillId="0" borderId="4" xfId="0" applyFont="1" applyBorder="1" applyAlignment="1">
      <alignment horizontal="left" vertical="center" wrapText="1" readingOrder="1"/>
    </xf>
    <xf numFmtId="0" fontId="5" fillId="0" borderId="4" xfId="0" applyFont="1" applyBorder="1" applyAlignment="1">
      <alignment horizontal="right" vertical="center" wrapText="1" readingOrder="1"/>
    </xf>
    <xf numFmtId="171" fontId="2" fillId="0" borderId="4" xfId="0" applyNumberFormat="1" applyFont="1" applyBorder="1" applyAlignment="1">
      <alignment horizontal="right" vertical="center" wrapText="1" readingOrder="1"/>
    </xf>
    <xf numFmtId="0" fontId="2" fillId="0" borderId="5" xfId="0" applyFont="1" applyBorder="1" applyAlignment="1">
      <alignment horizontal="left" vertical="center" wrapText="1" readingOrder="1"/>
    </xf>
    <xf numFmtId="0" fontId="3" fillId="0" borderId="5" xfId="0" applyFont="1" applyBorder="1" applyAlignment="1">
      <alignment horizontal="left" vertical="center" wrapText="1" readingOrder="1"/>
    </xf>
    <xf numFmtId="0" fontId="20" fillId="0" borderId="4" xfId="0" applyFont="1" applyBorder="1" applyAlignment="1">
      <alignment horizontal="left" vertical="center" wrapText="1" readingOrder="1"/>
    </xf>
    <xf numFmtId="0" fontId="18" fillId="0" borderId="6" xfId="0" applyFont="1" applyBorder="1" applyAlignment="1">
      <alignment horizontal="right" vertical="top" wrapText="1" readingOrder="1"/>
    </xf>
    <xf numFmtId="0" fontId="0" fillId="0" borderId="0" xfId="0" applyAlignment="1">
      <alignment horizontal="center" vertical="top" readingOrder="1"/>
    </xf>
    <xf numFmtId="174" fontId="20" fillId="0" borderId="4" xfId="0" applyNumberFormat="1" applyFont="1" applyBorder="1" applyAlignment="1">
      <alignment horizontal="left" vertical="center" wrapText="1" readingOrder="1"/>
    </xf>
    <xf numFmtId="174" fontId="20" fillId="0" borderId="4" xfId="0" quotePrefix="1" applyNumberFormat="1" applyFont="1" applyBorder="1" applyAlignment="1">
      <alignment horizontal="left" vertical="center" wrapText="1" readingOrder="1"/>
    </xf>
    <xf numFmtId="43" fontId="0" fillId="0" borderId="0" xfId="6" applyFont="1" applyFill="1" applyAlignment="1">
      <alignment wrapText="1"/>
    </xf>
    <xf numFmtId="166" fontId="18" fillId="0" borderId="4" xfId="0" applyNumberFormat="1" applyFont="1" applyBorder="1" applyAlignment="1">
      <alignment horizontal="right" vertical="center" wrapText="1" readingOrder="1"/>
    </xf>
    <xf numFmtId="0" fontId="18" fillId="0" borderId="4" xfId="0" applyFont="1" applyBorder="1" applyAlignment="1">
      <alignment horizontal="left" vertical="center" wrapText="1" readingOrder="1"/>
    </xf>
    <xf numFmtId="167" fontId="18" fillId="0" borderId="4" xfId="0" applyNumberFormat="1" applyFont="1" applyBorder="1" applyAlignment="1">
      <alignment horizontal="right" vertical="center" wrapText="1" readingOrder="1"/>
    </xf>
    <xf numFmtId="165" fontId="18" fillId="0" borderId="4" xfId="0" applyNumberFormat="1" applyFont="1" applyBorder="1" applyAlignment="1">
      <alignment horizontal="right" vertical="center" wrapText="1" readingOrder="1"/>
    </xf>
    <xf numFmtId="164" fontId="18" fillId="0" borderId="4" xfId="0" applyNumberFormat="1" applyFont="1" applyBorder="1" applyAlignment="1">
      <alignment horizontal="right" vertical="center" wrapText="1" readingOrder="1"/>
    </xf>
    <xf numFmtId="0" fontId="23" fillId="0" borderId="0" xfId="0" applyFont="1" applyAlignment="1">
      <alignment horizontal="center" vertical="center" wrapText="1"/>
    </xf>
    <xf numFmtId="0" fontId="18" fillId="0" borderId="4" xfId="0" applyFont="1" applyBorder="1" applyAlignment="1">
      <alignment horizontal="right" vertical="top" wrapText="1" readingOrder="1"/>
    </xf>
    <xf numFmtId="0" fontId="19" fillId="0" borderId="4" xfId="0" applyFont="1" applyBorder="1" applyAlignment="1">
      <alignment horizontal="left" vertical="center" wrapText="1" readingOrder="1"/>
    </xf>
    <xf numFmtId="0" fontId="19" fillId="0" borderId="4" xfId="0" applyFont="1" applyBorder="1" applyAlignment="1">
      <alignment horizontal="right" vertical="center" wrapText="1" readingOrder="1"/>
    </xf>
    <xf numFmtId="168" fontId="18" fillId="0" borderId="4" xfId="0" applyNumberFormat="1" applyFont="1" applyBorder="1" applyAlignment="1">
      <alignment horizontal="right" vertical="center" wrapText="1" readingOrder="1"/>
    </xf>
    <xf numFmtId="165" fontId="20" fillId="0" borderId="4" xfId="0" applyNumberFormat="1" applyFont="1" applyBorder="1" applyAlignment="1">
      <alignment horizontal="right" vertical="center" wrapText="1" readingOrder="1"/>
    </xf>
    <xf numFmtId="14" fontId="21" fillId="0" borderId="7" xfId="0" quotePrefix="1" applyNumberFormat="1" applyFont="1" applyBorder="1" applyAlignment="1">
      <alignment horizontal="justify" vertical="center" wrapText="1"/>
    </xf>
    <xf numFmtId="0" fontId="26" fillId="0" borderId="7" xfId="2" applyFont="1" applyBorder="1" applyAlignment="1">
      <alignment horizontal="center" vertical="center"/>
    </xf>
    <xf numFmtId="0" fontId="26" fillId="0" borderId="7" xfId="2" applyFont="1" applyBorder="1" applyAlignment="1">
      <alignment horizontal="center" vertical="center" wrapText="1"/>
    </xf>
    <xf numFmtId="0" fontId="17" fillId="0" borderId="0" xfId="5" applyAlignment="1">
      <alignment vertical="center" wrapText="1"/>
    </xf>
    <xf numFmtId="0" fontId="27" fillId="0" borderId="7" xfId="2" applyFont="1" applyBorder="1" applyAlignment="1">
      <alignment vertical="center"/>
    </xf>
    <xf numFmtId="0" fontId="27" fillId="0" borderId="7" xfId="2" applyFont="1" applyBorder="1" applyAlignment="1">
      <alignment wrapText="1"/>
    </xf>
    <xf numFmtId="0" fontId="27" fillId="0" borderId="7" xfId="2" applyFont="1" applyBorder="1"/>
    <xf numFmtId="0" fontId="26" fillId="0" borderId="7" xfId="2" applyFont="1" applyBorder="1" applyAlignment="1">
      <alignment horizontal="center"/>
    </xf>
    <xf numFmtId="4" fontId="27" fillId="0" borderId="7" xfId="2" applyNumberFormat="1" applyFont="1" applyBorder="1"/>
    <xf numFmtId="2" fontId="27" fillId="0" borderId="7" xfId="2" applyNumberFormat="1" applyFont="1" applyBorder="1"/>
    <xf numFmtId="4" fontId="17" fillId="0" borderId="7" xfId="5" applyNumberFormat="1" applyBorder="1">
      <alignment wrapText="1"/>
    </xf>
    <xf numFmtId="0" fontId="29" fillId="0" borderId="0" xfId="0" applyFont="1" applyAlignment="1"/>
    <xf numFmtId="0" fontId="12" fillId="0" borderId="0" xfId="4" applyFill="1" applyAlignment="1"/>
    <xf numFmtId="0" fontId="18" fillId="0" borderId="0" xfId="0" applyFont="1" applyAlignment="1">
      <alignment horizontal="right" vertical="center" wrapText="1" readingOrder="1"/>
    </xf>
    <xf numFmtId="0" fontId="7" fillId="0" borderId="0" xfId="10" applyFont="1" applyAlignment="1">
      <alignment horizontal="center" vertical="center"/>
    </xf>
    <xf numFmtId="0" fontId="1" fillId="0" borderId="0" xfId="10" applyAlignment="1">
      <alignment wrapText="1"/>
    </xf>
    <xf numFmtId="4" fontId="8" fillId="0" borderId="0" xfId="10" applyNumberFormat="1" applyFont="1"/>
    <xf numFmtId="0" fontId="37" fillId="0" borderId="0" xfId="10" applyFont="1" applyAlignment="1">
      <alignment wrapText="1"/>
    </xf>
    <xf numFmtId="0" fontId="24" fillId="0" borderId="7" xfId="10" applyFont="1" applyBorder="1" applyAlignment="1">
      <alignment horizontal="center" vertical="center"/>
    </xf>
    <xf numFmtId="0" fontId="24" fillId="0" borderId="0" xfId="10" applyFont="1" applyAlignment="1">
      <alignment horizontal="center" vertical="center"/>
    </xf>
    <xf numFmtId="0" fontId="25" fillId="0" borderId="7" xfId="10" applyFont="1" applyBorder="1" applyAlignment="1">
      <alignment vertical="center"/>
    </xf>
    <xf numFmtId="0" fontId="25" fillId="0" borderId="7" xfId="10" applyFont="1" applyBorder="1" applyAlignment="1">
      <alignment vertical="center" wrapText="1"/>
    </xf>
    <xf numFmtId="0" fontId="25" fillId="0" borderId="0" xfId="10" applyFont="1" applyAlignment="1">
      <alignment horizontal="center" vertical="center"/>
    </xf>
    <xf numFmtId="0" fontId="24" fillId="0" borderId="7" xfId="10" applyFont="1" applyBorder="1" applyAlignment="1">
      <alignment horizontal="center" vertical="center" wrapText="1"/>
    </xf>
    <xf numFmtId="0" fontId="38" fillId="0" borderId="0" xfId="10" applyFont="1" applyAlignment="1">
      <alignment horizontal="center" vertical="center"/>
    </xf>
    <xf numFmtId="0" fontId="25" fillId="0" borderId="7" xfId="10" applyFont="1" applyBorder="1" applyAlignment="1">
      <alignment horizontal="left" vertical="center"/>
    </xf>
    <xf numFmtId="4" fontId="25" fillId="0" borderId="7" xfId="10" applyNumberFormat="1" applyFont="1" applyBorder="1" applyAlignment="1">
      <alignment horizontal="right" vertical="center"/>
    </xf>
    <xf numFmtId="10" fontId="25" fillId="0" borderId="7" xfId="7" applyNumberFormat="1" applyFont="1" applyFill="1" applyBorder="1" applyAlignment="1">
      <alignment vertical="center"/>
    </xf>
    <xf numFmtId="43" fontId="37" fillId="0" borderId="0" xfId="6" applyFont="1" applyFill="1" applyAlignment="1">
      <alignment vertical="center"/>
    </xf>
    <xf numFmtId="43" fontId="25" fillId="0" borderId="0" xfId="6" applyFont="1" applyFill="1" applyAlignment="1">
      <alignment horizontal="center" vertical="center"/>
    </xf>
    <xf numFmtId="0" fontId="19" fillId="0" borderId="0" xfId="2" applyFont="1" applyAlignment="1">
      <alignment horizontal="left" vertical="center" wrapText="1" readingOrder="1"/>
    </xf>
    <xf numFmtId="0" fontId="11" fillId="0" borderId="0" xfId="2" applyFont="1" applyAlignment="1">
      <alignment vertical="center" wrapText="1"/>
    </xf>
    <xf numFmtId="0" fontId="29" fillId="0" borderId="0" xfId="0" applyFont="1" applyAlignment="1">
      <alignment horizontal="left" vertical="top" readingOrder="1"/>
    </xf>
    <xf numFmtId="43" fontId="27" fillId="0" borderId="7" xfId="6" applyFont="1" applyFill="1" applyBorder="1"/>
    <xf numFmtId="175" fontId="27" fillId="0" borderId="7" xfId="2" applyNumberFormat="1" applyFont="1" applyBorder="1"/>
    <xf numFmtId="0" fontId="27" fillId="0" borderId="0" xfId="2" applyFont="1"/>
    <xf numFmtId="0" fontId="27" fillId="0" borderId="0" xfId="2" applyFont="1" applyAlignment="1">
      <alignment wrapText="1"/>
    </xf>
    <xf numFmtId="4" fontId="27" fillId="0" borderId="0" xfId="2" applyNumberFormat="1" applyFont="1"/>
    <xf numFmtId="43" fontId="27" fillId="0" borderId="0" xfId="6" applyFont="1" applyFill="1" applyBorder="1"/>
    <xf numFmtId="175" fontId="27" fillId="0" borderId="0" xfId="2" applyNumberFormat="1" applyFont="1"/>
    <xf numFmtId="2" fontId="21" fillId="0" borderId="7" xfId="0" applyNumberFormat="1" applyFont="1" applyBorder="1" applyAlignment="1">
      <alignment vertical="center"/>
    </xf>
    <xf numFmtId="0" fontId="20" fillId="0" borderId="0" xfId="0" applyFont="1" applyAlignment="1">
      <alignment horizontal="left" vertical="center" wrapText="1" readingOrder="1"/>
    </xf>
    <xf numFmtId="0" fontId="24" fillId="0" borderId="0" xfId="0" applyFont="1" applyAlignment="1">
      <alignment vertical="center" wrapText="1"/>
    </xf>
    <xf numFmtId="0" fontId="21" fillId="0" borderId="0" xfId="0" applyFont="1" applyAlignment="1">
      <alignment vertical="center"/>
    </xf>
    <xf numFmtId="0" fontId="21" fillId="0" borderId="0" xfId="0" applyFont="1" applyAlignment="1">
      <alignment horizontal="center" vertical="center" readingOrder="1"/>
    </xf>
    <xf numFmtId="0" fontId="19" fillId="0" borderId="7" xfId="0" applyFont="1" applyBorder="1" applyAlignment="1">
      <alignment horizontal="left" vertical="center" wrapText="1" readingOrder="1"/>
    </xf>
    <xf numFmtId="0" fontId="30" fillId="0" borderId="7" xfId="0" applyFont="1" applyBorder="1">
      <alignment wrapText="1"/>
    </xf>
    <xf numFmtId="0" fontId="19" fillId="0" borderId="7" xfId="0" applyFont="1" applyBorder="1" applyAlignment="1">
      <alignment horizontal="right" vertical="center" wrapText="1" readingOrder="1"/>
    </xf>
    <xf numFmtId="0" fontId="0" fillId="0" borderId="7" xfId="0" applyBorder="1">
      <alignment wrapText="1"/>
    </xf>
    <xf numFmtId="0" fontId="31" fillId="0" borderId="7" xfId="0" applyFont="1" applyBorder="1">
      <alignment wrapText="1"/>
    </xf>
    <xf numFmtId="167" fontId="18" fillId="0" borderId="7" xfId="0" applyNumberFormat="1" applyFont="1" applyBorder="1" applyAlignment="1">
      <alignment horizontal="right" vertical="center" wrapText="1" readingOrder="1"/>
    </xf>
    <xf numFmtId="164" fontId="18" fillId="0" borderId="7" xfId="0" applyNumberFormat="1" applyFont="1" applyBorder="1" applyAlignment="1">
      <alignment horizontal="right" vertical="center" wrapText="1" readingOrder="1"/>
    </xf>
    <xf numFmtId="0" fontId="29" fillId="0" borderId="0" xfId="9" applyFont="1"/>
    <xf numFmtId="0" fontId="0" fillId="0" borderId="0" xfId="0" applyAlignment="1">
      <alignment horizontal="center" vertical="center"/>
    </xf>
    <xf numFmtId="0" fontId="32" fillId="0" borderId="14" xfId="0" applyFont="1" applyBorder="1" applyAlignment="1">
      <alignment horizontal="center" vertical="center" wrapText="1"/>
    </xf>
    <xf numFmtId="0" fontId="33" fillId="0" borderId="14" xfId="0" applyFont="1" applyBorder="1" applyAlignment="1">
      <alignment horizontal="center" vertical="center" wrapText="1"/>
    </xf>
    <xf numFmtId="0" fontId="0" fillId="0" borderId="0" xfId="0" applyAlignment="1">
      <alignment vertical="center"/>
    </xf>
    <xf numFmtId="0" fontId="34" fillId="0" borderId="14" xfId="0" applyFont="1" applyBorder="1" applyAlignment="1">
      <alignment vertical="center"/>
    </xf>
    <xf numFmtId="0" fontId="35" fillId="0" borderId="14" xfId="0" applyFont="1" applyBorder="1" applyAlignment="1">
      <alignment vertical="center" wrapText="1"/>
    </xf>
    <xf numFmtId="0" fontId="35" fillId="0" borderId="14" xfId="0" applyFont="1" applyBorder="1" applyAlignment="1">
      <alignment vertical="center"/>
    </xf>
    <xf numFmtId="43" fontId="34" fillId="0" borderId="14" xfId="6" applyFont="1" applyFill="1" applyBorder="1" applyAlignment="1">
      <alignment vertical="center"/>
    </xf>
    <xf numFmtId="176" fontId="34" fillId="0" borderId="14" xfId="0" applyNumberFormat="1" applyFont="1" applyBorder="1" applyAlignment="1">
      <alignment vertical="center"/>
    </xf>
    <xf numFmtId="0" fontId="36" fillId="0" borderId="0" xfId="0" applyFont="1" applyAlignment="1"/>
    <xf numFmtId="0" fontId="24" fillId="0" borderId="7" xfId="0" applyFont="1" applyBorder="1" applyAlignment="1">
      <alignment vertical="center" wrapText="1"/>
    </xf>
    <xf numFmtId="170" fontId="18" fillId="0" borderId="4" xfId="0" applyNumberFormat="1" applyFont="1" applyBorder="1" applyAlignment="1">
      <alignment horizontal="right" vertical="center" wrapText="1" readingOrder="1"/>
    </xf>
    <xf numFmtId="0" fontId="2" fillId="2" borderId="0" xfId="0" applyFont="1" applyFill="1" applyAlignment="1">
      <alignment horizontal="right" vertical="top" wrapText="1" readingOrder="1"/>
    </xf>
    <xf numFmtId="0" fontId="2" fillId="2" borderId="4" xfId="0" applyFont="1" applyFill="1" applyBorder="1" applyAlignment="1">
      <alignment horizontal="left" vertical="center" wrapText="1" readingOrder="1"/>
    </xf>
    <xf numFmtId="171" fontId="2" fillId="2" borderId="4" xfId="0" applyNumberFormat="1" applyFont="1" applyFill="1" applyBorder="1" applyAlignment="1">
      <alignment horizontal="right" vertical="center" wrapText="1" readingOrder="1"/>
    </xf>
    <xf numFmtId="0" fontId="2" fillId="2" borderId="4" xfId="0" applyFont="1" applyFill="1" applyBorder="1" applyAlignment="1">
      <alignment horizontal="right" vertical="center" wrapText="1" readingOrder="1"/>
    </xf>
    <xf numFmtId="0" fontId="2" fillId="2" borderId="0" xfId="0" applyFont="1" applyFill="1" applyAlignment="1">
      <alignment horizontal="left" vertical="center" wrapText="1" readingOrder="1"/>
    </xf>
    <xf numFmtId="0" fontId="2" fillId="2" borderId="0" xfId="0" applyFont="1" applyFill="1" applyAlignment="1">
      <alignment horizontal="right" vertical="center" wrapText="1" readingOrder="1"/>
    </xf>
    <xf numFmtId="0" fontId="18" fillId="0" borderId="0" xfId="0" applyFont="1" applyAlignment="1">
      <alignment horizontal="left" vertical="center" wrapText="1" readingOrder="1"/>
    </xf>
    <xf numFmtId="0" fontId="18" fillId="0" borderId="1" xfId="0" applyFont="1" applyBorder="1" applyAlignment="1">
      <alignment horizontal="left" vertical="center" wrapText="1" readingOrder="1"/>
    </xf>
    <xf numFmtId="0" fontId="18" fillId="0" borderId="3" xfId="0" applyFont="1" applyBorder="1" applyAlignment="1">
      <alignment horizontal="left" vertical="center" wrapText="1" readingOrder="1"/>
    </xf>
    <xf numFmtId="0" fontId="20" fillId="0" borderId="7" xfId="0" applyFont="1" applyBorder="1" applyAlignment="1">
      <alignment horizontal="center" vertical="center" wrapText="1" readingOrder="1"/>
    </xf>
    <xf numFmtId="0" fontId="3" fillId="0" borderId="1" xfId="0" applyFont="1" applyBorder="1" applyAlignment="1">
      <alignment horizontal="left" vertical="center" wrapText="1" readingOrder="1"/>
    </xf>
    <xf numFmtId="0" fontId="3" fillId="0" borderId="2" xfId="0" applyFont="1" applyBorder="1" applyAlignment="1">
      <alignment horizontal="left" vertical="center" wrapText="1" readingOrder="1"/>
    </xf>
    <xf numFmtId="0" fontId="3" fillId="0" borderId="3" xfId="0" applyFont="1" applyBorder="1" applyAlignment="1">
      <alignment horizontal="left" vertical="center" wrapText="1" readingOrder="1"/>
    </xf>
    <xf numFmtId="0" fontId="2" fillId="0" borderId="1" xfId="0" applyFont="1" applyBorder="1" applyAlignment="1">
      <alignment horizontal="left" vertical="center" wrapText="1" readingOrder="1"/>
    </xf>
    <xf numFmtId="0" fontId="2" fillId="0" borderId="3" xfId="0" applyFont="1" applyBorder="1" applyAlignment="1">
      <alignment horizontal="left" vertical="center" wrapText="1" readingOrder="1"/>
    </xf>
    <xf numFmtId="0" fontId="22" fillId="0" borderId="8" xfId="0" applyFont="1" applyBorder="1" applyAlignment="1">
      <alignment horizontal="center" vertical="center"/>
    </xf>
    <xf numFmtId="0" fontId="22" fillId="0" borderId="9" xfId="0" applyFont="1" applyBorder="1" applyAlignment="1">
      <alignment horizontal="center" vertical="center"/>
    </xf>
    <xf numFmtId="0" fontId="22" fillId="0" borderId="10" xfId="0" applyFont="1" applyBorder="1" applyAlignment="1">
      <alignment horizontal="center" vertical="center"/>
    </xf>
    <xf numFmtId="0" fontId="15" fillId="0" borderId="7" xfId="0" applyFont="1" applyBorder="1" applyAlignment="1">
      <alignment horizontal="center" vertical="center" wrapText="1" readingOrder="1"/>
    </xf>
    <xf numFmtId="0" fontId="18" fillId="0" borderId="7" xfId="0" applyFont="1" applyBorder="1" applyAlignment="1">
      <alignment horizontal="left" vertical="center" wrapText="1" readingOrder="1"/>
    </xf>
    <xf numFmtId="0" fontId="18" fillId="0" borderId="8" xfId="0" applyFont="1" applyBorder="1" applyAlignment="1">
      <alignment horizontal="left" vertical="center" wrapText="1" readingOrder="1"/>
    </xf>
    <xf numFmtId="0" fontId="18" fillId="0" borderId="10" xfId="0" applyFont="1" applyBorder="1" applyAlignment="1">
      <alignment horizontal="left" vertical="center" wrapText="1" readingOrder="1"/>
    </xf>
    <xf numFmtId="0" fontId="18" fillId="0" borderId="9" xfId="0" applyFont="1" applyBorder="1" applyAlignment="1">
      <alignment horizontal="left" vertical="center" wrapText="1" readingOrder="1"/>
    </xf>
    <xf numFmtId="0" fontId="20" fillId="0" borderId="8" xfId="0" applyFont="1" applyBorder="1" applyAlignment="1">
      <alignment horizontal="center" vertical="center" wrapText="1" readingOrder="1"/>
    </xf>
    <xf numFmtId="0" fontId="20" fillId="0" borderId="10" xfId="0" applyFont="1" applyBorder="1" applyAlignment="1">
      <alignment horizontal="center" vertical="center" wrapText="1" readingOrder="1"/>
    </xf>
    <xf numFmtId="0" fontId="18" fillId="0" borderId="0" xfId="0" quotePrefix="1" applyFont="1" applyAlignment="1">
      <alignment horizontal="left" vertical="center" wrapText="1" readingOrder="1"/>
    </xf>
    <xf numFmtId="0" fontId="18" fillId="0" borderId="11" xfId="0" applyFont="1" applyBorder="1" applyAlignment="1">
      <alignment horizontal="left" vertical="center" wrapText="1" readingOrder="1"/>
    </xf>
    <xf numFmtId="0" fontId="26" fillId="0" borderId="7" xfId="2" applyFont="1" applyBorder="1" applyAlignment="1">
      <alignment horizontal="center" wrapText="1"/>
    </xf>
    <xf numFmtId="0" fontId="26" fillId="0" borderId="7" xfId="2" applyFont="1" applyBorder="1" applyAlignment="1">
      <alignment horizontal="center"/>
    </xf>
    <xf numFmtId="43" fontId="27" fillId="0" borderId="7" xfId="6" applyFont="1" applyFill="1" applyBorder="1" applyAlignment="1">
      <alignment horizontal="center"/>
    </xf>
    <xf numFmtId="0" fontId="27" fillId="0" borderId="7" xfId="2" applyFont="1" applyBorder="1" applyAlignment="1">
      <alignment horizontal="center"/>
    </xf>
    <xf numFmtId="0" fontId="26" fillId="0" borderId="12" xfId="2" applyFont="1" applyBorder="1" applyAlignment="1">
      <alignment horizontal="center" vertical="center" wrapText="1"/>
    </xf>
    <xf numFmtId="0" fontId="26" fillId="0" borderId="13" xfId="2" applyFont="1" applyBorder="1" applyAlignment="1">
      <alignment horizontal="center" vertical="center" wrapText="1"/>
    </xf>
    <xf numFmtId="0" fontId="26" fillId="0" borderId="7" xfId="2" applyFont="1" applyBorder="1" applyAlignment="1">
      <alignment horizontal="center" vertical="center"/>
    </xf>
    <xf numFmtId="0" fontId="26" fillId="0" borderId="7" xfId="2" applyFont="1" applyBorder="1" applyAlignment="1">
      <alignment horizontal="center" vertical="center" wrapText="1"/>
    </xf>
    <xf numFmtId="0" fontId="18" fillId="0" borderId="0" xfId="0" applyFont="1" applyAlignment="1">
      <alignment horizontal="justify" vertical="top" wrapText="1" readingOrder="1"/>
    </xf>
    <xf numFmtId="0" fontId="29" fillId="0" borderId="0" xfId="0" applyFont="1" applyAlignment="1">
      <alignment horizontal="left" vertical="top" readingOrder="1"/>
    </xf>
    <xf numFmtId="0" fontId="26" fillId="0" borderId="8" xfId="2" applyFont="1" applyBorder="1" applyAlignment="1">
      <alignment horizontal="center" wrapText="1"/>
    </xf>
    <xf numFmtId="0" fontId="26" fillId="0" borderId="9" xfId="2" applyFont="1" applyBorder="1" applyAlignment="1">
      <alignment horizontal="center" wrapText="1"/>
    </xf>
    <xf numFmtId="0" fontId="26" fillId="0" borderId="10" xfId="2" applyFont="1" applyBorder="1" applyAlignment="1">
      <alignment horizontal="center" wrapText="1"/>
    </xf>
    <xf numFmtId="0" fontId="26" fillId="0" borderId="8" xfId="2" applyFont="1" applyBorder="1" applyAlignment="1">
      <alignment horizontal="center"/>
    </xf>
    <xf numFmtId="0" fontId="26" fillId="0" borderId="10" xfId="2" applyFont="1" applyBorder="1" applyAlignment="1">
      <alignment horizontal="center"/>
    </xf>
    <xf numFmtId="43" fontId="27" fillId="0" borderId="8" xfId="6" applyFont="1" applyFill="1" applyBorder="1" applyAlignment="1">
      <alignment horizontal="center"/>
    </xf>
    <xf numFmtId="43" fontId="27" fillId="0" borderId="9" xfId="6" applyFont="1" applyFill="1" applyBorder="1" applyAlignment="1">
      <alignment horizontal="center"/>
    </xf>
    <xf numFmtId="43" fontId="27" fillId="0" borderId="10" xfId="6" applyFont="1" applyFill="1" applyBorder="1" applyAlignment="1">
      <alignment horizontal="center"/>
    </xf>
    <xf numFmtId="0" fontId="27" fillId="0" borderId="0" xfId="2" applyFont="1" applyAlignment="1">
      <alignment horizontal="left" vertical="center" wrapText="1"/>
    </xf>
    <xf numFmtId="0" fontId="22" fillId="0" borderId="8" xfId="0" applyFont="1" applyBorder="1" applyAlignment="1">
      <alignment horizontal="left" vertical="center" readingOrder="1"/>
    </xf>
    <xf numFmtId="0" fontId="22" fillId="0" borderId="9" xfId="0" applyFont="1" applyBorder="1" applyAlignment="1">
      <alignment horizontal="left" vertical="center" readingOrder="1"/>
    </xf>
    <xf numFmtId="0" fontId="22" fillId="0" borderId="10" xfId="0" applyFont="1" applyBorder="1" applyAlignment="1">
      <alignment horizontal="left" vertical="center" readingOrder="1"/>
    </xf>
    <xf numFmtId="0" fontId="24" fillId="0" borderId="8" xfId="10" applyFont="1" applyBorder="1" applyAlignment="1">
      <alignment horizontal="center" vertical="center" wrapText="1"/>
    </xf>
    <xf numFmtId="0" fontId="24" fillId="0" borderId="10" xfId="10" applyFont="1" applyBorder="1" applyAlignment="1">
      <alignment horizontal="center" vertical="center" wrapText="1"/>
    </xf>
    <xf numFmtId="0" fontId="24" fillId="0" borderId="7" xfId="10" applyFont="1" applyBorder="1" applyAlignment="1">
      <alignment horizontal="center" vertical="center"/>
    </xf>
    <xf numFmtId="43" fontId="25" fillId="0" borderId="8" xfId="6" applyFont="1" applyFill="1" applyBorder="1" applyAlignment="1">
      <alignment horizontal="center" vertical="center"/>
    </xf>
    <xf numFmtId="43" fontId="25" fillId="0" borderId="10" xfId="6" applyFont="1" applyFill="1" applyBorder="1" applyAlignment="1">
      <alignment horizontal="center" vertical="center"/>
    </xf>
    <xf numFmtId="0" fontId="24" fillId="0" borderId="8" xfId="10" applyFont="1" applyBorder="1" applyAlignment="1">
      <alignment horizontal="center" vertical="center"/>
    </xf>
    <xf numFmtId="0" fontId="24" fillId="0" borderId="9" xfId="10" applyFont="1" applyBorder="1" applyAlignment="1">
      <alignment horizontal="center" vertical="center"/>
    </xf>
    <xf numFmtId="0" fontId="24" fillId="0" borderId="10" xfId="10" applyFont="1" applyBorder="1" applyAlignment="1">
      <alignment horizontal="center" vertical="center"/>
    </xf>
    <xf numFmtId="0" fontId="25" fillId="0" borderId="8" xfId="10" applyFont="1" applyBorder="1" applyAlignment="1">
      <alignment horizontal="left" vertical="center" wrapText="1"/>
    </xf>
    <xf numFmtId="0" fontId="25" fillId="0" borderId="9" xfId="10" applyFont="1" applyBorder="1" applyAlignment="1">
      <alignment horizontal="left" vertical="center" wrapText="1"/>
    </xf>
    <xf numFmtId="0" fontId="25" fillId="0" borderId="10" xfId="10" applyFont="1" applyBorder="1" applyAlignment="1">
      <alignment horizontal="left" vertical="center" wrapText="1"/>
    </xf>
    <xf numFmtId="0" fontId="29" fillId="0" borderId="7" xfId="0" applyFont="1" applyBorder="1" applyAlignment="1">
      <alignment horizontal="left" vertical="top" readingOrder="1"/>
    </xf>
  </cellXfs>
  <cellStyles count="11">
    <cellStyle name="Comma" xfId="1" builtinId="3"/>
    <cellStyle name="Comma 2" xfId="6" xr:uid="{3C3FA10D-C3D3-47CE-A958-C7CA3B2EB24F}"/>
    <cellStyle name="Hyperlink 2" xfId="4" xr:uid="{F588C5B4-1F53-41F8-A16B-198D1D408BBA}"/>
    <cellStyle name="Normal" xfId="0" builtinId="0"/>
    <cellStyle name="Normal 2 2 2" xfId="2" xr:uid="{01FAC2AD-F4F6-4DA1-A181-33021D6A1FBB}"/>
    <cellStyle name="Normal 2 2 3" xfId="10" xr:uid="{FE141E82-0800-4E43-AD05-208747F989EB}"/>
    <cellStyle name="Normal 2 3" xfId="3" xr:uid="{58034B7C-97C6-49C1-AD7B-4A4D790BD002}"/>
    <cellStyle name="Normal 3" xfId="5" xr:uid="{25F75C06-D872-4E0F-A839-386A2EF71D2C}"/>
    <cellStyle name="Normal 4" xfId="9" xr:uid="{31132E2B-A165-4782-AB07-3F5196DDCEAE}"/>
    <cellStyle name="Percent 2" xfId="7" xr:uid="{CB70BF3D-249A-48BC-9394-E66F9F879B05}"/>
    <cellStyle name="Percent 3" xfId="8" xr:uid="{A8670EC9-1F3A-4B64-8EB4-A509BB51C5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2.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xdr:col>
      <xdr:colOff>19049</xdr:colOff>
      <xdr:row>151</xdr:row>
      <xdr:rowOff>0</xdr:rowOff>
    </xdr:from>
    <xdr:to>
      <xdr:col>2</xdr:col>
      <xdr:colOff>1770822</xdr:colOff>
      <xdr:row>152</xdr:row>
      <xdr:rowOff>27375</xdr:rowOff>
    </xdr:to>
    <xdr:pic>
      <xdr:nvPicPr>
        <xdr:cNvPr id="5" name="Picture 4">
          <a:extLst>
            <a:ext uri="{FF2B5EF4-FFF2-40B4-BE49-F238E27FC236}">
              <a16:creationId xmlns:a16="http://schemas.microsoft.com/office/drawing/2014/main" id="{D9F633BA-F189-4C26-9B7C-D88020DCD8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9574" y="30108525"/>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156</xdr:row>
      <xdr:rowOff>85726</xdr:rowOff>
    </xdr:from>
    <xdr:to>
      <xdr:col>2</xdr:col>
      <xdr:colOff>2034089</xdr:colOff>
      <xdr:row>156</xdr:row>
      <xdr:rowOff>2065726</xdr:rowOff>
    </xdr:to>
    <xdr:pic>
      <xdr:nvPicPr>
        <xdr:cNvPr id="6" name="Picture 5">
          <a:extLst>
            <a:ext uri="{FF2B5EF4-FFF2-40B4-BE49-F238E27FC236}">
              <a16:creationId xmlns:a16="http://schemas.microsoft.com/office/drawing/2014/main" id="{28242BF3-AACA-439A-AA85-A044DA48D18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2794576"/>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28575</xdr:colOff>
      <xdr:row>156</xdr:row>
      <xdr:rowOff>76201</xdr:rowOff>
    </xdr:from>
    <xdr:to>
      <xdr:col>7</xdr:col>
      <xdr:colOff>443414</xdr:colOff>
      <xdr:row>156</xdr:row>
      <xdr:rowOff>2056201</xdr:rowOff>
    </xdr:to>
    <xdr:pic>
      <xdr:nvPicPr>
        <xdr:cNvPr id="7" name="Picture 6">
          <a:extLst>
            <a:ext uri="{FF2B5EF4-FFF2-40B4-BE49-F238E27FC236}">
              <a16:creationId xmlns:a16="http://schemas.microsoft.com/office/drawing/2014/main" id="{A34EFF7C-36B3-4A00-AB38-005ADBA2167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81500" y="32785051"/>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137</xdr:row>
      <xdr:rowOff>0</xdr:rowOff>
    </xdr:from>
    <xdr:to>
      <xdr:col>2</xdr:col>
      <xdr:colOff>1627948</xdr:colOff>
      <xdr:row>138</xdr:row>
      <xdr:rowOff>27375</xdr:rowOff>
    </xdr:to>
    <xdr:pic>
      <xdr:nvPicPr>
        <xdr:cNvPr id="5" name="Picture 4">
          <a:extLst>
            <a:ext uri="{FF2B5EF4-FFF2-40B4-BE49-F238E27FC236}">
              <a16:creationId xmlns:a16="http://schemas.microsoft.com/office/drawing/2014/main" id="{D7A46F62-1F1B-4539-80A8-720F62105E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7670125"/>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142</xdr:row>
      <xdr:rowOff>0</xdr:rowOff>
    </xdr:from>
    <xdr:to>
      <xdr:col>2</xdr:col>
      <xdr:colOff>1910264</xdr:colOff>
      <xdr:row>142</xdr:row>
      <xdr:rowOff>1980000</xdr:rowOff>
    </xdr:to>
    <xdr:pic>
      <xdr:nvPicPr>
        <xdr:cNvPr id="6" name="Picture 5">
          <a:extLst>
            <a:ext uri="{FF2B5EF4-FFF2-40B4-BE49-F238E27FC236}">
              <a16:creationId xmlns:a16="http://schemas.microsoft.com/office/drawing/2014/main" id="{3CBD7F12-9C13-4934-91E0-68E40EC2E6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02704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523875</xdr:colOff>
      <xdr:row>142</xdr:row>
      <xdr:rowOff>0</xdr:rowOff>
    </xdr:from>
    <xdr:to>
      <xdr:col>9</xdr:col>
      <xdr:colOff>214814</xdr:colOff>
      <xdr:row>142</xdr:row>
      <xdr:rowOff>1980000</xdr:rowOff>
    </xdr:to>
    <xdr:pic>
      <xdr:nvPicPr>
        <xdr:cNvPr id="7" name="Picture 6">
          <a:extLst>
            <a:ext uri="{FF2B5EF4-FFF2-40B4-BE49-F238E27FC236}">
              <a16:creationId xmlns:a16="http://schemas.microsoft.com/office/drawing/2014/main" id="{FE772A01-56CC-452C-9686-19923222796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657725" y="302704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160</xdr:row>
      <xdr:rowOff>0</xdr:rowOff>
    </xdr:from>
    <xdr:to>
      <xdr:col>2</xdr:col>
      <xdr:colOff>1910264</xdr:colOff>
      <xdr:row>160</xdr:row>
      <xdr:rowOff>1980000</xdr:rowOff>
    </xdr:to>
    <xdr:pic>
      <xdr:nvPicPr>
        <xdr:cNvPr id="5" name="Picture 4">
          <a:extLst>
            <a:ext uri="{FF2B5EF4-FFF2-40B4-BE49-F238E27FC236}">
              <a16:creationId xmlns:a16="http://schemas.microsoft.com/office/drawing/2014/main" id="{DFD5CDF6-7226-4D9A-BFF8-C1D0B83E6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12515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160</xdr:row>
      <xdr:rowOff>0</xdr:rowOff>
    </xdr:from>
    <xdr:to>
      <xdr:col>7</xdr:col>
      <xdr:colOff>481514</xdr:colOff>
      <xdr:row>160</xdr:row>
      <xdr:rowOff>1980000</xdr:rowOff>
    </xdr:to>
    <xdr:pic>
      <xdr:nvPicPr>
        <xdr:cNvPr id="6" name="Picture 5">
          <a:extLst>
            <a:ext uri="{FF2B5EF4-FFF2-40B4-BE49-F238E27FC236}">
              <a16:creationId xmlns:a16="http://schemas.microsoft.com/office/drawing/2014/main" id="{97DDB483-4094-4C06-B13E-CFD2D1A43C8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52925" y="312515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155</xdr:row>
      <xdr:rowOff>0</xdr:rowOff>
    </xdr:from>
    <xdr:to>
      <xdr:col>2</xdr:col>
      <xdr:colOff>1627948</xdr:colOff>
      <xdr:row>156</xdr:row>
      <xdr:rowOff>27375</xdr:rowOff>
    </xdr:to>
    <xdr:pic>
      <xdr:nvPicPr>
        <xdr:cNvPr id="7" name="Picture 6">
          <a:extLst>
            <a:ext uri="{FF2B5EF4-FFF2-40B4-BE49-F238E27FC236}">
              <a16:creationId xmlns:a16="http://schemas.microsoft.com/office/drawing/2014/main" id="{B0E6D64C-CE63-4339-AE2D-D67D7BB8385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0525" y="28651200"/>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181</xdr:row>
      <xdr:rowOff>0</xdr:rowOff>
    </xdr:from>
    <xdr:to>
      <xdr:col>2</xdr:col>
      <xdr:colOff>1751773</xdr:colOff>
      <xdr:row>182</xdr:row>
      <xdr:rowOff>27375</xdr:rowOff>
    </xdr:to>
    <xdr:pic>
      <xdr:nvPicPr>
        <xdr:cNvPr id="5" name="Picture 4">
          <a:extLst>
            <a:ext uri="{FF2B5EF4-FFF2-40B4-BE49-F238E27FC236}">
              <a16:creationId xmlns:a16="http://schemas.microsoft.com/office/drawing/2014/main" id="{F4BA3F31-411C-4A86-999B-36E58BABB6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9404925"/>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186</xdr:row>
      <xdr:rowOff>0</xdr:rowOff>
    </xdr:from>
    <xdr:to>
      <xdr:col>2</xdr:col>
      <xdr:colOff>2034089</xdr:colOff>
      <xdr:row>186</xdr:row>
      <xdr:rowOff>1980000</xdr:rowOff>
    </xdr:to>
    <xdr:pic>
      <xdr:nvPicPr>
        <xdr:cNvPr id="6" name="Picture 5">
          <a:extLst>
            <a:ext uri="{FF2B5EF4-FFF2-40B4-BE49-F238E27FC236}">
              <a16:creationId xmlns:a16="http://schemas.microsoft.com/office/drawing/2014/main" id="{42C50A93-20B9-47CB-AB23-0C120BE87DE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420052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333375</xdr:colOff>
      <xdr:row>186</xdr:row>
      <xdr:rowOff>0</xdr:rowOff>
    </xdr:from>
    <xdr:to>
      <xdr:col>7</xdr:col>
      <xdr:colOff>529139</xdr:colOff>
      <xdr:row>186</xdr:row>
      <xdr:rowOff>1980000</xdr:rowOff>
    </xdr:to>
    <xdr:pic>
      <xdr:nvPicPr>
        <xdr:cNvPr id="7" name="Picture 6">
          <a:extLst>
            <a:ext uri="{FF2B5EF4-FFF2-40B4-BE49-F238E27FC236}">
              <a16:creationId xmlns:a16="http://schemas.microsoft.com/office/drawing/2014/main" id="{74888F82-339A-4BD0-9EAA-7448778AC2F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52925" y="420052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200</xdr:row>
      <xdr:rowOff>0</xdr:rowOff>
    </xdr:from>
    <xdr:to>
      <xdr:col>2</xdr:col>
      <xdr:colOff>2034089</xdr:colOff>
      <xdr:row>201</xdr:row>
      <xdr:rowOff>27375</xdr:rowOff>
    </xdr:to>
    <xdr:pic>
      <xdr:nvPicPr>
        <xdr:cNvPr id="5" name="Picture 4">
          <a:extLst>
            <a:ext uri="{FF2B5EF4-FFF2-40B4-BE49-F238E27FC236}">
              <a16:creationId xmlns:a16="http://schemas.microsoft.com/office/drawing/2014/main" id="{B4BCF711-02D3-4730-BA80-79838305E11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93668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205</xdr:row>
      <xdr:rowOff>0</xdr:rowOff>
    </xdr:from>
    <xdr:to>
      <xdr:col>2</xdr:col>
      <xdr:colOff>2034089</xdr:colOff>
      <xdr:row>205</xdr:row>
      <xdr:rowOff>1980000</xdr:rowOff>
    </xdr:to>
    <xdr:pic>
      <xdr:nvPicPr>
        <xdr:cNvPr id="6" name="Picture 5">
          <a:extLst>
            <a:ext uri="{FF2B5EF4-FFF2-40B4-BE49-F238E27FC236}">
              <a16:creationId xmlns:a16="http://schemas.microsoft.com/office/drawing/2014/main" id="{F62BA2DA-E486-4EAE-8CF0-C455159AD0E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419671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352425</xdr:colOff>
      <xdr:row>205</xdr:row>
      <xdr:rowOff>0</xdr:rowOff>
    </xdr:from>
    <xdr:to>
      <xdr:col>8</xdr:col>
      <xdr:colOff>186239</xdr:colOff>
      <xdr:row>205</xdr:row>
      <xdr:rowOff>1980000</xdr:rowOff>
    </xdr:to>
    <xdr:pic>
      <xdr:nvPicPr>
        <xdr:cNvPr id="7" name="Picture 6">
          <a:extLst>
            <a:ext uri="{FF2B5EF4-FFF2-40B4-BE49-F238E27FC236}">
              <a16:creationId xmlns:a16="http://schemas.microsoft.com/office/drawing/2014/main" id="{A37FF748-9C5D-4AD9-80F8-5614B96D3B0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52925" y="419671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177</xdr:row>
      <xdr:rowOff>0</xdr:rowOff>
    </xdr:from>
    <xdr:to>
      <xdr:col>2</xdr:col>
      <xdr:colOff>1751773</xdr:colOff>
      <xdr:row>178</xdr:row>
      <xdr:rowOff>27375</xdr:rowOff>
    </xdr:to>
    <xdr:pic>
      <xdr:nvPicPr>
        <xdr:cNvPr id="8" name="Picture 7">
          <a:extLst>
            <a:ext uri="{FF2B5EF4-FFF2-40B4-BE49-F238E27FC236}">
              <a16:creationId xmlns:a16="http://schemas.microsoft.com/office/drawing/2014/main" id="{F9DBA282-7479-48F2-930E-607BE1D9E96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5823525"/>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2609850</xdr:colOff>
      <xdr:row>182</xdr:row>
      <xdr:rowOff>0</xdr:rowOff>
    </xdr:from>
    <xdr:to>
      <xdr:col>6</xdr:col>
      <xdr:colOff>719639</xdr:colOff>
      <xdr:row>182</xdr:row>
      <xdr:rowOff>1980000</xdr:rowOff>
    </xdr:to>
    <xdr:pic>
      <xdr:nvPicPr>
        <xdr:cNvPr id="10" name="Picture 9">
          <a:extLst>
            <a:ext uri="{FF2B5EF4-FFF2-40B4-BE49-F238E27FC236}">
              <a16:creationId xmlns:a16="http://schemas.microsoft.com/office/drawing/2014/main" id="{94FB7BA8-41CB-49B1-9A6A-F2A43EC1203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52925" y="384238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182</xdr:row>
      <xdr:rowOff>0</xdr:rowOff>
    </xdr:from>
    <xdr:to>
      <xdr:col>2</xdr:col>
      <xdr:colOff>2034089</xdr:colOff>
      <xdr:row>182</xdr:row>
      <xdr:rowOff>1980000</xdr:rowOff>
    </xdr:to>
    <xdr:pic>
      <xdr:nvPicPr>
        <xdr:cNvPr id="3" name="Picture 2">
          <a:extLst>
            <a:ext uri="{FF2B5EF4-FFF2-40B4-BE49-F238E27FC236}">
              <a16:creationId xmlns:a16="http://schemas.microsoft.com/office/drawing/2014/main" id="{4174FE7C-B4AC-422D-92E8-FF304859A11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92239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196</xdr:row>
      <xdr:rowOff>0</xdr:rowOff>
    </xdr:from>
    <xdr:to>
      <xdr:col>2</xdr:col>
      <xdr:colOff>2034089</xdr:colOff>
      <xdr:row>197</xdr:row>
      <xdr:rowOff>27375</xdr:rowOff>
    </xdr:to>
    <xdr:pic>
      <xdr:nvPicPr>
        <xdr:cNvPr id="5" name="Picture 4">
          <a:extLst>
            <a:ext uri="{FF2B5EF4-FFF2-40B4-BE49-F238E27FC236}">
              <a16:creationId xmlns:a16="http://schemas.microsoft.com/office/drawing/2014/main" id="{F2D084FB-2E50-4944-8596-D2B2213E67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96049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202</xdr:row>
      <xdr:rowOff>0</xdr:rowOff>
    </xdr:from>
    <xdr:to>
      <xdr:col>2</xdr:col>
      <xdr:colOff>2034089</xdr:colOff>
      <xdr:row>202</xdr:row>
      <xdr:rowOff>1980000</xdr:rowOff>
    </xdr:to>
    <xdr:pic>
      <xdr:nvPicPr>
        <xdr:cNvPr id="6" name="Picture 5">
          <a:extLst>
            <a:ext uri="{FF2B5EF4-FFF2-40B4-BE49-F238E27FC236}">
              <a16:creationId xmlns:a16="http://schemas.microsoft.com/office/drawing/2014/main" id="{D21BE7D7-D492-4B61-AF31-D5EFD0160AC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422052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202</xdr:row>
      <xdr:rowOff>0</xdr:rowOff>
    </xdr:from>
    <xdr:to>
      <xdr:col>7</xdr:col>
      <xdr:colOff>424364</xdr:colOff>
      <xdr:row>202</xdr:row>
      <xdr:rowOff>1980000</xdr:rowOff>
    </xdr:to>
    <xdr:pic>
      <xdr:nvPicPr>
        <xdr:cNvPr id="7" name="Picture 6">
          <a:extLst>
            <a:ext uri="{FF2B5EF4-FFF2-40B4-BE49-F238E27FC236}">
              <a16:creationId xmlns:a16="http://schemas.microsoft.com/office/drawing/2014/main" id="{3BE92008-9138-4DE5-BB5F-93DA0A5D4FF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52925" y="422052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134</xdr:row>
      <xdr:rowOff>0</xdr:rowOff>
    </xdr:from>
    <xdr:to>
      <xdr:col>2</xdr:col>
      <xdr:colOff>1666048</xdr:colOff>
      <xdr:row>135</xdr:row>
      <xdr:rowOff>27375</xdr:rowOff>
    </xdr:to>
    <xdr:pic>
      <xdr:nvPicPr>
        <xdr:cNvPr id="5" name="Picture 4">
          <a:extLst>
            <a:ext uri="{FF2B5EF4-FFF2-40B4-BE49-F238E27FC236}">
              <a16:creationId xmlns:a16="http://schemas.microsoft.com/office/drawing/2014/main" id="{064E961B-7B89-4FC4-A719-2544E3EEF0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7841575"/>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9526</xdr:colOff>
      <xdr:row>139</xdr:row>
      <xdr:rowOff>38101</xdr:rowOff>
    </xdr:from>
    <xdr:to>
      <xdr:col>2</xdr:col>
      <xdr:colOff>1957890</xdr:colOff>
      <xdr:row>139</xdr:row>
      <xdr:rowOff>2018101</xdr:rowOff>
    </xdr:to>
    <xdr:pic>
      <xdr:nvPicPr>
        <xdr:cNvPr id="6" name="Picture 5">
          <a:extLst>
            <a:ext uri="{FF2B5EF4-FFF2-40B4-BE49-F238E27FC236}">
              <a16:creationId xmlns:a16="http://schemas.microsoft.com/office/drawing/2014/main" id="{03CB4E23-74AF-48B8-A45B-9122BA078C2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0051" y="30480001"/>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447675</xdr:colOff>
      <xdr:row>139</xdr:row>
      <xdr:rowOff>19050</xdr:rowOff>
    </xdr:from>
    <xdr:to>
      <xdr:col>8</xdr:col>
      <xdr:colOff>262439</xdr:colOff>
      <xdr:row>139</xdr:row>
      <xdr:rowOff>1999050</xdr:rowOff>
    </xdr:to>
    <xdr:pic>
      <xdr:nvPicPr>
        <xdr:cNvPr id="7" name="Picture 6">
          <a:extLst>
            <a:ext uri="{FF2B5EF4-FFF2-40B4-BE49-F238E27FC236}">
              <a16:creationId xmlns:a16="http://schemas.microsoft.com/office/drawing/2014/main" id="{70C7D48C-4AD0-4149-A433-4B73752AF36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43425" y="304609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168</xdr:row>
      <xdr:rowOff>0</xdr:rowOff>
    </xdr:from>
    <xdr:to>
      <xdr:col>2</xdr:col>
      <xdr:colOff>1994905</xdr:colOff>
      <xdr:row>168</xdr:row>
      <xdr:rowOff>1980000</xdr:rowOff>
    </xdr:to>
    <xdr:pic>
      <xdr:nvPicPr>
        <xdr:cNvPr id="5" name="Picture 4">
          <a:extLst>
            <a:ext uri="{FF2B5EF4-FFF2-40B4-BE49-F238E27FC236}">
              <a16:creationId xmlns:a16="http://schemas.microsoft.com/office/drawing/2014/main" id="{75A5D70C-1C4E-4BEF-A3C4-B738B5AEFE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54711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xdr:colOff>
      <xdr:row>162</xdr:row>
      <xdr:rowOff>161924</xdr:rowOff>
    </xdr:from>
    <xdr:to>
      <xdr:col>2</xdr:col>
      <xdr:colOff>2095501</xdr:colOff>
      <xdr:row>164</xdr:row>
      <xdr:rowOff>28575</xdr:rowOff>
    </xdr:to>
    <xdr:pic>
      <xdr:nvPicPr>
        <xdr:cNvPr id="3" name="Picture 2">
          <a:extLst>
            <a:ext uri="{FF2B5EF4-FFF2-40B4-BE49-F238E27FC236}">
              <a16:creationId xmlns:a16="http://schemas.microsoft.com/office/drawing/2014/main" id="{C3C45F26-7B99-4AF4-84E0-5DAAE092521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6" y="31575374"/>
          <a:ext cx="3448050" cy="19812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111</xdr:row>
      <xdr:rowOff>0</xdr:rowOff>
    </xdr:from>
    <xdr:to>
      <xdr:col>2</xdr:col>
      <xdr:colOff>1976939</xdr:colOff>
      <xdr:row>112</xdr:row>
      <xdr:rowOff>27375</xdr:rowOff>
    </xdr:to>
    <xdr:pic>
      <xdr:nvPicPr>
        <xdr:cNvPr id="8" name="Picture 7">
          <a:extLst>
            <a:ext uri="{FF2B5EF4-FFF2-40B4-BE49-F238E27FC236}">
              <a16:creationId xmlns:a16="http://schemas.microsoft.com/office/drawing/2014/main" id="{2AD3BC5D-4C6A-4F29-810F-C45D35AF36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195738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116</xdr:row>
      <xdr:rowOff>0</xdr:rowOff>
    </xdr:from>
    <xdr:to>
      <xdr:col>2</xdr:col>
      <xdr:colOff>1976939</xdr:colOff>
      <xdr:row>116</xdr:row>
      <xdr:rowOff>1980000</xdr:rowOff>
    </xdr:to>
    <xdr:pic>
      <xdr:nvPicPr>
        <xdr:cNvPr id="9" name="Picture 8">
          <a:extLst>
            <a:ext uri="{FF2B5EF4-FFF2-40B4-BE49-F238E27FC236}">
              <a16:creationId xmlns:a16="http://schemas.microsoft.com/office/drawing/2014/main" id="{50BFD9A5-5627-4227-96E0-D4F113383FA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21742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2571750</xdr:colOff>
      <xdr:row>116</xdr:row>
      <xdr:rowOff>0</xdr:rowOff>
    </xdr:from>
    <xdr:to>
      <xdr:col>7</xdr:col>
      <xdr:colOff>43364</xdr:colOff>
      <xdr:row>116</xdr:row>
      <xdr:rowOff>1980000</xdr:rowOff>
    </xdr:to>
    <xdr:pic>
      <xdr:nvPicPr>
        <xdr:cNvPr id="10" name="Picture 9">
          <a:extLst>
            <a:ext uri="{FF2B5EF4-FFF2-40B4-BE49-F238E27FC236}">
              <a16:creationId xmlns:a16="http://schemas.microsoft.com/office/drawing/2014/main" id="{548EF49D-AC9E-4D51-932B-6BA5A03C76B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71975" y="221742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86326-AB73-4092-AA51-638EE388D876}">
  <dimension ref="A1:C11"/>
  <sheetViews>
    <sheetView tabSelected="1" zoomScale="110" zoomScaleNormal="110" workbookViewId="0">
      <selection activeCell="B1" sqref="B1"/>
    </sheetView>
  </sheetViews>
  <sheetFormatPr defaultColWidth="8.85546875" defaultRowHeight="15" x14ac:dyDescent="0.25"/>
  <cols>
    <col min="1" max="1" width="6.140625" style="3" bestFit="1" customWidth="1"/>
    <col min="2" max="2" width="10.85546875" style="3" bestFit="1" customWidth="1"/>
    <col min="3" max="3" width="35" style="3" bestFit="1" customWidth="1"/>
    <col min="4" max="16384" width="8.85546875" style="3"/>
  </cols>
  <sheetData>
    <row r="1" spans="1:3" x14ac:dyDescent="0.25">
      <c r="A1" s="1" t="s">
        <v>566</v>
      </c>
      <c r="B1" s="2" t="s">
        <v>567</v>
      </c>
      <c r="C1" s="2" t="s">
        <v>568</v>
      </c>
    </row>
    <row r="2" spans="1:3" x14ac:dyDescent="0.25">
      <c r="A2" s="4">
        <v>1</v>
      </c>
      <c r="B2" s="5" t="s">
        <v>569</v>
      </c>
      <c r="C2" s="6" t="s">
        <v>1</v>
      </c>
    </row>
    <row r="3" spans="1:3" x14ac:dyDescent="0.25">
      <c r="A3" s="4">
        <v>2</v>
      </c>
      <c r="B3" s="5" t="s">
        <v>570</v>
      </c>
      <c r="C3" s="6" t="s">
        <v>120</v>
      </c>
    </row>
    <row r="4" spans="1:3" x14ac:dyDescent="0.25">
      <c r="A4" s="4">
        <v>3</v>
      </c>
      <c r="B4" s="5" t="s">
        <v>571</v>
      </c>
      <c r="C4" s="6" t="s">
        <v>143</v>
      </c>
    </row>
    <row r="5" spans="1:3" x14ac:dyDescent="0.25">
      <c r="A5" s="4">
        <v>4</v>
      </c>
      <c r="B5" s="5" t="s">
        <v>572</v>
      </c>
      <c r="C5" s="6" t="s">
        <v>223</v>
      </c>
    </row>
    <row r="6" spans="1:3" x14ac:dyDescent="0.25">
      <c r="A6" s="4">
        <v>5</v>
      </c>
      <c r="B6" s="5" t="s">
        <v>573</v>
      </c>
      <c r="C6" s="6" t="s">
        <v>275</v>
      </c>
    </row>
    <row r="7" spans="1:3" x14ac:dyDescent="0.25">
      <c r="A7" s="4">
        <v>6</v>
      </c>
      <c r="B7" s="5" t="s">
        <v>574</v>
      </c>
      <c r="C7" s="6" t="s">
        <v>422</v>
      </c>
    </row>
    <row r="8" spans="1:3" x14ac:dyDescent="0.25">
      <c r="A8" s="4">
        <v>7</v>
      </c>
      <c r="B8" s="5" t="s">
        <v>575</v>
      </c>
      <c r="C8" s="6" t="s">
        <v>438</v>
      </c>
    </row>
    <row r="9" spans="1:3" x14ac:dyDescent="0.25">
      <c r="A9" s="4">
        <v>8</v>
      </c>
      <c r="B9" s="5" t="s">
        <v>576</v>
      </c>
      <c r="C9" s="6" t="s">
        <v>491</v>
      </c>
    </row>
    <row r="10" spans="1:3" x14ac:dyDescent="0.25">
      <c r="A10" s="4">
        <v>9</v>
      </c>
      <c r="B10" s="5" t="s">
        <v>577</v>
      </c>
      <c r="C10" s="6" t="s">
        <v>495</v>
      </c>
    </row>
    <row r="11" spans="1:3" x14ac:dyDescent="0.25">
      <c r="A11" s="4">
        <v>10</v>
      </c>
      <c r="B11" s="5" t="s">
        <v>578</v>
      </c>
      <c r="C11" s="6" t="s">
        <v>562</v>
      </c>
    </row>
  </sheetData>
  <hyperlinks>
    <hyperlink ref="B3" location="SFRSTP!A1" display="SFRSTP" xr:uid="{9561FD78-324E-44E4-9F5B-19F7FD7A0C70}"/>
    <hyperlink ref="B4" location="SMMF!A1" display="SMMF" xr:uid="{44769CFD-63F9-43A3-8769-B17F23985EA3}"/>
    <hyperlink ref="B5" location="SPLDF!A1" display="SPLDF" xr:uid="{6CD37E75-6393-465C-AEBD-292539B67E67}"/>
    <hyperlink ref="B6" location="SPMON!A1" display="SPMON" xr:uid="{1FD1A037-A77C-49FB-B55C-E5FC7D7D512E}"/>
    <hyperlink ref="B7" location="SPSDF!A1" display="SPSDF" xr:uid="{3C055B70-ED85-418E-A994-AEF7F28D3474}"/>
    <hyperlink ref="B8" location="SPUSDF!A1" display="SPUSDF" xr:uid="{B233C24D-71A0-4FB2-8DC6-E62AEEE5790D}"/>
    <hyperlink ref="B9" location="SUNBDS!A1" display="SUNBDS" xr:uid="{7CE88CCD-EFA7-4064-A07A-932608DCD580}"/>
    <hyperlink ref="B10" location="SUNMIA!A1" display="SUNMIA" xr:uid="{0961BED7-12C1-48A2-A5BF-D9AC955CF932}"/>
    <hyperlink ref="B11" location="SUNONF!A1" display="SUNONF" xr:uid="{E55049DC-3F91-48C5-AD57-9EC5662E76C1}"/>
    <hyperlink ref="B2" location="SFRLTP!A1" display="SFRLTP" xr:uid="{686D66EB-1EEF-407D-93D1-3E7F4D52681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45471-AD4F-45CA-9E57-FDAAFF152597}">
  <sheetPr>
    <outlinePr summaryBelow="0" summaryRight="0"/>
  </sheetPr>
  <dimension ref="A1:Q157"/>
  <sheetViews>
    <sheetView showGridLines="0" workbookViewId="0">
      <selection sqref="A1:H1"/>
    </sheetView>
  </sheetViews>
  <sheetFormatPr defaultRowHeight="12.75" x14ac:dyDescent="0.2"/>
  <cols>
    <col min="1" max="1" width="5.85546875" bestFit="1" customWidth="1"/>
    <col min="2" max="2" width="20.28515625" bestFit="1" customWidth="1"/>
    <col min="3" max="3" width="39.140625" bestFit="1" customWidth="1"/>
    <col min="4" max="4" width="11" bestFit="1" customWidth="1"/>
    <col min="5" max="5" width="9.42578125" bestFit="1" customWidth="1"/>
    <col min="6" max="6" width="10.140625" bestFit="1" customWidth="1"/>
    <col min="7" max="7" width="14" bestFit="1" customWidth="1"/>
    <col min="8" max="8" width="8.85546875" customWidth="1"/>
    <col min="9" max="9" width="5.7109375" bestFit="1" customWidth="1"/>
  </cols>
  <sheetData>
    <row r="1" spans="1:9" ht="15" x14ac:dyDescent="0.2">
      <c r="A1" s="170" t="s">
        <v>0</v>
      </c>
      <c r="B1" s="170"/>
      <c r="C1" s="170"/>
      <c r="D1" s="170"/>
      <c r="E1" s="170"/>
      <c r="F1" s="170"/>
      <c r="G1" s="170"/>
      <c r="H1" s="170"/>
      <c r="I1" s="7" t="s">
        <v>579</v>
      </c>
    </row>
    <row r="2" spans="1:9" ht="15" x14ac:dyDescent="0.2">
      <c r="A2" s="170" t="s">
        <v>1</v>
      </c>
      <c r="B2" s="170"/>
      <c r="C2" s="170"/>
      <c r="D2" s="170"/>
      <c r="E2" s="170"/>
      <c r="F2" s="170"/>
      <c r="G2" s="170"/>
      <c r="H2" s="170"/>
    </row>
    <row r="3" spans="1:9" ht="15" x14ac:dyDescent="0.2">
      <c r="A3" s="170" t="s">
        <v>715</v>
      </c>
      <c r="B3" s="170"/>
      <c r="C3" s="170"/>
      <c r="D3" s="170"/>
      <c r="E3" s="170"/>
      <c r="F3" s="170"/>
      <c r="G3" s="170"/>
      <c r="H3" s="170"/>
    </row>
    <row r="4" spans="1:9" s="8" customFormat="1" ht="30" x14ac:dyDescent="0.2">
      <c r="A4" s="32" t="s">
        <v>2</v>
      </c>
      <c r="B4" s="32" t="s">
        <v>3</v>
      </c>
      <c r="C4" s="32" t="s">
        <v>4</v>
      </c>
      <c r="D4" s="32" t="s">
        <v>5</v>
      </c>
      <c r="E4" s="32" t="s">
        <v>6</v>
      </c>
      <c r="F4" s="32" t="s">
        <v>7</v>
      </c>
      <c r="G4" s="32" t="s">
        <v>8</v>
      </c>
      <c r="H4" s="33" t="s">
        <v>580</v>
      </c>
    </row>
    <row r="5" spans="1:9" x14ac:dyDescent="0.2">
      <c r="A5" s="34"/>
      <c r="B5" s="34"/>
      <c r="C5" s="35" t="s">
        <v>9</v>
      </c>
      <c r="D5" s="34"/>
      <c r="E5" s="34"/>
      <c r="F5" s="34"/>
      <c r="G5" s="34"/>
      <c r="H5" s="36" t="s">
        <v>12</v>
      </c>
    </row>
    <row r="6" spans="1:9" x14ac:dyDescent="0.2">
      <c r="A6" s="34"/>
      <c r="B6" s="34"/>
      <c r="C6" s="35" t="s">
        <v>10</v>
      </c>
      <c r="D6" s="34"/>
      <c r="E6" s="34"/>
      <c r="F6" s="34"/>
      <c r="G6" s="34"/>
      <c r="H6" s="36" t="s">
        <v>12</v>
      </c>
    </row>
    <row r="7" spans="1:9" x14ac:dyDescent="0.2">
      <c r="A7" s="34"/>
      <c r="B7" s="34"/>
      <c r="C7" s="35" t="s">
        <v>11</v>
      </c>
      <c r="D7" s="34"/>
      <c r="E7" s="34" t="s">
        <v>12</v>
      </c>
      <c r="F7" s="37" t="s">
        <v>13</v>
      </c>
      <c r="G7" s="38">
        <v>0</v>
      </c>
      <c r="H7" s="36" t="s">
        <v>12</v>
      </c>
    </row>
    <row r="8" spans="1:9" x14ac:dyDescent="0.2">
      <c r="A8" s="34"/>
      <c r="B8" s="34"/>
      <c r="C8" s="39"/>
      <c r="D8" s="34"/>
      <c r="E8" s="34"/>
      <c r="F8" s="40"/>
      <c r="G8" s="40"/>
      <c r="H8" s="36" t="s">
        <v>12</v>
      </c>
    </row>
    <row r="9" spans="1:9" x14ac:dyDescent="0.2">
      <c r="A9" s="34"/>
      <c r="B9" s="34"/>
      <c r="C9" s="35" t="s">
        <v>14</v>
      </c>
      <c r="D9" s="34"/>
      <c r="E9" s="34"/>
      <c r="F9" s="34"/>
      <c r="G9" s="34"/>
      <c r="H9" s="36" t="s">
        <v>12</v>
      </c>
    </row>
    <row r="10" spans="1:9" x14ac:dyDescent="0.2">
      <c r="A10" s="34"/>
      <c r="B10" s="34"/>
      <c r="C10" s="35" t="s">
        <v>11</v>
      </c>
      <c r="D10" s="34"/>
      <c r="E10" s="34" t="s">
        <v>12</v>
      </c>
      <c r="F10" s="37" t="s">
        <v>13</v>
      </c>
      <c r="G10" s="38">
        <v>0</v>
      </c>
      <c r="H10" s="36" t="s">
        <v>12</v>
      </c>
    </row>
    <row r="11" spans="1:9" x14ac:dyDescent="0.2">
      <c r="A11" s="34"/>
      <c r="B11" s="34"/>
      <c r="C11" s="39"/>
      <c r="D11" s="34"/>
      <c r="E11" s="34"/>
      <c r="F11" s="40"/>
      <c r="G11" s="40"/>
      <c r="H11" s="36" t="s">
        <v>12</v>
      </c>
    </row>
    <row r="12" spans="1:9" x14ac:dyDescent="0.2">
      <c r="A12" s="34"/>
      <c r="B12" s="34"/>
      <c r="C12" s="35" t="s">
        <v>15</v>
      </c>
      <c r="D12" s="34"/>
      <c r="E12" s="34"/>
      <c r="F12" s="34"/>
      <c r="G12" s="34"/>
      <c r="H12" s="36" t="s">
        <v>12</v>
      </c>
    </row>
    <row r="13" spans="1:9" x14ac:dyDescent="0.2">
      <c r="A13" s="34"/>
      <c r="B13" s="34"/>
      <c r="C13" s="35" t="s">
        <v>11</v>
      </c>
      <c r="D13" s="34"/>
      <c r="E13" s="34" t="s">
        <v>12</v>
      </c>
      <c r="F13" s="37" t="s">
        <v>13</v>
      </c>
      <c r="G13" s="38">
        <v>0</v>
      </c>
      <c r="H13" s="36" t="s">
        <v>12</v>
      </c>
    </row>
    <row r="14" spans="1:9" x14ac:dyDescent="0.2">
      <c r="A14" s="34"/>
      <c r="B14" s="34"/>
      <c r="C14" s="39"/>
      <c r="D14" s="34"/>
      <c r="E14" s="34"/>
      <c r="F14" s="40"/>
      <c r="G14" s="40"/>
      <c r="H14" s="36" t="s">
        <v>12</v>
      </c>
    </row>
    <row r="15" spans="1:9" x14ac:dyDescent="0.2">
      <c r="A15" s="34"/>
      <c r="B15" s="34"/>
      <c r="C15" s="35" t="s">
        <v>16</v>
      </c>
      <c r="D15" s="34"/>
      <c r="E15" s="34"/>
      <c r="F15" s="34"/>
      <c r="G15" s="34"/>
      <c r="H15" s="36" t="s">
        <v>12</v>
      </c>
    </row>
    <row r="16" spans="1:9" x14ac:dyDescent="0.2">
      <c r="A16" s="34"/>
      <c r="B16" s="34"/>
      <c r="C16" s="35" t="s">
        <v>11</v>
      </c>
      <c r="D16" s="34"/>
      <c r="E16" s="34" t="s">
        <v>12</v>
      </c>
      <c r="F16" s="37" t="s">
        <v>13</v>
      </c>
      <c r="G16" s="38">
        <v>0</v>
      </c>
      <c r="H16" s="36" t="s">
        <v>12</v>
      </c>
    </row>
    <row r="17" spans="1:8" x14ac:dyDescent="0.2">
      <c r="A17" s="34"/>
      <c r="B17" s="34"/>
      <c r="C17" s="39"/>
      <c r="D17" s="34"/>
      <c r="E17" s="34"/>
      <c r="F17" s="40"/>
      <c r="G17" s="40"/>
      <c r="H17" s="36" t="s">
        <v>12</v>
      </c>
    </row>
    <row r="18" spans="1:8" x14ac:dyDescent="0.2">
      <c r="A18" s="34"/>
      <c r="B18" s="34"/>
      <c r="C18" s="35" t="s">
        <v>17</v>
      </c>
      <c r="D18" s="34"/>
      <c r="E18" s="34"/>
      <c r="F18" s="40"/>
      <c r="G18" s="40"/>
      <c r="H18" s="36" t="s">
        <v>12</v>
      </c>
    </row>
    <row r="19" spans="1:8" x14ac:dyDescent="0.2">
      <c r="A19" s="34"/>
      <c r="B19" s="34"/>
      <c r="C19" s="35" t="s">
        <v>11</v>
      </c>
      <c r="D19" s="34"/>
      <c r="E19" s="34" t="s">
        <v>12</v>
      </c>
      <c r="F19" s="37" t="s">
        <v>13</v>
      </c>
      <c r="G19" s="38">
        <v>0</v>
      </c>
      <c r="H19" s="36" t="s">
        <v>12</v>
      </c>
    </row>
    <row r="20" spans="1:8" x14ac:dyDescent="0.2">
      <c r="A20" s="34"/>
      <c r="B20" s="34"/>
      <c r="C20" s="39"/>
      <c r="D20" s="34"/>
      <c r="E20" s="34"/>
      <c r="F20" s="40"/>
      <c r="G20" s="40"/>
      <c r="H20" s="36" t="s">
        <v>12</v>
      </c>
    </row>
    <row r="21" spans="1:8" x14ac:dyDescent="0.2">
      <c r="A21" s="34"/>
      <c r="B21" s="34"/>
      <c r="C21" s="35" t="s">
        <v>18</v>
      </c>
      <c r="D21" s="34"/>
      <c r="E21" s="34"/>
      <c r="F21" s="40"/>
      <c r="G21" s="40"/>
      <c r="H21" s="36" t="s">
        <v>12</v>
      </c>
    </row>
    <row r="22" spans="1:8" x14ac:dyDescent="0.2">
      <c r="A22" s="34"/>
      <c r="B22" s="34"/>
      <c r="C22" s="35" t="s">
        <v>11</v>
      </c>
      <c r="D22" s="34"/>
      <c r="E22" s="34" t="s">
        <v>12</v>
      </c>
      <c r="F22" s="37" t="s">
        <v>13</v>
      </c>
      <c r="G22" s="38">
        <v>0</v>
      </c>
      <c r="H22" s="36" t="s">
        <v>12</v>
      </c>
    </row>
    <row r="23" spans="1:8" x14ac:dyDescent="0.2">
      <c r="A23" s="34"/>
      <c r="B23" s="34"/>
      <c r="C23" s="39"/>
      <c r="D23" s="34"/>
      <c r="E23" s="34"/>
      <c r="F23" s="40"/>
      <c r="G23" s="40"/>
      <c r="H23" s="36" t="s">
        <v>12</v>
      </c>
    </row>
    <row r="24" spans="1:8" x14ac:dyDescent="0.2">
      <c r="A24" s="34"/>
      <c r="B24" s="34"/>
      <c r="C24" s="35" t="s">
        <v>19</v>
      </c>
      <c r="D24" s="34"/>
      <c r="E24" s="34"/>
      <c r="F24" s="41">
        <v>0</v>
      </c>
      <c r="G24" s="38">
        <v>0</v>
      </c>
      <c r="H24" s="36" t="s">
        <v>12</v>
      </c>
    </row>
    <row r="25" spans="1:8" x14ac:dyDescent="0.2">
      <c r="A25" s="34"/>
      <c r="B25" s="34"/>
      <c r="C25" s="39"/>
      <c r="D25" s="34"/>
      <c r="E25" s="34"/>
      <c r="F25" s="40"/>
      <c r="G25" s="40"/>
      <c r="H25" s="36" t="s">
        <v>12</v>
      </c>
    </row>
    <row r="26" spans="1:8" x14ac:dyDescent="0.2">
      <c r="A26" s="34"/>
      <c r="B26" s="34"/>
      <c r="C26" s="35" t="s">
        <v>20</v>
      </c>
      <c r="D26" s="34"/>
      <c r="E26" s="34"/>
      <c r="F26" s="40"/>
      <c r="G26" s="40"/>
      <c r="H26" s="36" t="s">
        <v>12</v>
      </c>
    </row>
    <row r="27" spans="1:8" x14ac:dyDescent="0.2">
      <c r="A27" s="34"/>
      <c r="B27" s="34"/>
      <c r="C27" s="35" t="s">
        <v>10</v>
      </c>
      <c r="D27" s="34"/>
      <c r="E27" s="34"/>
      <c r="F27" s="40"/>
      <c r="G27" s="40"/>
      <c r="H27" s="36" t="s">
        <v>12</v>
      </c>
    </row>
    <row r="28" spans="1:8" ht="25.5" x14ac:dyDescent="0.2">
      <c r="A28" s="42">
        <v>1</v>
      </c>
      <c r="B28" s="43" t="s">
        <v>21</v>
      </c>
      <c r="C28" s="43" t="s">
        <v>22</v>
      </c>
      <c r="D28" s="43" t="s">
        <v>23</v>
      </c>
      <c r="E28" s="44">
        <v>5000</v>
      </c>
      <c r="F28" s="45">
        <v>5051.8850000000002</v>
      </c>
      <c r="G28" s="46">
        <v>7.0925160000000001E-2</v>
      </c>
      <c r="H28" s="36">
        <v>7.5049999999999999</v>
      </c>
    </row>
    <row r="29" spans="1:8" ht="25.5" x14ac:dyDescent="0.2">
      <c r="A29" s="42">
        <v>2</v>
      </c>
      <c r="B29" s="43" t="s">
        <v>24</v>
      </c>
      <c r="C29" s="43" t="s">
        <v>25</v>
      </c>
      <c r="D29" s="43" t="s">
        <v>23</v>
      </c>
      <c r="E29" s="44">
        <v>4000</v>
      </c>
      <c r="F29" s="45">
        <v>4012.3159999999998</v>
      </c>
      <c r="G29" s="46">
        <v>5.63303E-2</v>
      </c>
      <c r="H29" s="36">
        <v>7.2961</v>
      </c>
    </row>
    <row r="30" spans="1:8" x14ac:dyDescent="0.2">
      <c r="A30" s="42">
        <v>3</v>
      </c>
      <c r="B30" s="43" t="s">
        <v>26</v>
      </c>
      <c r="C30" s="43" t="s">
        <v>27</v>
      </c>
      <c r="D30" s="43" t="s">
        <v>23</v>
      </c>
      <c r="E30" s="44">
        <v>4000</v>
      </c>
      <c r="F30" s="45">
        <v>3983.9720000000002</v>
      </c>
      <c r="G30" s="46">
        <v>5.593236E-2</v>
      </c>
      <c r="H30" s="36">
        <v>7.48</v>
      </c>
    </row>
    <row r="31" spans="1:8" x14ac:dyDescent="0.2">
      <c r="A31" s="42">
        <v>4</v>
      </c>
      <c r="B31" s="43" t="s">
        <v>28</v>
      </c>
      <c r="C31" s="43" t="s">
        <v>29</v>
      </c>
      <c r="D31" s="43" t="s">
        <v>23</v>
      </c>
      <c r="E31" s="44">
        <v>300</v>
      </c>
      <c r="F31" s="45">
        <v>2997.3510000000001</v>
      </c>
      <c r="G31" s="46">
        <v>4.2080850000000003E-2</v>
      </c>
      <c r="H31" s="36">
        <v>7.7074999999999996</v>
      </c>
    </row>
    <row r="32" spans="1:8" ht="25.5" x14ac:dyDescent="0.2">
      <c r="A32" s="42">
        <v>5</v>
      </c>
      <c r="B32" s="43" t="s">
        <v>30</v>
      </c>
      <c r="C32" s="43" t="s">
        <v>31</v>
      </c>
      <c r="D32" s="43" t="s">
        <v>23</v>
      </c>
      <c r="E32" s="44">
        <v>2500</v>
      </c>
      <c r="F32" s="45">
        <v>2545.4074999999998</v>
      </c>
      <c r="G32" s="46">
        <v>3.5735860000000001E-2</v>
      </c>
      <c r="H32" s="36">
        <v>7.11</v>
      </c>
    </row>
    <row r="33" spans="1:8" ht="25.5" x14ac:dyDescent="0.2">
      <c r="A33" s="42">
        <v>6</v>
      </c>
      <c r="B33" s="43" t="s">
        <v>32</v>
      </c>
      <c r="C33" s="43" t="s">
        <v>33</v>
      </c>
      <c r="D33" s="43" t="s">
        <v>23</v>
      </c>
      <c r="E33" s="44">
        <v>2500</v>
      </c>
      <c r="F33" s="45">
        <v>2529.125</v>
      </c>
      <c r="G33" s="46">
        <v>3.5507259999999999E-2</v>
      </c>
      <c r="H33" s="36">
        <v>7.07</v>
      </c>
    </row>
    <row r="34" spans="1:8" ht="25.5" x14ac:dyDescent="0.2">
      <c r="A34" s="42">
        <v>7</v>
      </c>
      <c r="B34" s="43" t="s">
        <v>34</v>
      </c>
      <c r="C34" s="43" t="s">
        <v>35</v>
      </c>
      <c r="D34" s="43" t="s">
        <v>36</v>
      </c>
      <c r="E34" s="44">
        <v>2500</v>
      </c>
      <c r="F34" s="45">
        <v>2514.0450000000001</v>
      </c>
      <c r="G34" s="46">
        <v>3.5295550000000002E-2</v>
      </c>
      <c r="H34" s="36">
        <v>7.4950000000000001</v>
      </c>
    </row>
    <row r="35" spans="1:8" ht="25.5" x14ac:dyDescent="0.2">
      <c r="A35" s="42">
        <v>8</v>
      </c>
      <c r="B35" s="43" t="s">
        <v>37</v>
      </c>
      <c r="C35" s="43" t="s">
        <v>38</v>
      </c>
      <c r="D35" s="43" t="s">
        <v>23</v>
      </c>
      <c r="E35" s="44">
        <v>2500</v>
      </c>
      <c r="F35" s="45">
        <v>2509.6774999999998</v>
      </c>
      <c r="G35" s="46">
        <v>3.5234229999999998E-2</v>
      </c>
      <c r="H35" s="36">
        <v>7.4950000000000001</v>
      </c>
    </row>
    <row r="36" spans="1:8" x14ac:dyDescent="0.2">
      <c r="A36" s="42">
        <v>9</v>
      </c>
      <c r="B36" s="43" t="s">
        <v>39</v>
      </c>
      <c r="C36" s="43" t="s">
        <v>40</v>
      </c>
      <c r="D36" s="43" t="s">
        <v>23</v>
      </c>
      <c r="E36" s="44">
        <v>2500</v>
      </c>
      <c r="F36" s="45">
        <v>2499.4450000000002</v>
      </c>
      <c r="G36" s="46">
        <v>3.5090580000000003E-2</v>
      </c>
      <c r="H36" s="36">
        <v>7.4450000000000003</v>
      </c>
    </row>
    <row r="37" spans="1:8" x14ac:dyDescent="0.2">
      <c r="A37" s="42">
        <v>10</v>
      </c>
      <c r="B37" s="43" t="s">
        <v>41</v>
      </c>
      <c r="C37" s="43" t="s">
        <v>42</v>
      </c>
      <c r="D37" s="43" t="s">
        <v>23</v>
      </c>
      <c r="E37" s="44">
        <v>2500</v>
      </c>
      <c r="F37" s="45">
        <v>2492.4625000000001</v>
      </c>
      <c r="G37" s="46">
        <v>3.4992549999999997E-2</v>
      </c>
      <c r="H37" s="36">
        <v>7.66</v>
      </c>
    </row>
    <row r="38" spans="1:8" ht="25.5" x14ac:dyDescent="0.2">
      <c r="A38" s="42">
        <v>11</v>
      </c>
      <c r="B38" s="43" t="s">
        <v>43</v>
      </c>
      <c r="C38" s="43" t="s">
        <v>44</v>
      </c>
      <c r="D38" s="43" t="s">
        <v>23</v>
      </c>
      <c r="E38" s="44">
        <v>2500</v>
      </c>
      <c r="F38" s="45">
        <v>2491.4074999999998</v>
      </c>
      <c r="G38" s="46">
        <v>3.4977729999999999E-2</v>
      </c>
      <c r="H38" s="36">
        <v>7.4450000000000003</v>
      </c>
    </row>
    <row r="39" spans="1:8" ht="25.5" x14ac:dyDescent="0.2">
      <c r="A39" s="42">
        <v>12</v>
      </c>
      <c r="B39" s="43" t="s">
        <v>45</v>
      </c>
      <c r="C39" s="43" t="s">
        <v>46</v>
      </c>
      <c r="D39" s="43" t="s">
        <v>23</v>
      </c>
      <c r="E39" s="44">
        <v>2000</v>
      </c>
      <c r="F39" s="45">
        <v>2011.174</v>
      </c>
      <c r="G39" s="46">
        <v>2.8235570000000002E-2</v>
      </c>
      <c r="H39" s="36">
        <v>7.44</v>
      </c>
    </row>
    <row r="40" spans="1:8" x14ac:dyDescent="0.2">
      <c r="A40" s="42">
        <v>13</v>
      </c>
      <c r="B40" s="43" t="s">
        <v>47</v>
      </c>
      <c r="C40" s="43" t="s">
        <v>48</v>
      </c>
      <c r="D40" s="43" t="s">
        <v>23</v>
      </c>
      <c r="E40" s="44">
        <v>2000</v>
      </c>
      <c r="F40" s="45">
        <v>2010.962</v>
      </c>
      <c r="G40" s="46">
        <v>2.8232589999999998E-2</v>
      </c>
      <c r="H40" s="36">
        <v>7.73</v>
      </c>
    </row>
    <row r="41" spans="1:8" ht="25.5" x14ac:dyDescent="0.2">
      <c r="A41" s="42">
        <v>14</v>
      </c>
      <c r="B41" s="43" t="s">
        <v>49</v>
      </c>
      <c r="C41" s="43" t="s">
        <v>50</v>
      </c>
      <c r="D41" s="43" t="s">
        <v>36</v>
      </c>
      <c r="E41" s="44">
        <v>200</v>
      </c>
      <c r="F41" s="45">
        <v>2007.6279999999999</v>
      </c>
      <c r="G41" s="46">
        <v>2.8185789999999999E-2</v>
      </c>
      <c r="H41" s="36">
        <v>7.28</v>
      </c>
    </row>
    <row r="42" spans="1:8" x14ac:dyDescent="0.2">
      <c r="A42" s="42">
        <v>15</v>
      </c>
      <c r="B42" s="43" t="s">
        <v>51</v>
      </c>
      <c r="C42" s="43" t="s">
        <v>52</v>
      </c>
      <c r="D42" s="43" t="s">
        <v>23</v>
      </c>
      <c r="E42" s="44">
        <v>2000</v>
      </c>
      <c r="F42" s="45">
        <v>1996.6659999999999</v>
      </c>
      <c r="G42" s="46">
        <v>2.803189E-2</v>
      </c>
      <c r="H42" s="36">
        <v>7.48</v>
      </c>
    </row>
    <row r="43" spans="1:8" ht="25.5" x14ac:dyDescent="0.2">
      <c r="A43" s="42">
        <v>16</v>
      </c>
      <c r="B43" s="43" t="s">
        <v>53</v>
      </c>
      <c r="C43" s="43" t="s">
        <v>54</v>
      </c>
      <c r="D43" s="43" t="s">
        <v>23</v>
      </c>
      <c r="E43" s="44">
        <v>1500</v>
      </c>
      <c r="F43" s="45">
        <v>1528.7895000000001</v>
      </c>
      <c r="G43" s="46">
        <v>2.146321E-2</v>
      </c>
      <c r="H43" s="36">
        <v>7.4720000000000004</v>
      </c>
    </row>
    <row r="44" spans="1:8" x14ac:dyDescent="0.2">
      <c r="A44" s="42">
        <v>17</v>
      </c>
      <c r="B44" s="43" t="s">
        <v>55</v>
      </c>
      <c r="C44" s="43" t="s">
        <v>56</v>
      </c>
      <c r="D44" s="43" t="s">
        <v>23</v>
      </c>
      <c r="E44" s="44">
        <v>1500</v>
      </c>
      <c r="F44" s="45">
        <v>1502.5065</v>
      </c>
      <c r="G44" s="46">
        <v>2.1094209999999999E-2</v>
      </c>
      <c r="H44" s="36">
        <v>7.63</v>
      </c>
    </row>
    <row r="45" spans="1:8" ht="25.5" x14ac:dyDescent="0.2">
      <c r="A45" s="42">
        <v>18</v>
      </c>
      <c r="B45" s="43" t="s">
        <v>57</v>
      </c>
      <c r="C45" s="43" t="s">
        <v>58</v>
      </c>
      <c r="D45" s="43" t="s">
        <v>23</v>
      </c>
      <c r="E45" s="44">
        <v>1500</v>
      </c>
      <c r="F45" s="45">
        <v>1497.9059999999999</v>
      </c>
      <c r="G45" s="46">
        <v>2.1029619999999999E-2</v>
      </c>
      <c r="H45" s="36">
        <v>7.63</v>
      </c>
    </row>
    <row r="46" spans="1:8" x14ac:dyDescent="0.2">
      <c r="A46" s="42">
        <v>19</v>
      </c>
      <c r="B46" s="43" t="s">
        <v>59</v>
      </c>
      <c r="C46" s="43" t="s">
        <v>60</v>
      </c>
      <c r="D46" s="43" t="s">
        <v>23</v>
      </c>
      <c r="E46" s="44">
        <v>100</v>
      </c>
      <c r="F46" s="45">
        <v>1006.215</v>
      </c>
      <c r="G46" s="46">
        <v>1.41266E-2</v>
      </c>
      <c r="H46" s="36">
        <v>7.7074999999999996</v>
      </c>
    </row>
    <row r="47" spans="1:8" ht="25.5" x14ac:dyDescent="0.2">
      <c r="A47" s="42">
        <v>20</v>
      </c>
      <c r="B47" s="43" t="s">
        <v>61</v>
      </c>
      <c r="C47" s="43" t="s">
        <v>62</v>
      </c>
      <c r="D47" s="43" t="s">
        <v>23</v>
      </c>
      <c r="E47" s="44">
        <v>1000</v>
      </c>
      <c r="F47" s="45">
        <v>999.78099999999995</v>
      </c>
      <c r="G47" s="46">
        <v>1.403627E-2</v>
      </c>
      <c r="H47" s="36">
        <v>8.0649999999999995</v>
      </c>
    </row>
    <row r="48" spans="1:8" ht="25.5" x14ac:dyDescent="0.2">
      <c r="A48" s="42">
        <v>21</v>
      </c>
      <c r="B48" s="43" t="s">
        <v>63</v>
      </c>
      <c r="C48" s="43" t="s">
        <v>64</v>
      </c>
      <c r="D48" s="43" t="s">
        <v>23</v>
      </c>
      <c r="E48" s="44">
        <v>1000</v>
      </c>
      <c r="F48" s="45">
        <v>996.3</v>
      </c>
      <c r="G48" s="46">
        <v>1.3987400000000001E-2</v>
      </c>
      <c r="H48" s="36">
        <v>7.6349999999999998</v>
      </c>
    </row>
    <row r="49" spans="1:8" x14ac:dyDescent="0.2">
      <c r="A49" s="42">
        <v>22</v>
      </c>
      <c r="B49" s="43" t="s">
        <v>65</v>
      </c>
      <c r="C49" s="43" t="s">
        <v>66</v>
      </c>
      <c r="D49" s="43" t="s">
        <v>23</v>
      </c>
      <c r="E49" s="44">
        <v>500</v>
      </c>
      <c r="F49" s="45">
        <v>504.64100000000002</v>
      </c>
      <c r="G49" s="46">
        <v>7.0848300000000003E-3</v>
      </c>
      <c r="H49" s="36">
        <v>7.72</v>
      </c>
    </row>
    <row r="50" spans="1:8" ht="25.5" x14ac:dyDescent="0.2">
      <c r="A50" s="42">
        <v>23</v>
      </c>
      <c r="B50" s="43" t="s">
        <v>67</v>
      </c>
      <c r="C50" s="43" t="s">
        <v>68</v>
      </c>
      <c r="D50" s="43" t="s">
        <v>23</v>
      </c>
      <c r="E50" s="44">
        <v>500</v>
      </c>
      <c r="F50" s="45">
        <v>501.73750000000001</v>
      </c>
      <c r="G50" s="46">
        <v>7.0440700000000004E-3</v>
      </c>
      <c r="H50" s="36">
        <v>7.53</v>
      </c>
    </row>
    <row r="51" spans="1:8" ht="25.5" x14ac:dyDescent="0.2">
      <c r="A51" s="42">
        <v>24</v>
      </c>
      <c r="B51" s="43" t="s">
        <v>69</v>
      </c>
      <c r="C51" s="43" t="s">
        <v>70</v>
      </c>
      <c r="D51" s="43" t="s">
        <v>36</v>
      </c>
      <c r="E51" s="44">
        <v>50</v>
      </c>
      <c r="F51" s="45">
        <v>497.41550000000001</v>
      </c>
      <c r="G51" s="46">
        <v>6.9833899999999999E-3</v>
      </c>
      <c r="H51" s="36">
        <v>7.5250000000000004</v>
      </c>
    </row>
    <row r="52" spans="1:8" x14ac:dyDescent="0.2">
      <c r="A52" s="34"/>
      <c r="B52" s="34"/>
      <c r="C52" s="35" t="s">
        <v>11</v>
      </c>
      <c r="D52" s="34"/>
      <c r="E52" s="34" t="s">
        <v>12</v>
      </c>
      <c r="F52" s="41">
        <v>50688.815999999999</v>
      </c>
      <c r="G52" s="38">
        <v>0.71163787000000001</v>
      </c>
      <c r="H52" s="36" t="s">
        <v>12</v>
      </c>
    </row>
    <row r="53" spans="1:8" x14ac:dyDescent="0.2">
      <c r="A53" s="34"/>
      <c r="B53" s="34"/>
      <c r="C53" s="39"/>
      <c r="D53" s="34"/>
      <c r="E53" s="34"/>
      <c r="F53" s="40"/>
      <c r="G53" s="40"/>
      <c r="H53" s="36" t="s">
        <v>12</v>
      </c>
    </row>
    <row r="54" spans="1:8" x14ac:dyDescent="0.2">
      <c r="A54" s="34"/>
      <c r="B54" s="34"/>
      <c r="C54" s="35" t="s">
        <v>71</v>
      </c>
      <c r="D54" s="34"/>
      <c r="E54" s="34"/>
      <c r="F54" s="34"/>
      <c r="G54" s="34"/>
      <c r="H54" s="36" t="s">
        <v>12</v>
      </c>
    </row>
    <row r="55" spans="1:8" x14ac:dyDescent="0.2">
      <c r="A55" s="34"/>
      <c r="B55" s="34"/>
      <c r="C55" s="35" t="s">
        <v>11</v>
      </c>
      <c r="D55" s="34"/>
      <c r="E55" s="34" t="s">
        <v>12</v>
      </c>
      <c r="F55" s="37" t="s">
        <v>13</v>
      </c>
      <c r="G55" s="38">
        <v>0</v>
      </c>
      <c r="H55" s="36" t="s">
        <v>12</v>
      </c>
    </row>
    <row r="56" spans="1:8" x14ac:dyDescent="0.2">
      <c r="A56" s="34"/>
      <c r="B56" s="34"/>
      <c r="C56" s="39"/>
      <c r="D56" s="34"/>
      <c r="E56" s="34"/>
      <c r="F56" s="40"/>
      <c r="G56" s="40"/>
      <c r="H56" s="36" t="s">
        <v>12</v>
      </c>
    </row>
    <row r="57" spans="1:8" x14ac:dyDescent="0.2">
      <c r="A57" s="34"/>
      <c r="B57" s="34"/>
      <c r="C57" s="35" t="s">
        <v>72</v>
      </c>
      <c r="D57" s="34"/>
      <c r="E57" s="34"/>
      <c r="F57" s="34"/>
      <c r="G57" s="34"/>
      <c r="H57" s="36" t="s">
        <v>12</v>
      </c>
    </row>
    <row r="58" spans="1:8" ht="25.5" x14ac:dyDescent="0.2">
      <c r="A58" s="42">
        <v>1</v>
      </c>
      <c r="B58" s="43" t="s">
        <v>73</v>
      </c>
      <c r="C58" s="43" t="s">
        <v>74</v>
      </c>
      <c r="D58" s="43" t="s">
        <v>75</v>
      </c>
      <c r="E58" s="44">
        <v>8000000</v>
      </c>
      <c r="F58" s="45">
        <v>8166.9359999999997</v>
      </c>
      <c r="G58" s="46">
        <v>0.11465845</v>
      </c>
      <c r="H58" s="36">
        <v>6.9061000000000003</v>
      </c>
    </row>
    <row r="59" spans="1:8" x14ac:dyDescent="0.2">
      <c r="A59" s="42">
        <v>2</v>
      </c>
      <c r="B59" s="43" t="s">
        <v>76</v>
      </c>
      <c r="C59" s="43" t="s">
        <v>77</v>
      </c>
      <c r="D59" s="43" t="s">
        <v>75</v>
      </c>
      <c r="E59" s="44">
        <v>2000000</v>
      </c>
      <c r="F59" s="45">
        <v>2051.8919999999998</v>
      </c>
      <c r="G59" s="46">
        <v>2.8807220000000001E-2</v>
      </c>
      <c r="H59" s="36">
        <v>6.8888999999999996</v>
      </c>
    </row>
    <row r="60" spans="1:8" x14ac:dyDescent="0.2">
      <c r="A60" s="42">
        <v>3</v>
      </c>
      <c r="B60" s="43" t="s">
        <v>78</v>
      </c>
      <c r="C60" s="43" t="s">
        <v>79</v>
      </c>
      <c r="D60" s="43" t="s">
        <v>75</v>
      </c>
      <c r="E60" s="44">
        <v>1500000</v>
      </c>
      <c r="F60" s="45">
        <v>1552.1144999999999</v>
      </c>
      <c r="G60" s="46">
        <v>2.1790670000000002E-2</v>
      </c>
      <c r="H60" s="36">
        <v>7.1391999999999998</v>
      </c>
    </row>
    <row r="61" spans="1:8" ht="25.5" x14ac:dyDescent="0.2">
      <c r="A61" s="42">
        <v>4</v>
      </c>
      <c r="B61" s="43" t="s">
        <v>80</v>
      </c>
      <c r="C61" s="43" t="s">
        <v>81</v>
      </c>
      <c r="D61" s="43" t="s">
        <v>75</v>
      </c>
      <c r="E61" s="44">
        <v>1500000</v>
      </c>
      <c r="F61" s="45">
        <v>1496.58</v>
      </c>
      <c r="G61" s="46">
        <v>2.101101E-2</v>
      </c>
      <c r="H61" s="36">
        <v>7.1486999999999998</v>
      </c>
    </row>
    <row r="62" spans="1:8" x14ac:dyDescent="0.2">
      <c r="A62" s="42">
        <v>5</v>
      </c>
      <c r="B62" s="43" t="s">
        <v>82</v>
      </c>
      <c r="C62" s="43" t="s">
        <v>83</v>
      </c>
      <c r="D62" s="43" t="s">
        <v>75</v>
      </c>
      <c r="E62" s="44">
        <v>1000000</v>
      </c>
      <c r="F62" s="45">
        <v>1021.269</v>
      </c>
      <c r="G62" s="46">
        <v>1.433795E-2</v>
      </c>
      <c r="H62" s="36">
        <v>6.8368000000000002</v>
      </c>
    </row>
    <row r="63" spans="1:8" ht="25.5" x14ac:dyDescent="0.2">
      <c r="A63" s="42">
        <v>6</v>
      </c>
      <c r="B63" s="43" t="s">
        <v>84</v>
      </c>
      <c r="C63" s="43" t="s">
        <v>85</v>
      </c>
      <c r="D63" s="43" t="s">
        <v>75</v>
      </c>
      <c r="E63" s="44">
        <v>500000</v>
      </c>
      <c r="F63" s="45">
        <v>519.50549999999998</v>
      </c>
      <c r="G63" s="46">
        <v>7.2935200000000004E-3</v>
      </c>
      <c r="H63" s="36">
        <v>7.1688000000000001</v>
      </c>
    </row>
    <row r="64" spans="1:8" x14ac:dyDescent="0.2">
      <c r="A64" s="42">
        <v>7</v>
      </c>
      <c r="B64" s="43" t="s">
        <v>86</v>
      </c>
      <c r="C64" s="43" t="s">
        <v>87</v>
      </c>
      <c r="D64" s="43" t="s">
        <v>75</v>
      </c>
      <c r="E64" s="44">
        <v>500000</v>
      </c>
      <c r="F64" s="45">
        <v>512.30050000000006</v>
      </c>
      <c r="G64" s="46">
        <v>7.1923600000000001E-3</v>
      </c>
      <c r="H64" s="36">
        <v>7.0019999999999998</v>
      </c>
    </row>
    <row r="65" spans="1:8" x14ac:dyDescent="0.2">
      <c r="A65" s="34"/>
      <c r="B65" s="34"/>
      <c r="C65" s="35" t="s">
        <v>11</v>
      </c>
      <c r="D65" s="34"/>
      <c r="E65" s="34" t="s">
        <v>12</v>
      </c>
      <c r="F65" s="41">
        <v>15320.5975</v>
      </c>
      <c r="G65" s="38">
        <v>0.21509117999999999</v>
      </c>
      <c r="H65" s="36" t="s">
        <v>12</v>
      </c>
    </row>
    <row r="66" spans="1:8" x14ac:dyDescent="0.2">
      <c r="A66" s="34"/>
      <c r="B66" s="34"/>
      <c r="C66" s="39"/>
      <c r="D66" s="34"/>
      <c r="E66" s="34"/>
      <c r="F66" s="40"/>
      <c r="G66" s="40"/>
      <c r="H66" s="36" t="s">
        <v>12</v>
      </c>
    </row>
    <row r="67" spans="1:8" x14ac:dyDescent="0.2">
      <c r="A67" s="34"/>
      <c r="B67" s="34"/>
      <c r="C67" s="35" t="s">
        <v>88</v>
      </c>
      <c r="D67" s="34"/>
      <c r="E67" s="34"/>
      <c r="F67" s="40"/>
      <c r="G67" s="40"/>
      <c r="H67" s="36" t="s">
        <v>12</v>
      </c>
    </row>
    <row r="68" spans="1:8" x14ac:dyDescent="0.2">
      <c r="A68" s="34"/>
      <c r="B68" s="34"/>
      <c r="C68" s="35" t="s">
        <v>11</v>
      </c>
      <c r="D68" s="34"/>
      <c r="E68" s="34" t="s">
        <v>12</v>
      </c>
      <c r="F68" s="37" t="s">
        <v>13</v>
      </c>
      <c r="G68" s="38">
        <v>0</v>
      </c>
      <c r="H68" s="36" t="s">
        <v>12</v>
      </c>
    </row>
    <row r="69" spans="1:8" x14ac:dyDescent="0.2">
      <c r="A69" s="34"/>
      <c r="B69" s="34"/>
      <c r="C69" s="39"/>
      <c r="D69" s="34"/>
      <c r="E69" s="34"/>
      <c r="F69" s="40"/>
      <c r="G69" s="40"/>
      <c r="H69" s="36" t="s">
        <v>12</v>
      </c>
    </row>
    <row r="70" spans="1:8" x14ac:dyDescent="0.2">
      <c r="A70" s="34"/>
      <c r="B70" s="34"/>
      <c r="C70" s="35" t="s">
        <v>89</v>
      </c>
      <c r="D70" s="34"/>
      <c r="E70" s="34"/>
      <c r="F70" s="41">
        <v>66009.413499999995</v>
      </c>
      <c r="G70" s="38">
        <v>0.92672905000000005</v>
      </c>
      <c r="H70" s="36" t="s">
        <v>12</v>
      </c>
    </row>
    <row r="71" spans="1:8" x14ac:dyDescent="0.2">
      <c r="A71" s="34"/>
      <c r="B71" s="34"/>
      <c r="C71" s="39"/>
      <c r="D71" s="34"/>
      <c r="E71" s="34"/>
      <c r="F71" s="40"/>
      <c r="G71" s="40"/>
      <c r="H71" s="36" t="s">
        <v>12</v>
      </c>
    </row>
    <row r="72" spans="1:8" x14ac:dyDescent="0.2">
      <c r="A72" s="34"/>
      <c r="B72" s="34"/>
      <c r="C72" s="35" t="s">
        <v>90</v>
      </c>
      <c r="D72" s="34"/>
      <c r="E72" s="34"/>
      <c r="F72" s="40"/>
      <c r="G72" s="40"/>
      <c r="H72" s="36" t="s">
        <v>12</v>
      </c>
    </row>
    <row r="73" spans="1:8" x14ac:dyDescent="0.2">
      <c r="A73" s="34"/>
      <c r="B73" s="34"/>
      <c r="C73" s="35" t="s">
        <v>91</v>
      </c>
      <c r="D73" s="34"/>
      <c r="E73" s="34"/>
      <c r="F73" s="40"/>
      <c r="G73" s="40"/>
      <c r="H73" s="36" t="s">
        <v>12</v>
      </c>
    </row>
    <row r="74" spans="1:8" x14ac:dyDescent="0.2">
      <c r="A74" s="34"/>
      <c r="B74" s="34"/>
      <c r="C74" s="35" t="s">
        <v>11</v>
      </c>
      <c r="D74" s="34"/>
      <c r="E74" s="34" t="s">
        <v>12</v>
      </c>
      <c r="F74" s="37" t="s">
        <v>13</v>
      </c>
      <c r="G74" s="38">
        <v>0</v>
      </c>
      <c r="H74" s="36" t="s">
        <v>12</v>
      </c>
    </row>
    <row r="75" spans="1:8" x14ac:dyDescent="0.2">
      <c r="A75" s="34"/>
      <c r="B75" s="34"/>
      <c r="C75" s="39"/>
      <c r="D75" s="34"/>
      <c r="E75" s="34"/>
      <c r="F75" s="40"/>
      <c r="G75" s="40"/>
      <c r="H75" s="36" t="s">
        <v>12</v>
      </c>
    </row>
    <row r="76" spans="1:8" x14ac:dyDescent="0.2">
      <c r="A76" s="34"/>
      <c r="B76" s="34"/>
      <c r="C76" s="35" t="s">
        <v>92</v>
      </c>
      <c r="D76" s="34"/>
      <c r="E76" s="34"/>
      <c r="F76" s="40"/>
      <c r="G76" s="40"/>
      <c r="H76" s="36" t="s">
        <v>12</v>
      </c>
    </row>
    <row r="77" spans="1:8" x14ac:dyDescent="0.2">
      <c r="A77" s="34"/>
      <c r="B77" s="34"/>
      <c r="C77" s="35" t="s">
        <v>11</v>
      </c>
      <c r="D77" s="34"/>
      <c r="E77" s="34" t="s">
        <v>12</v>
      </c>
      <c r="F77" s="37" t="s">
        <v>13</v>
      </c>
      <c r="G77" s="38">
        <v>0</v>
      </c>
      <c r="H77" s="36" t="s">
        <v>12</v>
      </c>
    </row>
    <row r="78" spans="1:8" x14ac:dyDescent="0.2">
      <c r="A78" s="34"/>
      <c r="B78" s="34"/>
      <c r="C78" s="39"/>
      <c r="D78" s="34"/>
      <c r="E78" s="34"/>
      <c r="F78" s="40"/>
      <c r="G78" s="40"/>
      <c r="H78" s="36" t="s">
        <v>12</v>
      </c>
    </row>
    <row r="79" spans="1:8" x14ac:dyDescent="0.2">
      <c r="A79" s="34"/>
      <c r="B79" s="34"/>
      <c r="C79" s="35" t="s">
        <v>93</v>
      </c>
      <c r="D79" s="34"/>
      <c r="E79" s="34"/>
      <c r="F79" s="40"/>
      <c r="G79" s="40"/>
      <c r="H79" s="36" t="s">
        <v>12</v>
      </c>
    </row>
    <row r="80" spans="1:8" x14ac:dyDescent="0.2">
      <c r="A80" s="34"/>
      <c r="B80" s="34"/>
      <c r="C80" s="35" t="s">
        <v>11</v>
      </c>
      <c r="D80" s="34"/>
      <c r="E80" s="34" t="s">
        <v>12</v>
      </c>
      <c r="F80" s="37" t="s">
        <v>13</v>
      </c>
      <c r="G80" s="38">
        <v>0</v>
      </c>
      <c r="H80" s="36" t="s">
        <v>12</v>
      </c>
    </row>
    <row r="81" spans="1:17" x14ac:dyDescent="0.2">
      <c r="A81" s="34"/>
      <c r="B81" s="34"/>
      <c r="C81" s="39"/>
      <c r="D81" s="34"/>
      <c r="E81" s="34"/>
      <c r="F81" s="40"/>
      <c r="G81" s="40"/>
      <c r="H81" s="36" t="s">
        <v>12</v>
      </c>
    </row>
    <row r="82" spans="1:17" x14ac:dyDescent="0.2">
      <c r="A82" s="34"/>
      <c r="B82" s="34"/>
      <c r="C82" s="35" t="s">
        <v>94</v>
      </c>
      <c r="D82" s="34"/>
      <c r="E82" s="34"/>
      <c r="F82" s="40"/>
      <c r="G82" s="40"/>
      <c r="H82" s="36" t="s">
        <v>12</v>
      </c>
    </row>
    <row r="83" spans="1:17" x14ac:dyDescent="0.2">
      <c r="A83" s="42">
        <v>1</v>
      </c>
      <c r="B83" s="43"/>
      <c r="C83" s="43" t="s">
        <v>95</v>
      </c>
      <c r="D83" s="43"/>
      <c r="E83" s="47"/>
      <c r="F83" s="45">
        <v>2925.086084</v>
      </c>
      <c r="G83" s="46">
        <v>4.10663E-2</v>
      </c>
      <c r="H83" s="36">
        <v>6.6</v>
      </c>
    </row>
    <row r="84" spans="1:17" x14ac:dyDescent="0.2">
      <c r="A84" s="34"/>
      <c r="B84" s="34"/>
      <c r="C84" s="35" t="s">
        <v>11</v>
      </c>
      <c r="D84" s="34"/>
      <c r="E84" s="34" t="s">
        <v>12</v>
      </c>
      <c r="F84" s="41">
        <v>2925.086084</v>
      </c>
      <c r="G84" s="38">
        <v>4.10663E-2</v>
      </c>
      <c r="H84" s="36" t="s">
        <v>12</v>
      </c>
    </row>
    <row r="85" spans="1:17" x14ac:dyDescent="0.2">
      <c r="A85" s="34"/>
      <c r="B85" s="34"/>
      <c r="C85" s="39"/>
      <c r="D85" s="34"/>
      <c r="E85" s="34"/>
      <c r="F85" s="40"/>
      <c r="G85" s="40"/>
      <c r="H85" s="36" t="s">
        <v>12</v>
      </c>
    </row>
    <row r="86" spans="1:17" x14ac:dyDescent="0.2">
      <c r="A86" s="34"/>
      <c r="B86" s="34"/>
      <c r="C86" s="35" t="s">
        <v>96</v>
      </c>
      <c r="D86" s="34"/>
      <c r="E86" s="34"/>
      <c r="F86" s="41">
        <v>2925.086084</v>
      </c>
      <c r="G86" s="38">
        <v>4.10663E-2</v>
      </c>
      <c r="H86" s="36" t="s">
        <v>12</v>
      </c>
    </row>
    <row r="87" spans="1:17" x14ac:dyDescent="0.2">
      <c r="A87" s="34"/>
      <c r="B87" s="34"/>
      <c r="C87" s="40"/>
      <c r="D87" s="34"/>
      <c r="E87" s="34"/>
      <c r="F87" s="34"/>
      <c r="G87" s="34"/>
      <c r="H87" s="36" t="s">
        <v>12</v>
      </c>
    </row>
    <row r="88" spans="1:17" x14ac:dyDescent="0.2">
      <c r="A88" s="34"/>
      <c r="B88" s="34"/>
      <c r="C88" s="35" t="s">
        <v>97</v>
      </c>
      <c r="D88" s="34"/>
      <c r="E88" s="34"/>
      <c r="F88" s="34"/>
      <c r="G88" s="34"/>
      <c r="H88" s="36" t="s">
        <v>12</v>
      </c>
    </row>
    <row r="89" spans="1:17" x14ac:dyDescent="0.2">
      <c r="A89" s="34"/>
      <c r="B89" s="34"/>
      <c r="C89" s="35" t="s">
        <v>98</v>
      </c>
      <c r="D89" s="34"/>
      <c r="E89" s="34"/>
      <c r="F89" s="34"/>
      <c r="G89" s="34"/>
      <c r="H89" s="36" t="s">
        <v>12</v>
      </c>
    </row>
    <row r="90" spans="1:17" x14ac:dyDescent="0.2">
      <c r="A90" s="34"/>
      <c r="B90" s="34"/>
      <c r="C90" s="35" t="s">
        <v>11</v>
      </c>
      <c r="D90" s="34"/>
      <c r="E90" s="34" t="s">
        <v>12</v>
      </c>
      <c r="F90" s="37" t="s">
        <v>13</v>
      </c>
      <c r="G90" s="38">
        <v>0</v>
      </c>
      <c r="H90" s="36" t="s">
        <v>12</v>
      </c>
    </row>
    <row r="91" spans="1:17" x14ac:dyDescent="0.2">
      <c r="A91" s="82"/>
      <c r="B91" s="82"/>
      <c r="C91" s="83"/>
      <c r="D91" s="82"/>
      <c r="E91" s="82"/>
      <c r="F91" s="84"/>
      <c r="G91" s="84"/>
      <c r="H91" s="36" t="s">
        <v>12</v>
      </c>
    </row>
    <row r="92" spans="1:17" x14ac:dyDescent="0.2">
      <c r="A92" s="82"/>
      <c r="B92" s="82"/>
      <c r="C92" s="70" t="s">
        <v>581</v>
      </c>
      <c r="D92" s="82"/>
      <c r="E92" s="82"/>
      <c r="F92" s="84"/>
      <c r="G92" s="84"/>
      <c r="H92" s="79"/>
      <c r="K92" s="9"/>
      <c r="L92" s="9"/>
      <c r="M92" s="9"/>
      <c r="N92" s="9"/>
      <c r="O92" s="10"/>
      <c r="P92" s="10"/>
      <c r="Q92" s="10"/>
    </row>
    <row r="93" spans="1:17" ht="25.5" x14ac:dyDescent="0.2">
      <c r="A93" s="76">
        <v>1</v>
      </c>
      <c r="B93" s="77" t="s">
        <v>99</v>
      </c>
      <c r="C93" s="77" t="s">
        <v>100</v>
      </c>
      <c r="D93" s="77"/>
      <c r="E93" s="85">
        <v>2586.3710000000001</v>
      </c>
      <c r="F93" s="79">
        <v>280.51183448799998</v>
      </c>
      <c r="G93" s="80">
        <v>3.9382000000000002E-3</v>
      </c>
      <c r="H93" s="36"/>
    </row>
    <row r="94" spans="1:17" x14ac:dyDescent="0.2">
      <c r="A94" s="82"/>
      <c r="B94" s="82"/>
      <c r="C94" s="70" t="s">
        <v>11</v>
      </c>
      <c r="D94" s="82"/>
      <c r="E94" s="82" t="s">
        <v>12</v>
      </c>
      <c r="F94" s="86">
        <f>SUM(F93)</f>
        <v>280.51183448799998</v>
      </c>
      <c r="G94" s="31">
        <f>SUM(G93)</f>
        <v>3.9382000000000002E-3</v>
      </c>
      <c r="H94" s="36" t="s">
        <v>12</v>
      </c>
    </row>
    <row r="95" spans="1:17" x14ac:dyDescent="0.2">
      <c r="A95" s="34"/>
      <c r="B95" s="34"/>
      <c r="C95" s="39"/>
      <c r="D95" s="34"/>
      <c r="E95" s="34"/>
      <c r="F95" s="40"/>
      <c r="G95" s="40"/>
      <c r="H95" s="36" t="s">
        <v>12</v>
      </c>
    </row>
    <row r="96" spans="1:17" x14ac:dyDescent="0.2">
      <c r="A96" s="34"/>
      <c r="B96" s="34"/>
      <c r="C96" s="35" t="s">
        <v>101</v>
      </c>
      <c r="D96" s="34"/>
      <c r="E96" s="34"/>
      <c r="F96" s="34"/>
      <c r="G96" s="34"/>
      <c r="H96" s="36" t="s">
        <v>12</v>
      </c>
    </row>
    <row r="97" spans="1:8" x14ac:dyDescent="0.2">
      <c r="A97" s="34"/>
      <c r="B97" s="34"/>
      <c r="C97" s="35" t="s">
        <v>102</v>
      </c>
      <c r="D97" s="34"/>
      <c r="E97" s="34"/>
      <c r="F97" s="34"/>
      <c r="G97" s="34"/>
      <c r="H97" s="36" t="s">
        <v>12</v>
      </c>
    </row>
    <row r="98" spans="1:8" x14ac:dyDescent="0.2">
      <c r="A98" s="34"/>
      <c r="B98" s="34"/>
      <c r="C98" s="35" t="s">
        <v>11</v>
      </c>
      <c r="D98" s="34"/>
      <c r="E98" s="34" t="s">
        <v>12</v>
      </c>
      <c r="F98" s="37" t="s">
        <v>13</v>
      </c>
      <c r="G98" s="38">
        <v>0</v>
      </c>
      <c r="H98" s="36" t="s">
        <v>12</v>
      </c>
    </row>
    <row r="99" spans="1:8" x14ac:dyDescent="0.2">
      <c r="A99" s="34"/>
      <c r="B99" s="34"/>
      <c r="C99" s="39"/>
      <c r="D99" s="34"/>
      <c r="E99" s="34"/>
      <c r="F99" s="40"/>
      <c r="G99" s="40"/>
      <c r="H99" s="36" t="s">
        <v>12</v>
      </c>
    </row>
    <row r="100" spans="1:8" x14ac:dyDescent="0.2">
      <c r="A100" s="34"/>
      <c r="B100" s="34"/>
      <c r="C100" s="35" t="s">
        <v>103</v>
      </c>
      <c r="D100" s="34"/>
      <c r="E100" s="34"/>
      <c r="F100" s="40"/>
      <c r="G100" s="40"/>
      <c r="H100" s="36" t="s">
        <v>12</v>
      </c>
    </row>
    <row r="101" spans="1:8" x14ac:dyDescent="0.2">
      <c r="A101" s="34"/>
      <c r="B101" s="34"/>
      <c r="C101" s="35" t="s">
        <v>11</v>
      </c>
      <c r="D101" s="34"/>
      <c r="E101" s="34" t="s">
        <v>12</v>
      </c>
      <c r="F101" s="37" t="s">
        <v>13</v>
      </c>
      <c r="G101" s="38">
        <v>0</v>
      </c>
      <c r="H101" s="36" t="s">
        <v>12</v>
      </c>
    </row>
    <row r="102" spans="1:8" x14ac:dyDescent="0.2">
      <c r="A102" s="34"/>
      <c r="B102" s="34"/>
      <c r="C102" s="39"/>
      <c r="D102" s="34"/>
      <c r="E102" s="34"/>
      <c r="F102" s="40"/>
      <c r="G102" s="40"/>
      <c r="H102" s="36" t="str">
        <f>IFERROR(VLOOKUP(B102,#REF!,12,FALSE),"")</f>
        <v/>
      </c>
    </row>
    <row r="103" spans="1:8" x14ac:dyDescent="0.2">
      <c r="A103" s="47"/>
      <c r="B103" s="43"/>
      <c r="C103" s="43" t="s">
        <v>104</v>
      </c>
      <c r="D103" s="43"/>
      <c r="E103" s="47"/>
      <c r="F103" s="45">
        <v>2013.3746843700001</v>
      </c>
      <c r="G103" s="46">
        <v>2.8266469999999998E-2</v>
      </c>
      <c r="H103" s="36" t="str">
        <f>IFERROR(VLOOKUP(B103,#REF!,12,FALSE),"")</f>
        <v/>
      </c>
    </row>
    <row r="104" spans="1:8" x14ac:dyDescent="0.2">
      <c r="A104" s="39"/>
      <c r="B104" s="39"/>
      <c r="C104" s="35" t="s">
        <v>105</v>
      </c>
      <c r="D104" s="40"/>
      <c r="E104" s="40"/>
      <c r="F104" s="41">
        <v>71228.386102858</v>
      </c>
      <c r="G104" s="48">
        <v>1.0000000200000001</v>
      </c>
      <c r="H104" s="36" t="str">
        <f>IFERROR(VLOOKUP(B104,#REF!,12,FALSE),"")</f>
        <v/>
      </c>
    </row>
    <row r="105" spans="1:8" x14ac:dyDescent="0.2">
      <c r="A105" s="49"/>
      <c r="B105" s="49"/>
      <c r="C105" s="49"/>
      <c r="D105" s="50"/>
      <c r="E105" s="50"/>
      <c r="F105" s="50"/>
      <c r="G105" s="50"/>
    </row>
    <row r="106" spans="1:8" x14ac:dyDescent="0.2">
      <c r="A106" s="51"/>
      <c r="B106" s="158" t="s">
        <v>582</v>
      </c>
      <c r="C106" s="158"/>
      <c r="D106" s="158"/>
      <c r="E106" s="158"/>
      <c r="F106" s="158"/>
      <c r="G106" s="158"/>
      <c r="H106" s="158"/>
    </row>
    <row r="107" spans="1:8" x14ac:dyDescent="0.2">
      <c r="A107" s="51"/>
      <c r="B107" s="158" t="s">
        <v>583</v>
      </c>
      <c r="C107" s="158"/>
      <c r="D107" s="158"/>
      <c r="E107" s="158"/>
      <c r="F107" s="158"/>
      <c r="G107" s="158"/>
      <c r="H107" s="158"/>
    </row>
    <row r="108" spans="1:8" x14ac:dyDescent="0.2">
      <c r="A108" s="51"/>
      <c r="B108" s="158" t="s">
        <v>584</v>
      </c>
      <c r="C108" s="158"/>
      <c r="D108" s="158"/>
      <c r="E108" s="158"/>
      <c r="F108" s="158"/>
      <c r="G108" s="158"/>
      <c r="H108" s="158"/>
    </row>
    <row r="109" spans="1:8" x14ac:dyDescent="0.2">
      <c r="A109" s="51"/>
      <c r="B109" s="51"/>
      <c r="C109" s="51"/>
      <c r="D109" s="52"/>
      <c r="E109" s="52"/>
      <c r="F109" s="52"/>
      <c r="G109" s="52"/>
    </row>
    <row r="110" spans="1:8" x14ac:dyDescent="0.2">
      <c r="A110" s="53"/>
      <c r="B110" s="162" t="s">
        <v>106</v>
      </c>
      <c r="C110" s="163"/>
      <c r="D110" s="164"/>
      <c r="E110" s="54"/>
      <c r="F110" s="55"/>
      <c r="G110" s="55"/>
    </row>
    <row r="111" spans="1:8" x14ac:dyDescent="0.2">
      <c r="A111" s="53"/>
      <c r="B111" s="165" t="s">
        <v>107</v>
      </c>
      <c r="C111" s="166"/>
      <c r="D111" s="35" t="s">
        <v>108</v>
      </c>
      <c r="E111" s="54"/>
      <c r="F111" s="55"/>
      <c r="G111" s="55"/>
    </row>
    <row r="112" spans="1:8" x14ac:dyDescent="0.2">
      <c r="A112" s="53"/>
      <c r="B112" s="165" t="s">
        <v>109</v>
      </c>
      <c r="C112" s="166"/>
      <c r="D112" s="35" t="s">
        <v>108</v>
      </c>
      <c r="E112" s="54"/>
      <c r="F112" s="55"/>
      <c r="G112" s="55"/>
    </row>
    <row r="113" spans="1:8" x14ac:dyDescent="0.2">
      <c r="A113" s="53"/>
      <c r="B113" s="165" t="s">
        <v>110</v>
      </c>
      <c r="C113" s="166"/>
      <c r="D113" s="40" t="s">
        <v>12</v>
      </c>
      <c r="E113" s="54"/>
      <c r="F113" s="55"/>
      <c r="G113" s="55"/>
    </row>
    <row r="114" spans="1:8" x14ac:dyDescent="0.2">
      <c r="A114" s="56"/>
      <c r="B114" s="57" t="s">
        <v>12</v>
      </c>
      <c r="C114" s="57" t="s">
        <v>585</v>
      </c>
      <c r="D114" s="57" t="s">
        <v>111</v>
      </c>
      <c r="E114" s="56"/>
      <c r="F114" s="56"/>
      <c r="G114" s="56"/>
      <c r="H114" s="58"/>
    </row>
    <row r="115" spans="1:8" x14ac:dyDescent="0.2">
      <c r="A115" s="56"/>
      <c r="B115" s="59" t="s">
        <v>112</v>
      </c>
      <c r="C115" s="60">
        <v>45626</v>
      </c>
      <c r="D115" s="60">
        <v>45657</v>
      </c>
      <c r="E115" s="56"/>
      <c r="F115" s="56"/>
      <c r="G115" s="56"/>
    </row>
    <row r="116" spans="1:8" x14ac:dyDescent="0.2">
      <c r="A116" s="61"/>
      <c r="B116" s="43" t="s">
        <v>113</v>
      </c>
      <c r="C116" s="62">
        <v>39.467199999999998</v>
      </c>
      <c r="D116" s="62">
        <v>39.662599999999998</v>
      </c>
      <c r="E116" s="61"/>
      <c r="F116" s="63"/>
      <c r="G116" s="64"/>
    </row>
    <row r="117" spans="1:8" ht="25.5" x14ac:dyDescent="0.2">
      <c r="A117" s="61"/>
      <c r="B117" s="43" t="s">
        <v>705</v>
      </c>
      <c r="C117" s="62">
        <v>17.481999999999999</v>
      </c>
      <c r="D117" s="62">
        <v>17.548500000000001</v>
      </c>
      <c r="E117" s="61"/>
      <c r="F117" s="63"/>
      <c r="G117" s="64"/>
    </row>
    <row r="118" spans="1:8" ht="25.5" x14ac:dyDescent="0.2">
      <c r="A118" s="61"/>
      <c r="B118" s="43" t="s">
        <v>706</v>
      </c>
      <c r="C118" s="62">
        <v>19.371600000000001</v>
      </c>
      <c r="D118" s="62">
        <v>19.392299999999999</v>
      </c>
      <c r="E118" s="61"/>
      <c r="F118" s="63"/>
      <c r="G118" s="64"/>
    </row>
    <row r="119" spans="1:8" ht="25.5" x14ac:dyDescent="0.2">
      <c r="A119" s="61"/>
      <c r="B119" s="43" t="s">
        <v>707</v>
      </c>
      <c r="C119" s="62">
        <v>17.445900000000002</v>
      </c>
      <c r="D119" s="62">
        <v>17.5322</v>
      </c>
      <c r="E119" s="61"/>
      <c r="F119" s="63"/>
      <c r="G119" s="64"/>
    </row>
    <row r="120" spans="1:8" ht="25.5" x14ac:dyDescent="0.2">
      <c r="A120" s="61"/>
      <c r="B120" s="43" t="s">
        <v>708</v>
      </c>
      <c r="C120" s="62">
        <v>17.559999999999999</v>
      </c>
      <c r="D120" s="62">
        <v>17.646999999999998</v>
      </c>
      <c r="E120" s="61"/>
      <c r="F120" s="63"/>
      <c r="G120" s="64"/>
    </row>
    <row r="121" spans="1:8" x14ac:dyDescent="0.2">
      <c r="A121" s="61"/>
      <c r="B121" s="43" t="s">
        <v>114</v>
      </c>
      <c r="C121" s="62">
        <v>38.217599999999997</v>
      </c>
      <c r="D121" s="62">
        <v>38.3994</v>
      </c>
      <c r="E121" s="61"/>
      <c r="F121" s="63"/>
      <c r="G121" s="64"/>
    </row>
    <row r="122" spans="1:8" ht="25.5" x14ac:dyDescent="0.2">
      <c r="A122" s="61"/>
      <c r="B122" s="43" t="s">
        <v>709</v>
      </c>
      <c r="C122" s="62">
        <v>16.521999999999998</v>
      </c>
      <c r="D122" s="62">
        <v>16.580500000000001</v>
      </c>
      <c r="E122" s="61"/>
      <c r="F122" s="63"/>
      <c r="G122" s="64"/>
    </row>
    <row r="123" spans="1:8" ht="25.5" x14ac:dyDescent="0.2">
      <c r="A123" s="61"/>
      <c r="B123" s="43" t="s">
        <v>674</v>
      </c>
      <c r="C123" s="62">
        <v>18.797699999999999</v>
      </c>
      <c r="D123" s="62">
        <v>18.811900000000001</v>
      </c>
      <c r="E123" s="61"/>
      <c r="F123" s="63"/>
      <c r="G123" s="64"/>
    </row>
    <row r="124" spans="1:8" ht="25.5" x14ac:dyDescent="0.2">
      <c r="A124" s="61"/>
      <c r="B124" s="43" t="s">
        <v>710</v>
      </c>
      <c r="C124" s="62">
        <v>17.331499999999998</v>
      </c>
      <c r="D124" s="62">
        <v>17.413900000000002</v>
      </c>
      <c r="E124" s="61"/>
      <c r="F124" s="63"/>
      <c r="G124" s="64"/>
    </row>
    <row r="125" spans="1:8" ht="25.5" x14ac:dyDescent="0.2">
      <c r="A125" s="61"/>
      <c r="B125" s="43" t="s">
        <v>711</v>
      </c>
      <c r="C125" s="62">
        <v>17.0395</v>
      </c>
      <c r="D125" s="62">
        <v>17.1204</v>
      </c>
      <c r="E125" s="61"/>
      <c r="F125" s="63"/>
      <c r="G125" s="64"/>
    </row>
    <row r="126" spans="1:8" x14ac:dyDescent="0.2">
      <c r="A126" s="61"/>
      <c r="B126" s="61"/>
      <c r="C126" s="61"/>
      <c r="D126" s="61"/>
      <c r="E126" s="61"/>
      <c r="F126" s="61"/>
      <c r="G126" s="61"/>
    </row>
    <row r="127" spans="1:8" x14ac:dyDescent="0.2">
      <c r="A127" s="61"/>
      <c r="B127" s="165" t="s">
        <v>712</v>
      </c>
      <c r="C127" s="166"/>
      <c r="D127" s="35" t="s">
        <v>12</v>
      </c>
      <c r="E127" s="61"/>
      <c r="F127" s="61"/>
      <c r="G127" s="61"/>
    </row>
    <row r="128" spans="1:8" x14ac:dyDescent="0.2">
      <c r="A128" s="61"/>
      <c r="B128" s="65" t="s">
        <v>112</v>
      </c>
      <c r="C128" s="66" t="s">
        <v>115</v>
      </c>
      <c r="D128" s="66" t="s">
        <v>116</v>
      </c>
      <c r="E128" s="61"/>
      <c r="F128" s="61"/>
      <c r="G128" s="61"/>
    </row>
    <row r="129" spans="1:14" ht="29.1" customHeight="1" x14ac:dyDescent="0.2">
      <c r="A129" s="152"/>
      <c r="B129" s="153" t="s">
        <v>705</v>
      </c>
      <c r="C129" s="154">
        <v>0.02</v>
      </c>
      <c r="D129" s="155" t="s">
        <v>117</v>
      </c>
      <c r="E129" s="152"/>
      <c r="F129" s="156"/>
      <c r="G129" s="157"/>
    </row>
    <row r="130" spans="1:14" ht="29.1" customHeight="1" x14ac:dyDescent="0.2">
      <c r="A130" s="152"/>
      <c r="B130" s="153" t="s">
        <v>706</v>
      </c>
      <c r="C130" s="154">
        <v>7.4999999999999997E-2</v>
      </c>
      <c r="D130" s="155" t="s">
        <v>117</v>
      </c>
      <c r="E130" s="152"/>
      <c r="F130" s="156"/>
      <c r="G130" s="157"/>
    </row>
    <row r="131" spans="1:14" ht="29.1" customHeight="1" x14ac:dyDescent="0.2">
      <c r="A131" s="152"/>
      <c r="B131" s="153" t="s">
        <v>709</v>
      </c>
      <c r="C131" s="154">
        <v>0.02</v>
      </c>
      <c r="D131" s="155" t="s">
        <v>117</v>
      </c>
      <c r="E131" s="152"/>
      <c r="F131" s="156"/>
      <c r="G131" s="157"/>
    </row>
    <row r="132" spans="1:14" ht="29.1" customHeight="1" x14ac:dyDescent="0.2">
      <c r="A132" s="152"/>
      <c r="B132" s="153" t="s">
        <v>674</v>
      </c>
      <c r="C132" s="154">
        <v>7.4999999999999997E-2</v>
      </c>
      <c r="D132" s="154">
        <v>7.4999999999999997E-2</v>
      </c>
      <c r="E132" s="152"/>
      <c r="F132" s="156"/>
      <c r="G132" s="157"/>
    </row>
    <row r="133" spans="1:14" x14ac:dyDescent="0.2">
      <c r="A133" s="61"/>
      <c r="B133" s="68"/>
      <c r="C133" s="68"/>
      <c r="D133" s="69"/>
      <c r="E133" s="61"/>
      <c r="F133" s="63"/>
      <c r="G133" s="64"/>
    </row>
    <row r="134" spans="1:14" ht="25.5" customHeight="1" x14ac:dyDescent="0.2">
      <c r="A134" s="56"/>
      <c r="B134" s="159" t="s">
        <v>118</v>
      </c>
      <c r="C134" s="160"/>
      <c r="D134" s="70" t="s">
        <v>108</v>
      </c>
      <c r="E134" s="71"/>
      <c r="F134" s="56"/>
      <c r="G134" s="56"/>
    </row>
    <row r="135" spans="1:14" ht="26.25" customHeight="1" x14ac:dyDescent="0.2">
      <c r="A135" s="56"/>
      <c r="B135" s="159" t="s">
        <v>119</v>
      </c>
      <c r="C135" s="160"/>
      <c r="D135" s="70" t="s">
        <v>108</v>
      </c>
      <c r="E135" s="71"/>
      <c r="F135" s="56"/>
      <c r="G135" s="56"/>
    </row>
    <row r="136" spans="1:14" x14ac:dyDescent="0.2">
      <c r="A136" s="56"/>
      <c r="B136" s="159" t="s">
        <v>586</v>
      </c>
      <c r="C136" s="160"/>
      <c r="D136" s="70" t="s">
        <v>108</v>
      </c>
      <c r="E136" s="71"/>
      <c r="F136" s="56"/>
      <c r="G136" s="56"/>
    </row>
    <row r="137" spans="1:14" x14ac:dyDescent="0.2">
      <c r="A137" s="72"/>
      <c r="B137" s="72"/>
      <c r="C137" s="72"/>
      <c r="D137" s="72"/>
      <c r="E137" s="72"/>
      <c r="F137" s="72"/>
      <c r="G137" s="72"/>
    </row>
    <row r="138" spans="1:14" s="11" customFormat="1" x14ac:dyDescent="0.2">
      <c r="B138" s="167" t="s">
        <v>587</v>
      </c>
      <c r="C138" s="168"/>
      <c r="D138" s="169"/>
      <c r="I138"/>
      <c r="J138" s="9"/>
      <c r="K138" s="9"/>
      <c r="L138" s="9"/>
      <c r="M138" s="9"/>
      <c r="N138" s="9"/>
    </row>
    <row r="139" spans="1:14" s="11" customFormat="1" ht="38.25" x14ac:dyDescent="0.2">
      <c r="B139" s="161" t="s">
        <v>588</v>
      </c>
      <c r="C139" s="161"/>
      <c r="D139" s="12" t="s">
        <v>1</v>
      </c>
      <c r="I139"/>
      <c r="J139" s="9"/>
      <c r="K139" s="9"/>
      <c r="L139" s="9"/>
      <c r="M139" s="9"/>
      <c r="N139" s="9"/>
    </row>
    <row r="140" spans="1:14" s="11" customFormat="1" x14ac:dyDescent="0.2">
      <c r="B140" s="171" t="s">
        <v>589</v>
      </c>
      <c r="C140" s="171"/>
      <c r="D140" s="13"/>
      <c r="I140"/>
      <c r="J140" s="9"/>
      <c r="K140" s="9"/>
      <c r="L140" s="9"/>
      <c r="M140" s="9"/>
      <c r="N140" s="9"/>
    </row>
    <row r="141" spans="1:14" s="11" customFormat="1" x14ac:dyDescent="0.2">
      <c r="B141" s="172"/>
      <c r="C141" s="173"/>
      <c r="D141" s="14"/>
      <c r="I141"/>
      <c r="J141" s="9"/>
      <c r="K141" s="9"/>
      <c r="L141" s="9"/>
      <c r="M141" s="9"/>
      <c r="N141" s="9"/>
    </row>
    <row r="142" spans="1:14" s="11" customFormat="1" x14ac:dyDescent="0.2">
      <c r="B142" s="171" t="s">
        <v>590</v>
      </c>
      <c r="C142" s="171"/>
      <c r="D142" s="19">
        <v>7.33151306267278</v>
      </c>
      <c r="I142"/>
      <c r="J142" s="9"/>
      <c r="K142" s="9"/>
      <c r="L142" s="9"/>
      <c r="M142" s="9"/>
      <c r="N142" s="9"/>
    </row>
    <row r="143" spans="1:14" s="11" customFormat="1" x14ac:dyDescent="0.2">
      <c r="B143" s="172"/>
      <c r="C143" s="173"/>
      <c r="D143" s="14"/>
      <c r="I143"/>
      <c r="J143" s="9"/>
      <c r="K143" s="9"/>
      <c r="L143" s="9"/>
      <c r="M143" s="9"/>
      <c r="N143" s="9"/>
    </row>
    <row r="144" spans="1:14" s="11" customFormat="1" x14ac:dyDescent="0.2">
      <c r="B144" s="171" t="s">
        <v>591</v>
      </c>
      <c r="C144" s="171"/>
      <c r="D144" s="19">
        <v>3.9698818432599068</v>
      </c>
      <c r="I144"/>
      <c r="J144" s="9"/>
      <c r="K144" s="9"/>
      <c r="L144" s="9"/>
      <c r="M144" s="9"/>
      <c r="N144" s="9"/>
    </row>
    <row r="145" spans="2:14" s="11" customFormat="1" x14ac:dyDescent="0.2">
      <c r="B145" s="171" t="s">
        <v>592</v>
      </c>
      <c r="C145" s="171"/>
      <c r="D145" s="19">
        <v>5.5958195363140151</v>
      </c>
      <c r="I145"/>
      <c r="J145" s="9"/>
      <c r="K145" s="9"/>
      <c r="L145" s="9"/>
      <c r="M145" s="9"/>
      <c r="N145" s="9"/>
    </row>
    <row r="146" spans="2:14" s="11" customFormat="1" x14ac:dyDescent="0.2">
      <c r="B146" s="172"/>
      <c r="C146" s="173"/>
      <c r="D146" s="14"/>
      <c r="I146"/>
      <c r="J146" s="9"/>
      <c r="K146" s="9"/>
      <c r="L146" s="9"/>
      <c r="M146" s="9"/>
      <c r="N146" s="9"/>
    </row>
    <row r="147" spans="2:14" s="11" customFormat="1" x14ac:dyDescent="0.2">
      <c r="B147" s="171" t="s">
        <v>593</v>
      </c>
      <c r="C147" s="171"/>
      <c r="D147" s="74" t="s">
        <v>699</v>
      </c>
      <c r="I147"/>
      <c r="J147" s="9"/>
      <c r="K147" s="9"/>
      <c r="L147" s="9"/>
      <c r="M147" s="9"/>
      <c r="N147" s="15"/>
    </row>
    <row r="148" spans="2:14" s="11" customFormat="1" x14ac:dyDescent="0.2">
      <c r="B148" s="172" t="s">
        <v>594</v>
      </c>
      <c r="C148" s="174"/>
      <c r="D148" s="173"/>
      <c r="I148"/>
      <c r="J148" s="9"/>
      <c r="K148" s="9"/>
      <c r="L148" s="9"/>
      <c r="M148" s="9"/>
      <c r="N148" s="9"/>
    </row>
    <row r="150" spans="2:14" ht="25.5" x14ac:dyDescent="0.2">
      <c r="B150" s="16" t="s">
        <v>595</v>
      </c>
    </row>
    <row r="152" spans="2:14" ht="153.75" customHeight="1" x14ac:dyDescent="0.2"/>
    <row r="155" spans="2:14" x14ac:dyDescent="0.2">
      <c r="B155" s="17" t="s">
        <v>596</v>
      </c>
      <c r="C155" s="18"/>
      <c r="D155" s="17" t="s">
        <v>597</v>
      </c>
    </row>
    <row r="156" spans="2:14" x14ac:dyDescent="0.2">
      <c r="B156" s="17" t="s">
        <v>598</v>
      </c>
      <c r="D156" s="17" t="s">
        <v>599</v>
      </c>
    </row>
    <row r="157" spans="2:14" ht="165" customHeight="1" x14ac:dyDescent="0.2"/>
  </sheetData>
  <mergeCells count="25">
    <mergeCell ref="B145:C145"/>
    <mergeCell ref="B146:C146"/>
    <mergeCell ref="B147:C147"/>
    <mergeCell ref="B148:D148"/>
    <mergeCell ref="B140:C140"/>
    <mergeCell ref="B141:C141"/>
    <mergeCell ref="B142:C142"/>
    <mergeCell ref="B143:C143"/>
    <mergeCell ref="B144:C144"/>
    <mergeCell ref="A1:H1"/>
    <mergeCell ref="A2:H2"/>
    <mergeCell ref="A3:H3"/>
    <mergeCell ref="B106:H106"/>
    <mergeCell ref="B107:H107"/>
    <mergeCell ref="B108:H108"/>
    <mergeCell ref="B136:C136"/>
    <mergeCell ref="B139:C139"/>
    <mergeCell ref="B110:D110"/>
    <mergeCell ref="B111:C111"/>
    <mergeCell ref="B112:C112"/>
    <mergeCell ref="B113:C113"/>
    <mergeCell ref="B127:C127"/>
    <mergeCell ref="B135:C135"/>
    <mergeCell ref="B134:C134"/>
    <mergeCell ref="B138:D138"/>
  </mergeCells>
  <hyperlinks>
    <hyperlink ref="I1" location="Index!B2" display="Index" xr:uid="{06FCBFE0-055E-455B-A507-82D8FF17947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67AFE-5A45-472B-AFBA-3DDD264E005A}">
  <sheetPr>
    <outlinePr summaryBelow="0" summaryRight="0"/>
  </sheetPr>
  <dimension ref="A1:R146"/>
  <sheetViews>
    <sheetView showGridLines="0" workbookViewId="0">
      <selection sqref="A1:H1"/>
    </sheetView>
  </sheetViews>
  <sheetFormatPr defaultRowHeight="12.75" x14ac:dyDescent="0.2"/>
  <cols>
    <col min="1" max="1" width="5.85546875" bestFit="1" customWidth="1"/>
    <col min="2" max="2" width="22.140625" customWidth="1"/>
    <col min="3" max="3" width="41.5703125" customWidth="1"/>
    <col min="4" max="4" width="10.7109375" bestFit="1" customWidth="1"/>
    <col min="5" max="5" width="9.42578125" bestFit="1" customWidth="1"/>
    <col min="6" max="6" width="10.140625" bestFit="1" customWidth="1"/>
    <col min="7" max="7" width="14" bestFit="1" customWidth="1"/>
    <col min="8" max="8" width="5.42578125" bestFit="1" customWidth="1"/>
    <col min="9" max="9" width="5.7109375" bestFit="1" customWidth="1"/>
  </cols>
  <sheetData>
    <row r="1" spans="1:9" ht="15" x14ac:dyDescent="0.2">
      <c r="A1" s="170" t="s">
        <v>0</v>
      </c>
      <c r="B1" s="170"/>
      <c r="C1" s="170"/>
      <c r="D1" s="170"/>
      <c r="E1" s="170"/>
      <c r="F1" s="170"/>
      <c r="G1" s="170"/>
      <c r="H1" s="170"/>
      <c r="I1" s="7" t="s">
        <v>579</v>
      </c>
    </row>
    <row r="2" spans="1:9" ht="15" x14ac:dyDescent="0.2">
      <c r="A2" s="170" t="s">
        <v>120</v>
      </c>
      <c r="B2" s="170"/>
      <c r="C2" s="170"/>
      <c r="D2" s="170"/>
      <c r="E2" s="170"/>
      <c r="F2" s="170"/>
      <c r="G2" s="170"/>
      <c r="H2" s="170"/>
    </row>
    <row r="3" spans="1:9" ht="15" customHeight="1" x14ac:dyDescent="0.2">
      <c r="A3" s="170" t="s">
        <v>715</v>
      </c>
      <c r="B3" s="170"/>
      <c r="C3" s="170"/>
      <c r="D3" s="170"/>
      <c r="E3" s="170"/>
      <c r="F3" s="170"/>
      <c r="G3" s="170"/>
      <c r="H3" s="170"/>
    </row>
    <row r="4" spans="1:9" s="8" customFormat="1" ht="30" x14ac:dyDescent="0.2">
      <c r="A4" s="32" t="s">
        <v>2</v>
      </c>
      <c r="B4" s="32" t="s">
        <v>3</v>
      </c>
      <c r="C4" s="32" t="s">
        <v>4</v>
      </c>
      <c r="D4" s="32" t="s">
        <v>5</v>
      </c>
      <c r="E4" s="32" t="s">
        <v>6</v>
      </c>
      <c r="F4" s="32" t="s">
        <v>7</v>
      </c>
      <c r="G4" s="32" t="s">
        <v>8</v>
      </c>
      <c r="H4" s="33" t="s">
        <v>580</v>
      </c>
    </row>
    <row r="5" spans="1:9" x14ac:dyDescent="0.2">
      <c r="A5" s="34"/>
      <c r="B5" s="34"/>
      <c r="C5" s="35" t="s">
        <v>9</v>
      </c>
      <c r="D5" s="34"/>
      <c r="E5" s="34"/>
      <c r="F5" s="34"/>
      <c r="G5" s="34"/>
      <c r="H5" s="36" t="s">
        <v>12</v>
      </c>
    </row>
    <row r="6" spans="1:9" x14ac:dyDescent="0.2">
      <c r="A6" s="34"/>
      <c r="B6" s="34"/>
      <c r="C6" s="35" t="s">
        <v>10</v>
      </c>
      <c r="D6" s="34"/>
      <c r="E6" s="34"/>
      <c r="F6" s="34"/>
      <c r="G6" s="34"/>
      <c r="H6" s="36" t="s">
        <v>12</v>
      </c>
    </row>
    <row r="7" spans="1:9" x14ac:dyDescent="0.2">
      <c r="A7" s="34"/>
      <c r="B7" s="34"/>
      <c r="C7" s="35" t="s">
        <v>11</v>
      </c>
      <c r="D7" s="34"/>
      <c r="E7" s="34" t="s">
        <v>12</v>
      </c>
      <c r="F7" s="37" t="s">
        <v>13</v>
      </c>
      <c r="G7" s="38">
        <v>0</v>
      </c>
      <c r="H7" s="36" t="s">
        <v>12</v>
      </c>
    </row>
    <row r="8" spans="1:9" x14ac:dyDescent="0.2">
      <c r="A8" s="34"/>
      <c r="B8" s="34"/>
      <c r="C8" s="39"/>
      <c r="D8" s="34"/>
      <c r="E8" s="34"/>
      <c r="F8" s="40"/>
      <c r="G8" s="40"/>
      <c r="H8" s="36" t="s">
        <v>12</v>
      </c>
    </row>
    <row r="9" spans="1:9" x14ac:dyDescent="0.2">
      <c r="A9" s="34"/>
      <c r="B9" s="34"/>
      <c r="C9" s="35" t="s">
        <v>14</v>
      </c>
      <c r="D9" s="34"/>
      <c r="E9" s="34"/>
      <c r="F9" s="34"/>
      <c r="G9" s="34"/>
      <c r="H9" s="36" t="s">
        <v>12</v>
      </c>
    </row>
    <row r="10" spans="1:9" x14ac:dyDescent="0.2">
      <c r="A10" s="34"/>
      <c r="B10" s="34"/>
      <c r="C10" s="35" t="s">
        <v>11</v>
      </c>
      <c r="D10" s="34"/>
      <c r="E10" s="34" t="s">
        <v>12</v>
      </c>
      <c r="F10" s="37" t="s">
        <v>13</v>
      </c>
      <c r="G10" s="38">
        <v>0</v>
      </c>
      <c r="H10" s="36" t="s">
        <v>12</v>
      </c>
    </row>
    <row r="11" spans="1:9" x14ac:dyDescent="0.2">
      <c r="A11" s="34"/>
      <c r="B11" s="34"/>
      <c r="C11" s="39"/>
      <c r="D11" s="34"/>
      <c r="E11" s="34"/>
      <c r="F11" s="40"/>
      <c r="G11" s="40"/>
      <c r="H11" s="36" t="s">
        <v>12</v>
      </c>
    </row>
    <row r="12" spans="1:9" x14ac:dyDescent="0.2">
      <c r="A12" s="34"/>
      <c r="B12" s="34"/>
      <c r="C12" s="35" t="s">
        <v>15</v>
      </c>
      <c r="D12" s="34"/>
      <c r="E12" s="34"/>
      <c r="F12" s="34"/>
      <c r="G12" s="34"/>
      <c r="H12" s="36" t="s">
        <v>12</v>
      </c>
    </row>
    <row r="13" spans="1:9" x14ac:dyDescent="0.2">
      <c r="A13" s="34"/>
      <c r="B13" s="34"/>
      <c r="C13" s="35" t="s">
        <v>11</v>
      </c>
      <c r="D13" s="34"/>
      <c r="E13" s="34" t="s">
        <v>12</v>
      </c>
      <c r="F13" s="37" t="s">
        <v>13</v>
      </c>
      <c r="G13" s="38">
        <v>0</v>
      </c>
      <c r="H13" s="36" t="s">
        <v>12</v>
      </c>
    </row>
    <row r="14" spans="1:9" x14ac:dyDescent="0.2">
      <c r="A14" s="34"/>
      <c r="B14" s="34"/>
      <c r="C14" s="39"/>
      <c r="D14" s="34"/>
      <c r="E14" s="34"/>
      <c r="F14" s="40"/>
      <c r="G14" s="40"/>
      <c r="H14" s="36" t="s">
        <v>12</v>
      </c>
    </row>
    <row r="15" spans="1:9" x14ac:dyDescent="0.2">
      <c r="A15" s="34"/>
      <c r="B15" s="34"/>
      <c r="C15" s="35" t="s">
        <v>16</v>
      </c>
      <c r="D15" s="34"/>
      <c r="E15" s="34"/>
      <c r="F15" s="34"/>
      <c r="G15" s="34"/>
      <c r="H15" s="36" t="s">
        <v>12</v>
      </c>
    </row>
    <row r="16" spans="1:9" x14ac:dyDescent="0.2">
      <c r="A16" s="34"/>
      <c r="B16" s="34"/>
      <c r="C16" s="35" t="s">
        <v>11</v>
      </c>
      <c r="D16" s="34"/>
      <c r="E16" s="34" t="s">
        <v>12</v>
      </c>
      <c r="F16" s="37" t="s">
        <v>13</v>
      </c>
      <c r="G16" s="38">
        <v>0</v>
      </c>
      <c r="H16" s="36" t="s">
        <v>12</v>
      </c>
    </row>
    <row r="17" spans="1:8" x14ac:dyDescent="0.2">
      <c r="A17" s="34"/>
      <c r="B17" s="34"/>
      <c r="C17" s="39"/>
      <c r="D17" s="34"/>
      <c r="E17" s="34"/>
      <c r="F17" s="40"/>
      <c r="G17" s="40"/>
      <c r="H17" s="36" t="s">
        <v>12</v>
      </c>
    </row>
    <row r="18" spans="1:8" x14ac:dyDescent="0.2">
      <c r="A18" s="34"/>
      <c r="B18" s="34"/>
      <c r="C18" s="35" t="s">
        <v>17</v>
      </c>
      <c r="D18" s="34"/>
      <c r="E18" s="34"/>
      <c r="F18" s="40"/>
      <c r="G18" s="40"/>
      <c r="H18" s="36" t="s">
        <v>12</v>
      </c>
    </row>
    <row r="19" spans="1:8" x14ac:dyDescent="0.2">
      <c r="A19" s="34"/>
      <c r="B19" s="34"/>
      <c r="C19" s="35" t="s">
        <v>11</v>
      </c>
      <c r="D19" s="34"/>
      <c r="E19" s="34" t="s">
        <v>12</v>
      </c>
      <c r="F19" s="37" t="s">
        <v>13</v>
      </c>
      <c r="G19" s="38">
        <v>0</v>
      </c>
      <c r="H19" s="36" t="s">
        <v>12</v>
      </c>
    </row>
    <row r="20" spans="1:8" x14ac:dyDescent="0.2">
      <c r="A20" s="34"/>
      <c r="B20" s="34"/>
      <c r="C20" s="39"/>
      <c r="D20" s="34"/>
      <c r="E20" s="34"/>
      <c r="F20" s="40"/>
      <c r="G20" s="40"/>
      <c r="H20" s="36" t="s">
        <v>12</v>
      </c>
    </row>
    <row r="21" spans="1:8" x14ac:dyDescent="0.2">
      <c r="A21" s="34"/>
      <c r="B21" s="34"/>
      <c r="C21" s="35" t="s">
        <v>18</v>
      </c>
      <c r="D21" s="34"/>
      <c r="E21" s="34"/>
      <c r="F21" s="40"/>
      <c r="G21" s="40"/>
      <c r="H21" s="36" t="s">
        <v>12</v>
      </c>
    </row>
    <row r="22" spans="1:8" x14ac:dyDescent="0.2">
      <c r="A22" s="34"/>
      <c r="B22" s="34"/>
      <c r="C22" s="35" t="s">
        <v>11</v>
      </c>
      <c r="D22" s="34"/>
      <c r="E22" s="34" t="s">
        <v>12</v>
      </c>
      <c r="F22" s="37" t="s">
        <v>13</v>
      </c>
      <c r="G22" s="38">
        <v>0</v>
      </c>
      <c r="H22" s="36" t="s">
        <v>12</v>
      </c>
    </row>
    <row r="23" spans="1:8" x14ac:dyDescent="0.2">
      <c r="A23" s="34"/>
      <c r="B23" s="34"/>
      <c r="C23" s="39"/>
      <c r="D23" s="34"/>
      <c r="E23" s="34"/>
      <c r="F23" s="40"/>
      <c r="G23" s="40"/>
      <c r="H23" s="36" t="s">
        <v>12</v>
      </c>
    </row>
    <row r="24" spans="1:8" x14ac:dyDescent="0.2">
      <c r="A24" s="34"/>
      <c r="B24" s="34"/>
      <c r="C24" s="35" t="s">
        <v>19</v>
      </c>
      <c r="D24" s="34"/>
      <c r="E24" s="34"/>
      <c r="F24" s="41">
        <v>0</v>
      </c>
      <c r="G24" s="38">
        <v>0</v>
      </c>
      <c r="H24" s="36" t="s">
        <v>12</v>
      </c>
    </row>
    <row r="25" spans="1:8" x14ac:dyDescent="0.2">
      <c r="A25" s="34"/>
      <c r="B25" s="34"/>
      <c r="C25" s="39"/>
      <c r="D25" s="34"/>
      <c r="E25" s="34"/>
      <c r="F25" s="40"/>
      <c r="G25" s="40"/>
      <c r="H25" s="36" t="s">
        <v>12</v>
      </c>
    </row>
    <row r="26" spans="1:8" x14ac:dyDescent="0.2">
      <c r="A26" s="34"/>
      <c r="B26" s="34"/>
      <c r="C26" s="35" t="s">
        <v>20</v>
      </c>
      <c r="D26" s="34"/>
      <c r="E26" s="34"/>
      <c r="F26" s="40"/>
      <c r="G26" s="40"/>
      <c r="H26" s="36" t="s">
        <v>12</v>
      </c>
    </row>
    <row r="27" spans="1:8" x14ac:dyDescent="0.2">
      <c r="A27" s="34"/>
      <c r="B27" s="34"/>
      <c r="C27" s="35" t="s">
        <v>10</v>
      </c>
      <c r="D27" s="34"/>
      <c r="E27" s="34"/>
      <c r="F27" s="40"/>
      <c r="G27" s="40"/>
      <c r="H27" s="36" t="s">
        <v>12</v>
      </c>
    </row>
    <row r="28" spans="1:8" x14ac:dyDescent="0.2">
      <c r="A28" s="42">
        <v>1</v>
      </c>
      <c r="B28" s="43" t="s">
        <v>49</v>
      </c>
      <c r="C28" s="43" t="s">
        <v>50</v>
      </c>
      <c r="D28" s="43" t="s">
        <v>36</v>
      </c>
      <c r="E28" s="44">
        <v>300</v>
      </c>
      <c r="F28" s="45">
        <v>3011.442</v>
      </c>
      <c r="G28" s="46">
        <v>8.9698550000000002E-2</v>
      </c>
      <c r="H28" s="36">
        <v>7.28</v>
      </c>
    </row>
    <row r="29" spans="1:8" x14ac:dyDescent="0.2">
      <c r="A29" s="42">
        <v>2</v>
      </c>
      <c r="B29" s="43" t="s">
        <v>121</v>
      </c>
      <c r="C29" s="43" t="s">
        <v>122</v>
      </c>
      <c r="D29" s="43" t="s">
        <v>36</v>
      </c>
      <c r="E29" s="44">
        <v>250</v>
      </c>
      <c r="F29" s="45">
        <v>2506.0700000000002</v>
      </c>
      <c r="G29" s="46">
        <v>7.4645589999999998E-2</v>
      </c>
      <c r="H29" s="36">
        <v>7.4450000000000003</v>
      </c>
    </row>
    <row r="30" spans="1:8" x14ac:dyDescent="0.2">
      <c r="A30" s="42">
        <v>3</v>
      </c>
      <c r="B30" s="43" t="s">
        <v>123</v>
      </c>
      <c r="C30" s="43" t="s">
        <v>124</v>
      </c>
      <c r="D30" s="43" t="s">
        <v>23</v>
      </c>
      <c r="E30" s="44">
        <v>2500</v>
      </c>
      <c r="F30" s="45">
        <v>2499.5025000000001</v>
      </c>
      <c r="G30" s="46">
        <v>7.4449970000000004E-2</v>
      </c>
      <c r="H30" s="36">
        <v>7.6837999999999997</v>
      </c>
    </row>
    <row r="31" spans="1:8" x14ac:dyDescent="0.2">
      <c r="A31" s="42">
        <v>4</v>
      </c>
      <c r="B31" s="43" t="s">
        <v>125</v>
      </c>
      <c r="C31" s="43" t="s">
        <v>126</v>
      </c>
      <c r="D31" s="43" t="s">
        <v>23</v>
      </c>
      <c r="E31" s="44">
        <v>2000</v>
      </c>
      <c r="F31" s="45">
        <v>2009.672</v>
      </c>
      <c r="G31" s="46">
        <v>5.9859919999999997E-2</v>
      </c>
      <c r="H31" s="36">
        <v>7.3554000000000004</v>
      </c>
    </row>
    <row r="32" spans="1:8" ht="25.5" x14ac:dyDescent="0.2">
      <c r="A32" s="42">
        <v>5</v>
      </c>
      <c r="B32" s="43" t="s">
        <v>127</v>
      </c>
      <c r="C32" s="43" t="s">
        <v>128</v>
      </c>
      <c r="D32" s="43" t="s">
        <v>36</v>
      </c>
      <c r="E32" s="44">
        <v>200</v>
      </c>
      <c r="F32" s="45">
        <v>1996.4659999999999</v>
      </c>
      <c r="G32" s="46">
        <v>5.9466570000000003E-2</v>
      </c>
      <c r="H32" s="36">
        <v>7.73</v>
      </c>
    </row>
    <row r="33" spans="1:8" ht="25.5" x14ac:dyDescent="0.2">
      <c r="A33" s="42">
        <v>6</v>
      </c>
      <c r="B33" s="43" t="s">
        <v>129</v>
      </c>
      <c r="C33" s="43" t="s">
        <v>130</v>
      </c>
      <c r="D33" s="43" t="s">
        <v>36</v>
      </c>
      <c r="E33" s="44">
        <v>200</v>
      </c>
      <c r="F33" s="45">
        <v>1953.7</v>
      </c>
      <c r="G33" s="46">
        <v>5.819274E-2</v>
      </c>
      <c r="H33" s="36">
        <v>7.6</v>
      </c>
    </row>
    <row r="34" spans="1:8" ht="25.5" x14ac:dyDescent="0.2">
      <c r="A34" s="42">
        <v>7</v>
      </c>
      <c r="B34" s="43" t="s">
        <v>37</v>
      </c>
      <c r="C34" s="43" t="s">
        <v>38</v>
      </c>
      <c r="D34" s="43" t="s">
        <v>23</v>
      </c>
      <c r="E34" s="44">
        <v>1500</v>
      </c>
      <c r="F34" s="45">
        <v>1505.8064999999999</v>
      </c>
      <c r="G34" s="46">
        <v>4.4851820000000001E-2</v>
      </c>
      <c r="H34" s="36">
        <v>7.4950000000000001</v>
      </c>
    </row>
    <row r="35" spans="1:8" ht="25.5" x14ac:dyDescent="0.2">
      <c r="A35" s="42">
        <v>8</v>
      </c>
      <c r="B35" s="43" t="s">
        <v>131</v>
      </c>
      <c r="C35" s="43" t="s">
        <v>132</v>
      </c>
      <c r="D35" s="43" t="s">
        <v>36</v>
      </c>
      <c r="E35" s="44">
        <v>150</v>
      </c>
      <c r="F35" s="45">
        <v>1495.35</v>
      </c>
      <c r="G35" s="46">
        <v>4.4540370000000003E-2</v>
      </c>
      <c r="H35" s="36">
        <v>7.69</v>
      </c>
    </row>
    <row r="36" spans="1:8" ht="25.5" x14ac:dyDescent="0.2">
      <c r="A36" s="42">
        <v>9</v>
      </c>
      <c r="B36" s="43" t="s">
        <v>43</v>
      </c>
      <c r="C36" s="43" t="s">
        <v>44</v>
      </c>
      <c r="D36" s="43" t="s">
        <v>23</v>
      </c>
      <c r="E36" s="44">
        <v>1500</v>
      </c>
      <c r="F36" s="45">
        <v>1494.8444999999999</v>
      </c>
      <c r="G36" s="46">
        <v>4.4525309999999999E-2</v>
      </c>
      <c r="H36" s="36">
        <v>7.4450000000000003</v>
      </c>
    </row>
    <row r="37" spans="1:8" ht="25.5" x14ac:dyDescent="0.2">
      <c r="A37" s="42">
        <v>10</v>
      </c>
      <c r="B37" s="43" t="s">
        <v>133</v>
      </c>
      <c r="C37" s="43" t="s">
        <v>134</v>
      </c>
      <c r="D37" s="43" t="s">
        <v>23</v>
      </c>
      <c r="E37" s="44">
        <v>1000</v>
      </c>
      <c r="F37" s="45">
        <v>1015.53</v>
      </c>
      <c r="G37" s="46">
        <v>3.0248489999999999E-2</v>
      </c>
      <c r="H37" s="36">
        <v>7.1113999999999997</v>
      </c>
    </row>
    <row r="38" spans="1:8" ht="25.5" x14ac:dyDescent="0.2">
      <c r="A38" s="42">
        <v>11</v>
      </c>
      <c r="B38" s="43" t="s">
        <v>24</v>
      </c>
      <c r="C38" s="43" t="s">
        <v>25</v>
      </c>
      <c r="D38" s="43" t="s">
        <v>23</v>
      </c>
      <c r="E38" s="44">
        <v>1000</v>
      </c>
      <c r="F38" s="45">
        <v>1003.079</v>
      </c>
      <c r="G38" s="46">
        <v>2.9877629999999999E-2</v>
      </c>
      <c r="H38" s="36">
        <v>7.2961</v>
      </c>
    </row>
    <row r="39" spans="1:8" ht="25.5" x14ac:dyDescent="0.2">
      <c r="A39" s="42">
        <v>12</v>
      </c>
      <c r="B39" s="43" t="s">
        <v>30</v>
      </c>
      <c r="C39" s="43" t="s">
        <v>31</v>
      </c>
      <c r="D39" s="43" t="s">
        <v>23</v>
      </c>
      <c r="E39" s="44">
        <v>500</v>
      </c>
      <c r="F39" s="45">
        <v>509.08150000000001</v>
      </c>
      <c r="G39" s="46">
        <v>1.516346E-2</v>
      </c>
      <c r="H39" s="36">
        <v>7.11</v>
      </c>
    </row>
    <row r="40" spans="1:8" ht="25.5" x14ac:dyDescent="0.2">
      <c r="A40" s="42">
        <v>13</v>
      </c>
      <c r="B40" s="43" t="s">
        <v>135</v>
      </c>
      <c r="C40" s="43" t="s">
        <v>136</v>
      </c>
      <c r="D40" s="43" t="s">
        <v>23</v>
      </c>
      <c r="E40" s="44">
        <v>500</v>
      </c>
      <c r="F40" s="45">
        <v>506.471</v>
      </c>
      <c r="G40" s="46">
        <v>1.50857E-2</v>
      </c>
      <c r="H40" s="36">
        <v>7.2274000000000003</v>
      </c>
    </row>
    <row r="41" spans="1:8" ht="25.5" x14ac:dyDescent="0.2">
      <c r="A41" s="42">
        <v>14</v>
      </c>
      <c r="B41" s="43" t="s">
        <v>45</v>
      </c>
      <c r="C41" s="43" t="s">
        <v>46</v>
      </c>
      <c r="D41" s="43" t="s">
        <v>23</v>
      </c>
      <c r="E41" s="44">
        <v>500</v>
      </c>
      <c r="F41" s="45">
        <v>502.79349999999999</v>
      </c>
      <c r="G41" s="46">
        <v>1.4976160000000001E-2</v>
      </c>
      <c r="H41" s="36">
        <v>7.44</v>
      </c>
    </row>
    <row r="42" spans="1:8" ht="25.5" x14ac:dyDescent="0.2">
      <c r="A42" s="42">
        <v>15</v>
      </c>
      <c r="B42" s="43" t="s">
        <v>137</v>
      </c>
      <c r="C42" s="43" t="s">
        <v>138</v>
      </c>
      <c r="D42" s="43" t="s">
        <v>23</v>
      </c>
      <c r="E42" s="44">
        <v>500</v>
      </c>
      <c r="F42" s="45">
        <v>501.89499999999998</v>
      </c>
      <c r="G42" s="46">
        <v>1.49494E-2</v>
      </c>
      <c r="H42" s="36">
        <v>7.4450000000000003</v>
      </c>
    </row>
    <row r="43" spans="1:8" x14ac:dyDescent="0.2">
      <c r="A43" s="42">
        <v>16</v>
      </c>
      <c r="B43" s="43" t="s">
        <v>55</v>
      </c>
      <c r="C43" s="43" t="s">
        <v>56</v>
      </c>
      <c r="D43" s="43" t="s">
        <v>23</v>
      </c>
      <c r="E43" s="44">
        <v>500</v>
      </c>
      <c r="F43" s="45">
        <v>500.83550000000002</v>
      </c>
      <c r="G43" s="46">
        <v>1.491784E-2</v>
      </c>
      <c r="H43" s="36">
        <v>7.63</v>
      </c>
    </row>
    <row r="44" spans="1:8" x14ac:dyDescent="0.2">
      <c r="A44" s="42">
        <v>17</v>
      </c>
      <c r="B44" s="43" t="s">
        <v>51</v>
      </c>
      <c r="C44" s="43" t="s">
        <v>52</v>
      </c>
      <c r="D44" s="43" t="s">
        <v>23</v>
      </c>
      <c r="E44" s="44">
        <v>500</v>
      </c>
      <c r="F44" s="45">
        <v>499.16649999999998</v>
      </c>
      <c r="G44" s="46">
        <v>1.486813E-2</v>
      </c>
      <c r="H44" s="36">
        <v>7.48</v>
      </c>
    </row>
    <row r="45" spans="1:8" x14ac:dyDescent="0.2">
      <c r="A45" s="34"/>
      <c r="B45" s="34"/>
      <c r="C45" s="35" t="s">
        <v>11</v>
      </c>
      <c r="D45" s="34"/>
      <c r="E45" s="34" t="s">
        <v>12</v>
      </c>
      <c r="F45" s="41">
        <v>23511.7055</v>
      </c>
      <c r="G45" s="38">
        <v>0.70031765000000001</v>
      </c>
      <c r="H45" s="36" t="s">
        <v>12</v>
      </c>
    </row>
    <row r="46" spans="1:8" x14ac:dyDescent="0.2">
      <c r="A46" s="34"/>
      <c r="B46" s="34"/>
      <c r="C46" s="39"/>
      <c r="D46" s="34"/>
      <c r="E46" s="34"/>
      <c r="F46" s="40"/>
      <c r="G46" s="40"/>
      <c r="H46" s="36" t="s">
        <v>12</v>
      </c>
    </row>
    <row r="47" spans="1:8" x14ac:dyDescent="0.2">
      <c r="A47" s="34"/>
      <c r="B47" s="34"/>
      <c r="C47" s="35" t="s">
        <v>71</v>
      </c>
      <c r="D47" s="34"/>
      <c r="E47" s="34"/>
      <c r="F47" s="34"/>
      <c r="G47" s="34"/>
      <c r="H47" s="36" t="s">
        <v>12</v>
      </c>
    </row>
    <row r="48" spans="1:8" x14ac:dyDescent="0.2">
      <c r="A48" s="34"/>
      <c r="B48" s="34"/>
      <c r="C48" s="35" t="s">
        <v>11</v>
      </c>
      <c r="D48" s="34"/>
      <c r="E48" s="34" t="s">
        <v>12</v>
      </c>
      <c r="F48" s="37" t="s">
        <v>13</v>
      </c>
      <c r="G48" s="38">
        <v>0</v>
      </c>
      <c r="H48" s="36" t="s">
        <v>12</v>
      </c>
    </row>
    <row r="49" spans="1:8" x14ac:dyDescent="0.2">
      <c r="A49" s="34"/>
      <c r="B49" s="34"/>
      <c r="C49" s="39"/>
      <c r="D49" s="34"/>
      <c r="E49" s="34"/>
      <c r="F49" s="40"/>
      <c r="G49" s="40"/>
      <c r="H49" s="36" t="s">
        <v>12</v>
      </c>
    </row>
    <row r="50" spans="1:8" x14ac:dyDescent="0.2">
      <c r="A50" s="34"/>
      <c r="B50" s="34"/>
      <c r="C50" s="35" t="s">
        <v>72</v>
      </c>
      <c r="D50" s="34"/>
      <c r="E50" s="34"/>
      <c r="F50" s="34"/>
      <c r="G50" s="34"/>
      <c r="H50" s="36" t="s">
        <v>12</v>
      </c>
    </row>
    <row r="51" spans="1:8" x14ac:dyDescent="0.2">
      <c r="A51" s="42">
        <v>1</v>
      </c>
      <c r="B51" s="43" t="s">
        <v>73</v>
      </c>
      <c r="C51" s="43" t="s">
        <v>74</v>
      </c>
      <c r="D51" s="43" t="s">
        <v>75</v>
      </c>
      <c r="E51" s="44">
        <v>3200000</v>
      </c>
      <c r="F51" s="45">
        <v>3266.7743999999998</v>
      </c>
      <c r="G51" s="46">
        <v>9.7303860000000006E-2</v>
      </c>
      <c r="H51" s="36">
        <v>6.9061000000000003</v>
      </c>
    </row>
    <row r="52" spans="1:8" x14ac:dyDescent="0.2">
      <c r="A52" s="42">
        <v>2</v>
      </c>
      <c r="B52" s="43" t="s">
        <v>76</v>
      </c>
      <c r="C52" s="43" t="s">
        <v>77</v>
      </c>
      <c r="D52" s="43" t="s">
        <v>75</v>
      </c>
      <c r="E52" s="44">
        <v>1000000</v>
      </c>
      <c r="F52" s="45">
        <v>1025.9459999999999</v>
      </c>
      <c r="G52" s="46">
        <v>3.0558740000000001E-2</v>
      </c>
      <c r="H52" s="36">
        <v>6.8888999999999996</v>
      </c>
    </row>
    <row r="53" spans="1:8" ht="25.5" x14ac:dyDescent="0.2">
      <c r="A53" s="42">
        <v>3</v>
      </c>
      <c r="B53" s="43" t="s">
        <v>80</v>
      </c>
      <c r="C53" s="43" t="s">
        <v>81</v>
      </c>
      <c r="D53" s="43" t="s">
        <v>75</v>
      </c>
      <c r="E53" s="44">
        <v>1000000</v>
      </c>
      <c r="F53" s="45">
        <v>997.72</v>
      </c>
      <c r="G53" s="46">
        <v>2.9718000000000001E-2</v>
      </c>
      <c r="H53" s="36">
        <v>7.1486999999999998</v>
      </c>
    </row>
    <row r="54" spans="1:8" x14ac:dyDescent="0.2">
      <c r="A54" s="42">
        <v>4</v>
      </c>
      <c r="B54" s="43" t="s">
        <v>78</v>
      </c>
      <c r="C54" s="43" t="s">
        <v>79</v>
      </c>
      <c r="D54" s="43" t="s">
        <v>75</v>
      </c>
      <c r="E54" s="44">
        <v>500000</v>
      </c>
      <c r="F54" s="45">
        <v>517.37149999999997</v>
      </c>
      <c r="G54" s="46">
        <v>1.541038E-2</v>
      </c>
      <c r="H54" s="36">
        <v>7.1391999999999998</v>
      </c>
    </row>
    <row r="55" spans="1:8" x14ac:dyDescent="0.2">
      <c r="A55" s="42">
        <v>5</v>
      </c>
      <c r="B55" s="43" t="s">
        <v>139</v>
      </c>
      <c r="C55" s="43" t="s">
        <v>140</v>
      </c>
      <c r="D55" s="43" t="s">
        <v>75</v>
      </c>
      <c r="E55" s="44">
        <v>500000</v>
      </c>
      <c r="F55" s="45">
        <v>516.03549999999996</v>
      </c>
      <c r="G55" s="46">
        <v>1.537059E-2</v>
      </c>
      <c r="H55" s="36">
        <v>6.9904999999999999</v>
      </c>
    </row>
    <row r="56" spans="1:8" x14ac:dyDescent="0.2">
      <c r="A56" s="34"/>
      <c r="B56" s="34"/>
      <c r="C56" s="35" t="s">
        <v>11</v>
      </c>
      <c r="D56" s="34"/>
      <c r="E56" s="34" t="s">
        <v>12</v>
      </c>
      <c r="F56" s="41">
        <v>6323.8473999999997</v>
      </c>
      <c r="G56" s="38">
        <v>0.18836157000000001</v>
      </c>
      <c r="H56" s="36" t="s">
        <v>12</v>
      </c>
    </row>
    <row r="57" spans="1:8" x14ac:dyDescent="0.2">
      <c r="A57" s="34"/>
      <c r="B57" s="34"/>
      <c r="C57" s="39"/>
      <c r="D57" s="34"/>
      <c r="E57" s="34"/>
      <c r="F57" s="40"/>
      <c r="G57" s="40"/>
      <c r="H57" s="36" t="s">
        <v>12</v>
      </c>
    </row>
    <row r="58" spans="1:8" x14ac:dyDescent="0.2">
      <c r="A58" s="34"/>
      <c r="B58" s="34"/>
      <c r="C58" s="35" t="s">
        <v>88</v>
      </c>
      <c r="D58" s="34"/>
      <c r="E58" s="34"/>
      <c r="F58" s="40"/>
      <c r="G58" s="40"/>
      <c r="H58" s="36" t="s">
        <v>12</v>
      </c>
    </row>
    <row r="59" spans="1:8" x14ac:dyDescent="0.2">
      <c r="A59" s="34"/>
      <c r="B59" s="34"/>
      <c r="C59" s="35" t="s">
        <v>11</v>
      </c>
      <c r="D59" s="34"/>
      <c r="E59" s="34" t="s">
        <v>12</v>
      </c>
      <c r="F59" s="37" t="s">
        <v>13</v>
      </c>
      <c r="G59" s="38">
        <v>0</v>
      </c>
      <c r="H59" s="36" t="s">
        <v>12</v>
      </c>
    </row>
    <row r="60" spans="1:8" x14ac:dyDescent="0.2">
      <c r="A60" s="34"/>
      <c r="B60" s="34"/>
      <c r="C60" s="39"/>
      <c r="D60" s="34"/>
      <c r="E60" s="34"/>
      <c r="F60" s="40"/>
      <c r="G60" s="40"/>
      <c r="H60" s="36" t="s">
        <v>12</v>
      </c>
    </row>
    <row r="61" spans="1:8" x14ac:dyDescent="0.2">
      <c r="A61" s="34"/>
      <c r="B61" s="34"/>
      <c r="C61" s="35" t="s">
        <v>89</v>
      </c>
      <c r="D61" s="34"/>
      <c r="E61" s="34"/>
      <c r="F61" s="41">
        <v>29835.552899999999</v>
      </c>
      <c r="G61" s="38">
        <v>0.88867921999999999</v>
      </c>
      <c r="H61" s="36" t="s">
        <v>12</v>
      </c>
    </row>
    <row r="62" spans="1:8" x14ac:dyDescent="0.2">
      <c r="A62" s="34"/>
      <c r="B62" s="34"/>
      <c r="C62" s="39"/>
      <c r="D62" s="34"/>
      <c r="E62" s="34"/>
      <c r="F62" s="40"/>
      <c r="G62" s="40"/>
      <c r="H62" s="36" t="s">
        <v>12</v>
      </c>
    </row>
    <row r="63" spans="1:8" x14ac:dyDescent="0.2">
      <c r="A63" s="34"/>
      <c r="B63" s="34"/>
      <c r="C63" s="35" t="s">
        <v>90</v>
      </c>
      <c r="D63" s="34"/>
      <c r="E63" s="34"/>
      <c r="F63" s="40"/>
      <c r="G63" s="40"/>
      <c r="H63" s="36" t="s">
        <v>12</v>
      </c>
    </row>
    <row r="64" spans="1:8" x14ac:dyDescent="0.2">
      <c r="A64" s="34"/>
      <c r="B64" s="34"/>
      <c r="C64" s="35" t="s">
        <v>91</v>
      </c>
      <c r="D64" s="34"/>
      <c r="E64" s="34"/>
      <c r="F64" s="40"/>
      <c r="G64" s="40"/>
      <c r="H64" s="36" t="s">
        <v>12</v>
      </c>
    </row>
    <row r="65" spans="1:8" x14ac:dyDescent="0.2">
      <c r="A65" s="34"/>
      <c r="B65" s="34"/>
      <c r="C65" s="35" t="s">
        <v>11</v>
      </c>
      <c r="D65" s="34"/>
      <c r="E65" s="34" t="s">
        <v>12</v>
      </c>
      <c r="F65" s="37" t="s">
        <v>13</v>
      </c>
      <c r="G65" s="38">
        <v>0</v>
      </c>
      <c r="H65" s="36" t="s">
        <v>12</v>
      </c>
    </row>
    <row r="66" spans="1:8" x14ac:dyDescent="0.2">
      <c r="A66" s="34"/>
      <c r="B66" s="34"/>
      <c r="C66" s="39"/>
      <c r="D66" s="34"/>
      <c r="E66" s="34"/>
      <c r="F66" s="40"/>
      <c r="G66" s="40"/>
      <c r="H66" s="36" t="s">
        <v>12</v>
      </c>
    </row>
    <row r="67" spans="1:8" x14ac:dyDescent="0.2">
      <c r="A67" s="34"/>
      <c r="B67" s="34"/>
      <c r="C67" s="35" t="s">
        <v>92</v>
      </c>
      <c r="D67" s="34"/>
      <c r="E67" s="34"/>
      <c r="F67" s="40"/>
      <c r="G67" s="40"/>
      <c r="H67" s="36" t="s">
        <v>12</v>
      </c>
    </row>
    <row r="68" spans="1:8" x14ac:dyDescent="0.2">
      <c r="A68" s="34"/>
      <c r="B68" s="34"/>
      <c r="C68" s="35" t="s">
        <v>11</v>
      </c>
      <c r="D68" s="34"/>
      <c r="E68" s="34" t="s">
        <v>12</v>
      </c>
      <c r="F68" s="37" t="s">
        <v>13</v>
      </c>
      <c r="G68" s="38">
        <v>0</v>
      </c>
      <c r="H68" s="36" t="s">
        <v>12</v>
      </c>
    </row>
    <row r="69" spans="1:8" x14ac:dyDescent="0.2">
      <c r="A69" s="34"/>
      <c r="B69" s="34"/>
      <c r="C69" s="39"/>
      <c r="D69" s="34"/>
      <c r="E69" s="34"/>
      <c r="F69" s="40"/>
      <c r="G69" s="40"/>
      <c r="H69" s="36" t="s">
        <v>12</v>
      </c>
    </row>
    <row r="70" spans="1:8" x14ac:dyDescent="0.2">
      <c r="A70" s="34"/>
      <c r="B70" s="34"/>
      <c r="C70" s="35" t="s">
        <v>93</v>
      </c>
      <c r="D70" s="34"/>
      <c r="E70" s="34"/>
      <c r="F70" s="40"/>
      <c r="G70" s="40"/>
      <c r="H70" s="36" t="s">
        <v>12</v>
      </c>
    </row>
    <row r="71" spans="1:8" x14ac:dyDescent="0.2">
      <c r="A71" s="34"/>
      <c r="B71" s="34"/>
      <c r="C71" s="35" t="s">
        <v>11</v>
      </c>
      <c r="D71" s="34"/>
      <c r="E71" s="34" t="s">
        <v>12</v>
      </c>
      <c r="F71" s="37" t="s">
        <v>13</v>
      </c>
      <c r="G71" s="38">
        <v>0</v>
      </c>
      <c r="H71" s="36" t="s">
        <v>12</v>
      </c>
    </row>
    <row r="72" spans="1:8" x14ac:dyDescent="0.2">
      <c r="A72" s="34"/>
      <c r="B72" s="34"/>
      <c r="C72" s="39"/>
      <c r="D72" s="34"/>
      <c r="E72" s="34"/>
      <c r="F72" s="40"/>
      <c r="G72" s="40"/>
      <c r="H72" s="36" t="s">
        <v>12</v>
      </c>
    </row>
    <row r="73" spans="1:8" x14ac:dyDescent="0.2">
      <c r="A73" s="34"/>
      <c r="B73" s="34"/>
      <c r="C73" s="35" t="s">
        <v>94</v>
      </c>
      <c r="D73" s="34"/>
      <c r="E73" s="34"/>
      <c r="F73" s="40"/>
      <c r="G73" s="40"/>
      <c r="H73" s="36" t="s">
        <v>12</v>
      </c>
    </row>
    <row r="74" spans="1:8" x14ac:dyDescent="0.2">
      <c r="A74" s="42">
        <v>1</v>
      </c>
      <c r="B74" s="43"/>
      <c r="C74" s="43" t="s">
        <v>95</v>
      </c>
      <c r="D74" s="43"/>
      <c r="E74" s="47"/>
      <c r="F74" s="45">
        <v>2647.7550509900002</v>
      </c>
      <c r="G74" s="46">
        <v>7.88658E-2</v>
      </c>
      <c r="H74" s="36">
        <v>6.6</v>
      </c>
    </row>
    <row r="75" spans="1:8" x14ac:dyDescent="0.2">
      <c r="A75" s="34"/>
      <c r="B75" s="34"/>
      <c r="C75" s="35" t="s">
        <v>11</v>
      </c>
      <c r="D75" s="34"/>
      <c r="E75" s="34" t="s">
        <v>12</v>
      </c>
      <c r="F75" s="41">
        <v>2647.7550509900002</v>
      </c>
      <c r="G75" s="38">
        <v>7.88658E-2</v>
      </c>
      <c r="H75" s="36" t="str">
        <f>IFERROR(VLOOKUP(B75,#REF!,12,FALSE),"")</f>
        <v/>
      </c>
    </row>
    <row r="76" spans="1:8" x14ac:dyDescent="0.2">
      <c r="A76" s="34"/>
      <c r="B76" s="34"/>
      <c r="C76" s="39"/>
      <c r="D76" s="34"/>
      <c r="E76" s="34"/>
      <c r="F76" s="40"/>
      <c r="G76" s="40"/>
      <c r="H76" s="36" t="str">
        <f>IFERROR(VLOOKUP(B76,#REF!,12,FALSE),"")</f>
        <v/>
      </c>
    </row>
    <row r="77" spans="1:8" x14ac:dyDescent="0.2">
      <c r="A77" s="34"/>
      <c r="B77" s="34"/>
      <c r="C77" s="35" t="s">
        <v>96</v>
      </c>
      <c r="D77" s="34"/>
      <c r="E77" s="34"/>
      <c r="F77" s="41">
        <v>2647.7550509900002</v>
      </c>
      <c r="G77" s="38">
        <v>7.88658E-2</v>
      </c>
      <c r="H77" s="36" t="str">
        <f>IFERROR(VLOOKUP(B77,#REF!,12,FALSE),"")</f>
        <v/>
      </c>
    </row>
    <row r="78" spans="1:8" x14ac:dyDescent="0.2">
      <c r="A78" s="34"/>
      <c r="B78" s="34"/>
      <c r="C78" s="40"/>
      <c r="D78" s="34"/>
      <c r="E78" s="34"/>
      <c r="F78" s="34"/>
      <c r="G78" s="34"/>
      <c r="H78" s="36" t="str">
        <f>IFERROR(VLOOKUP(B78,#REF!,12,FALSE),"")</f>
        <v/>
      </c>
    </row>
    <row r="79" spans="1:8" x14ac:dyDescent="0.2">
      <c r="A79" s="34"/>
      <c r="B79" s="34"/>
      <c r="C79" s="35" t="s">
        <v>97</v>
      </c>
      <c r="D79" s="34"/>
      <c r="E79" s="34"/>
      <c r="F79" s="34"/>
      <c r="G79" s="34"/>
      <c r="H79" s="36" t="str">
        <f>IFERROR(VLOOKUP(B79,#REF!,12,FALSE),"")</f>
        <v/>
      </c>
    </row>
    <row r="80" spans="1:8" x14ac:dyDescent="0.2">
      <c r="A80" s="34"/>
      <c r="B80" s="34"/>
      <c r="C80" s="35" t="s">
        <v>98</v>
      </c>
      <c r="D80" s="34"/>
      <c r="E80" s="34"/>
      <c r="F80" s="34"/>
      <c r="G80" s="34"/>
      <c r="H80" s="36" t="str">
        <f>IFERROR(VLOOKUP(B80,#REF!,12,FALSE),"")</f>
        <v/>
      </c>
    </row>
    <row r="81" spans="1:17" x14ac:dyDescent="0.2">
      <c r="A81" s="34"/>
      <c r="B81" s="34"/>
      <c r="C81" s="35" t="s">
        <v>11</v>
      </c>
      <c r="D81" s="34"/>
      <c r="E81" s="34" t="s">
        <v>12</v>
      </c>
      <c r="F81" s="37" t="s">
        <v>13</v>
      </c>
      <c r="G81" s="38">
        <v>0</v>
      </c>
      <c r="H81" s="36" t="str">
        <f>IFERROR(VLOOKUP(B81,#REF!,12,FALSE),"")</f>
        <v/>
      </c>
    </row>
    <row r="82" spans="1:17" x14ac:dyDescent="0.2">
      <c r="A82" s="82"/>
      <c r="B82" s="82"/>
      <c r="C82" s="83"/>
      <c r="D82" s="82"/>
      <c r="E82" s="82"/>
      <c r="F82" s="84"/>
      <c r="G82" s="84"/>
      <c r="H82" s="36" t="s">
        <v>12</v>
      </c>
    </row>
    <row r="83" spans="1:17" x14ac:dyDescent="0.2">
      <c r="A83" s="82"/>
      <c r="B83" s="82"/>
      <c r="C83" s="70" t="s">
        <v>581</v>
      </c>
      <c r="D83" s="82"/>
      <c r="E83" s="82"/>
      <c r="F83" s="84"/>
      <c r="G83" s="84"/>
      <c r="H83" s="79"/>
      <c r="K83" s="9"/>
      <c r="L83" s="9"/>
      <c r="M83" s="9"/>
      <c r="N83" s="9"/>
      <c r="O83" s="10"/>
      <c r="P83" s="10"/>
      <c r="Q83" s="10"/>
    </row>
    <row r="84" spans="1:17" ht="25.5" x14ac:dyDescent="0.2">
      <c r="A84" s="76">
        <v>1</v>
      </c>
      <c r="B84" s="77" t="s">
        <v>99</v>
      </c>
      <c r="C84" s="77" t="s">
        <v>100</v>
      </c>
      <c r="D84" s="77"/>
      <c r="E84" s="85">
        <v>1138.2429999999999</v>
      </c>
      <c r="F84" s="79">
        <v>123.451210992</v>
      </c>
      <c r="G84" s="80">
        <v>3.6771099999999999E-3</v>
      </c>
      <c r="H84" s="36"/>
    </row>
    <row r="85" spans="1:17" x14ac:dyDescent="0.2">
      <c r="A85" s="82"/>
      <c r="B85" s="82"/>
      <c r="C85" s="70" t="s">
        <v>11</v>
      </c>
      <c r="D85" s="82"/>
      <c r="E85" s="82" t="s">
        <v>12</v>
      </c>
      <c r="F85" s="86">
        <f>SUM(F84)</f>
        <v>123.451210992</v>
      </c>
      <c r="G85" s="31">
        <f>SUM(G84)</f>
        <v>3.6771099999999999E-3</v>
      </c>
      <c r="H85" s="36" t="s">
        <v>12</v>
      </c>
    </row>
    <row r="86" spans="1:17" x14ac:dyDescent="0.2">
      <c r="A86" s="34"/>
      <c r="B86" s="34"/>
      <c r="C86" s="39"/>
      <c r="D86" s="34"/>
      <c r="E86" s="34"/>
      <c r="F86" s="40"/>
      <c r="G86" s="40"/>
      <c r="H86" s="36" t="str">
        <f>IFERROR(VLOOKUP(B86,#REF!,12,FALSE),"")</f>
        <v/>
      </c>
    </row>
    <row r="87" spans="1:17" x14ac:dyDescent="0.2">
      <c r="A87" s="34"/>
      <c r="B87" s="34"/>
      <c r="C87" s="35" t="s">
        <v>101</v>
      </c>
      <c r="D87" s="34"/>
      <c r="E87" s="34"/>
      <c r="F87" s="34"/>
      <c r="G87" s="34"/>
      <c r="H87" s="36" t="str">
        <f>IFERROR(VLOOKUP(B87,#REF!,12,FALSE),"")</f>
        <v/>
      </c>
    </row>
    <row r="88" spans="1:17" x14ac:dyDescent="0.2">
      <c r="A88" s="34"/>
      <c r="B88" s="34"/>
      <c r="C88" s="35" t="s">
        <v>102</v>
      </c>
      <c r="D88" s="34"/>
      <c r="E88" s="34"/>
      <c r="F88" s="34"/>
      <c r="G88" s="34"/>
      <c r="H88" s="36" t="str">
        <f>IFERROR(VLOOKUP(B88,#REF!,12,FALSE),"")</f>
        <v/>
      </c>
    </row>
    <row r="89" spans="1:17" x14ac:dyDescent="0.2">
      <c r="A89" s="34"/>
      <c r="B89" s="34"/>
      <c r="C89" s="35" t="s">
        <v>11</v>
      </c>
      <c r="D89" s="34"/>
      <c r="E89" s="34" t="s">
        <v>12</v>
      </c>
      <c r="F89" s="37" t="s">
        <v>13</v>
      </c>
      <c r="G89" s="38">
        <v>0</v>
      </c>
      <c r="H89" s="36" t="str">
        <f>IFERROR(VLOOKUP(B89,#REF!,12,FALSE),"")</f>
        <v/>
      </c>
    </row>
    <row r="90" spans="1:17" x14ac:dyDescent="0.2">
      <c r="A90" s="34"/>
      <c r="B90" s="34"/>
      <c r="C90" s="39"/>
      <c r="D90" s="34"/>
      <c r="E90" s="34"/>
      <c r="F90" s="40"/>
      <c r="G90" s="40"/>
      <c r="H90" s="36" t="str">
        <f>IFERROR(VLOOKUP(B90,#REF!,12,FALSE),"")</f>
        <v/>
      </c>
    </row>
    <row r="91" spans="1:17" x14ac:dyDescent="0.2">
      <c r="A91" s="34"/>
      <c r="B91" s="34"/>
      <c r="C91" s="35" t="s">
        <v>103</v>
      </c>
      <c r="D91" s="34"/>
      <c r="E91" s="34"/>
      <c r="F91" s="40"/>
      <c r="G91" s="40"/>
      <c r="H91" s="36" t="str">
        <f>IFERROR(VLOOKUP(B91,#REF!,12,FALSE),"")</f>
        <v/>
      </c>
    </row>
    <row r="92" spans="1:17" x14ac:dyDescent="0.2">
      <c r="A92" s="34"/>
      <c r="B92" s="34"/>
      <c r="C92" s="35" t="s">
        <v>11</v>
      </c>
      <c r="D92" s="34"/>
      <c r="E92" s="34" t="s">
        <v>12</v>
      </c>
      <c r="F92" s="37" t="s">
        <v>13</v>
      </c>
      <c r="G92" s="38">
        <v>0</v>
      </c>
      <c r="H92" s="36" t="str">
        <f>IFERROR(VLOOKUP(B92,#REF!,12,FALSE),"")</f>
        <v/>
      </c>
    </row>
    <row r="93" spans="1:17" x14ac:dyDescent="0.2">
      <c r="A93" s="34"/>
      <c r="B93" s="34"/>
      <c r="C93" s="39"/>
      <c r="D93" s="34"/>
      <c r="E93" s="34"/>
      <c r="F93" s="40"/>
      <c r="G93" s="40"/>
      <c r="H93" s="36" t="str">
        <f>IFERROR(VLOOKUP(B93,#REF!,12,FALSE),"")</f>
        <v/>
      </c>
    </row>
    <row r="94" spans="1:17" x14ac:dyDescent="0.2">
      <c r="A94" s="47"/>
      <c r="B94" s="43"/>
      <c r="C94" s="43" t="s">
        <v>104</v>
      </c>
      <c r="D94" s="43"/>
      <c r="E94" s="47"/>
      <c r="F94" s="45">
        <f>966.15711911-0.000273522000312805</f>
        <v>966.15684558799978</v>
      </c>
      <c r="G94" s="46">
        <v>2.8777870000000001E-2</v>
      </c>
      <c r="H94" s="36" t="str">
        <f>IFERROR(VLOOKUP(B94,#REF!,12,FALSE),"")</f>
        <v/>
      </c>
    </row>
    <row r="95" spans="1:17" x14ac:dyDescent="0.2">
      <c r="A95" s="39"/>
      <c r="B95" s="39"/>
      <c r="C95" s="35" t="s">
        <v>105</v>
      </c>
      <c r="D95" s="40"/>
      <c r="E95" s="40"/>
      <c r="F95" s="41">
        <f>33572.916281092-0.000273522000312805</f>
        <v>33572.916007570006</v>
      </c>
      <c r="G95" s="48">
        <v>1</v>
      </c>
      <c r="H95" s="36" t="str">
        <f>IFERROR(VLOOKUP(B95,#REF!,12,FALSE),"")</f>
        <v/>
      </c>
    </row>
    <row r="96" spans="1:17" x14ac:dyDescent="0.2">
      <c r="A96" s="49"/>
      <c r="B96" s="49"/>
      <c r="C96" s="49"/>
      <c r="D96" s="50"/>
      <c r="E96" s="50"/>
      <c r="F96" s="50"/>
      <c r="G96" s="50"/>
    </row>
    <row r="97" spans="1:8" x14ac:dyDescent="0.2">
      <c r="A97" s="51"/>
      <c r="B97" s="158" t="s">
        <v>582</v>
      </c>
      <c r="C97" s="158"/>
      <c r="D97" s="158"/>
      <c r="E97" s="158"/>
      <c r="F97" s="158"/>
      <c r="G97" s="158"/>
      <c r="H97" s="158"/>
    </row>
    <row r="98" spans="1:8" x14ac:dyDescent="0.2">
      <c r="A98" s="51"/>
      <c r="B98" s="158" t="s">
        <v>583</v>
      </c>
      <c r="C98" s="158"/>
      <c r="D98" s="158"/>
      <c r="E98" s="158"/>
      <c r="F98" s="158"/>
      <c r="G98" s="158"/>
      <c r="H98" s="158"/>
    </row>
    <row r="99" spans="1:8" x14ac:dyDescent="0.2">
      <c r="A99" s="51"/>
      <c r="B99" s="158" t="s">
        <v>584</v>
      </c>
      <c r="C99" s="158"/>
      <c r="D99" s="158"/>
      <c r="E99" s="158"/>
      <c r="F99" s="158"/>
      <c r="G99" s="158"/>
      <c r="H99" s="158"/>
    </row>
    <row r="100" spans="1:8" x14ac:dyDescent="0.2">
      <c r="A100" s="51"/>
      <c r="B100" s="51"/>
      <c r="C100" s="51"/>
      <c r="D100" s="52"/>
      <c r="E100" s="52"/>
      <c r="F100" s="52"/>
      <c r="G100" s="52"/>
    </row>
    <row r="101" spans="1:8" x14ac:dyDescent="0.2">
      <c r="A101" s="53"/>
      <c r="B101" s="162" t="s">
        <v>106</v>
      </c>
      <c r="C101" s="163"/>
      <c r="D101" s="164"/>
      <c r="E101" s="54"/>
      <c r="F101" s="55"/>
      <c r="G101" s="55"/>
    </row>
    <row r="102" spans="1:8" x14ac:dyDescent="0.2">
      <c r="A102" s="53"/>
      <c r="B102" s="165" t="s">
        <v>107</v>
      </c>
      <c r="C102" s="166"/>
      <c r="D102" s="35" t="s">
        <v>108</v>
      </c>
      <c r="E102" s="54"/>
      <c r="F102" s="55"/>
      <c r="G102" s="55"/>
    </row>
    <row r="103" spans="1:8" x14ac:dyDescent="0.2">
      <c r="A103" s="53"/>
      <c r="B103" s="165" t="s">
        <v>109</v>
      </c>
      <c r="C103" s="166"/>
      <c r="D103" s="35" t="s">
        <v>108</v>
      </c>
      <c r="E103" s="54"/>
      <c r="F103" s="55"/>
      <c r="G103" s="55"/>
    </row>
    <row r="104" spans="1:8" x14ac:dyDescent="0.2">
      <c r="A104" s="53"/>
      <c r="B104" s="165" t="s">
        <v>110</v>
      </c>
      <c r="C104" s="166"/>
      <c r="D104" s="40" t="s">
        <v>12</v>
      </c>
      <c r="E104" s="54"/>
      <c r="F104" s="55"/>
      <c r="G104" s="55"/>
    </row>
    <row r="105" spans="1:8" x14ac:dyDescent="0.2">
      <c r="A105" s="56"/>
      <c r="B105" s="57" t="s">
        <v>12</v>
      </c>
      <c r="C105" s="57" t="s">
        <v>585</v>
      </c>
      <c r="D105" s="57" t="s">
        <v>111</v>
      </c>
      <c r="E105" s="56"/>
      <c r="F105" s="56"/>
      <c r="G105" s="56"/>
      <c r="H105" s="58"/>
    </row>
    <row r="106" spans="1:8" x14ac:dyDescent="0.2">
      <c r="A106" s="56"/>
      <c r="B106" s="59" t="s">
        <v>112</v>
      </c>
      <c r="C106" s="60">
        <v>45626</v>
      </c>
      <c r="D106" s="60">
        <v>45657</v>
      </c>
      <c r="E106" s="56"/>
      <c r="F106" s="56"/>
      <c r="G106" s="56"/>
    </row>
    <row r="107" spans="1:8" x14ac:dyDescent="0.2">
      <c r="A107" s="61"/>
      <c r="B107" s="43" t="s">
        <v>113</v>
      </c>
      <c r="C107" s="62">
        <v>41.516100000000002</v>
      </c>
      <c r="D107" s="62">
        <v>41.733600000000003</v>
      </c>
      <c r="E107" s="61"/>
      <c r="F107" s="63"/>
      <c r="G107" s="64"/>
    </row>
    <row r="108" spans="1:8" x14ac:dyDescent="0.2">
      <c r="A108" s="61"/>
      <c r="B108" s="43" t="s">
        <v>141</v>
      </c>
      <c r="C108" s="62">
        <v>20.769200000000001</v>
      </c>
      <c r="D108" s="62">
        <v>20.878</v>
      </c>
      <c r="E108" s="61"/>
      <c r="F108" s="63"/>
      <c r="G108" s="64"/>
    </row>
    <row r="109" spans="1:8" ht="25.5" x14ac:dyDescent="0.2">
      <c r="A109" s="61"/>
      <c r="B109" s="43" t="s">
        <v>705</v>
      </c>
      <c r="C109" s="62">
        <v>11.547599999999999</v>
      </c>
      <c r="D109" s="62">
        <v>11.5281</v>
      </c>
      <c r="E109" s="61"/>
      <c r="F109" s="63"/>
      <c r="G109" s="64"/>
    </row>
    <row r="110" spans="1:8" x14ac:dyDescent="0.2">
      <c r="A110" s="61"/>
      <c r="B110" s="43" t="s">
        <v>114</v>
      </c>
      <c r="C110" s="62">
        <v>40.968800000000002</v>
      </c>
      <c r="D110" s="62">
        <v>41.178699999999999</v>
      </c>
      <c r="E110" s="61"/>
      <c r="F110" s="63"/>
      <c r="G110" s="64"/>
    </row>
    <row r="111" spans="1:8" x14ac:dyDescent="0.2">
      <c r="A111" s="61"/>
      <c r="B111" s="43" t="s">
        <v>142</v>
      </c>
      <c r="C111" s="62">
        <v>20.659400000000002</v>
      </c>
      <c r="D111" s="62">
        <v>20.7653</v>
      </c>
      <c r="E111" s="61"/>
      <c r="F111" s="63"/>
      <c r="G111" s="64"/>
    </row>
    <row r="112" spans="1:8" ht="25.5" x14ac:dyDescent="0.2">
      <c r="A112" s="61"/>
      <c r="B112" s="43" t="s">
        <v>709</v>
      </c>
      <c r="C112" s="62">
        <v>11.5999</v>
      </c>
      <c r="D112" s="62">
        <v>11.5806</v>
      </c>
      <c r="E112" s="61"/>
      <c r="F112" s="63"/>
      <c r="G112" s="64"/>
    </row>
    <row r="113" spans="1:15" x14ac:dyDescent="0.2">
      <c r="A113" s="61"/>
      <c r="B113" s="61"/>
      <c r="C113" s="61"/>
      <c r="D113" s="61"/>
      <c r="E113" s="61"/>
      <c r="F113" s="61"/>
      <c r="G113" s="61"/>
    </row>
    <row r="114" spans="1:15" x14ac:dyDescent="0.2">
      <c r="A114" s="61"/>
      <c r="B114" s="165" t="s">
        <v>712</v>
      </c>
      <c r="C114" s="166"/>
      <c r="D114" s="35" t="s">
        <v>12</v>
      </c>
      <c r="E114" s="61"/>
      <c r="F114" s="61"/>
      <c r="G114" s="61"/>
    </row>
    <row r="115" spans="1:15" x14ac:dyDescent="0.2">
      <c r="A115" s="61"/>
      <c r="B115" s="65" t="s">
        <v>112</v>
      </c>
      <c r="C115" s="66" t="s">
        <v>115</v>
      </c>
      <c r="D115" s="66" t="s">
        <v>116</v>
      </c>
      <c r="E115" s="61"/>
      <c r="F115" s="61"/>
      <c r="G115" s="61"/>
    </row>
    <row r="116" spans="1:15" ht="25.5" x14ac:dyDescent="0.2">
      <c r="A116" s="61"/>
      <c r="B116" s="43" t="s">
        <v>705</v>
      </c>
      <c r="C116" s="154">
        <v>7.9899999999999999E-2</v>
      </c>
      <c r="D116" s="155" t="s">
        <v>117</v>
      </c>
      <c r="E116" s="61"/>
      <c r="F116" s="63"/>
      <c r="G116" s="64"/>
    </row>
    <row r="117" spans="1:15" ht="25.5" x14ac:dyDescent="0.2">
      <c r="A117" s="61"/>
      <c r="B117" s="43" t="s">
        <v>709</v>
      </c>
      <c r="C117" s="154">
        <v>7.8700000000000006E-2</v>
      </c>
      <c r="D117" s="154">
        <v>7.8700000000000006E-2</v>
      </c>
      <c r="E117" s="61"/>
      <c r="F117" s="63"/>
      <c r="G117" s="64"/>
    </row>
    <row r="118" spans="1:15" x14ac:dyDescent="0.2">
      <c r="A118" s="56"/>
      <c r="B118" s="72"/>
      <c r="C118" s="72"/>
      <c r="D118" s="72"/>
      <c r="E118" s="56"/>
      <c r="F118" s="56"/>
      <c r="G118" s="56"/>
    </row>
    <row r="119" spans="1:15" s="11" customFormat="1" x14ac:dyDescent="0.2">
      <c r="A119" s="100"/>
      <c r="B119" s="159" t="s">
        <v>600</v>
      </c>
      <c r="C119" s="160"/>
      <c r="D119" s="70" t="s">
        <v>108</v>
      </c>
      <c r="E119" s="100"/>
      <c r="F119" s="20"/>
      <c r="G119" s="100"/>
      <c r="I119"/>
      <c r="J119"/>
      <c r="K119" s="9"/>
      <c r="L119" s="9"/>
      <c r="M119" s="9"/>
      <c r="N119" s="9"/>
      <c r="O119" s="15"/>
    </row>
    <row r="120" spans="1:15" x14ac:dyDescent="0.2">
      <c r="A120" s="56"/>
      <c r="B120" s="159" t="s">
        <v>601</v>
      </c>
      <c r="C120" s="160"/>
      <c r="D120" s="70" t="s">
        <v>108</v>
      </c>
      <c r="E120" s="71"/>
      <c r="F120" s="56"/>
      <c r="G120" s="56"/>
    </row>
    <row r="121" spans="1:15" x14ac:dyDescent="0.2">
      <c r="A121" s="56"/>
      <c r="B121" s="159" t="s">
        <v>602</v>
      </c>
      <c r="C121" s="160"/>
      <c r="D121" s="70" t="s">
        <v>108</v>
      </c>
      <c r="E121" s="71"/>
      <c r="F121" s="56"/>
      <c r="G121" s="56"/>
    </row>
    <row r="122" spans="1:15" x14ac:dyDescent="0.2">
      <c r="A122" s="56"/>
      <c r="B122" s="159" t="s">
        <v>603</v>
      </c>
      <c r="C122" s="160"/>
      <c r="D122" s="70" t="s">
        <v>108</v>
      </c>
      <c r="E122" s="71"/>
      <c r="F122" s="56"/>
      <c r="G122" s="56"/>
    </row>
    <row r="123" spans="1:15" x14ac:dyDescent="0.2">
      <c r="A123" s="72"/>
      <c r="B123" s="72"/>
      <c r="C123" s="72"/>
      <c r="D123" s="72"/>
      <c r="E123" s="72"/>
      <c r="F123" s="72"/>
      <c r="G123" s="72"/>
    </row>
    <row r="124" spans="1:15" s="11" customFormat="1" x14ac:dyDescent="0.2">
      <c r="B124" s="167" t="s">
        <v>587</v>
      </c>
      <c r="C124" s="168"/>
      <c r="D124" s="169"/>
      <c r="I124"/>
      <c r="J124" s="8"/>
      <c r="K124" s="9"/>
      <c r="L124" s="9"/>
      <c r="M124" s="9"/>
      <c r="N124" s="9"/>
      <c r="O124" s="15"/>
    </row>
    <row r="125" spans="1:15" s="11" customFormat="1" ht="38.25" x14ac:dyDescent="0.2">
      <c r="B125" s="161" t="s">
        <v>588</v>
      </c>
      <c r="C125" s="161"/>
      <c r="D125" s="12" t="s">
        <v>120</v>
      </c>
      <c r="I125"/>
      <c r="J125" s="8"/>
      <c r="K125" s="9"/>
      <c r="L125" s="9"/>
      <c r="M125" s="9"/>
      <c r="N125" s="9"/>
      <c r="O125" s="15"/>
    </row>
    <row r="126" spans="1:15" s="11" customFormat="1" x14ac:dyDescent="0.2">
      <c r="B126" s="171" t="s">
        <v>589</v>
      </c>
      <c r="C126" s="171"/>
      <c r="D126" s="13"/>
      <c r="I126"/>
      <c r="J126" s="8"/>
      <c r="K126" s="9"/>
      <c r="L126" s="9"/>
      <c r="M126" s="9"/>
      <c r="N126" s="9"/>
      <c r="O126" s="15"/>
    </row>
    <row r="127" spans="1:15" s="11" customFormat="1" x14ac:dyDescent="0.2">
      <c r="B127" s="171"/>
      <c r="C127" s="171"/>
      <c r="D127" s="14"/>
      <c r="I127"/>
      <c r="J127"/>
      <c r="K127" s="9"/>
      <c r="L127" s="9"/>
      <c r="M127" s="9"/>
      <c r="N127" s="9"/>
      <c r="O127" s="15"/>
    </row>
    <row r="128" spans="1:15" s="11" customFormat="1" x14ac:dyDescent="0.2">
      <c r="B128" s="171" t="s">
        <v>590</v>
      </c>
      <c r="C128" s="171"/>
      <c r="D128" s="19">
        <v>7.3057815536576811</v>
      </c>
      <c r="I128"/>
      <c r="J128"/>
      <c r="K128" s="9"/>
      <c r="L128" s="9"/>
      <c r="M128" s="9"/>
      <c r="N128" s="9"/>
      <c r="O128" s="15"/>
    </row>
    <row r="129" spans="2:18" s="11" customFormat="1" x14ac:dyDescent="0.2">
      <c r="B129" s="171"/>
      <c r="C129" s="171"/>
      <c r="D129" s="14"/>
      <c r="I129"/>
      <c r="J129" s="8"/>
      <c r="K129" s="9"/>
      <c r="L129" s="9"/>
      <c r="M129" s="9"/>
      <c r="N129" s="9"/>
      <c r="O129" s="15"/>
    </row>
    <row r="130" spans="2:18" s="11" customFormat="1" x14ac:dyDescent="0.2">
      <c r="B130" s="171" t="s">
        <v>591</v>
      </c>
      <c r="C130" s="171"/>
      <c r="D130" s="19">
        <v>3.2963657747292001</v>
      </c>
      <c r="I130"/>
      <c r="J130" s="8"/>
      <c r="K130" s="9"/>
      <c r="L130" s="9"/>
      <c r="M130" s="9"/>
      <c r="N130" s="9"/>
      <c r="O130" s="15"/>
    </row>
    <row r="131" spans="2:18" s="11" customFormat="1" x14ac:dyDescent="0.2">
      <c r="B131" s="171" t="s">
        <v>592</v>
      </c>
      <c r="C131" s="171"/>
      <c r="D131" s="19">
        <v>4.292600871268454</v>
      </c>
      <c r="I131"/>
      <c r="J131" s="8"/>
      <c r="K131" s="9"/>
      <c r="L131" s="9"/>
      <c r="M131" s="9"/>
      <c r="N131" s="9"/>
      <c r="O131" s="15"/>
    </row>
    <row r="132" spans="2:18" s="11" customFormat="1" x14ac:dyDescent="0.2">
      <c r="B132" s="171"/>
      <c r="C132" s="171"/>
      <c r="D132" s="14"/>
      <c r="I132"/>
      <c r="J132" s="8"/>
      <c r="K132" s="9"/>
      <c r="L132" s="9"/>
      <c r="M132" s="9"/>
      <c r="N132" s="9"/>
      <c r="O132" s="15"/>
      <c r="R132"/>
    </row>
    <row r="133" spans="2:18" s="11" customFormat="1" ht="25.5" x14ac:dyDescent="0.2">
      <c r="B133" s="171" t="s">
        <v>593</v>
      </c>
      <c r="C133" s="171"/>
      <c r="D133" s="74" t="s">
        <v>699</v>
      </c>
      <c r="I133"/>
      <c r="J133" s="8"/>
      <c r="K133" s="9"/>
      <c r="L133" s="9"/>
      <c r="M133" s="9"/>
      <c r="N133" s="9"/>
      <c r="O133" s="15"/>
    </row>
    <row r="134" spans="2:18" s="11" customFormat="1" x14ac:dyDescent="0.2">
      <c r="B134" s="172" t="s">
        <v>594</v>
      </c>
      <c r="C134" s="174"/>
      <c r="D134" s="173"/>
      <c r="I134"/>
      <c r="J134" s="8"/>
      <c r="K134" s="9"/>
      <c r="L134" s="9"/>
      <c r="M134" s="9"/>
      <c r="N134" s="9"/>
      <c r="O134" s="15"/>
      <c r="R134"/>
    </row>
    <row r="135" spans="2:18" x14ac:dyDescent="0.2">
      <c r="J135" s="8"/>
    </row>
    <row r="136" spans="2:18" x14ac:dyDescent="0.2">
      <c r="B136" s="16" t="s">
        <v>595</v>
      </c>
    </row>
    <row r="138" spans="2:18" ht="153.75" customHeight="1" x14ac:dyDescent="0.2"/>
    <row r="141" spans="2:18" x14ac:dyDescent="0.2">
      <c r="B141" s="17" t="s">
        <v>596</v>
      </c>
      <c r="C141" s="18"/>
      <c r="D141" s="17" t="s">
        <v>597</v>
      </c>
    </row>
    <row r="142" spans="2:18" x14ac:dyDescent="0.2">
      <c r="B142" s="17" t="s">
        <v>604</v>
      </c>
      <c r="D142" s="17" t="s">
        <v>605</v>
      </c>
    </row>
    <row r="143" spans="2:18" ht="165" customHeight="1" x14ac:dyDescent="0.2"/>
    <row r="144" spans="2:18" x14ac:dyDescent="0.2">
      <c r="J144" s="8"/>
    </row>
    <row r="145" spans="10:10" x14ac:dyDescent="0.2">
      <c r="J145" s="8"/>
    </row>
    <row r="146" spans="10:10" x14ac:dyDescent="0.2">
      <c r="J146" s="8"/>
    </row>
  </sheetData>
  <mergeCells count="26">
    <mergeCell ref="B134:D134"/>
    <mergeCell ref="B129:C129"/>
    <mergeCell ref="B130:C130"/>
    <mergeCell ref="B131:C131"/>
    <mergeCell ref="B132:C132"/>
    <mergeCell ref="B133:C133"/>
    <mergeCell ref="B124:D124"/>
    <mergeCell ref="B125:C125"/>
    <mergeCell ref="B126:C126"/>
    <mergeCell ref="B127:C127"/>
    <mergeCell ref="B128:C128"/>
    <mergeCell ref="A1:H1"/>
    <mergeCell ref="A2:H2"/>
    <mergeCell ref="A3:H3"/>
    <mergeCell ref="B97:H97"/>
    <mergeCell ref="B98:H98"/>
    <mergeCell ref="B99:H99"/>
    <mergeCell ref="B101:D101"/>
    <mergeCell ref="B102:C102"/>
    <mergeCell ref="B103:C103"/>
    <mergeCell ref="B104:C104"/>
    <mergeCell ref="B114:C114"/>
    <mergeCell ref="B119:C119"/>
    <mergeCell ref="B120:C120"/>
    <mergeCell ref="B121:C121"/>
    <mergeCell ref="B122:C122"/>
  </mergeCells>
  <hyperlinks>
    <hyperlink ref="I1" location="Index!B2" display="Index" xr:uid="{BFB904E2-5B82-4E32-8FF2-3592A6EAE1D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1F03B-4E1C-446E-9EAD-266DF9E08E73}">
  <sheetPr>
    <outlinePr summaryBelow="0" summaryRight="0"/>
  </sheetPr>
  <dimension ref="A1:Q161"/>
  <sheetViews>
    <sheetView showGridLines="0" workbookViewId="0">
      <selection sqref="A1:H1"/>
    </sheetView>
  </sheetViews>
  <sheetFormatPr defaultRowHeight="12.75" x14ac:dyDescent="0.2"/>
  <cols>
    <col min="1" max="1" width="5.85546875" bestFit="1" customWidth="1"/>
    <col min="2" max="2" width="22.140625" customWidth="1"/>
    <col min="3" max="3" width="39.140625" bestFit="1" customWidth="1"/>
    <col min="4" max="4" width="10.7109375" bestFit="1" customWidth="1"/>
    <col min="5" max="5" width="8.7109375" bestFit="1" customWidth="1"/>
    <col min="6" max="6" width="10.140625" bestFit="1" customWidth="1"/>
    <col min="7" max="7" width="14" bestFit="1" customWidth="1"/>
    <col min="8" max="8" width="8.42578125" customWidth="1"/>
    <col min="9" max="9" width="5.7109375" bestFit="1" customWidth="1"/>
  </cols>
  <sheetData>
    <row r="1" spans="1:9" ht="15" x14ac:dyDescent="0.2">
      <c r="A1" s="170" t="s">
        <v>0</v>
      </c>
      <c r="B1" s="170"/>
      <c r="C1" s="170"/>
      <c r="D1" s="170"/>
      <c r="E1" s="170"/>
      <c r="F1" s="170"/>
      <c r="G1" s="170"/>
      <c r="H1" s="170"/>
      <c r="I1" s="7" t="s">
        <v>579</v>
      </c>
    </row>
    <row r="2" spans="1:9" ht="15" x14ac:dyDescent="0.2">
      <c r="A2" s="170" t="s">
        <v>143</v>
      </c>
      <c r="B2" s="170"/>
      <c r="C2" s="170"/>
      <c r="D2" s="170"/>
      <c r="E2" s="170"/>
      <c r="F2" s="170"/>
      <c r="G2" s="170"/>
      <c r="H2" s="170"/>
    </row>
    <row r="3" spans="1:9" ht="15" customHeight="1" x14ac:dyDescent="0.2">
      <c r="A3" s="170" t="s">
        <v>715</v>
      </c>
      <c r="B3" s="170"/>
      <c r="C3" s="170"/>
      <c r="D3" s="170"/>
      <c r="E3" s="170"/>
      <c r="F3" s="170"/>
      <c r="G3" s="170"/>
      <c r="H3" s="170"/>
    </row>
    <row r="4" spans="1:9" s="8" customFormat="1" ht="30" x14ac:dyDescent="0.2">
      <c r="A4" s="32" t="s">
        <v>2</v>
      </c>
      <c r="B4" s="32" t="s">
        <v>3</v>
      </c>
      <c r="C4" s="32" t="s">
        <v>4</v>
      </c>
      <c r="D4" s="32" t="s">
        <v>5</v>
      </c>
      <c r="E4" s="32" t="s">
        <v>6</v>
      </c>
      <c r="F4" s="32" t="s">
        <v>7</v>
      </c>
      <c r="G4" s="32" t="s">
        <v>8</v>
      </c>
      <c r="H4" s="33" t="s">
        <v>704</v>
      </c>
    </row>
    <row r="5" spans="1:9" x14ac:dyDescent="0.2">
      <c r="A5" s="34"/>
      <c r="B5" s="34"/>
      <c r="C5" s="35" t="s">
        <v>9</v>
      </c>
      <c r="D5" s="34"/>
      <c r="E5" s="34"/>
      <c r="F5" s="34"/>
      <c r="G5" s="34"/>
      <c r="H5" s="36" t="s">
        <v>12</v>
      </c>
    </row>
    <row r="6" spans="1:9" x14ac:dyDescent="0.2">
      <c r="A6" s="34"/>
      <c r="B6" s="34"/>
      <c r="C6" s="35" t="s">
        <v>10</v>
      </c>
      <c r="D6" s="34"/>
      <c r="E6" s="34"/>
      <c r="F6" s="34"/>
      <c r="G6" s="34"/>
      <c r="H6" s="36" t="s">
        <v>12</v>
      </c>
    </row>
    <row r="7" spans="1:9" x14ac:dyDescent="0.2">
      <c r="A7" s="34"/>
      <c r="B7" s="34"/>
      <c r="C7" s="35" t="s">
        <v>11</v>
      </c>
      <c r="D7" s="34"/>
      <c r="E7" s="34" t="s">
        <v>12</v>
      </c>
      <c r="F7" s="37" t="s">
        <v>13</v>
      </c>
      <c r="G7" s="38">
        <v>0</v>
      </c>
      <c r="H7" s="36" t="s">
        <v>12</v>
      </c>
    </row>
    <row r="8" spans="1:9" x14ac:dyDescent="0.2">
      <c r="A8" s="34"/>
      <c r="B8" s="34"/>
      <c r="C8" s="39"/>
      <c r="D8" s="34"/>
      <c r="E8" s="34"/>
      <c r="F8" s="40"/>
      <c r="G8" s="40"/>
      <c r="H8" s="36" t="s">
        <v>12</v>
      </c>
    </row>
    <row r="9" spans="1:9" x14ac:dyDescent="0.2">
      <c r="A9" s="34"/>
      <c r="B9" s="34"/>
      <c r="C9" s="35" t="s">
        <v>14</v>
      </c>
      <c r="D9" s="34"/>
      <c r="E9" s="34"/>
      <c r="F9" s="34"/>
      <c r="G9" s="34"/>
      <c r="H9" s="36" t="s">
        <v>12</v>
      </c>
    </row>
    <row r="10" spans="1:9" x14ac:dyDescent="0.2">
      <c r="A10" s="34"/>
      <c r="B10" s="34"/>
      <c r="C10" s="35" t="s">
        <v>11</v>
      </c>
      <c r="D10" s="34"/>
      <c r="E10" s="34" t="s">
        <v>12</v>
      </c>
      <c r="F10" s="37" t="s">
        <v>13</v>
      </c>
      <c r="G10" s="38">
        <v>0</v>
      </c>
      <c r="H10" s="36" t="s">
        <v>12</v>
      </c>
    </row>
    <row r="11" spans="1:9" x14ac:dyDescent="0.2">
      <c r="A11" s="34"/>
      <c r="B11" s="34"/>
      <c r="C11" s="39"/>
      <c r="D11" s="34"/>
      <c r="E11" s="34"/>
      <c r="F11" s="40"/>
      <c r="G11" s="40"/>
      <c r="H11" s="36" t="s">
        <v>12</v>
      </c>
    </row>
    <row r="12" spans="1:9" x14ac:dyDescent="0.2">
      <c r="A12" s="34"/>
      <c r="B12" s="34"/>
      <c r="C12" s="35" t="s">
        <v>15</v>
      </c>
      <c r="D12" s="34"/>
      <c r="E12" s="34"/>
      <c r="F12" s="34"/>
      <c r="G12" s="34"/>
      <c r="H12" s="36" t="s">
        <v>12</v>
      </c>
    </row>
    <row r="13" spans="1:9" x14ac:dyDescent="0.2">
      <c r="A13" s="34"/>
      <c r="B13" s="34"/>
      <c r="C13" s="35" t="s">
        <v>11</v>
      </c>
      <c r="D13" s="34"/>
      <c r="E13" s="34" t="s">
        <v>12</v>
      </c>
      <c r="F13" s="37" t="s">
        <v>13</v>
      </c>
      <c r="G13" s="38">
        <v>0</v>
      </c>
      <c r="H13" s="36" t="s">
        <v>12</v>
      </c>
    </row>
    <row r="14" spans="1:9" x14ac:dyDescent="0.2">
      <c r="A14" s="34"/>
      <c r="B14" s="34"/>
      <c r="C14" s="39"/>
      <c r="D14" s="34"/>
      <c r="E14" s="34"/>
      <c r="F14" s="40"/>
      <c r="G14" s="40"/>
      <c r="H14" s="36" t="s">
        <v>12</v>
      </c>
    </row>
    <row r="15" spans="1:9" x14ac:dyDescent="0.2">
      <c r="A15" s="34"/>
      <c r="B15" s="34"/>
      <c r="C15" s="35" t="s">
        <v>16</v>
      </c>
      <c r="D15" s="34"/>
      <c r="E15" s="34"/>
      <c r="F15" s="34"/>
      <c r="G15" s="34"/>
      <c r="H15" s="36" t="s">
        <v>12</v>
      </c>
    </row>
    <row r="16" spans="1:9" x14ac:dyDescent="0.2">
      <c r="A16" s="34"/>
      <c r="B16" s="34"/>
      <c r="C16" s="35" t="s">
        <v>11</v>
      </c>
      <c r="D16" s="34"/>
      <c r="E16" s="34" t="s">
        <v>12</v>
      </c>
      <c r="F16" s="37" t="s">
        <v>13</v>
      </c>
      <c r="G16" s="38">
        <v>0</v>
      </c>
      <c r="H16" s="36" t="s">
        <v>12</v>
      </c>
    </row>
    <row r="17" spans="1:8" x14ac:dyDescent="0.2">
      <c r="A17" s="34"/>
      <c r="B17" s="34"/>
      <c r="C17" s="39"/>
      <c r="D17" s="34"/>
      <c r="E17" s="34"/>
      <c r="F17" s="40"/>
      <c r="G17" s="40"/>
      <c r="H17" s="36" t="s">
        <v>12</v>
      </c>
    </row>
    <row r="18" spans="1:8" x14ac:dyDescent="0.2">
      <c r="A18" s="34"/>
      <c r="B18" s="34"/>
      <c r="C18" s="35" t="s">
        <v>17</v>
      </c>
      <c r="D18" s="34"/>
      <c r="E18" s="34"/>
      <c r="F18" s="40"/>
      <c r="G18" s="40"/>
      <c r="H18" s="36" t="s">
        <v>12</v>
      </c>
    </row>
    <row r="19" spans="1:8" x14ac:dyDescent="0.2">
      <c r="A19" s="34"/>
      <c r="B19" s="34"/>
      <c r="C19" s="35" t="s">
        <v>11</v>
      </c>
      <c r="D19" s="34"/>
      <c r="E19" s="34" t="s">
        <v>12</v>
      </c>
      <c r="F19" s="37" t="s">
        <v>13</v>
      </c>
      <c r="G19" s="38">
        <v>0</v>
      </c>
      <c r="H19" s="36" t="s">
        <v>12</v>
      </c>
    </row>
    <row r="20" spans="1:8" x14ac:dyDescent="0.2">
      <c r="A20" s="34"/>
      <c r="B20" s="34"/>
      <c r="C20" s="39"/>
      <c r="D20" s="34"/>
      <c r="E20" s="34"/>
      <c r="F20" s="40"/>
      <c r="G20" s="40"/>
      <c r="H20" s="36" t="s">
        <v>12</v>
      </c>
    </row>
    <row r="21" spans="1:8" x14ac:dyDescent="0.2">
      <c r="A21" s="34"/>
      <c r="B21" s="34"/>
      <c r="C21" s="35" t="s">
        <v>18</v>
      </c>
      <c r="D21" s="34"/>
      <c r="E21" s="34"/>
      <c r="F21" s="40"/>
      <c r="G21" s="40"/>
      <c r="H21" s="36" t="s">
        <v>12</v>
      </c>
    </row>
    <row r="22" spans="1:8" x14ac:dyDescent="0.2">
      <c r="A22" s="34"/>
      <c r="B22" s="34"/>
      <c r="C22" s="35" t="s">
        <v>11</v>
      </c>
      <c r="D22" s="34"/>
      <c r="E22" s="34" t="s">
        <v>12</v>
      </c>
      <c r="F22" s="37" t="s">
        <v>13</v>
      </c>
      <c r="G22" s="38">
        <v>0</v>
      </c>
      <c r="H22" s="36" t="s">
        <v>12</v>
      </c>
    </row>
    <row r="23" spans="1:8" x14ac:dyDescent="0.2">
      <c r="A23" s="34"/>
      <c r="B23" s="34"/>
      <c r="C23" s="39"/>
      <c r="D23" s="34"/>
      <c r="E23" s="34"/>
      <c r="F23" s="40"/>
      <c r="G23" s="40"/>
      <c r="H23" s="36" t="s">
        <v>12</v>
      </c>
    </row>
    <row r="24" spans="1:8" x14ac:dyDescent="0.2">
      <c r="A24" s="34"/>
      <c r="B24" s="34"/>
      <c r="C24" s="35" t="s">
        <v>19</v>
      </c>
      <c r="D24" s="34"/>
      <c r="E24" s="34"/>
      <c r="F24" s="41">
        <v>0</v>
      </c>
      <c r="G24" s="38">
        <v>0</v>
      </c>
      <c r="H24" s="36" t="s">
        <v>12</v>
      </c>
    </row>
    <row r="25" spans="1:8" x14ac:dyDescent="0.2">
      <c r="A25" s="34"/>
      <c r="B25" s="34"/>
      <c r="C25" s="39"/>
      <c r="D25" s="34"/>
      <c r="E25" s="34"/>
      <c r="F25" s="40"/>
      <c r="G25" s="40"/>
      <c r="H25" s="36" t="s">
        <v>12</v>
      </c>
    </row>
    <row r="26" spans="1:8" x14ac:dyDescent="0.2">
      <c r="A26" s="34"/>
      <c r="B26" s="34"/>
      <c r="C26" s="35" t="s">
        <v>20</v>
      </c>
      <c r="D26" s="34"/>
      <c r="E26" s="34"/>
      <c r="F26" s="40"/>
      <c r="G26" s="40"/>
      <c r="H26" s="36" t="s">
        <v>12</v>
      </c>
    </row>
    <row r="27" spans="1:8" x14ac:dyDescent="0.2">
      <c r="A27" s="34"/>
      <c r="B27" s="34"/>
      <c r="C27" s="35" t="s">
        <v>10</v>
      </c>
      <c r="D27" s="34"/>
      <c r="E27" s="34"/>
      <c r="F27" s="40"/>
      <c r="G27" s="40"/>
      <c r="H27" s="36" t="s">
        <v>12</v>
      </c>
    </row>
    <row r="28" spans="1:8" x14ac:dyDescent="0.2">
      <c r="A28" s="34"/>
      <c r="B28" s="34"/>
      <c r="C28" s="35" t="s">
        <v>11</v>
      </c>
      <c r="D28" s="34"/>
      <c r="E28" s="34" t="s">
        <v>12</v>
      </c>
      <c r="F28" s="37" t="s">
        <v>13</v>
      </c>
      <c r="G28" s="38">
        <v>0</v>
      </c>
      <c r="H28" s="36" t="s">
        <v>12</v>
      </c>
    </row>
    <row r="29" spans="1:8" x14ac:dyDescent="0.2">
      <c r="A29" s="34"/>
      <c r="B29" s="34"/>
      <c r="C29" s="39"/>
      <c r="D29" s="34"/>
      <c r="E29" s="34"/>
      <c r="F29" s="40"/>
      <c r="G29" s="40"/>
      <c r="H29" s="36" t="s">
        <v>12</v>
      </c>
    </row>
    <row r="30" spans="1:8" x14ac:dyDescent="0.2">
      <c r="A30" s="34"/>
      <c r="B30" s="34"/>
      <c r="C30" s="35" t="s">
        <v>71</v>
      </c>
      <c r="D30" s="34"/>
      <c r="E30" s="34"/>
      <c r="F30" s="34"/>
      <c r="G30" s="34"/>
      <c r="H30" s="36" t="s">
        <v>12</v>
      </c>
    </row>
    <row r="31" spans="1:8" x14ac:dyDescent="0.2">
      <c r="A31" s="34"/>
      <c r="B31" s="34"/>
      <c r="C31" s="35" t="s">
        <v>11</v>
      </c>
      <c r="D31" s="34"/>
      <c r="E31" s="34" t="s">
        <v>12</v>
      </c>
      <c r="F31" s="37" t="s">
        <v>13</v>
      </c>
      <c r="G31" s="38">
        <v>0</v>
      </c>
      <c r="H31" s="36" t="s">
        <v>12</v>
      </c>
    </row>
    <row r="32" spans="1:8" x14ac:dyDescent="0.2">
      <c r="A32" s="34"/>
      <c r="B32" s="34"/>
      <c r="C32" s="39"/>
      <c r="D32" s="34"/>
      <c r="E32" s="34"/>
      <c r="F32" s="40"/>
      <c r="G32" s="40"/>
      <c r="H32" s="36" t="s">
        <v>12</v>
      </c>
    </row>
    <row r="33" spans="1:8" x14ac:dyDescent="0.2">
      <c r="A33" s="34"/>
      <c r="B33" s="34"/>
      <c r="C33" s="35" t="s">
        <v>72</v>
      </c>
      <c r="D33" s="34"/>
      <c r="E33" s="34"/>
      <c r="F33" s="34"/>
      <c r="G33" s="34"/>
      <c r="H33" s="36" t="s">
        <v>12</v>
      </c>
    </row>
    <row r="34" spans="1:8" x14ac:dyDescent="0.2">
      <c r="A34" s="34"/>
      <c r="B34" s="34"/>
      <c r="C34" s="35" t="s">
        <v>11</v>
      </c>
      <c r="D34" s="34"/>
      <c r="E34" s="34" t="s">
        <v>12</v>
      </c>
      <c r="F34" s="37" t="s">
        <v>13</v>
      </c>
      <c r="G34" s="38">
        <v>0</v>
      </c>
      <c r="H34" s="36" t="s">
        <v>12</v>
      </c>
    </row>
    <row r="35" spans="1:8" x14ac:dyDescent="0.2">
      <c r="A35" s="34"/>
      <c r="B35" s="34"/>
      <c r="C35" s="39"/>
      <c r="D35" s="34"/>
      <c r="E35" s="34"/>
      <c r="F35" s="40"/>
      <c r="G35" s="40"/>
      <c r="H35" s="36" t="s">
        <v>12</v>
      </c>
    </row>
    <row r="36" spans="1:8" x14ac:dyDescent="0.2">
      <c r="A36" s="34"/>
      <c r="B36" s="34"/>
      <c r="C36" s="35" t="s">
        <v>88</v>
      </c>
      <c r="D36" s="34"/>
      <c r="E36" s="34"/>
      <c r="F36" s="40"/>
      <c r="G36" s="40"/>
      <c r="H36" s="36" t="s">
        <v>12</v>
      </c>
    </row>
    <row r="37" spans="1:8" x14ac:dyDescent="0.2">
      <c r="A37" s="34"/>
      <c r="B37" s="34"/>
      <c r="C37" s="35" t="s">
        <v>11</v>
      </c>
      <c r="D37" s="34"/>
      <c r="E37" s="34" t="s">
        <v>12</v>
      </c>
      <c r="F37" s="37" t="s">
        <v>13</v>
      </c>
      <c r="G37" s="38">
        <v>0</v>
      </c>
      <c r="H37" s="36" t="s">
        <v>12</v>
      </c>
    </row>
    <row r="38" spans="1:8" x14ac:dyDescent="0.2">
      <c r="A38" s="34"/>
      <c r="B38" s="34"/>
      <c r="C38" s="39"/>
      <c r="D38" s="34"/>
      <c r="E38" s="34"/>
      <c r="F38" s="40"/>
      <c r="G38" s="40"/>
      <c r="H38" s="36" t="s">
        <v>12</v>
      </c>
    </row>
    <row r="39" spans="1:8" x14ac:dyDescent="0.2">
      <c r="A39" s="34"/>
      <c r="B39" s="34"/>
      <c r="C39" s="35" t="s">
        <v>89</v>
      </c>
      <c r="D39" s="34"/>
      <c r="E39" s="34"/>
      <c r="F39" s="41">
        <v>0</v>
      </c>
      <c r="G39" s="38">
        <v>0</v>
      </c>
      <c r="H39" s="36" t="s">
        <v>12</v>
      </c>
    </row>
    <row r="40" spans="1:8" x14ac:dyDescent="0.2">
      <c r="A40" s="34"/>
      <c r="B40" s="34"/>
      <c r="C40" s="39"/>
      <c r="D40" s="34"/>
      <c r="E40" s="34"/>
      <c r="F40" s="40"/>
      <c r="G40" s="40"/>
      <c r="H40" s="36" t="s">
        <v>12</v>
      </c>
    </row>
    <row r="41" spans="1:8" x14ac:dyDescent="0.2">
      <c r="A41" s="34"/>
      <c r="B41" s="34"/>
      <c r="C41" s="35" t="s">
        <v>90</v>
      </c>
      <c r="D41" s="34"/>
      <c r="E41" s="34"/>
      <c r="F41" s="40"/>
      <c r="G41" s="40"/>
      <c r="H41" s="36" t="s">
        <v>12</v>
      </c>
    </row>
    <row r="42" spans="1:8" x14ac:dyDescent="0.2">
      <c r="A42" s="34"/>
      <c r="B42" s="34"/>
      <c r="C42" s="35" t="s">
        <v>91</v>
      </c>
      <c r="D42" s="34"/>
      <c r="E42" s="34"/>
      <c r="F42" s="40"/>
      <c r="G42" s="40"/>
      <c r="H42" s="36" t="s">
        <v>12</v>
      </c>
    </row>
    <row r="43" spans="1:8" ht="25.5" x14ac:dyDescent="0.2">
      <c r="A43" s="42">
        <v>1</v>
      </c>
      <c r="B43" s="43" t="s">
        <v>144</v>
      </c>
      <c r="C43" s="43" t="s">
        <v>145</v>
      </c>
      <c r="D43" s="43" t="s">
        <v>146</v>
      </c>
      <c r="E43" s="44">
        <v>500</v>
      </c>
      <c r="F43" s="45">
        <v>2465.6</v>
      </c>
      <c r="G43" s="46">
        <v>4.29567E-2</v>
      </c>
      <c r="H43" s="36">
        <v>7.2750000000000004</v>
      </c>
    </row>
    <row r="44" spans="1:8" x14ac:dyDescent="0.2">
      <c r="A44" s="42">
        <v>2</v>
      </c>
      <c r="B44" s="43" t="s">
        <v>147</v>
      </c>
      <c r="C44" s="43" t="s">
        <v>148</v>
      </c>
      <c r="D44" s="43" t="s">
        <v>149</v>
      </c>
      <c r="E44" s="44">
        <v>500</v>
      </c>
      <c r="F44" s="45">
        <v>2463.3024999999998</v>
      </c>
      <c r="G44" s="46">
        <v>4.2916669999999997E-2</v>
      </c>
      <c r="H44" s="36">
        <v>7.2500999999999998</v>
      </c>
    </row>
    <row r="45" spans="1:8" x14ac:dyDescent="0.2">
      <c r="A45" s="42">
        <v>3</v>
      </c>
      <c r="B45" s="43" t="s">
        <v>150</v>
      </c>
      <c r="C45" s="43" t="s">
        <v>151</v>
      </c>
      <c r="D45" s="43" t="s">
        <v>152</v>
      </c>
      <c r="E45" s="44">
        <v>500</v>
      </c>
      <c r="F45" s="45">
        <v>2433.3575000000001</v>
      </c>
      <c r="G45" s="46">
        <v>4.2394960000000002E-2</v>
      </c>
      <c r="H45" s="36">
        <v>7.46</v>
      </c>
    </row>
    <row r="46" spans="1:8" x14ac:dyDescent="0.2">
      <c r="A46" s="42">
        <v>4</v>
      </c>
      <c r="B46" s="43" t="s">
        <v>153</v>
      </c>
      <c r="C46" s="43" t="s">
        <v>154</v>
      </c>
      <c r="D46" s="43" t="s">
        <v>146</v>
      </c>
      <c r="E46" s="44">
        <v>500</v>
      </c>
      <c r="F46" s="45">
        <v>2344.4924999999998</v>
      </c>
      <c r="G46" s="46">
        <v>4.0846710000000001E-2</v>
      </c>
      <c r="H46" s="36">
        <v>8.07</v>
      </c>
    </row>
    <row r="47" spans="1:8" x14ac:dyDescent="0.2">
      <c r="A47" s="42">
        <v>5</v>
      </c>
      <c r="B47" s="43" t="s">
        <v>155</v>
      </c>
      <c r="C47" s="43" t="s">
        <v>156</v>
      </c>
      <c r="D47" s="43" t="s">
        <v>146</v>
      </c>
      <c r="E47" s="44">
        <v>500</v>
      </c>
      <c r="F47" s="45">
        <v>2338.6025</v>
      </c>
      <c r="G47" s="46">
        <v>4.0744099999999998E-2</v>
      </c>
      <c r="H47" s="36">
        <v>7.68</v>
      </c>
    </row>
    <row r="48" spans="1:8" x14ac:dyDescent="0.2">
      <c r="A48" s="42">
        <v>6</v>
      </c>
      <c r="B48" s="43" t="s">
        <v>157</v>
      </c>
      <c r="C48" s="43" t="s">
        <v>158</v>
      </c>
      <c r="D48" s="43" t="s">
        <v>146</v>
      </c>
      <c r="E48" s="44">
        <v>500</v>
      </c>
      <c r="F48" s="45">
        <v>2338.5124999999998</v>
      </c>
      <c r="G48" s="46">
        <v>4.0742529999999999E-2</v>
      </c>
      <c r="H48" s="36">
        <v>7.6150000000000002</v>
      </c>
    </row>
    <row r="49" spans="1:8" x14ac:dyDescent="0.2">
      <c r="A49" s="42">
        <v>7</v>
      </c>
      <c r="B49" s="43" t="s">
        <v>159</v>
      </c>
      <c r="C49" s="43" t="s">
        <v>160</v>
      </c>
      <c r="D49" s="43" t="s">
        <v>146</v>
      </c>
      <c r="E49" s="44">
        <v>500</v>
      </c>
      <c r="F49" s="45">
        <v>2335.8775000000001</v>
      </c>
      <c r="G49" s="46">
        <v>4.0696620000000003E-2</v>
      </c>
      <c r="H49" s="36">
        <v>7.61</v>
      </c>
    </row>
    <row r="50" spans="1:8" x14ac:dyDescent="0.2">
      <c r="A50" s="42">
        <v>8</v>
      </c>
      <c r="B50" s="43" t="s">
        <v>161</v>
      </c>
      <c r="C50" s="43" t="s">
        <v>162</v>
      </c>
      <c r="D50" s="43" t="s">
        <v>146</v>
      </c>
      <c r="E50" s="44">
        <v>500</v>
      </c>
      <c r="F50" s="45">
        <v>2333.3024999999998</v>
      </c>
      <c r="G50" s="46">
        <v>4.0651760000000002E-2</v>
      </c>
      <c r="H50" s="36">
        <v>7.7149999999999999</v>
      </c>
    </row>
    <row r="51" spans="1:8" ht="25.5" x14ac:dyDescent="0.2">
      <c r="A51" s="42">
        <v>9</v>
      </c>
      <c r="B51" s="43" t="s">
        <v>201</v>
      </c>
      <c r="C51" s="43" t="s">
        <v>202</v>
      </c>
      <c r="D51" s="43" t="s">
        <v>146</v>
      </c>
      <c r="E51" s="44">
        <v>500</v>
      </c>
      <c r="F51" s="45">
        <v>2335.3225000000002</v>
      </c>
      <c r="G51" s="46">
        <v>4.068695E-2</v>
      </c>
      <c r="H51" s="36">
        <v>7.6150000000000002</v>
      </c>
    </row>
    <row r="52" spans="1:8" x14ac:dyDescent="0.2">
      <c r="A52" s="42">
        <v>10</v>
      </c>
      <c r="B52" s="43" t="s">
        <v>163</v>
      </c>
      <c r="C52" s="43" t="s">
        <v>164</v>
      </c>
      <c r="D52" s="43" t="s">
        <v>146</v>
      </c>
      <c r="E52" s="44">
        <v>400</v>
      </c>
      <c r="F52" s="45">
        <v>1940.7539999999999</v>
      </c>
      <c r="G52" s="46">
        <v>3.3812620000000002E-2</v>
      </c>
      <c r="H52" s="36">
        <v>7.5800999999999998</v>
      </c>
    </row>
    <row r="53" spans="1:8" x14ac:dyDescent="0.2">
      <c r="A53" s="42">
        <v>11</v>
      </c>
      <c r="B53" s="43" t="s">
        <v>165</v>
      </c>
      <c r="C53" s="43" t="s">
        <v>166</v>
      </c>
      <c r="D53" s="43" t="s">
        <v>146</v>
      </c>
      <c r="E53" s="44">
        <v>300</v>
      </c>
      <c r="F53" s="45">
        <v>1477.1144999999999</v>
      </c>
      <c r="G53" s="46">
        <v>2.5734900000000002E-2</v>
      </c>
      <c r="H53" s="36">
        <v>7.25</v>
      </c>
    </row>
    <row r="54" spans="1:8" x14ac:dyDescent="0.2">
      <c r="A54" s="42">
        <v>12</v>
      </c>
      <c r="B54" s="43" t="s">
        <v>167</v>
      </c>
      <c r="C54" s="43" t="s">
        <v>168</v>
      </c>
      <c r="D54" s="43" t="s">
        <v>146</v>
      </c>
      <c r="E54" s="44">
        <v>300</v>
      </c>
      <c r="F54" s="45">
        <v>1475.9594999999999</v>
      </c>
      <c r="G54" s="46">
        <v>2.5714770000000001E-2</v>
      </c>
      <c r="H54" s="36">
        <v>7.25</v>
      </c>
    </row>
    <row r="55" spans="1:8" x14ac:dyDescent="0.2">
      <c r="A55" s="42">
        <v>13</v>
      </c>
      <c r="B55" s="43" t="s">
        <v>169</v>
      </c>
      <c r="C55" s="43" t="s">
        <v>170</v>
      </c>
      <c r="D55" s="43" t="s">
        <v>146</v>
      </c>
      <c r="E55" s="44">
        <v>300</v>
      </c>
      <c r="F55" s="45">
        <v>1457.5574999999999</v>
      </c>
      <c r="G55" s="46">
        <v>2.5394170000000001E-2</v>
      </c>
      <c r="H55" s="36">
        <v>7.4850000000000003</v>
      </c>
    </row>
    <row r="56" spans="1:8" x14ac:dyDescent="0.2">
      <c r="A56" s="42">
        <v>14</v>
      </c>
      <c r="B56" s="43" t="s">
        <v>171</v>
      </c>
      <c r="C56" s="43" t="s">
        <v>172</v>
      </c>
      <c r="D56" s="43" t="s">
        <v>146</v>
      </c>
      <c r="E56" s="44">
        <v>200</v>
      </c>
      <c r="F56" s="45">
        <v>987.17600000000004</v>
      </c>
      <c r="G56" s="46">
        <v>1.7198990000000001E-2</v>
      </c>
      <c r="H56" s="36">
        <v>7.2949999999999999</v>
      </c>
    </row>
    <row r="57" spans="1:8" x14ac:dyDescent="0.2">
      <c r="A57" s="42">
        <v>15</v>
      </c>
      <c r="B57" s="43" t="s">
        <v>173</v>
      </c>
      <c r="C57" s="43" t="s">
        <v>174</v>
      </c>
      <c r="D57" s="43" t="s">
        <v>146</v>
      </c>
      <c r="E57" s="44">
        <v>200</v>
      </c>
      <c r="F57" s="45">
        <v>983.28399999999999</v>
      </c>
      <c r="G57" s="46">
        <v>1.7131179999999999E-2</v>
      </c>
      <c r="H57" s="36">
        <v>7.3</v>
      </c>
    </row>
    <row r="58" spans="1:8" x14ac:dyDescent="0.2">
      <c r="A58" s="42">
        <v>16</v>
      </c>
      <c r="B58" s="43" t="s">
        <v>175</v>
      </c>
      <c r="C58" s="43" t="s">
        <v>176</v>
      </c>
      <c r="D58" s="43" t="s">
        <v>146</v>
      </c>
      <c r="E58" s="44">
        <v>200</v>
      </c>
      <c r="F58" s="45">
        <v>935.90599999999995</v>
      </c>
      <c r="G58" s="46">
        <v>1.6305739999999999E-2</v>
      </c>
      <c r="H58" s="36">
        <v>7.7149999999999999</v>
      </c>
    </row>
    <row r="59" spans="1:8" x14ac:dyDescent="0.2">
      <c r="A59" s="42">
        <v>17</v>
      </c>
      <c r="B59" s="43" t="s">
        <v>177</v>
      </c>
      <c r="C59" s="43" t="s">
        <v>178</v>
      </c>
      <c r="D59" s="43" t="s">
        <v>146</v>
      </c>
      <c r="E59" s="44">
        <v>200</v>
      </c>
      <c r="F59" s="45">
        <v>933.26700000000005</v>
      </c>
      <c r="G59" s="46">
        <v>1.6259760000000002E-2</v>
      </c>
      <c r="H59" s="36">
        <v>7.5650000000000004</v>
      </c>
    </row>
    <row r="60" spans="1:8" x14ac:dyDescent="0.2">
      <c r="A60" s="42">
        <v>18</v>
      </c>
      <c r="B60" s="43" t="s">
        <v>179</v>
      </c>
      <c r="C60" s="43" t="s">
        <v>180</v>
      </c>
      <c r="D60" s="43" t="s">
        <v>149</v>
      </c>
      <c r="E60" s="44">
        <v>160</v>
      </c>
      <c r="F60" s="45">
        <v>767.66399999999999</v>
      </c>
      <c r="G60" s="46">
        <v>1.3374560000000001E-2</v>
      </c>
      <c r="H60" s="36">
        <v>7.5</v>
      </c>
    </row>
    <row r="61" spans="1:8" x14ac:dyDescent="0.2">
      <c r="A61" s="42">
        <v>19</v>
      </c>
      <c r="B61" s="43" t="s">
        <v>181</v>
      </c>
      <c r="C61" s="43" t="s">
        <v>182</v>
      </c>
      <c r="D61" s="43" t="s">
        <v>146</v>
      </c>
      <c r="E61" s="44">
        <v>140</v>
      </c>
      <c r="F61" s="45">
        <v>692.86980000000005</v>
      </c>
      <c r="G61" s="46">
        <v>1.2071459999999999E-2</v>
      </c>
      <c r="H61" s="36">
        <v>7.3650000000000002</v>
      </c>
    </row>
    <row r="62" spans="1:8" x14ac:dyDescent="0.2">
      <c r="A62" s="42">
        <v>20</v>
      </c>
      <c r="B62" s="43" t="s">
        <v>183</v>
      </c>
      <c r="C62" s="43" t="s">
        <v>184</v>
      </c>
      <c r="D62" s="43" t="s">
        <v>146</v>
      </c>
      <c r="E62" s="44">
        <v>140</v>
      </c>
      <c r="F62" s="45">
        <v>692.41970000000003</v>
      </c>
      <c r="G62" s="46">
        <v>1.2063620000000001E-2</v>
      </c>
      <c r="H62" s="36">
        <v>7.4</v>
      </c>
    </row>
    <row r="63" spans="1:8" x14ac:dyDescent="0.2">
      <c r="A63" s="42">
        <v>21</v>
      </c>
      <c r="B63" s="43" t="s">
        <v>185</v>
      </c>
      <c r="C63" s="43" t="s">
        <v>186</v>
      </c>
      <c r="D63" s="43" t="s">
        <v>149</v>
      </c>
      <c r="E63" s="44">
        <v>100</v>
      </c>
      <c r="F63" s="45">
        <v>497.05250000000001</v>
      </c>
      <c r="G63" s="46">
        <v>8.6598500000000002E-3</v>
      </c>
      <c r="H63" s="36">
        <v>7.2150999999999996</v>
      </c>
    </row>
    <row r="64" spans="1:8" x14ac:dyDescent="0.2">
      <c r="A64" s="42">
        <v>22</v>
      </c>
      <c r="B64" s="43" t="s">
        <v>187</v>
      </c>
      <c r="C64" s="43" t="s">
        <v>188</v>
      </c>
      <c r="D64" s="43" t="s">
        <v>146</v>
      </c>
      <c r="E64" s="44">
        <v>100</v>
      </c>
      <c r="F64" s="45">
        <v>496.61599999999999</v>
      </c>
      <c r="G64" s="46">
        <v>8.6522500000000002E-3</v>
      </c>
      <c r="H64" s="36">
        <v>7.3151000000000002</v>
      </c>
    </row>
    <row r="65" spans="1:8" x14ac:dyDescent="0.2">
      <c r="A65" s="42">
        <v>23</v>
      </c>
      <c r="B65" s="43" t="s">
        <v>189</v>
      </c>
      <c r="C65" s="43" t="s">
        <v>190</v>
      </c>
      <c r="D65" s="43" t="s">
        <v>152</v>
      </c>
      <c r="E65" s="44">
        <v>100</v>
      </c>
      <c r="F65" s="45">
        <v>487.64150000000001</v>
      </c>
      <c r="G65" s="46">
        <v>8.4958900000000007E-3</v>
      </c>
      <c r="H65" s="36">
        <v>7.46</v>
      </c>
    </row>
    <row r="66" spans="1:8" x14ac:dyDescent="0.2">
      <c r="A66" s="42">
        <v>24</v>
      </c>
      <c r="B66" s="43" t="s">
        <v>191</v>
      </c>
      <c r="C66" s="43" t="s">
        <v>192</v>
      </c>
      <c r="D66" s="43" t="s">
        <v>146</v>
      </c>
      <c r="E66" s="44">
        <v>100</v>
      </c>
      <c r="F66" s="45">
        <v>486.2165</v>
      </c>
      <c r="G66" s="46">
        <v>8.4710600000000007E-3</v>
      </c>
      <c r="H66" s="36">
        <v>7.4980000000000002</v>
      </c>
    </row>
    <row r="67" spans="1:8" x14ac:dyDescent="0.2">
      <c r="A67" s="42">
        <v>25</v>
      </c>
      <c r="B67" s="43" t="s">
        <v>193</v>
      </c>
      <c r="C67" s="43" t="s">
        <v>194</v>
      </c>
      <c r="D67" s="43" t="s">
        <v>146</v>
      </c>
      <c r="E67" s="44">
        <v>100</v>
      </c>
      <c r="F67" s="45">
        <v>482.74</v>
      </c>
      <c r="G67" s="46">
        <v>8.4104999999999996E-3</v>
      </c>
      <c r="H67" s="36">
        <v>7.5000999999999998</v>
      </c>
    </row>
    <row r="68" spans="1:8" x14ac:dyDescent="0.2">
      <c r="A68" s="34"/>
      <c r="B68" s="34"/>
      <c r="C68" s="35" t="s">
        <v>11</v>
      </c>
      <c r="D68" s="34"/>
      <c r="E68" s="34" t="s">
        <v>12</v>
      </c>
      <c r="F68" s="41">
        <f>SUM(F43:F67)</f>
        <v>36182.608499999995</v>
      </c>
      <c r="G68" s="38">
        <f>SUM(G43:G67)</f>
        <v>0.63038832</v>
      </c>
      <c r="H68" s="36" t="s">
        <v>12</v>
      </c>
    </row>
    <row r="69" spans="1:8" x14ac:dyDescent="0.2">
      <c r="A69" s="34"/>
      <c r="B69" s="34"/>
      <c r="C69" s="39"/>
      <c r="D69" s="34"/>
      <c r="E69" s="34"/>
      <c r="F69" s="40"/>
      <c r="G69" s="40"/>
      <c r="H69" s="36" t="s">
        <v>12</v>
      </c>
    </row>
    <row r="70" spans="1:8" x14ac:dyDescent="0.2">
      <c r="A70" s="34"/>
      <c r="B70" s="34"/>
      <c r="C70" s="35" t="s">
        <v>92</v>
      </c>
      <c r="D70" s="34"/>
      <c r="E70" s="34"/>
      <c r="F70" s="40"/>
      <c r="G70" s="40"/>
      <c r="H70" s="36" t="s">
        <v>12</v>
      </c>
    </row>
    <row r="71" spans="1:8" ht="25.5" x14ac:dyDescent="0.2">
      <c r="A71" s="42">
        <v>1</v>
      </c>
      <c r="B71" s="43" t="s">
        <v>195</v>
      </c>
      <c r="C71" s="43" t="s">
        <v>196</v>
      </c>
      <c r="D71" s="43" t="s">
        <v>146</v>
      </c>
      <c r="E71" s="44">
        <v>500</v>
      </c>
      <c r="F71" s="45">
        <v>2485.1950000000002</v>
      </c>
      <c r="G71" s="46">
        <v>4.3298089999999997E-2</v>
      </c>
      <c r="H71" s="36">
        <v>7.7663000000000002</v>
      </c>
    </row>
    <row r="72" spans="1:8" ht="25.5" x14ac:dyDescent="0.2">
      <c r="A72" s="42">
        <v>2</v>
      </c>
      <c r="B72" s="43" t="s">
        <v>197</v>
      </c>
      <c r="C72" s="43" t="s">
        <v>198</v>
      </c>
      <c r="D72" s="43" t="s">
        <v>146</v>
      </c>
      <c r="E72" s="44">
        <v>500</v>
      </c>
      <c r="F72" s="45">
        <v>2479.3074999999999</v>
      </c>
      <c r="G72" s="46">
        <v>4.3195520000000001E-2</v>
      </c>
      <c r="H72" s="36">
        <v>7.6159999999999997</v>
      </c>
    </row>
    <row r="73" spans="1:8" x14ac:dyDescent="0.2">
      <c r="A73" s="42">
        <v>3</v>
      </c>
      <c r="B73" s="43" t="s">
        <v>199</v>
      </c>
      <c r="C73" s="43" t="s">
        <v>200</v>
      </c>
      <c r="D73" s="43" t="s">
        <v>146</v>
      </c>
      <c r="E73" s="44">
        <v>500</v>
      </c>
      <c r="F73" s="45">
        <v>2346.1849999999999</v>
      </c>
      <c r="G73" s="46">
        <v>4.0876200000000001E-2</v>
      </c>
      <c r="H73" s="36">
        <v>8.2799999999999994</v>
      </c>
    </row>
    <row r="74" spans="1:8" ht="25.5" x14ac:dyDescent="0.2">
      <c r="A74" s="42">
        <v>4</v>
      </c>
      <c r="B74" s="43" t="s">
        <v>203</v>
      </c>
      <c r="C74" s="43" t="s">
        <v>204</v>
      </c>
      <c r="D74" s="43" t="s">
        <v>146</v>
      </c>
      <c r="E74" s="44">
        <v>300</v>
      </c>
      <c r="F74" s="45">
        <v>1445.472</v>
      </c>
      <c r="G74" s="46">
        <v>2.5183609999999999E-2</v>
      </c>
      <c r="H74" s="36">
        <v>8.2449999999999992</v>
      </c>
    </row>
    <row r="75" spans="1:8" x14ac:dyDescent="0.2">
      <c r="A75" s="42">
        <v>5</v>
      </c>
      <c r="B75" s="43" t="s">
        <v>205</v>
      </c>
      <c r="C75" s="43" t="s">
        <v>206</v>
      </c>
      <c r="D75" s="43" t="s">
        <v>146</v>
      </c>
      <c r="E75" s="44">
        <v>300</v>
      </c>
      <c r="F75" s="45">
        <v>1418.838</v>
      </c>
      <c r="G75" s="46">
        <v>2.4719580000000001E-2</v>
      </c>
      <c r="H75" s="36">
        <v>7.82</v>
      </c>
    </row>
    <row r="76" spans="1:8" x14ac:dyDescent="0.2">
      <c r="A76" s="42">
        <v>6</v>
      </c>
      <c r="B76" s="43" t="s">
        <v>207</v>
      </c>
      <c r="C76" s="43" t="s">
        <v>208</v>
      </c>
      <c r="D76" s="43" t="s">
        <v>146</v>
      </c>
      <c r="E76" s="44">
        <v>200</v>
      </c>
      <c r="F76" s="45">
        <v>989.50400000000002</v>
      </c>
      <c r="G76" s="46">
        <v>1.7239549999999999E-2</v>
      </c>
      <c r="H76" s="36">
        <v>7.5913000000000004</v>
      </c>
    </row>
    <row r="77" spans="1:8" x14ac:dyDescent="0.2">
      <c r="A77" s="42">
        <v>7</v>
      </c>
      <c r="B77" s="43" t="s">
        <v>209</v>
      </c>
      <c r="C77" s="43" t="s">
        <v>210</v>
      </c>
      <c r="D77" s="43" t="s">
        <v>146</v>
      </c>
      <c r="E77" s="44">
        <v>200</v>
      </c>
      <c r="F77" s="45">
        <v>984.36699999999996</v>
      </c>
      <c r="G77" s="46">
        <v>1.715005E-2</v>
      </c>
      <c r="H77" s="36">
        <v>7.3375000000000004</v>
      </c>
    </row>
    <row r="78" spans="1:8" ht="25.5" x14ac:dyDescent="0.2">
      <c r="A78" s="42">
        <v>8</v>
      </c>
      <c r="B78" s="43" t="s">
        <v>211</v>
      </c>
      <c r="C78" s="43" t="s">
        <v>212</v>
      </c>
      <c r="D78" s="43" t="s">
        <v>146</v>
      </c>
      <c r="E78" s="44">
        <v>200</v>
      </c>
      <c r="F78" s="45">
        <v>983.91899999999998</v>
      </c>
      <c r="G78" s="46">
        <v>1.714224E-2</v>
      </c>
      <c r="H78" s="36">
        <v>7.2750000000000004</v>
      </c>
    </row>
    <row r="79" spans="1:8" ht="25.5" x14ac:dyDescent="0.2">
      <c r="A79" s="42">
        <v>9</v>
      </c>
      <c r="B79" s="43" t="s">
        <v>213</v>
      </c>
      <c r="C79" s="43" t="s">
        <v>214</v>
      </c>
      <c r="D79" s="43" t="s">
        <v>146</v>
      </c>
      <c r="E79" s="44">
        <v>200</v>
      </c>
      <c r="F79" s="45">
        <v>970.66099999999994</v>
      </c>
      <c r="G79" s="46">
        <v>1.6911260000000001E-2</v>
      </c>
      <c r="H79" s="36">
        <v>7.5050999999999997</v>
      </c>
    </row>
    <row r="80" spans="1:8" x14ac:dyDescent="0.2">
      <c r="A80" s="42"/>
      <c r="B80" s="34"/>
      <c r="C80" s="35" t="s">
        <v>11</v>
      </c>
      <c r="D80" s="34"/>
      <c r="E80" s="34" t="s">
        <v>12</v>
      </c>
      <c r="F80" s="41">
        <f>SUM(F71:F79)</f>
        <v>14103.4485</v>
      </c>
      <c r="G80" s="38">
        <f>SUM(G71:G79)</f>
        <v>0.24571609999999999</v>
      </c>
      <c r="H80" s="36" t="s">
        <v>12</v>
      </c>
    </row>
    <row r="81" spans="1:8" x14ac:dyDescent="0.2">
      <c r="A81" s="34"/>
      <c r="B81" s="34"/>
      <c r="C81" s="39"/>
      <c r="D81" s="34"/>
      <c r="E81" s="34"/>
      <c r="F81" s="40"/>
      <c r="G81" s="40"/>
      <c r="H81" s="36" t="s">
        <v>12</v>
      </c>
    </row>
    <row r="82" spans="1:8" x14ac:dyDescent="0.2">
      <c r="A82" s="34"/>
      <c r="B82" s="34"/>
      <c r="C82" s="35" t="s">
        <v>93</v>
      </c>
      <c r="D82" s="34"/>
      <c r="E82" s="34"/>
      <c r="F82" s="40"/>
      <c r="G82" s="40"/>
      <c r="H82" s="36" t="s">
        <v>12</v>
      </c>
    </row>
    <row r="83" spans="1:8" x14ac:dyDescent="0.2">
      <c r="A83" s="42">
        <v>1</v>
      </c>
      <c r="B83" s="43" t="s">
        <v>215</v>
      </c>
      <c r="C83" s="43" t="s">
        <v>216</v>
      </c>
      <c r="D83" s="43" t="s">
        <v>75</v>
      </c>
      <c r="E83" s="44">
        <v>2500000</v>
      </c>
      <c r="F83" s="45">
        <v>2446.4724999999999</v>
      </c>
      <c r="G83" s="46">
        <v>4.262345E-2</v>
      </c>
      <c r="H83" s="36">
        <v>6.6550000000000002</v>
      </c>
    </row>
    <row r="84" spans="1:8" x14ac:dyDescent="0.2">
      <c r="A84" s="42">
        <v>2</v>
      </c>
      <c r="B84" s="43" t="s">
        <v>217</v>
      </c>
      <c r="C84" s="43" t="s">
        <v>218</v>
      </c>
      <c r="D84" s="43" t="s">
        <v>75</v>
      </c>
      <c r="E84" s="44">
        <v>1500000</v>
      </c>
      <c r="F84" s="45">
        <v>1460.5875000000001</v>
      </c>
      <c r="G84" s="46">
        <v>2.5446960000000001E-2</v>
      </c>
      <c r="H84" s="36">
        <v>6.6550000000000002</v>
      </c>
    </row>
    <row r="85" spans="1:8" x14ac:dyDescent="0.2">
      <c r="A85" s="42">
        <v>3</v>
      </c>
      <c r="B85" s="43" t="s">
        <v>219</v>
      </c>
      <c r="C85" s="43" t="s">
        <v>220</v>
      </c>
      <c r="D85" s="43" t="s">
        <v>75</v>
      </c>
      <c r="E85" s="44">
        <v>1500000</v>
      </c>
      <c r="F85" s="45">
        <v>1458.6224999999999</v>
      </c>
      <c r="G85" s="46">
        <v>2.541272E-2</v>
      </c>
      <c r="H85" s="36">
        <v>6.68</v>
      </c>
    </row>
    <row r="86" spans="1:8" x14ac:dyDescent="0.2">
      <c r="A86" s="42">
        <v>4</v>
      </c>
      <c r="B86" s="43" t="s">
        <v>221</v>
      </c>
      <c r="C86" s="43" t="s">
        <v>222</v>
      </c>
      <c r="D86" s="43" t="s">
        <v>75</v>
      </c>
      <c r="E86" s="44">
        <v>1000000</v>
      </c>
      <c r="F86" s="45">
        <v>976.15099999999995</v>
      </c>
      <c r="G86" s="46">
        <v>1.700691E-2</v>
      </c>
      <c r="H86" s="36">
        <v>6.6550000000000002</v>
      </c>
    </row>
    <row r="87" spans="1:8" x14ac:dyDescent="0.2">
      <c r="A87" s="34"/>
      <c r="B87" s="34"/>
      <c r="C87" s="35" t="s">
        <v>11</v>
      </c>
      <c r="D87" s="34"/>
      <c r="E87" s="34" t="s">
        <v>12</v>
      </c>
      <c r="F87" s="41">
        <v>6341.8334999999997</v>
      </c>
      <c r="G87" s="38">
        <v>0.11049004</v>
      </c>
      <c r="H87" s="36" t="s">
        <v>12</v>
      </c>
    </row>
    <row r="88" spans="1:8" x14ac:dyDescent="0.2">
      <c r="A88" s="34"/>
      <c r="B88" s="34"/>
      <c r="C88" s="39"/>
      <c r="D88" s="34"/>
      <c r="E88" s="34"/>
      <c r="F88" s="40"/>
      <c r="G88" s="40"/>
      <c r="H88" s="36" t="s">
        <v>12</v>
      </c>
    </row>
    <row r="89" spans="1:8" x14ac:dyDescent="0.2">
      <c r="A89" s="34"/>
      <c r="B89" s="34"/>
      <c r="C89" s="35" t="s">
        <v>94</v>
      </c>
      <c r="D89" s="34"/>
      <c r="E89" s="34"/>
      <c r="F89" s="40"/>
      <c r="G89" s="40"/>
      <c r="H89" s="36" t="s">
        <v>12</v>
      </c>
    </row>
    <row r="90" spans="1:8" x14ac:dyDescent="0.2">
      <c r="A90" s="42">
        <v>1</v>
      </c>
      <c r="B90" s="43"/>
      <c r="C90" s="43" t="s">
        <v>95</v>
      </c>
      <c r="D90" s="43"/>
      <c r="E90" s="47"/>
      <c r="F90" s="45">
        <v>2166.8041669999998</v>
      </c>
      <c r="G90" s="46">
        <v>3.775096E-2</v>
      </c>
      <c r="H90" s="36">
        <v>6.6</v>
      </c>
    </row>
    <row r="91" spans="1:8" x14ac:dyDescent="0.2">
      <c r="A91" s="34"/>
      <c r="B91" s="34"/>
      <c r="C91" s="35" t="s">
        <v>11</v>
      </c>
      <c r="D91" s="34"/>
      <c r="E91" s="34" t="s">
        <v>12</v>
      </c>
      <c r="F91" s="41">
        <v>2166.8041669999998</v>
      </c>
      <c r="G91" s="38">
        <v>3.775096E-2</v>
      </c>
      <c r="H91" s="36" t="s">
        <v>12</v>
      </c>
    </row>
    <row r="92" spans="1:8" x14ac:dyDescent="0.2">
      <c r="A92" s="34"/>
      <c r="B92" s="34"/>
      <c r="C92" s="39"/>
      <c r="D92" s="34"/>
      <c r="E92" s="34"/>
      <c r="F92" s="40"/>
      <c r="G92" s="40"/>
      <c r="H92" s="36" t="s">
        <v>12</v>
      </c>
    </row>
    <row r="93" spans="1:8" x14ac:dyDescent="0.2">
      <c r="A93" s="34"/>
      <c r="B93" s="34"/>
      <c r="C93" s="35" t="s">
        <v>96</v>
      </c>
      <c r="D93" s="34"/>
      <c r="E93" s="34"/>
      <c r="F93" s="41">
        <v>58794.694667000003</v>
      </c>
      <c r="G93" s="38">
        <v>1.02434542</v>
      </c>
      <c r="H93" s="36" t="s">
        <v>12</v>
      </c>
    </row>
    <row r="94" spans="1:8" x14ac:dyDescent="0.2">
      <c r="A94" s="34"/>
      <c r="B94" s="34"/>
      <c r="C94" s="40"/>
      <c r="D94" s="34"/>
      <c r="E94" s="34"/>
      <c r="F94" s="34"/>
      <c r="G94" s="34"/>
      <c r="H94" s="36" t="s">
        <v>12</v>
      </c>
    </row>
    <row r="95" spans="1:8" x14ac:dyDescent="0.2">
      <c r="A95" s="34"/>
      <c r="B95" s="34"/>
      <c r="C95" s="35" t="s">
        <v>97</v>
      </c>
      <c r="D95" s="34"/>
      <c r="E95" s="34"/>
      <c r="F95" s="34"/>
      <c r="G95" s="34"/>
      <c r="H95" s="36" t="s">
        <v>12</v>
      </c>
    </row>
    <row r="96" spans="1:8" x14ac:dyDescent="0.2">
      <c r="A96" s="34"/>
      <c r="B96" s="34"/>
      <c r="C96" s="35" t="s">
        <v>98</v>
      </c>
      <c r="D96" s="34"/>
      <c r="E96" s="34"/>
      <c r="F96" s="34"/>
      <c r="G96" s="34"/>
      <c r="H96" s="36" t="s">
        <v>12</v>
      </c>
    </row>
    <row r="97" spans="1:17" x14ac:dyDescent="0.2">
      <c r="A97" s="34"/>
      <c r="B97" s="34"/>
      <c r="C97" s="35" t="s">
        <v>11</v>
      </c>
      <c r="D97" s="34"/>
      <c r="E97" s="34" t="s">
        <v>12</v>
      </c>
      <c r="F97" s="37" t="s">
        <v>13</v>
      </c>
      <c r="G97" s="38">
        <v>0</v>
      </c>
      <c r="H97" s="36" t="s">
        <v>12</v>
      </c>
    </row>
    <row r="98" spans="1:17" x14ac:dyDescent="0.2">
      <c r="A98" s="82"/>
      <c r="B98" s="82"/>
      <c r="C98" s="83"/>
      <c r="D98" s="82"/>
      <c r="E98" s="82"/>
      <c r="F98" s="84"/>
      <c r="G98" s="84"/>
      <c r="H98" s="36" t="s">
        <v>12</v>
      </c>
    </row>
    <row r="99" spans="1:17" x14ac:dyDescent="0.2">
      <c r="A99" s="82"/>
      <c r="B99" s="82"/>
      <c r="C99" s="70" t="s">
        <v>581</v>
      </c>
      <c r="D99" s="82"/>
      <c r="E99" s="82"/>
      <c r="F99" s="84"/>
      <c r="G99" s="84"/>
      <c r="H99" s="79"/>
      <c r="K99" s="9"/>
      <c r="L99" s="9"/>
      <c r="M99" s="9"/>
      <c r="N99" s="9"/>
      <c r="O99" s="10"/>
      <c r="P99" s="10"/>
      <c r="Q99" s="10"/>
    </row>
    <row r="100" spans="1:17" ht="25.5" x14ac:dyDescent="0.2">
      <c r="A100" s="76">
        <v>1</v>
      </c>
      <c r="B100" s="77" t="s">
        <v>99</v>
      </c>
      <c r="C100" s="77" t="s">
        <v>100</v>
      </c>
      <c r="D100" s="77"/>
      <c r="E100" s="85">
        <v>649.726</v>
      </c>
      <c r="F100" s="79">
        <v>70.467783691999998</v>
      </c>
      <c r="G100" s="80">
        <v>1.2277200000000001E-3</v>
      </c>
      <c r="H100" s="36"/>
    </row>
    <row r="101" spans="1:17" x14ac:dyDescent="0.2">
      <c r="A101" s="82"/>
      <c r="B101" s="82"/>
      <c r="C101" s="70" t="s">
        <v>11</v>
      </c>
      <c r="D101" s="82"/>
      <c r="E101" s="82" t="s">
        <v>12</v>
      </c>
      <c r="F101" s="86">
        <f>SUM(F100)</f>
        <v>70.467783691999998</v>
      </c>
      <c r="G101" s="31">
        <f>SUM(G100)</f>
        <v>1.2277200000000001E-3</v>
      </c>
      <c r="H101" s="36" t="s">
        <v>12</v>
      </c>
    </row>
    <row r="102" spans="1:17" x14ac:dyDescent="0.2">
      <c r="A102" s="34"/>
      <c r="B102" s="34"/>
      <c r="C102" s="39"/>
      <c r="D102" s="34"/>
      <c r="E102" s="34"/>
      <c r="F102" s="40"/>
      <c r="G102" s="40"/>
      <c r="H102" s="36" t="str">
        <f>IFERROR(VLOOKUP(B102,#REF!,12,FALSE),"")</f>
        <v/>
      </c>
    </row>
    <row r="103" spans="1:17" x14ac:dyDescent="0.2">
      <c r="A103" s="34"/>
      <c r="B103" s="34"/>
      <c r="C103" s="35" t="s">
        <v>101</v>
      </c>
      <c r="D103" s="34"/>
      <c r="E103" s="34"/>
      <c r="F103" s="34"/>
      <c r="G103" s="34"/>
      <c r="H103" s="36" t="str">
        <f>IFERROR(VLOOKUP(B103,#REF!,12,FALSE),"")</f>
        <v/>
      </c>
    </row>
    <row r="104" spans="1:17" x14ac:dyDescent="0.2">
      <c r="A104" s="34"/>
      <c r="B104" s="34"/>
      <c r="C104" s="35" t="s">
        <v>102</v>
      </c>
      <c r="D104" s="34"/>
      <c r="E104" s="34"/>
      <c r="F104" s="34"/>
      <c r="G104" s="34"/>
      <c r="H104" s="36" t="str">
        <f>IFERROR(VLOOKUP(B104,#REF!,12,FALSE),"")</f>
        <v/>
      </c>
    </row>
    <row r="105" spans="1:17" x14ac:dyDescent="0.2">
      <c r="A105" s="34"/>
      <c r="B105" s="34"/>
      <c r="C105" s="35" t="s">
        <v>11</v>
      </c>
      <c r="D105" s="34"/>
      <c r="E105" s="34" t="s">
        <v>12</v>
      </c>
      <c r="F105" s="37" t="s">
        <v>13</v>
      </c>
      <c r="G105" s="38">
        <v>0</v>
      </c>
      <c r="H105" s="36" t="str">
        <f>IFERROR(VLOOKUP(B105,#REF!,12,FALSE),"")</f>
        <v/>
      </c>
    </row>
    <row r="106" spans="1:17" x14ac:dyDescent="0.2">
      <c r="A106" s="34"/>
      <c r="B106" s="34"/>
      <c r="C106" s="39"/>
      <c r="D106" s="34"/>
      <c r="E106" s="34"/>
      <c r="F106" s="40"/>
      <c r="G106" s="40"/>
      <c r="H106" s="36" t="str">
        <f>IFERROR(VLOOKUP(B106,#REF!,12,FALSE),"")</f>
        <v/>
      </c>
    </row>
    <row r="107" spans="1:17" x14ac:dyDescent="0.2">
      <c r="A107" s="34"/>
      <c r="B107" s="34"/>
      <c r="C107" s="35" t="s">
        <v>103</v>
      </c>
      <c r="D107" s="34"/>
      <c r="E107" s="34"/>
      <c r="F107" s="40"/>
      <c r="G107" s="40"/>
      <c r="H107" s="36" t="str">
        <f>IFERROR(VLOOKUP(B107,#REF!,12,FALSE),"")</f>
        <v/>
      </c>
    </row>
    <row r="108" spans="1:17" x14ac:dyDescent="0.2">
      <c r="A108" s="34"/>
      <c r="B108" s="34"/>
      <c r="C108" s="35" t="s">
        <v>11</v>
      </c>
      <c r="D108" s="34"/>
      <c r="E108" s="34" t="s">
        <v>12</v>
      </c>
      <c r="F108" s="37" t="s">
        <v>13</v>
      </c>
      <c r="G108" s="38">
        <v>0</v>
      </c>
      <c r="H108" s="36" t="str">
        <f>IFERROR(VLOOKUP(B108,#REF!,12,FALSE),"")</f>
        <v/>
      </c>
    </row>
    <row r="109" spans="1:17" x14ac:dyDescent="0.2">
      <c r="A109" s="34"/>
      <c r="B109" s="34"/>
      <c r="C109" s="39"/>
      <c r="D109" s="34"/>
      <c r="E109" s="34"/>
      <c r="F109" s="40"/>
      <c r="G109" s="40"/>
      <c r="H109" s="36" t="str">
        <f>IFERROR(VLOOKUP(B109,#REF!,12,FALSE),"")</f>
        <v/>
      </c>
    </row>
    <row r="110" spans="1:17" x14ac:dyDescent="0.2">
      <c r="A110" s="47"/>
      <c r="B110" s="43"/>
      <c r="C110" s="43" t="s">
        <v>104</v>
      </c>
      <c r="D110" s="43"/>
      <c r="E110" s="47"/>
      <c r="F110" s="45">
        <v>-1467.8281860100001</v>
      </c>
      <c r="G110" s="46">
        <v>-2.557311E-2</v>
      </c>
      <c r="H110" s="36" t="str">
        <f>IFERROR(VLOOKUP(B110,#REF!,12,FALSE),"")</f>
        <v/>
      </c>
    </row>
    <row r="111" spans="1:17" x14ac:dyDescent="0.2">
      <c r="A111" s="39"/>
      <c r="B111" s="39"/>
      <c r="C111" s="35" t="s">
        <v>105</v>
      </c>
      <c r="D111" s="40"/>
      <c r="E111" s="40"/>
      <c r="F111" s="41">
        <v>57397.334264682002</v>
      </c>
      <c r="G111" s="48">
        <v>1.00000003</v>
      </c>
      <c r="H111" s="36" t="str">
        <f>IFERROR(VLOOKUP(B111,#REF!,12,FALSE),"")</f>
        <v/>
      </c>
    </row>
    <row r="112" spans="1:17" x14ac:dyDescent="0.2">
      <c r="A112" s="49"/>
      <c r="B112" s="49"/>
      <c r="C112" s="49"/>
      <c r="D112" s="50"/>
      <c r="E112" s="50"/>
      <c r="F112" s="50"/>
      <c r="G112" s="50"/>
    </row>
    <row r="113" spans="1:8" x14ac:dyDescent="0.2">
      <c r="A113" s="51"/>
      <c r="B113" s="158" t="s">
        <v>582</v>
      </c>
      <c r="C113" s="158"/>
      <c r="D113" s="158"/>
      <c r="E113" s="158"/>
      <c r="F113" s="158"/>
      <c r="G113" s="158"/>
      <c r="H113" s="158"/>
    </row>
    <row r="114" spans="1:8" x14ac:dyDescent="0.2">
      <c r="A114" s="51"/>
      <c r="B114" s="158" t="s">
        <v>583</v>
      </c>
      <c r="C114" s="158"/>
      <c r="D114" s="158"/>
      <c r="E114" s="158"/>
      <c r="F114" s="158"/>
      <c r="G114" s="158"/>
      <c r="H114" s="158"/>
    </row>
    <row r="115" spans="1:8" x14ac:dyDescent="0.2">
      <c r="A115" s="51"/>
      <c r="B115" s="158" t="s">
        <v>584</v>
      </c>
      <c r="C115" s="158"/>
      <c r="D115" s="158"/>
      <c r="E115" s="158"/>
      <c r="F115" s="158"/>
      <c r="G115" s="158"/>
      <c r="H115" s="158"/>
    </row>
    <row r="116" spans="1:8" x14ac:dyDescent="0.2">
      <c r="A116" s="51"/>
      <c r="B116" s="177" t="s">
        <v>640</v>
      </c>
      <c r="C116" s="158"/>
      <c r="D116" s="158"/>
      <c r="E116" s="158"/>
      <c r="F116" s="158"/>
      <c r="G116" s="158"/>
      <c r="H116" s="158"/>
    </row>
    <row r="117" spans="1:8" x14ac:dyDescent="0.2">
      <c r="A117" s="51"/>
      <c r="B117" s="51"/>
      <c r="C117" s="51"/>
      <c r="D117" s="52"/>
      <c r="E117" s="52"/>
      <c r="F117" s="52"/>
      <c r="G117" s="52"/>
    </row>
    <row r="118" spans="1:8" x14ac:dyDescent="0.2">
      <c r="A118" s="53"/>
      <c r="B118" s="162" t="s">
        <v>106</v>
      </c>
      <c r="C118" s="163"/>
      <c r="D118" s="164"/>
      <c r="E118" s="54"/>
      <c r="F118" s="55"/>
      <c r="G118" s="55"/>
    </row>
    <row r="119" spans="1:8" x14ac:dyDescent="0.2">
      <c r="A119" s="53"/>
      <c r="B119" s="165" t="s">
        <v>107</v>
      </c>
      <c r="C119" s="166"/>
      <c r="D119" s="35" t="s">
        <v>108</v>
      </c>
      <c r="E119" s="54"/>
      <c r="F119" s="55"/>
      <c r="G119" s="55"/>
    </row>
    <row r="120" spans="1:8" x14ac:dyDescent="0.2">
      <c r="A120" s="53"/>
      <c r="B120" s="165" t="s">
        <v>109</v>
      </c>
      <c r="C120" s="166"/>
      <c r="D120" s="35" t="s">
        <v>108</v>
      </c>
      <c r="E120" s="54"/>
      <c r="F120" s="55"/>
      <c r="G120" s="55"/>
    </row>
    <row r="121" spans="1:8" x14ac:dyDescent="0.2">
      <c r="A121" s="53"/>
      <c r="B121" s="165" t="s">
        <v>110</v>
      </c>
      <c r="C121" s="166"/>
      <c r="D121" s="40" t="s">
        <v>12</v>
      </c>
      <c r="E121" s="54"/>
      <c r="F121" s="55"/>
      <c r="G121" s="55"/>
    </row>
    <row r="122" spans="1:8" x14ac:dyDescent="0.2">
      <c r="A122" s="56"/>
      <c r="B122" s="57" t="s">
        <v>12</v>
      </c>
      <c r="C122" s="57" t="s">
        <v>585</v>
      </c>
      <c r="D122" s="57" t="s">
        <v>111</v>
      </c>
      <c r="E122" s="56"/>
      <c r="F122" s="56"/>
      <c r="G122" s="56"/>
      <c r="H122" s="58"/>
    </row>
    <row r="123" spans="1:8" x14ac:dyDescent="0.2">
      <c r="A123" s="56"/>
      <c r="B123" s="59" t="s">
        <v>112</v>
      </c>
      <c r="C123" s="60">
        <v>45626</v>
      </c>
      <c r="D123" s="60">
        <v>45657</v>
      </c>
      <c r="E123" s="56"/>
      <c r="F123" s="56"/>
      <c r="G123" s="56"/>
    </row>
    <row r="124" spans="1:8" x14ac:dyDescent="0.2">
      <c r="A124" s="61"/>
      <c r="B124" s="43" t="s">
        <v>113</v>
      </c>
      <c r="C124" s="62">
        <v>14.4183</v>
      </c>
      <c r="D124" s="62">
        <v>14.5024</v>
      </c>
      <c r="E124" s="61"/>
      <c r="F124" s="63"/>
      <c r="G124" s="64"/>
    </row>
    <row r="125" spans="1:8" ht="25.5" x14ac:dyDescent="0.2">
      <c r="A125" s="61"/>
      <c r="B125" s="43" t="s">
        <v>705</v>
      </c>
      <c r="C125" s="62">
        <v>11.184799999999999</v>
      </c>
      <c r="D125" s="62">
        <v>11.181900000000001</v>
      </c>
      <c r="E125" s="61"/>
      <c r="F125" s="63"/>
      <c r="G125" s="64"/>
    </row>
    <row r="126" spans="1:8" ht="25.5" x14ac:dyDescent="0.2">
      <c r="A126" s="61"/>
      <c r="B126" s="43" t="s">
        <v>706</v>
      </c>
      <c r="C126" s="62">
        <v>12.4825</v>
      </c>
      <c r="D126" s="62">
        <v>12.479699999999999</v>
      </c>
      <c r="E126" s="61"/>
      <c r="F126" s="63"/>
      <c r="G126" s="64"/>
    </row>
    <row r="127" spans="1:8" x14ac:dyDescent="0.2">
      <c r="A127" s="61"/>
      <c r="B127" s="43" t="s">
        <v>114</v>
      </c>
      <c r="C127" s="62">
        <v>14.337</v>
      </c>
      <c r="D127" s="62">
        <v>14.4192</v>
      </c>
      <c r="E127" s="61"/>
      <c r="F127" s="63"/>
      <c r="G127" s="64"/>
    </row>
    <row r="128" spans="1:8" ht="25.5" x14ac:dyDescent="0.2">
      <c r="A128" s="61"/>
      <c r="B128" s="43" t="s">
        <v>709</v>
      </c>
      <c r="C128" s="62">
        <v>11.1638</v>
      </c>
      <c r="D128" s="62">
        <v>11.1608</v>
      </c>
      <c r="E128" s="61"/>
      <c r="F128" s="63"/>
      <c r="G128" s="64"/>
    </row>
    <row r="129" spans="1:14" ht="25.5" x14ac:dyDescent="0.2">
      <c r="A129" s="61"/>
      <c r="B129" s="43" t="s">
        <v>674</v>
      </c>
      <c r="C129" s="62">
        <v>12.410399999999999</v>
      </c>
      <c r="D129" s="62">
        <v>12.4062</v>
      </c>
      <c r="E129" s="61"/>
      <c r="F129" s="63"/>
      <c r="G129" s="64"/>
    </row>
    <row r="130" spans="1:14" x14ac:dyDescent="0.2">
      <c r="A130" s="61"/>
      <c r="B130" s="61"/>
      <c r="C130" s="61"/>
      <c r="D130" s="61"/>
      <c r="E130" s="61"/>
      <c r="F130" s="61"/>
      <c r="G130" s="61"/>
    </row>
    <row r="131" spans="1:14" x14ac:dyDescent="0.2">
      <c r="A131" s="61"/>
      <c r="B131" s="165" t="s">
        <v>712</v>
      </c>
      <c r="C131" s="166"/>
      <c r="D131" s="35" t="s">
        <v>12</v>
      </c>
      <c r="E131" s="61"/>
      <c r="F131" s="61"/>
      <c r="G131" s="61"/>
    </row>
    <row r="132" spans="1:14" x14ac:dyDescent="0.2">
      <c r="A132" s="61"/>
      <c r="B132" s="65" t="s">
        <v>112</v>
      </c>
      <c r="C132" s="66" t="s">
        <v>115</v>
      </c>
      <c r="D132" s="66" t="s">
        <v>116</v>
      </c>
      <c r="E132" s="61"/>
      <c r="F132" s="61"/>
      <c r="G132" s="61"/>
    </row>
    <row r="133" spans="1:14" ht="29.1" customHeight="1" x14ac:dyDescent="0.2">
      <c r="A133" s="152"/>
      <c r="B133" s="153" t="s">
        <v>705</v>
      </c>
      <c r="C133" s="154">
        <v>6.8000000000000005E-2</v>
      </c>
      <c r="D133" s="155" t="s">
        <v>117</v>
      </c>
      <c r="E133" s="152"/>
      <c r="F133" s="156"/>
      <c r="G133" s="157"/>
    </row>
    <row r="134" spans="1:14" ht="29.1" customHeight="1" x14ac:dyDescent="0.2">
      <c r="A134" s="152"/>
      <c r="B134" s="153" t="s">
        <v>706</v>
      </c>
      <c r="C134" s="154">
        <v>7.4999999999999997E-2</v>
      </c>
      <c r="D134" s="155" t="s">
        <v>117</v>
      </c>
      <c r="E134" s="152"/>
      <c r="F134" s="156"/>
      <c r="G134" s="157"/>
    </row>
    <row r="135" spans="1:14" ht="29.1" customHeight="1" x14ac:dyDescent="0.2">
      <c r="A135" s="152"/>
      <c r="B135" s="153" t="s">
        <v>709</v>
      </c>
      <c r="C135" s="154">
        <v>6.6799999999999998E-2</v>
      </c>
      <c r="D135" s="155" t="s">
        <v>117</v>
      </c>
      <c r="E135" s="152"/>
      <c r="F135" s="156"/>
      <c r="G135" s="157"/>
    </row>
    <row r="136" spans="1:14" ht="29.1" customHeight="1" x14ac:dyDescent="0.2">
      <c r="A136" s="152"/>
      <c r="B136" s="153" t="s">
        <v>674</v>
      </c>
      <c r="C136" s="154">
        <v>7.4999999999999997E-2</v>
      </c>
      <c r="D136" s="155" t="s">
        <v>117</v>
      </c>
      <c r="E136" s="152"/>
      <c r="F136" s="156"/>
      <c r="G136" s="157"/>
    </row>
    <row r="137" spans="1:14" x14ac:dyDescent="0.2">
      <c r="A137" s="61"/>
      <c r="B137" s="68"/>
      <c r="C137" s="68"/>
      <c r="D137" s="69"/>
      <c r="E137" s="61"/>
      <c r="F137" s="63"/>
      <c r="G137" s="64"/>
    </row>
    <row r="138" spans="1:14" ht="29.25" customHeight="1" x14ac:dyDescent="0.2">
      <c r="A138" s="56"/>
      <c r="B138" s="159" t="s">
        <v>118</v>
      </c>
      <c r="C138" s="160"/>
      <c r="D138" s="70" t="s">
        <v>108</v>
      </c>
      <c r="E138" s="71"/>
      <c r="F138" s="56"/>
      <c r="G138" s="56"/>
    </row>
    <row r="139" spans="1:14" ht="25.5" customHeight="1" x14ac:dyDescent="0.2">
      <c r="A139" s="56"/>
      <c r="B139" s="159" t="s">
        <v>119</v>
      </c>
      <c r="C139" s="160"/>
      <c r="D139" s="70" t="s">
        <v>108</v>
      </c>
      <c r="E139" s="71"/>
      <c r="F139" s="56"/>
      <c r="G139" s="56"/>
    </row>
    <row r="140" spans="1:14" ht="26.25" customHeight="1" x14ac:dyDescent="0.2">
      <c r="A140" s="56"/>
      <c r="B140" s="159" t="s">
        <v>586</v>
      </c>
      <c r="C140" s="160"/>
      <c r="D140" s="70" t="s">
        <v>108</v>
      </c>
      <c r="E140" s="71"/>
      <c r="F140" s="56"/>
      <c r="G140" s="56"/>
    </row>
    <row r="141" spans="1:14" x14ac:dyDescent="0.2">
      <c r="A141" s="72"/>
      <c r="B141" s="72"/>
      <c r="C141" s="72"/>
      <c r="D141" s="72"/>
      <c r="E141" s="72"/>
      <c r="F141" s="72"/>
      <c r="G141" s="72"/>
    </row>
    <row r="142" spans="1:14" s="11" customFormat="1" x14ac:dyDescent="0.2">
      <c r="B142" s="167" t="s">
        <v>587</v>
      </c>
      <c r="C142" s="168"/>
      <c r="D142" s="169"/>
      <c r="I142"/>
      <c r="J142" s="9"/>
      <c r="K142" s="9"/>
      <c r="L142" s="9"/>
      <c r="M142" s="9"/>
      <c r="N142" s="15"/>
    </row>
    <row r="143" spans="1:14" s="11" customFormat="1" ht="51" x14ac:dyDescent="0.2">
      <c r="B143" s="175" t="s">
        <v>588</v>
      </c>
      <c r="C143" s="176"/>
      <c r="D143" s="12" t="s">
        <v>143</v>
      </c>
      <c r="I143"/>
      <c r="J143" s="9"/>
      <c r="K143" s="9"/>
      <c r="L143" s="9"/>
      <c r="M143" s="9"/>
      <c r="N143" s="15"/>
    </row>
    <row r="144" spans="1:14" s="11" customFormat="1" x14ac:dyDescent="0.2">
      <c r="B144" s="172" t="s">
        <v>589</v>
      </c>
      <c r="C144" s="173"/>
      <c r="D144" s="13"/>
      <c r="I144"/>
      <c r="J144" s="9"/>
      <c r="K144" s="9"/>
      <c r="L144" s="9"/>
      <c r="M144" s="9"/>
      <c r="N144" s="15"/>
    </row>
    <row r="145" spans="2:16" s="11" customFormat="1" x14ac:dyDescent="0.2">
      <c r="B145" s="172"/>
      <c r="C145" s="173"/>
      <c r="D145" s="14"/>
      <c r="I145"/>
      <c r="J145" s="9"/>
      <c r="K145" s="9"/>
      <c r="L145" s="9"/>
      <c r="M145" s="9"/>
      <c r="N145" s="15"/>
    </row>
    <row r="146" spans="2:16" s="11" customFormat="1" x14ac:dyDescent="0.2">
      <c r="B146" s="172" t="s">
        <v>590</v>
      </c>
      <c r="C146" s="178"/>
      <c r="D146" s="19">
        <v>7.4760202796495863</v>
      </c>
      <c r="I146"/>
      <c r="J146" s="9"/>
      <c r="K146" s="9"/>
      <c r="L146" s="9"/>
      <c r="M146" s="9"/>
      <c r="N146" s="15"/>
    </row>
    <row r="147" spans="2:16" s="11" customFormat="1" x14ac:dyDescent="0.2">
      <c r="B147" s="172"/>
      <c r="C147" s="173"/>
      <c r="D147" s="14"/>
      <c r="I147"/>
      <c r="J147" s="9"/>
      <c r="K147" s="9"/>
      <c r="L147" s="9"/>
      <c r="M147" s="9"/>
      <c r="N147" s="15"/>
    </row>
    <row r="148" spans="2:16" s="11" customFormat="1" x14ac:dyDescent="0.2">
      <c r="B148" s="172" t="s">
        <v>591</v>
      </c>
      <c r="C148" s="178"/>
      <c r="D148" s="19">
        <v>0.46735958629240326</v>
      </c>
      <c r="I148"/>
      <c r="J148" s="9"/>
      <c r="K148" s="9"/>
      <c r="L148" s="9"/>
      <c r="M148" s="9"/>
      <c r="N148" s="15"/>
    </row>
    <row r="149" spans="2:16" s="11" customFormat="1" x14ac:dyDescent="0.2">
      <c r="B149" s="172" t="s">
        <v>592</v>
      </c>
      <c r="C149" s="178"/>
      <c r="D149" s="19">
        <v>0.46735958629240326</v>
      </c>
      <c r="I149"/>
      <c r="J149" s="9"/>
      <c r="K149" s="9"/>
      <c r="L149" s="9"/>
      <c r="M149" s="9"/>
      <c r="N149" s="15"/>
    </row>
    <row r="150" spans="2:16" s="11" customFormat="1" x14ac:dyDescent="0.2">
      <c r="B150" s="172"/>
      <c r="C150" s="173"/>
      <c r="D150" s="14"/>
      <c r="I150"/>
      <c r="J150" s="9"/>
      <c r="K150" s="9"/>
      <c r="L150" s="9"/>
      <c r="M150" s="9"/>
      <c r="N150" s="15"/>
    </row>
    <row r="151" spans="2:16" s="11" customFormat="1" ht="25.5" x14ac:dyDescent="0.2">
      <c r="B151" s="171" t="s">
        <v>593</v>
      </c>
      <c r="C151" s="171"/>
      <c r="D151" s="74" t="s">
        <v>699</v>
      </c>
      <c r="I151"/>
      <c r="J151" s="9"/>
      <c r="K151" s="9"/>
      <c r="L151" s="9"/>
      <c r="M151" s="9"/>
      <c r="N151" s="15"/>
    </row>
    <row r="152" spans="2:16" s="11" customFormat="1" x14ac:dyDescent="0.2">
      <c r="B152" s="172" t="s">
        <v>594</v>
      </c>
      <c r="C152" s="174"/>
      <c r="D152" s="173"/>
      <c r="I152"/>
      <c r="J152" s="9"/>
      <c r="K152" s="9"/>
      <c r="L152" s="9"/>
      <c r="M152" s="9"/>
      <c r="N152" s="15"/>
      <c r="O152"/>
      <c r="P152"/>
    </row>
    <row r="154" spans="2:16" x14ac:dyDescent="0.2">
      <c r="B154" s="16" t="s">
        <v>595</v>
      </c>
    </row>
    <row r="156" spans="2:16" ht="153.75" customHeight="1" x14ac:dyDescent="0.2"/>
    <row r="159" spans="2:16" x14ac:dyDescent="0.2">
      <c r="B159" s="17" t="s">
        <v>596</v>
      </c>
      <c r="C159" s="18"/>
      <c r="D159" s="17" t="s">
        <v>597</v>
      </c>
    </row>
    <row r="160" spans="2:16" x14ac:dyDescent="0.2">
      <c r="B160" s="17" t="s">
        <v>606</v>
      </c>
      <c r="D160" s="17" t="s">
        <v>607</v>
      </c>
    </row>
    <row r="161" ht="165" customHeight="1" x14ac:dyDescent="0.2"/>
  </sheetData>
  <mergeCells count="26">
    <mergeCell ref="B144:C144"/>
    <mergeCell ref="B145:C145"/>
    <mergeCell ref="B151:C151"/>
    <mergeCell ref="B152:D152"/>
    <mergeCell ref="B146:C146"/>
    <mergeCell ref="B147:C147"/>
    <mergeCell ref="B148:C148"/>
    <mergeCell ref="B149:C149"/>
    <mergeCell ref="B150:C150"/>
    <mergeCell ref="A1:H1"/>
    <mergeCell ref="A2:H2"/>
    <mergeCell ref="A3:H3"/>
    <mergeCell ref="B113:H113"/>
    <mergeCell ref="B114:H114"/>
    <mergeCell ref="B115:H115"/>
    <mergeCell ref="B140:C140"/>
    <mergeCell ref="B143:C143"/>
    <mergeCell ref="B118:D118"/>
    <mergeCell ref="B119:C119"/>
    <mergeCell ref="B120:C120"/>
    <mergeCell ref="B121:C121"/>
    <mergeCell ref="B131:C131"/>
    <mergeCell ref="B139:C139"/>
    <mergeCell ref="B116:H116"/>
    <mergeCell ref="B138:C138"/>
    <mergeCell ref="B142:D142"/>
  </mergeCells>
  <hyperlinks>
    <hyperlink ref="I1" location="Index!B2" display="Index" xr:uid="{6DF9A01B-146E-481D-BF74-39F75132C52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F90B0-916D-4BAA-BC64-C8D99BE8A3E7}">
  <sheetPr>
    <outlinePr summaryBelow="0" summaryRight="0"/>
  </sheetPr>
  <dimension ref="A1:T189"/>
  <sheetViews>
    <sheetView showGridLines="0" workbookViewId="0">
      <selection sqref="A1:H1"/>
    </sheetView>
  </sheetViews>
  <sheetFormatPr defaultRowHeight="12.75" x14ac:dyDescent="0.2"/>
  <cols>
    <col min="1" max="1" width="5.85546875" bestFit="1" customWidth="1"/>
    <col min="2" max="2" width="20.28515625" bestFit="1" customWidth="1"/>
    <col min="3" max="3" width="34.140625" bestFit="1" customWidth="1"/>
    <col min="4" max="4" width="14.28515625" customWidth="1"/>
    <col min="5" max="5" width="9.42578125" bestFit="1" customWidth="1"/>
    <col min="6" max="6" width="10.140625" bestFit="1" customWidth="1"/>
    <col min="7" max="7" width="14" bestFit="1" customWidth="1"/>
    <col min="8" max="9" width="9" customWidth="1"/>
  </cols>
  <sheetData>
    <row r="1" spans="1:9" ht="15" x14ac:dyDescent="0.2">
      <c r="A1" s="170" t="s">
        <v>0</v>
      </c>
      <c r="B1" s="170"/>
      <c r="C1" s="170"/>
      <c r="D1" s="170"/>
      <c r="E1" s="170"/>
      <c r="F1" s="170"/>
      <c r="G1" s="170"/>
      <c r="H1" s="170"/>
      <c r="I1" s="7" t="s">
        <v>579</v>
      </c>
    </row>
    <row r="2" spans="1:9" ht="15" x14ac:dyDescent="0.2">
      <c r="A2" s="170" t="s">
        <v>223</v>
      </c>
      <c r="B2" s="170"/>
      <c r="C2" s="170"/>
      <c r="D2" s="170"/>
      <c r="E2" s="170"/>
      <c r="F2" s="170"/>
      <c r="G2" s="170"/>
      <c r="H2" s="170"/>
    </row>
    <row r="3" spans="1:9" ht="15" customHeight="1" x14ac:dyDescent="0.2">
      <c r="A3" s="170" t="s">
        <v>715</v>
      </c>
      <c r="B3" s="170"/>
      <c r="C3" s="170"/>
      <c r="D3" s="170"/>
      <c r="E3" s="170"/>
      <c r="F3" s="170"/>
      <c r="G3" s="170"/>
      <c r="H3" s="170"/>
    </row>
    <row r="4" spans="1:9" s="8" customFormat="1" ht="30" x14ac:dyDescent="0.2">
      <c r="A4" s="32" t="s">
        <v>2</v>
      </c>
      <c r="B4" s="32" t="s">
        <v>3</v>
      </c>
      <c r="C4" s="32" t="s">
        <v>4</v>
      </c>
      <c r="D4" s="32" t="s">
        <v>5</v>
      </c>
      <c r="E4" s="32" t="s">
        <v>6</v>
      </c>
      <c r="F4" s="32" t="s">
        <v>7</v>
      </c>
      <c r="G4" s="32" t="s">
        <v>8</v>
      </c>
      <c r="H4" s="33" t="s">
        <v>580</v>
      </c>
    </row>
    <row r="5" spans="1:9" x14ac:dyDescent="0.2">
      <c r="A5" s="34"/>
      <c r="B5" s="34"/>
      <c r="C5" s="35" t="s">
        <v>9</v>
      </c>
      <c r="D5" s="34"/>
      <c r="E5" s="34"/>
      <c r="F5" s="34"/>
      <c r="G5" s="34"/>
      <c r="H5" s="36" t="s">
        <v>12</v>
      </c>
    </row>
    <row r="6" spans="1:9" ht="25.5" x14ac:dyDescent="0.2">
      <c r="A6" s="34"/>
      <c r="B6" s="34"/>
      <c r="C6" s="35" t="s">
        <v>10</v>
      </c>
      <c r="D6" s="34"/>
      <c r="E6" s="34"/>
      <c r="F6" s="34"/>
      <c r="G6" s="34"/>
      <c r="H6" s="36" t="s">
        <v>12</v>
      </c>
    </row>
    <row r="7" spans="1:9" x14ac:dyDescent="0.2">
      <c r="A7" s="34"/>
      <c r="B7" s="34"/>
      <c r="C7" s="35" t="s">
        <v>11</v>
      </c>
      <c r="D7" s="34"/>
      <c r="E7" s="34" t="s">
        <v>12</v>
      </c>
      <c r="F7" s="37" t="s">
        <v>13</v>
      </c>
      <c r="G7" s="38">
        <v>0</v>
      </c>
      <c r="H7" s="36" t="s">
        <v>12</v>
      </c>
    </row>
    <row r="8" spans="1:9" x14ac:dyDescent="0.2">
      <c r="A8" s="34"/>
      <c r="B8" s="34"/>
      <c r="C8" s="39"/>
      <c r="D8" s="34"/>
      <c r="E8" s="34"/>
      <c r="F8" s="40"/>
      <c r="G8" s="40"/>
      <c r="H8" s="36" t="s">
        <v>12</v>
      </c>
    </row>
    <row r="9" spans="1:9" x14ac:dyDescent="0.2">
      <c r="A9" s="34"/>
      <c r="B9" s="34"/>
      <c r="C9" s="35" t="s">
        <v>14</v>
      </c>
      <c r="D9" s="34"/>
      <c r="E9" s="34"/>
      <c r="F9" s="34"/>
      <c r="G9" s="34"/>
      <c r="H9" s="36" t="s">
        <v>12</v>
      </c>
    </row>
    <row r="10" spans="1:9" x14ac:dyDescent="0.2">
      <c r="A10" s="34"/>
      <c r="B10" s="34"/>
      <c r="C10" s="35" t="s">
        <v>11</v>
      </c>
      <c r="D10" s="34"/>
      <c r="E10" s="34" t="s">
        <v>12</v>
      </c>
      <c r="F10" s="37" t="s">
        <v>13</v>
      </c>
      <c r="G10" s="38">
        <v>0</v>
      </c>
      <c r="H10" s="36" t="s">
        <v>12</v>
      </c>
    </row>
    <row r="11" spans="1:9" x14ac:dyDescent="0.2">
      <c r="A11" s="34"/>
      <c r="B11" s="34"/>
      <c r="C11" s="39"/>
      <c r="D11" s="34"/>
      <c r="E11" s="34"/>
      <c r="F11" s="40"/>
      <c r="G11" s="40"/>
      <c r="H11" s="36" t="s">
        <v>12</v>
      </c>
    </row>
    <row r="12" spans="1:9" x14ac:dyDescent="0.2">
      <c r="A12" s="34"/>
      <c r="B12" s="34"/>
      <c r="C12" s="35" t="s">
        <v>15</v>
      </c>
      <c r="D12" s="34"/>
      <c r="E12" s="34"/>
      <c r="F12" s="34"/>
      <c r="G12" s="34"/>
      <c r="H12" s="36" t="s">
        <v>12</v>
      </c>
    </row>
    <row r="13" spans="1:9" x14ac:dyDescent="0.2">
      <c r="A13" s="34"/>
      <c r="B13" s="34"/>
      <c r="C13" s="35" t="s">
        <v>11</v>
      </c>
      <c r="D13" s="34"/>
      <c r="E13" s="34" t="s">
        <v>12</v>
      </c>
      <c r="F13" s="37" t="s">
        <v>13</v>
      </c>
      <c r="G13" s="38">
        <v>0</v>
      </c>
      <c r="H13" s="36" t="s">
        <v>12</v>
      </c>
    </row>
    <row r="14" spans="1:9" x14ac:dyDescent="0.2">
      <c r="A14" s="34"/>
      <c r="B14" s="34"/>
      <c r="C14" s="39"/>
      <c r="D14" s="34"/>
      <c r="E14" s="34"/>
      <c r="F14" s="40"/>
      <c r="G14" s="40"/>
      <c r="H14" s="36" t="s">
        <v>12</v>
      </c>
    </row>
    <row r="15" spans="1:9" x14ac:dyDescent="0.2">
      <c r="A15" s="34"/>
      <c r="B15" s="34"/>
      <c r="C15" s="35" t="s">
        <v>16</v>
      </c>
      <c r="D15" s="34"/>
      <c r="E15" s="34"/>
      <c r="F15" s="34"/>
      <c r="G15" s="34"/>
      <c r="H15" s="36" t="s">
        <v>12</v>
      </c>
    </row>
    <row r="16" spans="1:9" x14ac:dyDescent="0.2">
      <c r="A16" s="34"/>
      <c r="B16" s="34"/>
      <c r="C16" s="35" t="s">
        <v>11</v>
      </c>
      <c r="D16" s="34"/>
      <c r="E16" s="34" t="s">
        <v>12</v>
      </c>
      <c r="F16" s="37" t="s">
        <v>13</v>
      </c>
      <c r="G16" s="38">
        <v>0</v>
      </c>
      <c r="H16" s="36" t="s">
        <v>12</v>
      </c>
    </row>
    <row r="17" spans="1:8" x14ac:dyDescent="0.2">
      <c r="A17" s="34"/>
      <c r="B17" s="34"/>
      <c r="C17" s="39"/>
      <c r="D17" s="34"/>
      <c r="E17" s="34"/>
      <c r="F17" s="40"/>
      <c r="G17" s="40"/>
      <c r="H17" s="36" t="s">
        <v>12</v>
      </c>
    </row>
    <row r="18" spans="1:8" x14ac:dyDescent="0.2">
      <c r="A18" s="34"/>
      <c r="B18" s="34"/>
      <c r="C18" s="35" t="s">
        <v>17</v>
      </c>
      <c r="D18" s="34"/>
      <c r="E18" s="34"/>
      <c r="F18" s="40"/>
      <c r="G18" s="40"/>
      <c r="H18" s="36" t="s">
        <v>12</v>
      </c>
    </row>
    <row r="19" spans="1:8" x14ac:dyDescent="0.2">
      <c r="A19" s="34"/>
      <c r="B19" s="34"/>
      <c r="C19" s="35" t="s">
        <v>11</v>
      </c>
      <c r="D19" s="34"/>
      <c r="E19" s="34" t="s">
        <v>12</v>
      </c>
      <c r="F19" s="37" t="s">
        <v>13</v>
      </c>
      <c r="G19" s="38">
        <v>0</v>
      </c>
      <c r="H19" s="36" t="s">
        <v>12</v>
      </c>
    </row>
    <row r="20" spans="1:8" x14ac:dyDescent="0.2">
      <c r="A20" s="34"/>
      <c r="B20" s="34"/>
      <c r="C20" s="39"/>
      <c r="D20" s="34"/>
      <c r="E20" s="34"/>
      <c r="F20" s="40"/>
      <c r="G20" s="40"/>
      <c r="H20" s="36" t="s">
        <v>12</v>
      </c>
    </row>
    <row r="21" spans="1:8" x14ac:dyDescent="0.2">
      <c r="A21" s="34"/>
      <c r="B21" s="34"/>
      <c r="C21" s="35" t="s">
        <v>18</v>
      </c>
      <c r="D21" s="34"/>
      <c r="E21" s="34"/>
      <c r="F21" s="40"/>
      <c r="G21" s="40"/>
      <c r="H21" s="36" t="s">
        <v>12</v>
      </c>
    </row>
    <row r="22" spans="1:8" x14ac:dyDescent="0.2">
      <c r="A22" s="34"/>
      <c r="B22" s="34"/>
      <c r="C22" s="35" t="s">
        <v>11</v>
      </c>
      <c r="D22" s="34"/>
      <c r="E22" s="34" t="s">
        <v>12</v>
      </c>
      <c r="F22" s="37" t="s">
        <v>13</v>
      </c>
      <c r="G22" s="38">
        <v>0</v>
      </c>
      <c r="H22" s="36" t="s">
        <v>12</v>
      </c>
    </row>
    <row r="23" spans="1:8" x14ac:dyDescent="0.2">
      <c r="A23" s="34"/>
      <c r="B23" s="34"/>
      <c r="C23" s="39"/>
      <c r="D23" s="34"/>
      <c r="E23" s="34"/>
      <c r="F23" s="40"/>
      <c r="G23" s="40"/>
      <c r="H23" s="36" t="s">
        <v>12</v>
      </c>
    </row>
    <row r="24" spans="1:8" x14ac:dyDescent="0.2">
      <c r="A24" s="34"/>
      <c r="B24" s="34"/>
      <c r="C24" s="35" t="s">
        <v>19</v>
      </c>
      <c r="D24" s="34"/>
      <c r="E24" s="34"/>
      <c r="F24" s="41">
        <v>0</v>
      </c>
      <c r="G24" s="38">
        <v>0</v>
      </c>
      <c r="H24" s="36" t="s">
        <v>12</v>
      </c>
    </row>
    <row r="25" spans="1:8" x14ac:dyDescent="0.2">
      <c r="A25" s="34"/>
      <c r="B25" s="34"/>
      <c r="C25" s="39"/>
      <c r="D25" s="34"/>
      <c r="E25" s="34"/>
      <c r="F25" s="40"/>
      <c r="G25" s="40"/>
      <c r="H25" s="36" t="s">
        <v>12</v>
      </c>
    </row>
    <row r="26" spans="1:8" x14ac:dyDescent="0.2">
      <c r="A26" s="34"/>
      <c r="B26" s="34"/>
      <c r="C26" s="35" t="s">
        <v>20</v>
      </c>
      <c r="D26" s="34"/>
      <c r="E26" s="34"/>
      <c r="F26" s="40"/>
      <c r="G26" s="40"/>
      <c r="H26" s="36" t="s">
        <v>12</v>
      </c>
    </row>
    <row r="27" spans="1:8" ht="25.5" x14ac:dyDescent="0.2">
      <c r="A27" s="34"/>
      <c r="B27" s="34"/>
      <c r="C27" s="35" t="s">
        <v>10</v>
      </c>
      <c r="D27" s="34"/>
      <c r="E27" s="34"/>
      <c r="F27" s="40"/>
      <c r="G27" s="40"/>
      <c r="H27" s="36" t="s">
        <v>12</v>
      </c>
    </row>
    <row r="28" spans="1:8" ht="25.5" x14ac:dyDescent="0.2">
      <c r="A28" s="42">
        <v>1</v>
      </c>
      <c r="B28" s="43" t="s">
        <v>224</v>
      </c>
      <c r="C28" s="43" t="s">
        <v>225</v>
      </c>
      <c r="D28" s="43" t="s">
        <v>23</v>
      </c>
      <c r="E28" s="44">
        <v>250</v>
      </c>
      <c r="F28" s="45">
        <v>2493.3175000000001</v>
      </c>
      <c r="G28" s="46">
        <v>6.0766859999999999E-2</v>
      </c>
      <c r="H28" s="36">
        <v>7.55</v>
      </c>
    </row>
    <row r="29" spans="1:8" ht="25.5" x14ac:dyDescent="0.2">
      <c r="A29" s="42">
        <v>2</v>
      </c>
      <c r="B29" s="43" t="s">
        <v>226</v>
      </c>
      <c r="C29" s="43" t="s">
        <v>227</v>
      </c>
      <c r="D29" s="43" t="s">
        <v>228</v>
      </c>
      <c r="E29" s="44">
        <v>2000</v>
      </c>
      <c r="F29" s="45">
        <v>1999.5940000000001</v>
      </c>
      <c r="G29" s="46">
        <v>4.8733890000000002E-2</v>
      </c>
      <c r="H29" s="36">
        <v>7.68</v>
      </c>
    </row>
    <row r="30" spans="1:8" ht="25.5" x14ac:dyDescent="0.2">
      <c r="A30" s="42">
        <v>3</v>
      </c>
      <c r="B30" s="43" t="s">
        <v>229</v>
      </c>
      <c r="C30" s="43" t="s">
        <v>230</v>
      </c>
      <c r="D30" s="43" t="s">
        <v>231</v>
      </c>
      <c r="E30" s="44">
        <v>1500</v>
      </c>
      <c r="F30" s="45">
        <v>1508.8679999999999</v>
      </c>
      <c r="G30" s="46">
        <v>3.6773970000000003E-2</v>
      </c>
      <c r="H30" s="36">
        <v>7.9950000000000001</v>
      </c>
    </row>
    <row r="31" spans="1:8" ht="25.5" x14ac:dyDescent="0.2">
      <c r="A31" s="42">
        <v>4</v>
      </c>
      <c r="B31" s="43" t="s">
        <v>232</v>
      </c>
      <c r="C31" s="43" t="s">
        <v>233</v>
      </c>
      <c r="D31" s="43" t="s">
        <v>234</v>
      </c>
      <c r="E31" s="44">
        <v>1500</v>
      </c>
      <c r="F31" s="45">
        <v>1505.8544999999999</v>
      </c>
      <c r="G31" s="46">
        <v>3.670052E-2</v>
      </c>
      <c r="H31" s="36">
        <v>8.8149999999999995</v>
      </c>
    </row>
    <row r="32" spans="1:8" ht="25.5" x14ac:dyDescent="0.2">
      <c r="A32" s="42">
        <v>5</v>
      </c>
      <c r="B32" s="43" t="s">
        <v>235</v>
      </c>
      <c r="C32" s="43" t="s">
        <v>236</v>
      </c>
      <c r="D32" s="43" t="s">
        <v>23</v>
      </c>
      <c r="E32" s="44">
        <v>140</v>
      </c>
      <c r="F32" s="45">
        <v>1380.0934</v>
      </c>
      <c r="G32" s="46">
        <v>3.3635489999999997E-2</v>
      </c>
      <c r="H32" s="36">
        <v>7.8</v>
      </c>
    </row>
    <row r="33" spans="1:8" x14ac:dyDescent="0.2">
      <c r="A33" s="42">
        <v>6</v>
      </c>
      <c r="B33" s="43" t="s">
        <v>237</v>
      </c>
      <c r="C33" s="43" t="s">
        <v>238</v>
      </c>
      <c r="D33" s="43" t="s">
        <v>234</v>
      </c>
      <c r="E33" s="44">
        <v>1200</v>
      </c>
      <c r="F33" s="45">
        <v>1207.8335999999999</v>
      </c>
      <c r="G33" s="46">
        <v>2.9437189999999998E-2</v>
      </c>
      <c r="H33" s="36">
        <v>8.0850000000000009</v>
      </c>
    </row>
    <row r="34" spans="1:8" ht="25.5" x14ac:dyDescent="0.2">
      <c r="A34" s="42">
        <v>7</v>
      </c>
      <c r="B34" s="43" t="s">
        <v>67</v>
      </c>
      <c r="C34" s="43" t="s">
        <v>68</v>
      </c>
      <c r="D34" s="43" t="s">
        <v>23</v>
      </c>
      <c r="E34" s="44">
        <v>1000</v>
      </c>
      <c r="F34" s="45">
        <v>1003.475</v>
      </c>
      <c r="G34" s="46">
        <v>2.4456579999999999E-2</v>
      </c>
      <c r="H34" s="36">
        <v>7.53</v>
      </c>
    </row>
    <row r="35" spans="1:8" ht="25.5" x14ac:dyDescent="0.2">
      <c r="A35" s="42">
        <v>8</v>
      </c>
      <c r="B35" s="43" t="s">
        <v>239</v>
      </c>
      <c r="C35" s="43" t="s">
        <v>240</v>
      </c>
      <c r="D35" s="43" t="s">
        <v>231</v>
      </c>
      <c r="E35" s="44">
        <v>1000</v>
      </c>
      <c r="F35" s="45">
        <v>999.58399999999995</v>
      </c>
      <c r="G35" s="46">
        <v>2.4361750000000001E-2</v>
      </c>
      <c r="H35" s="36">
        <v>8.1675000000000004</v>
      </c>
    </row>
    <row r="36" spans="1:8" x14ac:dyDescent="0.2">
      <c r="A36" s="42">
        <v>9</v>
      </c>
      <c r="B36" s="43" t="s">
        <v>241</v>
      </c>
      <c r="C36" s="43" t="s">
        <v>242</v>
      </c>
      <c r="D36" s="43" t="s">
        <v>23</v>
      </c>
      <c r="E36" s="44">
        <v>1000</v>
      </c>
      <c r="F36" s="45">
        <v>999.02300000000002</v>
      </c>
      <c r="G36" s="46">
        <v>2.4348080000000001E-2</v>
      </c>
      <c r="H36" s="36">
        <v>7.66</v>
      </c>
    </row>
    <row r="37" spans="1:8" x14ac:dyDescent="0.2">
      <c r="A37" s="42">
        <v>10</v>
      </c>
      <c r="B37" s="43" t="s">
        <v>243</v>
      </c>
      <c r="C37" s="43" t="s">
        <v>244</v>
      </c>
      <c r="D37" s="43" t="s">
        <v>23</v>
      </c>
      <c r="E37" s="44">
        <v>1000</v>
      </c>
      <c r="F37" s="45">
        <v>997.94</v>
      </c>
      <c r="G37" s="46">
        <v>2.432169E-2</v>
      </c>
      <c r="H37" s="36">
        <v>7.66</v>
      </c>
    </row>
    <row r="38" spans="1:8" ht="25.5" x14ac:dyDescent="0.2">
      <c r="A38" s="42">
        <v>11</v>
      </c>
      <c r="B38" s="43" t="s">
        <v>245</v>
      </c>
      <c r="C38" s="43" t="s">
        <v>246</v>
      </c>
      <c r="D38" s="43" t="s">
        <v>247</v>
      </c>
      <c r="E38" s="44">
        <v>1000</v>
      </c>
      <c r="F38" s="45">
        <v>997.43</v>
      </c>
      <c r="G38" s="46">
        <v>2.4309259999999999E-2</v>
      </c>
      <c r="H38" s="36">
        <v>9.4049999999999994</v>
      </c>
    </row>
    <row r="39" spans="1:8" ht="25.5" x14ac:dyDescent="0.2">
      <c r="A39" s="42">
        <v>12</v>
      </c>
      <c r="B39" s="43" t="s">
        <v>248</v>
      </c>
      <c r="C39" s="43" t="s">
        <v>249</v>
      </c>
      <c r="D39" s="43" t="s">
        <v>234</v>
      </c>
      <c r="E39" s="44">
        <v>100</v>
      </c>
      <c r="F39" s="45">
        <v>997.10799999999995</v>
      </c>
      <c r="G39" s="46">
        <v>2.4301409999999999E-2</v>
      </c>
      <c r="H39" s="36">
        <v>8.6050000000000004</v>
      </c>
    </row>
    <row r="40" spans="1:8" ht="25.5" x14ac:dyDescent="0.2">
      <c r="A40" s="42">
        <v>13</v>
      </c>
      <c r="B40" s="43" t="s">
        <v>250</v>
      </c>
      <c r="C40" s="43" t="s">
        <v>251</v>
      </c>
      <c r="D40" s="43" t="s">
        <v>23</v>
      </c>
      <c r="E40" s="44">
        <v>100</v>
      </c>
      <c r="F40" s="45">
        <v>996.83699999999999</v>
      </c>
      <c r="G40" s="46">
        <v>2.4294799999999998E-2</v>
      </c>
      <c r="H40" s="36">
        <v>7.7</v>
      </c>
    </row>
    <row r="41" spans="1:8" ht="25.5" x14ac:dyDescent="0.2">
      <c r="A41" s="42">
        <v>14</v>
      </c>
      <c r="B41" s="43" t="s">
        <v>43</v>
      </c>
      <c r="C41" s="43" t="s">
        <v>44</v>
      </c>
      <c r="D41" s="43" t="s">
        <v>23</v>
      </c>
      <c r="E41" s="44">
        <v>1000</v>
      </c>
      <c r="F41" s="45">
        <v>996.56299999999999</v>
      </c>
      <c r="G41" s="46">
        <v>2.4288130000000002E-2</v>
      </c>
      <c r="H41" s="36">
        <v>7.4450000000000003</v>
      </c>
    </row>
    <row r="42" spans="1:8" ht="25.5" x14ac:dyDescent="0.2">
      <c r="A42" s="42">
        <v>15</v>
      </c>
      <c r="B42" s="43" t="s">
        <v>63</v>
      </c>
      <c r="C42" s="43" t="s">
        <v>64</v>
      </c>
      <c r="D42" s="43" t="s">
        <v>23</v>
      </c>
      <c r="E42" s="44">
        <v>1000</v>
      </c>
      <c r="F42" s="45">
        <v>996.3</v>
      </c>
      <c r="G42" s="46">
        <v>2.428172E-2</v>
      </c>
      <c r="H42" s="36">
        <v>7.6349999999999998</v>
      </c>
    </row>
    <row r="43" spans="1:8" ht="25.5" x14ac:dyDescent="0.2">
      <c r="A43" s="42">
        <v>16</v>
      </c>
      <c r="B43" s="43" t="s">
        <v>252</v>
      </c>
      <c r="C43" s="43" t="s">
        <v>253</v>
      </c>
      <c r="D43" s="43" t="s">
        <v>234</v>
      </c>
      <c r="E43" s="44">
        <v>900</v>
      </c>
      <c r="F43" s="45">
        <v>902.09879999999998</v>
      </c>
      <c r="G43" s="46">
        <v>2.1985850000000001E-2</v>
      </c>
      <c r="H43" s="36">
        <v>8.1549999999999994</v>
      </c>
    </row>
    <row r="44" spans="1:8" ht="25.5" x14ac:dyDescent="0.2">
      <c r="A44" s="42">
        <v>17</v>
      </c>
      <c r="B44" s="43" t="s">
        <v>254</v>
      </c>
      <c r="C44" s="43" t="s">
        <v>255</v>
      </c>
      <c r="D44" s="43" t="s">
        <v>234</v>
      </c>
      <c r="E44" s="44">
        <v>500</v>
      </c>
      <c r="F44" s="45">
        <v>502.28199999999998</v>
      </c>
      <c r="G44" s="46">
        <v>1.224156E-2</v>
      </c>
      <c r="H44" s="36">
        <v>8.7083999999999993</v>
      </c>
    </row>
    <row r="45" spans="1:8" ht="25.5" x14ac:dyDescent="0.2">
      <c r="A45" s="42">
        <v>18</v>
      </c>
      <c r="B45" s="43" t="s">
        <v>256</v>
      </c>
      <c r="C45" s="43" t="s">
        <v>257</v>
      </c>
      <c r="D45" s="43" t="s">
        <v>258</v>
      </c>
      <c r="E45" s="44">
        <v>50</v>
      </c>
      <c r="F45" s="45">
        <v>500.89</v>
      </c>
      <c r="G45" s="46">
        <v>1.2207640000000001E-2</v>
      </c>
      <c r="H45" s="36">
        <v>8.1575000000000006</v>
      </c>
    </row>
    <row r="46" spans="1:8" x14ac:dyDescent="0.2">
      <c r="A46" s="42">
        <v>19</v>
      </c>
      <c r="B46" s="43" t="s">
        <v>55</v>
      </c>
      <c r="C46" s="43" t="s">
        <v>56</v>
      </c>
      <c r="D46" s="43" t="s">
        <v>23</v>
      </c>
      <c r="E46" s="44">
        <v>500</v>
      </c>
      <c r="F46" s="45">
        <v>500.83550000000002</v>
      </c>
      <c r="G46" s="46">
        <v>1.220631E-2</v>
      </c>
      <c r="H46" s="36">
        <v>7.63</v>
      </c>
    </row>
    <row r="47" spans="1:8" ht="25.5" x14ac:dyDescent="0.2">
      <c r="A47" s="42">
        <v>20</v>
      </c>
      <c r="B47" s="43" t="s">
        <v>61</v>
      </c>
      <c r="C47" s="43" t="s">
        <v>62</v>
      </c>
      <c r="D47" s="43" t="s">
        <v>23</v>
      </c>
      <c r="E47" s="44">
        <v>500</v>
      </c>
      <c r="F47" s="45">
        <v>499.89049999999997</v>
      </c>
      <c r="G47" s="46">
        <v>1.2183279999999999E-2</v>
      </c>
      <c r="H47" s="36">
        <v>8.0649999999999995</v>
      </c>
    </row>
    <row r="48" spans="1:8" x14ac:dyDescent="0.2">
      <c r="A48" s="42">
        <v>21</v>
      </c>
      <c r="B48" s="43" t="s">
        <v>259</v>
      </c>
      <c r="C48" s="43" t="s">
        <v>260</v>
      </c>
      <c r="D48" s="43" t="s">
        <v>36</v>
      </c>
      <c r="E48" s="44">
        <v>500</v>
      </c>
      <c r="F48" s="45">
        <v>499.86950000000002</v>
      </c>
      <c r="G48" s="46">
        <v>1.2182770000000001E-2</v>
      </c>
      <c r="H48" s="36">
        <v>7.5449999999999999</v>
      </c>
    </row>
    <row r="49" spans="1:8" x14ac:dyDescent="0.2">
      <c r="A49" s="34"/>
      <c r="B49" s="34"/>
      <c r="C49" s="35" t="s">
        <v>11</v>
      </c>
      <c r="D49" s="34"/>
      <c r="E49" s="34" t="s">
        <v>12</v>
      </c>
      <c r="F49" s="41">
        <v>22485.687300000001</v>
      </c>
      <c r="G49" s="38">
        <v>0.54801875</v>
      </c>
      <c r="H49" s="36" t="s">
        <v>12</v>
      </c>
    </row>
    <row r="50" spans="1:8" x14ac:dyDescent="0.2">
      <c r="A50" s="34"/>
      <c r="B50" s="34"/>
      <c r="C50" s="39"/>
      <c r="D50" s="34"/>
      <c r="E50" s="34"/>
      <c r="F50" s="40"/>
      <c r="G50" s="40"/>
      <c r="H50" s="36" t="s">
        <v>12</v>
      </c>
    </row>
    <row r="51" spans="1:8" x14ac:dyDescent="0.2">
      <c r="A51" s="34"/>
      <c r="B51" s="34"/>
      <c r="C51" s="35" t="s">
        <v>71</v>
      </c>
      <c r="D51" s="34"/>
      <c r="E51" s="34"/>
      <c r="F51" s="34"/>
      <c r="G51" s="34"/>
      <c r="H51" s="36" t="s">
        <v>12</v>
      </c>
    </row>
    <row r="52" spans="1:8" x14ac:dyDescent="0.2">
      <c r="A52" s="34"/>
      <c r="B52" s="34"/>
      <c r="C52" s="35" t="s">
        <v>11</v>
      </c>
      <c r="D52" s="34"/>
      <c r="E52" s="34" t="s">
        <v>12</v>
      </c>
      <c r="F52" s="37" t="s">
        <v>13</v>
      </c>
      <c r="G52" s="38">
        <v>0</v>
      </c>
      <c r="H52" s="36" t="s">
        <v>12</v>
      </c>
    </row>
    <row r="53" spans="1:8" x14ac:dyDescent="0.2">
      <c r="A53" s="34"/>
      <c r="B53" s="34"/>
      <c r="C53" s="39"/>
      <c r="D53" s="34"/>
      <c r="E53" s="34"/>
      <c r="F53" s="40"/>
      <c r="G53" s="40"/>
      <c r="H53" s="36" t="s">
        <v>12</v>
      </c>
    </row>
    <row r="54" spans="1:8" x14ac:dyDescent="0.2">
      <c r="A54" s="34"/>
      <c r="B54" s="34"/>
      <c r="C54" s="35" t="s">
        <v>72</v>
      </c>
      <c r="D54" s="34"/>
      <c r="E54" s="34"/>
      <c r="F54" s="34"/>
      <c r="G54" s="34"/>
      <c r="H54" s="36" t="s">
        <v>12</v>
      </c>
    </row>
    <row r="55" spans="1:8" ht="25.5" x14ac:dyDescent="0.2">
      <c r="A55" s="42">
        <v>1</v>
      </c>
      <c r="B55" s="43" t="s">
        <v>261</v>
      </c>
      <c r="C55" s="43" t="s">
        <v>262</v>
      </c>
      <c r="D55" s="43" t="s">
        <v>75</v>
      </c>
      <c r="E55" s="44">
        <v>1000000</v>
      </c>
      <c r="F55" s="45">
        <v>1014.713</v>
      </c>
      <c r="G55" s="46">
        <v>2.4730479999999999E-2</v>
      </c>
      <c r="H55" s="36">
        <v>6.8349000000000002</v>
      </c>
    </row>
    <row r="56" spans="1:8" ht="25.5" x14ac:dyDescent="0.2">
      <c r="A56" s="42">
        <v>2</v>
      </c>
      <c r="B56" s="43" t="s">
        <v>263</v>
      </c>
      <c r="C56" s="43" t="s">
        <v>264</v>
      </c>
      <c r="D56" s="43" t="s">
        <v>75</v>
      </c>
      <c r="E56" s="44">
        <v>400000</v>
      </c>
      <c r="F56" s="45">
        <v>404.73480000000001</v>
      </c>
      <c r="G56" s="46">
        <v>9.8641500000000003E-3</v>
      </c>
      <c r="H56" s="36">
        <v>6.8371000000000004</v>
      </c>
    </row>
    <row r="57" spans="1:8" ht="25.5" x14ac:dyDescent="0.2">
      <c r="A57" s="42">
        <v>3</v>
      </c>
      <c r="B57" s="43" t="s">
        <v>76</v>
      </c>
      <c r="C57" s="43" t="s">
        <v>77</v>
      </c>
      <c r="D57" s="43" t="s">
        <v>75</v>
      </c>
      <c r="E57" s="44">
        <v>200000</v>
      </c>
      <c r="F57" s="45">
        <v>205.1892</v>
      </c>
      <c r="G57" s="46">
        <v>5.0008500000000003E-3</v>
      </c>
      <c r="H57" s="36">
        <v>6.8888999999999996</v>
      </c>
    </row>
    <row r="58" spans="1:8" x14ac:dyDescent="0.2">
      <c r="A58" s="34"/>
      <c r="B58" s="34"/>
      <c r="C58" s="35" t="s">
        <v>11</v>
      </c>
      <c r="D58" s="34"/>
      <c r="E58" s="34" t="s">
        <v>12</v>
      </c>
      <c r="F58" s="41">
        <v>1624.6369999999999</v>
      </c>
      <c r="G58" s="38">
        <v>3.9595480000000002E-2</v>
      </c>
      <c r="H58" s="36" t="s">
        <v>12</v>
      </c>
    </row>
    <row r="59" spans="1:8" x14ac:dyDescent="0.2">
      <c r="A59" s="34"/>
      <c r="B59" s="34"/>
      <c r="C59" s="39"/>
      <c r="D59" s="34"/>
      <c r="E59" s="34"/>
      <c r="F59" s="40"/>
      <c r="G59" s="40"/>
      <c r="H59" s="36" t="s">
        <v>12</v>
      </c>
    </row>
    <row r="60" spans="1:8" x14ac:dyDescent="0.2">
      <c r="A60" s="34"/>
      <c r="B60" s="34"/>
      <c r="C60" s="35" t="s">
        <v>88</v>
      </c>
      <c r="D60" s="34"/>
      <c r="E60" s="34"/>
      <c r="F60" s="40"/>
      <c r="G60" s="40"/>
      <c r="H60" s="36" t="s">
        <v>12</v>
      </c>
    </row>
    <row r="61" spans="1:8" x14ac:dyDescent="0.2">
      <c r="A61" s="34"/>
      <c r="B61" s="34"/>
      <c r="C61" s="35" t="s">
        <v>11</v>
      </c>
      <c r="D61" s="34"/>
      <c r="E61" s="34" t="s">
        <v>12</v>
      </c>
      <c r="F61" s="37" t="s">
        <v>13</v>
      </c>
      <c r="G61" s="38">
        <v>0</v>
      </c>
      <c r="H61" s="36" t="s">
        <v>12</v>
      </c>
    </row>
    <row r="62" spans="1:8" x14ac:dyDescent="0.2">
      <c r="A62" s="34"/>
      <c r="B62" s="34"/>
      <c r="C62" s="39"/>
      <c r="D62" s="34"/>
      <c r="E62" s="34"/>
      <c r="F62" s="40"/>
      <c r="G62" s="40"/>
      <c r="H62" s="36" t="s">
        <v>12</v>
      </c>
    </row>
    <row r="63" spans="1:8" x14ac:dyDescent="0.2">
      <c r="A63" s="34"/>
      <c r="B63" s="34"/>
      <c r="C63" s="35" t="s">
        <v>89</v>
      </c>
      <c r="D63" s="34"/>
      <c r="E63" s="34"/>
      <c r="F63" s="41">
        <v>24110.3243</v>
      </c>
      <c r="G63" s="38">
        <v>0.58761423000000002</v>
      </c>
      <c r="H63" s="36" t="s">
        <v>12</v>
      </c>
    </row>
    <row r="64" spans="1:8" x14ac:dyDescent="0.2">
      <c r="A64" s="34"/>
      <c r="B64" s="34"/>
      <c r="C64" s="39"/>
      <c r="D64" s="34"/>
      <c r="E64" s="34"/>
      <c r="F64" s="40"/>
      <c r="G64" s="40"/>
      <c r="H64" s="36" t="s">
        <v>12</v>
      </c>
    </row>
    <row r="65" spans="1:8" x14ac:dyDescent="0.2">
      <c r="A65" s="34"/>
      <c r="B65" s="34"/>
      <c r="C65" s="35" t="s">
        <v>90</v>
      </c>
      <c r="D65" s="34"/>
      <c r="E65" s="34"/>
      <c r="F65" s="40"/>
      <c r="G65" s="40"/>
      <c r="H65" s="36" t="s">
        <v>12</v>
      </c>
    </row>
    <row r="66" spans="1:8" x14ac:dyDescent="0.2">
      <c r="A66" s="34"/>
      <c r="B66" s="34"/>
      <c r="C66" s="35" t="s">
        <v>91</v>
      </c>
      <c r="D66" s="34"/>
      <c r="E66" s="34"/>
      <c r="F66" s="40"/>
      <c r="G66" s="40"/>
      <c r="H66" s="36" t="s">
        <v>12</v>
      </c>
    </row>
    <row r="67" spans="1:8" ht="25.5" x14ac:dyDescent="0.2">
      <c r="A67" s="42">
        <v>1</v>
      </c>
      <c r="B67" s="43" t="s">
        <v>265</v>
      </c>
      <c r="C67" s="43" t="s">
        <v>266</v>
      </c>
      <c r="D67" s="43" t="s">
        <v>146</v>
      </c>
      <c r="E67" s="44">
        <v>500</v>
      </c>
      <c r="F67" s="45">
        <v>2357.6925000000001</v>
      </c>
      <c r="G67" s="46">
        <v>5.7461430000000001E-2</v>
      </c>
      <c r="H67" s="36">
        <v>8.07</v>
      </c>
    </row>
    <row r="68" spans="1:8" x14ac:dyDescent="0.2">
      <c r="A68" s="42">
        <v>2</v>
      </c>
      <c r="B68" s="43" t="s">
        <v>267</v>
      </c>
      <c r="C68" s="43" t="s">
        <v>268</v>
      </c>
      <c r="D68" s="43" t="s">
        <v>146</v>
      </c>
      <c r="E68" s="44">
        <v>400</v>
      </c>
      <c r="F68" s="45">
        <v>1972.7760000000001</v>
      </c>
      <c r="G68" s="46">
        <v>4.8080280000000003E-2</v>
      </c>
      <c r="H68" s="36">
        <v>7.3</v>
      </c>
    </row>
    <row r="69" spans="1:8" x14ac:dyDescent="0.2">
      <c r="A69" s="42">
        <v>3</v>
      </c>
      <c r="B69" s="43" t="s">
        <v>175</v>
      </c>
      <c r="C69" s="43" t="s">
        <v>176</v>
      </c>
      <c r="D69" s="43" t="s">
        <v>146</v>
      </c>
      <c r="E69" s="44">
        <v>300</v>
      </c>
      <c r="F69" s="45">
        <v>1403.8589999999999</v>
      </c>
      <c r="G69" s="46">
        <v>3.4214700000000001E-2</v>
      </c>
      <c r="H69" s="36">
        <v>7.7149999999999999</v>
      </c>
    </row>
    <row r="70" spans="1:8" x14ac:dyDescent="0.2">
      <c r="A70" s="42">
        <v>4</v>
      </c>
      <c r="B70" s="43" t="s">
        <v>185</v>
      </c>
      <c r="C70" s="43" t="s">
        <v>186</v>
      </c>
      <c r="D70" s="43" t="s">
        <v>149</v>
      </c>
      <c r="E70" s="44">
        <v>200</v>
      </c>
      <c r="F70" s="45">
        <v>994.10500000000002</v>
      </c>
      <c r="G70" s="46">
        <v>2.4228220000000002E-2</v>
      </c>
      <c r="H70" s="36">
        <v>7.2150999999999996</v>
      </c>
    </row>
    <row r="71" spans="1:8" ht="25.5" x14ac:dyDescent="0.2">
      <c r="A71" s="42">
        <v>5</v>
      </c>
      <c r="B71" s="43" t="s">
        <v>269</v>
      </c>
      <c r="C71" s="43" t="s">
        <v>270</v>
      </c>
      <c r="D71" s="43" t="s">
        <v>146</v>
      </c>
      <c r="E71" s="44">
        <v>200</v>
      </c>
      <c r="F71" s="45">
        <v>992.67899999999997</v>
      </c>
      <c r="G71" s="46">
        <v>2.4193470000000002E-2</v>
      </c>
      <c r="H71" s="36">
        <v>7.2750000000000004</v>
      </c>
    </row>
    <row r="72" spans="1:8" x14ac:dyDescent="0.2">
      <c r="A72" s="42">
        <v>6</v>
      </c>
      <c r="B72" s="43" t="s">
        <v>181</v>
      </c>
      <c r="C72" s="43" t="s">
        <v>182</v>
      </c>
      <c r="D72" s="43" t="s">
        <v>146</v>
      </c>
      <c r="E72" s="44">
        <v>200</v>
      </c>
      <c r="F72" s="45">
        <v>989.81399999999996</v>
      </c>
      <c r="G72" s="46">
        <v>2.4123639999999998E-2</v>
      </c>
      <c r="H72" s="36">
        <v>7.3650000000000002</v>
      </c>
    </row>
    <row r="73" spans="1:8" x14ac:dyDescent="0.2">
      <c r="A73" s="42">
        <v>7</v>
      </c>
      <c r="B73" s="43" t="s">
        <v>183</v>
      </c>
      <c r="C73" s="43" t="s">
        <v>184</v>
      </c>
      <c r="D73" s="43" t="s">
        <v>146</v>
      </c>
      <c r="E73" s="44">
        <v>200</v>
      </c>
      <c r="F73" s="45">
        <v>989.17100000000005</v>
      </c>
      <c r="G73" s="46">
        <v>2.4107969999999999E-2</v>
      </c>
      <c r="H73" s="36">
        <v>7.4</v>
      </c>
    </row>
    <row r="74" spans="1:8" x14ac:dyDescent="0.2">
      <c r="A74" s="42">
        <v>8</v>
      </c>
      <c r="B74" s="43" t="s">
        <v>165</v>
      </c>
      <c r="C74" s="43" t="s">
        <v>166</v>
      </c>
      <c r="D74" s="43" t="s">
        <v>146</v>
      </c>
      <c r="E74" s="44">
        <v>200</v>
      </c>
      <c r="F74" s="45">
        <v>984.74300000000005</v>
      </c>
      <c r="G74" s="46">
        <v>2.4000049999999998E-2</v>
      </c>
      <c r="H74" s="36">
        <v>7.25</v>
      </c>
    </row>
    <row r="75" spans="1:8" x14ac:dyDescent="0.2">
      <c r="A75" s="42">
        <v>9</v>
      </c>
      <c r="B75" s="43" t="s">
        <v>169</v>
      </c>
      <c r="C75" s="43" t="s">
        <v>170</v>
      </c>
      <c r="D75" s="43" t="s">
        <v>146</v>
      </c>
      <c r="E75" s="44">
        <v>200</v>
      </c>
      <c r="F75" s="45">
        <v>971.70500000000004</v>
      </c>
      <c r="G75" s="46">
        <v>2.3682290000000002E-2</v>
      </c>
      <c r="H75" s="36">
        <v>7.4850000000000003</v>
      </c>
    </row>
    <row r="76" spans="1:8" x14ac:dyDescent="0.2">
      <c r="A76" s="42">
        <v>10</v>
      </c>
      <c r="B76" s="43" t="s">
        <v>271</v>
      </c>
      <c r="C76" s="43" t="s">
        <v>272</v>
      </c>
      <c r="D76" s="43" t="s">
        <v>146</v>
      </c>
      <c r="E76" s="44">
        <v>200</v>
      </c>
      <c r="F76" s="45">
        <v>934.83399999999995</v>
      </c>
      <c r="G76" s="46">
        <v>2.2783669999999999E-2</v>
      </c>
      <c r="H76" s="36">
        <v>7.55</v>
      </c>
    </row>
    <row r="77" spans="1:8" x14ac:dyDescent="0.2">
      <c r="A77" s="34"/>
      <c r="B77" s="34"/>
      <c r="C77" s="35" t="s">
        <v>11</v>
      </c>
      <c r="D77" s="34"/>
      <c r="E77" s="34" t="s">
        <v>12</v>
      </c>
      <c r="F77" s="41">
        <v>12591.378500000001</v>
      </c>
      <c r="G77" s="38">
        <v>0.30687572000000002</v>
      </c>
      <c r="H77" s="36" t="s">
        <v>12</v>
      </c>
    </row>
    <row r="78" spans="1:8" x14ac:dyDescent="0.2">
      <c r="A78" s="34"/>
      <c r="B78" s="34"/>
      <c r="C78" s="39"/>
      <c r="D78" s="34"/>
      <c r="E78" s="34"/>
      <c r="F78" s="40"/>
      <c r="G78" s="40"/>
      <c r="H78" s="36" t="s">
        <v>12</v>
      </c>
    </row>
    <row r="79" spans="1:8" x14ac:dyDescent="0.2">
      <c r="A79" s="34"/>
      <c r="B79" s="34"/>
      <c r="C79" s="35" t="s">
        <v>92</v>
      </c>
      <c r="D79" s="34"/>
      <c r="E79" s="34"/>
      <c r="F79" s="40"/>
      <c r="G79" s="40"/>
      <c r="H79" s="36" t="s">
        <v>12</v>
      </c>
    </row>
    <row r="80" spans="1:8" ht="25.5" x14ac:dyDescent="0.2">
      <c r="A80" s="42">
        <v>1</v>
      </c>
      <c r="B80" s="43" t="s">
        <v>273</v>
      </c>
      <c r="C80" s="43" t="s">
        <v>274</v>
      </c>
      <c r="D80" s="43" t="s">
        <v>146</v>
      </c>
      <c r="E80" s="44">
        <v>300</v>
      </c>
      <c r="F80" s="45">
        <v>1476.615</v>
      </c>
      <c r="G80" s="46">
        <v>3.5987900000000003E-2</v>
      </c>
      <c r="H80" s="36">
        <v>8.0288000000000004</v>
      </c>
    </row>
    <row r="81" spans="1:8" ht="25.5" x14ac:dyDescent="0.2">
      <c r="A81" s="42">
        <v>2</v>
      </c>
      <c r="B81" s="43" t="s">
        <v>203</v>
      </c>
      <c r="C81" s="43" t="s">
        <v>204</v>
      </c>
      <c r="D81" s="43" t="s">
        <v>146</v>
      </c>
      <c r="E81" s="44">
        <v>200</v>
      </c>
      <c r="F81" s="45">
        <v>963.64800000000002</v>
      </c>
      <c r="G81" s="46">
        <v>2.3485929999999999E-2</v>
      </c>
      <c r="H81" s="36">
        <v>8.2449999999999992</v>
      </c>
    </row>
    <row r="82" spans="1:8" x14ac:dyDescent="0.2">
      <c r="A82" s="34"/>
      <c r="B82" s="34"/>
      <c r="C82" s="35" t="s">
        <v>11</v>
      </c>
      <c r="D82" s="34"/>
      <c r="E82" s="34" t="s">
        <v>12</v>
      </c>
      <c r="F82" s="41">
        <v>2440.2629999999999</v>
      </c>
      <c r="G82" s="38">
        <v>5.9473829999999998E-2</v>
      </c>
      <c r="H82" s="36" t="s">
        <v>12</v>
      </c>
    </row>
    <row r="83" spans="1:8" x14ac:dyDescent="0.2">
      <c r="A83" s="34"/>
      <c r="B83" s="34"/>
      <c r="C83" s="39"/>
      <c r="D83" s="34"/>
      <c r="E83" s="34"/>
      <c r="F83" s="40"/>
      <c r="G83" s="40"/>
      <c r="H83" s="36" t="s">
        <v>12</v>
      </c>
    </row>
    <row r="84" spans="1:8" x14ac:dyDescent="0.2">
      <c r="A84" s="34"/>
      <c r="B84" s="34"/>
      <c r="C84" s="35" t="s">
        <v>93</v>
      </c>
      <c r="D84" s="34"/>
      <c r="E84" s="34"/>
      <c r="F84" s="40"/>
      <c r="G84" s="40"/>
      <c r="H84" s="36" t="s">
        <v>12</v>
      </c>
    </row>
    <row r="85" spans="1:8" x14ac:dyDescent="0.2">
      <c r="A85" s="42">
        <v>1</v>
      </c>
      <c r="B85" s="43" t="s">
        <v>217</v>
      </c>
      <c r="C85" s="43" t="s">
        <v>218</v>
      </c>
      <c r="D85" s="43" t="s">
        <v>75</v>
      </c>
      <c r="E85" s="44">
        <v>500000</v>
      </c>
      <c r="F85" s="45">
        <v>486.86250000000001</v>
      </c>
      <c r="G85" s="46">
        <v>1.186576E-2</v>
      </c>
      <c r="H85" s="36">
        <v>6.6550000000000002</v>
      </c>
    </row>
    <row r="86" spans="1:8" x14ac:dyDescent="0.2">
      <c r="A86" s="34"/>
      <c r="B86" s="34"/>
      <c r="C86" s="35" t="s">
        <v>11</v>
      </c>
      <c r="D86" s="34"/>
      <c r="E86" s="34" t="s">
        <v>12</v>
      </c>
      <c r="F86" s="41">
        <v>486.86250000000001</v>
      </c>
      <c r="G86" s="38">
        <v>1.186576E-2</v>
      </c>
      <c r="H86" s="36" t="s">
        <v>12</v>
      </c>
    </row>
    <row r="87" spans="1:8" x14ac:dyDescent="0.2">
      <c r="A87" s="34"/>
      <c r="B87" s="34"/>
      <c r="C87" s="39"/>
      <c r="D87" s="34"/>
      <c r="E87" s="34"/>
      <c r="F87" s="40"/>
      <c r="G87" s="40"/>
      <c r="H87" s="36" t="s">
        <v>12</v>
      </c>
    </row>
    <row r="88" spans="1:8" x14ac:dyDescent="0.2">
      <c r="A88" s="34"/>
      <c r="B88" s="34"/>
      <c r="C88" s="35" t="s">
        <v>94</v>
      </c>
      <c r="D88" s="34"/>
      <c r="E88" s="34"/>
      <c r="F88" s="40"/>
      <c r="G88" s="40"/>
      <c r="H88" s="36" t="s">
        <v>12</v>
      </c>
    </row>
    <row r="89" spans="1:8" x14ac:dyDescent="0.2">
      <c r="A89" s="42">
        <v>1</v>
      </c>
      <c r="B89" s="43"/>
      <c r="C89" s="43" t="s">
        <v>95</v>
      </c>
      <c r="D89" s="43"/>
      <c r="E89" s="47"/>
      <c r="F89" s="45">
        <v>757.52312599799995</v>
      </c>
      <c r="G89" s="46">
        <v>1.8462269999999999E-2</v>
      </c>
      <c r="H89" s="36">
        <v>6.6</v>
      </c>
    </row>
    <row r="90" spans="1:8" x14ac:dyDescent="0.2">
      <c r="A90" s="34"/>
      <c r="B90" s="34"/>
      <c r="C90" s="35" t="s">
        <v>11</v>
      </c>
      <c r="D90" s="34"/>
      <c r="E90" s="34" t="s">
        <v>12</v>
      </c>
      <c r="F90" s="41">
        <v>757.52312599799995</v>
      </c>
      <c r="G90" s="38">
        <v>1.8462269999999999E-2</v>
      </c>
      <c r="H90" s="36" t="s">
        <v>12</v>
      </c>
    </row>
    <row r="91" spans="1:8" x14ac:dyDescent="0.2">
      <c r="A91" s="34"/>
      <c r="B91" s="34"/>
      <c r="C91" s="39"/>
      <c r="D91" s="34"/>
      <c r="E91" s="34"/>
      <c r="F91" s="40"/>
      <c r="G91" s="40"/>
      <c r="H91" s="36" t="s">
        <v>12</v>
      </c>
    </row>
    <row r="92" spans="1:8" x14ac:dyDescent="0.2">
      <c r="A92" s="34"/>
      <c r="B92" s="34"/>
      <c r="C92" s="35" t="s">
        <v>96</v>
      </c>
      <c r="D92" s="34"/>
      <c r="E92" s="34"/>
      <c r="F92" s="41">
        <v>16276.027125998</v>
      </c>
      <c r="G92" s="38">
        <v>0.39667757999999997</v>
      </c>
      <c r="H92" s="36" t="s">
        <v>12</v>
      </c>
    </row>
    <row r="93" spans="1:8" x14ac:dyDescent="0.2">
      <c r="A93" s="34"/>
      <c r="B93" s="34"/>
      <c r="C93" s="40"/>
      <c r="D93" s="34"/>
      <c r="E93" s="34"/>
      <c r="F93" s="34"/>
      <c r="G93" s="34"/>
      <c r="H93" s="36" t="s">
        <v>12</v>
      </c>
    </row>
    <row r="94" spans="1:8" x14ac:dyDescent="0.2">
      <c r="A94" s="34"/>
      <c r="B94" s="34"/>
      <c r="C94" s="35" t="s">
        <v>97</v>
      </c>
      <c r="D94" s="34"/>
      <c r="E94" s="34"/>
      <c r="F94" s="34"/>
      <c r="G94" s="34"/>
      <c r="H94" s="36" t="s">
        <v>12</v>
      </c>
    </row>
    <row r="95" spans="1:8" x14ac:dyDescent="0.2">
      <c r="A95" s="34"/>
      <c r="B95" s="34"/>
      <c r="C95" s="35" t="s">
        <v>98</v>
      </c>
      <c r="D95" s="34"/>
      <c r="E95" s="34"/>
      <c r="F95" s="34"/>
      <c r="G95" s="34"/>
      <c r="H95" s="36" t="s">
        <v>12</v>
      </c>
    </row>
    <row r="96" spans="1:8" x14ac:dyDescent="0.2">
      <c r="A96" s="34"/>
      <c r="B96" s="34"/>
      <c r="C96" s="35" t="s">
        <v>11</v>
      </c>
      <c r="D96" s="34"/>
      <c r="E96" s="34" t="s">
        <v>12</v>
      </c>
      <c r="F96" s="37" t="s">
        <v>13</v>
      </c>
      <c r="G96" s="38">
        <v>0</v>
      </c>
      <c r="H96" s="36" t="s">
        <v>12</v>
      </c>
    </row>
    <row r="97" spans="1:17" x14ac:dyDescent="0.2">
      <c r="A97" s="82"/>
      <c r="B97" s="82"/>
      <c r="C97" s="83"/>
      <c r="D97" s="82"/>
      <c r="E97" s="82"/>
      <c r="F97" s="84"/>
      <c r="G97" s="84"/>
      <c r="H97" s="36" t="s">
        <v>12</v>
      </c>
    </row>
    <row r="98" spans="1:17" ht="25.5" x14ac:dyDescent="0.2">
      <c r="A98" s="82"/>
      <c r="B98" s="82"/>
      <c r="C98" s="70" t="s">
        <v>581</v>
      </c>
      <c r="D98" s="82"/>
      <c r="E98" s="82"/>
      <c r="F98" s="84"/>
      <c r="G98" s="84"/>
      <c r="H98" s="79"/>
      <c r="K98" s="9"/>
      <c r="L98" s="9"/>
      <c r="M98" s="9"/>
      <c r="N98" s="9"/>
      <c r="O98" s="10"/>
      <c r="P98" s="10"/>
      <c r="Q98" s="10"/>
    </row>
    <row r="99" spans="1:17" ht="25.5" x14ac:dyDescent="0.2">
      <c r="A99" s="76">
        <v>1</v>
      </c>
      <c r="B99" s="77" t="s">
        <v>99</v>
      </c>
      <c r="C99" s="77" t="s">
        <v>100</v>
      </c>
      <c r="D99" s="77"/>
      <c r="E99" s="85">
        <v>1043.4449999999999</v>
      </c>
      <c r="F99" s="79">
        <v>113.16963851600001</v>
      </c>
      <c r="G99" s="80">
        <v>2.75816E-3</v>
      </c>
      <c r="H99" s="36"/>
    </row>
    <row r="100" spans="1:17" x14ac:dyDescent="0.2">
      <c r="A100" s="82"/>
      <c r="B100" s="82"/>
      <c r="C100" s="70" t="s">
        <v>11</v>
      </c>
      <c r="D100" s="82"/>
      <c r="E100" s="82" t="s">
        <v>12</v>
      </c>
      <c r="F100" s="86">
        <f>SUM(F99)</f>
        <v>113.16963851600001</v>
      </c>
      <c r="G100" s="31">
        <f>SUM(G99)</f>
        <v>2.75816E-3</v>
      </c>
      <c r="H100" s="36" t="s">
        <v>12</v>
      </c>
    </row>
    <row r="101" spans="1:17" x14ac:dyDescent="0.2">
      <c r="A101" s="34"/>
      <c r="B101" s="34"/>
      <c r="C101" s="39"/>
      <c r="D101" s="34"/>
      <c r="E101" s="34"/>
      <c r="F101" s="40"/>
      <c r="G101" s="40"/>
      <c r="H101" s="36" t="str">
        <f>IFERROR(VLOOKUP(B101,#REF!,12,FALSE),"")</f>
        <v/>
      </c>
    </row>
    <row r="102" spans="1:17" x14ac:dyDescent="0.2">
      <c r="A102" s="34"/>
      <c r="B102" s="34"/>
      <c r="C102" s="35" t="s">
        <v>101</v>
      </c>
      <c r="D102" s="34"/>
      <c r="E102" s="34"/>
      <c r="F102" s="34"/>
      <c r="G102" s="34"/>
      <c r="H102" s="36" t="str">
        <f>IFERROR(VLOOKUP(B102,#REF!,12,FALSE),"")</f>
        <v/>
      </c>
    </row>
    <row r="103" spans="1:17" x14ac:dyDescent="0.2">
      <c r="A103" s="34"/>
      <c r="B103" s="34"/>
      <c r="C103" s="35" t="s">
        <v>102</v>
      </c>
      <c r="D103" s="34"/>
      <c r="E103" s="34"/>
      <c r="F103" s="34"/>
      <c r="G103" s="34"/>
      <c r="H103" s="36" t="str">
        <f>IFERROR(VLOOKUP(B103,#REF!,12,FALSE),"")</f>
        <v/>
      </c>
    </row>
    <row r="104" spans="1:17" x14ac:dyDescent="0.2">
      <c r="A104" s="34"/>
      <c r="B104" s="34"/>
      <c r="C104" s="35" t="s">
        <v>11</v>
      </c>
      <c r="D104" s="34"/>
      <c r="E104" s="34" t="s">
        <v>12</v>
      </c>
      <c r="F104" s="37" t="s">
        <v>13</v>
      </c>
      <c r="G104" s="38">
        <v>0</v>
      </c>
      <c r="H104" s="36" t="str">
        <f>IFERROR(VLOOKUP(B104,#REF!,12,FALSE),"")</f>
        <v/>
      </c>
    </row>
    <row r="105" spans="1:17" x14ac:dyDescent="0.2">
      <c r="A105" s="34"/>
      <c r="B105" s="34"/>
      <c r="C105" s="39"/>
      <c r="D105" s="34"/>
      <c r="E105" s="34"/>
      <c r="F105" s="40"/>
      <c r="G105" s="40"/>
      <c r="H105" s="36" t="str">
        <f>IFERROR(VLOOKUP(B105,#REF!,12,FALSE),"")</f>
        <v/>
      </c>
    </row>
    <row r="106" spans="1:17" ht="25.5" x14ac:dyDescent="0.2">
      <c r="A106" s="34"/>
      <c r="B106" s="34"/>
      <c r="C106" s="35" t="s">
        <v>103</v>
      </c>
      <c r="D106" s="34"/>
      <c r="E106" s="34"/>
      <c r="F106" s="40"/>
      <c r="G106" s="40"/>
      <c r="H106" s="36" t="str">
        <f>IFERROR(VLOOKUP(B106,#REF!,12,FALSE),"")</f>
        <v/>
      </c>
    </row>
    <row r="107" spans="1:17" x14ac:dyDescent="0.2">
      <c r="A107" s="34"/>
      <c r="B107" s="34"/>
      <c r="C107" s="35" t="s">
        <v>11</v>
      </c>
      <c r="D107" s="34"/>
      <c r="E107" s="34" t="s">
        <v>12</v>
      </c>
      <c r="F107" s="37" t="s">
        <v>13</v>
      </c>
      <c r="G107" s="38">
        <v>0</v>
      </c>
      <c r="H107" s="36" t="str">
        <f>IFERROR(VLOOKUP(B107,#REF!,12,FALSE),"")</f>
        <v/>
      </c>
    </row>
    <row r="108" spans="1:17" x14ac:dyDescent="0.2">
      <c r="A108" s="34"/>
      <c r="B108" s="34"/>
      <c r="C108" s="39"/>
      <c r="D108" s="34"/>
      <c r="E108" s="34"/>
      <c r="F108" s="40"/>
      <c r="G108" s="40"/>
      <c r="H108" s="36" t="str">
        <f>IFERROR(VLOOKUP(B108,#REF!,12,FALSE),"")</f>
        <v/>
      </c>
    </row>
    <row r="109" spans="1:17" x14ac:dyDescent="0.2">
      <c r="A109" s="47"/>
      <c r="B109" s="43"/>
      <c r="C109" s="43" t="s">
        <v>104</v>
      </c>
      <c r="D109" s="43"/>
      <c r="E109" s="47"/>
      <c r="F109" s="45">
        <f>531.35233181+0.0000246560001373291</f>
        <v>531.35235646600017</v>
      </c>
      <c r="G109" s="46">
        <v>1.2950059999999999E-2</v>
      </c>
      <c r="H109" s="36" t="str">
        <f>IFERROR(VLOOKUP(B109,#REF!,12,FALSE),"")</f>
        <v/>
      </c>
    </row>
    <row r="110" spans="1:17" x14ac:dyDescent="0.2">
      <c r="A110" s="39"/>
      <c r="B110" s="39"/>
      <c r="C110" s="35" t="s">
        <v>105</v>
      </c>
      <c r="D110" s="40"/>
      <c r="E110" s="40"/>
      <c r="F110" s="41">
        <f>41030.873396324+0.0000246560001373291</f>
        <v>41030.873420980002</v>
      </c>
      <c r="G110" s="48">
        <v>1.00000003</v>
      </c>
      <c r="H110" s="36" t="str">
        <f>IFERROR(VLOOKUP(B110,#REF!,12,FALSE),"")</f>
        <v/>
      </c>
    </row>
    <row r="111" spans="1:17" x14ac:dyDescent="0.2">
      <c r="A111" s="49"/>
      <c r="B111" s="49"/>
      <c r="C111" s="49"/>
      <c r="D111" s="50"/>
      <c r="E111" s="50"/>
      <c r="F111" s="50"/>
      <c r="G111" s="50"/>
    </row>
    <row r="112" spans="1:17" x14ac:dyDescent="0.2">
      <c r="A112" s="51"/>
      <c r="B112" s="158" t="s">
        <v>582</v>
      </c>
      <c r="C112" s="158"/>
      <c r="D112" s="158"/>
      <c r="E112" s="158"/>
      <c r="F112" s="158"/>
      <c r="G112" s="158"/>
      <c r="H112" s="158"/>
    </row>
    <row r="113" spans="1:8" x14ac:dyDescent="0.2">
      <c r="A113" s="51"/>
      <c r="B113" s="158" t="s">
        <v>583</v>
      </c>
      <c r="C113" s="158"/>
      <c r="D113" s="158"/>
      <c r="E113" s="158"/>
      <c r="F113" s="158"/>
      <c r="G113" s="158"/>
      <c r="H113" s="158"/>
    </row>
    <row r="114" spans="1:8" x14ac:dyDescent="0.2">
      <c r="A114" s="51"/>
      <c r="B114" s="158" t="s">
        <v>584</v>
      </c>
      <c r="C114" s="158"/>
      <c r="D114" s="158"/>
      <c r="E114" s="158"/>
      <c r="F114" s="158"/>
      <c r="G114" s="158"/>
      <c r="H114" s="158"/>
    </row>
    <row r="115" spans="1:8" x14ac:dyDescent="0.2">
      <c r="A115" s="51"/>
      <c r="B115" s="51"/>
      <c r="C115" s="51"/>
      <c r="D115" s="52"/>
      <c r="E115" s="52"/>
      <c r="F115" s="52"/>
      <c r="G115" s="52"/>
    </row>
    <row r="116" spans="1:8" x14ac:dyDescent="0.2">
      <c r="A116" s="53"/>
      <c r="B116" s="162" t="s">
        <v>106</v>
      </c>
      <c r="C116" s="163"/>
      <c r="D116" s="164"/>
      <c r="E116" s="54"/>
      <c r="F116" s="55"/>
      <c r="G116" s="55"/>
    </row>
    <row r="117" spans="1:8" ht="25.5" x14ac:dyDescent="0.2">
      <c r="A117" s="53"/>
      <c r="B117" s="165" t="s">
        <v>107</v>
      </c>
      <c r="C117" s="166"/>
      <c r="D117" s="70" t="s">
        <v>608</v>
      </c>
      <c r="E117" s="54"/>
      <c r="F117" s="55"/>
      <c r="G117" s="55"/>
    </row>
    <row r="118" spans="1:8" x14ac:dyDescent="0.2">
      <c r="A118" s="53"/>
      <c r="B118" s="165" t="s">
        <v>109</v>
      </c>
      <c r="C118" s="166"/>
      <c r="D118" s="35" t="s">
        <v>108</v>
      </c>
      <c r="E118" s="54"/>
      <c r="F118" s="55"/>
      <c r="G118" s="55"/>
    </row>
    <row r="119" spans="1:8" x14ac:dyDescent="0.2">
      <c r="A119" s="53"/>
      <c r="B119" s="165" t="s">
        <v>110</v>
      </c>
      <c r="C119" s="166"/>
      <c r="D119" s="40" t="s">
        <v>12</v>
      </c>
      <c r="E119" s="54"/>
      <c r="F119" s="55"/>
      <c r="G119" s="55"/>
    </row>
    <row r="120" spans="1:8" x14ac:dyDescent="0.2">
      <c r="A120" s="56"/>
      <c r="B120" s="57" t="s">
        <v>12</v>
      </c>
      <c r="C120" s="57" t="s">
        <v>585</v>
      </c>
      <c r="D120" s="57" t="s">
        <v>111</v>
      </c>
      <c r="E120" s="56"/>
      <c r="F120" s="56"/>
      <c r="G120" s="56"/>
      <c r="H120" s="58"/>
    </row>
    <row r="121" spans="1:8" x14ac:dyDescent="0.2">
      <c r="A121" s="56"/>
      <c r="B121" s="59" t="s">
        <v>112</v>
      </c>
      <c r="C121" s="60">
        <v>45626</v>
      </c>
      <c r="D121" s="60">
        <v>45657</v>
      </c>
      <c r="E121" s="56"/>
      <c r="F121" s="56"/>
      <c r="G121" s="56"/>
    </row>
    <row r="122" spans="1:8" x14ac:dyDescent="0.2">
      <c r="A122" s="61"/>
      <c r="B122" s="43" t="s">
        <v>113</v>
      </c>
      <c r="C122" s="62">
        <v>3539.3751000000002</v>
      </c>
      <c r="D122" s="62">
        <v>3560.3676</v>
      </c>
      <c r="E122" s="61"/>
      <c r="F122" s="63"/>
      <c r="G122" s="64"/>
    </row>
    <row r="123" spans="1:8" ht="25.5" x14ac:dyDescent="0.2">
      <c r="A123" s="61"/>
      <c r="B123" s="43" t="s">
        <v>705</v>
      </c>
      <c r="C123" s="62">
        <v>1098.2402</v>
      </c>
      <c r="D123" s="62">
        <v>1097.6541</v>
      </c>
      <c r="E123" s="61"/>
      <c r="F123" s="63"/>
      <c r="G123" s="64"/>
    </row>
    <row r="124" spans="1:8" ht="25.5" x14ac:dyDescent="0.2">
      <c r="A124" s="61"/>
      <c r="B124" s="43" t="s">
        <v>706</v>
      </c>
      <c r="C124" s="62">
        <v>1231.6452999999999</v>
      </c>
      <c r="D124" s="62">
        <v>1231.4166</v>
      </c>
      <c r="E124" s="61"/>
      <c r="F124" s="63"/>
      <c r="G124" s="64"/>
    </row>
    <row r="125" spans="1:8" x14ac:dyDescent="0.2">
      <c r="A125" s="61"/>
      <c r="B125" s="43" t="s">
        <v>114</v>
      </c>
      <c r="C125" s="62">
        <v>3315.8845999999999</v>
      </c>
      <c r="D125" s="62">
        <v>3333.4560000000001</v>
      </c>
      <c r="E125" s="61"/>
      <c r="F125" s="63"/>
      <c r="G125" s="64"/>
    </row>
    <row r="126" spans="1:8" x14ac:dyDescent="0.2">
      <c r="A126" s="61"/>
      <c r="B126" s="43" t="s">
        <v>142</v>
      </c>
      <c r="C126" s="62">
        <v>1284.1510000000001</v>
      </c>
      <c r="D126" s="62">
        <v>1290.9556</v>
      </c>
      <c r="E126" s="61"/>
      <c r="F126" s="63"/>
      <c r="G126" s="64"/>
    </row>
    <row r="127" spans="1:8" ht="25.5" x14ac:dyDescent="0.2">
      <c r="A127" s="61"/>
      <c r="B127" s="43" t="s">
        <v>709</v>
      </c>
      <c r="C127" s="62">
        <v>1088.1584</v>
      </c>
      <c r="D127" s="62">
        <v>1087.6216999999999</v>
      </c>
      <c r="E127" s="61"/>
      <c r="F127" s="63"/>
      <c r="G127" s="64"/>
    </row>
    <row r="128" spans="1:8" ht="25.5" x14ac:dyDescent="0.2">
      <c r="A128" s="61"/>
      <c r="B128" s="43" t="s">
        <v>674</v>
      </c>
      <c r="C128" s="62">
        <v>1193.3044</v>
      </c>
      <c r="D128" s="62">
        <v>1192.0992000000001</v>
      </c>
      <c r="E128" s="61"/>
      <c r="F128" s="63"/>
      <c r="G128" s="64"/>
    </row>
    <row r="129" spans="1:15" x14ac:dyDescent="0.2">
      <c r="A129" s="61"/>
      <c r="B129" s="61"/>
      <c r="C129" s="61"/>
      <c r="D129" s="61"/>
      <c r="E129" s="61"/>
      <c r="F129" s="61"/>
      <c r="G129" s="61"/>
    </row>
    <row r="130" spans="1:15" x14ac:dyDescent="0.2">
      <c r="A130" s="61"/>
      <c r="B130" s="165" t="s">
        <v>712</v>
      </c>
      <c r="C130" s="166"/>
      <c r="D130" s="35" t="s">
        <v>12</v>
      </c>
      <c r="E130" s="61"/>
      <c r="F130" s="61"/>
      <c r="G130" s="61"/>
    </row>
    <row r="131" spans="1:15" x14ac:dyDescent="0.2">
      <c r="A131" s="61"/>
      <c r="B131" s="65" t="s">
        <v>112</v>
      </c>
      <c r="C131" s="66" t="s">
        <v>115</v>
      </c>
      <c r="D131" s="66" t="s">
        <v>116</v>
      </c>
      <c r="E131" s="61"/>
      <c r="F131" s="61"/>
      <c r="G131" s="61"/>
    </row>
    <row r="132" spans="1:15" ht="29.1" customHeight="1" x14ac:dyDescent="0.2">
      <c r="A132" s="152"/>
      <c r="B132" s="153" t="s">
        <v>705</v>
      </c>
      <c r="C132" s="154">
        <v>7.0839999999999996</v>
      </c>
      <c r="D132" s="154">
        <v>7.0839999999999996</v>
      </c>
      <c r="E132" s="152"/>
      <c r="F132" s="156"/>
      <c r="G132" s="157"/>
    </row>
    <row r="133" spans="1:15" ht="29.1" customHeight="1" x14ac:dyDescent="0.2">
      <c r="A133" s="152"/>
      <c r="B133" s="153" t="s">
        <v>706</v>
      </c>
      <c r="C133" s="154">
        <v>7.5</v>
      </c>
      <c r="D133" s="154">
        <v>7.5</v>
      </c>
      <c r="E133" s="152"/>
      <c r="F133" s="156"/>
      <c r="G133" s="157"/>
    </row>
    <row r="134" spans="1:15" ht="29.1" customHeight="1" x14ac:dyDescent="0.2">
      <c r="A134" s="152"/>
      <c r="B134" s="153" t="s">
        <v>709</v>
      </c>
      <c r="C134" s="154">
        <v>6.2904999999999998</v>
      </c>
      <c r="D134" s="154">
        <v>6.2904999999999998</v>
      </c>
      <c r="E134" s="152"/>
      <c r="F134" s="156"/>
      <c r="G134" s="157"/>
    </row>
    <row r="135" spans="1:15" ht="29.1" customHeight="1" x14ac:dyDescent="0.2">
      <c r="A135" s="152"/>
      <c r="B135" s="153" t="s">
        <v>674</v>
      </c>
      <c r="C135" s="154">
        <v>7.5</v>
      </c>
      <c r="D135" s="154">
        <v>7.5</v>
      </c>
      <c r="E135" s="152"/>
      <c r="F135" s="156"/>
      <c r="G135" s="157"/>
    </row>
    <row r="136" spans="1:15" x14ac:dyDescent="0.2">
      <c r="A136" s="61"/>
      <c r="B136" s="68"/>
      <c r="C136" s="68"/>
      <c r="D136" s="69"/>
      <c r="E136" s="61"/>
      <c r="F136" s="63"/>
      <c r="G136" s="64"/>
    </row>
    <row r="137" spans="1:15" s="11" customFormat="1" x14ac:dyDescent="0.2">
      <c r="A137" s="100"/>
      <c r="B137" s="159" t="s">
        <v>600</v>
      </c>
      <c r="C137" s="160"/>
      <c r="D137" s="70" t="s">
        <v>108</v>
      </c>
      <c r="G137" s="100"/>
      <c r="I137"/>
      <c r="J137" s="8"/>
      <c r="K137" s="9"/>
      <c r="L137" s="9"/>
      <c r="M137" s="9"/>
      <c r="N137" s="9"/>
      <c r="O137" s="15"/>
    </row>
    <row r="138" spans="1:15" ht="25.5" customHeight="1" x14ac:dyDescent="0.2">
      <c r="A138" s="56"/>
      <c r="B138" s="159" t="s">
        <v>601</v>
      </c>
      <c r="C138" s="160"/>
      <c r="D138" s="70" t="s">
        <v>108</v>
      </c>
      <c r="E138" s="71"/>
      <c r="F138" s="56"/>
      <c r="G138" s="56"/>
      <c r="J138" s="8"/>
    </row>
    <row r="139" spans="1:15" ht="26.25" customHeight="1" x14ac:dyDescent="0.2">
      <c r="A139" s="56"/>
      <c r="B139" s="159" t="s">
        <v>602</v>
      </c>
      <c r="C139" s="160"/>
      <c r="D139" s="70" t="s">
        <v>108</v>
      </c>
      <c r="E139" s="71"/>
      <c r="F139" s="56"/>
      <c r="G139" s="56"/>
      <c r="J139" s="8"/>
    </row>
    <row r="140" spans="1:15" x14ac:dyDescent="0.2">
      <c r="A140" s="56"/>
      <c r="B140" s="159" t="s">
        <v>603</v>
      </c>
      <c r="C140" s="160"/>
      <c r="D140" s="70" t="s">
        <v>108</v>
      </c>
      <c r="E140" s="71"/>
      <c r="F140" s="56"/>
      <c r="G140" s="56"/>
      <c r="J140" s="8"/>
    </row>
    <row r="141" spans="1:15" x14ac:dyDescent="0.2">
      <c r="A141" s="56"/>
      <c r="B141" s="20"/>
      <c r="C141" s="20"/>
      <c r="D141" s="128"/>
      <c r="E141" s="56"/>
      <c r="F141" s="56"/>
      <c r="G141" s="56"/>
      <c r="J141" s="8"/>
    </row>
    <row r="142" spans="1:15" s="11" customFormat="1" x14ac:dyDescent="0.2">
      <c r="B142" s="167" t="s">
        <v>587</v>
      </c>
      <c r="C142" s="168"/>
      <c r="D142" s="169"/>
      <c r="I142"/>
      <c r="J142" s="8"/>
      <c r="K142" s="9"/>
      <c r="L142" s="9"/>
      <c r="M142" s="9"/>
      <c r="N142" s="9"/>
      <c r="O142" s="15"/>
    </row>
    <row r="143" spans="1:15" s="11" customFormat="1" ht="25.5" x14ac:dyDescent="0.2">
      <c r="B143" s="161" t="s">
        <v>588</v>
      </c>
      <c r="C143" s="161"/>
      <c r="D143" s="12" t="s">
        <v>223</v>
      </c>
      <c r="I143"/>
      <c r="J143" s="8"/>
      <c r="K143" s="9"/>
      <c r="L143" s="9"/>
      <c r="M143" s="9"/>
      <c r="N143" s="9"/>
      <c r="O143" s="15"/>
    </row>
    <row r="144" spans="1:15" s="11" customFormat="1" x14ac:dyDescent="0.2">
      <c r="B144" s="171" t="s">
        <v>589</v>
      </c>
      <c r="C144" s="171"/>
      <c r="D144" s="13"/>
      <c r="I144"/>
      <c r="J144" s="8"/>
      <c r="K144" s="9"/>
      <c r="L144" s="9"/>
      <c r="M144" s="9"/>
      <c r="N144" s="9"/>
      <c r="O144" s="15"/>
    </row>
    <row r="145" spans="1:20" s="11" customFormat="1" x14ac:dyDescent="0.2">
      <c r="B145" s="171"/>
      <c r="C145" s="171"/>
      <c r="D145" s="14"/>
      <c r="I145"/>
      <c r="J145" s="8"/>
      <c r="K145" s="9"/>
      <c r="L145" s="9"/>
      <c r="M145" s="9"/>
      <c r="N145" s="9"/>
      <c r="O145" s="15"/>
    </row>
    <row r="146" spans="1:20" s="11" customFormat="1" x14ac:dyDescent="0.2">
      <c r="B146" s="171" t="s">
        <v>590</v>
      </c>
      <c r="C146" s="171"/>
      <c r="D146" s="19">
        <v>7.7653710716488229</v>
      </c>
      <c r="I146"/>
      <c r="J146" s="8"/>
      <c r="K146" s="9"/>
      <c r="L146" s="9"/>
      <c r="M146" s="9"/>
      <c r="N146" s="9"/>
      <c r="O146" s="15"/>
    </row>
    <row r="147" spans="1:20" s="11" customFormat="1" x14ac:dyDescent="0.2">
      <c r="B147" s="171"/>
      <c r="C147" s="171"/>
      <c r="D147" s="14"/>
      <c r="I147"/>
      <c r="J147" s="8"/>
      <c r="K147" s="9"/>
      <c r="L147" s="9"/>
      <c r="M147" s="9"/>
      <c r="N147" s="9"/>
      <c r="O147" s="15"/>
      <c r="P147"/>
      <c r="Q147"/>
    </row>
    <row r="148" spans="1:20" s="11" customFormat="1" x14ac:dyDescent="0.2">
      <c r="B148" s="171" t="s">
        <v>591</v>
      </c>
      <c r="C148" s="171"/>
      <c r="D148" s="19">
        <v>0.92499605330186774</v>
      </c>
      <c r="I148"/>
      <c r="J148" s="8"/>
      <c r="K148" s="9"/>
      <c r="L148" s="9"/>
      <c r="M148" s="9"/>
      <c r="N148" s="9"/>
      <c r="O148" s="15"/>
      <c r="P148"/>
      <c r="Q148"/>
    </row>
    <row r="149" spans="1:20" s="11" customFormat="1" x14ac:dyDescent="0.2">
      <c r="B149" s="171" t="s">
        <v>609</v>
      </c>
      <c r="C149" s="171"/>
      <c r="D149" s="19">
        <v>1.0974354285290266</v>
      </c>
      <c r="I149"/>
      <c r="J149" s="8"/>
      <c r="K149" s="9"/>
      <c r="L149" s="9"/>
      <c r="M149" s="9"/>
      <c r="N149" s="9"/>
      <c r="O149"/>
      <c r="P149"/>
      <c r="Q149"/>
    </row>
    <row r="150" spans="1:20" s="11" customFormat="1" x14ac:dyDescent="0.2">
      <c r="B150" s="171"/>
      <c r="C150" s="171"/>
      <c r="D150" s="14"/>
      <c r="I150"/>
      <c r="J150" s="8"/>
      <c r="K150" s="9"/>
      <c r="L150" s="9"/>
      <c r="M150" s="9"/>
      <c r="N150" s="9"/>
      <c r="O150"/>
      <c r="P150"/>
      <c r="Q150"/>
    </row>
    <row r="151" spans="1:20" s="11" customFormat="1" x14ac:dyDescent="0.2">
      <c r="B151" s="171" t="s">
        <v>593</v>
      </c>
      <c r="C151" s="171"/>
      <c r="D151" s="74" t="s">
        <v>699</v>
      </c>
      <c r="I151"/>
      <c r="J151" s="8"/>
      <c r="K151" s="9"/>
      <c r="L151" s="9"/>
      <c r="M151" s="9"/>
      <c r="N151" s="9"/>
      <c r="O151" s="15"/>
    </row>
    <row r="152" spans="1:20" s="11" customFormat="1" x14ac:dyDescent="0.2">
      <c r="B152" s="172" t="s">
        <v>594</v>
      </c>
      <c r="C152" s="174"/>
      <c r="D152" s="173"/>
      <c r="I152"/>
      <c r="J152" s="8"/>
      <c r="K152" s="9"/>
      <c r="L152" s="9"/>
      <c r="M152" s="9"/>
      <c r="N152" s="9"/>
      <c r="O152"/>
      <c r="P152"/>
      <c r="Q152"/>
      <c r="R152"/>
      <c r="S152"/>
      <c r="T152"/>
    </row>
    <row r="153" spans="1:20" x14ac:dyDescent="0.2">
      <c r="A153" s="72"/>
      <c r="B153" s="72"/>
      <c r="C153" s="72"/>
      <c r="D153" s="72"/>
      <c r="E153" s="72"/>
      <c r="F153" s="72"/>
      <c r="G153" s="72"/>
      <c r="J153" s="8"/>
    </row>
    <row r="154" spans="1:20" s="11" customFormat="1" x14ac:dyDescent="0.2">
      <c r="B154" s="21" t="s">
        <v>700</v>
      </c>
      <c r="C154" s="21"/>
      <c r="D154" s="21"/>
      <c r="E154" s="21"/>
      <c r="F154" s="21"/>
      <c r="G154" s="21"/>
      <c r="H154" s="21"/>
      <c r="I154"/>
      <c r="J154" s="8"/>
      <c r="K154" s="9"/>
      <c r="L154" s="9"/>
      <c r="M154" s="9"/>
      <c r="N154" s="9"/>
      <c r="O154" s="15"/>
    </row>
    <row r="155" spans="1:20" s="11" customFormat="1" x14ac:dyDescent="0.2">
      <c r="B155" s="22"/>
      <c r="C155" s="22"/>
      <c r="D155" s="22"/>
      <c r="E155" s="22"/>
      <c r="F155" s="22"/>
      <c r="G155" s="22"/>
      <c r="H155" s="22"/>
      <c r="I155"/>
      <c r="J155" s="8"/>
      <c r="K155" s="9"/>
      <c r="L155" s="9"/>
      <c r="M155" s="9"/>
      <c r="N155" s="9"/>
      <c r="O155" s="15"/>
    </row>
    <row r="156" spans="1:20" s="11" customFormat="1" ht="63.75" x14ac:dyDescent="0.2">
      <c r="A156" s="129"/>
      <c r="B156" s="23" t="s">
        <v>610</v>
      </c>
      <c r="C156" s="23" t="s">
        <v>611</v>
      </c>
      <c r="D156" s="23" t="s">
        <v>612</v>
      </c>
      <c r="E156" s="23" t="s">
        <v>613</v>
      </c>
      <c r="F156" s="23" t="s">
        <v>614</v>
      </c>
      <c r="G156" s="22"/>
      <c r="H156" s="22"/>
      <c r="I156"/>
      <c r="J156" s="8"/>
      <c r="K156" s="9"/>
      <c r="L156" s="9"/>
      <c r="M156" s="9"/>
      <c r="N156" s="9"/>
      <c r="O156" s="15"/>
    </row>
    <row r="157" spans="1:20" s="11" customFormat="1" x14ac:dyDescent="0.2">
      <c r="A157" s="130"/>
      <c r="B157" s="24" t="s">
        <v>615</v>
      </c>
      <c r="C157" s="24" t="s">
        <v>616</v>
      </c>
      <c r="D157" s="25">
        <v>0</v>
      </c>
      <c r="E157" s="26">
        <v>0</v>
      </c>
      <c r="F157" s="27">
        <v>300</v>
      </c>
      <c r="G157" s="22"/>
      <c r="H157" s="22"/>
      <c r="I157"/>
      <c r="J157" s="8"/>
      <c r="K157" s="9"/>
      <c r="L157" s="9"/>
      <c r="M157" s="9"/>
      <c r="N157" s="9"/>
      <c r="O157" s="15"/>
    </row>
    <row r="158" spans="1:20" s="11" customFormat="1" x14ac:dyDescent="0.2">
      <c r="A158" s="131"/>
      <c r="B158" s="131"/>
      <c r="C158" s="131"/>
      <c r="D158" s="131"/>
      <c r="E158" s="131"/>
      <c r="F158" s="131"/>
      <c r="G158" s="131"/>
      <c r="I158"/>
      <c r="J158" s="8"/>
      <c r="K158" s="9"/>
      <c r="L158" s="9"/>
      <c r="M158" s="9"/>
      <c r="N158" s="9"/>
      <c r="O158" s="15"/>
    </row>
    <row r="159" spans="1:20" ht="13.5" x14ac:dyDescent="0.25">
      <c r="B159" s="94" t="s">
        <v>617</v>
      </c>
      <c r="C159" s="94" t="s">
        <v>618</v>
      </c>
      <c r="D159" s="179" t="s">
        <v>612</v>
      </c>
      <c r="E159" s="179"/>
      <c r="F159" s="179"/>
      <c r="G159" s="180" t="s">
        <v>613</v>
      </c>
      <c r="H159" s="180"/>
      <c r="J159" s="8"/>
      <c r="K159" s="9"/>
      <c r="L159" s="9"/>
      <c r="M159" s="9"/>
      <c r="N159" s="9"/>
      <c r="P159" s="9"/>
    </row>
    <row r="160" spans="1:20" ht="27" x14ac:dyDescent="0.25">
      <c r="B160" s="93" t="s">
        <v>619</v>
      </c>
      <c r="C160" s="92" t="s">
        <v>620</v>
      </c>
      <c r="D160" s="181">
        <v>0</v>
      </c>
      <c r="E160" s="181"/>
      <c r="F160" s="181"/>
      <c r="G160" s="181">
        <v>0</v>
      </c>
      <c r="H160" s="181"/>
      <c r="J160" s="8"/>
      <c r="K160" s="9"/>
      <c r="L160" s="9"/>
      <c r="M160" s="9"/>
      <c r="N160" s="9"/>
      <c r="P160" s="9"/>
    </row>
    <row r="161" spans="2:16" ht="27" x14ac:dyDescent="0.25">
      <c r="B161" s="93" t="s">
        <v>621</v>
      </c>
      <c r="C161" s="92" t="s">
        <v>622</v>
      </c>
      <c r="D161" s="181">
        <v>0</v>
      </c>
      <c r="E161" s="181"/>
      <c r="F161" s="181"/>
      <c r="G161" s="181">
        <v>0</v>
      </c>
      <c r="H161" s="181"/>
      <c r="J161" s="8"/>
      <c r="K161" s="9"/>
      <c r="L161" s="9"/>
      <c r="M161" s="9"/>
      <c r="N161" s="9"/>
      <c r="P161" s="9"/>
    </row>
    <row r="162" spans="2:16" ht="27" x14ac:dyDescent="0.25">
      <c r="B162" s="93" t="s">
        <v>623</v>
      </c>
      <c r="C162" s="92" t="s">
        <v>624</v>
      </c>
      <c r="D162" s="181">
        <v>0</v>
      </c>
      <c r="E162" s="181"/>
      <c r="F162" s="181"/>
      <c r="G162" s="181">
        <v>0</v>
      </c>
      <c r="H162" s="181"/>
      <c r="J162" s="8"/>
      <c r="K162" s="9"/>
      <c r="L162" s="9"/>
      <c r="M162" s="9"/>
      <c r="N162" s="9"/>
      <c r="P162" s="9"/>
    </row>
    <row r="163" spans="2:16" ht="13.5" x14ac:dyDescent="0.25">
      <c r="B163" s="93"/>
      <c r="C163" s="93"/>
      <c r="D163" s="182"/>
      <c r="E163" s="182"/>
      <c r="F163" s="182"/>
      <c r="G163" s="182"/>
      <c r="H163" s="182"/>
      <c r="J163" s="8"/>
      <c r="K163" s="9"/>
      <c r="L163" s="9"/>
      <c r="M163" s="9"/>
      <c r="N163" s="9"/>
      <c r="P163" s="9"/>
    </row>
    <row r="164" spans="2:16" ht="13.5" x14ac:dyDescent="0.25">
      <c r="B164" s="180" t="s">
        <v>625</v>
      </c>
      <c r="C164" s="180"/>
      <c r="D164" s="180"/>
      <c r="E164" s="180"/>
      <c r="F164" s="180"/>
      <c r="G164" s="180"/>
      <c r="H164" s="180"/>
      <c r="J164" s="8"/>
      <c r="K164" s="9"/>
      <c r="L164" s="9"/>
      <c r="M164" s="9"/>
      <c r="N164" s="9"/>
      <c r="P164" s="9"/>
    </row>
    <row r="165" spans="2:16" ht="13.5" customHeight="1" x14ac:dyDescent="0.2">
      <c r="B165" s="185" t="s">
        <v>617</v>
      </c>
      <c r="C165" s="185" t="s">
        <v>618</v>
      </c>
      <c r="D165" s="185" t="s">
        <v>626</v>
      </c>
      <c r="E165" s="185"/>
      <c r="F165" s="185"/>
      <c r="G165" s="185"/>
      <c r="H165" s="186" t="s">
        <v>627</v>
      </c>
      <c r="I165" s="186" t="s">
        <v>628</v>
      </c>
      <c r="J165" s="183" t="s">
        <v>629</v>
      </c>
      <c r="K165" s="9"/>
      <c r="L165" s="9"/>
      <c r="M165" s="9"/>
      <c r="N165" s="9"/>
      <c r="O165" s="9"/>
      <c r="P165" s="9"/>
    </row>
    <row r="166" spans="2:16" ht="94.5" customHeight="1" x14ac:dyDescent="0.2">
      <c r="B166" s="185"/>
      <c r="C166" s="185"/>
      <c r="D166" s="89" t="s">
        <v>630</v>
      </c>
      <c r="E166" s="89" t="s">
        <v>631</v>
      </c>
      <c r="F166" s="89" t="s">
        <v>632</v>
      </c>
      <c r="G166" s="89" t="s">
        <v>633</v>
      </c>
      <c r="H166" s="186"/>
      <c r="I166" s="186"/>
      <c r="J166" s="184"/>
      <c r="K166" s="9"/>
      <c r="L166" s="9"/>
      <c r="M166" s="9"/>
      <c r="N166" s="9"/>
      <c r="O166" s="9"/>
      <c r="P166" s="9"/>
    </row>
    <row r="167" spans="2:16" ht="27" x14ac:dyDescent="0.25">
      <c r="B167" s="93" t="s">
        <v>619</v>
      </c>
      <c r="C167" s="92" t="s">
        <v>620</v>
      </c>
      <c r="D167" s="95">
        <v>1500</v>
      </c>
      <c r="E167" s="95">
        <v>99.850684900000005</v>
      </c>
      <c r="F167" s="120">
        <v>36.275342200000004</v>
      </c>
      <c r="G167" s="121">
        <v>1636.1260271000001</v>
      </c>
      <c r="H167" s="28">
        <v>726.67232000000001</v>
      </c>
      <c r="I167" s="28">
        <f>1250521/10^5</f>
        <v>12.50521</v>
      </c>
      <c r="J167" s="28">
        <f>H167+I167</f>
        <v>739.17753000000005</v>
      </c>
      <c r="K167" s="9"/>
      <c r="L167" s="9"/>
      <c r="M167" s="9"/>
      <c r="N167" s="9"/>
      <c r="O167" s="9"/>
      <c r="P167" s="9"/>
    </row>
    <row r="168" spans="2:16" ht="27" x14ac:dyDescent="0.25">
      <c r="B168" s="93" t="s">
        <v>621</v>
      </c>
      <c r="C168" s="92" t="s">
        <v>622</v>
      </c>
      <c r="D168" s="95">
        <v>2517.2199999999998</v>
      </c>
      <c r="E168" s="95">
        <v>183.25361600000002</v>
      </c>
      <c r="F168" s="120">
        <v>45.813405699999997</v>
      </c>
      <c r="G168" s="121">
        <v>2746.2870217</v>
      </c>
      <c r="H168" s="28">
        <v>1225.53333</v>
      </c>
      <c r="I168" s="28">
        <f>2109013/10^5</f>
        <v>21.090129999999998</v>
      </c>
      <c r="J168" s="28">
        <f>H168+I168</f>
        <v>1246.62346</v>
      </c>
      <c r="K168" s="9"/>
      <c r="L168" s="9"/>
      <c r="M168" s="9"/>
      <c r="N168" s="9"/>
      <c r="O168" s="9"/>
      <c r="P168" s="9"/>
    </row>
    <row r="169" spans="2:16" ht="27" x14ac:dyDescent="0.25">
      <c r="B169" s="93" t="s">
        <v>623</v>
      </c>
      <c r="C169" s="92" t="s">
        <v>624</v>
      </c>
      <c r="D169" s="95">
        <v>4882.25</v>
      </c>
      <c r="E169" s="95">
        <v>323.21163799999999</v>
      </c>
      <c r="F169" s="120">
        <v>117.42144879999999</v>
      </c>
      <c r="G169" s="121">
        <v>5322.8830868000005</v>
      </c>
      <c r="H169" s="28">
        <v>2364.0489899999998</v>
      </c>
      <c r="I169" s="28">
        <f>4068280/10^5</f>
        <v>40.6828</v>
      </c>
      <c r="J169" s="28">
        <f>H169+I169</f>
        <v>2404.7317899999998</v>
      </c>
      <c r="K169" s="9"/>
      <c r="L169" s="9"/>
      <c r="M169" s="9"/>
      <c r="N169" s="9"/>
      <c r="O169" s="9"/>
      <c r="P169" s="9"/>
    </row>
    <row r="170" spans="2:16" x14ac:dyDescent="0.2">
      <c r="I170" s="9"/>
      <c r="J170" s="8"/>
      <c r="K170" s="9"/>
      <c r="L170" s="9"/>
      <c r="M170" s="9"/>
      <c r="N170" s="9"/>
      <c r="O170" s="9"/>
      <c r="P170" s="9"/>
    </row>
    <row r="171" spans="2:16" x14ac:dyDescent="0.2">
      <c r="I171" s="9"/>
      <c r="J171" s="8"/>
      <c r="K171" s="9"/>
      <c r="L171" s="9"/>
      <c r="M171" s="9"/>
      <c r="N171" s="9"/>
      <c r="O171" s="9"/>
      <c r="P171" s="9"/>
    </row>
    <row r="172" spans="2:16" ht="13.5" x14ac:dyDescent="0.25">
      <c r="B172" s="98" t="s">
        <v>634</v>
      </c>
      <c r="I172" s="9"/>
      <c r="J172" s="8"/>
      <c r="K172" s="9"/>
      <c r="L172" s="9"/>
      <c r="M172" s="9"/>
      <c r="N172" s="9"/>
      <c r="O172" s="9"/>
      <c r="P172" s="9"/>
    </row>
    <row r="173" spans="2:16" x14ac:dyDescent="0.2">
      <c r="B173" s="9"/>
      <c r="C173" s="9"/>
      <c r="D173" s="9"/>
      <c r="E173" s="9"/>
      <c r="F173" s="9"/>
      <c r="G173" s="9"/>
      <c r="H173" s="9"/>
      <c r="I173" s="9"/>
      <c r="J173" s="8"/>
      <c r="K173" s="9"/>
      <c r="L173" s="9"/>
      <c r="M173" s="9"/>
      <c r="N173" s="9"/>
      <c r="O173" s="9"/>
      <c r="P173" s="9"/>
    </row>
    <row r="174" spans="2:16" x14ac:dyDescent="0.2">
      <c r="B174" s="99" t="s">
        <v>635</v>
      </c>
      <c r="C174" s="9"/>
      <c r="D174" s="9"/>
      <c r="E174" s="9"/>
      <c r="F174" s="9"/>
      <c r="G174" s="9"/>
      <c r="H174" s="9"/>
      <c r="I174" s="9"/>
      <c r="J174" s="8"/>
      <c r="K174" s="9"/>
      <c r="L174" s="9"/>
      <c r="M174" s="9"/>
      <c r="N174" s="9"/>
      <c r="O174" s="9"/>
      <c r="P174" s="9"/>
    </row>
    <row r="175" spans="2:16" x14ac:dyDescent="0.2">
      <c r="B175" s="9"/>
      <c r="C175" s="9"/>
      <c r="D175" s="9"/>
      <c r="E175" s="9"/>
      <c r="F175" s="9"/>
      <c r="G175" s="9"/>
      <c r="H175" s="9"/>
      <c r="I175" s="9"/>
      <c r="J175" s="8"/>
      <c r="K175" s="9"/>
      <c r="L175" s="9"/>
      <c r="M175" s="9"/>
      <c r="N175" s="9"/>
      <c r="O175" s="9"/>
      <c r="P175" s="9"/>
    </row>
    <row r="176" spans="2:16" x14ac:dyDescent="0.2">
      <c r="B176" s="99" t="s">
        <v>636</v>
      </c>
      <c r="C176" s="9"/>
      <c r="D176" s="9"/>
      <c r="E176" s="9"/>
      <c r="F176" s="9"/>
      <c r="G176" s="9"/>
      <c r="H176" s="9"/>
      <c r="I176" s="9"/>
      <c r="J176" s="8"/>
      <c r="K176" s="9"/>
      <c r="L176" s="9"/>
      <c r="M176" s="9"/>
      <c r="N176" s="9"/>
      <c r="O176" s="9"/>
      <c r="P176" s="9"/>
    </row>
    <row r="177" spans="2:15" x14ac:dyDescent="0.2">
      <c r="J177" s="8"/>
    </row>
    <row r="178" spans="2:15" x14ac:dyDescent="0.2">
      <c r="B178" s="99" t="s">
        <v>637</v>
      </c>
      <c r="J178" s="8"/>
      <c r="K178" s="9"/>
      <c r="L178" s="9"/>
      <c r="M178" s="9"/>
      <c r="N178" s="9"/>
      <c r="O178" s="9"/>
    </row>
    <row r="179" spans="2:15" x14ac:dyDescent="0.2">
      <c r="J179" s="8"/>
    </row>
    <row r="180" spans="2:15" ht="25.5" x14ac:dyDescent="0.2">
      <c r="B180" s="16" t="s">
        <v>595</v>
      </c>
    </row>
    <row r="182" spans="2:15" ht="153.75" customHeight="1" x14ac:dyDescent="0.2"/>
    <row r="185" spans="2:15" x14ac:dyDescent="0.2">
      <c r="B185" s="17" t="s">
        <v>596</v>
      </c>
      <c r="C185" s="18"/>
      <c r="D185" s="17" t="s">
        <v>597</v>
      </c>
    </row>
    <row r="186" spans="2:15" x14ac:dyDescent="0.2">
      <c r="B186" s="17" t="s">
        <v>638</v>
      </c>
      <c r="D186" s="17" t="s">
        <v>639</v>
      </c>
    </row>
    <row r="187" spans="2:15" ht="165" customHeight="1" x14ac:dyDescent="0.2"/>
    <row r="189" spans="2:15" x14ac:dyDescent="0.2">
      <c r="J189" s="8"/>
    </row>
  </sheetData>
  <mergeCells count="43">
    <mergeCell ref="J165:J166"/>
    <mergeCell ref="B165:B166"/>
    <mergeCell ref="C165:C166"/>
    <mergeCell ref="D165:G165"/>
    <mergeCell ref="H165:H166"/>
    <mergeCell ref="I165:I166"/>
    <mergeCell ref="D162:F162"/>
    <mergeCell ref="G162:H162"/>
    <mergeCell ref="D163:F163"/>
    <mergeCell ref="G163:H163"/>
    <mergeCell ref="B164:H164"/>
    <mergeCell ref="D159:F159"/>
    <mergeCell ref="G159:H159"/>
    <mergeCell ref="D160:F160"/>
    <mergeCell ref="G160:H160"/>
    <mergeCell ref="D161:F161"/>
    <mergeCell ref="G161:H161"/>
    <mergeCell ref="B148:C148"/>
    <mergeCell ref="B149:C149"/>
    <mergeCell ref="B150:C150"/>
    <mergeCell ref="B151:C151"/>
    <mergeCell ref="B152:D152"/>
    <mergeCell ref="B143:C143"/>
    <mergeCell ref="B144:C144"/>
    <mergeCell ref="B145:C145"/>
    <mergeCell ref="B146:C146"/>
    <mergeCell ref="B147:C147"/>
    <mergeCell ref="A1:H1"/>
    <mergeCell ref="A2:H2"/>
    <mergeCell ref="A3:H3"/>
    <mergeCell ref="B112:H112"/>
    <mergeCell ref="B113:H113"/>
    <mergeCell ref="B142:D142"/>
    <mergeCell ref="B114:H114"/>
    <mergeCell ref="B139:C139"/>
    <mergeCell ref="B140:C140"/>
    <mergeCell ref="B116:D116"/>
    <mergeCell ref="B117:C117"/>
    <mergeCell ref="B118:C118"/>
    <mergeCell ref="B119:C119"/>
    <mergeCell ref="B130:C130"/>
    <mergeCell ref="B138:C138"/>
    <mergeCell ref="B137:C137"/>
  </mergeCells>
  <hyperlinks>
    <hyperlink ref="I1" location="Index!B2" display="Index" xr:uid="{1711663B-795E-4E73-9F5B-251B03DDC22B}"/>
    <hyperlink ref="B174" r:id="rId1" xr:uid="{CF304E08-527D-4F3C-9763-E17F33870387}"/>
    <hyperlink ref="B176" r:id="rId2" xr:uid="{90C567B8-63D8-44FC-8999-8B381BA80933}"/>
    <hyperlink ref="B178" r:id="rId3" xr:uid="{172A9413-2473-4EF8-9322-425A66BB6D7B}"/>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D21C0-82FC-42E8-9BF3-45225EF78715}">
  <sheetPr>
    <outlinePr summaryBelow="0" summaryRight="0"/>
  </sheetPr>
  <dimension ref="A1:R208"/>
  <sheetViews>
    <sheetView showGridLines="0" workbookViewId="0">
      <selection sqref="A1:H1"/>
    </sheetView>
  </sheetViews>
  <sheetFormatPr defaultRowHeight="12.75" x14ac:dyDescent="0.2"/>
  <cols>
    <col min="1" max="1" width="5.85546875" bestFit="1" customWidth="1"/>
    <col min="2" max="2" width="20.28515625" bestFit="1" customWidth="1"/>
    <col min="3" max="3" width="33.85546875" bestFit="1" customWidth="1"/>
    <col min="4" max="4" width="10.7109375" bestFit="1" customWidth="1"/>
    <col min="5" max="5" width="10.42578125" bestFit="1" customWidth="1"/>
    <col min="6" max="6" width="10.140625" bestFit="1" customWidth="1"/>
    <col min="7" max="7" width="14" bestFit="1" customWidth="1"/>
    <col min="8" max="8" width="8" customWidth="1"/>
    <col min="9" max="9" width="7.28515625" customWidth="1"/>
  </cols>
  <sheetData>
    <row r="1" spans="1:9" ht="15" x14ac:dyDescent="0.2">
      <c r="A1" s="170" t="s">
        <v>0</v>
      </c>
      <c r="B1" s="170"/>
      <c r="C1" s="170"/>
      <c r="D1" s="170"/>
      <c r="E1" s="170"/>
      <c r="F1" s="170"/>
      <c r="G1" s="170"/>
      <c r="H1" s="170"/>
      <c r="I1" s="7" t="s">
        <v>579</v>
      </c>
    </row>
    <row r="2" spans="1:9" ht="15" x14ac:dyDescent="0.2">
      <c r="A2" s="170" t="s">
        <v>275</v>
      </c>
      <c r="B2" s="170"/>
      <c r="C2" s="170"/>
      <c r="D2" s="170"/>
      <c r="E2" s="170"/>
      <c r="F2" s="170"/>
      <c r="G2" s="170"/>
      <c r="H2" s="170"/>
    </row>
    <row r="3" spans="1:9" ht="15" customHeight="1" x14ac:dyDescent="0.2">
      <c r="A3" s="170" t="s">
        <v>715</v>
      </c>
      <c r="B3" s="170"/>
      <c r="C3" s="170"/>
      <c r="D3" s="170"/>
      <c r="E3" s="170"/>
      <c r="F3" s="170"/>
      <c r="G3" s="170"/>
      <c r="H3" s="170"/>
    </row>
    <row r="4" spans="1:9" s="8" customFormat="1" ht="30" x14ac:dyDescent="0.2">
      <c r="A4" s="32" t="s">
        <v>2</v>
      </c>
      <c r="B4" s="32" t="s">
        <v>3</v>
      </c>
      <c r="C4" s="32" t="s">
        <v>4</v>
      </c>
      <c r="D4" s="32" t="s">
        <v>5</v>
      </c>
      <c r="E4" s="32" t="s">
        <v>6</v>
      </c>
      <c r="F4" s="32" t="s">
        <v>7</v>
      </c>
      <c r="G4" s="32" t="s">
        <v>8</v>
      </c>
      <c r="H4" s="33" t="s">
        <v>704</v>
      </c>
    </row>
    <row r="5" spans="1:9" x14ac:dyDescent="0.2">
      <c r="A5" s="34"/>
      <c r="B5" s="34"/>
      <c r="C5" s="35" t="s">
        <v>9</v>
      </c>
      <c r="D5" s="34"/>
      <c r="E5" s="34"/>
      <c r="F5" s="34"/>
      <c r="G5" s="34"/>
      <c r="H5" s="36" t="s">
        <v>12</v>
      </c>
    </row>
    <row r="6" spans="1:9" ht="25.5" x14ac:dyDescent="0.2">
      <c r="A6" s="34"/>
      <c r="B6" s="34"/>
      <c r="C6" s="35" t="s">
        <v>10</v>
      </c>
      <c r="D6" s="34"/>
      <c r="E6" s="34"/>
      <c r="F6" s="34"/>
      <c r="G6" s="34"/>
      <c r="H6" s="36" t="s">
        <v>12</v>
      </c>
    </row>
    <row r="7" spans="1:9" x14ac:dyDescent="0.2">
      <c r="A7" s="34"/>
      <c r="B7" s="34"/>
      <c r="C7" s="35" t="s">
        <v>11</v>
      </c>
      <c r="D7" s="34"/>
      <c r="E7" s="34" t="s">
        <v>12</v>
      </c>
      <c r="F7" s="37" t="s">
        <v>13</v>
      </c>
      <c r="G7" s="38">
        <v>0</v>
      </c>
      <c r="H7" s="36" t="s">
        <v>12</v>
      </c>
    </row>
    <row r="8" spans="1:9" x14ac:dyDescent="0.2">
      <c r="A8" s="34"/>
      <c r="B8" s="34"/>
      <c r="C8" s="39"/>
      <c r="D8" s="34"/>
      <c r="E8" s="34"/>
      <c r="F8" s="40"/>
      <c r="G8" s="40"/>
      <c r="H8" s="36" t="s">
        <v>12</v>
      </c>
    </row>
    <row r="9" spans="1:9" x14ac:dyDescent="0.2">
      <c r="A9" s="34"/>
      <c r="B9" s="34"/>
      <c r="C9" s="35" t="s">
        <v>14</v>
      </c>
      <c r="D9" s="34"/>
      <c r="E9" s="34"/>
      <c r="F9" s="34"/>
      <c r="G9" s="34"/>
      <c r="H9" s="36" t="s">
        <v>12</v>
      </c>
    </row>
    <row r="10" spans="1:9" x14ac:dyDescent="0.2">
      <c r="A10" s="34"/>
      <c r="B10" s="34"/>
      <c r="C10" s="35" t="s">
        <v>11</v>
      </c>
      <c r="D10" s="34"/>
      <c r="E10" s="34" t="s">
        <v>12</v>
      </c>
      <c r="F10" s="37" t="s">
        <v>13</v>
      </c>
      <c r="G10" s="38">
        <v>0</v>
      </c>
      <c r="H10" s="36" t="s">
        <v>12</v>
      </c>
    </row>
    <row r="11" spans="1:9" x14ac:dyDescent="0.2">
      <c r="A11" s="34"/>
      <c r="B11" s="34"/>
      <c r="C11" s="39"/>
      <c r="D11" s="34"/>
      <c r="E11" s="34"/>
      <c r="F11" s="40"/>
      <c r="G11" s="40"/>
      <c r="H11" s="36" t="s">
        <v>12</v>
      </c>
    </row>
    <row r="12" spans="1:9" x14ac:dyDescent="0.2">
      <c r="A12" s="34"/>
      <c r="B12" s="34"/>
      <c r="C12" s="35" t="s">
        <v>15</v>
      </c>
      <c r="D12" s="34"/>
      <c r="E12" s="34"/>
      <c r="F12" s="34"/>
      <c r="G12" s="34"/>
      <c r="H12" s="36" t="s">
        <v>12</v>
      </c>
    </row>
    <row r="13" spans="1:9" x14ac:dyDescent="0.2">
      <c r="A13" s="34"/>
      <c r="B13" s="34"/>
      <c r="C13" s="35" t="s">
        <v>11</v>
      </c>
      <c r="D13" s="34"/>
      <c r="E13" s="34" t="s">
        <v>12</v>
      </c>
      <c r="F13" s="37" t="s">
        <v>13</v>
      </c>
      <c r="G13" s="38">
        <v>0</v>
      </c>
      <c r="H13" s="36" t="s">
        <v>12</v>
      </c>
    </row>
    <row r="14" spans="1:9" x14ac:dyDescent="0.2">
      <c r="A14" s="34"/>
      <c r="B14" s="34"/>
      <c r="C14" s="39"/>
      <c r="D14" s="34"/>
      <c r="E14" s="34"/>
      <c r="F14" s="40"/>
      <c r="G14" s="40"/>
      <c r="H14" s="36" t="s">
        <v>12</v>
      </c>
    </row>
    <row r="15" spans="1:9" x14ac:dyDescent="0.2">
      <c r="A15" s="34"/>
      <c r="B15" s="34"/>
      <c r="C15" s="35" t="s">
        <v>16</v>
      </c>
      <c r="D15" s="34"/>
      <c r="E15" s="34"/>
      <c r="F15" s="34"/>
      <c r="G15" s="34"/>
      <c r="H15" s="36" t="s">
        <v>12</v>
      </c>
    </row>
    <row r="16" spans="1:9" x14ac:dyDescent="0.2">
      <c r="A16" s="34"/>
      <c r="B16" s="34"/>
      <c r="C16" s="35" t="s">
        <v>11</v>
      </c>
      <c r="D16" s="34"/>
      <c r="E16" s="34" t="s">
        <v>12</v>
      </c>
      <c r="F16" s="37" t="s">
        <v>13</v>
      </c>
      <c r="G16" s="38">
        <v>0</v>
      </c>
      <c r="H16" s="36" t="s">
        <v>12</v>
      </c>
    </row>
    <row r="17" spans="1:8" x14ac:dyDescent="0.2">
      <c r="A17" s="34"/>
      <c r="B17" s="34"/>
      <c r="C17" s="39"/>
      <c r="D17" s="34"/>
      <c r="E17" s="34"/>
      <c r="F17" s="40"/>
      <c r="G17" s="40"/>
      <c r="H17" s="36" t="s">
        <v>12</v>
      </c>
    </row>
    <row r="18" spans="1:8" x14ac:dyDescent="0.2">
      <c r="A18" s="34"/>
      <c r="B18" s="34"/>
      <c r="C18" s="35" t="s">
        <v>17</v>
      </c>
      <c r="D18" s="34"/>
      <c r="E18" s="34"/>
      <c r="F18" s="40"/>
      <c r="G18" s="40"/>
      <c r="H18" s="36" t="s">
        <v>12</v>
      </c>
    </row>
    <row r="19" spans="1:8" x14ac:dyDescent="0.2">
      <c r="A19" s="34"/>
      <c r="B19" s="34"/>
      <c r="C19" s="35" t="s">
        <v>11</v>
      </c>
      <c r="D19" s="34"/>
      <c r="E19" s="34" t="s">
        <v>12</v>
      </c>
      <c r="F19" s="37" t="s">
        <v>13</v>
      </c>
      <c r="G19" s="38">
        <v>0</v>
      </c>
      <c r="H19" s="36" t="s">
        <v>12</v>
      </c>
    </row>
    <row r="20" spans="1:8" x14ac:dyDescent="0.2">
      <c r="A20" s="34"/>
      <c r="B20" s="34"/>
      <c r="C20" s="39"/>
      <c r="D20" s="34"/>
      <c r="E20" s="34"/>
      <c r="F20" s="40"/>
      <c r="G20" s="40"/>
      <c r="H20" s="36" t="s">
        <v>12</v>
      </c>
    </row>
    <row r="21" spans="1:8" x14ac:dyDescent="0.2">
      <c r="A21" s="34"/>
      <c r="B21" s="34"/>
      <c r="C21" s="35" t="s">
        <v>18</v>
      </c>
      <c r="D21" s="34"/>
      <c r="E21" s="34"/>
      <c r="F21" s="40"/>
      <c r="G21" s="40"/>
      <c r="H21" s="36" t="s">
        <v>12</v>
      </c>
    </row>
    <row r="22" spans="1:8" x14ac:dyDescent="0.2">
      <c r="A22" s="34"/>
      <c r="B22" s="34"/>
      <c r="C22" s="35" t="s">
        <v>11</v>
      </c>
      <c r="D22" s="34"/>
      <c r="E22" s="34" t="s">
        <v>12</v>
      </c>
      <c r="F22" s="37" t="s">
        <v>13</v>
      </c>
      <c r="G22" s="38">
        <v>0</v>
      </c>
      <c r="H22" s="36" t="s">
        <v>12</v>
      </c>
    </row>
    <row r="23" spans="1:8" x14ac:dyDescent="0.2">
      <c r="A23" s="34"/>
      <c r="B23" s="34"/>
      <c r="C23" s="39"/>
      <c r="D23" s="34"/>
      <c r="E23" s="34"/>
      <c r="F23" s="40"/>
      <c r="G23" s="40"/>
      <c r="H23" s="36" t="s">
        <v>12</v>
      </c>
    </row>
    <row r="24" spans="1:8" x14ac:dyDescent="0.2">
      <c r="A24" s="34"/>
      <c r="B24" s="34"/>
      <c r="C24" s="35" t="s">
        <v>19</v>
      </c>
      <c r="D24" s="34"/>
      <c r="E24" s="34"/>
      <c r="F24" s="41">
        <v>0</v>
      </c>
      <c r="G24" s="38">
        <v>0</v>
      </c>
      <c r="H24" s="36" t="s">
        <v>12</v>
      </c>
    </row>
    <row r="25" spans="1:8" x14ac:dyDescent="0.2">
      <c r="A25" s="34"/>
      <c r="B25" s="34"/>
      <c r="C25" s="39"/>
      <c r="D25" s="34"/>
      <c r="E25" s="34"/>
      <c r="F25" s="40"/>
      <c r="G25" s="40"/>
      <c r="H25" s="36" t="s">
        <v>12</v>
      </c>
    </row>
    <row r="26" spans="1:8" x14ac:dyDescent="0.2">
      <c r="A26" s="34"/>
      <c r="B26" s="34"/>
      <c r="C26" s="35" t="s">
        <v>20</v>
      </c>
      <c r="D26" s="34"/>
      <c r="E26" s="34"/>
      <c r="F26" s="40"/>
      <c r="G26" s="40"/>
      <c r="H26" s="36" t="s">
        <v>12</v>
      </c>
    </row>
    <row r="27" spans="1:8" ht="25.5" x14ac:dyDescent="0.2">
      <c r="A27" s="34"/>
      <c r="B27" s="34"/>
      <c r="C27" s="35" t="s">
        <v>10</v>
      </c>
      <c r="D27" s="34"/>
      <c r="E27" s="34"/>
      <c r="F27" s="40"/>
      <c r="G27" s="40"/>
      <c r="H27" s="36" t="s">
        <v>12</v>
      </c>
    </row>
    <row r="28" spans="1:8" ht="25.5" x14ac:dyDescent="0.2">
      <c r="A28" s="42">
        <v>1</v>
      </c>
      <c r="B28" s="43" t="s">
        <v>276</v>
      </c>
      <c r="C28" s="43" t="s">
        <v>277</v>
      </c>
      <c r="D28" s="43" t="s">
        <v>23</v>
      </c>
      <c r="E28" s="44">
        <v>750</v>
      </c>
      <c r="F28" s="45">
        <v>7492.8074999999999</v>
      </c>
      <c r="G28" s="46">
        <v>1.260174E-2</v>
      </c>
      <c r="H28" s="36">
        <v>7.4850000000000003</v>
      </c>
    </row>
    <row r="29" spans="1:8" x14ac:dyDescent="0.2">
      <c r="A29" s="42">
        <v>2</v>
      </c>
      <c r="B29" s="43" t="s">
        <v>278</v>
      </c>
      <c r="C29" s="43" t="s">
        <v>279</v>
      </c>
      <c r="D29" s="43" t="s">
        <v>23</v>
      </c>
      <c r="E29" s="44">
        <v>1000</v>
      </c>
      <c r="F29" s="45">
        <v>5000.47</v>
      </c>
      <c r="G29" s="46">
        <v>8.4100200000000007E-3</v>
      </c>
      <c r="H29" s="36">
        <v>7.64</v>
      </c>
    </row>
    <row r="30" spans="1:8" ht="25.5" x14ac:dyDescent="0.2">
      <c r="A30" s="42">
        <v>3</v>
      </c>
      <c r="B30" s="43" t="s">
        <v>280</v>
      </c>
      <c r="C30" s="43" t="s">
        <v>281</v>
      </c>
      <c r="D30" s="43" t="s">
        <v>36</v>
      </c>
      <c r="E30" s="44">
        <v>500</v>
      </c>
      <c r="F30" s="45">
        <v>4989.95</v>
      </c>
      <c r="G30" s="46">
        <v>8.39232E-3</v>
      </c>
      <c r="H30" s="36">
        <v>7.3449999999999998</v>
      </c>
    </row>
    <row r="31" spans="1:8" x14ac:dyDescent="0.2">
      <c r="A31" s="34"/>
      <c r="B31" s="34"/>
      <c r="C31" s="35" t="s">
        <v>11</v>
      </c>
      <c r="D31" s="34"/>
      <c r="E31" s="34" t="s">
        <v>12</v>
      </c>
      <c r="F31" s="41">
        <v>17483.227500000001</v>
      </c>
      <c r="G31" s="38">
        <v>2.9404079999999999E-2</v>
      </c>
      <c r="H31" s="36" t="s">
        <v>12</v>
      </c>
    </row>
    <row r="32" spans="1:8" x14ac:dyDescent="0.2">
      <c r="A32" s="34"/>
      <c r="B32" s="34"/>
      <c r="C32" s="39"/>
      <c r="D32" s="34"/>
      <c r="E32" s="34"/>
      <c r="F32" s="40"/>
      <c r="G32" s="40"/>
      <c r="H32" s="36" t="s">
        <v>12</v>
      </c>
    </row>
    <row r="33" spans="1:8" x14ac:dyDescent="0.2">
      <c r="A33" s="34"/>
      <c r="B33" s="34"/>
      <c r="C33" s="35" t="s">
        <v>71</v>
      </c>
      <c r="D33" s="34"/>
      <c r="E33" s="34"/>
      <c r="F33" s="34"/>
      <c r="G33" s="34"/>
      <c r="H33" s="36" t="s">
        <v>12</v>
      </c>
    </row>
    <row r="34" spans="1:8" x14ac:dyDescent="0.2">
      <c r="A34" s="34"/>
      <c r="B34" s="34"/>
      <c r="C34" s="35" t="s">
        <v>11</v>
      </c>
      <c r="D34" s="34"/>
      <c r="E34" s="34" t="s">
        <v>12</v>
      </c>
      <c r="F34" s="37" t="s">
        <v>13</v>
      </c>
      <c r="G34" s="38">
        <v>0</v>
      </c>
      <c r="H34" s="36" t="s">
        <v>12</v>
      </c>
    </row>
    <row r="35" spans="1:8" x14ac:dyDescent="0.2">
      <c r="A35" s="34"/>
      <c r="B35" s="34"/>
      <c r="C35" s="39"/>
      <c r="D35" s="34"/>
      <c r="E35" s="34"/>
      <c r="F35" s="40"/>
      <c r="G35" s="40"/>
      <c r="H35" s="36" t="s">
        <v>12</v>
      </c>
    </row>
    <row r="36" spans="1:8" x14ac:dyDescent="0.2">
      <c r="A36" s="34"/>
      <c r="B36" s="34"/>
      <c r="C36" s="35" t="s">
        <v>72</v>
      </c>
      <c r="D36" s="34"/>
      <c r="E36" s="34"/>
      <c r="F36" s="34"/>
      <c r="G36" s="34"/>
      <c r="H36" s="36" t="s">
        <v>12</v>
      </c>
    </row>
    <row r="37" spans="1:8" x14ac:dyDescent="0.2">
      <c r="A37" s="34"/>
      <c r="B37" s="34"/>
      <c r="C37" s="35" t="s">
        <v>11</v>
      </c>
      <c r="D37" s="34"/>
      <c r="E37" s="34" t="s">
        <v>12</v>
      </c>
      <c r="F37" s="37" t="s">
        <v>13</v>
      </c>
      <c r="G37" s="38">
        <v>0</v>
      </c>
      <c r="H37" s="36" t="s">
        <v>12</v>
      </c>
    </row>
    <row r="38" spans="1:8" x14ac:dyDescent="0.2">
      <c r="A38" s="34"/>
      <c r="B38" s="34"/>
      <c r="C38" s="39"/>
      <c r="D38" s="34"/>
      <c r="E38" s="34"/>
      <c r="F38" s="40"/>
      <c r="G38" s="40"/>
      <c r="H38" s="36" t="s">
        <v>12</v>
      </c>
    </row>
    <row r="39" spans="1:8" x14ac:dyDescent="0.2">
      <c r="A39" s="34"/>
      <c r="B39" s="34"/>
      <c r="C39" s="35" t="s">
        <v>88</v>
      </c>
      <c r="D39" s="34"/>
      <c r="E39" s="34"/>
      <c r="F39" s="40"/>
      <c r="G39" s="40"/>
      <c r="H39" s="36" t="s">
        <v>12</v>
      </c>
    </row>
    <row r="40" spans="1:8" x14ac:dyDescent="0.2">
      <c r="A40" s="34"/>
      <c r="B40" s="34"/>
      <c r="C40" s="35" t="s">
        <v>11</v>
      </c>
      <c r="D40" s="34"/>
      <c r="E40" s="34" t="s">
        <v>12</v>
      </c>
      <c r="F40" s="37" t="s">
        <v>13</v>
      </c>
      <c r="G40" s="38">
        <v>0</v>
      </c>
      <c r="H40" s="36" t="s">
        <v>12</v>
      </c>
    </row>
    <row r="41" spans="1:8" x14ac:dyDescent="0.2">
      <c r="A41" s="34"/>
      <c r="B41" s="34"/>
      <c r="C41" s="39"/>
      <c r="D41" s="34"/>
      <c r="E41" s="34"/>
      <c r="F41" s="40"/>
      <c r="G41" s="40"/>
      <c r="H41" s="36" t="s">
        <v>12</v>
      </c>
    </row>
    <row r="42" spans="1:8" x14ac:dyDescent="0.2">
      <c r="A42" s="34"/>
      <c r="B42" s="34"/>
      <c r="C42" s="35" t="s">
        <v>89</v>
      </c>
      <c r="D42" s="34"/>
      <c r="E42" s="34"/>
      <c r="F42" s="41">
        <v>17483.227500000001</v>
      </c>
      <c r="G42" s="38">
        <v>2.9404079999999999E-2</v>
      </c>
      <c r="H42" s="36" t="s">
        <v>12</v>
      </c>
    </row>
    <row r="43" spans="1:8" x14ac:dyDescent="0.2">
      <c r="A43" s="34"/>
      <c r="B43" s="34"/>
      <c r="C43" s="39"/>
      <c r="D43" s="34"/>
      <c r="E43" s="34"/>
      <c r="F43" s="40"/>
      <c r="G43" s="40"/>
      <c r="H43" s="36" t="s">
        <v>12</v>
      </c>
    </row>
    <row r="44" spans="1:8" x14ac:dyDescent="0.2">
      <c r="A44" s="34"/>
      <c r="B44" s="34"/>
      <c r="C44" s="35" t="s">
        <v>90</v>
      </c>
      <c r="D44" s="34"/>
      <c r="E44" s="34"/>
      <c r="F44" s="40"/>
      <c r="G44" s="40"/>
      <c r="H44" s="36" t="s">
        <v>12</v>
      </c>
    </row>
    <row r="45" spans="1:8" x14ac:dyDescent="0.2">
      <c r="A45" s="34"/>
      <c r="B45" s="34"/>
      <c r="C45" s="35" t="s">
        <v>91</v>
      </c>
      <c r="D45" s="34"/>
      <c r="E45" s="34"/>
      <c r="F45" s="40"/>
      <c r="G45" s="40"/>
      <c r="H45" s="36" t="s">
        <v>12</v>
      </c>
    </row>
    <row r="46" spans="1:8" x14ac:dyDescent="0.2">
      <c r="A46" s="42">
        <v>1</v>
      </c>
      <c r="B46" s="43" t="s">
        <v>282</v>
      </c>
      <c r="C46" s="43" t="s">
        <v>283</v>
      </c>
      <c r="D46" s="43" t="s">
        <v>146</v>
      </c>
      <c r="E46" s="44">
        <v>4500</v>
      </c>
      <c r="F46" s="45">
        <v>22191.4575</v>
      </c>
      <c r="G46" s="46">
        <v>3.7322599999999997E-2</v>
      </c>
      <c r="H46" s="36">
        <v>7.25</v>
      </c>
    </row>
    <row r="47" spans="1:8" x14ac:dyDescent="0.2">
      <c r="A47" s="42">
        <v>2</v>
      </c>
      <c r="B47" s="43" t="s">
        <v>173</v>
      </c>
      <c r="C47" s="43" t="s">
        <v>174</v>
      </c>
      <c r="D47" s="43" t="s">
        <v>146</v>
      </c>
      <c r="E47" s="44">
        <v>4000</v>
      </c>
      <c r="F47" s="45">
        <v>19665.68</v>
      </c>
      <c r="G47" s="46">
        <v>3.3074630000000001E-2</v>
      </c>
      <c r="H47" s="36">
        <v>7.3</v>
      </c>
    </row>
    <row r="48" spans="1:8" x14ac:dyDescent="0.2">
      <c r="A48" s="42">
        <v>3</v>
      </c>
      <c r="B48" s="43" t="s">
        <v>284</v>
      </c>
      <c r="C48" s="43" t="s">
        <v>285</v>
      </c>
      <c r="D48" s="43" t="s">
        <v>146</v>
      </c>
      <c r="E48" s="44">
        <v>3500</v>
      </c>
      <c r="F48" s="45">
        <v>17254.982499999998</v>
      </c>
      <c r="G48" s="46">
        <v>2.9020210000000001E-2</v>
      </c>
      <c r="H48" s="36">
        <v>7.3</v>
      </c>
    </row>
    <row r="49" spans="1:8" x14ac:dyDescent="0.2">
      <c r="A49" s="42">
        <v>4</v>
      </c>
      <c r="B49" s="43" t="s">
        <v>286</v>
      </c>
      <c r="C49" s="43" t="s">
        <v>287</v>
      </c>
      <c r="D49" s="43" t="s">
        <v>146</v>
      </c>
      <c r="E49" s="44">
        <v>3000</v>
      </c>
      <c r="F49" s="45">
        <v>14849.58</v>
      </c>
      <c r="G49" s="46">
        <v>2.4974699999999999E-2</v>
      </c>
      <c r="H49" s="36">
        <v>7.2499000000000002</v>
      </c>
    </row>
    <row r="50" spans="1:8" x14ac:dyDescent="0.2">
      <c r="A50" s="42">
        <v>5</v>
      </c>
      <c r="B50" s="43" t="s">
        <v>288</v>
      </c>
      <c r="C50" s="43" t="s">
        <v>289</v>
      </c>
      <c r="D50" s="43" t="s">
        <v>146</v>
      </c>
      <c r="E50" s="44">
        <v>3000</v>
      </c>
      <c r="F50" s="45">
        <v>14800.094999999999</v>
      </c>
      <c r="G50" s="46">
        <v>2.4891469999999999E-2</v>
      </c>
      <c r="H50" s="36">
        <v>7.25</v>
      </c>
    </row>
    <row r="51" spans="1:8" x14ac:dyDescent="0.2">
      <c r="A51" s="42">
        <v>6</v>
      </c>
      <c r="B51" s="43" t="s">
        <v>290</v>
      </c>
      <c r="C51" s="43" t="s">
        <v>291</v>
      </c>
      <c r="D51" s="43" t="s">
        <v>146</v>
      </c>
      <c r="E51" s="44">
        <v>2800</v>
      </c>
      <c r="F51" s="45">
        <v>13840.554</v>
      </c>
      <c r="G51" s="46">
        <v>2.327767E-2</v>
      </c>
      <c r="H51" s="36">
        <v>7.25</v>
      </c>
    </row>
    <row r="52" spans="1:8" x14ac:dyDescent="0.2">
      <c r="A52" s="42">
        <v>7</v>
      </c>
      <c r="B52" s="43" t="s">
        <v>292</v>
      </c>
      <c r="C52" s="43" t="s">
        <v>293</v>
      </c>
      <c r="D52" s="43" t="s">
        <v>146</v>
      </c>
      <c r="E52" s="44">
        <v>2500</v>
      </c>
      <c r="F52" s="45">
        <v>12343.0875</v>
      </c>
      <c r="G52" s="46">
        <v>2.0759159999999999E-2</v>
      </c>
      <c r="H52" s="36">
        <v>7.25</v>
      </c>
    </row>
    <row r="53" spans="1:8" x14ac:dyDescent="0.2">
      <c r="A53" s="42">
        <v>8</v>
      </c>
      <c r="B53" s="43" t="s">
        <v>294</v>
      </c>
      <c r="C53" s="43" t="s">
        <v>295</v>
      </c>
      <c r="D53" s="43" t="s">
        <v>149</v>
      </c>
      <c r="E53" s="44">
        <v>2500</v>
      </c>
      <c r="F53" s="45">
        <v>12313.475</v>
      </c>
      <c r="G53" s="46">
        <v>2.070936E-2</v>
      </c>
      <c r="H53" s="36">
        <v>7.2750000000000004</v>
      </c>
    </row>
    <row r="54" spans="1:8" x14ac:dyDescent="0.2">
      <c r="A54" s="42">
        <v>9</v>
      </c>
      <c r="B54" s="43" t="s">
        <v>296</v>
      </c>
      <c r="C54" s="43" t="s">
        <v>297</v>
      </c>
      <c r="D54" s="43" t="s">
        <v>146</v>
      </c>
      <c r="E54" s="44">
        <v>2000</v>
      </c>
      <c r="F54" s="45">
        <v>9982.16</v>
      </c>
      <c r="G54" s="46">
        <v>1.678845E-2</v>
      </c>
      <c r="H54" s="36">
        <v>7.2503000000000002</v>
      </c>
    </row>
    <row r="55" spans="1:8" x14ac:dyDescent="0.2">
      <c r="A55" s="42">
        <v>10</v>
      </c>
      <c r="B55" s="43" t="s">
        <v>298</v>
      </c>
      <c r="C55" s="43" t="s">
        <v>299</v>
      </c>
      <c r="D55" s="43" t="s">
        <v>146</v>
      </c>
      <c r="E55" s="44">
        <v>2000</v>
      </c>
      <c r="F55" s="45">
        <v>9969.7999999999993</v>
      </c>
      <c r="G55" s="46">
        <v>1.676766E-2</v>
      </c>
      <c r="H55" s="36">
        <v>7.3710000000000004</v>
      </c>
    </row>
    <row r="56" spans="1:8" x14ac:dyDescent="0.2">
      <c r="A56" s="42">
        <v>11</v>
      </c>
      <c r="B56" s="43" t="s">
        <v>300</v>
      </c>
      <c r="C56" s="43" t="s">
        <v>301</v>
      </c>
      <c r="D56" s="43" t="s">
        <v>146</v>
      </c>
      <c r="E56" s="44">
        <v>2000</v>
      </c>
      <c r="F56" s="45">
        <v>9934.8799999999992</v>
      </c>
      <c r="G56" s="46">
        <v>1.670893E-2</v>
      </c>
      <c r="H56" s="36">
        <v>7.25</v>
      </c>
    </row>
    <row r="57" spans="1:8" x14ac:dyDescent="0.2">
      <c r="A57" s="42">
        <v>12</v>
      </c>
      <c r="B57" s="43" t="s">
        <v>302</v>
      </c>
      <c r="C57" s="43" t="s">
        <v>303</v>
      </c>
      <c r="D57" s="43" t="s">
        <v>146</v>
      </c>
      <c r="E57" s="44">
        <v>2000</v>
      </c>
      <c r="F57" s="45">
        <v>9934.16</v>
      </c>
      <c r="G57" s="46">
        <v>1.6707719999999999E-2</v>
      </c>
      <c r="H57" s="36">
        <v>7.3304</v>
      </c>
    </row>
    <row r="58" spans="1:8" x14ac:dyDescent="0.2">
      <c r="A58" s="42">
        <v>13</v>
      </c>
      <c r="B58" s="43" t="s">
        <v>304</v>
      </c>
      <c r="C58" s="43" t="s">
        <v>305</v>
      </c>
      <c r="D58" s="43" t="s">
        <v>146</v>
      </c>
      <c r="E58" s="44">
        <v>2000</v>
      </c>
      <c r="F58" s="45">
        <v>9931.7199999999993</v>
      </c>
      <c r="G58" s="46">
        <v>1.6703619999999999E-2</v>
      </c>
      <c r="H58" s="36">
        <v>7.3810000000000002</v>
      </c>
    </row>
    <row r="59" spans="1:8" x14ac:dyDescent="0.2">
      <c r="A59" s="42">
        <v>14</v>
      </c>
      <c r="B59" s="43" t="s">
        <v>306</v>
      </c>
      <c r="C59" s="43" t="s">
        <v>307</v>
      </c>
      <c r="D59" s="43" t="s">
        <v>152</v>
      </c>
      <c r="E59" s="44">
        <v>2000</v>
      </c>
      <c r="F59" s="45">
        <v>9926.91</v>
      </c>
      <c r="G59" s="46">
        <v>1.669553E-2</v>
      </c>
      <c r="H59" s="36">
        <v>7.2633999999999999</v>
      </c>
    </row>
    <row r="60" spans="1:8" x14ac:dyDescent="0.2">
      <c r="A60" s="42">
        <v>15</v>
      </c>
      <c r="B60" s="43" t="s">
        <v>308</v>
      </c>
      <c r="C60" s="43" t="s">
        <v>309</v>
      </c>
      <c r="D60" s="43" t="s">
        <v>149</v>
      </c>
      <c r="E60" s="44">
        <v>2000</v>
      </c>
      <c r="F60" s="45">
        <v>9891.57</v>
      </c>
      <c r="G60" s="46">
        <v>1.6636089999999999E-2</v>
      </c>
      <c r="H60" s="36">
        <v>7.2750000000000004</v>
      </c>
    </row>
    <row r="61" spans="1:8" x14ac:dyDescent="0.2">
      <c r="A61" s="42">
        <v>16</v>
      </c>
      <c r="B61" s="43" t="s">
        <v>310</v>
      </c>
      <c r="C61" s="43" t="s">
        <v>311</v>
      </c>
      <c r="D61" s="43" t="s">
        <v>146</v>
      </c>
      <c r="E61" s="44">
        <v>2000</v>
      </c>
      <c r="F61" s="45">
        <v>9887.59</v>
      </c>
      <c r="G61" s="46">
        <v>1.6629399999999999E-2</v>
      </c>
      <c r="H61" s="36">
        <v>7.28</v>
      </c>
    </row>
    <row r="62" spans="1:8" x14ac:dyDescent="0.2">
      <c r="A62" s="42">
        <v>17</v>
      </c>
      <c r="B62" s="43" t="s">
        <v>312</v>
      </c>
      <c r="C62" s="43" t="s">
        <v>313</v>
      </c>
      <c r="D62" s="43" t="s">
        <v>146</v>
      </c>
      <c r="E62" s="44">
        <v>2000</v>
      </c>
      <c r="F62" s="45">
        <v>9879.7999999999993</v>
      </c>
      <c r="G62" s="46">
        <v>1.6616300000000001E-2</v>
      </c>
      <c r="H62" s="36">
        <v>7.28</v>
      </c>
    </row>
    <row r="63" spans="1:8" x14ac:dyDescent="0.2">
      <c r="A63" s="42">
        <v>18</v>
      </c>
      <c r="B63" s="43" t="s">
        <v>314</v>
      </c>
      <c r="C63" s="43" t="s">
        <v>315</v>
      </c>
      <c r="D63" s="43" t="s">
        <v>146</v>
      </c>
      <c r="E63" s="44">
        <v>2000</v>
      </c>
      <c r="F63" s="45">
        <v>9859.9</v>
      </c>
      <c r="G63" s="46">
        <v>1.658283E-2</v>
      </c>
      <c r="H63" s="36">
        <v>7.3051000000000004</v>
      </c>
    </row>
    <row r="64" spans="1:8" x14ac:dyDescent="0.2">
      <c r="A64" s="42">
        <v>19</v>
      </c>
      <c r="B64" s="43" t="s">
        <v>316</v>
      </c>
      <c r="C64" s="43" t="s">
        <v>317</v>
      </c>
      <c r="D64" s="43" t="s">
        <v>146</v>
      </c>
      <c r="E64" s="44">
        <v>1500</v>
      </c>
      <c r="F64" s="45">
        <v>7386.33</v>
      </c>
      <c r="G64" s="46">
        <v>1.242267E-2</v>
      </c>
      <c r="H64" s="36">
        <v>7.2949999999999999</v>
      </c>
    </row>
    <row r="65" spans="1:8" x14ac:dyDescent="0.2">
      <c r="A65" s="42">
        <v>20</v>
      </c>
      <c r="B65" s="43" t="s">
        <v>318</v>
      </c>
      <c r="C65" s="43" t="s">
        <v>319</v>
      </c>
      <c r="D65" s="43" t="s">
        <v>146</v>
      </c>
      <c r="E65" s="44">
        <v>1500</v>
      </c>
      <c r="F65" s="45">
        <v>7384.8</v>
      </c>
      <c r="G65" s="46">
        <v>1.242009E-2</v>
      </c>
      <c r="H65" s="36">
        <v>7.3</v>
      </c>
    </row>
    <row r="66" spans="1:8" ht="25.5" x14ac:dyDescent="0.2">
      <c r="A66" s="42">
        <v>21</v>
      </c>
      <c r="B66" s="43" t="s">
        <v>320</v>
      </c>
      <c r="C66" s="43" t="s">
        <v>321</v>
      </c>
      <c r="D66" s="43" t="s">
        <v>146</v>
      </c>
      <c r="E66" s="44">
        <v>1000</v>
      </c>
      <c r="F66" s="45">
        <v>4991.0150000000003</v>
      </c>
      <c r="G66" s="46">
        <v>8.3941199999999997E-3</v>
      </c>
      <c r="H66" s="36">
        <v>7.3</v>
      </c>
    </row>
    <row r="67" spans="1:8" x14ac:dyDescent="0.2">
      <c r="A67" s="42">
        <v>22</v>
      </c>
      <c r="B67" s="43" t="s">
        <v>322</v>
      </c>
      <c r="C67" s="43" t="s">
        <v>323</v>
      </c>
      <c r="D67" s="43" t="s">
        <v>146</v>
      </c>
      <c r="E67" s="44">
        <v>1000</v>
      </c>
      <c r="F67" s="45">
        <v>4983.9549999999999</v>
      </c>
      <c r="G67" s="46">
        <v>8.3822399999999991E-3</v>
      </c>
      <c r="H67" s="36">
        <v>7.3449999999999998</v>
      </c>
    </row>
    <row r="68" spans="1:8" x14ac:dyDescent="0.2">
      <c r="A68" s="42">
        <v>23</v>
      </c>
      <c r="B68" s="43" t="s">
        <v>324</v>
      </c>
      <c r="C68" s="43" t="s">
        <v>325</v>
      </c>
      <c r="D68" s="43" t="s">
        <v>152</v>
      </c>
      <c r="E68" s="44">
        <v>1000</v>
      </c>
      <c r="F68" s="45">
        <v>4966.335</v>
      </c>
      <c r="G68" s="46">
        <v>8.3526099999999999E-3</v>
      </c>
      <c r="H68" s="36">
        <v>7.2766999999999999</v>
      </c>
    </row>
    <row r="69" spans="1:8" x14ac:dyDescent="0.2">
      <c r="A69" s="42">
        <v>24</v>
      </c>
      <c r="B69" s="43" t="s">
        <v>326</v>
      </c>
      <c r="C69" s="43" t="s">
        <v>327</v>
      </c>
      <c r="D69" s="43" t="s">
        <v>146</v>
      </c>
      <c r="E69" s="44">
        <v>1000</v>
      </c>
      <c r="F69" s="45">
        <v>4965.4799999999996</v>
      </c>
      <c r="G69" s="46">
        <v>8.3511699999999998E-3</v>
      </c>
      <c r="H69" s="36">
        <v>7.25</v>
      </c>
    </row>
    <row r="70" spans="1:8" x14ac:dyDescent="0.2">
      <c r="A70" s="42">
        <v>25</v>
      </c>
      <c r="B70" s="43" t="s">
        <v>328</v>
      </c>
      <c r="C70" s="43" t="s">
        <v>329</v>
      </c>
      <c r="D70" s="43" t="s">
        <v>146</v>
      </c>
      <c r="E70" s="44">
        <v>1000</v>
      </c>
      <c r="F70" s="45">
        <v>4959.335</v>
      </c>
      <c r="G70" s="46">
        <v>8.3408300000000005E-3</v>
      </c>
      <c r="H70" s="36">
        <v>7.3002000000000002</v>
      </c>
    </row>
    <row r="71" spans="1:8" x14ac:dyDescent="0.2">
      <c r="A71" s="42">
        <v>26</v>
      </c>
      <c r="B71" s="43" t="s">
        <v>330</v>
      </c>
      <c r="C71" s="43" t="s">
        <v>331</v>
      </c>
      <c r="D71" s="43" t="s">
        <v>152</v>
      </c>
      <c r="E71" s="44">
        <v>1000</v>
      </c>
      <c r="F71" s="45">
        <v>4950.74</v>
      </c>
      <c r="G71" s="46">
        <v>8.3263799999999995E-3</v>
      </c>
      <c r="H71" s="36">
        <v>7.2633999999999999</v>
      </c>
    </row>
    <row r="72" spans="1:8" x14ac:dyDescent="0.2">
      <c r="A72" s="42">
        <v>27</v>
      </c>
      <c r="B72" s="43" t="s">
        <v>332</v>
      </c>
      <c r="C72" s="43" t="s">
        <v>333</v>
      </c>
      <c r="D72" s="43" t="s">
        <v>146</v>
      </c>
      <c r="E72" s="44">
        <v>1000</v>
      </c>
      <c r="F72" s="45">
        <v>4950.4949999999999</v>
      </c>
      <c r="G72" s="46">
        <v>8.3259700000000002E-3</v>
      </c>
      <c r="H72" s="36">
        <v>7.3</v>
      </c>
    </row>
    <row r="73" spans="1:8" x14ac:dyDescent="0.2">
      <c r="A73" s="42">
        <v>28</v>
      </c>
      <c r="B73" s="43" t="s">
        <v>334</v>
      </c>
      <c r="C73" s="43" t="s">
        <v>335</v>
      </c>
      <c r="D73" s="43" t="s">
        <v>146</v>
      </c>
      <c r="E73" s="44">
        <v>1000</v>
      </c>
      <c r="F73" s="45">
        <v>4942.2</v>
      </c>
      <c r="G73" s="46">
        <v>8.3120199999999998E-3</v>
      </c>
      <c r="H73" s="36">
        <v>7.3598999999999997</v>
      </c>
    </row>
    <row r="74" spans="1:8" x14ac:dyDescent="0.2">
      <c r="A74" s="42">
        <v>29</v>
      </c>
      <c r="B74" s="43" t="s">
        <v>336</v>
      </c>
      <c r="C74" s="43" t="s">
        <v>337</v>
      </c>
      <c r="D74" s="43" t="s">
        <v>146</v>
      </c>
      <c r="E74" s="44">
        <v>1000</v>
      </c>
      <c r="F74" s="45">
        <v>4936.2700000000004</v>
      </c>
      <c r="G74" s="46">
        <v>8.3020400000000001E-3</v>
      </c>
      <c r="H74" s="36">
        <v>7.25</v>
      </c>
    </row>
    <row r="75" spans="1:8" ht="25.5" x14ac:dyDescent="0.2">
      <c r="A75" s="42">
        <v>30</v>
      </c>
      <c r="B75" s="43" t="s">
        <v>338</v>
      </c>
      <c r="C75" s="43" t="s">
        <v>339</v>
      </c>
      <c r="D75" s="43" t="s">
        <v>146</v>
      </c>
      <c r="E75" s="44">
        <v>1000</v>
      </c>
      <c r="F75" s="45">
        <v>4936.05</v>
      </c>
      <c r="G75" s="46">
        <v>8.3016700000000006E-3</v>
      </c>
      <c r="H75" s="36">
        <v>7.2750000000000004</v>
      </c>
    </row>
    <row r="76" spans="1:8" x14ac:dyDescent="0.2">
      <c r="A76" s="42">
        <v>31</v>
      </c>
      <c r="B76" s="43" t="s">
        <v>267</v>
      </c>
      <c r="C76" s="43" t="s">
        <v>268</v>
      </c>
      <c r="D76" s="43" t="s">
        <v>146</v>
      </c>
      <c r="E76" s="44">
        <v>1000</v>
      </c>
      <c r="F76" s="45">
        <v>4931.9399999999996</v>
      </c>
      <c r="G76" s="46">
        <v>8.29476E-3</v>
      </c>
      <c r="H76" s="36">
        <v>7.3</v>
      </c>
    </row>
    <row r="77" spans="1:8" ht="25.5" x14ac:dyDescent="0.2">
      <c r="A77" s="42">
        <v>32</v>
      </c>
      <c r="B77" s="43" t="s">
        <v>340</v>
      </c>
      <c r="C77" s="43" t="s">
        <v>341</v>
      </c>
      <c r="D77" s="43" t="s">
        <v>146</v>
      </c>
      <c r="E77" s="44">
        <v>500</v>
      </c>
      <c r="F77" s="45">
        <v>2492.0524999999998</v>
      </c>
      <c r="G77" s="46">
        <v>4.1912499999999997E-3</v>
      </c>
      <c r="H77" s="36">
        <v>7.2750000000000004</v>
      </c>
    </row>
    <row r="78" spans="1:8" x14ac:dyDescent="0.2">
      <c r="A78" s="42">
        <v>33</v>
      </c>
      <c r="B78" s="43" t="s">
        <v>342</v>
      </c>
      <c r="C78" s="43" t="s">
        <v>343</v>
      </c>
      <c r="D78" s="43" t="s">
        <v>149</v>
      </c>
      <c r="E78" s="44">
        <v>500</v>
      </c>
      <c r="F78" s="45">
        <v>2474.8425000000002</v>
      </c>
      <c r="G78" s="46">
        <v>4.1622999999999999E-3</v>
      </c>
      <c r="H78" s="36">
        <v>7.2750000000000004</v>
      </c>
    </row>
    <row r="79" spans="1:8" x14ac:dyDescent="0.2">
      <c r="A79" s="34"/>
      <c r="B79" s="34"/>
      <c r="C79" s="35" t="s">
        <v>11</v>
      </c>
      <c r="D79" s="34"/>
      <c r="E79" s="34" t="s">
        <v>12</v>
      </c>
      <c r="F79" s="41">
        <v>300709.2415</v>
      </c>
      <c r="G79" s="38">
        <v>0.50574644999999996</v>
      </c>
      <c r="H79" s="36" t="s">
        <v>12</v>
      </c>
    </row>
    <row r="80" spans="1:8" x14ac:dyDescent="0.2">
      <c r="A80" s="34"/>
      <c r="B80" s="34"/>
      <c r="C80" s="39"/>
      <c r="D80" s="34"/>
      <c r="E80" s="34"/>
      <c r="F80" s="40"/>
      <c r="G80" s="40"/>
      <c r="H80" s="36" t="s">
        <v>12</v>
      </c>
    </row>
    <row r="81" spans="1:8" x14ac:dyDescent="0.2">
      <c r="A81" s="34"/>
      <c r="B81" s="34"/>
      <c r="C81" s="35" t="s">
        <v>92</v>
      </c>
      <c r="D81" s="34"/>
      <c r="E81" s="34"/>
      <c r="F81" s="40"/>
      <c r="G81" s="40"/>
      <c r="H81" s="36" t="s">
        <v>12</v>
      </c>
    </row>
    <row r="82" spans="1:8" ht="25.5" x14ac:dyDescent="0.2">
      <c r="A82" s="42">
        <v>1</v>
      </c>
      <c r="B82" s="43" t="s">
        <v>344</v>
      </c>
      <c r="C82" s="43" t="s">
        <v>345</v>
      </c>
      <c r="D82" s="43" t="s">
        <v>146</v>
      </c>
      <c r="E82" s="44">
        <v>3000</v>
      </c>
      <c r="F82" s="45">
        <v>14793.6</v>
      </c>
      <c r="G82" s="46">
        <v>2.4880550000000001E-2</v>
      </c>
      <c r="H82" s="36">
        <v>7.2750000000000004</v>
      </c>
    </row>
    <row r="83" spans="1:8" ht="25.5" x14ac:dyDescent="0.2">
      <c r="A83" s="42">
        <v>2</v>
      </c>
      <c r="B83" s="43" t="s">
        <v>346</v>
      </c>
      <c r="C83" s="43" t="s">
        <v>347</v>
      </c>
      <c r="D83" s="43" t="s">
        <v>146</v>
      </c>
      <c r="E83" s="44">
        <v>2500</v>
      </c>
      <c r="F83" s="45">
        <v>12465.4625</v>
      </c>
      <c r="G83" s="46">
        <v>2.0964980000000001E-2</v>
      </c>
      <c r="H83" s="36">
        <v>7.7812999999999999</v>
      </c>
    </row>
    <row r="84" spans="1:8" x14ac:dyDescent="0.2">
      <c r="A84" s="42">
        <v>3</v>
      </c>
      <c r="B84" s="43" t="s">
        <v>348</v>
      </c>
      <c r="C84" s="43" t="s">
        <v>349</v>
      </c>
      <c r="D84" s="43" t="s">
        <v>146</v>
      </c>
      <c r="E84" s="44">
        <v>2500</v>
      </c>
      <c r="F84" s="45">
        <v>12394.3125</v>
      </c>
      <c r="G84" s="46">
        <v>2.0845320000000001E-2</v>
      </c>
      <c r="H84" s="36">
        <v>7.5913000000000004</v>
      </c>
    </row>
    <row r="85" spans="1:8" ht="25.5" x14ac:dyDescent="0.2">
      <c r="A85" s="42">
        <v>4</v>
      </c>
      <c r="B85" s="43" t="s">
        <v>350</v>
      </c>
      <c r="C85" s="43" t="s">
        <v>351</v>
      </c>
      <c r="D85" s="43" t="s">
        <v>146</v>
      </c>
      <c r="E85" s="44">
        <v>2000</v>
      </c>
      <c r="F85" s="45">
        <v>9954.69</v>
      </c>
      <c r="G85" s="46">
        <v>1.674225E-2</v>
      </c>
      <c r="H85" s="36">
        <v>7.2248000000000001</v>
      </c>
    </row>
    <row r="86" spans="1:8" x14ac:dyDescent="0.2">
      <c r="A86" s="42">
        <v>5</v>
      </c>
      <c r="B86" s="43" t="s">
        <v>352</v>
      </c>
      <c r="C86" s="43" t="s">
        <v>353</v>
      </c>
      <c r="D86" s="43" t="s">
        <v>146</v>
      </c>
      <c r="E86" s="44">
        <v>2000</v>
      </c>
      <c r="F86" s="45">
        <v>9913.19</v>
      </c>
      <c r="G86" s="46">
        <v>1.6672449999999998E-2</v>
      </c>
      <c r="H86" s="36">
        <v>7.2649999999999997</v>
      </c>
    </row>
    <row r="87" spans="1:8" ht="25.5" x14ac:dyDescent="0.2">
      <c r="A87" s="42">
        <v>6</v>
      </c>
      <c r="B87" s="43" t="s">
        <v>354</v>
      </c>
      <c r="C87" s="43" t="s">
        <v>355</v>
      </c>
      <c r="D87" s="43" t="s">
        <v>146</v>
      </c>
      <c r="E87" s="44">
        <v>2000</v>
      </c>
      <c r="F87" s="45">
        <v>9904.5400000000009</v>
      </c>
      <c r="G87" s="46">
        <v>1.66579E-2</v>
      </c>
      <c r="H87" s="36">
        <v>7.3291000000000004</v>
      </c>
    </row>
    <row r="88" spans="1:8" x14ac:dyDescent="0.2">
      <c r="A88" s="42">
        <v>7</v>
      </c>
      <c r="B88" s="43" t="s">
        <v>356</v>
      </c>
      <c r="C88" s="43" t="s">
        <v>357</v>
      </c>
      <c r="D88" s="43" t="s">
        <v>146</v>
      </c>
      <c r="E88" s="44">
        <v>2000</v>
      </c>
      <c r="F88" s="45">
        <v>9886.14</v>
      </c>
      <c r="G88" s="46">
        <v>1.662696E-2</v>
      </c>
      <c r="H88" s="36">
        <v>7.375</v>
      </c>
    </row>
    <row r="89" spans="1:8" ht="25.5" x14ac:dyDescent="0.2">
      <c r="A89" s="42">
        <v>8</v>
      </c>
      <c r="B89" s="43" t="s">
        <v>358</v>
      </c>
      <c r="C89" s="43" t="s">
        <v>359</v>
      </c>
      <c r="D89" s="43" t="s">
        <v>146</v>
      </c>
      <c r="E89" s="44">
        <v>2000</v>
      </c>
      <c r="F89" s="45">
        <v>9885.7199999999993</v>
      </c>
      <c r="G89" s="46">
        <v>1.6626249999999999E-2</v>
      </c>
      <c r="H89" s="36">
        <v>7.2750000000000004</v>
      </c>
    </row>
    <row r="90" spans="1:8" ht="25.5" x14ac:dyDescent="0.2">
      <c r="A90" s="42">
        <v>9</v>
      </c>
      <c r="B90" s="43" t="s">
        <v>360</v>
      </c>
      <c r="C90" s="43" t="s">
        <v>361</v>
      </c>
      <c r="D90" s="43" t="s">
        <v>146</v>
      </c>
      <c r="E90" s="44">
        <v>2000</v>
      </c>
      <c r="F90" s="45">
        <v>9874.0499999999993</v>
      </c>
      <c r="G90" s="46">
        <v>1.6606630000000001E-2</v>
      </c>
      <c r="H90" s="36">
        <v>7.2750000000000004</v>
      </c>
    </row>
    <row r="91" spans="1:8" ht="25.5" x14ac:dyDescent="0.2">
      <c r="A91" s="42">
        <v>10</v>
      </c>
      <c r="B91" s="43" t="s">
        <v>362</v>
      </c>
      <c r="C91" s="43" t="s">
        <v>363</v>
      </c>
      <c r="D91" s="43" t="s">
        <v>146</v>
      </c>
      <c r="E91" s="44">
        <v>2000</v>
      </c>
      <c r="F91" s="45">
        <v>9860.18</v>
      </c>
      <c r="G91" s="46">
        <v>1.6583299999999999E-2</v>
      </c>
      <c r="H91" s="36">
        <v>7.29</v>
      </c>
    </row>
    <row r="92" spans="1:8" x14ac:dyDescent="0.2">
      <c r="A92" s="42">
        <v>11</v>
      </c>
      <c r="B92" s="43" t="s">
        <v>364</v>
      </c>
      <c r="C92" s="43" t="s">
        <v>365</v>
      </c>
      <c r="D92" s="43" t="s">
        <v>146</v>
      </c>
      <c r="E92" s="44">
        <v>2000</v>
      </c>
      <c r="F92" s="45">
        <v>9837.99</v>
      </c>
      <c r="G92" s="46">
        <v>1.6545979999999998E-2</v>
      </c>
      <c r="H92" s="36">
        <v>7.7062999999999997</v>
      </c>
    </row>
    <row r="93" spans="1:8" ht="25.5" x14ac:dyDescent="0.2">
      <c r="A93" s="42">
        <v>12</v>
      </c>
      <c r="B93" s="43" t="s">
        <v>366</v>
      </c>
      <c r="C93" s="43" t="s">
        <v>367</v>
      </c>
      <c r="D93" s="43" t="s">
        <v>146</v>
      </c>
      <c r="E93" s="44">
        <v>1500</v>
      </c>
      <c r="F93" s="45">
        <v>7456.5524999999998</v>
      </c>
      <c r="G93" s="46">
        <v>1.254077E-2</v>
      </c>
      <c r="H93" s="36">
        <v>7.5960000000000001</v>
      </c>
    </row>
    <row r="94" spans="1:8" x14ac:dyDescent="0.2">
      <c r="A94" s="42">
        <v>13</v>
      </c>
      <c r="B94" s="43" t="s">
        <v>368</v>
      </c>
      <c r="C94" s="43" t="s">
        <v>369</v>
      </c>
      <c r="D94" s="43" t="s">
        <v>146</v>
      </c>
      <c r="E94" s="44">
        <v>1500</v>
      </c>
      <c r="F94" s="45">
        <v>7411.6724999999997</v>
      </c>
      <c r="G94" s="46">
        <v>1.246529E-2</v>
      </c>
      <c r="H94" s="36">
        <v>7.6313000000000004</v>
      </c>
    </row>
    <row r="95" spans="1:8" ht="25.5" x14ac:dyDescent="0.2">
      <c r="A95" s="42">
        <v>14</v>
      </c>
      <c r="B95" s="43" t="s">
        <v>370</v>
      </c>
      <c r="C95" s="43" t="s">
        <v>371</v>
      </c>
      <c r="D95" s="43" t="s">
        <v>149</v>
      </c>
      <c r="E95" s="44">
        <v>1500</v>
      </c>
      <c r="F95" s="45">
        <v>7394.1824999999999</v>
      </c>
      <c r="G95" s="46">
        <v>1.243587E-2</v>
      </c>
      <c r="H95" s="36">
        <v>7.3574999999999999</v>
      </c>
    </row>
    <row r="96" spans="1:8" x14ac:dyDescent="0.2">
      <c r="A96" s="42">
        <v>15</v>
      </c>
      <c r="B96" s="43" t="s">
        <v>372</v>
      </c>
      <c r="C96" s="43" t="s">
        <v>373</v>
      </c>
      <c r="D96" s="43" t="s">
        <v>146</v>
      </c>
      <c r="E96" s="44">
        <v>1500</v>
      </c>
      <c r="F96" s="45">
        <v>7383.7875000000004</v>
      </c>
      <c r="G96" s="46">
        <v>1.241839E-2</v>
      </c>
      <c r="H96" s="36">
        <v>7.3650000000000002</v>
      </c>
    </row>
    <row r="97" spans="1:8" x14ac:dyDescent="0.2">
      <c r="A97" s="42">
        <v>16</v>
      </c>
      <c r="B97" s="43" t="s">
        <v>374</v>
      </c>
      <c r="C97" s="43" t="s">
        <v>375</v>
      </c>
      <c r="D97" s="43" t="s">
        <v>146</v>
      </c>
      <c r="E97" s="44">
        <v>1500</v>
      </c>
      <c r="F97" s="45">
        <v>7379.0024999999996</v>
      </c>
      <c r="G97" s="46">
        <v>1.2410340000000001E-2</v>
      </c>
      <c r="H97" s="36">
        <v>7.5762999999999998</v>
      </c>
    </row>
    <row r="98" spans="1:8" x14ac:dyDescent="0.2">
      <c r="A98" s="42">
        <v>17</v>
      </c>
      <c r="B98" s="43" t="s">
        <v>376</v>
      </c>
      <c r="C98" s="43" t="s">
        <v>377</v>
      </c>
      <c r="D98" s="43" t="s">
        <v>146</v>
      </c>
      <c r="E98" s="44">
        <v>1500</v>
      </c>
      <c r="F98" s="45">
        <v>7378.8</v>
      </c>
      <c r="G98" s="46">
        <v>1.2409999999999999E-2</v>
      </c>
      <c r="H98" s="36">
        <v>7.6863000000000001</v>
      </c>
    </row>
    <row r="99" spans="1:8" ht="25.5" x14ac:dyDescent="0.2">
      <c r="A99" s="42">
        <v>18</v>
      </c>
      <c r="B99" s="43" t="s">
        <v>378</v>
      </c>
      <c r="C99" s="43" t="s">
        <v>379</v>
      </c>
      <c r="D99" s="43" t="s">
        <v>146</v>
      </c>
      <c r="E99" s="44">
        <v>1500</v>
      </c>
      <c r="F99" s="45">
        <v>7376.7075000000004</v>
      </c>
      <c r="G99" s="46">
        <v>1.2406479999999999E-2</v>
      </c>
      <c r="H99" s="36">
        <v>7.8212999999999999</v>
      </c>
    </row>
    <row r="100" spans="1:8" ht="25.5" x14ac:dyDescent="0.2">
      <c r="A100" s="42">
        <v>19</v>
      </c>
      <c r="B100" s="43" t="s">
        <v>380</v>
      </c>
      <c r="C100" s="43" t="s">
        <v>381</v>
      </c>
      <c r="D100" s="43" t="s">
        <v>146</v>
      </c>
      <c r="E100" s="44">
        <v>1000</v>
      </c>
      <c r="F100" s="45">
        <v>4963.9949999999999</v>
      </c>
      <c r="G100" s="46">
        <v>8.3486700000000007E-3</v>
      </c>
      <c r="H100" s="36">
        <v>7.7862999999999998</v>
      </c>
    </row>
    <row r="101" spans="1:8" ht="25.5" x14ac:dyDescent="0.2">
      <c r="A101" s="42">
        <v>20</v>
      </c>
      <c r="B101" s="43" t="s">
        <v>382</v>
      </c>
      <c r="C101" s="43" t="s">
        <v>383</v>
      </c>
      <c r="D101" s="43" t="s">
        <v>146</v>
      </c>
      <c r="E101" s="44">
        <v>1000</v>
      </c>
      <c r="F101" s="45">
        <v>4959.0349999999999</v>
      </c>
      <c r="G101" s="46">
        <v>8.34033E-3</v>
      </c>
      <c r="H101" s="36">
        <v>7.3540999999999999</v>
      </c>
    </row>
    <row r="102" spans="1:8" x14ac:dyDescent="0.2">
      <c r="A102" s="42">
        <v>21</v>
      </c>
      <c r="B102" s="43" t="s">
        <v>384</v>
      </c>
      <c r="C102" s="43" t="s">
        <v>385</v>
      </c>
      <c r="D102" s="43" t="s">
        <v>146</v>
      </c>
      <c r="E102" s="44">
        <v>1000</v>
      </c>
      <c r="F102" s="45">
        <v>4956.4799999999996</v>
      </c>
      <c r="G102" s="46">
        <v>8.3360299999999995E-3</v>
      </c>
      <c r="H102" s="36">
        <v>7.6313000000000004</v>
      </c>
    </row>
    <row r="103" spans="1:8" x14ac:dyDescent="0.2">
      <c r="A103" s="42">
        <v>22</v>
      </c>
      <c r="B103" s="43" t="s">
        <v>386</v>
      </c>
      <c r="C103" s="43" t="s">
        <v>387</v>
      </c>
      <c r="D103" s="43" t="s">
        <v>146</v>
      </c>
      <c r="E103" s="44">
        <v>1000</v>
      </c>
      <c r="F103" s="45">
        <v>4956.26</v>
      </c>
      <c r="G103" s="46">
        <v>8.3356599999999999E-3</v>
      </c>
      <c r="H103" s="36">
        <v>7.4912999999999998</v>
      </c>
    </row>
    <row r="104" spans="1:8" x14ac:dyDescent="0.2">
      <c r="A104" s="42">
        <v>23</v>
      </c>
      <c r="B104" s="43" t="s">
        <v>388</v>
      </c>
      <c r="C104" s="43" t="s">
        <v>389</v>
      </c>
      <c r="D104" s="43" t="s">
        <v>146</v>
      </c>
      <c r="E104" s="44">
        <v>1000</v>
      </c>
      <c r="F104" s="45">
        <v>4944.0050000000001</v>
      </c>
      <c r="G104" s="46">
        <v>8.3150499999999992E-3</v>
      </c>
      <c r="H104" s="36">
        <v>7.5163000000000002</v>
      </c>
    </row>
    <row r="105" spans="1:8" x14ac:dyDescent="0.2">
      <c r="A105" s="42">
        <v>24</v>
      </c>
      <c r="B105" s="43" t="s">
        <v>390</v>
      </c>
      <c r="C105" s="43" t="s">
        <v>391</v>
      </c>
      <c r="D105" s="43" t="s">
        <v>146</v>
      </c>
      <c r="E105" s="44">
        <v>1000</v>
      </c>
      <c r="F105" s="45">
        <v>4943.0550000000003</v>
      </c>
      <c r="G105" s="46">
        <v>8.31345E-3</v>
      </c>
      <c r="H105" s="36">
        <v>7.2497999999999996</v>
      </c>
    </row>
    <row r="106" spans="1:8" ht="25.5" x14ac:dyDescent="0.2">
      <c r="A106" s="42">
        <v>25</v>
      </c>
      <c r="B106" s="43" t="s">
        <v>392</v>
      </c>
      <c r="C106" s="43" t="s">
        <v>393</v>
      </c>
      <c r="D106" s="43" t="s">
        <v>149</v>
      </c>
      <c r="E106" s="44">
        <v>1000</v>
      </c>
      <c r="F106" s="45">
        <v>4935.335</v>
      </c>
      <c r="G106" s="46">
        <v>8.3004700000000008E-3</v>
      </c>
      <c r="H106" s="36">
        <v>7.3574999999999999</v>
      </c>
    </row>
    <row r="107" spans="1:8" ht="25.5" x14ac:dyDescent="0.2">
      <c r="A107" s="42">
        <v>26</v>
      </c>
      <c r="B107" s="43" t="s">
        <v>394</v>
      </c>
      <c r="C107" s="43" t="s">
        <v>395</v>
      </c>
      <c r="D107" s="43" t="s">
        <v>146</v>
      </c>
      <c r="E107" s="44">
        <v>1000</v>
      </c>
      <c r="F107" s="45">
        <v>4926.4399999999996</v>
      </c>
      <c r="G107" s="46">
        <v>8.2855099999999994E-3</v>
      </c>
      <c r="H107" s="36">
        <v>7.6763000000000003</v>
      </c>
    </row>
    <row r="108" spans="1:8" ht="25.5" x14ac:dyDescent="0.2">
      <c r="A108" s="42">
        <v>27</v>
      </c>
      <c r="B108" s="43" t="s">
        <v>396</v>
      </c>
      <c r="C108" s="43" t="s">
        <v>397</v>
      </c>
      <c r="D108" s="43" t="s">
        <v>146</v>
      </c>
      <c r="E108" s="44">
        <v>1000</v>
      </c>
      <c r="F108" s="45">
        <v>4925.26</v>
      </c>
      <c r="G108" s="46">
        <v>8.2835300000000008E-3</v>
      </c>
      <c r="H108" s="36">
        <v>7.8013000000000003</v>
      </c>
    </row>
    <row r="109" spans="1:8" x14ac:dyDescent="0.2">
      <c r="A109" s="42">
        <v>28</v>
      </c>
      <c r="B109" s="43" t="s">
        <v>398</v>
      </c>
      <c r="C109" s="43" t="s">
        <v>399</v>
      </c>
      <c r="D109" s="43" t="s">
        <v>146</v>
      </c>
      <c r="E109" s="44">
        <v>1000</v>
      </c>
      <c r="F109" s="45">
        <v>4918.8900000000003</v>
      </c>
      <c r="G109" s="46">
        <v>8.2728100000000002E-3</v>
      </c>
      <c r="H109" s="36">
        <v>7.7163000000000004</v>
      </c>
    </row>
    <row r="110" spans="1:8" ht="25.5" x14ac:dyDescent="0.2">
      <c r="A110" s="42">
        <v>29</v>
      </c>
      <c r="B110" s="43" t="s">
        <v>400</v>
      </c>
      <c r="C110" s="43" t="s">
        <v>401</v>
      </c>
      <c r="D110" s="43" t="s">
        <v>146</v>
      </c>
      <c r="E110" s="44">
        <v>600</v>
      </c>
      <c r="F110" s="45">
        <v>2969.7510000000002</v>
      </c>
      <c r="G110" s="46">
        <v>4.9946599999999997E-3</v>
      </c>
      <c r="H110" s="36">
        <v>7.29</v>
      </c>
    </row>
    <row r="111" spans="1:8" ht="25.5" x14ac:dyDescent="0.2">
      <c r="A111" s="42">
        <v>30</v>
      </c>
      <c r="B111" s="43" t="s">
        <v>402</v>
      </c>
      <c r="C111" s="43" t="s">
        <v>403</v>
      </c>
      <c r="D111" s="43" t="s">
        <v>146</v>
      </c>
      <c r="E111" s="44">
        <v>500</v>
      </c>
      <c r="F111" s="45">
        <v>2486.6</v>
      </c>
      <c r="G111" s="46">
        <v>4.1820800000000003E-3</v>
      </c>
      <c r="H111" s="36">
        <v>7.5662000000000003</v>
      </c>
    </row>
    <row r="112" spans="1:8" x14ac:dyDescent="0.2">
      <c r="A112" s="42">
        <v>31</v>
      </c>
      <c r="B112" s="43" t="s">
        <v>404</v>
      </c>
      <c r="C112" s="43" t="s">
        <v>405</v>
      </c>
      <c r="D112" s="43" t="s">
        <v>146</v>
      </c>
      <c r="E112" s="44">
        <v>500</v>
      </c>
      <c r="F112" s="45">
        <v>2481.64</v>
      </c>
      <c r="G112" s="46">
        <v>4.1737399999999996E-3</v>
      </c>
      <c r="H112" s="36">
        <v>7.7163000000000004</v>
      </c>
    </row>
    <row r="113" spans="1:8" x14ac:dyDescent="0.2">
      <c r="A113" s="42">
        <v>32</v>
      </c>
      <c r="B113" s="43" t="s">
        <v>406</v>
      </c>
      <c r="C113" s="43" t="s">
        <v>407</v>
      </c>
      <c r="D113" s="43" t="s">
        <v>146</v>
      </c>
      <c r="E113" s="44">
        <v>500</v>
      </c>
      <c r="F113" s="45">
        <v>2470.6149999999998</v>
      </c>
      <c r="G113" s="46">
        <v>4.1551899999999996E-3</v>
      </c>
      <c r="H113" s="36">
        <v>7.6162999999999998</v>
      </c>
    </row>
    <row r="114" spans="1:8" x14ac:dyDescent="0.2">
      <c r="A114" s="34"/>
      <c r="B114" s="34"/>
      <c r="C114" s="35" t="s">
        <v>11</v>
      </c>
      <c r="D114" s="34"/>
      <c r="E114" s="34" t="s">
        <v>12</v>
      </c>
      <c r="F114" s="41">
        <v>230387.94099999999</v>
      </c>
      <c r="G114" s="38">
        <v>0.38747689000000002</v>
      </c>
      <c r="H114" s="36" t="s">
        <v>12</v>
      </c>
    </row>
    <row r="115" spans="1:8" x14ac:dyDescent="0.2">
      <c r="A115" s="34"/>
      <c r="B115" s="34"/>
      <c r="C115" s="39"/>
      <c r="D115" s="34"/>
      <c r="E115" s="34"/>
      <c r="F115" s="40"/>
      <c r="G115" s="40"/>
      <c r="H115" s="36" t="s">
        <v>12</v>
      </c>
    </row>
    <row r="116" spans="1:8" x14ac:dyDescent="0.2">
      <c r="A116" s="34"/>
      <c r="B116" s="34"/>
      <c r="C116" s="35" t="s">
        <v>93</v>
      </c>
      <c r="D116" s="34"/>
      <c r="E116" s="34"/>
      <c r="F116" s="40"/>
      <c r="G116" s="40"/>
      <c r="H116" s="36" t="s">
        <v>12</v>
      </c>
    </row>
    <row r="117" spans="1:8" x14ac:dyDescent="0.2">
      <c r="A117" s="42">
        <v>1</v>
      </c>
      <c r="B117" s="43" t="s">
        <v>408</v>
      </c>
      <c r="C117" s="43" t="s">
        <v>409</v>
      </c>
      <c r="D117" s="43" t="s">
        <v>75</v>
      </c>
      <c r="E117" s="44">
        <v>10000000</v>
      </c>
      <c r="F117" s="45">
        <v>9949.41</v>
      </c>
      <c r="G117" s="46">
        <v>1.6733370000000001E-2</v>
      </c>
      <c r="H117" s="36">
        <v>6.4</v>
      </c>
    </row>
    <row r="118" spans="1:8" x14ac:dyDescent="0.2">
      <c r="A118" s="42">
        <v>2</v>
      </c>
      <c r="B118" s="43" t="s">
        <v>410</v>
      </c>
      <c r="C118" s="43" t="s">
        <v>411</v>
      </c>
      <c r="D118" s="43" t="s">
        <v>75</v>
      </c>
      <c r="E118" s="44">
        <v>10000000</v>
      </c>
      <c r="F118" s="45">
        <v>9949.41</v>
      </c>
      <c r="G118" s="46">
        <v>1.6733370000000001E-2</v>
      </c>
      <c r="H118" s="36">
        <v>6.4</v>
      </c>
    </row>
    <row r="119" spans="1:8" x14ac:dyDescent="0.2">
      <c r="A119" s="42">
        <v>3</v>
      </c>
      <c r="B119" s="43" t="s">
        <v>412</v>
      </c>
      <c r="C119" s="43" t="s">
        <v>413</v>
      </c>
      <c r="D119" s="43" t="s">
        <v>75</v>
      </c>
      <c r="E119" s="44">
        <v>10000000</v>
      </c>
      <c r="F119" s="45">
        <v>9936.89</v>
      </c>
      <c r="G119" s="46">
        <v>1.6712310000000001E-2</v>
      </c>
      <c r="H119" s="36">
        <v>6.44</v>
      </c>
    </row>
    <row r="120" spans="1:8" x14ac:dyDescent="0.2">
      <c r="A120" s="42">
        <v>4</v>
      </c>
      <c r="B120" s="43" t="s">
        <v>414</v>
      </c>
      <c r="C120" s="43" t="s">
        <v>415</v>
      </c>
      <c r="D120" s="43" t="s">
        <v>75</v>
      </c>
      <c r="E120" s="44">
        <v>7500000</v>
      </c>
      <c r="F120" s="45">
        <v>7434.42</v>
      </c>
      <c r="G120" s="46">
        <v>1.250355E-2</v>
      </c>
      <c r="H120" s="36">
        <v>6.44</v>
      </c>
    </row>
    <row r="121" spans="1:8" x14ac:dyDescent="0.2">
      <c r="A121" s="42">
        <v>5</v>
      </c>
      <c r="B121" s="43" t="s">
        <v>416</v>
      </c>
      <c r="C121" s="43" t="s">
        <v>417</v>
      </c>
      <c r="D121" s="43" t="s">
        <v>75</v>
      </c>
      <c r="E121" s="44">
        <v>7500000</v>
      </c>
      <c r="F121" s="45">
        <v>7398.03</v>
      </c>
      <c r="G121" s="46">
        <v>1.244234E-2</v>
      </c>
      <c r="H121" s="36">
        <v>6.45</v>
      </c>
    </row>
    <row r="122" spans="1:8" x14ac:dyDescent="0.2">
      <c r="A122" s="42">
        <v>6</v>
      </c>
      <c r="B122" s="43" t="s">
        <v>418</v>
      </c>
      <c r="C122" s="43" t="s">
        <v>419</v>
      </c>
      <c r="D122" s="43" t="s">
        <v>75</v>
      </c>
      <c r="E122" s="44">
        <v>1000000</v>
      </c>
      <c r="F122" s="45">
        <v>998.59900000000005</v>
      </c>
      <c r="G122" s="46">
        <v>1.6794900000000001E-3</v>
      </c>
      <c r="H122" s="36">
        <v>6.4</v>
      </c>
    </row>
    <row r="123" spans="1:8" x14ac:dyDescent="0.2">
      <c r="A123" s="42">
        <v>7</v>
      </c>
      <c r="B123" s="43" t="s">
        <v>420</v>
      </c>
      <c r="C123" s="43" t="s">
        <v>421</v>
      </c>
      <c r="D123" s="43" t="s">
        <v>75</v>
      </c>
      <c r="E123" s="44">
        <v>1000000</v>
      </c>
      <c r="F123" s="45">
        <v>998.59900000000005</v>
      </c>
      <c r="G123" s="46">
        <v>1.6794900000000001E-3</v>
      </c>
      <c r="H123" s="36">
        <v>6.4</v>
      </c>
    </row>
    <row r="124" spans="1:8" x14ac:dyDescent="0.2">
      <c r="A124" s="34"/>
      <c r="B124" s="34"/>
      <c r="C124" s="35" t="s">
        <v>11</v>
      </c>
      <c r="D124" s="34"/>
      <c r="E124" s="34" t="s">
        <v>12</v>
      </c>
      <c r="F124" s="41">
        <v>46665.358</v>
      </c>
      <c r="G124" s="38">
        <v>7.8483919999999999E-2</v>
      </c>
      <c r="H124" s="36" t="s">
        <v>12</v>
      </c>
    </row>
    <row r="125" spans="1:8" x14ac:dyDescent="0.2">
      <c r="A125" s="34"/>
      <c r="B125" s="34"/>
      <c r="C125" s="39"/>
      <c r="D125" s="34"/>
      <c r="E125" s="34"/>
      <c r="F125" s="40"/>
      <c r="G125" s="40"/>
      <c r="H125" s="36" t="str">
        <f>IFERROR(VLOOKUP(B125,#REF!,12,FALSE),"")</f>
        <v/>
      </c>
    </row>
    <row r="126" spans="1:8" x14ac:dyDescent="0.2">
      <c r="A126" s="34"/>
      <c r="B126" s="34"/>
      <c r="C126" s="35" t="s">
        <v>94</v>
      </c>
      <c r="D126" s="34"/>
      <c r="E126" s="34"/>
      <c r="F126" s="40"/>
      <c r="G126" s="40"/>
      <c r="H126" s="36" t="str">
        <f>IFERROR(VLOOKUP(B126,#REF!,12,FALSE),"")</f>
        <v/>
      </c>
    </row>
    <row r="127" spans="1:8" x14ac:dyDescent="0.2">
      <c r="A127" s="42">
        <v>1</v>
      </c>
      <c r="B127" s="43"/>
      <c r="C127" s="43" t="s">
        <v>95</v>
      </c>
      <c r="D127" s="43"/>
      <c r="E127" s="47"/>
      <c r="F127" s="45">
        <v>2.7535720000000001</v>
      </c>
      <c r="G127" s="46" t="s">
        <v>659</v>
      </c>
      <c r="H127" s="36">
        <v>6.6</v>
      </c>
    </row>
    <row r="128" spans="1:8" x14ac:dyDescent="0.2">
      <c r="A128" s="34"/>
      <c r="B128" s="34"/>
      <c r="C128" s="35" t="s">
        <v>11</v>
      </c>
      <c r="D128" s="34"/>
      <c r="E128" s="34" t="s">
        <v>12</v>
      </c>
      <c r="F128" s="41">
        <v>2.7535720000000001</v>
      </c>
      <c r="G128" s="38">
        <v>4.6299999999999997E-6</v>
      </c>
      <c r="H128" s="36" t="str">
        <f>IFERROR(VLOOKUP(B128,#REF!,12,FALSE),"")</f>
        <v/>
      </c>
    </row>
    <row r="129" spans="1:17" x14ac:dyDescent="0.2">
      <c r="A129" s="34"/>
      <c r="B129" s="34"/>
      <c r="C129" s="39"/>
      <c r="D129" s="34"/>
      <c r="E129" s="34"/>
      <c r="F129" s="40"/>
      <c r="G129" s="40"/>
      <c r="H129" s="36" t="str">
        <f>IFERROR(VLOOKUP(B129,#REF!,12,FALSE),"")</f>
        <v/>
      </c>
    </row>
    <row r="130" spans="1:17" x14ac:dyDescent="0.2">
      <c r="A130" s="34"/>
      <c r="B130" s="34"/>
      <c r="C130" s="35" t="s">
        <v>96</v>
      </c>
      <c r="D130" s="34"/>
      <c r="E130" s="34"/>
      <c r="F130" s="41">
        <v>577765.29407199996</v>
      </c>
      <c r="G130" s="38">
        <v>0.97171189000000002</v>
      </c>
      <c r="H130" s="36" t="str">
        <f>IFERROR(VLOOKUP(B130,#REF!,12,FALSE),"")</f>
        <v/>
      </c>
    </row>
    <row r="131" spans="1:17" x14ac:dyDescent="0.2">
      <c r="A131" s="34"/>
      <c r="B131" s="34"/>
      <c r="C131" s="40"/>
      <c r="D131" s="34"/>
      <c r="E131" s="34"/>
      <c r="F131" s="34"/>
      <c r="G131" s="34"/>
      <c r="H131" s="36" t="str">
        <f>IFERROR(VLOOKUP(B131,#REF!,12,FALSE),"")</f>
        <v/>
      </c>
    </row>
    <row r="132" spans="1:17" x14ac:dyDescent="0.2">
      <c r="A132" s="34"/>
      <c r="B132" s="34"/>
      <c r="C132" s="35" t="s">
        <v>97</v>
      </c>
      <c r="D132" s="34"/>
      <c r="E132" s="34"/>
      <c r="F132" s="34"/>
      <c r="G132" s="34"/>
      <c r="H132" s="36" t="str">
        <f>IFERROR(VLOOKUP(B132,#REF!,12,FALSE),"")</f>
        <v/>
      </c>
    </row>
    <row r="133" spans="1:17" x14ac:dyDescent="0.2">
      <c r="A133" s="34"/>
      <c r="B133" s="34"/>
      <c r="C133" s="35" t="s">
        <v>98</v>
      </c>
      <c r="D133" s="34"/>
      <c r="E133" s="34"/>
      <c r="F133" s="34"/>
      <c r="G133" s="34"/>
      <c r="H133" s="36" t="str">
        <f>IFERROR(VLOOKUP(B133,#REF!,12,FALSE),"")</f>
        <v/>
      </c>
    </row>
    <row r="134" spans="1:17" x14ac:dyDescent="0.2">
      <c r="A134" s="34"/>
      <c r="B134" s="34"/>
      <c r="C134" s="35" t="s">
        <v>11</v>
      </c>
      <c r="D134" s="34"/>
      <c r="E134" s="34" t="s">
        <v>12</v>
      </c>
      <c r="F134" s="41" t="s">
        <v>13</v>
      </c>
      <c r="G134" s="38">
        <v>0</v>
      </c>
      <c r="H134" s="36" t="str">
        <f>IFERROR(VLOOKUP(B134,#REF!,12,FALSE),"")</f>
        <v/>
      </c>
    </row>
    <row r="135" spans="1:17" x14ac:dyDescent="0.2">
      <c r="A135" s="82"/>
      <c r="B135" s="82"/>
      <c r="C135" s="83"/>
      <c r="D135" s="82"/>
      <c r="E135" s="82"/>
      <c r="F135" s="84"/>
      <c r="G135" s="84"/>
      <c r="H135" s="36" t="s">
        <v>12</v>
      </c>
    </row>
    <row r="136" spans="1:17" ht="25.5" x14ac:dyDescent="0.2">
      <c r="A136" s="82"/>
      <c r="B136" s="82"/>
      <c r="C136" s="70" t="s">
        <v>581</v>
      </c>
      <c r="D136" s="82"/>
      <c r="E136" s="82"/>
      <c r="F136" s="84"/>
      <c r="G136" s="84"/>
      <c r="H136" s="79"/>
      <c r="K136" s="9"/>
      <c r="L136" s="9"/>
      <c r="M136" s="9"/>
      <c r="N136" s="9"/>
      <c r="O136" s="10"/>
      <c r="P136" s="10"/>
      <c r="Q136" s="10"/>
    </row>
    <row r="137" spans="1:17" ht="25.5" x14ac:dyDescent="0.2">
      <c r="A137" s="76">
        <v>1</v>
      </c>
      <c r="B137" s="77" t="s">
        <v>99</v>
      </c>
      <c r="C137" s="77" t="s">
        <v>100</v>
      </c>
      <c r="D137" s="77"/>
      <c r="E137" s="85">
        <v>13479.374400000001</v>
      </c>
      <c r="F137" s="79">
        <v>1461.941863987</v>
      </c>
      <c r="G137" s="80">
        <v>2.4587599999999999E-3</v>
      </c>
      <c r="H137" s="36"/>
    </row>
    <row r="138" spans="1:17" x14ac:dyDescent="0.2">
      <c r="A138" s="82"/>
      <c r="B138" s="82"/>
      <c r="C138" s="70" t="s">
        <v>11</v>
      </c>
      <c r="D138" s="82"/>
      <c r="E138" s="82" t="s">
        <v>12</v>
      </c>
      <c r="F138" s="86">
        <f>SUM(F137)</f>
        <v>1461.941863987</v>
      </c>
      <c r="G138" s="31">
        <f>SUM(G137)</f>
        <v>2.4587599999999999E-3</v>
      </c>
      <c r="H138" s="36" t="s">
        <v>12</v>
      </c>
    </row>
    <row r="139" spans="1:17" x14ac:dyDescent="0.2">
      <c r="A139" s="34"/>
      <c r="B139" s="34"/>
      <c r="C139" s="39"/>
      <c r="D139" s="34"/>
      <c r="E139" s="34"/>
      <c r="F139" s="40"/>
      <c r="G139" s="40"/>
      <c r="H139" s="36" t="str">
        <f>IFERROR(VLOOKUP(B139,#REF!,12,FALSE),"")</f>
        <v/>
      </c>
    </row>
    <row r="140" spans="1:17" x14ac:dyDescent="0.2">
      <c r="A140" s="34"/>
      <c r="B140" s="34"/>
      <c r="C140" s="35" t="s">
        <v>101</v>
      </c>
      <c r="D140" s="34"/>
      <c r="E140" s="34"/>
      <c r="F140" s="34"/>
      <c r="G140" s="34"/>
      <c r="H140" s="36" t="str">
        <f>IFERROR(VLOOKUP(B140,#REF!,12,FALSE),"")</f>
        <v/>
      </c>
    </row>
    <row r="141" spans="1:17" x14ac:dyDescent="0.2">
      <c r="A141" s="34"/>
      <c r="B141" s="34"/>
      <c r="C141" s="35" t="s">
        <v>102</v>
      </c>
      <c r="D141" s="34"/>
      <c r="E141" s="34"/>
      <c r="F141" s="34"/>
      <c r="G141" s="34"/>
      <c r="H141" s="36" t="str">
        <f>IFERROR(VLOOKUP(B141,#REF!,12,FALSE),"")</f>
        <v/>
      </c>
    </row>
    <row r="142" spans="1:17" x14ac:dyDescent="0.2">
      <c r="A142" s="34"/>
      <c r="B142" s="34"/>
      <c r="C142" s="35" t="s">
        <v>11</v>
      </c>
      <c r="D142" s="34"/>
      <c r="E142" s="34" t="s">
        <v>12</v>
      </c>
      <c r="F142" s="37" t="s">
        <v>13</v>
      </c>
      <c r="G142" s="38">
        <v>0</v>
      </c>
      <c r="H142" s="36" t="str">
        <f>IFERROR(VLOOKUP(B142,#REF!,12,FALSE),"")</f>
        <v/>
      </c>
    </row>
    <row r="143" spans="1:17" x14ac:dyDescent="0.2">
      <c r="A143" s="34"/>
      <c r="B143" s="34"/>
      <c r="C143" s="39"/>
      <c r="D143" s="34"/>
      <c r="E143" s="34"/>
      <c r="F143" s="40"/>
      <c r="G143" s="40"/>
      <c r="H143" s="36" t="str">
        <f>IFERROR(VLOOKUP(B143,#REF!,12,FALSE),"")</f>
        <v/>
      </c>
    </row>
    <row r="144" spans="1:17" ht="25.5" x14ac:dyDescent="0.2">
      <c r="A144" s="34"/>
      <c r="B144" s="34"/>
      <c r="C144" s="35" t="s">
        <v>103</v>
      </c>
      <c r="D144" s="34"/>
      <c r="E144" s="34"/>
      <c r="F144" s="40"/>
      <c r="G144" s="40"/>
      <c r="H144" s="36" t="str">
        <f>IFERROR(VLOOKUP(B144,#REF!,12,FALSE),"")</f>
        <v/>
      </c>
    </row>
    <row r="145" spans="1:8" x14ac:dyDescent="0.2">
      <c r="A145" s="34"/>
      <c r="B145" s="34"/>
      <c r="C145" s="35" t="s">
        <v>11</v>
      </c>
      <c r="D145" s="34"/>
      <c r="E145" s="34" t="s">
        <v>12</v>
      </c>
      <c r="F145" s="37" t="s">
        <v>13</v>
      </c>
      <c r="G145" s="38">
        <v>0</v>
      </c>
      <c r="H145" s="36" t="str">
        <f>IFERROR(VLOOKUP(B145,#REF!,12,FALSE),"")</f>
        <v/>
      </c>
    </row>
    <row r="146" spans="1:8" x14ac:dyDescent="0.2">
      <c r="A146" s="34"/>
      <c r="B146" s="43"/>
      <c r="C146" s="43"/>
      <c r="D146" s="35"/>
      <c r="E146" s="34"/>
      <c r="F146" s="43"/>
      <c r="G146" s="47"/>
      <c r="H146" s="36" t="str">
        <f>IFERROR(VLOOKUP(B146,#REF!,12,FALSE),"")</f>
        <v/>
      </c>
    </row>
    <row r="147" spans="1:8" x14ac:dyDescent="0.2">
      <c r="A147" s="47"/>
      <c r="B147" s="43"/>
      <c r="C147" s="43" t="s">
        <v>104</v>
      </c>
      <c r="D147" s="43"/>
      <c r="E147" s="47"/>
      <c r="F147" s="45">
        <f>-2125.46512577-0.000808547058105469</f>
        <v>-2125.4659343170583</v>
      </c>
      <c r="G147" s="46">
        <v>-3.5747000000000001E-3</v>
      </c>
      <c r="H147" s="36" t="str">
        <f>IFERROR(VLOOKUP(B147,#REF!,12,FALSE),"")</f>
        <v/>
      </c>
    </row>
    <row r="148" spans="1:8" x14ac:dyDescent="0.2">
      <c r="A148" s="39"/>
      <c r="B148" s="39"/>
      <c r="C148" s="35" t="s">
        <v>105</v>
      </c>
      <c r="D148" s="40"/>
      <c r="E148" s="40"/>
      <c r="F148" s="41">
        <f>594584.998310217-0.000808547058105469</f>
        <v>594584.99750167003</v>
      </c>
      <c r="G148" s="48">
        <v>1.00000003</v>
      </c>
      <c r="H148" s="36" t="str">
        <f>IFERROR(VLOOKUP(B148,#REF!,12,FALSE),"")</f>
        <v/>
      </c>
    </row>
    <row r="149" spans="1:8" x14ac:dyDescent="0.2">
      <c r="A149" s="49"/>
      <c r="B149" s="49"/>
      <c r="C149" s="49"/>
      <c r="D149" s="50"/>
      <c r="E149" s="50"/>
      <c r="F149" s="50"/>
      <c r="G149" s="50"/>
    </row>
    <row r="150" spans="1:8" x14ac:dyDescent="0.2">
      <c r="A150" s="51"/>
      <c r="B150" s="158" t="s">
        <v>582</v>
      </c>
      <c r="C150" s="158"/>
      <c r="D150" s="158"/>
      <c r="E150" s="158"/>
      <c r="F150" s="158"/>
      <c r="G150" s="158"/>
      <c r="H150" s="158"/>
    </row>
    <row r="151" spans="1:8" x14ac:dyDescent="0.2">
      <c r="A151" s="51"/>
      <c r="B151" s="158" t="s">
        <v>583</v>
      </c>
      <c r="C151" s="158"/>
      <c r="D151" s="158"/>
      <c r="E151" s="158"/>
      <c r="F151" s="158"/>
      <c r="G151" s="158"/>
      <c r="H151" s="158"/>
    </row>
    <row r="152" spans="1:8" x14ac:dyDescent="0.2">
      <c r="A152" s="51"/>
      <c r="B152" s="158" t="s">
        <v>584</v>
      </c>
      <c r="C152" s="158"/>
      <c r="D152" s="158"/>
      <c r="E152" s="158"/>
      <c r="F152" s="158"/>
      <c r="G152" s="158"/>
      <c r="H152" s="158"/>
    </row>
    <row r="153" spans="1:8" x14ac:dyDescent="0.2">
      <c r="A153" s="51"/>
      <c r="B153" s="177" t="s">
        <v>713</v>
      </c>
      <c r="C153" s="158"/>
      <c r="D153" s="158"/>
      <c r="E153" s="158"/>
      <c r="F153" s="158"/>
      <c r="G153" s="158"/>
      <c r="H153" s="158"/>
    </row>
    <row r="154" spans="1:8" x14ac:dyDescent="0.2">
      <c r="A154" s="51"/>
      <c r="B154" s="51"/>
      <c r="C154" s="51"/>
      <c r="D154" s="52"/>
      <c r="E154" s="52"/>
      <c r="F154" s="52"/>
      <c r="G154" s="52"/>
    </row>
    <row r="155" spans="1:8" x14ac:dyDescent="0.2">
      <c r="A155" s="53"/>
      <c r="B155" s="162" t="s">
        <v>106</v>
      </c>
      <c r="C155" s="163"/>
      <c r="D155" s="164"/>
      <c r="E155" s="54"/>
      <c r="F155" s="55"/>
      <c r="G155" s="55"/>
    </row>
    <row r="156" spans="1:8" ht="25.5" x14ac:dyDescent="0.2">
      <c r="A156" s="53"/>
      <c r="B156" s="165" t="s">
        <v>107</v>
      </c>
      <c r="C156" s="166"/>
      <c r="D156" s="70" t="s">
        <v>608</v>
      </c>
      <c r="E156" s="54"/>
      <c r="F156" s="55"/>
      <c r="G156" s="55"/>
    </row>
    <row r="157" spans="1:8" x14ac:dyDescent="0.2">
      <c r="A157" s="53"/>
      <c r="B157" s="165" t="s">
        <v>109</v>
      </c>
      <c r="C157" s="166"/>
      <c r="D157" s="35" t="s">
        <v>108</v>
      </c>
      <c r="E157" s="54"/>
      <c r="F157" s="55"/>
      <c r="G157" s="55"/>
    </row>
    <row r="158" spans="1:8" x14ac:dyDescent="0.2">
      <c r="A158" s="53"/>
      <c r="B158" s="165" t="s">
        <v>110</v>
      </c>
      <c r="C158" s="166"/>
      <c r="D158" s="40" t="s">
        <v>12</v>
      </c>
      <c r="E158" s="54"/>
      <c r="F158" s="55"/>
      <c r="G158" s="55"/>
    </row>
    <row r="159" spans="1:8" x14ac:dyDescent="0.2">
      <c r="A159" s="56"/>
      <c r="B159" s="57" t="s">
        <v>12</v>
      </c>
      <c r="C159" s="57" t="s">
        <v>585</v>
      </c>
      <c r="D159" s="57" t="s">
        <v>111</v>
      </c>
      <c r="E159" s="56"/>
      <c r="F159" s="56"/>
      <c r="G159" s="56"/>
      <c r="H159" s="58"/>
    </row>
    <row r="160" spans="1:8" x14ac:dyDescent="0.2">
      <c r="A160" s="56"/>
      <c r="B160" s="59" t="s">
        <v>112</v>
      </c>
      <c r="C160" s="60">
        <v>45626</v>
      </c>
      <c r="D160" s="60">
        <v>45657</v>
      </c>
      <c r="E160" s="56"/>
      <c r="F160" s="56"/>
      <c r="G160" s="56"/>
    </row>
    <row r="161" spans="1:7" x14ac:dyDescent="0.2">
      <c r="A161" s="61"/>
      <c r="B161" s="43" t="s">
        <v>113</v>
      </c>
      <c r="C161" s="62">
        <v>2236.4142000000002</v>
      </c>
      <c r="D161" s="62">
        <v>2249.7415999999998</v>
      </c>
      <c r="E161" s="61"/>
      <c r="F161" s="63"/>
      <c r="G161" s="64"/>
    </row>
    <row r="162" spans="1:7" x14ac:dyDescent="0.2">
      <c r="A162" s="61"/>
      <c r="B162" s="43" t="s">
        <v>141</v>
      </c>
      <c r="C162" s="62">
        <v>1229.8197</v>
      </c>
      <c r="D162" s="62">
        <v>1237.1476</v>
      </c>
      <c r="E162" s="61"/>
      <c r="F162" s="63"/>
      <c r="G162" s="64"/>
    </row>
    <row r="163" spans="1:7" ht="25.5" x14ac:dyDescent="0.2">
      <c r="A163" s="61"/>
      <c r="B163" s="43" t="s">
        <v>705</v>
      </c>
      <c r="C163" s="62">
        <v>1027.2156</v>
      </c>
      <c r="D163" s="62">
        <v>1027.0038999999999</v>
      </c>
      <c r="E163" s="61"/>
      <c r="F163" s="63"/>
      <c r="G163" s="64"/>
    </row>
    <row r="164" spans="1:7" ht="25.5" x14ac:dyDescent="0.2">
      <c r="A164" s="61"/>
      <c r="B164" s="43" t="s">
        <v>706</v>
      </c>
      <c r="C164" s="62">
        <v>1138.4840999999999</v>
      </c>
      <c r="D164" s="62">
        <v>1137.7311</v>
      </c>
      <c r="E164" s="61"/>
      <c r="F164" s="63"/>
      <c r="G164" s="64"/>
    </row>
    <row r="165" spans="1:7" x14ac:dyDescent="0.2">
      <c r="A165" s="61"/>
      <c r="B165" s="43" t="s">
        <v>114</v>
      </c>
      <c r="C165" s="62">
        <v>2213.3389000000002</v>
      </c>
      <c r="D165" s="62">
        <v>2226.1694000000002</v>
      </c>
      <c r="E165" s="61"/>
      <c r="F165" s="63"/>
      <c r="G165" s="64"/>
    </row>
    <row r="166" spans="1:7" x14ac:dyDescent="0.2">
      <c r="A166" s="61"/>
      <c r="B166" s="43" t="s">
        <v>142</v>
      </c>
      <c r="C166" s="62">
        <v>1225.1502</v>
      </c>
      <c r="D166" s="62">
        <v>1232.2523000000001</v>
      </c>
      <c r="E166" s="61"/>
      <c r="F166" s="63"/>
      <c r="G166" s="64"/>
    </row>
    <row r="167" spans="1:7" ht="25.5" x14ac:dyDescent="0.2">
      <c r="A167" s="61"/>
      <c r="B167" s="43" t="s">
        <v>709</v>
      </c>
      <c r="C167" s="62">
        <v>1027.0745999999999</v>
      </c>
      <c r="D167" s="62">
        <v>1026.8737000000001</v>
      </c>
      <c r="E167" s="61"/>
      <c r="F167" s="63"/>
      <c r="G167" s="64"/>
    </row>
    <row r="168" spans="1:7" ht="25.5" x14ac:dyDescent="0.2">
      <c r="A168" s="61"/>
      <c r="B168" s="43" t="s">
        <v>674</v>
      </c>
      <c r="C168" s="62">
        <v>1134.3961999999999</v>
      </c>
      <c r="D168" s="62">
        <v>1133.4367999999999</v>
      </c>
      <c r="E168" s="61"/>
      <c r="F168" s="63"/>
      <c r="G168" s="64"/>
    </row>
    <row r="169" spans="1:7" x14ac:dyDescent="0.2">
      <c r="A169" s="61"/>
      <c r="B169" s="61"/>
      <c r="C169" s="61"/>
      <c r="D169" s="61"/>
      <c r="E169" s="61"/>
      <c r="F169" s="61"/>
      <c r="G169" s="61"/>
    </row>
    <row r="170" spans="1:7" x14ac:dyDescent="0.2">
      <c r="A170" s="61"/>
      <c r="B170" s="165" t="s">
        <v>712</v>
      </c>
      <c r="C170" s="166"/>
      <c r="D170" s="35" t="s">
        <v>12</v>
      </c>
      <c r="E170" s="61"/>
      <c r="F170" s="61"/>
      <c r="G170" s="61"/>
    </row>
    <row r="171" spans="1:7" x14ac:dyDescent="0.2">
      <c r="A171" s="61"/>
      <c r="B171" s="65" t="s">
        <v>112</v>
      </c>
      <c r="C171" s="66" t="s">
        <v>115</v>
      </c>
      <c r="D171" s="66" t="s">
        <v>116</v>
      </c>
      <c r="E171" s="61"/>
      <c r="F171" s="61"/>
      <c r="G171" s="61"/>
    </row>
    <row r="172" spans="1:7" ht="29.1" customHeight="1" x14ac:dyDescent="0.2">
      <c r="A172" s="152"/>
      <c r="B172" s="153" t="s">
        <v>705</v>
      </c>
      <c r="C172" s="154">
        <v>6.3167</v>
      </c>
      <c r="D172" s="154">
        <v>6.3167</v>
      </c>
      <c r="E172" s="152"/>
      <c r="F172" s="156"/>
      <c r="G172" s="157"/>
    </row>
    <row r="173" spans="1:7" ht="29.1" customHeight="1" x14ac:dyDescent="0.2">
      <c r="A173" s="152"/>
      <c r="B173" s="153" t="s">
        <v>706</v>
      </c>
      <c r="C173" s="154">
        <v>7.5</v>
      </c>
      <c r="D173" s="155" t="s">
        <v>117</v>
      </c>
      <c r="E173" s="152"/>
      <c r="F173" s="156"/>
      <c r="G173" s="157"/>
    </row>
    <row r="174" spans="1:7" ht="29.1" customHeight="1" x14ac:dyDescent="0.2">
      <c r="A174" s="152"/>
      <c r="B174" s="153" t="s">
        <v>709</v>
      </c>
      <c r="C174" s="154">
        <v>6.1395</v>
      </c>
      <c r="D174" s="154">
        <v>6.1395</v>
      </c>
      <c r="E174" s="152"/>
      <c r="F174" s="156"/>
      <c r="G174" s="157"/>
    </row>
    <row r="175" spans="1:7" ht="29.1" customHeight="1" x14ac:dyDescent="0.2">
      <c r="A175" s="152"/>
      <c r="B175" s="153" t="s">
        <v>674</v>
      </c>
      <c r="C175" s="154">
        <v>7.5</v>
      </c>
      <c r="D175" s="155" t="s">
        <v>117</v>
      </c>
      <c r="E175" s="152"/>
      <c r="F175" s="156"/>
      <c r="G175" s="157"/>
    </row>
    <row r="176" spans="1:7" x14ac:dyDescent="0.2">
      <c r="A176" s="61"/>
      <c r="B176" s="68"/>
      <c r="C176" s="68"/>
      <c r="D176" s="69"/>
      <c r="E176" s="61"/>
      <c r="F176" s="63"/>
      <c r="G176" s="64"/>
    </row>
    <row r="177" spans="1:18" s="11" customFormat="1" x14ac:dyDescent="0.2">
      <c r="A177" s="100"/>
      <c r="B177" s="159" t="s">
        <v>600</v>
      </c>
      <c r="C177" s="160"/>
      <c r="D177" s="70" t="s">
        <v>108</v>
      </c>
      <c r="E177" s="100"/>
      <c r="F177" s="100"/>
      <c r="G177" s="100"/>
      <c r="I177"/>
      <c r="J177" s="8"/>
      <c r="K177" s="9"/>
      <c r="L177" s="9"/>
      <c r="M177" s="9"/>
      <c r="N177" s="9"/>
      <c r="O177" s="15"/>
      <c r="P177"/>
      <c r="Q177"/>
    </row>
    <row r="178" spans="1:18" ht="27.75" customHeight="1" x14ac:dyDescent="0.2">
      <c r="A178" s="56"/>
      <c r="B178" s="159" t="s">
        <v>601</v>
      </c>
      <c r="C178" s="160"/>
      <c r="D178" s="70" t="s">
        <v>108</v>
      </c>
      <c r="E178" s="71"/>
      <c r="F178" s="56"/>
      <c r="G178" s="56"/>
      <c r="J178" s="8"/>
    </row>
    <row r="179" spans="1:18" ht="26.25" customHeight="1" x14ac:dyDescent="0.2">
      <c r="A179" s="56"/>
      <c r="B179" s="159" t="s">
        <v>602</v>
      </c>
      <c r="C179" s="160"/>
      <c r="D179" s="70" t="s">
        <v>108</v>
      </c>
      <c r="E179" s="71"/>
      <c r="F179" s="56"/>
      <c r="G179" s="56"/>
      <c r="J179" s="8"/>
    </row>
    <row r="180" spans="1:18" x14ac:dyDescent="0.2">
      <c r="A180" s="56"/>
      <c r="B180" s="159" t="s">
        <v>603</v>
      </c>
      <c r="C180" s="160"/>
      <c r="D180" s="70" t="s">
        <v>108</v>
      </c>
      <c r="E180" s="71"/>
      <c r="F180" s="56"/>
      <c r="G180" s="56"/>
      <c r="J180" s="8"/>
    </row>
    <row r="181" spans="1:18" x14ac:dyDescent="0.2">
      <c r="A181" s="72"/>
      <c r="B181" s="72"/>
      <c r="C181" s="72"/>
      <c r="D181" s="72"/>
      <c r="E181" s="72"/>
      <c r="F181" s="72"/>
      <c r="G181" s="72"/>
      <c r="J181" s="8"/>
    </row>
    <row r="182" spans="1:18" s="11" customFormat="1" x14ac:dyDescent="0.2">
      <c r="B182" s="21" t="s">
        <v>700</v>
      </c>
      <c r="C182" s="21"/>
      <c r="D182" s="21"/>
      <c r="E182" s="21"/>
      <c r="F182" s="21"/>
      <c r="G182" s="21"/>
      <c r="I182"/>
      <c r="J182" s="8"/>
      <c r="K182" s="9"/>
      <c r="L182" s="9"/>
      <c r="M182" s="9"/>
      <c r="N182" s="9"/>
      <c r="O182"/>
    </row>
    <row r="183" spans="1:18" s="11" customFormat="1" x14ac:dyDescent="0.2">
      <c r="B183" s="21"/>
      <c r="C183" s="21"/>
      <c r="D183" s="21"/>
      <c r="E183" s="21"/>
      <c r="F183" s="21"/>
      <c r="G183" s="21"/>
      <c r="I183"/>
      <c r="J183" s="8"/>
      <c r="K183" s="9"/>
      <c r="L183" s="9"/>
      <c r="M183" s="9"/>
      <c r="N183" s="9"/>
      <c r="O183"/>
    </row>
    <row r="184" spans="1:18" s="11" customFormat="1" ht="63.75" x14ac:dyDescent="0.2">
      <c r="B184" s="23" t="s">
        <v>611</v>
      </c>
      <c r="C184" s="23" t="s">
        <v>610</v>
      </c>
      <c r="D184" s="23" t="s">
        <v>641</v>
      </c>
      <c r="E184" s="23" t="s">
        <v>642</v>
      </c>
      <c r="F184" s="23" t="s">
        <v>614</v>
      </c>
      <c r="I184"/>
      <c r="J184" s="8"/>
      <c r="K184" s="9"/>
      <c r="L184" s="9"/>
      <c r="M184" s="9"/>
      <c r="N184" s="9"/>
      <c r="O184"/>
    </row>
    <row r="185" spans="1:18" s="11" customFormat="1" ht="25.5" x14ac:dyDescent="0.2">
      <c r="B185" s="13" t="s">
        <v>616</v>
      </c>
      <c r="C185" s="24" t="s">
        <v>615</v>
      </c>
      <c r="D185" s="127">
        <v>0</v>
      </c>
      <c r="E185" s="29">
        <v>0</v>
      </c>
      <c r="F185" s="27">
        <v>5650</v>
      </c>
      <c r="I185"/>
      <c r="J185" s="8"/>
      <c r="K185" s="9"/>
      <c r="L185" s="9"/>
      <c r="M185" s="9"/>
      <c r="N185" s="9"/>
      <c r="O185"/>
      <c r="R185"/>
    </row>
    <row r="186" spans="1:18" s="11" customFormat="1" x14ac:dyDescent="0.2">
      <c r="I186"/>
      <c r="J186" s="8"/>
      <c r="K186" s="9"/>
      <c r="L186" s="9"/>
      <c r="M186" s="9"/>
      <c r="N186" s="9"/>
      <c r="O186"/>
      <c r="R186"/>
    </row>
    <row r="187" spans="1:18" s="11" customFormat="1" x14ac:dyDescent="0.2">
      <c r="B187" s="167" t="s">
        <v>587</v>
      </c>
      <c r="C187" s="168"/>
      <c r="D187" s="169"/>
      <c r="I187"/>
      <c r="J187" s="8"/>
      <c r="K187" s="9"/>
      <c r="L187" s="9"/>
      <c r="M187" s="9"/>
      <c r="N187" s="9"/>
      <c r="O187"/>
      <c r="R187"/>
    </row>
    <row r="188" spans="1:18" s="11" customFormat="1" ht="25.5" x14ac:dyDescent="0.2">
      <c r="B188" s="161" t="s">
        <v>588</v>
      </c>
      <c r="C188" s="161"/>
      <c r="D188" s="12" t="s">
        <v>275</v>
      </c>
      <c r="I188"/>
      <c r="J188" s="8"/>
      <c r="K188" s="9"/>
      <c r="L188" s="9"/>
      <c r="M188" s="9"/>
      <c r="N188" s="9"/>
      <c r="O188"/>
      <c r="R188"/>
    </row>
    <row r="189" spans="1:18" s="11" customFormat="1" x14ac:dyDescent="0.2">
      <c r="B189" s="171" t="s">
        <v>589</v>
      </c>
      <c r="C189" s="171"/>
      <c r="D189" s="13"/>
      <c r="I189"/>
      <c r="J189" s="8"/>
      <c r="K189" s="9"/>
      <c r="L189" s="9"/>
      <c r="M189" s="9"/>
      <c r="N189" s="9"/>
      <c r="O189"/>
      <c r="R189"/>
    </row>
    <row r="190" spans="1:18" s="11" customFormat="1" x14ac:dyDescent="0.2">
      <c r="B190" s="171"/>
      <c r="C190" s="171"/>
      <c r="D190" s="14"/>
      <c r="I190"/>
      <c r="J190" s="8"/>
      <c r="K190" s="9"/>
      <c r="L190" s="9"/>
      <c r="M190" s="9"/>
      <c r="N190" s="9"/>
      <c r="O190"/>
      <c r="R190"/>
    </row>
    <row r="191" spans="1:18" s="11" customFormat="1" x14ac:dyDescent="0.2">
      <c r="B191" s="171" t="s">
        <v>590</v>
      </c>
      <c r="C191" s="171"/>
      <c r="D191" s="19">
        <v>7.3050890962708266</v>
      </c>
      <c r="I191"/>
      <c r="J191" s="8"/>
      <c r="K191" s="9"/>
      <c r="L191" s="9"/>
      <c r="M191" s="9"/>
      <c r="N191" s="9"/>
      <c r="O191"/>
      <c r="R191"/>
    </row>
    <row r="192" spans="1:18" s="11" customFormat="1" x14ac:dyDescent="0.2">
      <c r="B192" s="171"/>
      <c r="C192" s="171"/>
      <c r="D192" s="14"/>
      <c r="I192"/>
      <c r="J192" s="8"/>
      <c r="K192" s="9"/>
      <c r="L192" s="9"/>
      <c r="M192" s="9"/>
      <c r="N192" s="9"/>
      <c r="O192"/>
      <c r="R192"/>
    </row>
    <row r="193" spans="2:18" s="11" customFormat="1" x14ac:dyDescent="0.2">
      <c r="B193" s="171" t="s">
        <v>591</v>
      </c>
      <c r="C193" s="171"/>
      <c r="D193" s="19">
        <v>0.15117979340552223</v>
      </c>
      <c r="I193"/>
      <c r="J193" s="8"/>
      <c r="K193" s="9"/>
      <c r="L193" s="9"/>
      <c r="M193" s="9"/>
      <c r="N193" s="9"/>
      <c r="O193"/>
      <c r="R193"/>
    </row>
    <row r="194" spans="2:18" s="11" customFormat="1" x14ac:dyDescent="0.2">
      <c r="B194" s="171" t="s">
        <v>592</v>
      </c>
      <c r="C194" s="171"/>
      <c r="D194" s="19">
        <v>0.15117979340552223</v>
      </c>
      <c r="I194"/>
      <c r="J194" s="8"/>
      <c r="K194" s="9"/>
      <c r="L194" s="9"/>
      <c r="M194" s="9"/>
      <c r="N194" s="9"/>
      <c r="O194"/>
      <c r="R194"/>
    </row>
    <row r="195" spans="2:18" s="11" customFormat="1" x14ac:dyDescent="0.2">
      <c r="B195" s="171"/>
      <c r="C195" s="171"/>
      <c r="D195" s="14"/>
      <c r="I195"/>
      <c r="J195" s="8"/>
      <c r="K195" s="9"/>
      <c r="L195" s="9"/>
      <c r="M195" s="9"/>
      <c r="N195" s="9"/>
      <c r="O195"/>
      <c r="P195"/>
      <c r="Q195"/>
      <c r="R195"/>
    </row>
    <row r="196" spans="2:18" s="11" customFormat="1" ht="25.5" x14ac:dyDescent="0.2">
      <c r="B196" s="171" t="s">
        <v>593</v>
      </c>
      <c r="C196" s="171"/>
      <c r="D196" s="74" t="s">
        <v>699</v>
      </c>
      <c r="I196"/>
      <c r="J196" s="8"/>
      <c r="K196" s="9"/>
      <c r="L196" s="9"/>
      <c r="M196" s="9"/>
      <c r="N196" s="9"/>
      <c r="O196" s="15"/>
    </row>
    <row r="197" spans="2:18" s="11" customFormat="1" x14ac:dyDescent="0.2">
      <c r="B197" s="172" t="s">
        <v>594</v>
      </c>
      <c r="C197" s="174"/>
      <c r="D197" s="173"/>
      <c r="I197"/>
      <c r="J197" s="8"/>
      <c r="K197" s="9"/>
      <c r="L197" s="9"/>
      <c r="M197" s="9"/>
      <c r="N197" s="9"/>
      <c r="O197"/>
      <c r="P197"/>
      <c r="Q197"/>
      <c r="R197"/>
    </row>
    <row r="198" spans="2:18" x14ac:dyDescent="0.2">
      <c r="J198" s="8"/>
    </row>
    <row r="199" spans="2:18" ht="25.5" x14ac:dyDescent="0.2">
      <c r="B199" s="16" t="s">
        <v>595</v>
      </c>
    </row>
    <row r="201" spans="2:18" ht="153.75" customHeight="1" x14ac:dyDescent="0.2"/>
    <row r="204" spans="2:18" x14ac:dyDescent="0.2">
      <c r="B204" s="17" t="s">
        <v>596</v>
      </c>
      <c r="C204" s="18"/>
      <c r="D204" s="17" t="s">
        <v>597</v>
      </c>
    </row>
    <row r="205" spans="2:18" x14ac:dyDescent="0.2">
      <c r="B205" s="17" t="s">
        <v>643</v>
      </c>
      <c r="D205" s="17" t="s">
        <v>644</v>
      </c>
    </row>
    <row r="206" spans="2:18" ht="165" customHeight="1" x14ac:dyDescent="0.2"/>
    <row r="208" spans="2:18" x14ac:dyDescent="0.2">
      <c r="J208" s="8"/>
    </row>
  </sheetData>
  <mergeCells count="27">
    <mergeCell ref="B197:D197"/>
    <mergeCell ref="B190:C190"/>
    <mergeCell ref="B191:C191"/>
    <mergeCell ref="B192:C192"/>
    <mergeCell ref="B193:C193"/>
    <mergeCell ref="B194:C194"/>
    <mergeCell ref="B187:D187"/>
    <mergeCell ref="B188:C188"/>
    <mergeCell ref="B189:C189"/>
    <mergeCell ref="B195:C195"/>
    <mergeCell ref="B196:C196"/>
    <mergeCell ref="A1:H1"/>
    <mergeCell ref="A2:H2"/>
    <mergeCell ref="A3:H3"/>
    <mergeCell ref="B150:H150"/>
    <mergeCell ref="B151:H151"/>
    <mergeCell ref="B152:H152"/>
    <mergeCell ref="B179:C179"/>
    <mergeCell ref="B180:C180"/>
    <mergeCell ref="B155:D155"/>
    <mergeCell ref="B156:C156"/>
    <mergeCell ref="B157:C157"/>
    <mergeCell ref="B158:C158"/>
    <mergeCell ref="B170:C170"/>
    <mergeCell ref="B178:C178"/>
    <mergeCell ref="B153:H153"/>
    <mergeCell ref="B177:C177"/>
  </mergeCells>
  <hyperlinks>
    <hyperlink ref="I1" location="Index!B2" display="Index" xr:uid="{49A586BC-2EDE-4E48-8C47-0EAD131D222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78B36-7CCA-4671-A022-DD4FB82548CD}">
  <sheetPr>
    <outlinePr summaryBelow="0" summaryRight="0"/>
  </sheetPr>
  <dimension ref="A1:S185"/>
  <sheetViews>
    <sheetView showGridLines="0" workbookViewId="0">
      <selection sqref="A1:H1"/>
    </sheetView>
  </sheetViews>
  <sheetFormatPr defaultRowHeight="12.75" x14ac:dyDescent="0.2"/>
  <cols>
    <col min="1" max="1" width="5.85546875" bestFit="1" customWidth="1"/>
    <col min="2" max="2" width="20.28515625" bestFit="1" customWidth="1"/>
    <col min="3" max="3" width="46.140625" customWidth="1"/>
    <col min="4" max="4" width="14.140625" customWidth="1"/>
    <col min="5" max="5" width="8.7109375" bestFit="1" customWidth="1"/>
    <col min="6" max="6" width="10.140625" bestFit="1" customWidth="1"/>
    <col min="7" max="7" width="14" bestFit="1" customWidth="1"/>
    <col min="8" max="8" width="9.85546875" customWidth="1"/>
    <col min="9" max="9" width="8.7109375" customWidth="1"/>
  </cols>
  <sheetData>
    <row r="1" spans="1:9" ht="15" x14ac:dyDescent="0.2">
      <c r="A1" s="170" t="s">
        <v>0</v>
      </c>
      <c r="B1" s="170"/>
      <c r="C1" s="170"/>
      <c r="D1" s="170"/>
      <c r="E1" s="170"/>
      <c r="F1" s="170"/>
      <c r="G1" s="170"/>
      <c r="H1" s="170"/>
      <c r="I1" s="7" t="s">
        <v>579</v>
      </c>
    </row>
    <row r="2" spans="1:9" ht="15" x14ac:dyDescent="0.2">
      <c r="A2" s="170" t="s">
        <v>422</v>
      </c>
      <c r="B2" s="170"/>
      <c r="C2" s="170"/>
      <c r="D2" s="170"/>
      <c r="E2" s="170"/>
      <c r="F2" s="170"/>
      <c r="G2" s="170"/>
      <c r="H2" s="170"/>
    </row>
    <row r="3" spans="1:9" ht="15" customHeight="1" x14ac:dyDescent="0.2">
      <c r="A3" s="170" t="s">
        <v>715</v>
      </c>
      <c r="B3" s="170"/>
      <c r="C3" s="170"/>
      <c r="D3" s="170"/>
      <c r="E3" s="170"/>
      <c r="F3" s="170"/>
      <c r="G3" s="170"/>
      <c r="H3" s="170"/>
    </row>
    <row r="4" spans="1:9" s="8" customFormat="1" ht="30" x14ac:dyDescent="0.2">
      <c r="A4" s="32" t="s">
        <v>2</v>
      </c>
      <c r="B4" s="32" t="s">
        <v>3</v>
      </c>
      <c r="C4" s="32" t="s">
        <v>4</v>
      </c>
      <c r="D4" s="32" t="s">
        <v>5</v>
      </c>
      <c r="E4" s="32" t="s">
        <v>6</v>
      </c>
      <c r="F4" s="32" t="s">
        <v>7</v>
      </c>
      <c r="G4" s="32" t="s">
        <v>8</v>
      </c>
      <c r="H4" s="33" t="s">
        <v>580</v>
      </c>
    </row>
    <row r="5" spans="1:9" x14ac:dyDescent="0.2">
      <c r="A5" s="34"/>
      <c r="B5" s="34"/>
      <c r="C5" s="35" t="s">
        <v>9</v>
      </c>
      <c r="D5" s="34"/>
      <c r="E5" s="34"/>
      <c r="F5" s="34"/>
      <c r="G5" s="34"/>
      <c r="H5" s="36" t="s">
        <v>12</v>
      </c>
    </row>
    <row r="6" spans="1:9" x14ac:dyDescent="0.2">
      <c r="A6" s="34"/>
      <c r="B6" s="34"/>
      <c r="C6" s="35" t="s">
        <v>10</v>
      </c>
      <c r="D6" s="34"/>
      <c r="E6" s="34"/>
      <c r="F6" s="34"/>
      <c r="G6" s="34"/>
      <c r="H6" s="36" t="s">
        <v>12</v>
      </c>
    </row>
    <row r="7" spans="1:9" x14ac:dyDescent="0.2">
      <c r="A7" s="34"/>
      <c r="B7" s="34"/>
      <c r="C7" s="35" t="s">
        <v>11</v>
      </c>
      <c r="D7" s="34"/>
      <c r="E7" s="34" t="s">
        <v>12</v>
      </c>
      <c r="F7" s="37" t="s">
        <v>13</v>
      </c>
      <c r="G7" s="38">
        <v>0</v>
      </c>
      <c r="H7" s="36" t="s">
        <v>12</v>
      </c>
    </row>
    <row r="8" spans="1:9" x14ac:dyDescent="0.2">
      <c r="A8" s="34"/>
      <c r="B8" s="34"/>
      <c r="C8" s="39"/>
      <c r="D8" s="34"/>
      <c r="E8" s="34"/>
      <c r="F8" s="40"/>
      <c r="G8" s="40"/>
      <c r="H8" s="36" t="s">
        <v>12</v>
      </c>
    </row>
    <row r="9" spans="1:9" x14ac:dyDescent="0.2">
      <c r="A9" s="34"/>
      <c r="B9" s="34"/>
      <c r="C9" s="35" t="s">
        <v>14</v>
      </c>
      <c r="D9" s="34"/>
      <c r="E9" s="34"/>
      <c r="F9" s="34"/>
      <c r="G9" s="34"/>
      <c r="H9" s="36" t="s">
        <v>12</v>
      </c>
    </row>
    <row r="10" spans="1:9" x14ac:dyDescent="0.2">
      <c r="A10" s="34"/>
      <c r="B10" s="34"/>
      <c r="C10" s="35" t="s">
        <v>11</v>
      </c>
      <c r="D10" s="34"/>
      <c r="E10" s="34" t="s">
        <v>12</v>
      </c>
      <c r="F10" s="37" t="s">
        <v>13</v>
      </c>
      <c r="G10" s="38">
        <v>0</v>
      </c>
      <c r="H10" s="36" t="s">
        <v>12</v>
      </c>
    </row>
    <row r="11" spans="1:9" x14ac:dyDescent="0.2">
      <c r="A11" s="34"/>
      <c r="B11" s="34"/>
      <c r="C11" s="39"/>
      <c r="D11" s="34"/>
      <c r="E11" s="34"/>
      <c r="F11" s="40"/>
      <c r="G11" s="40"/>
      <c r="H11" s="36" t="s">
        <v>12</v>
      </c>
    </row>
    <row r="12" spans="1:9" x14ac:dyDescent="0.2">
      <c r="A12" s="34"/>
      <c r="B12" s="34"/>
      <c r="C12" s="35" t="s">
        <v>15</v>
      </c>
      <c r="D12" s="34"/>
      <c r="E12" s="34"/>
      <c r="F12" s="34"/>
      <c r="G12" s="34"/>
      <c r="H12" s="36" t="s">
        <v>12</v>
      </c>
    </row>
    <row r="13" spans="1:9" x14ac:dyDescent="0.2">
      <c r="A13" s="34"/>
      <c r="B13" s="34"/>
      <c r="C13" s="35" t="s">
        <v>11</v>
      </c>
      <c r="D13" s="34"/>
      <c r="E13" s="34" t="s">
        <v>12</v>
      </c>
      <c r="F13" s="37" t="s">
        <v>13</v>
      </c>
      <c r="G13" s="38">
        <v>0</v>
      </c>
      <c r="H13" s="36" t="s">
        <v>12</v>
      </c>
    </row>
    <row r="14" spans="1:9" x14ac:dyDescent="0.2">
      <c r="A14" s="34"/>
      <c r="B14" s="34"/>
      <c r="C14" s="39"/>
      <c r="D14" s="34"/>
      <c r="E14" s="34"/>
      <c r="F14" s="40"/>
      <c r="G14" s="40"/>
      <c r="H14" s="36" t="s">
        <v>12</v>
      </c>
    </row>
    <row r="15" spans="1:9" x14ac:dyDescent="0.2">
      <c r="A15" s="34"/>
      <c r="B15" s="34"/>
      <c r="C15" s="35" t="s">
        <v>16</v>
      </c>
      <c r="D15" s="34"/>
      <c r="E15" s="34"/>
      <c r="F15" s="34"/>
      <c r="G15" s="34"/>
      <c r="H15" s="36" t="s">
        <v>12</v>
      </c>
    </row>
    <row r="16" spans="1:9" x14ac:dyDescent="0.2">
      <c r="A16" s="34"/>
      <c r="B16" s="34"/>
      <c r="C16" s="35" t="s">
        <v>11</v>
      </c>
      <c r="D16" s="34"/>
      <c r="E16" s="34" t="s">
        <v>12</v>
      </c>
      <c r="F16" s="37" t="s">
        <v>13</v>
      </c>
      <c r="G16" s="38">
        <v>0</v>
      </c>
      <c r="H16" s="36" t="s">
        <v>12</v>
      </c>
    </row>
    <row r="17" spans="1:8" x14ac:dyDescent="0.2">
      <c r="A17" s="34"/>
      <c r="B17" s="34"/>
      <c r="C17" s="39"/>
      <c r="D17" s="34"/>
      <c r="E17" s="34"/>
      <c r="F17" s="40"/>
      <c r="G17" s="40"/>
      <c r="H17" s="36" t="s">
        <v>12</v>
      </c>
    </row>
    <row r="18" spans="1:8" x14ac:dyDescent="0.2">
      <c r="A18" s="34"/>
      <c r="B18" s="34"/>
      <c r="C18" s="35" t="s">
        <v>17</v>
      </c>
      <c r="D18" s="34"/>
      <c r="E18" s="34"/>
      <c r="F18" s="40"/>
      <c r="G18" s="40"/>
      <c r="H18" s="36" t="s">
        <v>12</v>
      </c>
    </row>
    <row r="19" spans="1:8" x14ac:dyDescent="0.2">
      <c r="A19" s="34"/>
      <c r="B19" s="34"/>
      <c r="C19" s="35" t="s">
        <v>11</v>
      </c>
      <c r="D19" s="34"/>
      <c r="E19" s="34" t="s">
        <v>12</v>
      </c>
      <c r="F19" s="37" t="s">
        <v>13</v>
      </c>
      <c r="G19" s="38">
        <v>0</v>
      </c>
      <c r="H19" s="36" t="s">
        <v>12</v>
      </c>
    </row>
    <row r="20" spans="1:8" x14ac:dyDescent="0.2">
      <c r="A20" s="34"/>
      <c r="B20" s="34"/>
      <c r="C20" s="39"/>
      <c r="D20" s="34"/>
      <c r="E20" s="34"/>
      <c r="F20" s="40"/>
      <c r="G20" s="40"/>
      <c r="H20" s="36" t="s">
        <v>12</v>
      </c>
    </row>
    <row r="21" spans="1:8" x14ac:dyDescent="0.2">
      <c r="A21" s="34"/>
      <c r="B21" s="34"/>
      <c r="C21" s="35" t="s">
        <v>18</v>
      </c>
      <c r="D21" s="34"/>
      <c r="E21" s="34"/>
      <c r="F21" s="40"/>
      <c r="G21" s="40"/>
      <c r="H21" s="36" t="s">
        <v>12</v>
      </c>
    </row>
    <row r="22" spans="1:8" x14ac:dyDescent="0.2">
      <c r="A22" s="34"/>
      <c r="B22" s="34"/>
      <c r="C22" s="35" t="s">
        <v>11</v>
      </c>
      <c r="D22" s="34"/>
      <c r="E22" s="34" t="s">
        <v>12</v>
      </c>
      <c r="F22" s="37" t="s">
        <v>13</v>
      </c>
      <c r="G22" s="38">
        <v>0</v>
      </c>
      <c r="H22" s="36" t="s">
        <v>12</v>
      </c>
    </row>
    <row r="23" spans="1:8" x14ac:dyDescent="0.2">
      <c r="A23" s="34"/>
      <c r="B23" s="34"/>
      <c r="C23" s="39"/>
      <c r="D23" s="34"/>
      <c r="E23" s="34"/>
      <c r="F23" s="40"/>
      <c r="G23" s="40"/>
      <c r="H23" s="36" t="s">
        <v>12</v>
      </c>
    </row>
    <row r="24" spans="1:8" x14ac:dyDescent="0.2">
      <c r="A24" s="34"/>
      <c r="B24" s="34"/>
      <c r="C24" s="35" t="s">
        <v>19</v>
      </c>
      <c r="D24" s="34"/>
      <c r="E24" s="34"/>
      <c r="F24" s="41">
        <v>0</v>
      </c>
      <c r="G24" s="38">
        <v>0</v>
      </c>
      <c r="H24" s="36" t="s">
        <v>12</v>
      </c>
    </row>
    <row r="25" spans="1:8" x14ac:dyDescent="0.2">
      <c r="A25" s="34"/>
      <c r="B25" s="34"/>
      <c r="C25" s="39"/>
      <c r="D25" s="34"/>
      <c r="E25" s="34"/>
      <c r="F25" s="40"/>
      <c r="G25" s="40"/>
      <c r="H25" s="36" t="s">
        <v>12</v>
      </c>
    </row>
    <row r="26" spans="1:8" x14ac:dyDescent="0.2">
      <c r="A26" s="34"/>
      <c r="B26" s="34"/>
      <c r="C26" s="35" t="s">
        <v>20</v>
      </c>
      <c r="D26" s="34"/>
      <c r="E26" s="34"/>
      <c r="F26" s="40"/>
      <c r="G26" s="40"/>
      <c r="H26" s="36" t="s">
        <v>12</v>
      </c>
    </row>
    <row r="27" spans="1:8" x14ac:dyDescent="0.2">
      <c r="A27" s="34"/>
      <c r="B27" s="34"/>
      <c r="C27" s="35" t="s">
        <v>10</v>
      </c>
      <c r="D27" s="34"/>
      <c r="E27" s="34"/>
      <c r="F27" s="40"/>
      <c r="G27" s="40"/>
      <c r="H27" s="36" t="s">
        <v>12</v>
      </c>
    </row>
    <row r="28" spans="1:8" x14ac:dyDescent="0.2">
      <c r="A28" s="42">
        <v>1</v>
      </c>
      <c r="B28" s="43" t="s">
        <v>237</v>
      </c>
      <c r="C28" s="43" t="s">
        <v>238</v>
      </c>
      <c r="D28" s="43" t="s">
        <v>234</v>
      </c>
      <c r="E28" s="44">
        <v>1100</v>
      </c>
      <c r="F28" s="45">
        <v>1107.1808000000001</v>
      </c>
      <c r="G28" s="46">
        <v>5.0678389999999997E-2</v>
      </c>
      <c r="H28" s="36">
        <v>8.0850000000000009</v>
      </c>
    </row>
    <row r="29" spans="1:8" x14ac:dyDescent="0.2">
      <c r="A29" s="42">
        <v>2</v>
      </c>
      <c r="B29" s="43" t="s">
        <v>423</v>
      </c>
      <c r="C29" s="43" t="s">
        <v>424</v>
      </c>
      <c r="D29" s="43" t="s">
        <v>23</v>
      </c>
      <c r="E29" s="44">
        <v>1000</v>
      </c>
      <c r="F29" s="45">
        <v>1009.453</v>
      </c>
      <c r="G29" s="46">
        <v>4.620515E-2</v>
      </c>
      <c r="H29" s="36">
        <v>7.42</v>
      </c>
    </row>
    <row r="30" spans="1:8" ht="25.5" x14ac:dyDescent="0.2">
      <c r="A30" s="42">
        <v>3</v>
      </c>
      <c r="B30" s="43" t="s">
        <v>37</v>
      </c>
      <c r="C30" s="43" t="s">
        <v>38</v>
      </c>
      <c r="D30" s="43" t="s">
        <v>23</v>
      </c>
      <c r="E30" s="44">
        <v>1000</v>
      </c>
      <c r="F30" s="45">
        <v>1003.871</v>
      </c>
      <c r="G30" s="46">
        <v>4.594964E-2</v>
      </c>
      <c r="H30" s="36">
        <v>7.4950000000000001</v>
      </c>
    </row>
    <row r="31" spans="1:8" x14ac:dyDescent="0.2">
      <c r="A31" s="42">
        <v>4</v>
      </c>
      <c r="B31" s="43" t="s">
        <v>239</v>
      </c>
      <c r="C31" s="43" t="s">
        <v>240</v>
      </c>
      <c r="D31" s="43" t="s">
        <v>231</v>
      </c>
      <c r="E31" s="44">
        <v>1000</v>
      </c>
      <c r="F31" s="45">
        <v>999.58399999999995</v>
      </c>
      <c r="G31" s="46">
        <v>4.5753420000000003E-2</v>
      </c>
      <c r="H31" s="36">
        <v>8.1675000000000004</v>
      </c>
    </row>
    <row r="32" spans="1:8" ht="25.5" x14ac:dyDescent="0.2">
      <c r="A32" s="42">
        <v>5</v>
      </c>
      <c r="B32" s="43" t="s">
        <v>425</v>
      </c>
      <c r="C32" s="43" t="s">
        <v>426</v>
      </c>
      <c r="D32" s="43" t="s">
        <v>258</v>
      </c>
      <c r="E32" s="44">
        <v>500</v>
      </c>
      <c r="F32" s="45">
        <v>504.80099999999999</v>
      </c>
      <c r="G32" s="46">
        <v>2.3105980000000002E-2</v>
      </c>
      <c r="H32" s="36">
        <v>8.2449999999999992</v>
      </c>
    </row>
    <row r="33" spans="1:8" x14ac:dyDescent="0.2">
      <c r="A33" s="42">
        <v>6</v>
      </c>
      <c r="B33" s="43" t="s">
        <v>59</v>
      </c>
      <c r="C33" s="43" t="s">
        <v>60</v>
      </c>
      <c r="D33" s="43" t="s">
        <v>23</v>
      </c>
      <c r="E33" s="44">
        <v>50</v>
      </c>
      <c r="F33" s="45">
        <v>503.10750000000002</v>
      </c>
      <c r="G33" s="46">
        <v>2.3028469999999999E-2</v>
      </c>
      <c r="H33" s="36">
        <v>7.7074999999999996</v>
      </c>
    </row>
    <row r="34" spans="1:8" x14ac:dyDescent="0.2">
      <c r="A34" s="42">
        <v>7</v>
      </c>
      <c r="B34" s="43" t="s">
        <v>125</v>
      </c>
      <c r="C34" s="43" t="s">
        <v>126</v>
      </c>
      <c r="D34" s="43" t="s">
        <v>23</v>
      </c>
      <c r="E34" s="44">
        <v>500</v>
      </c>
      <c r="F34" s="45">
        <v>502.41800000000001</v>
      </c>
      <c r="G34" s="46">
        <v>2.2996909999999999E-2</v>
      </c>
      <c r="H34" s="36">
        <v>7.3554000000000004</v>
      </c>
    </row>
    <row r="35" spans="1:8" ht="25.5" x14ac:dyDescent="0.2">
      <c r="A35" s="42">
        <v>8</v>
      </c>
      <c r="B35" s="43" t="s">
        <v>427</v>
      </c>
      <c r="C35" s="43" t="s">
        <v>428</v>
      </c>
      <c r="D35" s="43" t="s">
        <v>36</v>
      </c>
      <c r="E35" s="44">
        <v>500</v>
      </c>
      <c r="F35" s="45">
        <v>502.31950000000001</v>
      </c>
      <c r="G35" s="46">
        <v>2.29924E-2</v>
      </c>
      <c r="H35" s="36">
        <v>7.54</v>
      </c>
    </row>
    <row r="36" spans="1:8" x14ac:dyDescent="0.2">
      <c r="A36" s="42">
        <v>9</v>
      </c>
      <c r="B36" s="43" t="s">
        <v>232</v>
      </c>
      <c r="C36" s="43" t="s">
        <v>233</v>
      </c>
      <c r="D36" s="43" t="s">
        <v>234</v>
      </c>
      <c r="E36" s="44">
        <v>500</v>
      </c>
      <c r="F36" s="45">
        <v>501.95150000000001</v>
      </c>
      <c r="G36" s="46">
        <v>2.2975550000000001E-2</v>
      </c>
      <c r="H36" s="36">
        <v>8.8149999999999995</v>
      </c>
    </row>
    <row r="37" spans="1:8" x14ac:dyDescent="0.2">
      <c r="A37" s="42">
        <v>10</v>
      </c>
      <c r="B37" s="43" t="s">
        <v>226</v>
      </c>
      <c r="C37" s="43" t="s">
        <v>227</v>
      </c>
      <c r="D37" s="43" t="s">
        <v>228</v>
      </c>
      <c r="E37" s="44">
        <v>500</v>
      </c>
      <c r="F37" s="45">
        <v>499.89850000000001</v>
      </c>
      <c r="G37" s="46">
        <v>2.2881579999999999E-2</v>
      </c>
      <c r="H37" s="36">
        <v>7.68</v>
      </c>
    </row>
    <row r="38" spans="1:8" x14ac:dyDescent="0.2">
      <c r="A38" s="42">
        <v>11</v>
      </c>
      <c r="B38" s="43" t="s">
        <v>61</v>
      </c>
      <c r="C38" s="43" t="s">
        <v>62</v>
      </c>
      <c r="D38" s="43" t="s">
        <v>23</v>
      </c>
      <c r="E38" s="44">
        <v>500</v>
      </c>
      <c r="F38" s="45">
        <v>499.89049999999997</v>
      </c>
      <c r="G38" s="46">
        <v>2.2881220000000001E-2</v>
      </c>
      <c r="H38" s="36">
        <v>8.0649999999999995</v>
      </c>
    </row>
    <row r="39" spans="1:8" x14ac:dyDescent="0.2">
      <c r="A39" s="42">
        <v>12</v>
      </c>
      <c r="B39" s="43" t="s">
        <v>241</v>
      </c>
      <c r="C39" s="43" t="s">
        <v>242</v>
      </c>
      <c r="D39" s="43" t="s">
        <v>23</v>
      </c>
      <c r="E39" s="44">
        <v>500</v>
      </c>
      <c r="F39" s="45">
        <v>499.51150000000001</v>
      </c>
      <c r="G39" s="46">
        <v>2.2863870000000001E-2</v>
      </c>
      <c r="H39" s="36">
        <v>7.66</v>
      </c>
    </row>
    <row r="40" spans="1:8" x14ac:dyDescent="0.2">
      <c r="A40" s="42">
        <v>13</v>
      </c>
      <c r="B40" s="43" t="s">
        <v>429</v>
      </c>
      <c r="C40" s="43" t="s">
        <v>430</v>
      </c>
      <c r="D40" s="43" t="s">
        <v>23</v>
      </c>
      <c r="E40" s="44">
        <v>500</v>
      </c>
      <c r="F40" s="45">
        <v>498.80250000000001</v>
      </c>
      <c r="G40" s="46">
        <v>2.2831420000000002E-2</v>
      </c>
      <c r="H40" s="36">
        <v>7.63</v>
      </c>
    </row>
    <row r="41" spans="1:8" ht="25.5" x14ac:dyDescent="0.2">
      <c r="A41" s="42">
        <v>14</v>
      </c>
      <c r="B41" s="43" t="s">
        <v>63</v>
      </c>
      <c r="C41" s="43" t="s">
        <v>64</v>
      </c>
      <c r="D41" s="43" t="s">
        <v>23</v>
      </c>
      <c r="E41" s="44">
        <v>500</v>
      </c>
      <c r="F41" s="45">
        <v>498.15</v>
      </c>
      <c r="G41" s="46">
        <v>2.280155E-2</v>
      </c>
      <c r="H41" s="36">
        <v>7.6349999999999998</v>
      </c>
    </row>
    <row r="42" spans="1:8" x14ac:dyDescent="0.2">
      <c r="A42" s="42">
        <v>15</v>
      </c>
      <c r="B42" s="43" t="s">
        <v>431</v>
      </c>
      <c r="C42" s="43" t="s">
        <v>432</v>
      </c>
      <c r="D42" s="43" t="s">
        <v>23</v>
      </c>
      <c r="E42" s="44">
        <v>50</v>
      </c>
      <c r="F42" s="45">
        <v>496.52949999999998</v>
      </c>
      <c r="G42" s="46">
        <v>2.2727379999999998E-2</v>
      </c>
      <c r="H42" s="36">
        <v>7.6</v>
      </c>
    </row>
    <row r="43" spans="1:8" x14ac:dyDescent="0.2">
      <c r="A43" s="42">
        <v>16</v>
      </c>
      <c r="B43" s="43" t="s">
        <v>433</v>
      </c>
      <c r="C43" s="43" t="s">
        <v>434</v>
      </c>
      <c r="D43" s="43" t="s">
        <v>23</v>
      </c>
      <c r="E43" s="44">
        <v>50</v>
      </c>
      <c r="F43" s="45">
        <v>487.64350000000002</v>
      </c>
      <c r="G43" s="46">
        <v>2.2320639999999999E-2</v>
      </c>
      <c r="H43" s="36">
        <v>7.77</v>
      </c>
    </row>
    <row r="44" spans="1:8" x14ac:dyDescent="0.2">
      <c r="A44" s="42">
        <v>17</v>
      </c>
      <c r="B44" s="43" t="s">
        <v>229</v>
      </c>
      <c r="C44" s="43" t="s">
        <v>230</v>
      </c>
      <c r="D44" s="43" t="s">
        <v>231</v>
      </c>
      <c r="E44" s="44">
        <v>300</v>
      </c>
      <c r="F44" s="45">
        <v>301.77359999999999</v>
      </c>
      <c r="G44" s="46">
        <v>1.3812919999999999E-2</v>
      </c>
      <c r="H44" s="36">
        <v>7.9950000000000001</v>
      </c>
    </row>
    <row r="45" spans="1:8" x14ac:dyDescent="0.2">
      <c r="A45" s="34"/>
      <c r="B45" s="34"/>
      <c r="C45" s="35" t="s">
        <v>11</v>
      </c>
      <c r="D45" s="34"/>
      <c r="E45" s="34" t="s">
        <v>12</v>
      </c>
      <c r="F45" s="41">
        <v>10416.885899999999</v>
      </c>
      <c r="G45" s="38">
        <v>0.47680649000000003</v>
      </c>
      <c r="H45" s="36" t="s">
        <v>12</v>
      </c>
    </row>
    <row r="46" spans="1:8" x14ac:dyDescent="0.2">
      <c r="A46" s="34"/>
      <c r="B46" s="34"/>
      <c r="C46" s="39"/>
      <c r="D46" s="34"/>
      <c r="E46" s="34"/>
      <c r="F46" s="40"/>
      <c r="G46" s="40"/>
      <c r="H46" s="36" t="s">
        <v>12</v>
      </c>
    </row>
    <row r="47" spans="1:8" x14ac:dyDescent="0.2">
      <c r="A47" s="34"/>
      <c r="B47" s="34"/>
      <c r="C47" s="35" t="s">
        <v>71</v>
      </c>
      <c r="D47" s="34"/>
      <c r="E47" s="34"/>
      <c r="F47" s="34"/>
      <c r="G47" s="34"/>
      <c r="H47" s="36" t="s">
        <v>12</v>
      </c>
    </row>
    <row r="48" spans="1:8" x14ac:dyDescent="0.2">
      <c r="A48" s="34"/>
      <c r="B48" s="34"/>
      <c r="C48" s="35" t="s">
        <v>11</v>
      </c>
      <c r="D48" s="34"/>
      <c r="E48" s="34" t="s">
        <v>12</v>
      </c>
      <c r="F48" s="37" t="s">
        <v>13</v>
      </c>
      <c r="G48" s="38">
        <v>0</v>
      </c>
      <c r="H48" s="36" t="s">
        <v>12</v>
      </c>
    </row>
    <row r="49" spans="1:8" x14ac:dyDescent="0.2">
      <c r="A49" s="34"/>
      <c r="B49" s="34"/>
      <c r="C49" s="39"/>
      <c r="D49" s="34"/>
      <c r="E49" s="34"/>
      <c r="F49" s="40"/>
      <c r="G49" s="40"/>
      <c r="H49" s="36" t="s">
        <v>12</v>
      </c>
    </row>
    <row r="50" spans="1:8" x14ac:dyDescent="0.2">
      <c r="A50" s="34"/>
      <c r="B50" s="34"/>
      <c r="C50" s="35" t="s">
        <v>72</v>
      </c>
      <c r="D50" s="34"/>
      <c r="E50" s="34"/>
      <c r="F50" s="34"/>
      <c r="G50" s="34"/>
      <c r="H50" s="36" t="s">
        <v>12</v>
      </c>
    </row>
    <row r="51" spans="1:8" x14ac:dyDescent="0.2">
      <c r="A51" s="42">
        <v>1</v>
      </c>
      <c r="B51" s="43" t="s">
        <v>73</v>
      </c>
      <c r="C51" s="43" t="s">
        <v>74</v>
      </c>
      <c r="D51" s="43" t="s">
        <v>75</v>
      </c>
      <c r="E51" s="44">
        <v>2700000</v>
      </c>
      <c r="F51" s="45">
        <v>2756.3409000000001</v>
      </c>
      <c r="G51" s="46">
        <v>0.12616450000000001</v>
      </c>
      <c r="H51" s="36">
        <v>6.9061000000000003</v>
      </c>
    </row>
    <row r="52" spans="1:8" x14ac:dyDescent="0.2">
      <c r="A52" s="42">
        <v>2</v>
      </c>
      <c r="B52" s="43" t="s">
        <v>82</v>
      </c>
      <c r="C52" s="43" t="s">
        <v>83</v>
      </c>
      <c r="D52" s="43" t="s">
        <v>75</v>
      </c>
      <c r="E52" s="44">
        <v>1500000</v>
      </c>
      <c r="F52" s="45">
        <v>1531.9034999999999</v>
      </c>
      <c r="G52" s="46">
        <v>7.0118990000000006E-2</v>
      </c>
      <c r="H52" s="36">
        <v>6.8368000000000002</v>
      </c>
    </row>
    <row r="53" spans="1:8" x14ac:dyDescent="0.2">
      <c r="A53" s="42">
        <v>3</v>
      </c>
      <c r="B53" s="43" t="s">
        <v>261</v>
      </c>
      <c r="C53" s="43" t="s">
        <v>262</v>
      </c>
      <c r="D53" s="43" t="s">
        <v>75</v>
      </c>
      <c r="E53" s="44">
        <v>1000000</v>
      </c>
      <c r="F53" s="45">
        <v>1014.713</v>
      </c>
      <c r="G53" s="46">
        <v>4.644591E-2</v>
      </c>
      <c r="H53" s="36">
        <v>6.8349000000000002</v>
      </c>
    </row>
    <row r="54" spans="1:8" x14ac:dyDescent="0.2">
      <c r="A54" s="42">
        <v>4</v>
      </c>
      <c r="B54" s="43" t="s">
        <v>86</v>
      </c>
      <c r="C54" s="43" t="s">
        <v>87</v>
      </c>
      <c r="D54" s="43" t="s">
        <v>75</v>
      </c>
      <c r="E54" s="44">
        <v>500000</v>
      </c>
      <c r="F54" s="45">
        <v>512.30050000000006</v>
      </c>
      <c r="G54" s="46">
        <v>2.3449250000000001E-2</v>
      </c>
      <c r="H54" s="36">
        <v>7.0019999999999998</v>
      </c>
    </row>
    <row r="55" spans="1:8" ht="25.5" x14ac:dyDescent="0.2">
      <c r="A55" s="42">
        <v>5</v>
      </c>
      <c r="B55" s="43" t="s">
        <v>435</v>
      </c>
      <c r="C55" s="43" t="s">
        <v>436</v>
      </c>
      <c r="D55" s="43" t="s">
        <v>75</v>
      </c>
      <c r="E55" s="44">
        <v>500000</v>
      </c>
      <c r="F55" s="45">
        <v>510.43299999999999</v>
      </c>
      <c r="G55" s="46">
        <v>2.3363769999999999E-2</v>
      </c>
      <c r="H55" s="36">
        <v>7.2519999999999998</v>
      </c>
    </row>
    <row r="56" spans="1:8" ht="25.5" x14ac:dyDescent="0.2">
      <c r="A56" s="42">
        <v>6</v>
      </c>
      <c r="B56" s="43" t="s">
        <v>437</v>
      </c>
      <c r="C56" s="77" t="s">
        <v>645</v>
      </c>
      <c r="D56" s="43" t="s">
        <v>75</v>
      </c>
      <c r="E56" s="44">
        <v>500000</v>
      </c>
      <c r="F56" s="45">
        <v>502</v>
      </c>
      <c r="G56" s="46">
        <v>2.2977770000000002E-2</v>
      </c>
      <c r="H56" s="36">
        <v>7.1453624476944784</v>
      </c>
    </row>
    <row r="57" spans="1:8" x14ac:dyDescent="0.2">
      <c r="A57" s="42">
        <v>7</v>
      </c>
      <c r="B57" s="43" t="s">
        <v>76</v>
      </c>
      <c r="C57" s="43" t="s">
        <v>77</v>
      </c>
      <c r="D57" s="43" t="s">
        <v>75</v>
      </c>
      <c r="E57" s="44">
        <v>300000</v>
      </c>
      <c r="F57" s="45">
        <v>307.78379999999999</v>
      </c>
      <c r="G57" s="46">
        <v>1.408802E-2</v>
      </c>
      <c r="H57" s="36">
        <v>6.8888999999999996</v>
      </c>
    </row>
    <row r="58" spans="1:8" x14ac:dyDescent="0.2">
      <c r="A58" s="34"/>
      <c r="B58" s="34"/>
      <c r="C58" s="35" t="s">
        <v>11</v>
      </c>
      <c r="D58" s="34"/>
      <c r="E58" s="34" t="s">
        <v>12</v>
      </c>
      <c r="F58" s="41">
        <v>7135.4746999999998</v>
      </c>
      <c r="G58" s="38">
        <v>0.32660821000000001</v>
      </c>
      <c r="H58" s="36" t="s">
        <v>12</v>
      </c>
    </row>
    <row r="59" spans="1:8" x14ac:dyDescent="0.2">
      <c r="A59" s="34"/>
      <c r="B59" s="34"/>
      <c r="C59" s="39"/>
      <c r="D59" s="34"/>
      <c r="E59" s="34"/>
      <c r="F59" s="40"/>
      <c r="G59" s="40"/>
      <c r="H59" s="36" t="s">
        <v>12</v>
      </c>
    </row>
    <row r="60" spans="1:8" x14ac:dyDescent="0.2">
      <c r="A60" s="34"/>
      <c r="B60" s="34"/>
      <c r="C60" s="35" t="s">
        <v>88</v>
      </c>
      <c r="D60" s="34"/>
      <c r="E60" s="34"/>
      <c r="F60" s="40"/>
      <c r="G60" s="40"/>
      <c r="H60" s="36" t="s">
        <v>12</v>
      </c>
    </row>
    <row r="61" spans="1:8" x14ac:dyDescent="0.2">
      <c r="A61" s="34"/>
      <c r="B61" s="34"/>
      <c r="C61" s="35" t="s">
        <v>11</v>
      </c>
      <c r="D61" s="34"/>
      <c r="E61" s="34" t="s">
        <v>12</v>
      </c>
      <c r="F61" s="37" t="s">
        <v>13</v>
      </c>
      <c r="G61" s="38">
        <v>0</v>
      </c>
      <c r="H61" s="36" t="s">
        <v>12</v>
      </c>
    </row>
    <row r="62" spans="1:8" x14ac:dyDescent="0.2">
      <c r="A62" s="34"/>
      <c r="B62" s="34"/>
      <c r="C62" s="39"/>
      <c r="D62" s="34"/>
      <c r="E62" s="34"/>
      <c r="F62" s="40"/>
      <c r="G62" s="40"/>
      <c r="H62" s="36" t="s">
        <v>12</v>
      </c>
    </row>
    <row r="63" spans="1:8" x14ac:dyDescent="0.2">
      <c r="A63" s="34"/>
      <c r="B63" s="34"/>
      <c r="C63" s="35" t="s">
        <v>89</v>
      </c>
      <c r="D63" s="34"/>
      <c r="E63" s="34"/>
      <c r="F63" s="41">
        <v>17552.3606</v>
      </c>
      <c r="G63" s="38">
        <v>0.80341470000000004</v>
      </c>
      <c r="H63" s="36" t="s">
        <v>12</v>
      </c>
    </row>
    <row r="64" spans="1:8" x14ac:dyDescent="0.2">
      <c r="A64" s="34"/>
      <c r="B64" s="34"/>
      <c r="C64" s="39"/>
      <c r="D64" s="34"/>
      <c r="E64" s="34"/>
      <c r="F64" s="40"/>
      <c r="G64" s="40"/>
      <c r="H64" s="36" t="s">
        <v>12</v>
      </c>
    </row>
    <row r="65" spans="1:8" x14ac:dyDescent="0.2">
      <c r="A65" s="34"/>
      <c r="B65" s="34"/>
      <c r="C65" s="35" t="s">
        <v>90</v>
      </c>
      <c r="D65" s="34"/>
      <c r="E65" s="34"/>
      <c r="F65" s="40"/>
      <c r="G65" s="40"/>
      <c r="H65" s="36" t="s">
        <v>12</v>
      </c>
    </row>
    <row r="66" spans="1:8" x14ac:dyDescent="0.2">
      <c r="A66" s="34"/>
      <c r="B66" s="34"/>
      <c r="C66" s="35" t="s">
        <v>91</v>
      </c>
      <c r="D66" s="34"/>
      <c r="E66" s="34"/>
      <c r="F66" s="40"/>
      <c r="G66" s="40"/>
      <c r="H66" s="36" t="s">
        <v>12</v>
      </c>
    </row>
    <row r="67" spans="1:8" x14ac:dyDescent="0.2">
      <c r="A67" s="42">
        <v>1</v>
      </c>
      <c r="B67" s="43" t="s">
        <v>271</v>
      </c>
      <c r="C67" s="43" t="s">
        <v>272</v>
      </c>
      <c r="D67" s="43" t="s">
        <v>146</v>
      </c>
      <c r="E67" s="44">
        <v>200</v>
      </c>
      <c r="F67" s="45">
        <v>934.83399999999995</v>
      </c>
      <c r="G67" s="46">
        <v>4.2789649999999999E-2</v>
      </c>
      <c r="H67" s="36">
        <v>7.55</v>
      </c>
    </row>
    <row r="68" spans="1:8" x14ac:dyDescent="0.2">
      <c r="A68" s="42">
        <v>2</v>
      </c>
      <c r="B68" s="43" t="s">
        <v>185</v>
      </c>
      <c r="C68" s="43" t="s">
        <v>186</v>
      </c>
      <c r="D68" s="43" t="s">
        <v>149</v>
      </c>
      <c r="E68" s="44">
        <v>100</v>
      </c>
      <c r="F68" s="45">
        <v>497.05250000000001</v>
      </c>
      <c r="G68" s="46">
        <v>2.2751319999999998E-2</v>
      </c>
      <c r="H68" s="36">
        <v>7.2150999999999996</v>
      </c>
    </row>
    <row r="69" spans="1:8" x14ac:dyDescent="0.2">
      <c r="A69" s="42">
        <v>3</v>
      </c>
      <c r="B69" s="43" t="s">
        <v>267</v>
      </c>
      <c r="C69" s="43" t="s">
        <v>268</v>
      </c>
      <c r="D69" s="43" t="s">
        <v>146</v>
      </c>
      <c r="E69" s="44">
        <v>100</v>
      </c>
      <c r="F69" s="45">
        <v>493.19400000000002</v>
      </c>
      <c r="G69" s="46">
        <v>2.25747E-2</v>
      </c>
      <c r="H69" s="36">
        <v>7.3</v>
      </c>
    </row>
    <row r="70" spans="1:8" x14ac:dyDescent="0.2">
      <c r="A70" s="42">
        <v>4</v>
      </c>
      <c r="B70" s="43" t="s">
        <v>163</v>
      </c>
      <c r="C70" s="43" t="s">
        <v>164</v>
      </c>
      <c r="D70" s="43" t="s">
        <v>146</v>
      </c>
      <c r="E70" s="44">
        <v>100</v>
      </c>
      <c r="F70" s="45">
        <v>485.18849999999998</v>
      </c>
      <c r="G70" s="46">
        <v>2.2208269999999999E-2</v>
      </c>
      <c r="H70" s="36">
        <v>7.5800999999999998</v>
      </c>
    </row>
    <row r="71" spans="1:8" x14ac:dyDescent="0.2">
      <c r="A71" s="34"/>
      <c r="B71" s="34"/>
      <c r="C71" s="35" t="s">
        <v>11</v>
      </c>
      <c r="D71" s="34"/>
      <c r="E71" s="34" t="s">
        <v>12</v>
      </c>
      <c r="F71" s="41">
        <v>2410.2689999999998</v>
      </c>
      <c r="G71" s="38">
        <v>0.11032394</v>
      </c>
      <c r="H71" s="36" t="s">
        <v>12</v>
      </c>
    </row>
    <row r="72" spans="1:8" x14ac:dyDescent="0.2">
      <c r="A72" s="34"/>
      <c r="B72" s="34"/>
      <c r="C72" s="39"/>
      <c r="D72" s="34"/>
      <c r="E72" s="34"/>
      <c r="F72" s="40"/>
      <c r="G72" s="40"/>
      <c r="H72" s="36" t="s">
        <v>12</v>
      </c>
    </row>
    <row r="73" spans="1:8" x14ac:dyDescent="0.2">
      <c r="A73" s="34"/>
      <c r="B73" s="34"/>
      <c r="C73" s="35" t="s">
        <v>92</v>
      </c>
      <c r="D73" s="34"/>
      <c r="E73" s="34"/>
      <c r="F73" s="40"/>
      <c r="G73" s="40"/>
      <c r="H73" s="36" t="s">
        <v>12</v>
      </c>
    </row>
    <row r="74" spans="1:8" x14ac:dyDescent="0.2">
      <c r="A74" s="34"/>
      <c r="B74" s="34"/>
      <c r="C74" s="35" t="s">
        <v>11</v>
      </c>
      <c r="D74" s="34"/>
      <c r="E74" s="34" t="s">
        <v>12</v>
      </c>
      <c r="F74" s="37" t="s">
        <v>13</v>
      </c>
      <c r="G74" s="38">
        <v>0</v>
      </c>
      <c r="H74" s="36" t="s">
        <v>12</v>
      </c>
    </row>
    <row r="75" spans="1:8" x14ac:dyDescent="0.2">
      <c r="A75" s="34"/>
      <c r="B75" s="34"/>
      <c r="C75" s="39"/>
      <c r="D75" s="34"/>
      <c r="E75" s="34"/>
      <c r="F75" s="40"/>
      <c r="G75" s="40"/>
      <c r="H75" s="36" t="s">
        <v>12</v>
      </c>
    </row>
    <row r="76" spans="1:8" x14ac:dyDescent="0.2">
      <c r="A76" s="34"/>
      <c r="B76" s="34"/>
      <c r="C76" s="35" t="s">
        <v>93</v>
      </c>
      <c r="D76" s="34"/>
      <c r="E76" s="34"/>
      <c r="F76" s="40"/>
      <c r="G76" s="40"/>
      <c r="H76" s="36" t="s">
        <v>12</v>
      </c>
    </row>
    <row r="77" spans="1:8" x14ac:dyDescent="0.2">
      <c r="A77" s="34"/>
      <c r="B77" s="34"/>
      <c r="C77" s="35" t="s">
        <v>11</v>
      </c>
      <c r="D77" s="34"/>
      <c r="E77" s="34" t="s">
        <v>12</v>
      </c>
      <c r="F77" s="37" t="s">
        <v>13</v>
      </c>
      <c r="G77" s="38">
        <v>0</v>
      </c>
      <c r="H77" s="36" t="s">
        <v>12</v>
      </c>
    </row>
    <row r="78" spans="1:8" x14ac:dyDescent="0.2">
      <c r="A78" s="34"/>
      <c r="B78" s="34"/>
      <c r="C78" s="39"/>
      <c r="D78" s="34"/>
      <c r="E78" s="34"/>
      <c r="F78" s="40"/>
      <c r="G78" s="40"/>
      <c r="H78" s="36" t="s">
        <v>12</v>
      </c>
    </row>
    <row r="79" spans="1:8" x14ac:dyDescent="0.2">
      <c r="A79" s="34"/>
      <c r="B79" s="34"/>
      <c r="C79" s="35" t="s">
        <v>94</v>
      </c>
      <c r="D79" s="34"/>
      <c r="E79" s="34"/>
      <c r="F79" s="40"/>
      <c r="G79" s="40"/>
      <c r="H79" s="36" t="str">
        <f>IFERROR(VLOOKUP(B79,#REF!,12,FALSE),"")</f>
        <v/>
      </c>
    </row>
    <row r="80" spans="1:8" x14ac:dyDescent="0.2">
      <c r="A80" s="42">
        <v>1</v>
      </c>
      <c r="B80" s="43"/>
      <c r="C80" s="43" t="s">
        <v>95</v>
      </c>
      <c r="D80" s="43"/>
      <c r="E80" s="47"/>
      <c r="F80" s="45">
        <v>1343.993924998</v>
      </c>
      <c r="G80" s="46">
        <v>6.1517910000000002E-2</v>
      </c>
      <c r="H80" s="36">
        <v>6.6</v>
      </c>
    </row>
    <row r="81" spans="1:17" x14ac:dyDescent="0.2">
      <c r="A81" s="34"/>
      <c r="B81" s="34"/>
      <c r="C81" s="35" t="s">
        <v>11</v>
      </c>
      <c r="D81" s="34"/>
      <c r="E81" s="34" t="s">
        <v>12</v>
      </c>
      <c r="F81" s="41">
        <v>1343.993924998</v>
      </c>
      <c r="G81" s="38">
        <v>6.1517910000000002E-2</v>
      </c>
      <c r="H81" s="36" t="str">
        <f>IFERROR(VLOOKUP(B81,#REF!,12,FALSE),"")</f>
        <v/>
      </c>
    </row>
    <row r="82" spans="1:17" x14ac:dyDescent="0.2">
      <c r="A82" s="34"/>
      <c r="B82" s="34"/>
      <c r="C82" s="39"/>
      <c r="D82" s="34"/>
      <c r="E82" s="34"/>
      <c r="F82" s="40"/>
      <c r="G82" s="40"/>
      <c r="H82" s="36" t="str">
        <f>IFERROR(VLOOKUP(B82,#REF!,12,FALSE),"")</f>
        <v/>
      </c>
    </row>
    <row r="83" spans="1:17" x14ac:dyDescent="0.2">
      <c r="A83" s="34"/>
      <c r="B83" s="34"/>
      <c r="C83" s="35" t="s">
        <v>96</v>
      </c>
      <c r="D83" s="34"/>
      <c r="E83" s="34"/>
      <c r="F83" s="41">
        <v>3754.262924998</v>
      </c>
      <c r="G83" s="38">
        <v>0.17184184999999999</v>
      </c>
      <c r="H83" s="36" t="str">
        <f>IFERROR(VLOOKUP(B83,#REF!,12,FALSE),"")</f>
        <v/>
      </c>
    </row>
    <row r="84" spans="1:17" x14ac:dyDescent="0.2">
      <c r="A84" s="34"/>
      <c r="B84" s="34"/>
      <c r="C84" s="40"/>
      <c r="D84" s="34"/>
      <c r="E84" s="34"/>
      <c r="F84" s="34"/>
      <c r="G84" s="34"/>
      <c r="H84" s="36" t="str">
        <f>IFERROR(VLOOKUP(B84,#REF!,12,FALSE),"")</f>
        <v/>
      </c>
    </row>
    <row r="85" spans="1:17" x14ac:dyDescent="0.2">
      <c r="A85" s="34"/>
      <c r="B85" s="34"/>
      <c r="C85" s="35" t="s">
        <v>97</v>
      </c>
      <c r="D85" s="34"/>
      <c r="E85" s="34"/>
      <c r="F85" s="34"/>
      <c r="G85" s="34"/>
      <c r="H85" s="36" t="str">
        <f>IFERROR(VLOOKUP(B85,#REF!,12,FALSE),"")</f>
        <v/>
      </c>
    </row>
    <row r="86" spans="1:17" x14ac:dyDescent="0.2">
      <c r="A86" s="34"/>
      <c r="B86" s="34"/>
      <c r="C86" s="35" t="s">
        <v>98</v>
      </c>
      <c r="D86" s="34"/>
      <c r="E86" s="34"/>
      <c r="F86" s="34"/>
      <c r="G86" s="34"/>
      <c r="H86" s="36" t="str">
        <f>IFERROR(VLOOKUP(B86,#REF!,12,FALSE),"")</f>
        <v/>
      </c>
    </row>
    <row r="87" spans="1:17" x14ac:dyDescent="0.2">
      <c r="A87" s="34"/>
      <c r="B87" s="34"/>
      <c r="C87" s="35" t="s">
        <v>11</v>
      </c>
      <c r="D87" s="34"/>
      <c r="E87" s="34" t="s">
        <v>12</v>
      </c>
      <c r="F87" s="37" t="s">
        <v>13</v>
      </c>
      <c r="G87" s="38">
        <v>0</v>
      </c>
      <c r="H87" s="36" t="str">
        <f>IFERROR(VLOOKUP(B87,#REF!,12,FALSE),"")</f>
        <v/>
      </c>
    </row>
    <row r="88" spans="1:17" x14ac:dyDescent="0.2">
      <c r="A88" s="82"/>
      <c r="B88" s="82"/>
      <c r="C88" s="83"/>
      <c r="D88" s="82"/>
      <c r="E88" s="82"/>
      <c r="F88" s="84"/>
      <c r="G88" s="84"/>
      <c r="H88" s="36" t="s">
        <v>12</v>
      </c>
    </row>
    <row r="89" spans="1:17" x14ac:dyDescent="0.2">
      <c r="A89" s="82"/>
      <c r="B89" s="82"/>
      <c r="C89" s="70" t="s">
        <v>581</v>
      </c>
      <c r="D89" s="82"/>
      <c r="E89" s="82"/>
      <c r="F89" s="84"/>
      <c r="G89" s="84"/>
      <c r="H89" s="79"/>
      <c r="K89" s="9"/>
      <c r="L89" s="9"/>
      <c r="M89" s="9"/>
      <c r="N89" s="9"/>
      <c r="O89" s="10"/>
      <c r="P89" s="10"/>
      <c r="Q89" s="10"/>
    </row>
    <row r="90" spans="1:17" x14ac:dyDescent="0.2">
      <c r="A90" s="76">
        <v>1</v>
      </c>
      <c r="B90" s="77" t="s">
        <v>99</v>
      </c>
      <c r="C90" s="77" t="s">
        <v>100</v>
      </c>
      <c r="D90" s="77"/>
      <c r="E90" s="85">
        <v>511.47399999999999</v>
      </c>
      <c r="F90" s="79">
        <v>55.473290581000001</v>
      </c>
      <c r="G90" s="80">
        <v>2.53915E-3</v>
      </c>
      <c r="H90" s="36"/>
    </row>
    <row r="91" spans="1:17" x14ac:dyDescent="0.2">
      <c r="A91" s="82"/>
      <c r="B91" s="82"/>
      <c r="C91" s="70" t="s">
        <v>11</v>
      </c>
      <c r="D91" s="82"/>
      <c r="E91" s="82" t="s">
        <v>12</v>
      </c>
      <c r="F91" s="86">
        <f>SUM(F90)</f>
        <v>55.473290581000001</v>
      </c>
      <c r="G91" s="31">
        <f>SUM(G90)</f>
        <v>2.53915E-3</v>
      </c>
      <c r="H91" s="36" t="s">
        <v>12</v>
      </c>
    </row>
    <row r="92" spans="1:17" x14ac:dyDescent="0.2">
      <c r="A92" s="34"/>
      <c r="B92" s="34"/>
      <c r="C92" s="39"/>
      <c r="D92" s="34"/>
      <c r="E92" s="34"/>
      <c r="F92" s="40"/>
      <c r="G92" s="40"/>
      <c r="H92" s="36" t="str">
        <f>IFERROR(VLOOKUP(B92,#REF!,12,FALSE),"")</f>
        <v/>
      </c>
    </row>
    <row r="93" spans="1:17" x14ac:dyDescent="0.2">
      <c r="A93" s="34"/>
      <c r="B93" s="34"/>
      <c r="C93" s="35" t="s">
        <v>101</v>
      </c>
      <c r="D93" s="34"/>
      <c r="E93" s="34"/>
      <c r="F93" s="34"/>
      <c r="G93" s="34"/>
      <c r="H93" s="36" t="str">
        <f>IFERROR(VLOOKUP(B93,#REF!,12,FALSE),"")</f>
        <v/>
      </c>
    </row>
    <row r="94" spans="1:17" x14ac:dyDescent="0.2">
      <c r="A94" s="34"/>
      <c r="B94" s="34"/>
      <c r="C94" s="35" t="s">
        <v>102</v>
      </c>
      <c r="D94" s="34"/>
      <c r="E94" s="34"/>
      <c r="F94" s="34"/>
      <c r="G94" s="34"/>
      <c r="H94" s="36" t="str">
        <f>IFERROR(VLOOKUP(B94,#REF!,12,FALSE),"")</f>
        <v/>
      </c>
    </row>
    <row r="95" spans="1:17" x14ac:dyDescent="0.2">
      <c r="A95" s="34"/>
      <c r="B95" s="34"/>
      <c r="C95" s="35" t="s">
        <v>11</v>
      </c>
      <c r="D95" s="34"/>
      <c r="E95" s="34" t="s">
        <v>12</v>
      </c>
      <c r="F95" s="37" t="s">
        <v>13</v>
      </c>
      <c r="G95" s="38">
        <v>0</v>
      </c>
      <c r="H95" s="36" t="str">
        <f>IFERROR(VLOOKUP(B95,#REF!,12,FALSE),"")</f>
        <v/>
      </c>
    </row>
    <row r="96" spans="1:17" x14ac:dyDescent="0.2">
      <c r="A96" s="34"/>
      <c r="B96" s="34"/>
      <c r="C96" s="39"/>
      <c r="D96" s="34"/>
      <c r="E96" s="34"/>
      <c r="F96" s="40"/>
      <c r="G96" s="40"/>
      <c r="H96" s="36" t="str">
        <f>IFERROR(VLOOKUP(B96,#REF!,12,FALSE),"")</f>
        <v/>
      </c>
    </row>
    <row r="97" spans="1:10" x14ac:dyDescent="0.2">
      <c r="A97" s="34"/>
      <c r="B97" s="34"/>
      <c r="C97" s="35" t="s">
        <v>103</v>
      </c>
      <c r="D97" s="34"/>
      <c r="E97" s="34"/>
      <c r="F97" s="40"/>
      <c r="G97" s="40"/>
      <c r="H97" s="36" t="str">
        <f>IFERROR(VLOOKUP(B97,#REF!,12,FALSE),"")</f>
        <v/>
      </c>
    </row>
    <row r="98" spans="1:10" x14ac:dyDescent="0.2">
      <c r="A98" s="34"/>
      <c r="B98" s="34"/>
      <c r="C98" s="35" t="s">
        <v>11</v>
      </c>
      <c r="D98" s="34"/>
      <c r="E98" s="34" t="s">
        <v>12</v>
      </c>
      <c r="F98" s="37" t="s">
        <v>13</v>
      </c>
      <c r="G98" s="38">
        <v>0</v>
      </c>
      <c r="H98" s="36" t="str">
        <f>IFERROR(VLOOKUP(B98,#REF!,12,FALSE),"")</f>
        <v/>
      </c>
    </row>
    <row r="99" spans="1:10" x14ac:dyDescent="0.2">
      <c r="A99" s="34"/>
      <c r="B99" s="34"/>
      <c r="C99" s="39"/>
      <c r="D99" s="34"/>
      <c r="E99" s="34"/>
      <c r="F99" s="40"/>
      <c r="G99" s="40"/>
      <c r="H99" s="36" t="str">
        <f>IFERROR(VLOOKUP(B99,#REF!,12,FALSE),"")</f>
        <v/>
      </c>
    </row>
    <row r="100" spans="1:10" x14ac:dyDescent="0.2">
      <c r="A100" s="47"/>
      <c r="B100" s="43"/>
      <c r="C100" s="43" t="s">
        <v>104</v>
      </c>
      <c r="D100" s="43"/>
      <c r="E100" s="47"/>
      <c r="F100" s="45">
        <f>485.10181677+0.000049310998916626</f>
        <v>485.10186608099895</v>
      </c>
      <c r="G100" s="46">
        <v>2.22043E-2</v>
      </c>
      <c r="H100" s="36" t="str">
        <f>IFERROR(VLOOKUP(B100,#REF!,12,FALSE),"")</f>
        <v/>
      </c>
    </row>
    <row r="101" spans="1:10" x14ac:dyDescent="0.2">
      <c r="A101" s="39"/>
      <c r="B101" s="39"/>
      <c r="C101" s="35" t="s">
        <v>105</v>
      </c>
      <c r="D101" s="40"/>
      <c r="E101" s="40"/>
      <c r="F101" s="41">
        <f>21847.198632349+0.000049310998916626</f>
        <v>21847.198681659997</v>
      </c>
      <c r="G101" s="48">
        <v>1</v>
      </c>
      <c r="H101" s="36" t="str">
        <f>IFERROR(VLOOKUP(B101,#REF!,12,FALSE),"")</f>
        <v/>
      </c>
    </row>
    <row r="102" spans="1:10" x14ac:dyDescent="0.2">
      <c r="A102" s="49"/>
      <c r="B102" s="49"/>
      <c r="C102" s="49"/>
      <c r="D102" s="50"/>
      <c r="E102" s="50"/>
      <c r="F102" s="50"/>
      <c r="G102" s="50"/>
    </row>
    <row r="103" spans="1:10" x14ac:dyDescent="0.2">
      <c r="A103" s="51"/>
      <c r="B103" s="158" t="s">
        <v>582</v>
      </c>
      <c r="C103" s="158"/>
      <c r="D103" s="158"/>
      <c r="E103" s="158"/>
      <c r="F103" s="158"/>
      <c r="G103" s="158"/>
      <c r="H103" s="158"/>
    </row>
    <row r="104" spans="1:10" x14ac:dyDescent="0.2">
      <c r="A104" s="51"/>
      <c r="B104" s="158" t="s">
        <v>583</v>
      </c>
      <c r="C104" s="158"/>
      <c r="D104" s="158"/>
      <c r="E104" s="158"/>
      <c r="F104" s="158"/>
      <c r="G104" s="158"/>
      <c r="H104" s="158"/>
    </row>
    <row r="105" spans="1:10" x14ac:dyDescent="0.2">
      <c r="A105" s="51"/>
      <c r="B105" s="158" t="s">
        <v>584</v>
      </c>
      <c r="C105" s="158"/>
      <c r="D105" s="158"/>
      <c r="E105" s="158"/>
      <c r="F105" s="158"/>
      <c r="G105" s="158"/>
      <c r="H105" s="158"/>
    </row>
    <row r="106" spans="1:10" s="118" customFormat="1" ht="69" customHeight="1" x14ac:dyDescent="0.2">
      <c r="A106" s="117"/>
      <c r="B106" s="187" t="s">
        <v>646</v>
      </c>
      <c r="C106" s="187"/>
      <c r="D106" s="187"/>
      <c r="E106" s="187"/>
      <c r="F106" s="187"/>
      <c r="G106" s="187"/>
      <c r="H106" s="187"/>
      <c r="I106"/>
      <c r="J106"/>
    </row>
    <row r="107" spans="1:10" x14ac:dyDescent="0.2">
      <c r="A107" s="51"/>
      <c r="B107" s="51"/>
      <c r="C107" s="51"/>
      <c r="D107" s="52"/>
      <c r="E107" s="52"/>
      <c r="F107" s="52"/>
      <c r="G107" s="52"/>
    </row>
    <row r="108" spans="1:10" x14ac:dyDescent="0.2">
      <c r="A108" s="53"/>
      <c r="B108" s="162" t="s">
        <v>106</v>
      </c>
      <c r="C108" s="163"/>
      <c r="D108" s="164"/>
      <c r="E108" s="54"/>
      <c r="F108" s="55"/>
      <c r="G108" s="55"/>
    </row>
    <row r="109" spans="1:10" ht="25.5" x14ac:dyDescent="0.2">
      <c r="A109" s="53"/>
      <c r="B109" s="165" t="s">
        <v>107</v>
      </c>
      <c r="C109" s="166"/>
      <c r="D109" s="70" t="s">
        <v>608</v>
      </c>
      <c r="E109" s="54"/>
      <c r="F109" s="55"/>
      <c r="G109" s="55"/>
    </row>
    <row r="110" spans="1:10" x14ac:dyDescent="0.2">
      <c r="A110" s="53"/>
      <c r="B110" s="165" t="s">
        <v>109</v>
      </c>
      <c r="C110" s="166"/>
      <c r="D110" s="35" t="s">
        <v>108</v>
      </c>
      <c r="E110" s="54"/>
      <c r="F110" s="55"/>
      <c r="G110" s="55"/>
    </row>
    <row r="111" spans="1:10" x14ac:dyDescent="0.2">
      <c r="A111" s="53"/>
      <c r="B111" s="165" t="s">
        <v>110</v>
      </c>
      <c r="C111" s="166"/>
      <c r="D111" s="40" t="s">
        <v>12</v>
      </c>
      <c r="E111" s="54"/>
      <c r="F111" s="55"/>
      <c r="G111" s="55"/>
    </row>
    <row r="112" spans="1:10" x14ac:dyDescent="0.2">
      <c r="A112" s="56"/>
      <c r="B112" s="57" t="s">
        <v>12</v>
      </c>
      <c r="C112" s="57" t="s">
        <v>585</v>
      </c>
      <c r="D112" s="57" t="s">
        <v>111</v>
      </c>
      <c r="E112" s="56"/>
      <c r="F112" s="56"/>
      <c r="G112" s="56"/>
      <c r="H112" s="58"/>
    </row>
    <row r="113" spans="1:7" x14ac:dyDescent="0.2">
      <c r="A113" s="56"/>
      <c r="B113" s="59" t="s">
        <v>112</v>
      </c>
      <c r="C113" s="60">
        <v>45626</v>
      </c>
      <c r="D113" s="60">
        <v>45657</v>
      </c>
      <c r="E113" s="56"/>
      <c r="F113" s="56"/>
      <c r="G113" s="56"/>
    </row>
    <row r="114" spans="1:7" x14ac:dyDescent="0.2">
      <c r="A114" s="61"/>
      <c r="B114" s="43" t="s">
        <v>113</v>
      </c>
      <c r="C114" s="151">
        <v>45.521900000000002</v>
      </c>
      <c r="D114" s="62">
        <v>45.766300000000001</v>
      </c>
      <c r="E114" s="61"/>
      <c r="F114" s="63"/>
      <c r="G114" s="64"/>
    </row>
    <row r="115" spans="1:7" ht="25.5" x14ac:dyDescent="0.2">
      <c r="A115" s="61"/>
      <c r="B115" s="43" t="s">
        <v>705</v>
      </c>
      <c r="C115" s="151">
        <v>12.934100000000001</v>
      </c>
      <c r="D115" s="62">
        <v>12.911099999999999</v>
      </c>
      <c r="E115" s="61"/>
      <c r="F115" s="63"/>
      <c r="G115" s="64"/>
    </row>
    <row r="116" spans="1:7" ht="25.5" x14ac:dyDescent="0.2">
      <c r="A116" s="61"/>
      <c r="B116" s="43" t="s">
        <v>706</v>
      </c>
      <c r="C116" s="151">
        <v>14.7149</v>
      </c>
      <c r="D116" s="62">
        <v>14.7186</v>
      </c>
      <c r="E116" s="61"/>
      <c r="F116" s="63"/>
      <c r="G116" s="64"/>
    </row>
    <row r="117" spans="1:7" ht="25.5" x14ac:dyDescent="0.2">
      <c r="A117" s="61"/>
      <c r="B117" s="43" t="s">
        <v>707</v>
      </c>
      <c r="C117" s="151">
        <v>14.5441</v>
      </c>
      <c r="D117" s="62">
        <v>14.6221</v>
      </c>
      <c r="E117" s="61"/>
      <c r="F117" s="63"/>
      <c r="G117" s="64"/>
    </row>
    <row r="118" spans="1:7" ht="25.5" x14ac:dyDescent="0.2">
      <c r="A118" s="61"/>
      <c r="B118" s="43" t="s">
        <v>708</v>
      </c>
      <c r="C118" s="151">
        <v>14.5459</v>
      </c>
      <c r="D118" s="62">
        <v>14.623900000000001</v>
      </c>
      <c r="E118" s="61"/>
      <c r="F118" s="63"/>
      <c r="G118" s="64"/>
    </row>
    <row r="119" spans="1:7" x14ac:dyDescent="0.2">
      <c r="A119" s="61"/>
      <c r="B119" s="43" t="s">
        <v>114</v>
      </c>
      <c r="C119" s="151">
        <v>42.220199999999998</v>
      </c>
      <c r="D119" s="62">
        <v>42.427399999999999</v>
      </c>
      <c r="E119" s="61"/>
      <c r="F119" s="63"/>
      <c r="G119" s="64"/>
    </row>
    <row r="120" spans="1:7" x14ac:dyDescent="0.2">
      <c r="A120" s="61"/>
      <c r="B120" s="43" t="s">
        <v>142</v>
      </c>
      <c r="C120" s="151">
        <v>15.250999999999999</v>
      </c>
      <c r="D120" s="62">
        <v>15.325799999999999</v>
      </c>
      <c r="E120" s="61"/>
      <c r="F120" s="63"/>
      <c r="G120" s="64"/>
    </row>
    <row r="121" spans="1:7" ht="25.5" x14ac:dyDescent="0.2">
      <c r="A121" s="61"/>
      <c r="B121" s="43" t="s">
        <v>709</v>
      </c>
      <c r="C121" s="151">
        <v>12.8962</v>
      </c>
      <c r="D121" s="62">
        <v>12.8736</v>
      </c>
      <c r="E121" s="61"/>
      <c r="F121" s="63"/>
      <c r="G121" s="64"/>
    </row>
    <row r="122" spans="1:7" ht="25.5" x14ac:dyDescent="0.2">
      <c r="A122" s="61"/>
      <c r="B122" s="43" t="s">
        <v>674</v>
      </c>
      <c r="C122" s="151">
        <v>14.4255</v>
      </c>
      <c r="D122" s="62">
        <v>14.420999999999999</v>
      </c>
      <c r="E122" s="61"/>
      <c r="F122" s="63"/>
      <c r="G122" s="64"/>
    </row>
    <row r="123" spans="1:7" ht="25.5" x14ac:dyDescent="0.2">
      <c r="A123" s="61"/>
      <c r="B123" s="43" t="s">
        <v>710</v>
      </c>
      <c r="C123" s="151">
        <v>14.255100000000001</v>
      </c>
      <c r="D123" s="62">
        <v>14.324999999999999</v>
      </c>
      <c r="E123" s="61"/>
      <c r="F123" s="63"/>
      <c r="G123" s="64"/>
    </row>
    <row r="124" spans="1:7" ht="25.5" x14ac:dyDescent="0.2">
      <c r="A124" s="61"/>
      <c r="B124" s="43" t="s">
        <v>711</v>
      </c>
      <c r="C124" s="151">
        <v>14.255000000000001</v>
      </c>
      <c r="D124" s="62">
        <v>14.324999999999999</v>
      </c>
      <c r="E124" s="61"/>
      <c r="F124" s="63"/>
      <c r="G124" s="64"/>
    </row>
    <row r="125" spans="1:7" x14ac:dyDescent="0.2">
      <c r="A125" s="61"/>
      <c r="B125" s="61"/>
      <c r="C125" s="61"/>
      <c r="D125" s="61"/>
      <c r="E125" s="61"/>
      <c r="F125" s="61"/>
      <c r="G125" s="61"/>
    </row>
    <row r="126" spans="1:7" x14ac:dyDescent="0.2">
      <c r="A126" s="61"/>
      <c r="B126" s="165" t="s">
        <v>712</v>
      </c>
      <c r="C126" s="166"/>
      <c r="D126" s="35" t="s">
        <v>12</v>
      </c>
      <c r="E126" s="61"/>
      <c r="F126" s="61"/>
      <c r="G126" s="61"/>
    </row>
    <row r="127" spans="1:7" x14ac:dyDescent="0.2">
      <c r="A127" s="61"/>
      <c r="B127" s="65" t="s">
        <v>112</v>
      </c>
      <c r="C127" s="66" t="s">
        <v>115</v>
      </c>
      <c r="D127" s="66" t="s">
        <v>116</v>
      </c>
      <c r="E127" s="61"/>
      <c r="F127" s="61"/>
      <c r="G127" s="61"/>
    </row>
    <row r="128" spans="1:7" ht="29.1" customHeight="1" x14ac:dyDescent="0.2">
      <c r="A128" s="152"/>
      <c r="B128" s="153" t="s">
        <v>705</v>
      </c>
      <c r="C128" s="154">
        <v>9.2299999999999993E-2</v>
      </c>
      <c r="D128" s="155" t="s">
        <v>117</v>
      </c>
      <c r="E128" s="152"/>
      <c r="F128" s="156"/>
      <c r="G128" s="157"/>
    </row>
    <row r="129" spans="1:19" ht="29.1" customHeight="1" x14ac:dyDescent="0.2">
      <c r="A129" s="152"/>
      <c r="B129" s="153" t="s">
        <v>706</v>
      </c>
      <c r="C129" s="154">
        <v>7.4999999999999997E-2</v>
      </c>
      <c r="D129" s="155" t="s">
        <v>117</v>
      </c>
      <c r="E129" s="152"/>
      <c r="F129" s="156"/>
      <c r="G129" s="157"/>
    </row>
    <row r="130" spans="1:19" ht="29.1" customHeight="1" x14ac:dyDescent="0.2">
      <c r="A130" s="152"/>
      <c r="B130" s="153" t="s">
        <v>709</v>
      </c>
      <c r="C130" s="154">
        <v>8.5699999999999998E-2</v>
      </c>
      <c r="D130" s="154">
        <v>8.5699999999999998E-2</v>
      </c>
      <c r="E130" s="152"/>
      <c r="F130" s="156"/>
      <c r="G130" s="157"/>
    </row>
    <row r="131" spans="1:19" ht="29.1" customHeight="1" x14ac:dyDescent="0.2">
      <c r="A131" s="152"/>
      <c r="B131" s="153" t="s">
        <v>674</v>
      </c>
      <c r="C131" s="154">
        <v>7.4999999999999997E-2</v>
      </c>
      <c r="D131" s="155" t="s">
        <v>117</v>
      </c>
      <c r="E131" s="152"/>
      <c r="F131" s="156"/>
      <c r="G131" s="157"/>
    </row>
    <row r="132" spans="1:19" x14ac:dyDescent="0.2">
      <c r="A132" s="61"/>
      <c r="B132" s="68"/>
      <c r="C132" s="68"/>
      <c r="D132" s="69"/>
      <c r="E132" s="61"/>
      <c r="F132" s="63"/>
      <c r="G132" s="64"/>
    </row>
    <row r="133" spans="1:19" s="11" customFormat="1" x14ac:dyDescent="0.2">
      <c r="A133" s="100"/>
      <c r="B133" s="159" t="s">
        <v>600</v>
      </c>
      <c r="C133" s="160"/>
      <c r="D133" s="70" t="s">
        <v>108</v>
      </c>
      <c r="E133" s="100"/>
      <c r="F133" s="100"/>
      <c r="G133" s="100"/>
      <c r="I133"/>
      <c r="J133" s="8"/>
      <c r="K133"/>
      <c r="L133" s="9"/>
      <c r="M133" s="9"/>
      <c r="N133" s="9"/>
      <c r="O133" s="15"/>
      <c r="P133"/>
      <c r="Q133"/>
    </row>
    <row r="134" spans="1:19" x14ac:dyDescent="0.2">
      <c r="A134" s="56"/>
      <c r="B134" s="159" t="s">
        <v>601</v>
      </c>
      <c r="C134" s="160"/>
      <c r="D134" s="70" t="s">
        <v>108</v>
      </c>
      <c r="E134" s="71"/>
      <c r="F134" s="56"/>
      <c r="G134" s="56"/>
      <c r="J134" s="8"/>
    </row>
    <row r="135" spans="1:19" x14ac:dyDescent="0.2">
      <c r="A135" s="56"/>
      <c r="B135" s="159" t="s">
        <v>602</v>
      </c>
      <c r="C135" s="160"/>
      <c r="D135" s="70" t="s">
        <v>108</v>
      </c>
      <c r="E135" s="71"/>
      <c r="F135" s="56"/>
      <c r="G135" s="56"/>
      <c r="J135" s="8"/>
    </row>
    <row r="136" spans="1:19" x14ac:dyDescent="0.2">
      <c r="A136" s="56"/>
      <c r="B136" s="159" t="s">
        <v>603</v>
      </c>
      <c r="C136" s="160"/>
      <c r="D136" s="70" t="s">
        <v>108</v>
      </c>
      <c r="E136" s="71"/>
      <c r="F136" s="56"/>
      <c r="G136" s="56"/>
      <c r="J136" s="8"/>
    </row>
    <row r="137" spans="1:19" x14ac:dyDescent="0.2">
      <c r="A137" s="72"/>
      <c r="B137" s="72"/>
      <c r="C137" s="72"/>
      <c r="D137" s="72"/>
      <c r="E137" s="72"/>
      <c r="F137" s="72"/>
      <c r="G137" s="72"/>
      <c r="J137" s="8"/>
    </row>
    <row r="138" spans="1:19" s="11" customFormat="1" x14ac:dyDescent="0.2">
      <c r="B138" s="167" t="s">
        <v>587</v>
      </c>
      <c r="C138" s="168"/>
      <c r="D138" s="169"/>
      <c r="I138"/>
      <c r="J138" s="8"/>
      <c r="K138"/>
      <c r="L138" s="9"/>
      <c r="M138" s="9"/>
      <c r="N138" s="9"/>
      <c r="O138" s="15"/>
      <c r="R138"/>
      <c r="S138"/>
    </row>
    <row r="139" spans="1:19" s="11" customFormat="1" ht="25.5" x14ac:dyDescent="0.2">
      <c r="B139" s="161" t="s">
        <v>588</v>
      </c>
      <c r="C139" s="161"/>
      <c r="D139" s="12" t="s">
        <v>422</v>
      </c>
      <c r="I139"/>
      <c r="J139" s="8"/>
      <c r="K139"/>
      <c r="L139" s="9"/>
      <c r="M139" s="9"/>
      <c r="N139" s="9"/>
      <c r="O139" s="15"/>
      <c r="R139"/>
      <c r="S139"/>
    </row>
    <row r="140" spans="1:19" s="11" customFormat="1" x14ac:dyDescent="0.2">
      <c r="B140" s="171" t="s">
        <v>589</v>
      </c>
      <c r="C140" s="171"/>
      <c r="D140" s="13"/>
      <c r="I140"/>
      <c r="J140" s="8"/>
      <c r="K140"/>
      <c r="L140" s="9"/>
      <c r="M140" s="9"/>
      <c r="N140" s="9"/>
      <c r="O140" s="15"/>
      <c r="R140"/>
      <c r="S140"/>
    </row>
    <row r="141" spans="1:19" s="11" customFormat="1" x14ac:dyDescent="0.2">
      <c r="B141" s="171"/>
      <c r="C141" s="171"/>
      <c r="D141" s="14"/>
      <c r="I141"/>
      <c r="J141" s="8"/>
      <c r="K141"/>
      <c r="L141" s="9"/>
      <c r="M141" s="9"/>
      <c r="N141" s="9"/>
      <c r="O141" s="15"/>
      <c r="R141"/>
      <c r="S141"/>
    </row>
    <row r="142" spans="1:19" s="11" customFormat="1" x14ac:dyDescent="0.2">
      <c r="B142" s="171" t="s">
        <v>590</v>
      </c>
      <c r="C142" s="171"/>
      <c r="D142" s="19">
        <v>7.4121972190095002</v>
      </c>
      <c r="I142"/>
      <c r="J142" s="8"/>
      <c r="K142"/>
      <c r="L142" s="9"/>
      <c r="M142" s="9"/>
      <c r="N142" s="9"/>
      <c r="O142" s="15"/>
    </row>
    <row r="143" spans="1:19" s="11" customFormat="1" x14ac:dyDescent="0.2">
      <c r="B143" s="171"/>
      <c r="C143" s="171"/>
      <c r="D143" s="14"/>
      <c r="I143"/>
      <c r="J143" s="8"/>
      <c r="K143"/>
      <c r="L143" s="9"/>
      <c r="M143" s="9"/>
      <c r="N143" s="9"/>
      <c r="O143" s="15"/>
    </row>
    <row r="144" spans="1:19" s="11" customFormat="1" x14ac:dyDescent="0.2">
      <c r="B144" s="171" t="s">
        <v>591</v>
      </c>
      <c r="C144" s="171"/>
      <c r="D144" s="19">
        <v>2.6985162447426188</v>
      </c>
      <c r="I144"/>
      <c r="J144" s="8"/>
      <c r="K144"/>
      <c r="L144" s="9"/>
      <c r="M144" s="9"/>
      <c r="N144" s="9"/>
      <c r="O144" s="15"/>
    </row>
    <row r="145" spans="2:15" s="11" customFormat="1" x14ac:dyDescent="0.2">
      <c r="B145" s="171" t="s">
        <v>609</v>
      </c>
      <c r="C145" s="171"/>
      <c r="D145" s="19">
        <v>3.473560419458122</v>
      </c>
      <c r="I145"/>
      <c r="J145" s="8"/>
      <c r="K145"/>
      <c r="L145" s="9"/>
      <c r="M145" s="9"/>
      <c r="N145" s="9"/>
      <c r="O145" s="15"/>
    </row>
    <row r="146" spans="2:15" s="11" customFormat="1" x14ac:dyDescent="0.2">
      <c r="B146" s="171"/>
      <c r="C146" s="171"/>
      <c r="D146" s="14"/>
      <c r="I146"/>
      <c r="J146" s="8"/>
      <c r="K146"/>
      <c r="L146" s="9"/>
      <c r="M146" s="9"/>
      <c r="N146" s="9"/>
      <c r="O146" s="15"/>
    </row>
    <row r="147" spans="2:15" s="11" customFormat="1" x14ac:dyDescent="0.2">
      <c r="B147" s="171" t="s">
        <v>593</v>
      </c>
      <c r="C147" s="171"/>
      <c r="D147" s="74" t="s">
        <v>699</v>
      </c>
      <c r="I147"/>
      <c r="J147" s="8"/>
      <c r="K147" s="9"/>
      <c r="L147" s="9"/>
      <c r="M147" s="9"/>
      <c r="N147" s="9"/>
      <c r="O147" s="15"/>
    </row>
    <row r="148" spans="2:15" s="11" customFormat="1" x14ac:dyDescent="0.2">
      <c r="B148" s="172" t="s">
        <v>594</v>
      </c>
      <c r="C148" s="174"/>
      <c r="D148" s="173"/>
      <c r="I148"/>
      <c r="J148" s="8"/>
      <c r="K148"/>
      <c r="L148" s="9"/>
      <c r="M148" s="9"/>
      <c r="N148" s="9"/>
      <c r="O148" s="15"/>
    </row>
    <row r="149" spans="2:15" x14ac:dyDescent="0.2">
      <c r="J149" s="8"/>
    </row>
    <row r="150" spans="2:15" ht="13.5" x14ac:dyDescent="0.2">
      <c r="B150" s="188" t="s">
        <v>700</v>
      </c>
      <c r="C150" s="188"/>
      <c r="D150" s="188"/>
      <c r="E150" s="188"/>
      <c r="F150" s="188"/>
      <c r="G150" s="188"/>
      <c r="H150" s="188"/>
    </row>
    <row r="151" spans="2:15" ht="13.5" x14ac:dyDescent="0.2">
      <c r="B151" s="119"/>
      <c r="C151" s="119"/>
      <c r="D151" s="119"/>
      <c r="E151" s="119"/>
      <c r="F151" s="119"/>
      <c r="G151" s="119"/>
      <c r="H151" s="119"/>
      <c r="J151" s="9"/>
      <c r="K151" s="9"/>
      <c r="L151" s="9"/>
      <c r="M151" s="9"/>
      <c r="N151" s="9"/>
      <c r="O151" s="9"/>
    </row>
    <row r="152" spans="2:15" ht="13.5" x14ac:dyDescent="0.25">
      <c r="B152" s="94" t="s">
        <v>617</v>
      </c>
      <c r="C152" s="94" t="s">
        <v>618</v>
      </c>
      <c r="D152" s="189" t="s">
        <v>612</v>
      </c>
      <c r="E152" s="190"/>
      <c r="F152" s="191"/>
      <c r="G152" s="192" t="s">
        <v>613</v>
      </c>
      <c r="H152" s="193"/>
      <c r="J152" s="9"/>
      <c r="K152" s="9"/>
      <c r="L152" s="9"/>
      <c r="M152" s="9"/>
      <c r="N152" s="9"/>
      <c r="O152" s="9"/>
    </row>
    <row r="153" spans="2:15" ht="27" x14ac:dyDescent="0.25">
      <c r="B153" s="93" t="s">
        <v>623</v>
      </c>
      <c r="C153" s="92" t="s">
        <v>647</v>
      </c>
      <c r="D153" s="194">
        <v>0</v>
      </c>
      <c r="E153" s="195"/>
      <c r="F153" s="196"/>
      <c r="G153" s="194">
        <v>0</v>
      </c>
      <c r="H153" s="196"/>
      <c r="J153" s="9"/>
      <c r="K153" s="9"/>
      <c r="L153" s="9"/>
      <c r="M153" s="9"/>
      <c r="N153" s="9"/>
      <c r="O153" s="9"/>
    </row>
    <row r="154" spans="2:15" ht="27" x14ac:dyDescent="0.25">
      <c r="B154" s="93" t="s">
        <v>619</v>
      </c>
      <c r="C154" s="92" t="s">
        <v>648</v>
      </c>
      <c r="D154" s="194">
        <v>0</v>
      </c>
      <c r="E154" s="195"/>
      <c r="F154" s="196"/>
      <c r="G154" s="194">
        <v>0</v>
      </c>
      <c r="H154" s="196"/>
      <c r="J154" s="9"/>
      <c r="K154" s="9"/>
      <c r="L154" s="9"/>
      <c r="M154" s="9"/>
      <c r="N154" s="9"/>
      <c r="O154" s="9"/>
    </row>
    <row r="155" spans="2:15" ht="27" x14ac:dyDescent="0.25">
      <c r="B155" s="93" t="s">
        <v>649</v>
      </c>
      <c r="C155" s="92" t="s">
        <v>650</v>
      </c>
      <c r="D155" s="194">
        <v>0</v>
      </c>
      <c r="E155" s="195"/>
      <c r="F155" s="196"/>
      <c r="G155" s="194">
        <v>0</v>
      </c>
      <c r="H155" s="196"/>
      <c r="J155" s="9"/>
      <c r="K155" s="9"/>
      <c r="L155" s="9"/>
      <c r="M155" s="9"/>
      <c r="N155" s="9"/>
      <c r="O155" s="9"/>
    </row>
    <row r="156" spans="2:15" ht="27" x14ac:dyDescent="0.25">
      <c r="B156" s="93" t="s">
        <v>621</v>
      </c>
      <c r="C156" s="92" t="s">
        <v>651</v>
      </c>
      <c r="D156" s="194">
        <v>0</v>
      </c>
      <c r="E156" s="195"/>
      <c r="F156" s="196"/>
      <c r="G156" s="194">
        <v>0</v>
      </c>
      <c r="H156" s="196"/>
      <c r="J156" s="9"/>
      <c r="K156" s="9"/>
      <c r="L156" s="9"/>
      <c r="M156" s="9"/>
      <c r="N156" s="9"/>
      <c r="O156" s="9"/>
    </row>
    <row r="157" spans="2:15" ht="13.5" x14ac:dyDescent="0.25">
      <c r="B157" s="93"/>
      <c r="C157" s="93"/>
      <c r="D157" s="182"/>
      <c r="E157" s="182"/>
      <c r="F157" s="182"/>
      <c r="G157" s="182"/>
      <c r="H157" s="182"/>
      <c r="J157" s="9"/>
      <c r="K157" s="9"/>
      <c r="L157" s="9"/>
      <c r="M157" s="9"/>
      <c r="N157" s="9"/>
      <c r="O157" s="9"/>
    </row>
    <row r="158" spans="2:15" ht="13.5" x14ac:dyDescent="0.25">
      <c r="B158" s="180" t="s">
        <v>625</v>
      </c>
      <c r="C158" s="180"/>
      <c r="D158" s="180"/>
      <c r="E158" s="180"/>
      <c r="F158" s="180"/>
      <c r="G158" s="180"/>
      <c r="H158" s="180"/>
      <c r="J158" s="9"/>
      <c r="K158" s="9"/>
      <c r="L158" s="9"/>
      <c r="M158" s="9"/>
      <c r="N158" s="9"/>
      <c r="O158" s="9"/>
    </row>
    <row r="159" spans="2:15" ht="13.5" x14ac:dyDescent="0.2">
      <c r="B159" s="185" t="s">
        <v>617</v>
      </c>
      <c r="C159" s="185" t="s">
        <v>618</v>
      </c>
      <c r="D159" s="185" t="s">
        <v>626</v>
      </c>
      <c r="E159" s="185"/>
      <c r="F159" s="185"/>
      <c r="G159" s="185"/>
      <c r="H159" s="186" t="s">
        <v>627</v>
      </c>
      <c r="I159" s="186" t="s">
        <v>652</v>
      </c>
      <c r="J159" s="186" t="s">
        <v>629</v>
      </c>
      <c r="K159" s="9"/>
      <c r="L159" s="9"/>
      <c r="M159" s="9"/>
      <c r="N159" s="9"/>
      <c r="O159" s="9"/>
    </row>
    <row r="160" spans="2:15" ht="121.5" x14ac:dyDescent="0.2">
      <c r="B160" s="185"/>
      <c r="C160" s="185"/>
      <c r="D160" s="89" t="s">
        <v>630</v>
      </c>
      <c r="E160" s="89" t="s">
        <v>631</v>
      </c>
      <c r="F160" s="89" t="s">
        <v>632</v>
      </c>
      <c r="G160" s="89" t="s">
        <v>653</v>
      </c>
      <c r="H160" s="186"/>
      <c r="I160" s="186"/>
      <c r="J160" s="186"/>
      <c r="K160" s="9"/>
      <c r="L160" s="9"/>
      <c r="M160" s="9"/>
      <c r="N160" s="9"/>
      <c r="O160" s="9"/>
    </row>
    <row r="161" spans="2:15" ht="27" x14ac:dyDescent="0.25">
      <c r="B161" s="93" t="s">
        <v>623</v>
      </c>
      <c r="C161" s="92" t="s">
        <v>647</v>
      </c>
      <c r="D161" s="95">
        <v>3000</v>
      </c>
      <c r="E161" s="95">
        <v>198.60410960000002</v>
      </c>
      <c r="F161" s="120">
        <v>72.152053199999997</v>
      </c>
      <c r="G161" s="121">
        <v>3270.7561627999999</v>
      </c>
      <c r="H161" s="28">
        <v>1452.6372699999999</v>
      </c>
      <c r="I161" s="28">
        <f>2499839/10^5</f>
        <v>24.998390000000001</v>
      </c>
      <c r="J161" s="28">
        <f>H161+I161</f>
        <v>1477.6356599999999</v>
      </c>
      <c r="K161" s="9"/>
      <c r="L161" s="9"/>
      <c r="M161" s="9"/>
      <c r="N161" s="9"/>
      <c r="O161" s="9"/>
    </row>
    <row r="162" spans="2:15" ht="27" x14ac:dyDescent="0.25">
      <c r="B162" s="93" t="s">
        <v>619</v>
      </c>
      <c r="C162" s="92" t="s">
        <v>648</v>
      </c>
      <c r="D162" s="95">
        <v>500</v>
      </c>
      <c r="E162" s="95">
        <v>33.283561599999999</v>
      </c>
      <c r="F162" s="120">
        <v>12.091777499999999</v>
      </c>
      <c r="G162" s="121">
        <f>D162+E162+F162</f>
        <v>545.37533910000002</v>
      </c>
      <c r="H162" s="28">
        <v>242.22076999999999</v>
      </c>
      <c r="I162" s="28">
        <f>416840/10^5</f>
        <v>4.1684000000000001</v>
      </c>
      <c r="J162" s="28">
        <f>H162+I162</f>
        <v>246.38916999999998</v>
      </c>
      <c r="K162" s="9"/>
      <c r="L162" s="9"/>
      <c r="M162" s="9"/>
      <c r="N162" s="9"/>
      <c r="O162" s="9"/>
    </row>
    <row r="163" spans="2:15" ht="27" x14ac:dyDescent="0.25">
      <c r="B163" s="93" t="s">
        <v>649</v>
      </c>
      <c r="C163" s="92" t="s">
        <v>654</v>
      </c>
      <c r="D163" s="95">
        <v>2000</v>
      </c>
      <c r="E163" s="95">
        <v>39.762295099999996</v>
      </c>
      <c r="F163" s="120">
        <v>64.029485721917808</v>
      </c>
      <c r="G163" s="121">
        <v>2103.7917808219199</v>
      </c>
      <c r="H163" s="28">
        <v>933.64715000000001</v>
      </c>
      <c r="I163" s="28">
        <f>1606686/10^5</f>
        <v>16.066859999999998</v>
      </c>
      <c r="J163" s="28">
        <f>H163+I163</f>
        <v>949.71401000000003</v>
      </c>
      <c r="K163" s="9"/>
      <c r="L163" s="9"/>
      <c r="M163" s="9"/>
      <c r="N163" s="9"/>
      <c r="O163" s="9"/>
    </row>
    <row r="164" spans="2:15" ht="27" x14ac:dyDescent="0.25">
      <c r="B164" s="93" t="s">
        <v>621</v>
      </c>
      <c r="C164" s="92" t="s">
        <v>651</v>
      </c>
      <c r="D164" s="95">
        <v>1882.78</v>
      </c>
      <c r="E164" s="95">
        <v>137.066384</v>
      </c>
      <c r="F164" s="120">
        <v>34.266601500000007</v>
      </c>
      <c r="G164" s="121">
        <v>2054.1129854999999</v>
      </c>
      <c r="H164" s="28">
        <v>916.65184999999997</v>
      </c>
      <c r="I164" s="28">
        <f>1577458/10^5</f>
        <v>15.77458</v>
      </c>
      <c r="J164" s="28">
        <f>H164+I164</f>
        <v>932.42642999999998</v>
      </c>
      <c r="K164" s="9"/>
      <c r="L164" s="9"/>
      <c r="M164" s="9"/>
      <c r="N164" s="9"/>
      <c r="O164" s="9"/>
    </row>
    <row r="165" spans="2:15" ht="13.5" x14ac:dyDescent="0.25">
      <c r="B165" s="122"/>
      <c r="C165" s="123"/>
      <c r="D165" s="124"/>
      <c r="E165" s="124"/>
      <c r="F165" s="125"/>
      <c r="G165" s="126"/>
      <c r="H165" s="30"/>
      <c r="J165" s="8"/>
      <c r="K165" s="9"/>
      <c r="L165" s="9"/>
      <c r="M165" s="9"/>
      <c r="N165" s="9"/>
      <c r="O165" s="9"/>
    </row>
    <row r="166" spans="2:15" ht="51" customHeight="1" x14ac:dyDescent="0.2">
      <c r="B166" s="197" t="s">
        <v>655</v>
      </c>
      <c r="C166" s="197"/>
      <c r="D166" s="197"/>
      <c r="E166" s="197"/>
      <c r="F166" s="197"/>
      <c r="G166" s="197"/>
      <c r="H166" s="197"/>
      <c r="I166" s="197"/>
      <c r="J166" s="8"/>
      <c r="K166" s="9"/>
      <c r="L166" s="9"/>
      <c r="M166" s="9"/>
      <c r="N166" s="9"/>
      <c r="O166" s="9"/>
    </row>
    <row r="167" spans="2:15" x14ac:dyDescent="0.2">
      <c r="B167" s="9"/>
      <c r="C167" s="9"/>
      <c r="D167" s="9"/>
      <c r="E167" s="9"/>
      <c r="F167" s="9"/>
      <c r="G167" s="9"/>
      <c r="H167" s="9"/>
      <c r="J167" s="8"/>
      <c r="K167" s="9"/>
      <c r="L167" s="9"/>
      <c r="M167" s="9"/>
      <c r="N167" s="9"/>
      <c r="O167" s="9"/>
    </row>
    <row r="168" spans="2:15" ht="13.5" x14ac:dyDescent="0.25">
      <c r="B168" s="98" t="s">
        <v>634</v>
      </c>
      <c r="C168" s="9"/>
      <c r="D168" s="9"/>
      <c r="E168" s="9"/>
      <c r="F168" s="9"/>
      <c r="G168" s="9"/>
      <c r="H168" s="9"/>
      <c r="J168" s="8"/>
      <c r="K168" s="9"/>
      <c r="L168" s="9"/>
      <c r="M168" s="9"/>
      <c r="N168" s="9"/>
      <c r="O168" s="9"/>
    </row>
    <row r="169" spans="2:15" x14ac:dyDescent="0.2">
      <c r="B169" s="9"/>
      <c r="C169" s="9"/>
      <c r="D169" s="9"/>
      <c r="E169" s="9"/>
      <c r="F169" s="9"/>
      <c r="G169" s="9"/>
      <c r="H169" s="9"/>
      <c r="I169" s="9"/>
      <c r="J169" s="8"/>
      <c r="K169" s="9"/>
      <c r="L169" s="9"/>
      <c r="M169" s="9"/>
      <c r="N169" s="9"/>
      <c r="O169" s="9"/>
    </row>
    <row r="170" spans="2:15" x14ac:dyDescent="0.2">
      <c r="B170" s="99" t="s">
        <v>635</v>
      </c>
      <c r="C170" s="9"/>
      <c r="D170" s="9"/>
      <c r="E170" s="9"/>
      <c r="F170" s="9"/>
      <c r="G170" s="9"/>
      <c r="H170" s="9"/>
      <c r="I170" s="9"/>
      <c r="J170" s="8"/>
      <c r="K170" s="9"/>
      <c r="L170" s="9"/>
      <c r="M170" s="9"/>
      <c r="N170" s="9"/>
      <c r="O170" s="9"/>
    </row>
    <row r="171" spans="2:15" x14ac:dyDescent="0.2">
      <c r="B171" s="9"/>
      <c r="C171" s="9"/>
      <c r="D171" s="9"/>
      <c r="E171" s="9"/>
      <c r="F171" s="9"/>
      <c r="G171" s="9"/>
      <c r="H171" s="9"/>
      <c r="I171" s="9"/>
      <c r="J171" s="8"/>
      <c r="K171" s="9"/>
      <c r="L171" s="9"/>
      <c r="M171" s="9"/>
      <c r="N171" s="9"/>
      <c r="O171" s="9"/>
    </row>
    <row r="172" spans="2:15" x14ac:dyDescent="0.2">
      <c r="B172" s="99" t="s">
        <v>636</v>
      </c>
      <c r="C172" s="9"/>
      <c r="D172" s="9"/>
      <c r="E172" s="9"/>
      <c r="F172" s="9"/>
      <c r="G172" s="9"/>
      <c r="H172" s="9"/>
      <c r="I172" s="9"/>
      <c r="J172" s="8"/>
      <c r="K172" s="9"/>
      <c r="L172" s="9"/>
      <c r="M172" s="9"/>
      <c r="N172" s="9"/>
      <c r="O172" s="9"/>
    </row>
    <row r="173" spans="2:15" x14ac:dyDescent="0.2">
      <c r="I173" s="9"/>
      <c r="J173" s="8"/>
      <c r="K173" s="9"/>
      <c r="L173" s="9"/>
      <c r="M173" s="9"/>
      <c r="N173" s="9"/>
      <c r="O173" s="9"/>
    </row>
    <row r="174" spans="2:15" x14ac:dyDescent="0.2">
      <c r="B174" s="99" t="s">
        <v>637</v>
      </c>
      <c r="J174" s="8"/>
      <c r="K174" s="9"/>
      <c r="L174" s="9"/>
      <c r="M174" s="9"/>
      <c r="N174" s="9"/>
      <c r="O174" s="9"/>
    </row>
    <row r="175" spans="2:15" x14ac:dyDescent="0.2">
      <c r="I175" s="9"/>
      <c r="J175" s="8"/>
      <c r="K175" s="9"/>
      <c r="L175" s="9"/>
      <c r="M175" s="9"/>
      <c r="N175" s="9"/>
      <c r="O175" s="9"/>
    </row>
    <row r="176" spans="2:15" ht="25.5" x14ac:dyDescent="0.2">
      <c r="B176" s="16" t="s">
        <v>595</v>
      </c>
    </row>
    <row r="178" spans="2:10" ht="153.75" customHeight="1" x14ac:dyDescent="0.2"/>
    <row r="181" spans="2:10" x14ac:dyDescent="0.2">
      <c r="B181" s="17" t="s">
        <v>596</v>
      </c>
      <c r="C181" s="18"/>
      <c r="D181" s="17" t="s">
        <v>597</v>
      </c>
    </row>
    <row r="182" spans="2:10" x14ac:dyDescent="0.2">
      <c r="B182" s="17" t="s">
        <v>656</v>
      </c>
      <c r="D182" s="17" t="s">
        <v>657</v>
      </c>
    </row>
    <row r="183" spans="2:10" ht="165" customHeight="1" x14ac:dyDescent="0.2"/>
    <row r="185" spans="2:10" x14ac:dyDescent="0.2">
      <c r="J185" s="8"/>
    </row>
  </sheetData>
  <mergeCells count="48">
    <mergeCell ref="D157:F157"/>
    <mergeCell ref="G157:H157"/>
    <mergeCell ref="B158:H158"/>
    <mergeCell ref="J159:J160"/>
    <mergeCell ref="B166:I166"/>
    <mergeCell ref="B159:B160"/>
    <mergeCell ref="C159:C160"/>
    <mergeCell ref="D159:G159"/>
    <mergeCell ref="H159:H160"/>
    <mergeCell ref="I159:I160"/>
    <mergeCell ref="D154:F154"/>
    <mergeCell ref="G154:H154"/>
    <mergeCell ref="D155:F155"/>
    <mergeCell ref="G155:H155"/>
    <mergeCell ref="D156:F156"/>
    <mergeCell ref="G156:H156"/>
    <mergeCell ref="B148:D148"/>
    <mergeCell ref="B150:H150"/>
    <mergeCell ref="D152:F152"/>
    <mergeCell ref="G152:H152"/>
    <mergeCell ref="D153:F153"/>
    <mergeCell ref="G153:H153"/>
    <mergeCell ref="B143:C143"/>
    <mergeCell ref="B144:C144"/>
    <mergeCell ref="B145:C145"/>
    <mergeCell ref="B146:C146"/>
    <mergeCell ref="B147:C147"/>
    <mergeCell ref="B138:D138"/>
    <mergeCell ref="B139:C139"/>
    <mergeCell ref="B140:C140"/>
    <mergeCell ref="B141:C141"/>
    <mergeCell ref="B142:C142"/>
    <mergeCell ref="A1:H1"/>
    <mergeCell ref="A2:H2"/>
    <mergeCell ref="A3:H3"/>
    <mergeCell ref="B103:H103"/>
    <mergeCell ref="B104:H104"/>
    <mergeCell ref="B105:H105"/>
    <mergeCell ref="B135:C135"/>
    <mergeCell ref="B136:C136"/>
    <mergeCell ref="B108:D108"/>
    <mergeCell ref="B109:C109"/>
    <mergeCell ref="B110:C110"/>
    <mergeCell ref="B111:C111"/>
    <mergeCell ref="B126:C126"/>
    <mergeCell ref="B134:C134"/>
    <mergeCell ref="B106:H106"/>
    <mergeCell ref="B133:C133"/>
  </mergeCells>
  <hyperlinks>
    <hyperlink ref="I1" location="Index!B2" display="Index" xr:uid="{29257C56-95A6-4B82-965B-14A50CFDCB44}"/>
    <hyperlink ref="B170" r:id="rId1" xr:uid="{0F381820-68B4-445C-9540-7B2243E1F39D}"/>
    <hyperlink ref="B172" r:id="rId2" xr:uid="{272BE4A1-9AA8-4C07-9313-A27CD5135C51}"/>
    <hyperlink ref="B174" r:id="rId3" xr:uid="{5E85DBAE-A5F5-4FC9-B609-65FA068B8E56}"/>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D0222-E916-4184-8328-D4EE63813C66}">
  <sheetPr>
    <outlinePr summaryBelow="0" summaryRight="0"/>
  </sheetPr>
  <dimension ref="A1:Q205"/>
  <sheetViews>
    <sheetView showGridLines="0" workbookViewId="0">
      <selection sqref="A1:H1"/>
    </sheetView>
  </sheetViews>
  <sheetFormatPr defaultRowHeight="12.75" x14ac:dyDescent="0.2"/>
  <cols>
    <col min="1" max="1" width="5.85546875" bestFit="1" customWidth="1"/>
    <col min="2" max="2" width="20.28515625" bestFit="1" customWidth="1"/>
    <col min="3" max="3" width="39.140625" bestFit="1" customWidth="1"/>
    <col min="4" max="4" width="10.85546875" customWidth="1"/>
    <col min="5" max="5" width="9.42578125" bestFit="1" customWidth="1"/>
    <col min="6" max="6" width="10.140625" bestFit="1" customWidth="1"/>
    <col min="7" max="7" width="14" bestFit="1" customWidth="1"/>
    <col min="8" max="8" width="9.42578125" customWidth="1"/>
    <col min="9" max="9" width="12.85546875" customWidth="1"/>
  </cols>
  <sheetData>
    <row r="1" spans="1:9" ht="15" x14ac:dyDescent="0.2">
      <c r="A1" s="170" t="s">
        <v>0</v>
      </c>
      <c r="B1" s="170"/>
      <c r="C1" s="170"/>
      <c r="D1" s="170"/>
      <c r="E1" s="170"/>
      <c r="F1" s="170"/>
      <c r="G1" s="170"/>
      <c r="H1" s="170"/>
      <c r="I1" s="7" t="s">
        <v>579</v>
      </c>
    </row>
    <row r="2" spans="1:9" ht="15" x14ac:dyDescent="0.2">
      <c r="A2" s="170" t="s">
        <v>438</v>
      </c>
      <c r="B2" s="170"/>
      <c r="C2" s="170"/>
      <c r="D2" s="170"/>
      <c r="E2" s="170"/>
      <c r="F2" s="170"/>
      <c r="G2" s="170"/>
      <c r="H2" s="170"/>
    </row>
    <row r="3" spans="1:9" ht="15" customHeight="1" x14ac:dyDescent="0.2">
      <c r="A3" s="170" t="s">
        <v>715</v>
      </c>
      <c r="B3" s="170"/>
      <c r="C3" s="170"/>
      <c r="D3" s="170"/>
      <c r="E3" s="170"/>
      <c r="F3" s="170"/>
      <c r="G3" s="170"/>
      <c r="H3" s="170"/>
    </row>
    <row r="4" spans="1:9" s="8" customFormat="1" ht="30" x14ac:dyDescent="0.2">
      <c r="A4" s="32" t="s">
        <v>2</v>
      </c>
      <c r="B4" s="32" t="s">
        <v>3</v>
      </c>
      <c r="C4" s="32" t="s">
        <v>4</v>
      </c>
      <c r="D4" s="32" t="s">
        <v>5</v>
      </c>
      <c r="E4" s="32" t="s">
        <v>6</v>
      </c>
      <c r="F4" s="32" t="s">
        <v>7</v>
      </c>
      <c r="G4" s="32" t="s">
        <v>8</v>
      </c>
      <c r="H4" s="33" t="s">
        <v>704</v>
      </c>
    </row>
    <row r="5" spans="1:9" x14ac:dyDescent="0.2">
      <c r="A5" s="34"/>
      <c r="B5" s="34"/>
      <c r="C5" s="35" t="s">
        <v>9</v>
      </c>
      <c r="D5" s="34"/>
      <c r="E5" s="34"/>
      <c r="F5" s="34"/>
      <c r="G5" s="34"/>
      <c r="H5" s="36" t="s">
        <v>12</v>
      </c>
    </row>
    <row r="6" spans="1:9" x14ac:dyDescent="0.2">
      <c r="A6" s="34"/>
      <c r="B6" s="34"/>
      <c r="C6" s="35" t="s">
        <v>10</v>
      </c>
      <c r="D6" s="34"/>
      <c r="E6" s="34"/>
      <c r="F6" s="34"/>
      <c r="G6" s="34"/>
      <c r="H6" s="36" t="s">
        <v>12</v>
      </c>
    </row>
    <row r="7" spans="1:9" x14ac:dyDescent="0.2">
      <c r="A7" s="34"/>
      <c r="B7" s="34"/>
      <c r="C7" s="35" t="s">
        <v>11</v>
      </c>
      <c r="D7" s="34"/>
      <c r="E7" s="34" t="s">
        <v>12</v>
      </c>
      <c r="F7" s="37" t="s">
        <v>13</v>
      </c>
      <c r="G7" s="38">
        <v>0</v>
      </c>
      <c r="H7" s="36" t="s">
        <v>12</v>
      </c>
    </row>
    <row r="8" spans="1:9" x14ac:dyDescent="0.2">
      <c r="A8" s="34"/>
      <c r="B8" s="34"/>
      <c r="C8" s="39"/>
      <c r="D8" s="34"/>
      <c r="E8" s="34"/>
      <c r="F8" s="40"/>
      <c r="G8" s="40"/>
      <c r="H8" s="36" t="s">
        <v>12</v>
      </c>
    </row>
    <row r="9" spans="1:9" x14ac:dyDescent="0.2">
      <c r="A9" s="34"/>
      <c r="B9" s="34"/>
      <c r="C9" s="35" t="s">
        <v>14</v>
      </c>
      <c r="D9" s="34"/>
      <c r="E9" s="34"/>
      <c r="F9" s="34"/>
      <c r="G9" s="34"/>
      <c r="H9" s="36" t="s">
        <v>12</v>
      </c>
    </row>
    <row r="10" spans="1:9" x14ac:dyDescent="0.2">
      <c r="A10" s="34"/>
      <c r="B10" s="34"/>
      <c r="C10" s="35" t="s">
        <v>11</v>
      </c>
      <c r="D10" s="34"/>
      <c r="E10" s="34" t="s">
        <v>12</v>
      </c>
      <c r="F10" s="37" t="s">
        <v>13</v>
      </c>
      <c r="G10" s="38">
        <v>0</v>
      </c>
      <c r="H10" s="36" t="s">
        <v>12</v>
      </c>
    </row>
    <row r="11" spans="1:9" x14ac:dyDescent="0.2">
      <c r="A11" s="34"/>
      <c r="B11" s="34"/>
      <c r="C11" s="39"/>
      <c r="D11" s="34"/>
      <c r="E11" s="34"/>
      <c r="F11" s="40"/>
      <c r="G11" s="40"/>
      <c r="H11" s="36" t="s">
        <v>12</v>
      </c>
    </row>
    <row r="12" spans="1:9" x14ac:dyDescent="0.2">
      <c r="A12" s="34"/>
      <c r="B12" s="34"/>
      <c r="C12" s="35" t="s">
        <v>15</v>
      </c>
      <c r="D12" s="34"/>
      <c r="E12" s="34"/>
      <c r="F12" s="34"/>
      <c r="G12" s="34"/>
      <c r="H12" s="36" t="s">
        <v>12</v>
      </c>
    </row>
    <row r="13" spans="1:9" x14ac:dyDescent="0.2">
      <c r="A13" s="34"/>
      <c r="B13" s="34"/>
      <c r="C13" s="35" t="s">
        <v>11</v>
      </c>
      <c r="D13" s="34"/>
      <c r="E13" s="34" t="s">
        <v>12</v>
      </c>
      <c r="F13" s="37" t="s">
        <v>13</v>
      </c>
      <c r="G13" s="38">
        <v>0</v>
      </c>
      <c r="H13" s="36" t="s">
        <v>12</v>
      </c>
    </row>
    <row r="14" spans="1:9" x14ac:dyDescent="0.2">
      <c r="A14" s="34"/>
      <c r="B14" s="34"/>
      <c r="C14" s="39"/>
      <c r="D14" s="34"/>
      <c r="E14" s="34"/>
      <c r="F14" s="40"/>
      <c r="G14" s="40"/>
      <c r="H14" s="36" t="s">
        <v>12</v>
      </c>
    </row>
    <row r="15" spans="1:9" x14ac:dyDescent="0.2">
      <c r="A15" s="34"/>
      <c r="B15" s="34"/>
      <c r="C15" s="35" t="s">
        <v>16</v>
      </c>
      <c r="D15" s="34"/>
      <c r="E15" s="34"/>
      <c r="F15" s="34"/>
      <c r="G15" s="34"/>
      <c r="H15" s="36" t="s">
        <v>12</v>
      </c>
    </row>
    <row r="16" spans="1:9" x14ac:dyDescent="0.2">
      <c r="A16" s="34"/>
      <c r="B16" s="34"/>
      <c r="C16" s="35" t="s">
        <v>11</v>
      </c>
      <c r="D16" s="34"/>
      <c r="E16" s="34" t="s">
        <v>12</v>
      </c>
      <c r="F16" s="37" t="s">
        <v>13</v>
      </c>
      <c r="G16" s="38">
        <v>0</v>
      </c>
      <c r="H16" s="36" t="s">
        <v>12</v>
      </c>
    </row>
    <row r="17" spans="1:8" x14ac:dyDescent="0.2">
      <c r="A17" s="34"/>
      <c r="B17" s="34"/>
      <c r="C17" s="39"/>
      <c r="D17" s="34"/>
      <c r="E17" s="34"/>
      <c r="F17" s="40"/>
      <c r="G17" s="40"/>
      <c r="H17" s="36" t="s">
        <v>12</v>
      </c>
    </row>
    <row r="18" spans="1:8" x14ac:dyDescent="0.2">
      <c r="A18" s="34"/>
      <c r="B18" s="34"/>
      <c r="C18" s="35" t="s">
        <v>17</v>
      </c>
      <c r="D18" s="34"/>
      <c r="E18" s="34"/>
      <c r="F18" s="40"/>
      <c r="G18" s="40"/>
      <c r="H18" s="36" t="s">
        <v>12</v>
      </c>
    </row>
    <row r="19" spans="1:8" x14ac:dyDescent="0.2">
      <c r="A19" s="34"/>
      <c r="B19" s="34"/>
      <c r="C19" s="35" t="s">
        <v>11</v>
      </c>
      <c r="D19" s="34"/>
      <c r="E19" s="34" t="s">
        <v>12</v>
      </c>
      <c r="F19" s="37" t="s">
        <v>13</v>
      </c>
      <c r="G19" s="38">
        <v>0</v>
      </c>
      <c r="H19" s="36" t="s">
        <v>12</v>
      </c>
    </row>
    <row r="20" spans="1:8" x14ac:dyDescent="0.2">
      <c r="A20" s="34"/>
      <c r="B20" s="34"/>
      <c r="C20" s="39"/>
      <c r="D20" s="34"/>
      <c r="E20" s="34"/>
      <c r="F20" s="40"/>
      <c r="G20" s="40"/>
      <c r="H20" s="36" t="s">
        <v>12</v>
      </c>
    </row>
    <row r="21" spans="1:8" x14ac:dyDescent="0.2">
      <c r="A21" s="34"/>
      <c r="B21" s="34"/>
      <c r="C21" s="35" t="s">
        <v>18</v>
      </c>
      <c r="D21" s="34"/>
      <c r="E21" s="34"/>
      <c r="F21" s="40"/>
      <c r="G21" s="40"/>
      <c r="H21" s="36" t="s">
        <v>12</v>
      </c>
    </row>
    <row r="22" spans="1:8" x14ac:dyDescent="0.2">
      <c r="A22" s="34"/>
      <c r="B22" s="34"/>
      <c r="C22" s="35" t="s">
        <v>11</v>
      </c>
      <c r="D22" s="34"/>
      <c r="E22" s="34" t="s">
        <v>12</v>
      </c>
      <c r="F22" s="37" t="s">
        <v>13</v>
      </c>
      <c r="G22" s="38">
        <v>0</v>
      </c>
      <c r="H22" s="36" t="s">
        <v>12</v>
      </c>
    </row>
    <row r="23" spans="1:8" x14ac:dyDescent="0.2">
      <c r="A23" s="34"/>
      <c r="B23" s="34"/>
      <c r="C23" s="39"/>
      <c r="D23" s="34"/>
      <c r="E23" s="34"/>
      <c r="F23" s="40"/>
      <c r="G23" s="40"/>
      <c r="H23" s="36" t="s">
        <v>12</v>
      </c>
    </row>
    <row r="24" spans="1:8" x14ac:dyDescent="0.2">
      <c r="A24" s="34"/>
      <c r="B24" s="34"/>
      <c r="C24" s="35" t="s">
        <v>19</v>
      </c>
      <c r="D24" s="34"/>
      <c r="E24" s="34"/>
      <c r="F24" s="41">
        <v>0</v>
      </c>
      <c r="G24" s="38">
        <v>0</v>
      </c>
      <c r="H24" s="36" t="s">
        <v>12</v>
      </c>
    </row>
    <row r="25" spans="1:8" x14ac:dyDescent="0.2">
      <c r="A25" s="34"/>
      <c r="B25" s="34"/>
      <c r="C25" s="39"/>
      <c r="D25" s="34"/>
      <c r="E25" s="34"/>
      <c r="F25" s="40"/>
      <c r="G25" s="40"/>
      <c r="H25" s="36" t="s">
        <v>12</v>
      </c>
    </row>
    <row r="26" spans="1:8" x14ac:dyDescent="0.2">
      <c r="A26" s="34"/>
      <c r="B26" s="34"/>
      <c r="C26" s="35" t="s">
        <v>20</v>
      </c>
      <c r="D26" s="34"/>
      <c r="E26" s="34"/>
      <c r="F26" s="40"/>
      <c r="G26" s="40"/>
      <c r="H26" s="36" t="s">
        <v>12</v>
      </c>
    </row>
    <row r="27" spans="1:8" x14ac:dyDescent="0.2">
      <c r="A27" s="34"/>
      <c r="B27" s="34"/>
      <c r="C27" s="35" t="s">
        <v>10</v>
      </c>
      <c r="D27" s="34"/>
      <c r="E27" s="34"/>
      <c r="F27" s="40"/>
      <c r="G27" s="40"/>
      <c r="H27" s="36" t="s">
        <v>12</v>
      </c>
    </row>
    <row r="28" spans="1:8" x14ac:dyDescent="0.2">
      <c r="A28" s="42">
        <v>1</v>
      </c>
      <c r="B28" s="43" t="s">
        <v>439</v>
      </c>
      <c r="C28" s="43" t="s">
        <v>440</v>
      </c>
      <c r="D28" s="43" t="s">
        <v>231</v>
      </c>
      <c r="E28" s="44">
        <v>750</v>
      </c>
      <c r="F28" s="45">
        <v>7492.6049999999996</v>
      </c>
      <c r="G28" s="46">
        <v>3.5837540000000001E-2</v>
      </c>
      <c r="H28" s="36">
        <v>7.7350000000000003</v>
      </c>
    </row>
    <row r="29" spans="1:8" x14ac:dyDescent="0.2">
      <c r="A29" s="42">
        <v>2</v>
      </c>
      <c r="B29" s="43" t="s">
        <v>237</v>
      </c>
      <c r="C29" s="43" t="s">
        <v>238</v>
      </c>
      <c r="D29" s="43" t="s">
        <v>234</v>
      </c>
      <c r="E29" s="44">
        <v>7000</v>
      </c>
      <c r="F29" s="45">
        <v>7045.6959999999999</v>
      </c>
      <c r="G29" s="46">
        <v>3.3699949999999999E-2</v>
      </c>
      <c r="H29" s="36">
        <v>8.0850000000000009</v>
      </c>
    </row>
    <row r="30" spans="1:8" x14ac:dyDescent="0.2">
      <c r="A30" s="42">
        <v>3</v>
      </c>
      <c r="B30" s="43" t="s">
        <v>232</v>
      </c>
      <c r="C30" s="43" t="s">
        <v>233</v>
      </c>
      <c r="D30" s="43" t="s">
        <v>234</v>
      </c>
      <c r="E30" s="44">
        <v>3000</v>
      </c>
      <c r="F30" s="45">
        <v>3011.7089999999998</v>
      </c>
      <c r="G30" s="46">
        <v>1.440517E-2</v>
      </c>
      <c r="H30" s="36">
        <v>8.8149999999999995</v>
      </c>
    </row>
    <row r="31" spans="1:8" ht="25.5" x14ac:dyDescent="0.2">
      <c r="A31" s="42">
        <v>4</v>
      </c>
      <c r="B31" s="43" t="s">
        <v>441</v>
      </c>
      <c r="C31" s="43" t="s">
        <v>442</v>
      </c>
      <c r="D31" s="43" t="s">
        <v>23</v>
      </c>
      <c r="E31" s="44">
        <v>300</v>
      </c>
      <c r="F31" s="45">
        <v>2989.875</v>
      </c>
      <c r="G31" s="46">
        <v>1.4300739999999999E-2</v>
      </c>
      <c r="H31" s="36">
        <v>7.42</v>
      </c>
    </row>
    <row r="32" spans="1:8" ht="25.5" x14ac:dyDescent="0.2">
      <c r="A32" s="42">
        <v>5</v>
      </c>
      <c r="B32" s="43" t="s">
        <v>443</v>
      </c>
      <c r="C32" s="43" t="s">
        <v>444</v>
      </c>
      <c r="D32" s="43" t="s">
        <v>258</v>
      </c>
      <c r="E32" s="44">
        <v>2500</v>
      </c>
      <c r="F32" s="45">
        <v>2500.8074999999999</v>
      </c>
      <c r="G32" s="46">
        <v>1.19615E-2</v>
      </c>
      <c r="H32" s="36">
        <v>7.74</v>
      </c>
    </row>
    <row r="33" spans="1:8" ht="25.5" x14ac:dyDescent="0.2">
      <c r="A33" s="42">
        <v>6</v>
      </c>
      <c r="B33" s="43" t="s">
        <v>445</v>
      </c>
      <c r="C33" s="43" t="s">
        <v>446</v>
      </c>
      <c r="D33" s="43" t="s">
        <v>258</v>
      </c>
      <c r="E33" s="44">
        <v>250000</v>
      </c>
      <c r="F33" s="45">
        <v>2500</v>
      </c>
      <c r="G33" s="46">
        <v>1.195764E-2</v>
      </c>
      <c r="H33" s="36">
        <v>7.8224999999999998</v>
      </c>
    </row>
    <row r="34" spans="1:8" ht="25.5" x14ac:dyDescent="0.2">
      <c r="A34" s="42">
        <v>7</v>
      </c>
      <c r="B34" s="43" t="s">
        <v>57</v>
      </c>
      <c r="C34" s="43" t="s">
        <v>58</v>
      </c>
      <c r="D34" s="43" t="s">
        <v>23</v>
      </c>
      <c r="E34" s="44">
        <v>2500</v>
      </c>
      <c r="F34" s="45">
        <v>2496.5100000000002</v>
      </c>
      <c r="G34" s="46">
        <v>1.1940940000000001E-2</v>
      </c>
      <c r="H34" s="36">
        <v>7.63</v>
      </c>
    </row>
    <row r="35" spans="1:8" ht="25.5" x14ac:dyDescent="0.2">
      <c r="A35" s="42">
        <v>8</v>
      </c>
      <c r="B35" s="43" t="s">
        <v>447</v>
      </c>
      <c r="C35" s="43" t="s">
        <v>448</v>
      </c>
      <c r="D35" s="43" t="s">
        <v>23</v>
      </c>
      <c r="E35" s="44">
        <v>250</v>
      </c>
      <c r="F35" s="45">
        <v>2490.8724999999999</v>
      </c>
      <c r="G35" s="46">
        <v>1.1913979999999999E-2</v>
      </c>
      <c r="H35" s="36">
        <v>7.87</v>
      </c>
    </row>
    <row r="36" spans="1:8" ht="25.5" x14ac:dyDescent="0.2">
      <c r="A36" s="42">
        <v>9</v>
      </c>
      <c r="B36" s="43" t="s">
        <v>449</v>
      </c>
      <c r="C36" s="43" t="s">
        <v>450</v>
      </c>
      <c r="D36" s="43" t="s">
        <v>23</v>
      </c>
      <c r="E36" s="44">
        <v>250</v>
      </c>
      <c r="F36" s="45">
        <v>2469.7649999999999</v>
      </c>
      <c r="G36" s="46">
        <v>1.181302E-2</v>
      </c>
      <c r="H36" s="36">
        <v>7.7</v>
      </c>
    </row>
    <row r="37" spans="1:8" ht="25.5" x14ac:dyDescent="0.2">
      <c r="A37" s="42">
        <v>10</v>
      </c>
      <c r="B37" s="43" t="s">
        <v>256</v>
      </c>
      <c r="C37" s="43" t="s">
        <v>257</v>
      </c>
      <c r="D37" s="43" t="s">
        <v>258</v>
      </c>
      <c r="E37" s="44">
        <v>200</v>
      </c>
      <c r="F37" s="45">
        <v>2003.56</v>
      </c>
      <c r="G37" s="46">
        <v>9.5831400000000004E-3</v>
      </c>
      <c r="H37" s="36">
        <v>8.1575000000000006</v>
      </c>
    </row>
    <row r="38" spans="1:8" x14ac:dyDescent="0.2">
      <c r="A38" s="42">
        <v>11</v>
      </c>
      <c r="B38" s="43" t="s">
        <v>229</v>
      </c>
      <c r="C38" s="43" t="s">
        <v>230</v>
      </c>
      <c r="D38" s="43" t="s">
        <v>231</v>
      </c>
      <c r="E38" s="44">
        <v>1600</v>
      </c>
      <c r="F38" s="45">
        <v>1609.4592</v>
      </c>
      <c r="G38" s="46">
        <v>7.6981300000000001E-3</v>
      </c>
      <c r="H38" s="36">
        <v>7.9950000000000001</v>
      </c>
    </row>
    <row r="39" spans="1:8" ht="25.5" x14ac:dyDescent="0.2">
      <c r="A39" s="42">
        <v>12</v>
      </c>
      <c r="B39" s="43" t="s">
        <v>61</v>
      </c>
      <c r="C39" s="43" t="s">
        <v>62</v>
      </c>
      <c r="D39" s="43" t="s">
        <v>23</v>
      </c>
      <c r="E39" s="44">
        <v>1500</v>
      </c>
      <c r="F39" s="45">
        <v>1499.6714999999999</v>
      </c>
      <c r="G39" s="46">
        <v>7.1730099999999996E-3</v>
      </c>
      <c r="H39" s="36">
        <v>8.0649999999999995</v>
      </c>
    </row>
    <row r="40" spans="1:8" x14ac:dyDescent="0.2">
      <c r="A40" s="42">
        <v>13</v>
      </c>
      <c r="B40" s="43" t="s">
        <v>243</v>
      </c>
      <c r="C40" s="43" t="s">
        <v>244</v>
      </c>
      <c r="D40" s="43" t="s">
        <v>23</v>
      </c>
      <c r="E40" s="44">
        <v>1500</v>
      </c>
      <c r="F40" s="45">
        <v>1496.91</v>
      </c>
      <c r="G40" s="46">
        <v>7.1598E-3</v>
      </c>
      <c r="H40" s="36">
        <v>7.66</v>
      </c>
    </row>
    <row r="41" spans="1:8" x14ac:dyDescent="0.2">
      <c r="A41" s="42">
        <v>14</v>
      </c>
      <c r="B41" s="43" t="s">
        <v>254</v>
      </c>
      <c r="C41" s="43" t="s">
        <v>255</v>
      </c>
      <c r="D41" s="43" t="s">
        <v>234</v>
      </c>
      <c r="E41" s="44">
        <v>1000</v>
      </c>
      <c r="F41" s="45">
        <v>1004.564</v>
      </c>
      <c r="G41" s="46">
        <v>4.8048800000000001E-3</v>
      </c>
      <c r="H41" s="36">
        <v>8.7083999999999993</v>
      </c>
    </row>
    <row r="42" spans="1:8" ht="25.5" x14ac:dyDescent="0.2">
      <c r="A42" s="42">
        <v>15</v>
      </c>
      <c r="B42" s="43" t="s">
        <v>63</v>
      </c>
      <c r="C42" s="43" t="s">
        <v>64</v>
      </c>
      <c r="D42" s="43" t="s">
        <v>23</v>
      </c>
      <c r="E42" s="44">
        <v>1000</v>
      </c>
      <c r="F42" s="45">
        <v>996.3</v>
      </c>
      <c r="G42" s="46">
        <v>4.7653599999999997E-3</v>
      </c>
      <c r="H42" s="36">
        <v>7.6349999999999998</v>
      </c>
    </row>
    <row r="43" spans="1:8" x14ac:dyDescent="0.2">
      <c r="A43" s="34"/>
      <c r="B43" s="34"/>
      <c r="C43" s="35" t="s">
        <v>11</v>
      </c>
      <c r="D43" s="34"/>
      <c r="E43" s="34" t="s">
        <v>12</v>
      </c>
      <c r="F43" s="41">
        <v>41608.304700000001</v>
      </c>
      <c r="G43" s="38">
        <v>0.19901479999999999</v>
      </c>
      <c r="H43" s="36" t="s">
        <v>12</v>
      </c>
    </row>
    <row r="44" spans="1:8" x14ac:dyDescent="0.2">
      <c r="A44" s="34"/>
      <c r="B44" s="34"/>
      <c r="C44" s="39"/>
      <c r="D44" s="34"/>
      <c r="E44" s="34"/>
      <c r="F44" s="40"/>
      <c r="G44" s="40"/>
      <c r="H44" s="36" t="s">
        <v>12</v>
      </c>
    </row>
    <row r="45" spans="1:8" x14ac:dyDescent="0.2">
      <c r="A45" s="34"/>
      <c r="B45" s="34"/>
      <c r="C45" s="35" t="s">
        <v>71</v>
      </c>
      <c r="D45" s="34"/>
      <c r="E45" s="34"/>
      <c r="F45" s="34"/>
      <c r="G45" s="34"/>
      <c r="H45" s="36" t="s">
        <v>12</v>
      </c>
    </row>
    <row r="46" spans="1:8" x14ac:dyDescent="0.2">
      <c r="A46" s="34"/>
      <c r="B46" s="34"/>
      <c r="C46" s="35" t="s">
        <v>11</v>
      </c>
      <c r="D46" s="34"/>
      <c r="E46" s="34" t="s">
        <v>12</v>
      </c>
      <c r="F46" s="37" t="s">
        <v>13</v>
      </c>
      <c r="G46" s="38">
        <v>0</v>
      </c>
      <c r="H46" s="36" t="s">
        <v>12</v>
      </c>
    </row>
    <row r="47" spans="1:8" x14ac:dyDescent="0.2">
      <c r="A47" s="34"/>
      <c r="B47" s="34"/>
      <c r="C47" s="39"/>
      <c r="D47" s="34"/>
      <c r="E47" s="34"/>
      <c r="F47" s="40"/>
      <c r="G47" s="40"/>
      <c r="H47" s="36" t="s">
        <v>12</v>
      </c>
    </row>
    <row r="48" spans="1:8" x14ac:dyDescent="0.2">
      <c r="A48" s="34"/>
      <c r="B48" s="34"/>
      <c r="C48" s="35" t="s">
        <v>72</v>
      </c>
      <c r="D48" s="34"/>
      <c r="E48" s="34"/>
      <c r="F48" s="34"/>
      <c r="G48" s="34"/>
      <c r="H48" s="36" t="s">
        <v>12</v>
      </c>
    </row>
    <row r="49" spans="1:8" x14ac:dyDescent="0.2">
      <c r="A49" s="34"/>
      <c r="B49" s="34"/>
      <c r="C49" s="35" t="s">
        <v>11</v>
      </c>
      <c r="D49" s="34"/>
      <c r="E49" s="34" t="s">
        <v>12</v>
      </c>
      <c r="F49" s="37" t="s">
        <v>13</v>
      </c>
      <c r="G49" s="38">
        <v>0</v>
      </c>
      <c r="H49" s="36" t="s">
        <v>12</v>
      </c>
    </row>
    <row r="50" spans="1:8" x14ac:dyDescent="0.2">
      <c r="A50" s="34"/>
      <c r="B50" s="34"/>
      <c r="C50" s="39"/>
      <c r="D50" s="34"/>
      <c r="E50" s="34"/>
      <c r="F50" s="40"/>
      <c r="G50" s="40"/>
      <c r="H50" s="36" t="s">
        <v>12</v>
      </c>
    </row>
    <row r="51" spans="1:8" x14ac:dyDescent="0.2">
      <c r="A51" s="34"/>
      <c r="B51" s="34"/>
      <c r="C51" s="35" t="s">
        <v>88</v>
      </c>
      <c r="D51" s="34"/>
      <c r="E51" s="34"/>
      <c r="F51" s="40"/>
      <c r="G51" s="40"/>
      <c r="H51" s="36" t="s">
        <v>12</v>
      </c>
    </row>
    <row r="52" spans="1:8" x14ac:dyDescent="0.2">
      <c r="A52" s="34"/>
      <c r="B52" s="34"/>
      <c r="C52" s="35" t="s">
        <v>11</v>
      </c>
      <c r="D52" s="34"/>
      <c r="E52" s="34" t="s">
        <v>12</v>
      </c>
      <c r="F52" s="37" t="s">
        <v>13</v>
      </c>
      <c r="G52" s="38">
        <v>0</v>
      </c>
      <c r="H52" s="36" t="s">
        <v>12</v>
      </c>
    </row>
    <row r="53" spans="1:8" x14ac:dyDescent="0.2">
      <c r="A53" s="34"/>
      <c r="B53" s="34"/>
      <c r="C53" s="39"/>
      <c r="D53" s="34"/>
      <c r="E53" s="34"/>
      <c r="F53" s="40"/>
      <c r="G53" s="40"/>
      <c r="H53" s="36" t="s">
        <v>12</v>
      </c>
    </row>
    <row r="54" spans="1:8" x14ac:dyDescent="0.2">
      <c r="A54" s="34"/>
      <c r="B54" s="34"/>
      <c r="C54" s="35" t="s">
        <v>89</v>
      </c>
      <c r="D54" s="34"/>
      <c r="E54" s="34"/>
      <c r="F54" s="41">
        <v>41608.304700000001</v>
      </c>
      <c r="G54" s="38">
        <v>0.19901479999999999</v>
      </c>
      <c r="H54" s="36" t="s">
        <v>12</v>
      </c>
    </row>
    <row r="55" spans="1:8" x14ac:dyDescent="0.2">
      <c r="A55" s="34"/>
      <c r="B55" s="34"/>
      <c r="C55" s="39"/>
      <c r="D55" s="34"/>
      <c r="E55" s="34"/>
      <c r="F55" s="40"/>
      <c r="G55" s="40"/>
      <c r="H55" s="36" t="s">
        <v>12</v>
      </c>
    </row>
    <row r="56" spans="1:8" x14ac:dyDescent="0.2">
      <c r="A56" s="34"/>
      <c r="B56" s="34"/>
      <c r="C56" s="35" t="s">
        <v>90</v>
      </c>
      <c r="D56" s="34"/>
      <c r="E56" s="34"/>
      <c r="F56" s="40"/>
      <c r="G56" s="40"/>
      <c r="H56" s="36" t="s">
        <v>12</v>
      </c>
    </row>
    <row r="57" spans="1:8" x14ac:dyDescent="0.2">
      <c r="A57" s="34"/>
      <c r="B57" s="34"/>
      <c r="C57" s="35" t="s">
        <v>91</v>
      </c>
      <c r="D57" s="34"/>
      <c r="E57" s="34"/>
      <c r="F57" s="40"/>
      <c r="G57" s="40"/>
      <c r="H57" s="36" t="s">
        <v>12</v>
      </c>
    </row>
    <row r="58" spans="1:8" x14ac:dyDescent="0.2">
      <c r="A58" s="42">
        <v>1</v>
      </c>
      <c r="B58" s="43" t="s">
        <v>267</v>
      </c>
      <c r="C58" s="43" t="s">
        <v>268</v>
      </c>
      <c r="D58" s="43" t="s">
        <v>146</v>
      </c>
      <c r="E58" s="44">
        <v>1500</v>
      </c>
      <c r="F58" s="45">
        <v>7397.91</v>
      </c>
      <c r="G58" s="46">
        <v>3.5384609999999997E-2</v>
      </c>
      <c r="H58" s="36">
        <v>7.3</v>
      </c>
    </row>
    <row r="59" spans="1:8" x14ac:dyDescent="0.2">
      <c r="A59" s="42">
        <v>2</v>
      </c>
      <c r="B59" s="43" t="s">
        <v>451</v>
      </c>
      <c r="C59" s="43" t="s">
        <v>452</v>
      </c>
      <c r="D59" s="43" t="s">
        <v>146</v>
      </c>
      <c r="E59" s="44">
        <v>1000</v>
      </c>
      <c r="F59" s="45">
        <v>4943.8500000000004</v>
      </c>
      <c r="G59" s="46">
        <v>2.36467E-2</v>
      </c>
      <c r="H59" s="36">
        <v>7.2732999999999999</v>
      </c>
    </row>
    <row r="60" spans="1:8" x14ac:dyDescent="0.2">
      <c r="A60" s="42">
        <v>3</v>
      </c>
      <c r="B60" s="43" t="s">
        <v>453</v>
      </c>
      <c r="C60" s="43" t="s">
        <v>454</v>
      </c>
      <c r="D60" s="43" t="s">
        <v>146</v>
      </c>
      <c r="E60" s="44">
        <v>1000</v>
      </c>
      <c r="F60" s="45">
        <v>4844.87</v>
      </c>
      <c r="G60" s="46">
        <v>2.3173280000000001E-2</v>
      </c>
      <c r="H60" s="36">
        <v>7.5400999999999998</v>
      </c>
    </row>
    <row r="61" spans="1:8" x14ac:dyDescent="0.2">
      <c r="A61" s="42">
        <v>4</v>
      </c>
      <c r="B61" s="43" t="s">
        <v>455</v>
      </c>
      <c r="C61" s="43" t="s">
        <v>456</v>
      </c>
      <c r="D61" s="43" t="s">
        <v>149</v>
      </c>
      <c r="E61" s="44">
        <v>1000</v>
      </c>
      <c r="F61" s="45">
        <v>4673.3649999999998</v>
      </c>
      <c r="G61" s="46">
        <v>2.2352960000000002E-2</v>
      </c>
      <c r="H61" s="36">
        <v>7.57</v>
      </c>
    </row>
    <row r="62" spans="1:8" x14ac:dyDescent="0.2">
      <c r="A62" s="42">
        <v>5</v>
      </c>
      <c r="B62" s="43" t="s">
        <v>159</v>
      </c>
      <c r="C62" s="43" t="s">
        <v>160</v>
      </c>
      <c r="D62" s="43" t="s">
        <v>146</v>
      </c>
      <c r="E62" s="44">
        <v>1000</v>
      </c>
      <c r="F62" s="45">
        <v>4671.7550000000001</v>
      </c>
      <c r="G62" s="46">
        <v>2.2345259999999999E-2</v>
      </c>
      <c r="H62" s="36">
        <v>7.61</v>
      </c>
    </row>
    <row r="63" spans="1:8" x14ac:dyDescent="0.2">
      <c r="A63" s="42">
        <v>6</v>
      </c>
      <c r="B63" s="43" t="s">
        <v>161</v>
      </c>
      <c r="C63" s="43" t="s">
        <v>162</v>
      </c>
      <c r="D63" s="43" t="s">
        <v>146</v>
      </c>
      <c r="E63" s="44">
        <v>1000</v>
      </c>
      <c r="F63" s="45">
        <v>4666.6049999999996</v>
      </c>
      <c r="G63" s="46">
        <v>2.2320630000000001E-2</v>
      </c>
      <c r="H63" s="36">
        <v>7.7149999999999999</v>
      </c>
    </row>
    <row r="64" spans="1:8" x14ac:dyDescent="0.2">
      <c r="A64" s="42">
        <v>7</v>
      </c>
      <c r="B64" s="43" t="s">
        <v>189</v>
      </c>
      <c r="C64" s="43" t="s">
        <v>190</v>
      </c>
      <c r="D64" s="43" t="s">
        <v>152</v>
      </c>
      <c r="E64" s="44">
        <v>900</v>
      </c>
      <c r="F64" s="45">
        <v>4388.7735000000002</v>
      </c>
      <c r="G64" s="46">
        <v>2.0991739999999998E-2</v>
      </c>
      <c r="H64" s="36">
        <v>7.46</v>
      </c>
    </row>
    <row r="65" spans="1:8" x14ac:dyDescent="0.2">
      <c r="A65" s="42">
        <v>8</v>
      </c>
      <c r="B65" s="43" t="s">
        <v>191</v>
      </c>
      <c r="C65" s="43" t="s">
        <v>192</v>
      </c>
      <c r="D65" s="43" t="s">
        <v>146</v>
      </c>
      <c r="E65" s="44">
        <v>900</v>
      </c>
      <c r="F65" s="45">
        <v>4375.9485000000004</v>
      </c>
      <c r="G65" s="46">
        <v>2.0930399999999998E-2</v>
      </c>
      <c r="H65" s="36">
        <v>7.4980000000000002</v>
      </c>
    </row>
    <row r="66" spans="1:8" x14ac:dyDescent="0.2">
      <c r="A66" s="42">
        <v>9</v>
      </c>
      <c r="B66" s="43" t="s">
        <v>179</v>
      </c>
      <c r="C66" s="43" t="s">
        <v>180</v>
      </c>
      <c r="D66" s="43" t="s">
        <v>149</v>
      </c>
      <c r="E66" s="44">
        <v>840</v>
      </c>
      <c r="F66" s="45">
        <v>4030.2359999999999</v>
      </c>
      <c r="G66" s="46">
        <v>1.927684E-2</v>
      </c>
      <c r="H66" s="36">
        <v>7.5</v>
      </c>
    </row>
    <row r="67" spans="1:8" ht="25.5" x14ac:dyDescent="0.2">
      <c r="A67" s="42">
        <v>10</v>
      </c>
      <c r="B67" s="43" t="s">
        <v>269</v>
      </c>
      <c r="C67" s="43" t="s">
        <v>270</v>
      </c>
      <c r="D67" s="43" t="s">
        <v>146</v>
      </c>
      <c r="E67" s="44">
        <v>800</v>
      </c>
      <c r="F67" s="45">
        <v>3970.7159999999999</v>
      </c>
      <c r="G67" s="46">
        <v>1.8992149999999999E-2</v>
      </c>
      <c r="H67" s="36">
        <v>7.2750000000000004</v>
      </c>
    </row>
    <row r="68" spans="1:8" x14ac:dyDescent="0.2">
      <c r="A68" s="42">
        <v>11</v>
      </c>
      <c r="B68" s="43" t="s">
        <v>173</v>
      </c>
      <c r="C68" s="43" t="s">
        <v>174</v>
      </c>
      <c r="D68" s="43" t="s">
        <v>146</v>
      </c>
      <c r="E68" s="44">
        <v>800</v>
      </c>
      <c r="F68" s="45">
        <v>3933.136</v>
      </c>
      <c r="G68" s="46">
        <v>1.88124E-2</v>
      </c>
      <c r="H68" s="36">
        <v>7.3</v>
      </c>
    </row>
    <row r="69" spans="1:8" x14ac:dyDescent="0.2">
      <c r="A69" s="42">
        <v>12</v>
      </c>
      <c r="B69" s="43" t="s">
        <v>177</v>
      </c>
      <c r="C69" s="43" t="s">
        <v>178</v>
      </c>
      <c r="D69" s="43" t="s">
        <v>146</v>
      </c>
      <c r="E69" s="44">
        <v>800</v>
      </c>
      <c r="F69" s="45">
        <v>3733.0680000000002</v>
      </c>
      <c r="G69" s="46">
        <v>1.7855469999999998E-2</v>
      </c>
      <c r="H69" s="36">
        <v>7.5650000000000004</v>
      </c>
    </row>
    <row r="70" spans="1:8" x14ac:dyDescent="0.2">
      <c r="A70" s="42">
        <v>13</v>
      </c>
      <c r="B70" s="43" t="s">
        <v>167</v>
      </c>
      <c r="C70" s="43" t="s">
        <v>168</v>
      </c>
      <c r="D70" s="43" t="s">
        <v>146</v>
      </c>
      <c r="E70" s="44">
        <v>700</v>
      </c>
      <c r="F70" s="45">
        <v>3443.9054999999998</v>
      </c>
      <c r="G70" s="46">
        <v>1.647239E-2</v>
      </c>
      <c r="H70" s="36">
        <v>7.25</v>
      </c>
    </row>
    <row r="71" spans="1:8" x14ac:dyDescent="0.2">
      <c r="A71" s="42">
        <v>14</v>
      </c>
      <c r="B71" s="43" t="s">
        <v>181</v>
      </c>
      <c r="C71" s="43" t="s">
        <v>182</v>
      </c>
      <c r="D71" s="43" t="s">
        <v>146</v>
      </c>
      <c r="E71" s="44">
        <v>660</v>
      </c>
      <c r="F71" s="45">
        <v>3266.3861999999999</v>
      </c>
      <c r="G71" s="46">
        <v>1.56233E-2</v>
      </c>
      <c r="H71" s="36">
        <v>7.3650000000000002</v>
      </c>
    </row>
    <row r="72" spans="1:8" x14ac:dyDescent="0.2">
      <c r="A72" s="42">
        <v>15</v>
      </c>
      <c r="B72" s="43" t="s">
        <v>183</v>
      </c>
      <c r="C72" s="43" t="s">
        <v>184</v>
      </c>
      <c r="D72" s="43" t="s">
        <v>146</v>
      </c>
      <c r="E72" s="44">
        <v>660</v>
      </c>
      <c r="F72" s="45">
        <v>3264.2642999999998</v>
      </c>
      <c r="G72" s="46">
        <v>1.5613149999999999E-2</v>
      </c>
      <c r="H72" s="36">
        <v>7.4</v>
      </c>
    </row>
    <row r="73" spans="1:8" x14ac:dyDescent="0.2">
      <c r="A73" s="42">
        <v>16</v>
      </c>
      <c r="B73" s="43" t="s">
        <v>185</v>
      </c>
      <c r="C73" s="43" t="s">
        <v>186</v>
      </c>
      <c r="D73" s="43" t="s">
        <v>149</v>
      </c>
      <c r="E73" s="44">
        <v>600</v>
      </c>
      <c r="F73" s="45">
        <v>2982.3150000000001</v>
      </c>
      <c r="G73" s="46">
        <v>1.4264580000000001E-2</v>
      </c>
      <c r="H73" s="36">
        <v>7.2150999999999996</v>
      </c>
    </row>
    <row r="74" spans="1:8" x14ac:dyDescent="0.2">
      <c r="A74" s="42">
        <v>17</v>
      </c>
      <c r="B74" s="43" t="s">
        <v>271</v>
      </c>
      <c r="C74" s="43" t="s">
        <v>272</v>
      </c>
      <c r="D74" s="43" t="s">
        <v>146</v>
      </c>
      <c r="E74" s="44">
        <v>600</v>
      </c>
      <c r="F74" s="45">
        <v>2804.502</v>
      </c>
      <c r="G74" s="46">
        <v>1.341409E-2</v>
      </c>
      <c r="H74" s="36">
        <v>7.55</v>
      </c>
    </row>
    <row r="75" spans="1:8" x14ac:dyDescent="0.2">
      <c r="A75" s="42">
        <v>18</v>
      </c>
      <c r="B75" s="43" t="s">
        <v>457</v>
      </c>
      <c r="C75" s="43" t="s">
        <v>458</v>
      </c>
      <c r="D75" s="43" t="s">
        <v>146</v>
      </c>
      <c r="E75" s="44">
        <v>500</v>
      </c>
      <c r="F75" s="45">
        <v>2482.6925000000001</v>
      </c>
      <c r="G75" s="46">
        <v>1.1874849999999999E-2</v>
      </c>
      <c r="H75" s="36">
        <v>7.27</v>
      </c>
    </row>
    <row r="76" spans="1:8" ht="25.5" x14ac:dyDescent="0.2">
      <c r="A76" s="42">
        <v>19</v>
      </c>
      <c r="B76" s="43" t="s">
        <v>459</v>
      </c>
      <c r="C76" s="43" t="s">
        <v>460</v>
      </c>
      <c r="D76" s="43" t="s">
        <v>146</v>
      </c>
      <c r="E76" s="44">
        <v>500</v>
      </c>
      <c r="F76" s="45">
        <v>2481.6350000000002</v>
      </c>
      <c r="G76" s="46">
        <v>1.18698E-2</v>
      </c>
      <c r="H76" s="36">
        <v>7.3</v>
      </c>
    </row>
    <row r="77" spans="1:8" x14ac:dyDescent="0.2">
      <c r="A77" s="42">
        <v>20</v>
      </c>
      <c r="B77" s="43" t="s">
        <v>461</v>
      </c>
      <c r="C77" s="43" t="s">
        <v>462</v>
      </c>
      <c r="D77" s="43" t="s">
        <v>146</v>
      </c>
      <c r="E77" s="44">
        <v>500</v>
      </c>
      <c r="F77" s="45">
        <v>2481.6350000000002</v>
      </c>
      <c r="G77" s="46">
        <v>1.18698E-2</v>
      </c>
      <c r="H77" s="36">
        <v>7.3002000000000002</v>
      </c>
    </row>
    <row r="78" spans="1:8" x14ac:dyDescent="0.2">
      <c r="A78" s="42">
        <v>21</v>
      </c>
      <c r="B78" s="43" t="s">
        <v>330</v>
      </c>
      <c r="C78" s="43" t="s">
        <v>331</v>
      </c>
      <c r="D78" s="43" t="s">
        <v>152</v>
      </c>
      <c r="E78" s="44">
        <v>500</v>
      </c>
      <c r="F78" s="45">
        <v>2475.37</v>
      </c>
      <c r="G78" s="46">
        <v>1.1839830000000001E-2</v>
      </c>
      <c r="H78" s="36">
        <v>7.2633999999999999</v>
      </c>
    </row>
    <row r="79" spans="1:8" x14ac:dyDescent="0.2">
      <c r="A79" s="42">
        <v>22</v>
      </c>
      <c r="B79" s="43" t="s">
        <v>332</v>
      </c>
      <c r="C79" s="43" t="s">
        <v>333</v>
      </c>
      <c r="D79" s="43" t="s">
        <v>146</v>
      </c>
      <c r="E79" s="44">
        <v>500</v>
      </c>
      <c r="F79" s="45">
        <v>2475.2474999999999</v>
      </c>
      <c r="G79" s="46">
        <v>1.1839239999999999E-2</v>
      </c>
      <c r="H79" s="36">
        <v>7.3</v>
      </c>
    </row>
    <row r="80" spans="1:8" x14ac:dyDescent="0.2">
      <c r="A80" s="42">
        <v>23</v>
      </c>
      <c r="B80" s="43" t="s">
        <v>463</v>
      </c>
      <c r="C80" s="43" t="s">
        <v>464</v>
      </c>
      <c r="D80" s="43" t="s">
        <v>146</v>
      </c>
      <c r="E80" s="44">
        <v>500</v>
      </c>
      <c r="F80" s="45">
        <v>2466.1999999999998</v>
      </c>
      <c r="G80" s="46">
        <v>1.1795969999999999E-2</v>
      </c>
      <c r="H80" s="36">
        <v>7.25</v>
      </c>
    </row>
    <row r="81" spans="1:8" x14ac:dyDescent="0.2">
      <c r="A81" s="42">
        <v>24</v>
      </c>
      <c r="B81" s="43" t="s">
        <v>147</v>
      </c>
      <c r="C81" s="43" t="s">
        <v>148</v>
      </c>
      <c r="D81" s="43" t="s">
        <v>149</v>
      </c>
      <c r="E81" s="44">
        <v>500</v>
      </c>
      <c r="F81" s="45">
        <v>2463.3024999999998</v>
      </c>
      <c r="G81" s="46">
        <v>1.178211E-2</v>
      </c>
      <c r="H81" s="36">
        <v>7.2500999999999998</v>
      </c>
    </row>
    <row r="82" spans="1:8" x14ac:dyDescent="0.2">
      <c r="A82" s="42">
        <v>25</v>
      </c>
      <c r="B82" s="43" t="s">
        <v>169</v>
      </c>
      <c r="C82" s="43" t="s">
        <v>170</v>
      </c>
      <c r="D82" s="43" t="s">
        <v>146</v>
      </c>
      <c r="E82" s="44">
        <v>500</v>
      </c>
      <c r="F82" s="45">
        <v>2429.2624999999998</v>
      </c>
      <c r="G82" s="46">
        <v>1.1619300000000001E-2</v>
      </c>
      <c r="H82" s="36">
        <v>7.4850000000000003</v>
      </c>
    </row>
    <row r="83" spans="1:8" x14ac:dyDescent="0.2">
      <c r="A83" s="42">
        <v>26</v>
      </c>
      <c r="B83" s="43" t="s">
        <v>465</v>
      </c>
      <c r="C83" s="43" t="s">
        <v>466</v>
      </c>
      <c r="D83" s="43" t="s">
        <v>146</v>
      </c>
      <c r="E83" s="44">
        <v>500</v>
      </c>
      <c r="F83" s="45">
        <v>2426.085</v>
      </c>
      <c r="G83" s="46">
        <v>1.1604099999999999E-2</v>
      </c>
      <c r="H83" s="36">
        <v>7.5650000000000004</v>
      </c>
    </row>
    <row r="84" spans="1:8" x14ac:dyDescent="0.2">
      <c r="A84" s="42">
        <v>27</v>
      </c>
      <c r="B84" s="43" t="s">
        <v>467</v>
      </c>
      <c r="C84" s="43" t="s">
        <v>468</v>
      </c>
      <c r="D84" s="43" t="s">
        <v>146</v>
      </c>
      <c r="E84" s="44">
        <v>500</v>
      </c>
      <c r="F84" s="45">
        <v>2385.0275000000001</v>
      </c>
      <c r="G84" s="46">
        <v>1.140772E-2</v>
      </c>
      <c r="H84" s="36">
        <v>7.65</v>
      </c>
    </row>
    <row r="85" spans="1:8" x14ac:dyDescent="0.2">
      <c r="A85" s="42">
        <v>28</v>
      </c>
      <c r="B85" s="43" t="s">
        <v>469</v>
      </c>
      <c r="C85" s="43" t="s">
        <v>470</v>
      </c>
      <c r="D85" s="43" t="s">
        <v>146</v>
      </c>
      <c r="E85" s="44">
        <v>500</v>
      </c>
      <c r="F85" s="45">
        <v>2384.7800000000002</v>
      </c>
      <c r="G85" s="46">
        <v>1.140653E-2</v>
      </c>
      <c r="H85" s="36">
        <v>7.5686</v>
      </c>
    </row>
    <row r="86" spans="1:8" x14ac:dyDescent="0.2">
      <c r="A86" s="42">
        <v>29</v>
      </c>
      <c r="B86" s="43" t="s">
        <v>175</v>
      </c>
      <c r="C86" s="43" t="s">
        <v>176</v>
      </c>
      <c r="D86" s="43" t="s">
        <v>146</v>
      </c>
      <c r="E86" s="44">
        <v>500</v>
      </c>
      <c r="F86" s="45">
        <v>2339.7649999999999</v>
      </c>
      <c r="G86" s="46">
        <v>1.119122E-2</v>
      </c>
      <c r="H86" s="36">
        <v>7.7149999999999999</v>
      </c>
    </row>
    <row r="87" spans="1:8" x14ac:dyDescent="0.2">
      <c r="A87" s="42">
        <v>30</v>
      </c>
      <c r="B87" s="43" t="s">
        <v>155</v>
      </c>
      <c r="C87" s="43" t="s">
        <v>156</v>
      </c>
      <c r="D87" s="43" t="s">
        <v>146</v>
      </c>
      <c r="E87" s="44">
        <v>500</v>
      </c>
      <c r="F87" s="45">
        <v>2338.6025</v>
      </c>
      <c r="G87" s="46">
        <v>1.118566E-2</v>
      </c>
      <c r="H87" s="36">
        <v>7.68</v>
      </c>
    </row>
    <row r="88" spans="1:8" x14ac:dyDescent="0.2">
      <c r="A88" s="42">
        <v>31</v>
      </c>
      <c r="B88" s="43" t="s">
        <v>157</v>
      </c>
      <c r="C88" s="43" t="s">
        <v>158</v>
      </c>
      <c r="D88" s="43" t="s">
        <v>146</v>
      </c>
      <c r="E88" s="44">
        <v>500</v>
      </c>
      <c r="F88" s="45">
        <v>2338.5124999999998</v>
      </c>
      <c r="G88" s="46">
        <v>1.1185230000000001E-2</v>
      </c>
      <c r="H88" s="36">
        <v>7.6150000000000002</v>
      </c>
    </row>
    <row r="89" spans="1:8" ht="25.5" x14ac:dyDescent="0.2">
      <c r="A89" s="42">
        <v>32</v>
      </c>
      <c r="B89" s="43" t="s">
        <v>201</v>
      </c>
      <c r="C89" s="43" t="s">
        <v>202</v>
      </c>
      <c r="D89" s="43" t="s">
        <v>146</v>
      </c>
      <c r="E89" s="44">
        <v>500</v>
      </c>
      <c r="F89" s="45">
        <v>2335.3225000000002</v>
      </c>
      <c r="G89" s="46">
        <v>1.116997E-2</v>
      </c>
      <c r="H89" s="36">
        <v>7.6150000000000002</v>
      </c>
    </row>
    <row r="90" spans="1:8" x14ac:dyDescent="0.2">
      <c r="A90" s="42">
        <v>33</v>
      </c>
      <c r="B90" s="43" t="s">
        <v>187</v>
      </c>
      <c r="C90" s="43" t="s">
        <v>188</v>
      </c>
      <c r="D90" s="43" t="s">
        <v>146</v>
      </c>
      <c r="E90" s="44">
        <v>400</v>
      </c>
      <c r="F90" s="45">
        <v>1986.4639999999999</v>
      </c>
      <c r="G90" s="46">
        <v>9.5013700000000003E-3</v>
      </c>
      <c r="H90" s="36">
        <v>7.3151000000000002</v>
      </c>
    </row>
    <row r="91" spans="1:8" x14ac:dyDescent="0.2">
      <c r="A91" s="42">
        <v>34</v>
      </c>
      <c r="B91" s="43" t="s">
        <v>171</v>
      </c>
      <c r="C91" s="43" t="s">
        <v>172</v>
      </c>
      <c r="D91" s="43" t="s">
        <v>146</v>
      </c>
      <c r="E91" s="44">
        <v>300</v>
      </c>
      <c r="F91" s="45">
        <v>1480.7639999999999</v>
      </c>
      <c r="G91" s="46">
        <v>7.0825799999999998E-3</v>
      </c>
      <c r="H91" s="36">
        <v>7.2949999999999999</v>
      </c>
    </row>
    <row r="92" spans="1:8" x14ac:dyDescent="0.2">
      <c r="A92" s="42">
        <v>35</v>
      </c>
      <c r="B92" s="43" t="s">
        <v>290</v>
      </c>
      <c r="C92" s="43" t="s">
        <v>291</v>
      </c>
      <c r="D92" s="43" t="s">
        <v>146</v>
      </c>
      <c r="E92" s="44">
        <v>200</v>
      </c>
      <c r="F92" s="45">
        <v>988.61099999999999</v>
      </c>
      <c r="G92" s="46">
        <v>4.7285799999999996E-3</v>
      </c>
      <c r="H92" s="36">
        <v>7.25</v>
      </c>
    </row>
    <row r="93" spans="1:8" x14ac:dyDescent="0.2">
      <c r="A93" s="34"/>
      <c r="B93" s="34"/>
      <c r="C93" s="35" t="s">
        <v>11</v>
      </c>
      <c r="D93" s="34"/>
      <c r="E93" s="34" t="s">
        <v>12</v>
      </c>
      <c r="F93" s="41">
        <f>SUM(F58:F92)</f>
        <v>112150.88499999998</v>
      </c>
      <c r="G93" s="38">
        <f>SUM(G58:G92)</f>
        <v>0.53642380999999983</v>
      </c>
      <c r="H93" s="36" t="s">
        <v>12</v>
      </c>
    </row>
    <row r="94" spans="1:8" x14ac:dyDescent="0.2">
      <c r="A94" s="34"/>
      <c r="B94" s="34"/>
      <c r="C94" s="39"/>
      <c r="D94" s="34"/>
      <c r="E94" s="34"/>
      <c r="F94" s="40"/>
      <c r="G94" s="40"/>
      <c r="H94" s="36" t="s">
        <v>12</v>
      </c>
    </row>
    <row r="95" spans="1:8" x14ac:dyDescent="0.2">
      <c r="A95" s="34"/>
      <c r="B95" s="34"/>
      <c r="C95" s="35" t="s">
        <v>92</v>
      </c>
      <c r="D95" s="34"/>
      <c r="E95" s="34"/>
      <c r="F95" s="40"/>
      <c r="G95" s="40"/>
      <c r="H95" s="36" t="s">
        <v>12</v>
      </c>
    </row>
    <row r="96" spans="1:8" x14ac:dyDescent="0.2">
      <c r="A96" s="42">
        <v>1</v>
      </c>
      <c r="B96" s="43" t="s">
        <v>471</v>
      </c>
      <c r="C96" s="43" t="s">
        <v>472</v>
      </c>
      <c r="D96" s="43" t="s">
        <v>146</v>
      </c>
      <c r="E96" s="44">
        <v>1000</v>
      </c>
      <c r="F96" s="45">
        <v>4942.42</v>
      </c>
      <c r="G96" s="46">
        <v>2.3639859999999999E-2</v>
      </c>
      <c r="H96" s="36">
        <v>7.7313000000000001</v>
      </c>
    </row>
    <row r="97" spans="1:8" x14ac:dyDescent="0.2">
      <c r="A97" s="42">
        <v>2</v>
      </c>
      <c r="B97" s="43" t="s">
        <v>473</v>
      </c>
      <c r="C97" s="43" t="s">
        <v>474</v>
      </c>
      <c r="D97" s="43" t="s">
        <v>146</v>
      </c>
      <c r="E97" s="44">
        <v>1000</v>
      </c>
      <c r="F97" s="45">
        <v>4929.125</v>
      </c>
      <c r="G97" s="46">
        <v>2.357627E-2</v>
      </c>
      <c r="H97" s="36">
        <v>7.6063000000000001</v>
      </c>
    </row>
    <row r="98" spans="1:8" x14ac:dyDescent="0.2">
      <c r="A98" s="42">
        <v>3</v>
      </c>
      <c r="B98" s="43" t="s">
        <v>475</v>
      </c>
      <c r="C98" s="43" t="s">
        <v>476</v>
      </c>
      <c r="D98" s="43" t="s">
        <v>146</v>
      </c>
      <c r="E98" s="44">
        <v>1000</v>
      </c>
      <c r="F98" s="45">
        <v>4848.3850000000002</v>
      </c>
      <c r="G98" s="46">
        <v>2.319009E-2</v>
      </c>
      <c r="H98" s="36">
        <v>7.4600999999999997</v>
      </c>
    </row>
    <row r="99" spans="1:8" x14ac:dyDescent="0.2">
      <c r="A99" s="42">
        <v>4</v>
      </c>
      <c r="B99" s="43" t="s">
        <v>477</v>
      </c>
      <c r="C99" s="43" t="s">
        <v>478</v>
      </c>
      <c r="D99" s="43" t="s">
        <v>146</v>
      </c>
      <c r="E99" s="44">
        <v>1000</v>
      </c>
      <c r="F99" s="45">
        <v>4748.0649999999996</v>
      </c>
      <c r="G99" s="46">
        <v>2.2710250000000001E-2</v>
      </c>
      <c r="H99" s="36">
        <v>7.6550000000000002</v>
      </c>
    </row>
    <row r="100" spans="1:8" ht="25.5" x14ac:dyDescent="0.2">
      <c r="A100" s="42">
        <v>5</v>
      </c>
      <c r="B100" s="43" t="s">
        <v>211</v>
      </c>
      <c r="C100" s="43" t="s">
        <v>212</v>
      </c>
      <c r="D100" s="43" t="s">
        <v>146</v>
      </c>
      <c r="E100" s="44">
        <v>800</v>
      </c>
      <c r="F100" s="45">
        <v>3935.6759999999999</v>
      </c>
      <c r="G100" s="46">
        <v>1.8824549999999999E-2</v>
      </c>
      <c r="H100" s="36">
        <v>7.2750000000000004</v>
      </c>
    </row>
    <row r="101" spans="1:8" x14ac:dyDescent="0.2">
      <c r="A101" s="42">
        <v>6</v>
      </c>
      <c r="B101" s="43" t="s">
        <v>205</v>
      </c>
      <c r="C101" s="43" t="s">
        <v>206</v>
      </c>
      <c r="D101" s="43" t="s">
        <v>146</v>
      </c>
      <c r="E101" s="44">
        <v>700</v>
      </c>
      <c r="F101" s="45">
        <v>3310.6219999999998</v>
      </c>
      <c r="G101" s="46">
        <v>1.5834890000000001E-2</v>
      </c>
      <c r="H101" s="36">
        <v>7.82</v>
      </c>
    </row>
    <row r="102" spans="1:8" x14ac:dyDescent="0.2">
      <c r="A102" s="42">
        <v>7</v>
      </c>
      <c r="B102" s="43" t="s">
        <v>479</v>
      </c>
      <c r="C102" s="43" t="s">
        <v>480</v>
      </c>
      <c r="D102" s="43" t="s">
        <v>146</v>
      </c>
      <c r="E102" s="44">
        <v>500</v>
      </c>
      <c r="F102" s="45">
        <v>2469.2249999999999</v>
      </c>
      <c r="G102" s="46">
        <v>1.181044E-2</v>
      </c>
      <c r="H102" s="36">
        <v>7.3375000000000004</v>
      </c>
    </row>
    <row r="103" spans="1:8" ht="25.5" x14ac:dyDescent="0.2">
      <c r="A103" s="42">
        <v>8</v>
      </c>
      <c r="B103" s="43" t="s">
        <v>481</v>
      </c>
      <c r="C103" s="43" t="s">
        <v>482</v>
      </c>
      <c r="D103" s="43" t="s">
        <v>146</v>
      </c>
      <c r="E103" s="44">
        <v>500</v>
      </c>
      <c r="F103" s="45">
        <v>2458.4899999999998</v>
      </c>
      <c r="G103" s="46">
        <v>1.175909E-2</v>
      </c>
      <c r="H103" s="36">
        <v>7.8013000000000003</v>
      </c>
    </row>
    <row r="104" spans="1:8" ht="25.5" x14ac:dyDescent="0.2">
      <c r="A104" s="42">
        <v>9</v>
      </c>
      <c r="B104" s="43" t="s">
        <v>203</v>
      </c>
      <c r="C104" s="43" t="s">
        <v>204</v>
      </c>
      <c r="D104" s="43" t="s">
        <v>146</v>
      </c>
      <c r="E104" s="44">
        <v>500</v>
      </c>
      <c r="F104" s="45">
        <v>2409.12</v>
      </c>
      <c r="G104" s="46">
        <v>1.1522950000000001E-2</v>
      </c>
      <c r="H104" s="36">
        <v>8.2449999999999992</v>
      </c>
    </row>
    <row r="105" spans="1:8" x14ac:dyDescent="0.2">
      <c r="A105" s="42">
        <v>10</v>
      </c>
      <c r="B105" s="43" t="s">
        <v>207</v>
      </c>
      <c r="C105" s="43" t="s">
        <v>208</v>
      </c>
      <c r="D105" s="43" t="s">
        <v>146</v>
      </c>
      <c r="E105" s="44">
        <v>300</v>
      </c>
      <c r="F105" s="45">
        <v>1484.2560000000001</v>
      </c>
      <c r="G105" s="46">
        <v>7.0992800000000003E-3</v>
      </c>
      <c r="H105" s="36">
        <v>7.5913000000000004</v>
      </c>
    </row>
    <row r="106" spans="1:8" ht="25.5" x14ac:dyDescent="0.2">
      <c r="A106" s="42">
        <v>11</v>
      </c>
      <c r="B106" s="43" t="s">
        <v>213</v>
      </c>
      <c r="C106" s="43" t="s">
        <v>214</v>
      </c>
      <c r="D106" s="43" t="s">
        <v>146</v>
      </c>
      <c r="E106" s="44">
        <v>300</v>
      </c>
      <c r="F106" s="45">
        <v>1455.9915000000001</v>
      </c>
      <c r="G106" s="46">
        <v>6.96409E-3</v>
      </c>
      <c r="H106" s="36">
        <v>7.5050999999999997</v>
      </c>
    </row>
    <row r="107" spans="1:8" x14ac:dyDescent="0.2">
      <c r="A107" s="42">
        <v>12</v>
      </c>
      <c r="B107" s="43" t="s">
        <v>483</v>
      </c>
      <c r="C107" s="43" t="s">
        <v>484</v>
      </c>
      <c r="D107" s="43" t="s">
        <v>146</v>
      </c>
      <c r="E107" s="44">
        <v>200</v>
      </c>
      <c r="F107" s="45">
        <v>986.08199999999999</v>
      </c>
      <c r="G107" s="46">
        <v>4.7164800000000003E-3</v>
      </c>
      <c r="H107" s="36">
        <v>7.5762999999999998</v>
      </c>
    </row>
    <row r="108" spans="1:8" x14ac:dyDescent="0.2">
      <c r="A108" s="34"/>
      <c r="B108" s="34"/>
      <c r="C108" s="35" t="s">
        <v>11</v>
      </c>
      <c r="D108" s="34"/>
      <c r="E108" s="34" t="s">
        <v>12</v>
      </c>
      <c r="F108" s="41">
        <f>SUM(F96:F107)</f>
        <v>37977.457499999997</v>
      </c>
      <c r="G108" s="38">
        <f>SUM(G96:G107)</f>
        <v>0.18164824000000002</v>
      </c>
      <c r="H108" s="36" t="s">
        <v>12</v>
      </c>
    </row>
    <row r="109" spans="1:8" x14ac:dyDescent="0.2">
      <c r="A109" s="34"/>
      <c r="B109" s="34"/>
      <c r="C109" s="39"/>
      <c r="D109" s="34"/>
      <c r="E109" s="34"/>
      <c r="F109" s="40"/>
      <c r="G109" s="40"/>
      <c r="H109" s="36" t="s">
        <v>12</v>
      </c>
    </row>
    <row r="110" spans="1:8" x14ac:dyDescent="0.2">
      <c r="A110" s="34"/>
      <c r="B110" s="34"/>
      <c r="C110" s="35" t="s">
        <v>93</v>
      </c>
      <c r="D110" s="34"/>
      <c r="E110" s="34"/>
      <c r="F110" s="40"/>
      <c r="G110" s="40"/>
      <c r="H110" s="36" t="s">
        <v>12</v>
      </c>
    </row>
    <row r="111" spans="1:8" x14ac:dyDescent="0.2">
      <c r="A111" s="42">
        <v>1</v>
      </c>
      <c r="B111" s="43" t="s">
        <v>485</v>
      </c>
      <c r="C111" s="43" t="s">
        <v>486</v>
      </c>
      <c r="D111" s="43" t="s">
        <v>75</v>
      </c>
      <c r="E111" s="44">
        <v>6000000</v>
      </c>
      <c r="F111" s="45">
        <v>5925.6540000000005</v>
      </c>
      <c r="G111" s="46">
        <v>2.834273E-2</v>
      </c>
      <c r="H111" s="36">
        <v>6.45</v>
      </c>
    </row>
    <row r="112" spans="1:8" x14ac:dyDescent="0.2">
      <c r="A112" s="42">
        <v>2</v>
      </c>
      <c r="B112" s="43" t="s">
        <v>487</v>
      </c>
      <c r="C112" s="43" t="s">
        <v>488</v>
      </c>
      <c r="D112" s="43" t="s">
        <v>75</v>
      </c>
      <c r="E112" s="44">
        <v>4000000</v>
      </c>
      <c r="F112" s="45">
        <v>3899.0520000000001</v>
      </c>
      <c r="G112" s="46">
        <v>1.864938E-2</v>
      </c>
      <c r="H112" s="36">
        <v>6.6550000000000002</v>
      </c>
    </row>
    <row r="113" spans="1:17" x14ac:dyDescent="0.2">
      <c r="A113" s="42">
        <v>3</v>
      </c>
      <c r="B113" s="43" t="s">
        <v>489</v>
      </c>
      <c r="C113" s="43" t="s">
        <v>490</v>
      </c>
      <c r="D113" s="43" t="s">
        <v>75</v>
      </c>
      <c r="E113" s="44">
        <v>2500000</v>
      </c>
      <c r="F113" s="45">
        <v>2472.0425</v>
      </c>
      <c r="G113" s="46">
        <v>1.182391E-2</v>
      </c>
      <c r="H113" s="36">
        <v>6.45</v>
      </c>
    </row>
    <row r="114" spans="1:17" x14ac:dyDescent="0.2">
      <c r="A114" s="42">
        <v>4</v>
      </c>
      <c r="B114" s="43" t="s">
        <v>215</v>
      </c>
      <c r="C114" s="43" t="s">
        <v>216</v>
      </c>
      <c r="D114" s="43" t="s">
        <v>75</v>
      </c>
      <c r="E114" s="44">
        <v>2500000</v>
      </c>
      <c r="F114" s="45">
        <v>2446.4724999999999</v>
      </c>
      <c r="G114" s="46">
        <v>1.1701609999999999E-2</v>
      </c>
      <c r="H114" s="36">
        <v>6.6550000000000002</v>
      </c>
    </row>
    <row r="115" spans="1:17" x14ac:dyDescent="0.2">
      <c r="A115" s="42">
        <v>5</v>
      </c>
      <c r="B115" s="43" t="s">
        <v>217</v>
      </c>
      <c r="C115" s="43" t="s">
        <v>218</v>
      </c>
      <c r="D115" s="43" t="s">
        <v>75</v>
      </c>
      <c r="E115" s="44">
        <v>2500000</v>
      </c>
      <c r="F115" s="45">
        <v>2434.3125</v>
      </c>
      <c r="G115" s="46">
        <v>1.164345E-2</v>
      </c>
      <c r="H115" s="36">
        <v>6.6550000000000002</v>
      </c>
    </row>
    <row r="116" spans="1:17" x14ac:dyDescent="0.2">
      <c r="A116" s="34"/>
      <c r="B116" s="34"/>
      <c r="C116" s="35" t="s">
        <v>11</v>
      </c>
      <c r="D116" s="34"/>
      <c r="E116" s="34" t="s">
        <v>12</v>
      </c>
      <c r="F116" s="41">
        <v>17177.533500000001</v>
      </c>
      <c r="G116" s="38">
        <v>8.2161079999999997E-2</v>
      </c>
      <c r="H116" s="36" t="s">
        <v>12</v>
      </c>
    </row>
    <row r="117" spans="1:17" x14ac:dyDescent="0.2">
      <c r="A117" s="34"/>
      <c r="B117" s="34"/>
      <c r="C117" s="39"/>
      <c r="D117" s="34"/>
      <c r="E117" s="34"/>
      <c r="F117" s="40"/>
      <c r="G117" s="40"/>
      <c r="H117" s="36" t="s">
        <v>12</v>
      </c>
    </row>
    <row r="118" spans="1:17" x14ac:dyDescent="0.2">
      <c r="A118" s="34"/>
      <c r="B118" s="34"/>
      <c r="C118" s="35" t="s">
        <v>94</v>
      </c>
      <c r="D118" s="34"/>
      <c r="E118" s="34"/>
      <c r="F118" s="40"/>
      <c r="G118" s="40"/>
      <c r="H118" s="36" t="s">
        <v>12</v>
      </c>
    </row>
    <row r="119" spans="1:17" x14ac:dyDescent="0.2">
      <c r="A119" s="42">
        <v>1</v>
      </c>
      <c r="B119" s="43"/>
      <c r="C119" s="43" t="s">
        <v>95</v>
      </c>
      <c r="D119" s="43"/>
      <c r="E119" s="47"/>
      <c r="F119" s="45">
        <v>4.6774469999999999</v>
      </c>
      <c r="G119" s="46" t="s">
        <v>659</v>
      </c>
      <c r="H119" s="36">
        <v>6.6</v>
      </c>
    </row>
    <row r="120" spans="1:17" x14ac:dyDescent="0.2">
      <c r="A120" s="34"/>
      <c r="B120" s="34"/>
      <c r="C120" s="35" t="s">
        <v>11</v>
      </c>
      <c r="D120" s="34"/>
      <c r="E120" s="34" t="s">
        <v>12</v>
      </c>
      <c r="F120" s="41">
        <v>4.6774469999999999</v>
      </c>
      <c r="G120" s="38">
        <v>2.2370000000000001E-5</v>
      </c>
      <c r="H120" s="36" t="s">
        <v>12</v>
      </c>
    </row>
    <row r="121" spans="1:17" x14ac:dyDescent="0.2">
      <c r="A121" s="34"/>
      <c r="B121" s="34"/>
      <c r="C121" s="39"/>
      <c r="D121" s="34"/>
      <c r="E121" s="34"/>
      <c r="F121" s="40"/>
      <c r="G121" s="40"/>
      <c r="H121" s="36" t="s">
        <v>12</v>
      </c>
    </row>
    <row r="122" spans="1:17" x14ac:dyDescent="0.2">
      <c r="A122" s="34"/>
      <c r="B122" s="34"/>
      <c r="C122" s="35" t="s">
        <v>96</v>
      </c>
      <c r="D122" s="34"/>
      <c r="E122" s="34"/>
      <c r="F122" s="41">
        <v>167310.55344700001</v>
      </c>
      <c r="G122" s="38">
        <v>0.80025550000000001</v>
      </c>
      <c r="H122" s="36" t="s">
        <v>12</v>
      </c>
    </row>
    <row r="123" spans="1:17" x14ac:dyDescent="0.2">
      <c r="A123" s="34"/>
      <c r="B123" s="34"/>
      <c r="C123" s="40"/>
      <c r="D123" s="34"/>
      <c r="E123" s="34"/>
      <c r="F123" s="34"/>
      <c r="G123" s="34"/>
      <c r="H123" s="36" t="s">
        <v>12</v>
      </c>
    </row>
    <row r="124" spans="1:17" x14ac:dyDescent="0.2">
      <c r="A124" s="34"/>
      <c r="B124" s="34"/>
      <c r="C124" s="35" t="s">
        <v>97</v>
      </c>
      <c r="D124" s="34"/>
      <c r="E124" s="34"/>
      <c r="F124" s="34"/>
      <c r="G124" s="34"/>
      <c r="H124" s="36" t="s">
        <v>12</v>
      </c>
    </row>
    <row r="125" spans="1:17" x14ac:dyDescent="0.2">
      <c r="A125" s="34"/>
      <c r="B125" s="34"/>
      <c r="C125" s="35" t="s">
        <v>98</v>
      </c>
      <c r="D125" s="34"/>
      <c r="E125" s="34"/>
      <c r="F125" s="34"/>
      <c r="G125" s="34"/>
      <c r="H125" s="36" t="s">
        <v>12</v>
      </c>
    </row>
    <row r="126" spans="1:17" x14ac:dyDescent="0.2">
      <c r="A126" s="34"/>
      <c r="B126" s="34"/>
      <c r="C126" s="35" t="s">
        <v>11</v>
      </c>
      <c r="D126" s="34"/>
      <c r="E126" s="34" t="s">
        <v>12</v>
      </c>
      <c r="F126" s="37" t="s">
        <v>13</v>
      </c>
      <c r="G126" s="38">
        <v>0</v>
      </c>
      <c r="H126" s="36" t="s">
        <v>12</v>
      </c>
    </row>
    <row r="127" spans="1:17" x14ac:dyDescent="0.2">
      <c r="A127" s="82"/>
      <c r="B127" s="82"/>
      <c r="C127" s="83"/>
      <c r="D127" s="82"/>
      <c r="E127" s="82"/>
      <c r="F127" s="84"/>
      <c r="G127" s="84"/>
      <c r="H127" s="36" t="s">
        <v>12</v>
      </c>
    </row>
    <row r="128" spans="1:17" x14ac:dyDescent="0.2">
      <c r="A128" s="82"/>
      <c r="B128" s="82"/>
      <c r="C128" s="70" t="s">
        <v>581</v>
      </c>
      <c r="D128" s="82"/>
      <c r="E128" s="82"/>
      <c r="F128" s="84"/>
      <c r="G128" s="84"/>
      <c r="H128" s="79"/>
      <c r="K128" s="9"/>
      <c r="L128" s="9"/>
      <c r="M128" s="9"/>
      <c r="N128" s="9"/>
      <c r="O128" s="10"/>
      <c r="P128" s="10"/>
      <c r="Q128" s="10"/>
    </row>
    <row r="129" spans="1:8" ht="25.5" x14ac:dyDescent="0.2">
      <c r="A129" s="76">
        <v>1</v>
      </c>
      <c r="B129" s="77" t="s">
        <v>99</v>
      </c>
      <c r="C129" s="77" t="s">
        <v>100</v>
      </c>
      <c r="D129" s="77"/>
      <c r="E129" s="85">
        <v>4528.5039999999999</v>
      </c>
      <c r="F129" s="79">
        <v>491.15110111000001</v>
      </c>
      <c r="G129" s="80">
        <v>2.3492000000000001E-3</v>
      </c>
      <c r="H129" s="36"/>
    </row>
    <row r="130" spans="1:8" x14ac:dyDescent="0.2">
      <c r="A130" s="82"/>
      <c r="B130" s="82"/>
      <c r="C130" s="70" t="s">
        <v>11</v>
      </c>
      <c r="D130" s="82"/>
      <c r="E130" s="82" t="s">
        <v>12</v>
      </c>
      <c r="F130" s="86">
        <v>491.15110111000001</v>
      </c>
      <c r="G130" s="31">
        <v>2.3492000000000001E-3</v>
      </c>
      <c r="H130" s="36" t="s">
        <v>12</v>
      </c>
    </row>
    <row r="131" spans="1:8" x14ac:dyDescent="0.2">
      <c r="A131" s="34"/>
      <c r="B131" s="34"/>
      <c r="C131" s="39"/>
      <c r="D131" s="34"/>
      <c r="E131" s="34"/>
      <c r="F131" s="40"/>
      <c r="G131" s="40"/>
      <c r="H131" s="36" t="s">
        <v>12</v>
      </c>
    </row>
    <row r="132" spans="1:8" x14ac:dyDescent="0.2">
      <c r="A132" s="34"/>
      <c r="B132" s="34"/>
      <c r="C132" s="35" t="s">
        <v>101</v>
      </c>
      <c r="D132" s="34"/>
      <c r="E132" s="34"/>
      <c r="F132" s="34"/>
      <c r="G132" s="34"/>
      <c r="H132" s="36" t="s">
        <v>12</v>
      </c>
    </row>
    <row r="133" spans="1:8" x14ac:dyDescent="0.2">
      <c r="A133" s="34"/>
      <c r="B133" s="34"/>
      <c r="C133" s="35" t="s">
        <v>102</v>
      </c>
      <c r="D133" s="34"/>
      <c r="E133" s="34"/>
      <c r="F133" s="34"/>
      <c r="G133" s="34"/>
      <c r="H133" s="36" t="s">
        <v>12</v>
      </c>
    </row>
    <row r="134" spans="1:8" x14ac:dyDescent="0.2">
      <c r="A134" s="34"/>
      <c r="B134" s="34"/>
      <c r="C134" s="35" t="s">
        <v>11</v>
      </c>
      <c r="D134" s="34"/>
      <c r="E134" s="34" t="s">
        <v>12</v>
      </c>
      <c r="F134" s="37" t="s">
        <v>13</v>
      </c>
      <c r="G134" s="38">
        <v>0</v>
      </c>
      <c r="H134" s="36" t="s">
        <v>12</v>
      </c>
    </row>
    <row r="135" spans="1:8" x14ac:dyDescent="0.2">
      <c r="A135" s="34"/>
      <c r="B135" s="34"/>
      <c r="C135" s="39"/>
      <c r="D135" s="34"/>
      <c r="E135" s="34"/>
      <c r="F135" s="40"/>
      <c r="G135" s="40"/>
      <c r="H135" s="36" t="s">
        <v>12</v>
      </c>
    </row>
    <row r="136" spans="1:8" x14ac:dyDescent="0.2">
      <c r="A136" s="34"/>
      <c r="B136" s="34"/>
      <c r="C136" s="35" t="s">
        <v>103</v>
      </c>
      <c r="D136" s="34"/>
      <c r="E136" s="34"/>
      <c r="F136" s="40"/>
      <c r="G136" s="40"/>
      <c r="H136" s="36" t="s">
        <v>12</v>
      </c>
    </row>
    <row r="137" spans="1:8" x14ac:dyDescent="0.2">
      <c r="A137" s="34"/>
      <c r="B137" s="34"/>
      <c r="C137" s="35" t="s">
        <v>11</v>
      </c>
      <c r="D137" s="34"/>
      <c r="E137" s="34" t="s">
        <v>12</v>
      </c>
      <c r="F137" s="37" t="s">
        <v>13</v>
      </c>
      <c r="G137" s="38">
        <v>0</v>
      </c>
      <c r="H137" s="36" t="s">
        <v>12</v>
      </c>
    </row>
    <row r="138" spans="1:8" x14ac:dyDescent="0.2">
      <c r="A138" s="34"/>
      <c r="B138" s="34"/>
      <c r="C138" s="39"/>
      <c r="D138" s="34"/>
      <c r="E138" s="34"/>
      <c r="F138" s="40"/>
      <c r="G138" s="40"/>
      <c r="H138" s="36" t="s">
        <v>12</v>
      </c>
    </row>
    <row r="139" spans="1:8" x14ac:dyDescent="0.2">
      <c r="A139" s="132"/>
      <c r="B139" s="132"/>
      <c r="C139" s="133" t="s">
        <v>658</v>
      </c>
      <c r="D139" s="134"/>
      <c r="E139" s="135"/>
      <c r="F139" s="135"/>
      <c r="G139" s="134"/>
      <c r="H139" s="135"/>
    </row>
    <row r="140" spans="1:8" ht="21.75" x14ac:dyDescent="0.2">
      <c r="A140" s="132"/>
      <c r="B140" s="132"/>
      <c r="C140" s="136" t="s">
        <v>714</v>
      </c>
      <c r="D140" s="134"/>
      <c r="E140" s="137">
        <v>2500000</v>
      </c>
      <c r="F140" s="36">
        <v>3.5674999999999999</v>
      </c>
      <c r="G140" s="138" t="s">
        <v>659</v>
      </c>
      <c r="H140" s="135"/>
    </row>
    <row r="141" spans="1:8" x14ac:dyDescent="0.2">
      <c r="A141" s="34"/>
      <c r="B141" s="43"/>
      <c r="C141" s="43"/>
      <c r="D141" s="35"/>
      <c r="E141" s="34"/>
      <c r="F141" s="43"/>
      <c r="G141" s="47"/>
      <c r="H141" s="36" t="s">
        <v>12</v>
      </c>
    </row>
    <row r="142" spans="1:8" x14ac:dyDescent="0.2">
      <c r="A142" s="47"/>
      <c r="B142" s="43"/>
      <c r="C142" s="43" t="s">
        <v>104</v>
      </c>
      <c r="D142" s="43"/>
      <c r="E142" s="47"/>
      <c r="F142" s="45">
        <v>-342.14884695997694</v>
      </c>
      <c r="G142" s="46">
        <v>-1.6365165264081256E-3</v>
      </c>
      <c r="H142" s="36" t="s">
        <v>12</v>
      </c>
    </row>
    <row r="143" spans="1:8" x14ac:dyDescent="0.2">
      <c r="A143" s="39"/>
      <c r="B143" s="39"/>
      <c r="C143" s="35" t="s">
        <v>105</v>
      </c>
      <c r="D143" s="40"/>
      <c r="E143" s="40"/>
      <c r="F143" s="41">
        <v>209071.42790115005</v>
      </c>
      <c r="G143" s="31">
        <v>0.99998298347359182</v>
      </c>
      <c r="H143" s="36" t="s">
        <v>12</v>
      </c>
    </row>
    <row r="144" spans="1:8" x14ac:dyDescent="0.2">
      <c r="A144" s="49"/>
      <c r="B144" s="49"/>
      <c r="C144" s="49"/>
      <c r="D144" s="50"/>
      <c r="E144" s="50"/>
      <c r="F144" s="50"/>
      <c r="G144" s="50"/>
    </row>
    <row r="145" spans="1:8" x14ac:dyDescent="0.2">
      <c r="A145" s="51"/>
      <c r="B145" s="158" t="s">
        <v>582</v>
      </c>
      <c r="C145" s="158"/>
      <c r="D145" s="158"/>
      <c r="E145" s="158"/>
      <c r="F145" s="158"/>
      <c r="G145" s="158"/>
      <c r="H145" s="158"/>
    </row>
    <row r="146" spans="1:8" x14ac:dyDescent="0.2">
      <c r="A146" s="51"/>
      <c r="B146" s="158" t="s">
        <v>583</v>
      </c>
      <c r="C146" s="158"/>
      <c r="D146" s="158"/>
      <c r="E146" s="158"/>
      <c r="F146" s="158"/>
      <c r="G146" s="158"/>
      <c r="H146" s="158"/>
    </row>
    <row r="147" spans="1:8" x14ac:dyDescent="0.2">
      <c r="A147" s="51"/>
      <c r="B147" s="158" t="s">
        <v>584</v>
      </c>
      <c r="C147" s="158"/>
      <c r="D147" s="158"/>
      <c r="E147" s="158"/>
      <c r="F147" s="158"/>
      <c r="G147" s="158"/>
      <c r="H147" s="158"/>
    </row>
    <row r="148" spans="1:8" ht="67.5" customHeight="1" x14ac:dyDescent="0.2">
      <c r="A148" s="51"/>
      <c r="B148" s="187" t="s">
        <v>646</v>
      </c>
      <c r="C148" s="187"/>
      <c r="D148" s="187"/>
      <c r="E148" s="187"/>
      <c r="F148" s="187"/>
      <c r="G148" s="187"/>
      <c r="H148" s="187"/>
    </row>
    <row r="149" spans="1:8" x14ac:dyDescent="0.2">
      <c r="A149" s="51"/>
      <c r="B149" s="51"/>
      <c r="C149" s="51"/>
      <c r="D149" s="52"/>
      <c r="E149" s="52"/>
      <c r="F149" s="52"/>
      <c r="G149" s="52"/>
    </row>
    <row r="150" spans="1:8" x14ac:dyDescent="0.2">
      <c r="A150" s="53"/>
      <c r="B150" s="162" t="s">
        <v>106</v>
      </c>
      <c r="C150" s="163"/>
      <c r="D150" s="164"/>
      <c r="E150" s="54"/>
      <c r="F150" s="55"/>
      <c r="G150" s="55"/>
    </row>
    <row r="151" spans="1:8" ht="25.5" x14ac:dyDescent="0.2">
      <c r="A151" s="53"/>
      <c r="B151" s="165" t="s">
        <v>107</v>
      </c>
      <c r="C151" s="166"/>
      <c r="D151" s="70" t="s">
        <v>608</v>
      </c>
      <c r="E151" s="54"/>
      <c r="F151" s="55"/>
      <c r="G151" s="55"/>
    </row>
    <row r="152" spans="1:8" x14ac:dyDescent="0.2">
      <c r="A152" s="53"/>
      <c r="B152" s="165" t="s">
        <v>109</v>
      </c>
      <c r="C152" s="166"/>
      <c r="D152" s="35" t="s">
        <v>108</v>
      </c>
      <c r="E152" s="54"/>
      <c r="F152" s="55"/>
      <c r="G152" s="55"/>
    </row>
    <row r="153" spans="1:8" x14ac:dyDescent="0.2">
      <c r="A153" s="53"/>
      <c r="B153" s="165" t="s">
        <v>110</v>
      </c>
      <c r="C153" s="166"/>
      <c r="D153" s="40" t="s">
        <v>12</v>
      </c>
      <c r="E153" s="54"/>
      <c r="F153" s="55"/>
      <c r="G153" s="55"/>
    </row>
    <row r="154" spans="1:8" x14ac:dyDescent="0.2">
      <c r="A154" s="56"/>
      <c r="B154" s="57" t="s">
        <v>12</v>
      </c>
      <c r="C154" s="57" t="s">
        <v>585</v>
      </c>
      <c r="D154" s="57" t="s">
        <v>111</v>
      </c>
      <c r="E154" s="56"/>
      <c r="F154" s="56"/>
      <c r="G154" s="56"/>
      <c r="H154" s="58"/>
    </row>
    <row r="155" spans="1:8" x14ac:dyDescent="0.2">
      <c r="A155" s="56"/>
      <c r="B155" s="59" t="s">
        <v>112</v>
      </c>
      <c r="C155" s="60">
        <v>45626</v>
      </c>
      <c r="D155" s="60">
        <v>45657</v>
      </c>
      <c r="E155" s="56"/>
      <c r="F155" s="56"/>
      <c r="G155" s="56"/>
    </row>
    <row r="156" spans="1:8" x14ac:dyDescent="0.2">
      <c r="A156" s="61"/>
      <c r="B156" s="43" t="s">
        <v>113</v>
      </c>
      <c r="C156" s="62">
        <v>2801.0311999999999</v>
      </c>
      <c r="D156" s="62">
        <v>2818.0124999999998</v>
      </c>
      <c r="E156" s="61"/>
      <c r="F156" s="63"/>
      <c r="G156" s="64"/>
    </row>
    <row r="157" spans="1:8" ht="25.5" x14ac:dyDescent="0.2">
      <c r="A157" s="61"/>
      <c r="B157" s="43" t="s">
        <v>705</v>
      </c>
      <c r="C157" s="62">
        <v>1063.6302000000001</v>
      </c>
      <c r="D157" s="62">
        <v>1063.3022000000001</v>
      </c>
      <c r="E157" s="61"/>
      <c r="F157" s="63"/>
      <c r="G157" s="64"/>
    </row>
    <row r="158" spans="1:8" ht="25.5" x14ac:dyDescent="0.2">
      <c r="A158" s="61"/>
      <c r="B158" s="43" t="s">
        <v>706</v>
      </c>
      <c r="C158" s="62">
        <v>1188.0969</v>
      </c>
      <c r="D158" s="62">
        <v>1187.7121999999999</v>
      </c>
      <c r="E158" s="61"/>
      <c r="F158" s="63"/>
      <c r="G158" s="64"/>
    </row>
    <row r="159" spans="1:8" x14ac:dyDescent="0.2">
      <c r="A159" s="61"/>
      <c r="B159" s="43" t="s">
        <v>114</v>
      </c>
      <c r="C159" s="62">
        <v>2586.8809000000001</v>
      </c>
      <c r="D159" s="62">
        <v>2599.8244</v>
      </c>
      <c r="E159" s="61"/>
      <c r="F159" s="63"/>
      <c r="G159" s="64"/>
    </row>
    <row r="160" spans="1:8" ht="25.5" x14ac:dyDescent="0.2">
      <c r="A160" s="61"/>
      <c r="B160" s="43" t="s">
        <v>709</v>
      </c>
      <c r="C160" s="62">
        <v>1062.6575</v>
      </c>
      <c r="D160" s="62">
        <v>1062.3978999999999</v>
      </c>
      <c r="E160" s="61"/>
      <c r="F160" s="63"/>
      <c r="G160" s="64"/>
    </row>
    <row r="161" spans="1:10" ht="25.5" x14ac:dyDescent="0.2">
      <c r="A161" s="61"/>
      <c r="B161" s="43" t="s">
        <v>674</v>
      </c>
      <c r="C161" s="62">
        <v>1144.6014</v>
      </c>
      <c r="D161" s="62">
        <v>1142.8005000000001</v>
      </c>
      <c r="E161" s="61"/>
      <c r="F161" s="63"/>
      <c r="G161" s="64"/>
    </row>
    <row r="162" spans="1:10" x14ac:dyDescent="0.2">
      <c r="A162" s="61"/>
      <c r="B162" s="61"/>
      <c r="C162" s="61"/>
      <c r="D162" s="61"/>
      <c r="E162" s="61"/>
      <c r="F162" s="61"/>
      <c r="G162" s="61"/>
    </row>
    <row r="163" spans="1:10" x14ac:dyDescent="0.2">
      <c r="A163" s="61"/>
      <c r="B163" s="165" t="s">
        <v>712</v>
      </c>
      <c r="C163" s="166"/>
      <c r="D163" s="35" t="s">
        <v>12</v>
      </c>
      <c r="E163" s="61"/>
      <c r="F163" s="61"/>
      <c r="G163" s="61"/>
    </row>
    <row r="164" spans="1:10" x14ac:dyDescent="0.2">
      <c r="A164" s="61"/>
      <c r="B164" s="65" t="s">
        <v>112</v>
      </c>
      <c r="C164" s="66" t="s">
        <v>115</v>
      </c>
      <c r="D164" s="66" t="s">
        <v>116</v>
      </c>
      <c r="E164" s="61"/>
      <c r="F164" s="61"/>
      <c r="G164" s="61"/>
    </row>
    <row r="165" spans="1:10" ht="29.1" customHeight="1" x14ac:dyDescent="0.2">
      <c r="A165" s="152"/>
      <c r="B165" s="153" t="s">
        <v>705</v>
      </c>
      <c r="C165" s="154">
        <v>6.7567000000000004</v>
      </c>
      <c r="D165" s="155" t="s">
        <v>117</v>
      </c>
      <c r="E165" s="152"/>
      <c r="F165" s="156"/>
      <c r="G165" s="157"/>
    </row>
    <row r="166" spans="1:10" ht="29.1" customHeight="1" x14ac:dyDescent="0.2">
      <c r="A166" s="152"/>
      <c r="B166" s="153" t="s">
        <v>706</v>
      </c>
      <c r="C166" s="154">
        <v>7.5</v>
      </c>
      <c r="D166" s="155" t="s">
        <v>117</v>
      </c>
      <c r="E166" s="152"/>
      <c r="F166" s="156"/>
      <c r="G166" s="157"/>
    </row>
    <row r="167" spans="1:10" ht="29.1" customHeight="1" x14ac:dyDescent="0.2">
      <c r="A167" s="152"/>
      <c r="B167" s="153" t="s">
        <v>709</v>
      </c>
      <c r="C167" s="154">
        <v>5.5648</v>
      </c>
      <c r="D167" s="154">
        <v>5.5648</v>
      </c>
      <c r="E167" s="152"/>
      <c r="F167" s="156"/>
      <c r="G167" s="157"/>
    </row>
    <row r="168" spans="1:10" ht="29.1" customHeight="1" x14ac:dyDescent="0.2">
      <c r="A168" s="152"/>
      <c r="B168" s="153" t="s">
        <v>674</v>
      </c>
      <c r="C168" s="154">
        <v>7.5</v>
      </c>
      <c r="D168" s="155" t="s">
        <v>117</v>
      </c>
      <c r="E168" s="152"/>
      <c r="F168" s="156"/>
      <c r="G168" s="157"/>
    </row>
    <row r="169" spans="1:10" x14ac:dyDescent="0.2">
      <c r="A169" s="61"/>
      <c r="B169" s="68"/>
      <c r="C169" s="68"/>
      <c r="D169" s="69"/>
      <c r="E169" s="61"/>
      <c r="F169" s="63"/>
      <c r="G169" s="64"/>
    </row>
    <row r="170" spans="1:10" ht="25.5" x14ac:dyDescent="0.2">
      <c r="A170" s="56"/>
      <c r="B170" s="159" t="s">
        <v>118</v>
      </c>
      <c r="C170" s="160"/>
      <c r="D170" s="70" t="s">
        <v>660</v>
      </c>
      <c r="E170" s="71"/>
      <c r="F170" s="56"/>
      <c r="G170" s="56"/>
    </row>
    <row r="171" spans="1:10" ht="27" customHeight="1" x14ac:dyDescent="0.2">
      <c r="A171" s="56"/>
      <c r="B171" s="159" t="s">
        <v>119</v>
      </c>
      <c r="C171" s="160"/>
      <c r="D171" s="70" t="s">
        <v>108</v>
      </c>
      <c r="E171" s="71"/>
      <c r="F171" s="56"/>
      <c r="G171" s="56"/>
    </row>
    <row r="172" spans="1:10" ht="27.75" customHeight="1" x14ac:dyDescent="0.2">
      <c r="A172" s="56"/>
      <c r="B172" s="159" t="s">
        <v>586</v>
      </c>
      <c r="C172" s="160"/>
      <c r="D172" s="70" t="s">
        <v>108</v>
      </c>
      <c r="E172" s="71"/>
      <c r="F172" s="56"/>
      <c r="G172" s="56"/>
      <c r="J172" s="8"/>
    </row>
    <row r="173" spans="1:10" ht="12.75" customHeight="1" x14ac:dyDescent="0.2">
      <c r="A173" s="72"/>
      <c r="B173" s="72"/>
      <c r="C173" s="72"/>
      <c r="D173" s="72"/>
      <c r="E173" s="72"/>
      <c r="F173" s="72"/>
      <c r="G173" s="72"/>
      <c r="J173" s="8"/>
    </row>
    <row r="174" spans="1:10" ht="13.5" x14ac:dyDescent="0.25">
      <c r="A174" s="72"/>
      <c r="B174" s="139" t="s">
        <v>701</v>
      </c>
      <c r="C174" s="72"/>
      <c r="D174" s="72"/>
      <c r="E174" s="72"/>
      <c r="F174" s="72"/>
      <c r="G174" s="72"/>
      <c r="H174" s="72"/>
      <c r="J174" s="8"/>
    </row>
    <row r="175" spans="1:10" s="8" customFormat="1" ht="51" x14ac:dyDescent="0.2">
      <c r="A175" s="140"/>
      <c r="B175" s="141" t="s">
        <v>661</v>
      </c>
      <c r="C175" s="141" t="s">
        <v>662</v>
      </c>
      <c r="D175" s="142" t="s">
        <v>663</v>
      </c>
      <c r="E175" s="142" t="s">
        <v>664</v>
      </c>
      <c r="F175" s="141" t="s">
        <v>665</v>
      </c>
      <c r="G175" s="141" t="s">
        <v>666</v>
      </c>
      <c r="H175" s="141" t="s">
        <v>8</v>
      </c>
    </row>
    <row r="176" spans="1:10" s="15" customFormat="1" ht="25.5" x14ac:dyDescent="0.2">
      <c r="A176" s="143"/>
      <c r="B176" s="144" t="s">
        <v>667</v>
      </c>
      <c r="C176" s="144" t="s">
        <v>668</v>
      </c>
      <c r="D176" s="145" t="s">
        <v>669</v>
      </c>
      <c r="E176" s="146" t="s">
        <v>670</v>
      </c>
      <c r="F176" s="147">
        <v>2500</v>
      </c>
      <c r="G176" s="148">
        <v>46002</v>
      </c>
      <c r="H176" s="80">
        <v>1.1957635842913992E-2</v>
      </c>
      <c r="J176" s="8"/>
    </row>
    <row r="177" spans="1:15" s="18" customFormat="1" x14ac:dyDescent="0.2">
      <c r="A177" s="72"/>
      <c r="B177" s="72"/>
      <c r="C177" s="72"/>
      <c r="D177" s="72"/>
      <c r="E177" s="72"/>
      <c r="F177" s="72"/>
      <c r="G177" s="72"/>
      <c r="H177"/>
      <c r="I177" s="149"/>
      <c r="J177" s="149"/>
      <c r="K177" s="149"/>
      <c r="L177" s="149"/>
      <c r="M177" s="149"/>
      <c r="N177" s="149"/>
      <c r="O177" s="149"/>
    </row>
    <row r="178" spans="1:15" x14ac:dyDescent="0.2">
      <c r="A178" s="11"/>
      <c r="B178" s="21" t="s">
        <v>700</v>
      </c>
      <c r="C178" s="21"/>
      <c r="D178" s="21"/>
      <c r="E178" s="21"/>
      <c r="F178" s="21"/>
      <c r="G178" s="21"/>
      <c r="H178" s="11"/>
      <c r="J178" s="8"/>
    </row>
    <row r="179" spans="1:15" ht="6" customHeight="1" x14ac:dyDescent="0.2">
      <c r="A179" s="11"/>
      <c r="B179" s="22"/>
      <c r="C179" s="22"/>
      <c r="D179" s="22"/>
      <c r="E179" s="22"/>
      <c r="F179" s="22"/>
      <c r="G179" s="22"/>
      <c r="H179" s="11"/>
      <c r="J179" s="8"/>
    </row>
    <row r="180" spans="1:15" s="11" customFormat="1" ht="89.25" x14ac:dyDescent="0.2">
      <c r="B180" s="150" t="s">
        <v>610</v>
      </c>
      <c r="C180" s="150" t="s">
        <v>611</v>
      </c>
      <c r="D180" s="23" t="s">
        <v>612</v>
      </c>
      <c r="E180" s="150" t="s">
        <v>613</v>
      </c>
      <c r="F180" s="23" t="s">
        <v>671</v>
      </c>
      <c r="G180" s="22"/>
      <c r="I180"/>
      <c r="J180" s="8"/>
      <c r="K180" s="9"/>
      <c r="L180" s="9"/>
      <c r="M180" s="9"/>
      <c r="N180" s="9"/>
      <c r="O180" s="15"/>
    </row>
    <row r="181" spans="1:15" s="11" customFormat="1" x14ac:dyDescent="0.2">
      <c r="B181" s="24" t="s">
        <v>615</v>
      </c>
      <c r="C181" s="24" t="s">
        <v>616</v>
      </c>
      <c r="D181" s="25">
        <v>0</v>
      </c>
      <c r="E181" s="26">
        <v>0</v>
      </c>
      <c r="F181" s="27">
        <v>500</v>
      </c>
      <c r="G181" s="22"/>
      <c r="I181"/>
      <c r="J181" s="8"/>
      <c r="K181" s="9"/>
      <c r="L181" s="9"/>
      <c r="M181" s="9"/>
      <c r="N181" s="9"/>
      <c r="O181" s="15"/>
    </row>
    <row r="182" spans="1:15" s="11" customFormat="1" x14ac:dyDescent="0.2">
      <c r="I182"/>
      <c r="J182" s="8"/>
      <c r="K182" s="9"/>
      <c r="L182" s="9"/>
      <c r="M182" s="9"/>
      <c r="N182" s="9"/>
      <c r="O182" s="15"/>
    </row>
    <row r="183" spans="1:15" s="11" customFormat="1" x14ac:dyDescent="0.2">
      <c r="B183" s="167" t="s">
        <v>587</v>
      </c>
      <c r="C183" s="168"/>
      <c r="D183" s="169"/>
      <c r="I183"/>
      <c r="J183" s="8"/>
      <c r="K183" s="9"/>
      <c r="L183" s="9"/>
      <c r="M183" s="9"/>
      <c r="N183" s="9"/>
      <c r="O183" s="15"/>
    </row>
    <row r="184" spans="1:15" s="11" customFormat="1" ht="51" x14ac:dyDescent="0.2">
      <c r="B184" s="161" t="s">
        <v>588</v>
      </c>
      <c r="C184" s="161"/>
      <c r="D184" s="12" t="s">
        <v>438</v>
      </c>
      <c r="I184"/>
      <c r="J184" s="8"/>
      <c r="K184" s="9"/>
      <c r="L184" s="9"/>
      <c r="M184" s="9"/>
      <c r="N184" s="9"/>
      <c r="O184" s="15"/>
    </row>
    <row r="185" spans="1:15" s="11" customFormat="1" x14ac:dyDescent="0.2">
      <c r="B185" s="171" t="s">
        <v>589</v>
      </c>
      <c r="C185" s="171"/>
      <c r="D185" s="13"/>
      <c r="I185"/>
      <c r="J185" s="8"/>
      <c r="K185" s="9"/>
      <c r="L185" s="9"/>
      <c r="M185" s="9"/>
      <c r="N185" s="9"/>
      <c r="O185" s="15"/>
    </row>
    <row r="186" spans="1:15" s="11" customFormat="1" x14ac:dyDescent="0.2">
      <c r="B186" s="171"/>
      <c r="C186" s="171"/>
      <c r="D186" s="14"/>
      <c r="I186"/>
      <c r="J186" s="8"/>
      <c r="K186" s="9"/>
      <c r="L186" s="9"/>
      <c r="M186" s="9"/>
      <c r="N186" s="9"/>
      <c r="O186" s="15"/>
    </row>
    <row r="187" spans="1:15" s="11" customFormat="1" x14ac:dyDescent="0.2">
      <c r="B187" s="171" t="s">
        <v>590</v>
      </c>
      <c r="C187" s="171"/>
      <c r="D187" s="19">
        <v>7.5037556881598348</v>
      </c>
      <c r="I187"/>
      <c r="J187" s="8"/>
      <c r="K187" s="9"/>
      <c r="L187" s="9"/>
      <c r="M187" s="9"/>
      <c r="N187" s="9"/>
      <c r="O187" s="15"/>
    </row>
    <row r="188" spans="1:15" s="11" customFormat="1" x14ac:dyDescent="0.2">
      <c r="B188" s="171"/>
      <c r="C188" s="171"/>
      <c r="D188" s="14"/>
      <c r="I188"/>
      <c r="J188" s="8"/>
      <c r="K188" s="9"/>
      <c r="L188" s="9"/>
      <c r="M188" s="9"/>
      <c r="N188" s="9"/>
      <c r="O188" s="15"/>
    </row>
    <row r="189" spans="1:15" s="11" customFormat="1" x14ac:dyDescent="0.2">
      <c r="B189" s="171" t="s">
        <v>591</v>
      </c>
      <c r="C189" s="171"/>
      <c r="D189" s="19">
        <v>0.46812869425952774</v>
      </c>
      <c r="I189"/>
      <c r="J189" s="8"/>
      <c r="K189" s="9"/>
      <c r="L189" s="9"/>
      <c r="M189" s="9"/>
      <c r="N189" s="9"/>
      <c r="O189" s="15"/>
    </row>
    <row r="190" spans="1:15" s="11" customFormat="1" x14ac:dyDescent="0.2">
      <c r="B190" s="171" t="s">
        <v>592</v>
      </c>
      <c r="C190" s="171"/>
      <c r="D190" s="19">
        <v>0.47287144956359395</v>
      </c>
      <c r="I190"/>
      <c r="J190" s="8"/>
      <c r="K190" s="9"/>
      <c r="L190" s="9"/>
      <c r="M190" s="9"/>
      <c r="N190" s="9"/>
      <c r="O190" s="15"/>
    </row>
    <row r="191" spans="1:15" s="11" customFormat="1" x14ac:dyDescent="0.2">
      <c r="B191" s="171"/>
      <c r="C191" s="171"/>
      <c r="D191" s="14"/>
      <c r="I191"/>
      <c r="J191" s="8"/>
      <c r="K191" s="9"/>
      <c r="L191" s="9"/>
      <c r="M191" s="9"/>
      <c r="N191" s="9"/>
      <c r="O191" s="15"/>
    </row>
    <row r="192" spans="1:15" s="11" customFormat="1" ht="25.5" x14ac:dyDescent="0.2">
      <c r="B192" s="171" t="s">
        <v>593</v>
      </c>
      <c r="C192" s="171"/>
      <c r="D192" s="74" t="s">
        <v>699</v>
      </c>
      <c r="I192"/>
      <c r="J192" s="8"/>
      <c r="K192" s="9"/>
      <c r="L192" s="9"/>
      <c r="M192" s="9"/>
      <c r="N192" s="9"/>
      <c r="O192" s="15"/>
    </row>
    <row r="193" spans="1:17" s="11" customFormat="1" x14ac:dyDescent="0.2">
      <c r="B193" s="172" t="s">
        <v>594</v>
      </c>
      <c r="C193" s="174"/>
      <c r="D193" s="173"/>
      <c r="I193"/>
      <c r="J193" s="8"/>
      <c r="K193" s="9"/>
      <c r="L193" s="9"/>
      <c r="M193" s="9"/>
      <c r="N193" s="9"/>
      <c r="O193" s="15"/>
    </row>
    <row r="194" spans="1:17" s="11" customFormat="1" x14ac:dyDescent="0.2">
      <c r="B194" s="20"/>
      <c r="C194" s="20"/>
      <c r="D194" s="20"/>
      <c r="I194"/>
      <c r="J194" s="8"/>
      <c r="K194" s="9"/>
      <c r="L194" s="9"/>
      <c r="M194" s="9"/>
      <c r="N194" s="9"/>
      <c r="O194" s="15"/>
    </row>
    <row r="195" spans="1:17" s="11" customFormat="1" ht="25.5" x14ac:dyDescent="0.2">
      <c r="A195"/>
      <c r="B195" s="16" t="s">
        <v>595</v>
      </c>
      <c r="C195"/>
      <c r="D195"/>
      <c r="E195"/>
      <c r="F195"/>
      <c r="G195"/>
      <c r="H195"/>
      <c r="I195"/>
      <c r="J195" s="8"/>
      <c r="K195" s="9"/>
      <c r="L195" s="9"/>
      <c r="M195" s="9"/>
      <c r="N195" s="9"/>
      <c r="O195" s="15"/>
      <c r="P195"/>
      <c r="Q195"/>
    </row>
    <row r="197" spans="1:17" ht="153.75" customHeight="1" x14ac:dyDescent="0.2"/>
    <row r="198" spans="1:17" ht="25.5" customHeight="1" x14ac:dyDescent="0.2"/>
    <row r="199" spans="1:17" x14ac:dyDescent="0.2">
      <c r="B199" s="17" t="s">
        <v>596</v>
      </c>
      <c r="C199" s="18"/>
      <c r="D199" s="17" t="s">
        <v>597</v>
      </c>
    </row>
    <row r="200" spans="1:17" x14ac:dyDescent="0.2">
      <c r="B200" s="17" t="s">
        <v>672</v>
      </c>
      <c r="D200" s="17" t="s">
        <v>673</v>
      </c>
    </row>
    <row r="203" spans="1:17" ht="165" customHeight="1" x14ac:dyDescent="0.2"/>
    <row r="205" spans="1:17" x14ac:dyDescent="0.2">
      <c r="J205" s="8"/>
    </row>
  </sheetData>
  <mergeCells count="26">
    <mergeCell ref="B193:D193"/>
    <mergeCell ref="B188:C188"/>
    <mergeCell ref="B189:C189"/>
    <mergeCell ref="B190:C190"/>
    <mergeCell ref="B191:C191"/>
    <mergeCell ref="B192:C192"/>
    <mergeCell ref="B183:D183"/>
    <mergeCell ref="B184:C184"/>
    <mergeCell ref="B185:C185"/>
    <mergeCell ref="B186:C186"/>
    <mergeCell ref="B187:C187"/>
    <mergeCell ref="A1:H1"/>
    <mergeCell ref="A2:H2"/>
    <mergeCell ref="A3:H3"/>
    <mergeCell ref="B145:H145"/>
    <mergeCell ref="B146:H146"/>
    <mergeCell ref="B147:H147"/>
    <mergeCell ref="B148:H148"/>
    <mergeCell ref="B172:C172"/>
    <mergeCell ref="B150:D150"/>
    <mergeCell ref="B151:C151"/>
    <mergeCell ref="B152:C152"/>
    <mergeCell ref="B153:C153"/>
    <mergeCell ref="B163:C163"/>
    <mergeCell ref="B171:C171"/>
    <mergeCell ref="B170:C170"/>
  </mergeCells>
  <hyperlinks>
    <hyperlink ref="I1" location="Index!B2" display="Index" xr:uid="{687C72A7-65B1-4190-BD4D-47C23175D07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EC46C-FC9C-46FA-88DD-96AEAED5571E}">
  <sheetPr>
    <outlinePr summaryBelow="0" summaryRight="0"/>
  </sheetPr>
  <dimension ref="A1:Q140"/>
  <sheetViews>
    <sheetView showGridLines="0" workbookViewId="0">
      <selection sqref="A1:H1"/>
    </sheetView>
  </sheetViews>
  <sheetFormatPr defaultRowHeight="12.75" x14ac:dyDescent="0.2"/>
  <cols>
    <col min="1" max="1" width="5.85546875" bestFit="1" customWidth="1"/>
    <col min="2" max="2" width="21.5703125" customWidth="1"/>
    <col min="3" max="3" width="34" bestFit="1" customWidth="1"/>
    <col min="4" max="4" width="13.85546875" customWidth="1"/>
    <col min="5" max="5" width="8.7109375" bestFit="1" customWidth="1"/>
    <col min="6" max="6" width="10.140625" bestFit="1" customWidth="1"/>
    <col min="7" max="7" width="14" bestFit="1" customWidth="1"/>
    <col min="8" max="8" width="6.85546875" customWidth="1"/>
    <col min="9" max="9" width="5.7109375" bestFit="1" customWidth="1"/>
  </cols>
  <sheetData>
    <row r="1" spans="1:9" ht="15" x14ac:dyDescent="0.2">
      <c r="A1" s="170" t="s">
        <v>0</v>
      </c>
      <c r="B1" s="170"/>
      <c r="C1" s="170"/>
      <c r="D1" s="170"/>
      <c r="E1" s="170"/>
      <c r="F1" s="170"/>
      <c r="G1" s="170"/>
      <c r="H1" s="170"/>
      <c r="I1" s="7" t="s">
        <v>579</v>
      </c>
    </row>
    <row r="2" spans="1:9" ht="15" x14ac:dyDescent="0.2">
      <c r="A2" s="170" t="s">
        <v>491</v>
      </c>
      <c r="B2" s="170"/>
      <c r="C2" s="170"/>
      <c r="D2" s="170"/>
      <c r="E2" s="170"/>
      <c r="F2" s="170"/>
      <c r="G2" s="170"/>
      <c r="H2" s="170"/>
    </row>
    <row r="3" spans="1:9" ht="15" customHeight="1" x14ac:dyDescent="0.2">
      <c r="A3" s="170" t="s">
        <v>715</v>
      </c>
      <c r="B3" s="170"/>
      <c r="C3" s="170"/>
      <c r="D3" s="170"/>
      <c r="E3" s="170"/>
      <c r="F3" s="170"/>
      <c r="G3" s="170"/>
      <c r="H3" s="170"/>
    </row>
    <row r="4" spans="1:9" s="8" customFormat="1" ht="30" x14ac:dyDescent="0.2">
      <c r="A4" s="32" t="s">
        <v>2</v>
      </c>
      <c r="B4" s="32" t="s">
        <v>3</v>
      </c>
      <c r="C4" s="32" t="s">
        <v>4</v>
      </c>
      <c r="D4" s="32" t="s">
        <v>5</v>
      </c>
      <c r="E4" s="32" t="s">
        <v>6</v>
      </c>
      <c r="F4" s="32" t="s">
        <v>7</v>
      </c>
      <c r="G4" s="32" t="s">
        <v>8</v>
      </c>
      <c r="H4" s="33" t="s">
        <v>580</v>
      </c>
    </row>
    <row r="5" spans="1:9" x14ac:dyDescent="0.2">
      <c r="A5" s="34"/>
      <c r="B5" s="34"/>
      <c r="C5" s="35" t="s">
        <v>9</v>
      </c>
      <c r="D5" s="34"/>
      <c r="E5" s="34"/>
      <c r="F5" s="34"/>
      <c r="G5" s="34"/>
      <c r="H5" s="36" t="s">
        <v>12</v>
      </c>
    </row>
    <row r="6" spans="1:9" ht="25.5" x14ac:dyDescent="0.2">
      <c r="A6" s="34"/>
      <c r="B6" s="34"/>
      <c r="C6" s="35" t="s">
        <v>10</v>
      </c>
      <c r="D6" s="34"/>
      <c r="E6" s="34"/>
      <c r="F6" s="34"/>
      <c r="G6" s="34"/>
      <c r="H6" s="36" t="s">
        <v>12</v>
      </c>
    </row>
    <row r="7" spans="1:9" x14ac:dyDescent="0.2">
      <c r="A7" s="34"/>
      <c r="B7" s="34"/>
      <c r="C7" s="35" t="s">
        <v>11</v>
      </c>
      <c r="D7" s="34"/>
      <c r="E7" s="34" t="s">
        <v>12</v>
      </c>
      <c r="F7" s="37" t="s">
        <v>13</v>
      </c>
      <c r="G7" s="38">
        <v>0</v>
      </c>
      <c r="H7" s="36" t="s">
        <v>12</v>
      </c>
    </row>
    <row r="8" spans="1:9" x14ac:dyDescent="0.2">
      <c r="A8" s="34"/>
      <c r="B8" s="34"/>
      <c r="C8" s="39"/>
      <c r="D8" s="34"/>
      <c r="E8" s="34"/>
      <c r="F8" s="40"/>
      <c r="G8" s="40"/>
      <c r="H8" s="36" t="s">
        <v>12</v>
      </c>
    </row>
    <row r="9" spans="1:9" x14ac:dyDescent="0.2">
      <c r="A9" s="34"/>
      <c r="B9" s="34"/>
      <c r="C9" s="35" t="s">
        <v>14</v>
      </c>
      <c r="D9" s="34"/>
      <c r="E9" s="34"/>
      <c r="F9" s="34"/>
      <c r="G9" s="34"/>
      <c r="H9" s="36" t="s">
        <v>12</v>
      </c>
    </row>
    <row r="10" spans="1:9" x14ac:dyDescent="0.2">
      <c r="A10" s="34"/>
      <c r="B10" s="34"/>
      <c r="C10" s="35" t="s">
        <v>11</v>
      </c>
      <c r="D10" s="34"/>
      <c r="E10" s="34" t="s">
        <v>12</v>
      </c>
      <c r="F10" s="37" t="s">
        <v>13</v>
      </c>
      <c r="G10" s="38">
        <v>0</v>
      </c>
      <c r="H10" s="36" t="s">
        <v>12</v>
      </c>
    </row>
    <row r="11" spans="1:9" x14ac:dyDescent="0.2">
      <c r="A11" s="34"/>
      <c r="B11" s="34"/>
      <c r="C11" s="39"/>
      <c r="D11" s="34"/>
      <c r="E11" s="34"/>
      <c r="F11" s="40"/>
      <c r="G11" s="40"/>
      <c r="H11" s="36" t="s">
        <v>12</v>
      </c>
    </row>
    <row r="12" spans="1:9" x14ac:dyDescent="0.2">
      <c r="A12" s="34"/>
      <c r="B12" s="34"/>
      <c r="C12" s="35" t="s">
        <v>15</v>
      </c>
      <c r="D12" s="34"/>
      <c r="E12" s="34"/>
      <c r="F12" s="34"/>
      <c r="G12" s="34"/>
      <c r="H12" s="36" t="s">
        <v>12</v>
      </c>
    </row>
    <row r="13" spans="1:9" x14ac:dyDescent="0.2">
      <c r="A13" s="34"/>
      <c r="B13" s="34"/>
      <c r="C13" s="35" t="s">
        <v>11</v>
      </c>
      <c r="D13" s="34"/>
      <c r="E13" s="34" t="s">
        <v>12</v>
      </c>
      <c r="F13" s="37" t="s">
        <v>13</v>
      </c>
      <c r="G13" s="38">
        <v>0</v>
      </c>
      <c r="H13" s="36" t="s">
        <v>12</v>
      </c>
    </row>
    <row r="14" spans="1:9" x14ac:dyDescent="0.2">
      <c r="A14" s="34"/>
      <c r="B14" s="34"/>
      <c r="C14" s="39"/>
      <c r="D14" s="34"/>
      <c r="E14" s="34"/>
      <c r="F14" s="40"/>
      <c r="G14" s="40"/>
      <c r="H14" s="36" t="s">
        <v>12</v>
      </c>
    </row>
    <row r="15" spans="1:9" x14ac:dyDescent="0.2">
      <c r="A15" s="34"/>
      <c r="B15" s="34"/>
      <c r="C15" s="35" t="s">
        <v>16</v>
      </c>
      <c r="D15" s="34"/>
      <c r="E15" s="34"/>
      <c r="F15" s="34"/>
      <c r="G15" s="34"/>
      <c r="H15" s="36" t="s">
        <v>12</v>
      </c>
    </row>
    <row r="16" spans="1:9" x14ac:dyDescent="0.2">
      <c r="A16" s="34"/>
      <c r="B16" s="34"/>
      <c r="C16" s="35" t="s">
        <v>11</v>
      </c>
      <c r="D16" s="34"/>
      <c r="E16" s="34" t="s">
        <v>12</v>
      </c>
      <c r="F16" s="37" t="s">
        <v>13</v>
      </c>
      <c r="G16" s="38">
        <v>0</v>
      </c>
      <c r="H16" s="36" t="s">
        <v>12</v>
      </c>
    </row>
    <row r="17" spans="1:8" x14ac:dyDescent="0.2">
      <c r="A17" s="34"/>
      <c r="B17" s="34"/>
      <c r="C17" s="39"/>
      <c r="D17" s="34"/>
      <c r="E17" s="34"/>
      <c r="F17" s="40"/>
      <c r="G17" s="40"/>
      <c r="H17" s="36" t="s">
        <v>12</v>
      </c>
    </row>
    <row r="18" spans="1:8" x14ac:dyDescent="0.2">
      <c r="A18" s="34"/>
      <c r="B18" s="34"/>
      <c r="C18" s="35" t="s">
        <v>17</v>
      </c>
      <c r="D18" s="34"/>
      <c r="E18" s="34"/>
      <c r="F18" s="40"/>
      <c r="G18" s="40"/>
      <c r="H18" s="36" t="s">
        <v>12</v>
      </c>
    </row>
    <row r="19" spans="1:8" x14ac:dyDescent="0.2">
      <c r="A19" s="34"/>
      <c r="B19" s="34"/>
      <c r="C19" s="35" t="s">
        <v>11</v>
      </c>
      <c r="D19" s="34"/>
      <c r="E19" s="34" t="s">
        <v>12</v>
      </c>
      <c r="F19" s="37" t="s">
        <v>13</v>
      </c>
      <c r="G19" s="38">
        <v>0</v>
      </c>
      <c r="H19" s="36" t="s">
        <v>12</v>
      </c>
    </row>
    <row r="20" spans="1:8" x14ac:dyDescent="0.2">
      <c r="A20" s="34"/>
      <c r="B20" s="34"/>
      <c r="C20" s="39"/>
      <c r="D20" s="34"/>
      <c r="E20" s="34"/>
      <c r="F20" s="40"/>
      <c r="G20" s="40"/>
      <c r="H20" s="36" t="s">
        <v>12</v>
      </c>
    </row>
    <row r="21" spans="1:8" x14ac:dyDescent="0.2">
      <c r="A21" s="34"/>
      <c r="B21" s="34"/>
      <c r="C21" s="35" t="s">
        <v>18</v>
      </c>
      <c r="D21" s="34"/>
      <c r="E21" s="34"/>
      <c r="F21" s="40"/>
      <c r="G21" s="40"/>
      <c r="H21" s="36" t="s">
        <v>12</v>
      </c>
    </row>
    <row r="22" spans="1:8" x14ac:dyDescent="0.2">
      <c r="A22" s="34"/>
      <c r="B22" s="34"/>
      <c r="C22" s="35" t="s">
        <v>11</v>
      </c>
      <c r="D22" s="34"/>
      <c r="E22" s="34" t="s">
        <v>12</v>
      </c>
      <c r="F22" s="37" t="s">
        <v>13</v>
      </c>
      <c r="G22" s="38">
        <v>0</v>
      </c>
      <c r="H22" s="36" t="s">
        <v>12</v>
      </c>
    </row>
    <row r="23" spans="1:8" x14ac:dyDescent="0.2">
      <c r="A23" s="34"/>
      <c r="B23" s="34"/>
      <c r="C23" s="39"/>
      <c r="D23" s="34"/>
      <c r="E23" s="34"/>
      <c r="F23" s="40"/>
      <c r="G23" s="40"/>
      <c r="H23" s="36" t="s">
        <v>12</v>
      </c>
    </row>
    <row r="24" spans="1:8" x14ac:dyDescent="0.2">
      <c r="A24" s="34"/>
      <c r="B24" s="34"/>
      <c r="C24" s="35" t="s">
        <v>19</v>
      </c>
      <c r="D24" s="34"/>
      <c r="E24" s="34"/>
      <c r="F24" s="41">
        <v>0</v>
      </c>
      <c r="G24" s="38">
        <v>0</v>
      </c>
      <c r="H24" s="36" t="s">
        <v>12</v>
      </c>
    </row>
    <row r="25" spans="1:8" x14ac:dyDescent="0.2">
      <c r="A25" s="34"/>
      <c r="B25" s="34"/>
      <c r="C25" s="39"/>
      <c r="D25" s="34"/>
      <c r="E25" s="34"/>
      <c r="F25" s="40"/>
      <c r="G25" s="40"/>
      <c r="H25" s="36" t="s">
        <v>12</v>
      </c>
    </row>
    <row r="26" spans="1:8" x14ac:dyDescent="0.2">
      <c r="A26" s="34"/>
      <c r="B26" s="34"/>
      <c r="C26" s="35" t="s">
        <v>20</v>
      </c>
      <c r="D26" s="34"/>
      <c r="E26" s="34"/>
      <c r="F26" s="40"/>
      <c r="G26" s="40"/>
      <c r="H26" s="36" t="s">
        <v>12</v>
      </c>
    </row>
    <row r="27" spans="1:8" ht="25.5" x14ac:dyDescent="0.2">
      <c r="A27" s="34"/>
      <c r="B27" s="34"/>
      <c r="C27" s="35" t="s">
        <v>10</v>
      </c>
      <c r="D27" s="34"/>
      <c r="E27" s="34"/>
      <c r="F27" s="40"/>
      <c r="G27" s="40"/>
      <c r="H27" s="36" t="s">
        <v>12</v>
      </c>
    </row>
    <row r="28" spans="1:8" x14ac:dyDescent="0.2">
      <c r="A28" s="42">
        <v>1</v>
      </c>
      <c r="B28" s="43" t="s">
        <v>237</v>
      </c>
      <c r="C28" s="43" t="s">
        <v>238</v>
      </c>
      <c r="D28" s="43" t="s">
        <v>234</v>
      </c>
      <c r="E28" s="44">
        <v>200</v>
      </c>
      <c r="F28" s="45">
        <v>201.3056</v>
      </c>
      <c r="G28" s="46">
        <v>4.519778E-2</v>
      </c>
      <c r="H28" s="36">
        <v>8.0850000000000009</v>
      </c>
    </row>
    <row r="29" spans="1:8" ht="25.5" x14ac:dyDescent="0.2">
      <c r="A29" s="42">
        <v>2</v>
      </c>
      <c r="B29" s="43" t="s">
        <v>229</v>
      </c>
      <c r="C29" s="43" t="s">
        <v>230</v>
      </c>
      <c r="D29" s="43" t="s">
        <v>231</v>
      </c>
      <c r="E29" s="44">
        <v>100</v>
      </c>
      <c r="F29" s="45">
        <v>100.5912</v>
      </c>
      <c r="G29" s="46">
        <v>2.2585060000000001E-2</v>
      </c>
      <c r="H29" s="36">
        <v>7.9950000000000001</v>
      </c>
    </row>
    <row r="30" spans="1:8" ht="25.5" x14ac:dyDescent="0.2">
      <c r="A30" s="42">
        <v>3</v>
      </c>
      <c r="B30" s="43" t="s">
        <v>252</v>
      </c>
      <c r="C30" s="43" t="s">
        <v>253</v>
      </c>
      <c r="D30" s="43" t="s">
        <v>234</v>
      </c>
      <c r="E30" s="44">
        <v>100</v>
      </c>
      <c r="F30" s="45">
        <v>100.2332</v>
      </c>
      <c r="G30" s="46">
        <v>2.2504679999999999E-2</v>
      </c>
      <c r="H30" s="36">
        <v>8.1549999999999994</v>
      </c>
    </row>
    <row r="31" spans="1:8" ht="25.5" x14ac:dyDescent="0.2">
      <c r="A31" s="42">
        <v>4</v>
      </c>
      <c r="B31" s="43" t="s">
        <v>235</v>
      </c>
      <c r="C31" s="43" t="s">
        <v>236</v>
      </c>
      <c r="D31" s="43" t="s">
        <v>23</v>
      </c>
      <c r="E31" s="44">
        <v>10</v>
      </c>
      <c r="F31" s="45">
        <v>98.578100000000006</v>
      </c>
      <c r="G31" s="46">
        <v>2.2133070000000001E-2</v>
      </c>
      <c r="H31" s="36">
        <v>7.8</v>
      </c>
    </row>
    <row r="32" spans="1:8" x14ac:dyDescent="0.2">
      <c r="A32" s="34"/>
      <c r="B32" s="34"/>
      <c r="C32" s="35" t="s">
        <v>11</v>
      </c>
      <c r="D32" s="34"/>
      <c r="E32" s="34" t="s">
        <v>12</v>
      </c>
      <c r="F32" s="41">
        <v>500.7081</v>
      </c>
      <c r="G32" s="38">
        <v>0.11242059</v>
      </c>
      <c r="H32" s="36" t="s">
        <v>12</v>
      </c>
    </row>
    <row r="33" spans="1:8" x14ac:dyDescent="0.2">
      <c r="A33" s="34"/>
      <c r="B33" s="34"/>
      <c r="C33" s="39"/>
      <c r="D33" s="34"/>
      <c r="E33" s="34"/>
      <c r="F33" s="40"/>
      <c r="G33" s="40"/>
      <c r="H33" s="36" t="s">
        <v>12</v>
      </c>
    </row>
    <row r="34" spans="1:8" x14ac:dyDescent="0.2">
      <c r="A34" s="34"/>
      <c r="B34" s="34"/>
      <c r="C34" s="35" t="s">
        <v>71</v>
      </c>
      <c r="D34" s="34"/>
      <c r="E34" s="34"/>
      <c r="F34" s="34"/>
      <c r="G34" s="34"/>
      <c r="H34" s="36" t="s">
        <v>12</v>
      </c>
    </row>
    <row r="35" spans="1:8" x14ac:dyDescent="0.2">
      <c r="A35" s="34"/>
      <c r="B35" s="34"/>
      <c r="C35" s="35" t="s">
        <v>11</v>
      </c>
      <c r="D35" s="34"/>
      <c r="E35" s="34" t="s">
        <v>12</v>
      </c>
      <c r="F35" s="37" t="s">
        <v>13</v>
      </c>
      <c r="G35" s="38">
        <v>0</v>
      </c>
      <c r="H35" s="36" t="s">
        <v>12</v>
      </c>
    </row>
    <row r="36" spans="1:8" x14ac:dyDescent="0.2">
      <c r="A36" s="34"/>
      <c r="B36" s="34"/>
      <c r="C36" s="39"/>
      <c r="D36" s="34"/>
      <c r="E36" s="34"/>
      <c r="F36" s="40"/>
      <c r="G36" s="40"/>
      <c r="H36" s="36" t="s">
        <v>12</v>
      </c>
    </row>
    <row r="37" spans="1:8" x14ac:dyDescent="0.2">
      <c r="A37" s="34"/>
      <c r="B37" s="34"/>
      <c r="C37" s="35" t="s">
        <v>72</v>
      </c>
      <c r="D37" s="34"/>
      <c r="E37" s="34"/>
      <c r="F37" s="34"/>
      <c r="G37" s="34"/>
      <c r="H37" s="36" t="s">
        <v>12</v>
      </c>
    </row>
    <row r="38" spans="1:8" ht="25.5" x14ac:dyDescent="0.2">
      <c r="A38" s="42">
        <v>1</v>
      </c>
      <c r="B38" s="43" t="s">
        <v>73</v>
      </c>
      <c r="C38" s="43" t="s">
        <v>74</v>
      </c>
      <c r="D38" s="43" t="s">
        <v>75</v>
      </c>
      <c r="E38" s="44">
        <v>1500000</v>
      </c>
      <c r="F38" s="45">
        <v>1531.3005000000001</v>
      </c>
      <c r="G38" s="46">
        <v>0.34381251000000002</v>
      </c>
      <c r="H38" s="36">
        <v>6.9061000000000003</v>
      </c>
    </row>
    <row r="39" spans="1:8" ht="25.5" x14ac:dyDescent="0.2">
      <c r="A39" s="42">
        <v>2</v>
      </c>
      <c r="B39" s="43" t="s">
        <v>492</v>
      </c>
      <c r="C39" s="43" t="s">
        <v>493</v>
      </c>
      <c r="D39" s="43" t="s">
        <v>75</v>
      </c>
      <c r="E39" s="44">
        <v>1000000</v>
      </c>
      <c r="F39" s="45">
        <v>983.28899999999999</v>
      </c>
      <c r="G39" s="46">
        <v>0.2207712</v>
      </c>
      <c r="H39" s="36">
        <v>6.8116000000000003</v>
      </c>
    </row>
    <row r="40" spans="1:8" ht="25.5" x14ac:dyDescent="0.2">
      <c r="A40" s="42">
        <v>3</v>
      </c>
      <c r="B40" s="43" t="s">
        <v>82</v>
      </c>
      <c r="C40" s="43" t="s">
        <v>83</v>
      </c>
      <c r="D40" s="43" t="s">
        <v>75</v>
      </c>
      <c r="E40" s="44">
        <v>500000</v>
      </c>
      <c r="F40" s="45">
        <v>510.6345</v>
      </c>
      <c r="G40" s="46">
        <v>0.1146493</v>
      </c>
      <c r="H40" s="36">
        <v>6.8368000000000002</v>
      </c>
    </row>
    <row r="41" spans="1:8" ht="25.5" x14ac:dyDescent="0.2">
      <c r="A41" s="42">
        <v>4</v>
      </c>
      <c r="B41" s="43" t="s">
        <v>435</v>
      </c>
      <c r="C41" s="43" t="s">
        <v>436</v>
      </c>
      <c r="D41" s="43" t="s">
        <v>75</v>
      </c>
      <c r="E41" s="44">
        <v>230000</v>
      </c>
      <c r="F41" s="45">
        <v>234.79918000000001</v>
      </c>
      <c r="G41" s="46">
        <v>5.271787E-2</v>
      </c>
      <c r="H41" s="36">
        <v>7.2519999999999998</v>
      </c>
    </row>
    <row r="42" spans="1:8" ht="25.5" x14ac:dyDescent="0.2">
      <c r="A42" s="42">
        <v>5</v>
      </c>
      <c r="B42" s="43" t="s">
        <v>263</v>
      </c>
      <c r="C42" s="43" t="s">
        <v>264</v>
      </c>
      <c r="D42" s="43" t="s">
        <v>75</v>
      </c>
      <c r="E42" s="44">
        <v>100000</v>
      </c>
      <c r="F42" s="45">
        <v>101.1837</v>
      </c>
      <c r="G42" s="46">
        <v>2.271809E-2</v>
      </c>
      <c r="H42" s="36">
        <v>6.8371000000000004</v>
      </c>
    </row>
    <row r="43" spans="1:8" x14ac:dyDescent="0.2">
      <c r="A43" s="34"/>
      <c r="B43" s="34"/>
      <c r="C43" s="35" t="s">
        <v>11</v>
      </c>
      <c r="D43" s="34"/>
      <c r="E43" s="34" t="s">
        <v>12</v>
      </c>
      <c r="F43" s="41">
        <v>3361.2068800000002</v>
      </c>
      <c r="G43" s="38">
        <v>0.75466896999999999</v>
      </c>
      <c r="H43" s="36" t="s">
        <v>12</v>
      </c>
    </row>
    <row r="44" spans="1:8" x14ac:dyDescent="0.2">
      <c r="A44" s="34"/>
      <c r="B44" s="34"/>
      <c r="C44" s="39"/>
      <c r="D44" s="34"/>
      <c r="E44" s="34"/>
      <c r="F44" s="40"/>
      <c r="G44" s="40"/>
      <c r="H44" s="36" t="s">
        <v>12</v>
      </c>
    </row>
    <row r="45" spans="1:8" x14ac:dyDescent="0.2">
      <c r="A45" s="34"/>
      <c r="B45" s="34"/>
      <c r="C45" s="35" t="s">
        <v>88</v>
      </c>
      <c r="D45" s="34"/>
      <c r="E45" s="34"/>
      <c r="F45" s="40"/>
      <c r="G45" s="40"/>
      <c r="H45" s="36" t="s">
        <v>12</v>
      </c>
    </row>
    <row r="46" spans="1:8" x14ac:dyDescent="0.2">
      <c r="A46" s="34"/>
      <c r="B46" s="34"/>
      <c r="C46" s="35" t="s">
        <v>11</v>
      </c>
      <c r="D46" s="34"/>
      <c r="E46" s="34" t="s">
        <v>12</v>
      </c>
      <c r="F46" s="37" t="s">
        <v>13</v>
      </c>
      <c r="G46" s="38">
        <v>0</v>
      </c>
      <c r="H46" s="36" t="s">
        <v>12</v>
      </c>
    </row>
    <row r="47" spans="1:8" x14ac:dyDescent="0.2">
      <c r="A47" s="34"/>
      <c r="B47" s="34"/>
      <c r="C47" s="39"/>
      <c r="D47" s="34"/>
      <c r="E47" s="34"/>
      <c r="F47" s="40"/>
      <c r="G47" s="40"/>
      <c r="H47" s="36" t="s">
        <v>12</v>
      </c>
    </row>
    <row r="48" spans="1:8" x14ac:dyDescent="0.2">
      <c r="A48" s="34"/>
      <c r="B48" s="34"/>
      <c r="C48" s="35" t="s">
        <v>89</v>
      </c>
      <c r="D48" s="34"/>
      <c r="E48" s="34"/>
      <c r="F48" s="41">
        <v>3861.91498</v>
      </c>
      <c r="G48" s="38">
        <v>0.86708956000000004</v>
      </c>
      <c r="H48" s="36" t="s">
        <v>12</v>
      </c>
    </row>
    <row r="49" spans="1:8" x14ac:dyDescent="0.2">
      <c r="A49" s="34"/>
      <c r="B49" s="34"/>
      <c r="C49" s="39"/>
      <c r="D49" s="34"/>
      <c r="E49" s="34"/>
      <c r="F49" s="40"/>
      <c r="G49" s="40"/>
      <c r="H49" s="36" t="s">
        <v>12</v>
      </c>
    </row>
    <row r="50" spans="1:8" x14ac:dyDescent="0.2">
      <c r="A50" s="34"/>
      <c r="B50" s="34"/>
      <c r="C50" s="35" t="s">
        <v>90</v>
      </c>
      <c r="D50" s="34"/>
      <c r="E50" s="34"/>
      <c r="F50" s="40"/>
      <c r="G50" s="40"/>
      <c r="H50" s="36" t="s">
        <v>12</v>
      </c>
    </row>
    <row r="51" spans="1:8" x14ac:dyDescent="0.2">
      <c r="A51" s="34"/>
      <c r="B51" s="34"/>
      <c r="C51" s="35" t="s">
        <v>91</v>
      </c>
      <c r="D51" s="34"/>
      <c r="E51" s="34"/>
      <c r="F51" s="40"/>
      <c r="G51" s="40"/>
      <c r="H51" s="36" t="s">
        <v>12</v>
      </c>
    </row>
    <row r="52" spans="1:8" x14ac:dyDescent="0.2">
      <c r="A52" s="34"/>
      <c r="B52" s="34"/>
      <c r="C52" s="35" t="s">
        <v>11</v>
      </c>
      <c r="D52" s="34"/>
      <c r="E52" s="34" t="s">
        <v>12</v>
      </c>
      <c r="F52" s="37" t="s">
        <v>13</v>
      </c>
      <c r="G52" s="38">
        <v>0</v>
      </c>
      <c r="H52" s="36" t="s">
        <v>12</v>
      </c>
    </row>
    <row r="53" spans="1:8" x14ac:dyDescent="0.2">
      <c r="A53" s="34"/>
      <c r="B53" s="34"/>
      <c r="C53" s="39"/>
      <c r="D53" s="34"/>
      <c r="E53" s="34"/>
      <c r="F53" s="40"/>
      <c r="G53" s="40"/>
      <c r="H53" s="36" t="s">
        <v>12</v>
      </c>
    </row>
    <row r="54" spans="1:8" x14ac:dyDescent="0.2">
      <c r="A54" s="34"/>
      <c r="B54" s="34"/>
      <c r="C54" s="35" t="s">
        <v>92</v>
      </c>
      <c r="D54" s="34"/>
      <c r="E54" s="34"/>
      <c r="F54" s="40"/>
      <c r="G54" s="40"/>
      <c r="H54" s="36" t="s">
        <v>12</v>
      </c>
    </row>
    <row r="55" spans="1:8" x14ac:dyDescent="0.2">
      <c r="A55" s="34"/>
      <c r="B55" s="34"/>
      <c r="C55" s="35" t="s">
        <v>11</v>
      </c>
      <c r="D55" s="34"/>
      <c r="E55" s="34" t="s">
        <v>12</v>
      </c>
      <c r="F55" s="37" t="s">
        <v>13</v>
      </c>
      <c r="G55" s="38">
        <v>0</v>
      </c>
      <c r="H55" s="36" t="s">
        <v>12</v>
      </c>
    </row>
    <row r="56" spans="1:8" x14ac:dyDescent="0.2">
      <c r="A56" s="34"/>
      <c r="B56" s="34"/>
      <c r="C56" s="39"/>
      <c r="D56" s="34"/>
      <c r="E56" s="34"/>
      <c r="F56" s="40"/>
      <c r="G56" s="40"/>
      <c r="H56" s="36" t="s">
        <v>12</v>
      </c>
    </row>
    <row r="57" spans="1:8" x14ac:dyDescent="0.2">
      <c r="A57" s="34"/>
      <c r="B57" s="34"/>
      <c r="C57" s="35" t="s">
        <v>93</v>
      </c>
      <c r="D57" s="34"/>
      <c r="E57" s="34"/>
      <c r="F57" s="40"/>
      <c r="G57" s="40"/>
      <c r="H57" s="36" t="s">
        <v>12</v>
      </c>
    </row>
    <row r="58" spans="1:8" x14ac:dyDescent="0.2">
      <c r="A58" s="34"/>
      <c r="B58" s="34"/>
      <c r="C58" s="35" t="s">
        <v>11</v>
      </c>
      <c r="D58" s="34"/>
      <c r="E58" s="34" t="s">
        <v>12</v>
      </c>
      <c r="F58" s="37" t="s">
        <v>13</v>
      </c>
      <c r="G58" s="38">
        <v>0</v>
      </c>
      <c r="H58" s="36" t="s">
        <v>12</v>
      </c>
    </row>
    <row r="59" spans="1:8" x14ac:dyDescent="0.2">
      <c r="A59" s="34"/>
      <c r="B59" s="34"/>
      <c r="C59" s="39"/>
      <c r="D59" s="34"/>
      <c r="E59" s="34"/>
      <c r="F59" s="40"/>
      <c r="G59" s="40"/>
      <c r="H59" s="36" t="s">
        <v>12</v>
      </c>
    </row>
    <row r="60" spans="1:8" x14ac:dyDescent="0.2">
      <c r="A60" s="34"/>
      <c r="B60" s="34"/>
      <c r="C60" s="35" t="s">
        <v>94</v>
      </c>
      <c r="D60" s="34"/>
      <c r="E60" s="34"/>
      <c r="F60" s="40"/>
      <c r="G60" s="40"/>
      <c r="H60" s="36" t="str">
        <f>IFERROR(VLOOKUP(B60,#REF!,12,FALSE),"")</f>
        <v/>
      </c>
    </row>
    <row r="61" spans="1:8" x14ac:dyDescent="0.2">
      <c r="A61" s="42">
        <v>1</v>
      </c>
      <c r="B61" s="43"/>
      <c r="C61" s="43" t="s">
        <v>95</v>
      </c>
      <c r="D61" s="43"/>
      <c r="E61" s="47"/>
      <c r="F61" s="45">
        <v>526.05780100000004</v>
      </c>
      <c r="G61" s="46">
        <v>0.11811219000000001</v>
      </c>
      <c r="H61" s="36">
        <v>6.6</v>
      </c>
    </row>
    <row r="62" spans="1:8" x14ac:dyDescent="0.2">
      <c r="A62" s="34"/>
      <c r="B62" s="34"/>
      <c r="C62" s="35" t="s">
        <v>11</v>
      </c>
      <c r="D62" s="34"/>
      <c r="E62" s="34" t="s">
        <v>12</v>
      </c>
      <c r="F62" s="41">
        <v>526.05780100000004</v>
      </c>
      <c r="G62" s="38">
        <v>0.11811219000000001</v>
      </c>
      <c r="H62" s="36" t="str">
        <f>IFERROR(VLOOKUP(B62,#REF!,12,FALSE),"")</f>
        <v/>
      </c>
    </row>
    <row r="63" spans="1:8" x14ac:dyDescent="0.2">
      <c r="A63" s="34"/>
      <c r="B63" s="34"/>
      <c r="C63" s="39"/>
      <c r="D63" s="34"/>
      <c r="E63" s="34"/>
      <c r="F63" s="40"/>
      <c r="G63" s="40"/>
      <c r="H63" s="36" t="str">
        <f>IFERROR(VLOOKUP(B63,#REF!,12,FALSE),"")</f>
        <v/>
      </c>
    </row>
    <row r="64" spans="1:8" x14ac:dyDescent="0.2">
      <c r="A64" s="34"/>
      <c r="B64" s="34"/>
      <c r="C64" s="35" t="s">
        <v>96</v>
      </c>
      <c r="D64" s="34"/>
      <c r="E64" s="34"/>
      <c r="F64" s="41">
        <v>526.05780100000004</v>
      </c>
      <c r="G64" s="38">
        <v>0.11811219000000001</v>
      </c>
      <c r="H64" s="36" t="str">
        <f>IFERROR(VLOOKUP(B64,#REF!,12,FALSE),"")</f>
        <v/>
      </c>
    </row>
    <row r="65" spans="1:17" x14ac:dyDescent="0.2">
      <c r="A65" s="34"/>
      <c r="B65" s="34"/>
      <c r="C65" s="40"/>
      <c r="D65" s="34"/>
      <c r="E65" s="34"/>
      <c r="F65" s="34"/>
      <c r="G65" s="34"/>
      <c r="H65" s="36" t="str">
        <f>IFERROR(VLOOKUP(B65,#REF!,12,FALSE),"")</f>
        <v/>
      </c>
    </row>
    <row r="66" spans="1:17" x14ac:dyDescent="0.2">
      <c r="A66" s="34"/>
      <c r="B66" s="34"/>
      <c r="C66" s="35" t="s">
        <v>97</v>
      </c>
      <c r="D66" s="34"/>
      <c r="E66" s="34"/>
      <c r="F66" s="34"/>
      <c r="G66" s="34"/>
      <c r="H66" s="36" t="str">
        <f>IFERROR(VLOOKUP(B66,#REF!,12,FALSE),"")</f>
        <v/>
      </c>
    </row>
    <row r="67" spans="1:17" x14ac:dyDescent="0.2">
      <c r="A67" s="34"/>
      <c r="B67" s="34"/>
      <c r="C67" s="35" t="s">
        <v>98</v>
      </c>
      <c r="D67" s="34"/>
      <c r="E67" s="34"/>
      <c r="F67" s="34"/>
      <c r="G67" s="34"/>
      <c r="H67" s="36" t="str">
        <f>IFERROR(VLOOKUP(B67,#REF!,12,FALSE),"")</f>
        <v/>
      </c>
    </row>
    <row r="68" spans="1:17" x14ac:dyDescent="0.2">
      <c r="A68" s="34"/>
      <c r="B68" s="34"/>
      <c r="C68" s="35" t="s">
        <v>11</v>
      </c>
      <c r="D68" s="34"/>
      <c r="E68" s="34" t="s">
        <v>12</v>
      </c>
      <c r="F68" s="37" t="s">
        <v>13</v>
      </c>
      <c r="G68" s="38">
        <v>0</v>
      </c>
      <c r="H68" s="36" t="str">
        <f>IFERROR(VLOOKUP(B68,#REF!,12,FALSE),"")</f>
        <v/>
      </c>
    </row>
    <row r="69" spans="1:17" x14ac:dyDescent="0.2">
      <c r="A69" s="82"/>
      <c r="B69" s="82"/>
      <c r="C69" s="83"/>
      <c r="D69" s="82"/>
      <c r="E69" s="82"/>
      <c r="F69" s="84"/>
      <c r="G69" s="84"/>
      <c r="H69" s="36" t="s">
        <v>12</v>
      </c>
    </row>
    <row r="70" spans="1:17" ht="25.5" x14ac:dyDescent="0.2">
      <c r="A70" s="82"/>
      <c r="B70" s="82"/>
      <c r="C70" s="70" t="s">
        <v>581</v>
      </c>
      <c r="D70" s="82"/>
      <c r="E70" s="82"/>
      <c r="F70" s="84"/>
      <c r="G70" s="84"/>
      <c r="H70" s="79"/>
      <c r="K70" s="9"/>
      <c r="L70" s="9"/>
      <c r="M70" s="9"/>
      <c r="N70" s="9"/>
      <c r="O70" s="10"/>
      <c r="P70" s="10"/>
      <c r="Q70" s="10"/>
    </row>
    <row r="71" spans="1:17" ht="25.5" x14ac:dyDescent="0.2">
      <c r="A71" s="76">
        <v>1</v>
      </c>
      <c r="B71" s="77" t="s">
        <v>99</v>
      </c>
      <c r="C71" s="77" t="s">
        <v>100</v>
      </c>
      <c r="D71" s="77"/>
      <c r="E71" s="85">
        <v>112.994</v>
      </c>
      <c r="F71" s="79">
        <v>12.255068676</v>
      </c>
      <c r="G71" s="80">
        <v>2.7515500000000002E-3</v>
      </c>
      <c r="H71" s="36"/>
    </row>
    <row r="72" spans="1:17" x14ac:dyDescent="0.2">
      <c r="A72" s="82"/>
      <c r="B72" s="82"/>
      <c r="C72" s="70" t="s">
        <v>11</v>
      </c>
      <c r="D72" s="82"/>
      <c r="E72" s="82" t="s">
        <v>12</v>
      </c>
      <c r="F72" s="86">
        <f>SUM(F71)</f>
        <v>12.255068676</v>
      </c>
      <c r="G72" s="31">
        <f>SUM(G71)</f>
        <v>2.7515500000000002E-3</v>
      </c>
      <c r="H72" s="36" t="s">
        <v>12</v>
      </c>
    </row>
    <row r="73" spans="1:17" x14ac:dyDescent="0.2">
      <c r="A73" s="34"/>
      <c r="B73" s="34"/>
      <c r="C73" s="39"/>
      <c r="D73" s="34"/>
      <c r="E73" s="34"/>
      <c r="F73" s="40"/>
      <c r="G73" s="40"/>
      <c r="H73" s="36" t="str">
        <f>IFERROR(VLOOKUP(B73,#REF!,12,FALSE),"")</f>
        <v/>
      </c>
    </row>
    <row r="74" spans="1:17" x14ac:dyDescent="0.2">
      <c r="A74" s="34"/>
      <c r="B74" s="34"/>
      <c r="C74" s="35" t="s">
        <v>101</v>
      </c>
      <c r="D74" s="34"/>
      <c r="E74" s="34"/>
      <c r="F74" s="34"/>
      <c r="G74" s="34"/>
      <c r="H74" s="36" t="str">
        <f>IFERROR(VLOOKUP(B74,#REF!,12,FALSE),"")</f>
        <v/>
      </c>
    </row>
    <row r="75" spans="1:17" x14ac:dyDescent="0.2">
      <c r="A75" s="34"/>
      <c r="B75" s="34"/>
      <c r="C75" s="35" t="s">
        <v>102</v>
      </c>
      <c r="D75" s="34"/>
      <c r="E75" s="34"/>
      <c r="F75" s="34"/>
      <c r="G75" s="34"/>
      <c r="H75" s="36" t="str">
        <f>IFERROR(VLOOKUP(B75,#REF!,12,FALSE),"")</f>
        <v/>
      </c>
    </row>
    <row r="76" spans="1:17" x14ac:dyDescent="0.2">
      <c r="A76" s="34"/>
      <c r="B76" s="34"/>
      <c r="C76" s="35" t="s">
        <v>11</v>
      </c>
      <c r="D76" s="34"/>
      <c r="E76" s="34" t="s">
        <v>12</v>
      </c>
      <c r="F76" s="37" t="s">
        <v>13</v>
      </c>
      <c r="G76" s="38">
        <v>0</v>
      </c>
      <c r="H76" s="36" t="str">
        <f>IFERROR(VLOOKUP(B76,#REF!,12,FALSE),"")</f>
        <v/>
      </c>
    </row>
    <row r="77" spans="1:17" x14ac:dyDescent="0.2">
      <c r="A77" s="34"/>
      <c r="B77" s="34"/>
      <c r="C77" s="39"/>
      <c r="D77" s="34"/>
      <c r="E77" s="34"/>
      <c r="F77" s="40"/>
      <c r="G77" s="40"/>
      <c r="H77" s="36" t="str">
        <f>IFERROR(VLOOKUP(B77,#REF!,12,FALSE),"")</f>
        <v/>
      </c>
    </row>
    <row r="78" spans="1:17" ht="25.5" x14ac:dyDescent="0.2">
      <c r="A78" s="34"/>
      <c r="B78" s="34"/>
      <c r="C78" s="35" t="s">
        <v>103</v>
      </c>
      <c r="D78" s="34"/>
      <c r="E78" s="34"/>
      <c r="F78" s="40"/>
      <c r="G78" s="40"/>
      <c r="H78" s="36" t="str">
        <f>IFERROR(VLOOKUP(B78,#REF!,12,FALSE),"")</f>
        <v/>
      </c>
    </row>
    <row r="79" spans="1:17" x14ac:dyDescent="0.2">
      <c r="A79" s="34"/>
      <c r="B79" s="34"/>
      <c r="C79" s="35" t="s">
        <v>11</v>
      </c>
      <c r="D79" s="34"/>
      <c r="E79" s="34" t="s">
        <v>12</v>
      </c>
      <c r="F79" s="37" t="s">
        <v>13</v>
      </c>
      <c r="G79" s="38">
        <v>0</v>
      </c>
      <c r="H79" s="36" t="str">
        <f>IFERROR(VLOOKUP(B79,#REF!,12,FALSE),"")</f>
        <v/>
      </c>
    </row>
    <row r="80" spans="1:17" x14ac:dyDescent="0.2">
      <c r="A80" s="34"/>
      <c r="B80" s="34"/>
      <c r="C80" s="39"/>
      <c r="D80" s="34"/>
      <c r="E80" s="34"/>
      <c r="F80" s="40"/>
      <c r="G80" s="40"/>
      <c r="H80" s="36" t="str">
        <f>IFERROR(VLOOKUP(B80,#REF!,12,FALSE),"")</f>
        <v/>
      </c>
    </row>
    <row r="81" spans="1:8" x14ac:dyDescent="0.2">
      <c r="A81" s="47"/>
      <c r="B81" s="43"/>
      <c r="C81" s="43" t="s">
        <v>104</v>
      </c>
      <c r="D81" s="43"/>
      <c r="E81" s="47"/>
      <c r="F81" s="45">
        <f>53.65463863+0.000547764000892639</f>
        <v>53.655186394000893</v>
      </c>
      <c r="G81" s="46">
        <v>1.204671E-2</v>
      </c>
      <c r="H81" s="36" t="str">
        <f>IFERROR(VLOOKUP(B81,#REF!,12,FALSE),"")</f>
        <v/>
      </c>
    </row>
    <row r="82" spans="1:8" x14ac:dyDescent="0.2">
      <c r="A82" s="39"/>
      <c r="B82" s="39"/>
      <c r="C82" s="35" t="s">
        <v>105</v>
      </c>
      <c r="D82" s="40"/>
      <c r="E82" s="40"/>
      <c r="F82" s="41">
        <f>4453.882488306+0.000547764000892639</f>
        <v>4453.8830360700003</v>
      </c>
      <c r="G82" s="48">
        <v>1.0000000099999999</v>
      </c>
      <c r="H82" s="36" t="str">
        <f>IFERROR(VLOOKUP(B82,#REF!,12,FALSE),"")</f>
        <v/>
      </c>
    </row>
    <row r="83" spans="1:8" x14ac:dyDescent="0.2">
      <c r="A83" s="49"/>
      <c r="B83" s="49"/>
      <c r="C83" s="49"/>
      <c r="D83" s="50"/>
      <c r="E83" s="50"/>
      <c r="F83" s="50"/>
      <c r="G83" s="50"/>
    </row>
    <row r="84" spans="1:8" x14ac:dyDescent="0.2">
      <c r="A84" s="51"/>
      <c r="B84" s="158" t="s">
        <v>582</v>
      </c>
      <c r="C84" s="158"/>
      <c r="D84" s="158"/>
      <c r="E84" s="158"/>
      <c r="F84" s="158"/>
      <c r="G84" s="158"/>
      <c r="H84" s="158"/>
    </row>
    <row r="85" spans="1:8" x14ac:dyDescent="0.2">
      <c r="A85" s="51"/>
      <c r="B85" s="158" t="s">
        <v>583</v>
      </c>
      <c r="C85" s="158"/>
      <c r="D85" s="158"/>
      <c r="E85" s="158"/>
      <c r="F85" s="158"/>
      <c r="G85" s="158"/>
      <c r="H85" s="158"/>
    </row>
    <row r="86" spans="1:8" x14ac:dyDescent="0.2">
      <c r="A86" s="51"/>
      <c r="B86" s="158" t="s">
        <v>584</v>
      </c>
      <c r="C86" s="158"/>
      <c r="D86" s="158"/>
      <c r="E86" s="158"/>
      <c r="F86" s="158"/>
      <c r="G86" s="158"/>
      <c r="H86" s="158"/>
    </row>
    <row r="87" spans="1:8" x14ac:dyDescent="0.2">
      <c r="A87" s="51"/>
      <c r="B87" s="51"/>
      <c r="C87" s="51"/>
      <c r="D87" s="52"/>
      <c r="E87" s="52"/>
      <c r="F87" s="52"/>
      <c r="G87" s="52"/>
    </row>
    <row r="88" spans="1:8" x14ac:dyDescent="0.2">
      <c r="A88" s="53"/>
      <c r="B88" s="162" t="s">
        <v>106</v>
      </c>
      <c r="C88" s="163"/>
      <c r="D88" s="164"/>
      <c r="E88" s="54"/>
      <c r="F88" s="55"/>
      <c r="G88" s="55"/>
    </row>
    <row r="89" spans="1:8" ht="25.5" x14ac:dyDescent="0.2">
      <c r="A89" s="53"/>
      <c r="B89" s="165" t="s">
        <v>107</v>
      </c>
      <c r="C89" s="166"/>
      <c r="D89" s="70" t="s">
        <v>608</v>
      </c>
      <c r="E89" s="54"/>
      <c r="F89" s="55"/>
      <c r="G89" s="55"/>
    </row>
    <row r="90" spans="1:8" x14ac:dyDescent="0.2">
      <c r="A90" s="53"/>
      <c r="B90" s="165" t="s">
        <v>109</v>
      </c>
      <c r="C90" s="166"/>
      <c r="D90" s="35" t="s">
        <v>108</v>
      </c>
      <c r="E90" s="54"/>
      <c r="F90" s="55"/>
      <c r="G90" s="55"/>
    </row>
    <row r="91" spans="1:8" x14ac:dyDescent="0.2">
      <c r="A91" s="53"/>
      <c r="B91" s="165" t="s">
        <v>110</v>
      </c>
      <c r="C91" s="166"/>
      <c r="D91" s="40" t="s">
        <v>12</v>
      </c>
      <c r="E91" s="54"/>
      <c r="F91" s="55"/>
      <c r="G91" s="55"/>
    </row>
    <row r="92" spans="1:8" x14ac:dyDescent="0.2">
      <c r="A92" s="56"/>
      <c r="B92" s="57" t="s">
        <v>12</v>
      </c>
      <c r="C92" s="57" t="s">
        <v>585</v>
      </c>
      <c r="D92" s="57" t="s">
        <v>111</v>
      </c>
      <c r="E92" s="56"/>
      <c r="F92" s="56"/>
      <c r="G92" s="56"/>
      <c r="H92" s="58"/>
    </row>
    <row r="93" spans="1:8" x14ac:dyDescent="0.2">
      <c r="A93" s="56"/>
      <c r="B93" s="59" t="s">
        <v>112</v>
      </c>
      <c r="C93" s="60">
        <v>45626</v>
      </c>
      <c r="D93" s="60">
        <v>45657</v>
      </c>
      <c r="E93" s="56"/>
      <c r="F93" s="56"/>
      <c r="G93" s="56"/>
    </row>
    <row r="94" spans="1:8" x14ac:dyDescent="0.2">
      <c r="A94" s="61"/>
      <c r="B94" s="43" t="s">
        <v>113</v>
      </c>
      <c r="C94" s="62">
        <v>73.607500000000002</v>
      </c>
      <c r="D94" s="62">
        <v>73.937600000000003</v>
      </c>
      <c r="E94" s="61"/>
      <c r="F94" s="63"/>
      <c r="G94" s="64"/>
    </row>
    <row r="95" spans="1:8" ht="25.5" x14ac:dyDescent="0.2">
      <c r="A95" s="61"/>
      <c r="B95" s="43" t="s">
        <v>706</v>
      </c>
      <c r="C95" s="62">
        <v>26.421800000000001</v>
      </c>
      <c r="D95" s="62">
        <v>26.465199999999999</v>
      </c>
      <c r="E95" s="61"/>
      <c r="F95" s="63"/>
      <c r="G95" s="64"/>
    </row>
    <row r="96" spans="1:8" ht="25.5" x14ac:dyDescent="0.2">
      <c r="A96" s="61"/>
      <c r="B96" s="43" t="s">
        <v>708</v>
      </c>
      <c r="C96" s="62">
        <v>14.872400000000001</v>
      </c>
      <c r="D96" s="62">
        <v>14.9391</v>
      </c>
      <c r="E96" s="61"/>
      <c r="F96" s="63"/>
      <c r="G96" s="64"/>
    </row>
    <row r="97" spans="1:14" ht="25.5" x14ac:dyDescent="0.2">
      <c r="A97" s="61"/>
      <c r="B97" s="43" t="s">
        <v>494</v>
      </c>
      <c r="C97" s="62">
        <v>74.857799999999997</v>
      </c>
      <c r="D97" s="62">
        <v>75.138000000000005</v>
      </c>
      <c r="E97" s="61"/>
      <c r="F97" s="63"/>
      <c r="G97" s="64"/>
    </row>
    <row r="98" spans="1:14" x14ac:dyDescent="0.2">
      <c r="A98" s="61"/>
      <c r="B98" s="43" t="s">
        <v>114</v>
      </c>
      <c r="C98" s="62">
        <v>66.245599999999996</v>
      </c>
      <c r="D98" s="62">
        <v>66.495199999999997</v>
      </c>
      <c r="E98" s="61"/>
      <c r="F98" s="63"/>
      <c r="G98" s="64"/>
    </row>
    <row r="99" spans="1:14" x14ac:dyDescent="0.2">
      <c r="A99" s="61"/>
      <c r="B99" s="43" t="s">
        <v>142</v>
      </c>
      <c r="C99" s="62">
        <v>22.6265</v>
      </c>
      <c r="D99" s="62">
        <v>22.7118</v>
      </c>
      <c r="E99" s="61"/>
      <c r="F99" s="63"/>
      <c r="G99" s="64"/>
    </row>
    <row r="100" spans="1:14" ht="25.5" x14ac:dyDescent="0.2">
      <c r="A100" s="61"/>
      <c r="B100" s="77" t="s">
        <v>674</v>
      </c>
      <c r="C100" s="62">
        <v>13.129</v>
      </c>
      <c r="D100" s="62">
        <v>13.103300000000001</v>
      </c>
      <c r="E100" s="61"/>
      <c r="F100" s="63"/>
      <c r="G100" s="64"/>
    </row>
    <row r="101" spans="1:14" ht="25.5" x14ac:dyDescent="0.2">
      <c r="A101" s="61"/>
      <c r="B101" s="43" t="s">
        <v>710</v>
      </c>
      <c r="C101" s="62">
        <v>13.4186</v>
      </c>
      <c r="D101" s="62">
        <v>13.469099999999999</v>
      </c>
      <c r="E101" s="61"/>
      <c r="F101" s="63"/>
      <c r="G101" s="64"/>
    </row>
    <row r="102" spans="1:14" ht="25.5" x14ac:dyDescent="0.2">
      <c r="A102" s="61"/>
      <c r="B102" s="43" t="s">
        <v>711</v>
      </c>
      <c r="C102" s="62">
        <v>13.1623</v>
      </c>
      <c r="D102" s="62">
        <v>13.2119</v>
      </c>
      <c r="E102" s="61"/>
      <c r="F102" s="63"/>
      <c r="G102" s="64"/>
    </row>
    <row r="103" spans="1:14" x14ac:dyDescent="0.2">
      <c r="A103" s="61"/>
      <c r="B103" s="61"/>
      <c r="C103" s="61"/>
      <c r="D103" s="61"/>
      <c r="E103" s="61"/>
      <c r="F103" s="61"/>
      <c r="G103" s="61"/>
    </row>
    <row r="104" spans="1:14" x14ac:dyDescent="0.2">
      <c r="A104" s="61"/>
      <c r="B104" s="165" t="s">
        <v>712</v>
      </c>
      <c r="C104" s="166"/>
      <c r="D104" s="70" t="s">
        <v>108</v>
      </c>
      <c r="E104" s="61"/>
      <c r="F104" s="61"/>
      <c r="G104" s="61"/>
    </row>
    <row r="105" spans="1:14" ht="29.1" customHeight="1" x14ac:dyDescent="0.2">
      <c r="A105" s="152"/>
      <c r="B105" s="153" t="s">
        <v>706</v>
      </c>
      <c r="C105" s="154">
        <v>7.4999999999999997E-2</v>
      </c>
      <c r="D105" s="155" t="s">
        <v>117</v>
      </c>
      <c r="E105" s="152"/>
      <c r="F105" s="156"/>
      <c r="G105" s="157"/>
    </row>
    <row r="106" spans="1:14" ht="29.1" customHeight="1" x14ac:dyDescent="0.2">
      <c r="A106" s="152"/>
      <c r="B106" s="153" t="s">
        <v>674</v>
      </c>
      <c r="C106" s="154">
        <v>7.4999999999999997E-2</v>
      </c>
      <c r="D106" s="154">
        <v>7.4999999999999997E-2</v>
      </c>
      <c r="E106" s="152"/>
      <c r="F106" s="156"/>
      <c r="G106" s="157"/>
    </row>
    <row r="107" spans="1:14" x14ac:dyDescent="0.2">
      <c r="A107" s="61"/>
      <c r="B107" s="72"/>
      <c r="C107" s="72"/>
      <c r="D107" s="72"/>
      <c r="E107" s="61"/>
      <c r="F107" s="61"/>
      <c r="G107" s="61"/>
    </row>
    <row r="108" spans="1:14" s="11" customFormat="1" ht="15" x14ac:dyDescent="0.25">
      <c r="A108" s="100"/>
      <c r="B108" s="159" t="s">
        <v>600</v>
      </c>
      <c r="C108" s="160"/>
      <c r="D108" s="70" t="s">
        <v>108</v>
      </c>
      <c r="E108" s="100"/>
      <c r="F108" s="20"/>
      <c r="G108" s="100"/>
      <c r="I108" s="101"/>
      <c r="J108" s="102"/>
      <c r="K108" s="102"/>
      <c r="L108" s="102"/>
      <c r="M108" s="102"/>
      <c r="N108"/>
    </row>
    <row r="109" spans="1:14" ht="26.25" customHeight="1" x14ac:dyDescent="0.25">
      <c r="A109" s="56"/>
      <c r="B109" s="159" t="s">
        <v>601</v>
      </c>
      <c r="C109" s="160"/>
      <c r="D109" s="70" t="s">
        <v>108</v>
      </c>
      <c r="E109" s="71"/>
      <c r="F109" s="56"/>
      <c r="G109" s="56"/>
      <c r="I109" s="103"/>
    </row>
    <row r="110" spans="1:14" ht="27.75" customHeight="1" x14ac:dyDescent="0.25">
      <c r="A110" s="56"/>
      <c r="B110" s="159" t="s">
        <v>602</v>
      </c>
      <c r="C110" s="160"/>
      <c r="D110" s="70" t="s">
        <v>108</v>
      </c>
      <c r="E110" s="71"/>
      <c r="F110" s="56"/>
      <c r="G110" s="56"/>
      <c r="I110" s="104"/>
    </row>
    <row r="111" spans="1:14" x14ac:dyDescent="0.2">
      <c r="A111" s="56"/>
      <c r="B111" s="159" t="s">
        <v>603</v>
      </c>
      <c r="C111" s="160"/>
      <c r="D111" s="70" t="s">
        <v>108</v>
      </c>
      <c r="E111" s="71"/>
      <c r="F111" s="56"/>
      <c r="G111" s="56"/>
    </row>
    <row r="112" spans="1:14" x14ac:dyDescent="0.2">
      <c r="A112" s="72"/>
      <c r="B112" s="72"/>
      <c r="C112" s="72"/>
      <c r="D112" s="72"/>
      <c r="E112" s="72"/>
      <c r="F112" s="72"/>
      <c r="G112" s="72"/>
    </row>
    <row r="113" spans="2:14" s="11" customFormat="1" ht="15" x14ac:dyDescent="0.25">
      <c r="B113" s="198" t="s">
        <v>700</v>
      </c>
      <c r="C113" s="199"/>
      <c r="D113" s="199"/>
      <c r="E113" s="199"/>
      <c r="F113" s="199"/>
      <c r="G113" s="200"/>
      <c r="I113"/>
      <c r="J113" s="102"/>
      <c r="K113" s="102"/>
      <c r="L113" s="102"/>
      <c r="M113" s="102"/>
      <c r="N113"/>
    </row>
    <row r="114" spans="2:14" s="11" customFormat="1" ht="45" customHeight="1" x14ac:dyDescent="0.25">
      <c r="B114" s="105" t="s">
        <v>617</v>
      </c>
      <c r="C114" s="105" t="s">
        <v>618</v>
      </c>
      <c r="D114" s="201" t="s">
        <v>612</v>
      </c>
      <c r="E114" s="202"/>
      <c r="F114" s="203" t="s">
        <v>613</v>
      </c>
      <c r="G114" s="203"/>
      <c r="H114" s="106"/>
      <c r="I114"/>
      <c r="J114" s="102"/>
      <c r="K114" s="102"/>
      <c r="L114" s="102"/>
      <c r="M114" s="102"/>
      <c r="N114"/>
    </row>
    <row r="115" spans="2:14" s="11" customFormat="1" ht="25.5" x14ac:dyDescent="0.25">
      <c r="B115" s="107" t="s">
        <v>675</v>
      </c>
      <c r="C115" s="108" t="s">
        <v>676</v>
      </c>
      <c r="D115" s="204">
        <v>0</v>
      </c>
      <c r="E115" s="205"/>
      <c r="F115" s="204">
        <v>0</v>
      </c>
      <c r="G115" s="205"/>
      <c r="H115" s="109"/>
      <c r="I115"/>
      <c r="J115" s="102"/>
      <c r="K115" s="102"/>
      <c r="L115" s="102"/>
      <c r="M115" s="102"/>
      <c r="N115"/>
    </row>
    <row r="116" spans="2:14" s="11" customFormat="1" ht="15" x14ac:dyDescent="0.25">
      <c r="B116" s="206" t="s">
        <v>677</v>
      </c>
      <c r="C116" s="207"/>
      <c r="D116" s="207"/>
      <c r="E116" s="207"/>
      <c r="F116" s="207"/>
      <c r="G116" s="208"/>
      <c r="H116" s="109"/>
      <c r="I116"/>
      <c r="J116" s="104"/>
      <c r="K116" s="104"/>
      <c r="L116" s="104"/>
      <c r="M116" s="102"/>
      <c r="N116"/>
    </row>
    <row r="117" spans="2:14" s="11" customFormat="1" ht="15" x14ac:dyDescent="0.25">
      <c r="B117" s="203" t="s">
        <v>617</v>
      </c>
      <c r="C117" s="203" t="s">
        <v>618</v>
      </c>
      <c r="D117" s="206" t="s">
        <v>626</v>
      </c>
      <c r="E117" s="207"/>
      <c r="F117" s="208"/>
      <c r="G117" s="107"/>
      <c r="H117" s="109"/>
      <c r="I117"/>
      <c r="J117" s="104"/>
      <c r="K117" s="104"/>
      <c r="L117" s="104"/>
      <c r="M117" s="102"/>
      <c r="N117"/>
    </row>
    <row r="118" spans="2:14" s="11" customFormat="1" ht="76.5" x14ac:dyDescent="0.25">
      <c r="B118" s="203"/>
      <c r="C118" s="203"/>
      <c r="D118" s="110" t="s">
        <v>630</v>
      </c>
      <c r="E118" s="110" t="s">
        <v>678</v>
      </c>
      <c r="F118" s="110" t="s">
        <v>633</v>
      </c>
      <c r="G118" s="110" t="s">
        <v>702</v>
      </c>
      <c r="H118" s="111"/>
      <c r="I118"/>
      <c r="J118" s="104"/>
      <c r="K118" s="104"/>
      <c r="L118" s="104"/>
      <c r="M118" s="102"/>
      <c r="N118"/>
    </row>
    <row r="119" spans="2:14" s="11" customFormat="1" ht="25.5" x14ac:dyDescent="0.2">
      <c r="B119" s="112" t="s">
        <v>675</v>
      </c>
      <c r="C119" s="108" t="s">
        <v>676</v>
      </c>
      <c r="D119" s="113">
        <v>200</v>
      </c>
      <c r="E119" s="113">
        <v>6.8852450999999997</v>
      </c>
      <c r="F119" s="113">
        <v>206.88524509999999</v>
      </c>
      <c r="G119" s="114">
        <f>F119/F82</f>
        <v>4.6450533932869187E-2</v>
      </c>
      <c r="H119" s="115"/>
      <c r="I119"/>
      <c r="J119"/>
      <c r="K119"/>
      <c r="L119"/>
      <c r="M119"/>
      <c r="N119"/>
    </row>
    <row r="120" spans="2:14" s="11" customFormat="1" ht="33" customHeight="1" x14ac:dyDescent="0.2">
      <c r="B120" s="209" t="s">
        <v>679</v>
      </c>
      <c r="C120" s="210"/>
      <c r="D120" s="210"/>
      <c r="E120" s="210"/>
      <c r="F120" s="210"/>
      <c r="G120" s="211"/>
      <c r="H120" s="116"/>
      <c r="I120"/>
      <c r="J120"/>
      <c r="K120"/>
      <c r="L120"/>
      <c r="M120"/>
      <c r="N120"/>
    </row>
    <row r="121" spans="2:14" s="11" customFormat="1" x14ac:dyDescent="0.2">
      <c r="H121" s="116"/>
      <c r="I121"/>
      <c r="J121"/>
      <c r="K121"/>
      <c r="L121"/>
      <c r="M121"/>
      <c r="N121"/>
    </row>
    <row r="122" spans="2:14" s="11" customFormat="1" x14ac:dyDescent="0.2">
      <c r="B122" s="167" t="s">
        <v>587</v>
      </c>
      <c r="C122" s="168"/>
      <c r="D122" s="169"/>
      <c r="I122"/>
      <c r="J122"/>
      <c r="K122"/>
      <c r="L122"/>
      <c r="M122"/>
      <c r="N122"/>
    </row>
    <row r="123" spans="2:14" s="11" customFormat="1" ht="38.25" x14ac:dyDescent="0.2">
      <c r="B123" s="161" t="s">
        <v>588</v>
      </c>
      <c r="C123" s="161"/>
      <c r="D123" s="12" t="s">
        <v>491</v>
      </c>
      <c r="I123"/>
      <c r="J123"/>
      <c r="K123"/>
      <c r="L123"/>
      <c r="M123"/>
      <c r="N123"/>
    </row>
    <row r="124" spans="2:14" s="11" customFormat="1" x14ac:dyDescent="0.2">
      <c r="B124" s="171" t="s">
        <v>589</v>
      </c>
      <c r="C124" s="171"/>
      <c r="D124" s="13"/>
      <c r="I124"/>
      <c r="J124"/>
      <c r="K124"/>
      <c r="L124"/>
      <c r="M124"/>
      <c r="N124"/>
    </row>
    <row r="125" spans="2:14" s="11" customFormat="1" x14ac:dyDescent="0.2">
      <c r="B125" s="171"/>
      <c r="C125" s="171"/>
      <c r="D125" s="14"/>
      <c r="I125"/>
      <c r="J125"/>
      <c r="K125"/>
      <c r="L125"/>
      <c r="M125"/>
      <c r="N125"/>
    </row>
    <row r="126" spans="2:14" s="11" customFormat="1" x14ac:dyDescent="0.2">
      <c r="B126" s="171" t="s">
        <v>590</v>
      </c>
      <c r="C126" s="171"/>
      <c r="D126" s="19">
        <v>6.9898411768019777</v>
      </c>
      <c r="I126"/>
      <c r="J126"/>
      <c r="K126"/>
      <c r="L126"/>
      <c r="M126"/>
      <c r="N126"/>
    </row>
    <row r="127" spans="2:14" s="11" customFormat="1" x14ac:dyDescent="0.2">
      <c r="B127" s="171"/>
      <c r="C127" s="171"/>
      <c r="D127" s="14"/>
      <c r="I127"/>
      <c r="J127"/>
      <c r="K127"/>
      <c r="L127"/>
      <c r="M127"/>
      <c r="N127"/>
    </row>
    <row r="128" spans="2:14" s="11" customFormat="1" x14ac:dyDescent="0.2">
      <c r="B128" s="171" t="s">
        <v>591</v>
      </c>
      <c r="C128" s="171"/>
      <c r="D128" s="19">
        <v>3.7716538135532671</v>
      </c>
      <c r="I128"/>
      <c r="J128"/>
      <c r="K128"/>
      <c r="L128"/>
      <c r="M128"/>
      <c r="N128"/>
    </row>
    <row r="129" spans="2:16" s="11" customFormat="1" x14ac:dyDescent="0.2">
      <c r="B129" s="171" t="s">
        <v>592</v>
      </c>
      <c r="C129" s="171"/>
      <c r="D129" s="19">
        <v>4.8375792830887709</v>
      </c>
      <c r="I129"/>
      <c r="J129"/>
      <c r="K129"/>
      <c r="L129"/>
      <c r="M129"/>
      <c r="N129"/>
    </row>
    <row r="130" spans="2:16" s="11" customFormat="1" x14ac:dyDescent="0.2">
      <c r="B130" s="171"/>
      <c r="C130" s="171"/>
      <c r="D130" s="14"/>
      <c r="I130"/>
      <c r="J130"/>
      <c r="K130"/>
      <c r="L130"/>
      <c r="M130"/>
      <c r="N130"/>
    </row>
    <row r="131" spans="2:16" s="11" customFormat="1" x14ac:dyDescent="0.2">
      <c r="B131" s="171" t="s">
        <v>593</v>
      </c>
      <c r="C131" s="171"/>
      <c r="D131" s="74" t="s">
        <v>699</v>
      </c>
      <c r="I131"/>
      <c r="J131" s="9"/>
      <c r="K131" s="9"/>
      <c r="L131" s="9"/>
      <c r="M131" s="9"/>
      <c r="N131" s="15"/>
    </row>
    <row r="132" spans="2:16" s="11" customFormat="1" x14ac:dyDescent="0.2">
      <c r="B132" s="172" t="s">
        <v>594</v>
      </c>
      <c r="C132" s="174"/>
      <c r="D132" s="173"/>
      <c r="I132"/>
      <c r="J132"/>
      <c r="K132"/>
      <c r="L132"/>
      <c r="M132"/>
      <c r="N132"/>
      <c r="O132"/>
      <c r="P132"/>
    </row>
    <row r="134" spans="2:16" x14ac:dyDescent="0.2">
      <c r="B134" s="16" t="s">
        <v>595</v>
      </c>
    </row>
    <row r="135" spans="2:16" ht="153.75" customHeight="1" x14ac:dyDescent="0.2"/>
    <row r="138" spans="2:16" x14ac:dyDescent="0.2">
      <c r="B138" s="17" t="s">
        <v>596</v>
      </c>
      <c r="C138" s="18"/>
      <c r="D138" s="17" t="s">
        <v>597</v>
      </c>
    </row>
    <row r="139" spans="2:16" x14ac:dyDescent="0.2">
      <c r="B139" s="17" t="s">
        <v>680</v>
      </c>
      <c r="D139" s="17" t="s">
        <v>681</v>
      </c>
    </row>
    <row r="140" spans="2:16" ht="165" customHeight="1" x14ac:dyDescent="0.2"/>
  </sheetData>
  <mergeCells count="36">
    <mergeCell ref="B132:D132"/>
    <mergeCell ref="B127:C127"/>
    <mergeCell ref="B128:C128"/>
    <mergeCell ref="B129:C129"/>
    <mergeCell ref="B130:C130"/>
    <mergeCell ref="B131:C131"/>
    <mergeCell ref="B122:D122"/>
    <mergeCell ref="B123:C123"/>
    <mergeCell ref="B124:C124"/>
    <mergeCell ref="B125:C125"/>
    <mergeCell ref="B126:C126"/>
    <mergeCell ref="B116:G116"/>
    <mergeCell ref="B117:B118"/>
    <mergeCell ref="C117:C118"/>
    <mergeCell ref="D117:F117"/>
    <mergeCell ref="B120:G120"/>
    <mergeCell ref="B110:C110"/>
    <mergeCell ref="A1:H1"/>
    <mergeCell ref="A2:H2"/>
    <mergeCell ref="A3:H3"/>
    <mergeCell ref="B84:H84"/>
    <mergeCell ref="B85:H85"/>
    <mergeCell ref="B86:H86"/>
    <mergeCell ref="B108:C108"/>
    <mergeCell ref="B109:C109"/>
    <mergeCell ref="B88:D88"/>
    <mergeCell ref="B89:C89"/>
    <mergeCell ref="B90:C90"/>
    <mergeCell ref="B91:C91"/>
    <mergeCell ref="B104:C104"/>
    <mergeCell ref="B111:C111"/>
    <mergeCell ref="B113:G113"/>
    <mergeCell ref="D114:E114"/>
    <mergeCell ref="F114:G114"/>
    <mergeCell ref="D115:E115"/>
    <mergeCell ref="F115:G115"/>
  </mergeCells>
  <hyperlinks>
    <hyperlink ref="I1" location="Index!B2" display="Index" xr:uid="{481B488A-3E45-4397-9FFC-8A534345108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F955D-2678-4CAC-9ADC-ED8CF751C29A}">
  <sheetPr>
    <outlinePr summaryBelow="0" summaryRight="0"/>
  </sheetPr>
  <dimension ref="A1:R181"/>
  <sheetViews>
    <sheetView showGridLines="0" workbookViewId="0">
      <selection sqref="A1:H1"/>
    </sheetView>
  </sheetViews>
  <sheetFormatPr defaultRowHeight="12.75" x14ac:dyDescent="0.2"/>
  <cols>
    <col min="1" max="1" width="5.85546875" bestFit="1" customWidth="1"/>
    <col min="2" max="2" width="20.28515625" bestFit="1" customWidth="1"/>
    <col min="3" max="3" width="43.85546875" customWidth="1"/>
    <col min="4" max="4" width="16.5703125" bestFit="1" customWidth="1"/>
    <col min="5" max="5" width="8.7109375" bestFit="1" customWidth="1"/>
    <col min="6" max="6" width="10.140625" bestFit="1" customWidth="1"/>
    <col min="7" max="7" width="14" bestFit="1" customWidth="1"/>
    <col min="8" max="8" width="7.42578125" customWidth="1"/>
    <col min="9" max="9" width="5.7109375" bestFit="1" customWidth="1"/>
  </cols>
  <sheetData>
    <row r="1" spans="1:10" ht="15" x14ac:dyDescent="0.2">
      <c r="A1" s="170" t="s">
        <v>0</v>
      </c>
      <c r="B1" s="170"/>
      <c r="C1" s="170"/>
      <c r="D1" s="170"/>
      <c r="E1" s="170"/>
      <c r="F1" s="170"/>
      <c r="G1" s="170"/>
      <c r="H1" s="170"/>
      <c r="I1" s="7" t="s">
        <v>579</v>
      </c>
    </row>
    <row r="2" spans="1:10" ht="15" x14ac:dyDescent="0.2">
      <c r="A2" s="170" t="s">
        <v>495</v>
      </c>
      <c r="B2" s="170"/>
      <c r="C2" s="170"/>
      <c r="D2" s="170"/>
      <c r="E2" s="170"/>
      <c r="F2" s="170"/>
      <c r="G2" s="170"/>
      <c r="H2" s="170"/>
    </row>
    <row r="3" spans="1:10" ht="15" customHeight="1" x14ac:dyDescent="0.2">
      <c r="A3" s="170" t="s">
        <v>715</v>
      </c>
      <c r="B3" s="170"/>
      <c r="C3" s="170"/>
      <c r="D3" s="170"/>
      <c r="E3" s="170"/>
      <c r="F3" s="170"/>
      <c r="G3" s="170"/>
      <c r="H3" s="170"/>
    </row>
    <row r="4" spans="1:10" s="8" customFormat="1" ht="30" x14ac:dyDescent="0.2">
      <c r="A4" s="32" t="s">
        <v>2</v>
      </c>
      <c r="B4" s="32" t="s">
        <v>3</v>
      </c>
      <c r="C4" s="32" t="s">
        <v>4</v>
      </c>
      <c r="D4" s="32" t="s">
        <v>5</v>
      </c>
      <c r="E4" s="32" t="s">
        <v>6</v>
      </c>
      <c r="F4" s="32" t="s">
        <v>7</v>
      </c>
      <c r="G4" s="32" t="s">
        <v>8</v>
      </c>
      <c r="H4" s="33" t="s">
        <v>580</v>
      </c>
    </row>
    <row r="5" spans="1:10" x14ac:dyDescent="0.2">
      <c r="A5" s="34"/>
      <c r="B5" s="34"/>
      <c r="C5" s="35" t="s">
        <v>9</v>
      </c>
      <c r="D5" s="34"/>
      <c r="E5" s="34"/>
      <c r="F5" s="34"/>
      <c r="G5" s="34"/>
      <c r="H5" s="36" t="s">
        <v>12</v>
      </c>
    </row>
    <row r="6" spans="1:10" x14ac:dyDescent="0.2">
      <c r="A6" s="34"/>
      <c r="B6" s="34"/>
      <c r="C6" s="35" t="s">
        <v>10</v>
      </c>
      <c r="D6" s="34"/>
      <c r="E6" s="34"/>
      <c r="F6" s="34"/>
      <c r="G6" s="34"/>
      <c r="H6" s="36" t="s">
        <v>12</v>
      </c>
    </row>
    <row r="7" spans="1:10" x14ac:dyDescent="0.2">
      <c r="A7" s="42">
        <v>1</v>
      </c>
      <c r="B7" s="43" t="s">
        <v>496</v>
      </c>
      <c r="C7" s="43" t="s">
        <v>497</v>
      </c>
      <c r="D7" s="43" t="s">
        <v>498</v>
      </c>
      <c r="E7" s="44">
        <v>4250</v>
      </c>
      <c r="F7" s="45">
        <v>75.346125000000001</v>
      </c>
      <c r="G7" s="46">
        <v>2.729786E-2</v>
      </c>
      <c r="H7" s="36" t="s">
        <v>12</v>
      </c>
    </row>
    <row r="8" spans="1:10" x14ac:dyDescent="0.2">
      <c r="A8" s="42">
        <v>2</v>
      </c>
      <c r="B8" s="43" t="s">
        <v>499</v>
      </c>
      <c r="C8" s="43" t="s">
        <v>500</v>
      </c>
      <c r="D8" s="43" t="s">
        <v>498</v>
      </c>
      <c r="E8" s="44">
        <v>4200</v>
      </c>
      <c r="F8" s="45">
        <v>53.829300000000003</v>
      </c>
      <c r="G8" s="46">
        <v>1.9502329999999998E-2</v>
      </c>
      <c r="H8" s="36" t="s">
        <v>12</v>
      </c>
    </row>
    <row r="9" spans="1:10" x14ac:dyDescent="0.2">
      <c r="A9" s="42">
        <v>3</v>
      </c>
      <c r="B9" s="43" t="s">
        <v>501</v>
      </c>
      <c r="C9" s="43" t="s">
        <v>502</v>
      </c>
      <c r="D9" s="43" t="s">
        <v>503</v>
      </c>
      <c r="E9" s="44">
        <v>2500</v>
      </c>
      <c r="F9" s="45">
        <v>39.693750000000001</v>
      </c>
      <c r="G9" s="46">
        <v>1.438103E-2</v>
      </c>
      <c r="H9" s="36" t="s">
        <v>12</v>
      </c>
    </row>
    <row r="10" spans="1:10" x14ac:dyDescent="0.2">
      <c r="A10" s="42">
        <v>4</v>
      </c>
      <c r="B10" s="43" t="s">
        <v>504</v>
      </c>
      <c r="C10" s="43" t="s">
        <v>505</v>
      </c>
      <c r="D10" s="43" t="s">
        <v>506</v>
      </c>
      <c r="E10" s="44">
        <v>3000</v>
      </c>
      <c r="F10" s="45">
        <v>36.463500000000003</v>
      </c>
      <c r="G10" s="46">
        <v>1.3210710000000001E-2</v>
      </c>
      <c r="H10" s="36" t="s">
        <v>12</v>
      </c>
    </row>
    <row r="11" spans="1:10" x14ac:dyDescent="0.2">
      <c r="A11" s="42">
        <v>5</v>
      </c>
      <c r="B11" s="43" t="s">
        <v>507</v>
      </c>
      <c r="C11" s="43" t="s">
        <v>508</v>
      </c>
      <c r="D11" s="43" t="s">
        <v>509</v>
      </c>
      <c r="E11" s="44">
        <v>1848</v>
      </c>
      <c r="F11" s="45">
        <v>35.433551999999999</v>
      </c>
      <c r="G11" s="46">
        <v>1.283756E-2</v>
      </c>
      <c r="H11" s="36" t="s">
        <v>12</v>
      </c>
    </row>
    <row r="12" spans="1:10" x14ac:dyDescent="0.2">
      <c r="A12" s="42">
        <v>6</v>
      </c>
      <c r="B12" s="43" t="s">
        <v>510</v>
      </c>
      <c r="C12" s="43" t="s">
        <v>511</v>
      </c>
      <c r="D12" s="43" t="s">
        <v>509</v>
      </c>
      <c r="E12" s="44">
        <v>1750</v>
      </c>
      <c r="F12" s="45">
        <v>32.9</v>
      </c>
      <c r="G12" s="46">
        <v>1.191965E-2</v>
      </c>
      <c r="H12" s="36" t="s">
        <v>12</v>
      </c>
    </row>
    <row r="13" spans="1:10" x14ac:dyDescent="0.2">
      <c r="A13" s="76">
        <v>7</v>
      </c>
      <c r="B13" s="77" t="s">
        <v>682</v>
      </c>
      <c r="C13" s="77" t="s">
        <v>683</v>
      </c>
      <c r="D13" s="77" t="s">
        <v>684</v>
      </c>
      <c r="E13" s="78">
        <v>30000</v>
      </c>
      <c r="F13" s="79">
        <v>25.413</v>
      </c>
      <c r="G13" s="80">
        <f>F13/F102</f>
        <v>9.2071172614049748E-3</v>
      </c>
      <c r="H13" s="36" t="s">
        <v>12</v>
      </c>
      <c r="J13" s="81"/>
    </row>
    <row r="14" spans="1:10" x14ac:dyDescent="0.2">
      <c r="A14" s="42">
        <v>8</v>
      </c>
      <c r="B14" s="43" t="s">
        <v>512</v>
      </c>
      <c r="C14" s="43" t="s">
        <v>513</v>
      </c>
      <c r="D14" s="43" t="s">
        <v>514</v>
      </c>
      <c r="E14" s="44">
        <v>600</v>
      </c>
      <c r="F14" s="45">
        <v>21.645900000000001</v>
      </c>
      <c r="G14" s="46">
        <v>7.8423E-3</v>
      </c>
      <c r="H14" s="36" t="s">
        <v>12</v>
      </c>
    </row>
    <row r="15" spans="1:10" x14ac:dyDescent="0.2">
      <c r="A15" s="42">
        <v>9</v>
      </c>
      <c r="B15" s="43" t="s">
        <v>515</v>
      </c>
      <c r="C15" s="43" t="s">
        <v>516</v>
      </c>
      <c r="D15" s="43" t="s">
        <v>498</v>
      </c>
      <c r="E15" s="44">
        <v>2000</v>
      </c>
      <c r="F15" s="45">
        <v>21.294</v>
      </c>
      <c r="G15" s="46">
        <v>7.7148099999999999E-3</v>
      </c>
      <c r="H15" s="36" t="s">
        <v>12</v>
      </c>
    </row>
    <row r="16" spans="1:10" x14ac:dyDescent="0.2">
      <c r="A16" s="42">
        <v>10</v>
      </c>
      <c r="B16" s="43" t="s">
        <v>517</v>
      </c>
      <c r="C16" s="43" t="s">
        <v>518</v>
      </c>
      <c r="D16" s="43" t="s">
        <v>498</v>
      </c>
      <c r="E16" s="44">
        <v>2600</v>
      </c>
      <c r="F16" s="45">
        <v>20.668700000000001</v>
      </c>
      <c r="G16" s="46">
        <v>7.4882600000000001E-3</v>
      </c>
      <c r="H16" s="36" t="s">
        <v>12</v>
      </c>
    </row>
    <row r="17" spans="1:8" x14ac:dyDescent="0.2">
      <c r="A17" s="42">
        <v>11</v>
      </c>
      <c r="B17" s="43" t="s">
        <v>519</v>
      </c>
      <c r="C17" s="43" t="s">
        <v>520</v>
      </c>
      <c r="D17" s="43" t="s">
        <v>521</v>
      </c>
      <c r="E17" s="44">
        <v>4000</v>
      </c>
      <c r="F17" s="45">
        <v>19.346</v>
      </c>
      <c r="G17" s="46">
        <v>7.0090500000000002E-3</v>
      </c>
      <c r="H17" s="36" t="s">
        <v>12</v>
      </c>
    </row>
    <row r="18" spans="1:8" ht="25.5" x14ac:dyDescent="0.2">
      <c r="A18" s="42">
        <v>12</v>
      </c>
      <c r="B18" s="43" t="s">
        <v>522</v>
      </c>
      <c r="C18" s="43" t="s">
        <v>523</v>
      </c>
      <c r="D18" s="43" t="s">
        <v>524</v>
      </c>
      <c r="E18" s="44">
        <v>1000</v>
      </c>
      <c r="F18" s="45">
        <v>18.863499999999998</v>
      </c>
      <c r="G18" s="46">
        <v>6.8342400000000001E-3</v>
      </c>
      <c r="H18" s="36" t="s">
        <v>12</v>
      </c>
    </row>
    <row r="19" spans="1:8" x14ac:dyDescent="0.2">
      <c r="A19" s="42">
        <v>13</v>
      </c>
      <c r="B19" s="43" t="s">
        <v>525</v>
      </c>
      <c r="C19" s="43" t="s">
        <v>526</v>
      </c>
      <c r="D19" s="43" t="s">
        <v>527</v>
      </c>
      <c r="E19" s="44">
        <v>2500</v>
      </c>
      <c r="F19" s="45">
        <v>15.9625</v>
      </c>
      <c r="G19" s="46">
        <v>5.7832100000000004E-3</v>
      </c>
      <c r="H19" s="36" t="s">
        <v>12</v>
      </c>
    </row>
    <row r="20" spans="1:8" x14ac:dyDescent="0.2">
      <c r="A20" s="42">
        <v>14</v>
      </c>
      <c r="B20" s="43" t="s">
        <v>528</v>
      </c>
      <c r="C20" s="43" t="s">
        <v>529</v>
      </c>
      <c r="D20" s="43" t="s">
        <v>527</v>
      </c>
      <c r="E20" s="44">
        <v>900</v>
      </c>
      <c r="F20" s="45">
        <v>14.629049999999999</v>
      </c>
      <c r="G20" s="46">
        <v>5.3001000000000003E-3</v>
      </c>
      <c r="H20" s="36" t="s">
        <v>12</v>
      </c>
    </row>
    <row r="21" spans="1:8" x14ac:dyDescent="0.2">
      <c r="A21" s="42">
        <v>15</v>
      </c>
      <c r="B21" s="43" t="s">
        <v>530</v>
      </c>
      <c r="C21" s="43" t="s">
        <v>531</v>
      </c>
      <c r="D21" s="43" t="s">
        <v>506</v>
      </c>
      <c r="E21" s="44">
        <v>5000</v>
      </c>
      <c r="F21" s="45">
        <v>14.6225</v>
      </c>
      <c r="G21" s="46">
        <v>5.2977199999999997E-3</v>
      </c>
      <c r="H21" s="36" t="s">
        <v>12</v>
      </c>
    </row>
    <row r="22" spans="1:8" x14ac:dyDescent="0.2">
      <c r="A22" s="42">
        <v>16</v>
      </c>
      <c r="B22" s="43" t="s">
        <v>532</v>
      </c>
      <c r="C22" s="43" t="s">
        <v>533</v>
      </c>
      <c r="D22" s="43" t="s">
        <v>534</v>
      </c>
      <c r="E22" s="44">
        <v>2000</v>
      </c>
      <c r="F22" s="45">
        <v>14.362</v>
      </c>
      <c r="G22" s="46">
        <v>5.2033499999999998E-3</v>
      </c>
      <c r="H22" s="36" t="s">
        <v>12</v>
      </c>
    </row>
    <row r="23" spans="1:8" ht="25.5" x14ac:dyDescent="0.2">
      <c r="A23" s="42">
        <v>17</v>
      </c>
      <c r="B23" s="43" t="s">
        <v>535</v>
      </c>
      <c r="C23" s="43" t="s">
        <v>536</v>
      </c>
      <c r="D23" s="43" t="s">
        <v>537</v>
      </c>
      <c r="E23" s="44">
        <v>125</v>
      </c>
      <c r="F23" s="45">
        <v>14.282937499999999</v>
      </c>
      <c r="G23" s="46">
        <v>5.1747E-3</v>
      </c>
      <c r="H23" s="36" t="s">
        <v>12</v>
      </c>
    </row>
    <row r="24" spans="1:8" ht="25.5" x14ac:dyDescent="0.2">
      <c r="A24" s="42">
        <v>18</v>
      </c>
      <c r="B24" s="43" t="s">
        <v>538</v>
      </c>
      <c r="C24" s="43" t="s">
        <v>539</v>
      </c>
      <c r="D24" s="43" t="s">
        <v>524</v>
      </c>
      <c r="E24" s="44">
        <v>250</v>
      </c>
      <c r="F24" s="45">
        <v>14.08475</v>
      </c>
      <c r="G24" s="46">
        <v>5.1028999999999996E-3</v>
      </c>
      <c r="H24" s="36" t="s">
        <v>12</v>
      </c>
    </row>
    <row r="25" spans="1:8" x14ac:dyDescent="0.2">
      <c r="A25" s="42">
        <v>19</v>
      </c>
      <c r="B25" s="43" t="s">
        <v>540</v>
      </c>
      <c r="C25" s="43" t="s">
        <v>541</v>
      </c>
      <c r="D25" s="43" t="s">
        <v>542</v>
      </c>
      <c r="E25" s="44">
        <v>160</v>
      </c>
      <c r="F25" s="45">
        <v>14.07776</v>
      </c>
      <c r="G25" s="46">
        <v>5.1003699999999999E-3</v>
      </c>
      <c r="H25" s="36" t="s">
        <v>12</v>
      </c>
    </row>
    <row r="26" spans="1:8" x14ac:dyDescent="0.2">
      <c r="A26" s="42">
        <v>20</v>
      </c>
      <c r="B26" s="43" t="s">
        <v>543</v>
      </c>
      <c r="C26" s="43" t="s">
        <v>544</v>
      </c>
      <c r="D26" s="43" t="s">
        <v>545</v>
      </c>
      <c r="E26" s="44">
        <v>2000</v>
      </c>
      <c r="F26" s="45">
        <v>13.097</v>
      </c>
      <c r="G26" s="46">
        <v>4.7450399999999998E-3</v>
      </c>
      <c r="H26" s="36" t="s">
        <v>12</v>
      </c>
    </row>
    <row r="27" spans="1:8" ht="25.5" x14ac:dyDescent="0.2">
      <c r="A27" s="42">
        <v>21</v>
      </c>
      <c r="B27" s="43" t="s">
        <v>546</v>
      </c>
      <c r="C27" s="43" t="s">
        <v>547</v>
      </c>
      <c r="D27" s="43" t="s">
        <v>548</v>
      </c>
      <c r="E27" s="44">
        <v>2000</v>
      </c>
      <c r="F27" s="45">
        <v>12.79</v>
      </c>
      <c r="G27" s="46">
        <v>4.6338100000000004E-3</v>
      </c>
      <c r="H27" s="36" t="s">
        <v>12</v>
      </c>
    </row>
    <row r="28" spans="1:8" ht="25.5" x14ac:dyDescent="0.2">
      <c r="A28" s="42">
        <v>22</v>
      </c>
      <c r="B28" s="43" t="s">
        <v>549</v>
      </c>
      <c r="C28" s="43" t="s">
        <v>550</v>
      </c>
      <c r="D28" s="43" t="s">
        <v>551</v>
      </c>
      <c r="E28" s="44">
        <v>320</v>
      </c>
      <c r="F28" s="45">
        <v>11.794079999999999</v>
      </c>
      <c r="G28" s="46">
        <v>4.2729899999999999E-3</v>
      </c>
      <c r="H28" s="36" t="s">
        <v>12</v>
      </c>
    </row>
    <row r="29" spans="1:8" ht="25.5" x14ac:dyDescent="0.2">
      <c r="A29" s="42">
        <v>23</v>
      </c>
      <c r="B29" s="43" t="s">
        <v>552</v>
      </c>
      <c r="C29" s="43" t="s">
        <v>553</v>
      </c>
      <c r="D29" s="43" t="s">
        <v>537</v>
      </c>
      <c r="E29" s="44">
        <v>450</v>
      </c>
      <c r="F29" s="45">
        <v>10.992150000000001</v>
      </c>
      <c r="G29" s="46">
        <v>3.9824500000000002E-3</v>
      </c>
      <c r="H29" s="36" t="s">
        <v>12</v>
      </c>
    </row>
    <row r="30" spans="1:8" x14ac:dyDescent="0.2">
      <c r="A30" s="42">
        <v>24</v>
      </c>
      <c r="B30" s="43" t="s">
        <v>554</v>
      </c>
      <c r="C30" s="43" t="s">
        <v>555</v>
      </c>
      <c r="D30" s="43" t="s">
        <v>542</v>
      </c>
      <c r="E30" s="44">
        <v>100</v>
      </c>
      <c r="F30" s="45">
        <v>10.8584</v>
      </c>
      <c r="G30" s="46">
        <v>3.9339900000000001E-3</v>
      </c>
      <c r="H30" s="36" t="s">
        <v>12</v>
      </c>
    </row>
    <row r="31" spans="1:8" x14ac:dyDescent="0.2">
      <c r="A31" s="42">
        <v>25</v>
      </c>
      <c r="B31" s="43" t="s">
        <v>556</v>
      </c>
      <c r="C31" s="43" t="s">
        <v>557</v>
      </c>
      <c r="D31" s="43" t="s">
        <v>558</v>
      </c>
      <c r="E31" s="44">
        <v>2000</v>
      </c>
      <c r="F31" s="45">
        <v>10.587999999999999</v>
      </c>
      <c r="G31" s="46">
        <v>3.8360299999999998E-3</v>
      </c>
      <c r="H31" s="36" t="s">
        <v>12</v>
      </c>
    </row>
    <row r="32" spans="1:8" x14ac:dyDescent="0.2">
      <c r="A32" s="42">
        <v>25</v>
      </c>
      <c r="B32" s="43" t="s">
        <v>559</v>
      </c>
      <c r="C32" s="43" t="s">
        <v>560</v>
      </c>
      <c r="D32" s="43" t="s">
        <v>498</v>
      </c>
      <c r="E32" s="44">
        <v>4000</v>
      </c>
      <c r="F32" s="45">
        <v>9.6219999999999999</v>
      </c>
      <c r="G32" s="46">
        <v>3.4860500000000001E-3</v>
      </c>
      <c r="H32" s="36" t="s">
        <v>12</v>
      </c>
    </row>
    <row r="33" spans="1:8" x14ac:dyDescent="0.2">
      <c r="A33" s="42">
        <v>26</v>
      </c>
      <c r="B33" s="43" t="s">
        <v>561</v>
      </c>
      <c r="C33" s="77" t="s">
        <v>685</v>
      </c>
      <c r="D33" s="43" t="s">
        <v>503</v>
      </c>
      <c r="E33" s="44">
        <v>218</v>
      </c>
      <c r="F33" s="45">
        <v>2.566732</v>
      </c>
      <c r="G33" s="46">
        <v>9.2993000000000004E-4</v>
      </c>
      <c r="H33" s="36" t="s">
        <v>12</v>
      </c>
    </row>
    <row r="34" spans="1:8" x14ac:dyDescent="0.2">
      <c r="A34" s="34"/>
      <c r="B34" s="34"/>
      <c r="C34" s="35" t="s">
        <v>11</v>
      </c>
      <c r="D34" s="34"/>
      <c r="E34" s="34" t="s">
        <v>12</v>
      </c>
      <c r="F34" s="41">
        <f>SUM(F7:F33)</f>
        <v>585.2271864999999</v>
      </c>
      <c r="G34" s="38">
        <f>SUM(G7:G33)</f>
        <v>0.21202755726140493</v>
      </c>
      <c r="H34" s="36" t="s">
        <v>12</v>
      </c>
    </row>
    <row r="35" spans="1:8" x14ac:dyDescent="0.2">
      <c r="A35" s="34"/>
      <c r="B35" s="34"/>
      <c r="C35" s="39"/>
      <c r="D35" s="34"/>
      <c r="E35" s="34"/>
      <c r="F35" s="40"/>
      <c r="G35" s="40"/>
      <c r="H35" s="36" t="s">
        <v>12</v>
      </c>
    </row>
    <row r="36" spans="1:8" x14ac:dyDescent="0.2">
      <c r="A36" s="34"/>
      <c r="B36" s="34"/>
      <c r="C36" s="35" t="s">
        <v>14</v>
      </c>
      <c r="D36" s="34"/>
      <c r="E36" s="34"/>
      <c r="F36" s="34"/>
      <c r="G36" s="34"/>
      <c r="H36" s="36" t="s">
        <v>12</v>
      </c>
    </row>
    <row r="37" spans="1:8" x14ac:dyDescent="0.2">
      <c r="A37" s="34"/>
      <c r="B37" s="34"/>
      <c r="C37" s="35" t="s">
        <v>11</v>
      </c>
      <c r="D37" s="34"/>
      <c r="E37" s="34" t="s">
        <v>12</v>
      </c>
      <c r="F37" s="37" t="s">
        <v>13</v>
      </c>
      <c r="G37" s="38">
        <v>0</v>
      </c>
      <c r="H37" s="36" t="s">
        <v>12</v>
      </c>
    </row>
    <row r="38" spans="1:8" x14ac:dyDescent="0.2">
      <c r="A38" s="34"/>
      <c r="B38" s="34"/>
      <c r="C38" s="39"/>
      <c r="D38" s="34"/>
      <c r="E38" s="34"/>
      <c r="F38" s="40"/>
      <c r="G38" s="40"/>
      <c r="H38" s="36" t="s">
        <v>12</v>
      </c>
    </row>
    <row r="39" spans="1:8" x14ac:dyDescent="0.2">
      <c r="A39" s="34"/>
      <c r="B39" s="34"/>
      <c r="C39" s="35" t="s">
        <v>15</v>
      </c>
      <c r="D39" s="34"/>
      <c r="E39" s="34"/>
      <c r="F39" s="34"/>
      <c r="G39" s="34"/>
      <c r="H39" s="36" t="s">
        <v>12</v>
      </c>
    </row>
    <row r="40" spans="1:8" x14ac:dyDescent="0.2">
      <c r="A40" s="34"/>
      <c r="B40" s="34"/>
      <c r="C40" s="35" t="s">
        <v>11</v>
      </c>
      <c r="D40" s="34"/>
      <c r="E40" s="34" t="s">
        <v>12</v>
      </c>
      <c r="F40" s="37" t="s">
        <v>13</v>
      </c>
      <c r="G40" s="38">
        <v>0</v>
      </c>
      <c r="H40" s="36" t="s">
        <v>12</v>
      </c>
    </row>
    <row r="41" spans="1:8" x14ac:dyDescent="0.2">
      <c r="A41" s="34"/>
      <c r="B41" s="34"/>
      <c r="C41" s="39"/>
      <c r="D41" s="34"/>
      <c r="E41" s="34"/>
      <c r="F41" s="40"/>
      <c r="G41" s="40"/>
      <c r="H41" s="36" t="s">
        <v>12</v>
      </c>
    </row>
    <row r="42" spans="1:8" x14ac:dyDescent="0.2">
      <c r="A42" s="34"/>
      <c r="B42" s="34"/>
      <c r="C42" s="35" t="s">
        <v>16</v>
      </c>
      <c r="D42" s="34"/>
      <c r="E42" s="34"/>
      <c r="F42" s="34"/>
      <c r="G42" s="34"/>
      <c r="H42" s="36" t="s">
        <v>12</v>
      </c>
    </row>
    <row r="43" spans="1:8" x14ac:dyDescent="0.2">
      <c r="A43" s="34"/>
      <c r="B43" s="34"/>
      <c r="C43" s="35" t="s">
        <v>11</v>
      </c>
      <c r="D43" s="34"/>
      <c r="E43" s="34" t="s">
        <v>12</v>
      </c>
      <c r="F43" s="37" t="s">
        <v>13</v>
      </c>
      <c r="G43" s="38">
        <v>0</v>
      </c>
      <c r="H43" s="36" t="s">
        <v>12</v>
      </c>
    </row>
    <row r="44" spans="1:8" x14ac:dyDescent="0.2">
      <c r="A44" s="34"/>
      <c r="B44" s="34"/>
      <c r="C44" s="39"/>
      <c r="D44" s="34"/>
      <c r="E44" s="34"/>
      <c r="F44" s="40"/>
      <c r="G44" s="40"/>
      <c r="H44" s="36" t="s">
        <v>12</v>
      </c>
    </row>
    <row r="45" spans="1:8" x14ac:dyDescent="0.2">
      <c r="A45" s="34"/>
      <c r="B45" s="34"/>
      <c r="C45" s="35" t="s">
        <v>17</v>
      </c>
      <c r="D45" s="34"/>
      <c r="E45" s="34"/>
      <c r="F45" s="40"/>
      <c r="G45" s="40"/>
      <c r="H45" s="36" t="s">
        <v>12</v>
      </c>
    </row>
    <row r="46" spans="1:8" x14ac:dyDescent="0.2">
      <c r="A46" s="34"/>
      <c r="B46" s="34"/>
      <c r="C46" s="35" t="s">
        <v>11</v>
      </c>
      <c r="D46" s="34"/>
      <c r="E46" s="34" t="s">
        <v>12</v>
      </c>
      <c r="F46" s="37" t="s">
        <v>13</v>
      </c>
      <c r="G46" s="38">
        <v>0</v>
      </c>
      <c r="H46" s="36" t="s">
        <v>12</v>
      </c>
    </row>
    <row r="47" spans="1:8" x14ac:dyDescent="0.2">
      <c r="A47" s="34"/>
      <c r="B47" s="34"/>
      <c r="C47" s="39"/>
      <c r="D47" s="34"/>
      <c r="E47" s="34"/>
      <c r="F47" s="40"/>
      <c r="G47" s="40"/>
      <c r="H47" s="36" t="s">
        <v>12</v>
      </c>
    </row>
    <row r="48" spans="1:8" x14ac:dyDescent="0.2">
      <c r="A48" s="34"/>
      <c r="B48" s="34"/>
      <c r="C48" s="35" t="s">
        <v>18</v>
      </c>
      <c r="D48" s="34"/>
      <c r="E48" s="34"/>
      <c r="F48" s="40"/>
      <c r="G48" s="40"/>
      <c r="H48" s="36" t="s">
        <v>12</v>
      </c>
    </row>
    <row r="49" spans="1:8" x14ac:dyDescent="0.2">
      <c r="A49" s="34"/>
      <c r="B49" s="34"/>
      <c r="C49" s="35" t="s">
        <v>11</v>
      </c>
      <c r="D49" s="34"/>
      <c r="E49" s="34" t="s">
        <v>12</v>
      </c>
      <c r="F49" s="37" t="s">
        <v>13</v>
      </c>
      <c r="G49" s="38">
        <v>0</v>
      </c>
      <c r="H49" s="36" t="s">
        <v>12</v>
      </c>
    </row>
    <row r="50" spans="1:8" x14ac:dyDescent="0.2">
      <c r="A50" s="34"/>
      <c r="B50" s="34"/>
      <c r="C50" s="39"/>
      <c r="D50" s="34"/>
      <c r="E50" s="34"/>
      <c r="F50" s="40"/>
      <c r="G50" s="40"/>
      <c r="H50" s="36" t="s">
        <v>12</v>
      </c>
    </row>
    <row r="51" spans="1:8" x14ac:dyDescent="0.2">
      <c r="A51" s="34"/>
      <c r="B51" s="34"/>
      <c r="C51" s="35" t="s">
        <v>19</v>
      </c>
      <c r="D51" s="34"/>
      <c r="E51" s="34"/>
      <c r="F51" s="41">
        <f>F34</f>
        <v>585.2271864999999</v>
      </c>
      <c r="G51" s="38">
        <f>G34</f>
        <v>0.21202755726140493</v>
      </c>
      <c r="H51" s="36" t="s">
        <v>12</v>
      </c>
    </row>
    <row r="52" spans="1:8" x14ac:dyDescent="0.2">
      <c r="A52" s="34"/>
      <c r="B52" s="34"/>
      <c r="C52" s="39"/>
      <c r="D52" s="34"/>
      <c r="E52" s="34"/>
      <c r="F52" s="40"/>
      <c r="G52" s="40"/>
      <c r="H52" s="36" t="s">
        <v>12</v>
      </c>
    </row>
    <row r="53" spans="1:8" x14ac:dyDescent="0.2">
      <c r="A53" s="34"/>
      <c r="B53" s="34"/>
      <c r="C53" s="35" t="s">
        <v>20</v>
      </c>
      <c r="D53" s="34"/>
      <c r="E53" s="34"/>
      <c r="F53" s="40"/>
      <c r="G53" s="40"/>
      <c r="H53" s="36" t="s">
        <v>12</v>
      </c>
    </row>
    <row r="54" spans="1:8" x14ac:dyDescent="0.2">
      <c r="A54" s="34"/>
      <c r="B54" s="34"/>
      <c r="C54" s="35" t="s">
        <v>10</v>
      </c>
      <c r="D54" s="34"/>
      <c r="E54" s="34"/>
      <c r="F54" s="40"/>
      <c r="G54" s="40"/>
      <c r="H54" s="36" t="s">
        <v>12</v>
      </c>
    </row>
    <row r="55" spans="1:8" x14ac:dyDescent="0.2">
      <c r="A55" s="34"/>
      <c r="B55" s="34"/>
      <c r="C55" s="35" t="s">
        <v>11</v>
      </c>
      <c r="D55" s="34"/>
      <c r="E55" s="34" t="s">
        <v>12</v>
      </c>
      <c r="F55" s="37" t="s">
        <v>13</v>
      </c>
      <c r="G55" s="38">
        <v>0</v>
      </c>
      <c r="H55" s="36" t="s">
        <v>12</v>
      </c>
    </row>
    <row r="56" spans="1:8" x14ac:dyDescent="0.2">
      <c r="A56" s="34"/>
      <c r="B56" s="34"/>
      <c r="C56" s="39"/>
      <c r="D56" s="34"/>
      <c r="E56" s="34"/>
      <c r="F56" s="40"/>
      <c r="G56" s="40"/>
      <c r="H56" s="36" t="s">
        <v>12</v>
      </c>
    </row>
    <row r="57" spans="1:8" x14ac:dyDescent="0.2">
      <c r="A57" s="34"/>
      <c r="B57" s="34"/>
      <c r="C57" s="35" t="s">
        <v>71</v>
      </c>
      <c r="D57" s="34"/>
      <c r="E57" s="34"/>
      <c r="F57" s="34"/>
      <c r="G57" s="34"/>
      <c r="H57" s="36" t="s">
        <v>12</v>
      </c>
    </row>
    <row r="58" spans="1:8" x14ac:dyDescent="0.2">
      <c r="A58" s="34"/>
      <c r="B58" s="34"/>
      <c r="C58" s="35" t="s">
        <v>11</v>
      </c>
      <c r="D58" s="34"/>
      <c r="E58" s="34" t="s">
        <v>12</v>
      </c>
      <c r="F58" s="37" t="s">
        <v>13</v>
      </c>
      <c r="G58" s="38">
        <v>0</v>
      </c>
      <c r="H58" s="36" t="s">
        <v>12</v>
      </c>
    </row>
    <row r="59" spans="1:8" x14ac:dyDescent="0.2">
      <c r="A59" s="34"/>
      <c r="B59" s="34"/>
      <c r="C59" s="39"/>
      <c r="D59" s="34"/>
      <c r="E59" s="34"/>
      <c r="F59" s="40"/>
      <c r="G59" s="40"/>
      <c r="H59" s="36" t="s">
        <v>12</v>
      </c>
    </row>
    <row r="60" spans="1:8" x14ac:dyDescent="0.2">
      <c r="A60" s="34"/>
      <c r="B60" s="34"/>
      <c r="C60" s="35" t="s">
        <v>72</v>
      </c>
      <c r="D60" s="34"/>
      <c r="E60" s="34"/>
      <c r="F60" s="34"/>
      <c r="G60" s="34"/>
      <c r="H60" s="36" t="s">
        <v>12</v>
      </c>
    </row>
    <row r="61" spans="1:8" x14ac:dyDescent="0.2">
      <c r="A61" s="42">
        <v>1</v>
      </c>
      <c r="B61" s="43" t="s">
        <v>73</v>
      </c>
      <c r="C61" s="43" t="s">
        <v>74</v>
      </c>
      <c r="D61" s="43" t="s">
        <v>75</v>
      </c>
      <c r="E61" s="44">
        <v>600000</v>
      </c>
      <c r="F61" s="45">
        <v>612.52020000000005</v>
      </c>
      <c r="G61" s="46">
        <v>0.22191575999999999</v>
      </c>
      <c r="H61" s="36">
        <v>6.9061000000000003</v>
      </c>
    </row>
    <row r="62" spans="1:8" x14ac:dyDescent="0.2">
      <c r="A62" s="42">
        <v>2</v>
      </c>
      <c r="B62" s="43" t="s">
        <v>78</v>
      </c>
      <c r="C62" s="43" t="s">
        <v>79</v>
      </c>
      <c r="D62" s="43" t="s">
        <v>75</v>
      </c>
      <c r="E62" s="44">
        <v>500000</v>
      </c>
      <c r="F62" s="45">
        <v>517.37149999999997</v>
      </c>
      <c r="G62" s="46">
        <v>0.18744343999999999</v>
      </c>
      <c r="H62" s="36">
        <v>7.1391999999999998</v>
      </c>
    </row>
    <row r="63" spans="1:8" x14ac:dyDescent="0.2">
      <c r="A63" s="34"/>
      <c r="B63" s="34"/>
      <c r="C63" s="35" t="s">
        <v>11</v>
      </c>
      <c r="D63" s="34"/>
      <c r="E63" s="34" t="s">
        <v>12</v>
      </c>
      <c r="F63" s="41">
        <v>1129.8916999999999</v>
      </c>
      <c r="G63" s="38">
        <v>0.40935919999999998</v>
      </c>
      <c r="H63" s="36" t="s">
        <v>12</v>
      </c>
    </row>
    <row r="64" spans="1:8" x14ac:dyDescent="0.2">
      <c r="A64" s="34"/>
      <c r="B64" s="34"/>
      <c r="C64" s="39"/>
      <c r="D64" s="34"/>
      <c r="E64" s="34"/>
      <c r="F64" s="40"/>
      <c r="G64" s="40"/>
      <c r="H64" s="36" t="s">
        <v>12</v>
      </c>
    </row>
    <row r="65" spans="1:8" x14ac:dyDescent="0.2">
      <c r="A65" s="34"/>
      <c r="B65" s="34"/>
      <c r="C65" s="35" t="s">
        <v>88</v>
      </c>
      <c r="D65" s="34"/>
      <c r="E65" s="34"/>
      <c r="F65" s="40"/>
      <c r="G65" s="40"/>
      <c r="H65" s="36" t="s">
        <v>12</v>
      </c>
    </row>
    <row r="66" spans="1:8" x14ac:dyDescent="0.2">
      <c r="A66" s="34"/>
      <c r="B66" s="34"/>
      <c r="C66" s="35" t="s">
        <v>11</v>
      </c>
      <c r="D66" s="34"/>
      <c r="E66" s="34" t="s">
        <v>12</v>
      </c>
      <c r="F66" s="37" t="s">
        <v>13</v>
      </c>
      <c r="G66" s="38">
        <v>0</v>
      </c>
      <c r="H66" s="36" t="s">
        <v>12</v>
      </c>
    </row>
    <row r="67" spans="1:8" x14ac:dyDescent="0.2">
      <c r="A67" s="34"/>
      <c r="B67" s="34"/>
      <c r="C67" s="39"/>
      <c r="D67" s="34"/>
      <c r="E67" s="34"/>
      <c r="F67" s="40"/>
      <c r="G67" s="40"/>
      <c r="H67" s="36" t="s">
        <v>12</v>
      </c>
    </row>
    <row r="68" spans="1:8" x14ac:dyDescent="0.2">
      <c r="A68" s="34"/>
      <c r="B68" s="34"/>
      <c r="C68" s="35" t="s">
        <v>89</v>
      </c>
      <c r="D68" s="34"/>
      <c r="E68" s="34"/>
      <c r="F68" s="41">
        <v>1129.8916999999999</v>
      </c>
      <c r="G68" s="38">
        <v>0.40935919999999998</v>
      </c>
      <c r="H68" s="36" t="s">
        <v>12</v>
      </c>
    </row>
    <row r="69" spans="1:8" x14ac:dyDescent="0.2">
      <c r="A69" s="34"/>
      <c r="B69" s="34"/>
      <c r="C69" s="39"/>
      <c r="D69" s="34"/>
      <c r="E69" s="34"/>
      <c r="F69" s="40"/>
      <c r="G69" s="40"/>
      <c r="H69" s="36" t="s">
        <v>12</v>
      </c>
    </row>
    <row r="70" spans="1:8" x14ac:dyDescent="0.2">
      <c r="A70" s="34"/>
      <c r="B70" s="34"/>
      <c r="C70" s="35" t="s">
        <v>90</v>
      </c>
      <c r="D70" s="34"/>
      <c r="E70" s="34"/>
      <c r="F70" s="40"/>
      <c r="G70" s="40"/>
      <c r="H70" s="36" t="s">
        <v>12</v>
      </c>
    </row>
    <row r="71" spans="1:8" x14ac:dyDescent="0.2">
      <c r="A71" s="34"/>
      <c r="B71" s="34"/>
      <c r="C71" s="35" t="s">
        <v>91</v>
      </c>
      <c r="D71" s="34"/>
      <c r="E71" s="34"/>
      <c r="F71" s="40"/>
      <c r="G71" s="40"/>
      <c r="H71" s="36" t="s">
        <v>12</v>
      </c>
    </row>
    <row r="72" spans="1:8" x14ac:dyDescent="0.2">
      <c r="A72" s="34"/>
      <c r="B72" s="34"/>
      <c r="C72" s="35" t="s">
        <v>11</v>
      </c>
      <c r="D72" s="34"/>
      <c r="E72" s="34" t="s">
        <v>12</v>
      </c>
      <c r="F72" s="37" t="s">
        <v>13</v>
      </c>
      <c r="G72" s="38">
        <v>0</v>
      </c>
      <c r="H72" s="36" t="s">
        <v>12</v>
      </c>
    </row>
    <row r="73" spans="1:8" x14ac:dyDescent="0.2">
      <c r="A73" s="34"/>
      <c r="B73" s="34"/>
      <c r="C73" s="39"/>
      <c r="D73" s="34"/>
      <c r="E73" s="34"/>
      <c r="F73" s="40"/>
      <c r="G73" s="40"/>
      <c r="H73" s="36" t="s">
        <v>12</v>
      </c>
    </row>
    <row r="74" spans="1:8" x14ac:dyDescent="0.2">
      <c r="A74" s="34"/>
      <c r="B74" s="34"/>
      <c r="C74" s="35" t="s">
        <v>92</v>
      </c>
      <c r="D74" s="34"/>
      <c r="E74" s="34"/>
      <c r="F74" s="40"/>
      <c r="G74" s="40"/>
      <c r="H74" s="36" t="s">
        <v>12</v>
      </c>
    </row>
    <row r="75" spans="1:8" x14ac:dyDescent="0.2">
      <c r="A75" s="34"/>
      <c r="B75" s="34"/>
      <c r="C75" s="35" t="s">
        <v>11</v>
      </c>
      <c r="D75" s="34"/>
      <c r="E75" s="34" t="s">
        <v>12</v>
      </c>
      <c r="F75" s="37" t="s">
        <v>13</v>
      </c>
      <c r="G75" s="38">
        <v>0</v>
      </c>
      <c r="H75" s="36" t="s">
        <v>12</v>
      </c>
    </row>
    <row r="76" spans="1:8" x14ac:dyDescent="0.2">
      <c r="A76" s="34"/>
      <c r="B76" s="34"/>
      <c r="C76" s="39"/>
      <c r="D76" s="34"/>
      <c r="E76" s="34"/>
      <c r="F76" s="40"/>
      <c r="G76" s="40"/>
      <c r="H76" s="36" t="s">
        <v>12</v>
      </c>
    </row>
    <row r="77" spans="1:8" x14ac:dyDescent="0.2">
      <c r="A77" s="34"/>
      <c r="B77" s="34"/>
      <c r="C77" s="35" t="s">
        <v>93</v>
      </c>
      <c r="D77" s="34"/>
      <c r="E77" s="34"/>
      <c r="F77" s="40"/>
      <c r="G77" s="40"/>
      <c r="H77" s="36" t="s">
        <v>12</v>
      </c>
    </row>
    <row r="78" spans="1:8" x14ac:dyDescent="0.2">
      <c r="A78" s="34"/>
      <c r="B78" s="34"/>
      <c r="C78" s="35" t="s">
        <v>11</v>
      </c>
      <c r="D78" s="34"/>
      <c r="E78" s="34" t="s">
        <v>12</v>
      </c>
      <c r="F78" s="37" t="s">
        <v>13</v>
      </c>
      <c r="G78" s="38">
        <v>0</v>
      </c>
      <c r="H78" s="36" t="s">
        <v>12</v>
      </c>
    </row>
    <row r="79" spans="1:8" x14ac:dyDescent="0.2">
      <c r="A79" s="34"/>
      <c r="B79" s="34"/>
      <c r="C79" s="39"/>
      <c r="D79" s="34"/>
      <c r="E79" s="34"/>
      <c r="F79" s="40"/>
      <c r="G79" s="40"/>
      <c r="H79" s="36" t="s">
        <v>12</v>
      </c>
    </row>
    <row r="80" spans="1:8" x14ac:dyDescent="0.2">
      <c r="A80" s="34"/>
      <c r="B80" s="34"/>
      <c r="C80" s="35" t="s">
        <v>94</v>
      </c>
      <c r="D80" s="34"/>
      <c r="E80" s="34"/>
      <c r="F80" s="40"/>
      <c r="G80" s="40"/>
      <c r="H80" s="36" t="str">
        <f>IFERROR(VLOOKUP(B80,#REF!,12,FALSE),"")</f>
        <v/>
      </c>
    </row>
    <row r="81" spans="1:17" x14ac:dyDescent="0.2">
      <c r="A81" s="42">
        <v>1</v>
      </c>
      <c r="B81" s="43"/>
      <c r="C81" s="43" t="s">
        <v>95</v>
      </c>
      <c r="D81" s="43"/>
      <c r="E81" s="47"/>
      <c r="F81" s="45">
        <v>1007.5327160000001</v>
      </c>
      <c r="G81" s="46">
        <v>0.36502859999999998</v>
      </c>
      <c r="H81" s="36">
        <v>6.6</v>
      </c>
    </row>
    <row r="82" spans="1:17" x14ac:dyDescent="0.2">
      <c r="A82" s="34"/>
      <c r="B82" s="34"/>
      <c r="C82" s="35" t="s">
        <v>11</v>
      </c>
      <c r="D82" s="34"/>
      <c r="E82" s="34" t="s">
        <v>12</v>
      </c>
      <c r="F82" s="41">
        <v>1007.5327160000001</v>
      </c>
      <c r="G82" s="38">
        <v>0.36502859999999998</v>
      </c>
      <c r="H82" s="36" t="str">
        <f>IFERROR(VLOOKUP(B82,#REF!,12,FALSE),"")</f>
        <v/>
      </c>
    </row>
    <row r="83" spans="1:17" x14ac:dyDescent="0.2">
      <c r="A83" s="34"/>
      <c r="B83" s="34"/>
      <c r="C83" s="39"/>
      <c r="D83" s="34"/>
      <c r="E83" s="34"/>
      <c r="F83" s="40"/>
      <c r="G83" s="40"/>
      <c r="H83" s="36" t="str">
        <f>IFERROR(VLOOKUP(B83,#REF!,12,FALSE),"")</f>
        <v/>
      </c>
    </row>
    <row r="84" spans="1:17" x14ac:dyDescent="0.2">
      <c r="A84" s="34"/>
      <c r="B84" s="34"/>
      <c r="C84" s="35" t="s">
        <v>96</v>
      </c>
      <c r="D84" s="34"/>
      <c r="E84" s="34"/>
      <c r="F84" s="41">
        <v>1007.5327160000001</v>
      </c>
      <c r="G84" s="38">
        <v>0.36502859999999998</v>
      </c>
      <c r="H84" s="36" t="str">
        <f>IFERROR(VLOOKUP(B84,#REF!,12,FALSE),"")</f>
        <v/>
      </c>
    </row>
    <row r="85" spans="1:17" x14ac:dyDescent="0.2">
      <c r="A85" s="34"/>
      <c r="B85" s="34"/>
      <c r="C85" s="40"/>
      <c r="D85" s="34"/>
      <c r="E85" s="34"/>
      <c r="F85" s="34"/>
      <c r="G85" s="34"/>
      <c r="H85" s="36" t="str">
        <f>IFERROR(VLOOKUP(B85,#REF!,12,FALSE),"")</f>
        <v/>
      </c>
    </row>
    <row r="86" spans="1:17" x14ac:dyDescent="0.2">
      <c r="A86" s="34"/>
      <c r="B86" s="34"/>
      <c r="C86" s="35" t="s">
        <v>97</v>
      </c>
      <c r="D86" s="34"/>
      <c r="E86" s="34"/>
      <c r="F86" s="34"/>
      <c r="G86" s="34"/>
      <c r="H86" s="36" t="str">
        <f>IFERROR(VLOOKUP(B86,#REF!,12,FALSE),"")</f>
        <v/>
      </c>
    </row>
    <row r="87" spans="1:17" x14ac:dyDescent="0.2">
      <c r="A87" s="34"/>
      <c r="B87" s="34"/>
      <c r="C87" s="35" t="s">
        <v>98</v>
      </c>
      <c r="D87" s="34"/>
      <c r="E87" s="34"/>
      <c r="F87" s="34"/>
      <c r="G87" s="34"/>
      <c r="H87" s="36" t="str">
        <f>IFERROR(VLOOKUP(B87,#REF!,12,FALSE),"")</f>
        <v/>
      </c>
    </row>
    <row r="88" spans="1:17" x14ac:dyDescent="0.2">
      <c r="A88" s="34"/>
      <c r="B88" s="34"/>
      <c r="C88" s="35" t="s">
        <v>11</v>
      </c>
      <c r="D88" s="34"/>
      <c r="E88" s="34" t="s">
        <v>12</v>
      </c>
      <c r="F88" s="37" t="s">
        <v>13</v>
      </c>
      <c r="G88" s="38">
        <v>0</v>
      </c>
      <c r="H88" s="36" t="str">
        <f>IFERROR(VLOOKUP(B88,#REF!,12,FALSE),"")</f>
        <v/>
      </c>
    </row>
    <row r="89" spans="1:17" x14ac:dyDescent="0.2">
      <c r="A89" s="82"/>
      <c r="B89" s="82"/>
      <c r="C89" s="83"/>
      <c r="D89" s="82"/>
      <c r="E89" s="82"/>
      <c r="F89" s="84"/>
      <c r="G89" s="84"/>
      <c r="H89" s="36" t="s">
        <v>12</v>
      </c>
    </row>
    <row r="90" spans="1:17" x14ac:dyDescent="0.2">
      <c r="A90" s="82"/>
      <c r="B90" s="82"/>
      <c r="C90" s="70" t="s">
        <v>581</v>
      </c>
      <c r="D90" s="82"/>
      <c r="E90" s="82"/>
      <c r="F90" s="84"/>
      <c r="G90" s="84"/>
      <c r="H90" s="79"/>
      <c r="K90" s="9"/>
      <c r="L90" s="9"/>
      <c r="M90" s="9"/>
      <c r="N90" s="9"/>
      <c r="O90" s="10"/>
      <c r="P90" s="10"/>
      <c r="Q90" s="10"/>
    </row>
    <row r="91" spans="1:17" x14ac:dyDescent="0.2">
      <c r="A91" s="76">
        <v>1</v>
      </c>
      <c r="B91" s="77" t="s">
        <v>99</v>
      </c>
      <c r="C91" s="77" t="s">
        <v>100</v>
      </c>
      <c r="D91" s="77"/>
      <c r="E91" s="85">
        <v>76.796000000000006</v>
      </c>
      <c r="F91" s="79">
        <v>8.3291170680000004</v>
      </c>
      <c r="G91" s="80">
        <v>3.0176399999999998E-3</v>
      </c>
      <c r="H91" s="36"/>
    </row>
    <row r="92" spans="1:17" x14ac:dyDescent="0.2">
      <c r="A92" s="82"/>
      <c r="B92" s="82"/>
      <c r="C92" s="70" t="s">
        <v>11</v>
      </c>
      <c r="D92" s="82"/>
      <c r="E92" s="82" t="s">
        <v>12</v>
      </c>
      <c r="F92" s="86">
        <f>SUM(F91)</f>
        <v>8.3291170680000004</v>
      </c>
      <c r="G92" s="31">
        <f>SUM(G91)</f>
        <v>3.0176399999999998E-3</v>
      </c>
      <c r="H92" s="36" t="s">
        <v>12</v>
      </c>
    </row>
    <row r="93" spans="1:17" x14ac:dyDescent="0.2">
      <c r="A93" s="34"/>
      <c r="B93" s="34"/>
      <c r="C93" s="39"/>
      <c r="D93" s="34"/>
      <c r="E93" s="34"/>
      <c r="F93" s="40"/>
      <c r="G93" s="40"/>
      <c r="H93" s="36" t="str">
        <f>IFERROR(VLOOKUP(B93,#REF!,12,FALSE),"")</f>
        <v/>
      </c>
    </row>
    <row r="94" spans="1:17" x14ac:dyDescent="0.2">
      <c r="A94" s="34"/>
      <c r="B94" s="34"/>
      <c r="C94" s="35" t="s">
        <v>101</v>
      </c>
      <c r="D94" s="34"/>
      <c r="E94" s="34"/>
      <c r="F94" s="34"/>
      <c r="G94" s="34"/>
      <c r="H94" s="36" t="str">
        <f>IFERROR(VLOOKUP(B94,#REF!,12,FALSE),"")</f>
        <v/>
      </c>
    </row>
    <row r="95" spans="1:17" x14ac:dyDescent="0.2">
      <c r="A95" s="34"/>
      <c r="B95" s="34"/>
      <c r="C95" s="35" t="s">
        <v>102</v>
      </c>
      <c r="D95" s="34"/>
      <c r="E95" s="34"/>
      <c r="F95" s="34"/>
      <c r="G95" s="34"/>
      <c r="H95" s="36" t="str">
        <f>IFERROR(VLOOKUP(B95,#REF!,12,FALSE),"")</f>
        <v/>
      </c>
    </row>
    <row r="96" spans="1:17" x14ac:dyDescent="0.2">
      <c r="A96" s="34"/>
      <c r="B96" s="34"/>
      <c r="C96" s="35" t="s">
        <v>11</v>
      </c>
      <c r="D96" s="34"/>
      <c r="E96" s="34" t="s">
        <v>12</v>
      </c>
      <c r="F96" s="37" t="s">
        <v>13</v>
      </c>
      <c r="G96" s="38">
        <v>0</v>
      </c>
      <c r="H96" s="36" t="str">
        <f>IFERROR(VLOOKUP(B96,#REF!,12,FALSE),"")</f>
        <v/>
      </c>
    </row>
    <row r="97" spans="1:8" x14ac:dyDescent="0.2">
      <c r="A97" s="34"/>
      <c r="B97" s="34"/>
      <c r="C97" s="39"/>
      <c r="D97" s="34"/>
      <c r="E97" s="34"/>
      <c r="F97" s="40"/>
      <c r="G97" s="40"/>
      <c r="H97" s="36" t="str">
        <f>IFERROR(VLOOKUP(B97,#REF!,12,FALSE),"")</f>
        <v/>
      </c>
    </row>
    <row r="98" spans="1:8" x14ac:dyDescent="0.2">
      <c r="A98" s="34"/>
      <c r="B98" s="34"/>
      <c r="C98" s="35" t="s">
        <v>103</v>
      </c>
      <c r="D98" s="34"/>
      <c r="E98" s="34"/>
      <c r="F98" s="40"/>
      <c r="G98" s="40"/>
      <c r="H98" s="36" t="str">
        <f>IFERROR(VLOOKUP(B98,#REF!,12,FALSE),"")</f>
        <v/>
      </c>
    </row>
    <row r="99" spans="1:8" x14ac:dyDescent="0.2">
      <c r="A99" s="34"/>
      <c r="B99" s="34"/>
      <c r="C99" s="35" t="s">
        <v>11</v>
      </c>
      <c r="D99" s="34"/>
      <c r="E99" s="34" t="s">
        <v>12</v>
      </c>
      <c r="F99" s="37" t="s">
        <v>13</v>
      </c>
      <c r="G99" s="38">
        <v>0</v>
      </c>
      <c r="H99" s="36" t="str">
        <f>IFERROR(VLOOKUP(B99,#REF!,12,FALSE),"")</f>
        <v/>
      </c>
    </row>
    <row r="100" spans="1:8" x14ac:dyDescent="0.2">
      <c r="A100" s="34"/>
      <c r="B100" s="43"/>
      <c r="C100" s="43"/>
      <c r="D100" s="35"/>
      <c r="E100" s="34"/>
      <c r="F100" s="43"/>
      <c r="G100" s="47"/>
      <c r="H100" s="36" t="str">
        <f>IFERROR(VLOOKUP(B100,#REF!,12,FALSE),"")</f>
        <v/>
      </c>
    </row>
    <row r="101" spans="1:8" x14ac:dyDescent="0.2">
      <c r="A101" s="47"/>
      <c r="B101" s="43"/>
      <c r="C101" s="43" t="s">
        <v>104</v>
      </c>
      <c r="D101" s="43"/>
      <c r="E101" s="47"/>
      <c r="F101" s="45">
        <v>29.166596739999999</v>
      </c>
      <c r="G101" s="46">
        <v>1.056704E-2</v>
      </c>
      <c r="H101" s="36" t="str">
        <f>IFERROR(VLOOKUP(B101,#REF!,12,FALSE),"")</f>
        <v/>
      </c>
    </row>
    <row r="102" spans="1:8" x14ac:dyDescent="0.2">
      <c r="A102" s="39"/>
      <c r="B102" s="39"/>
      <c r="C102" s="35" t="s">
        <v>105</v>
      </c>
      <c r="D102" s="40"/>
      <c r="E102" s="40"/>
      <c r="F102" s="41">
        <f>F101+F92+F84+F68+F51</f>
        <v>2760.1473163079995</v>
      </c>
      <c r="G102" s="48">
        <f>G101+G92+G84+G68+G51</f>
        <v>1.0000000372614049</v>
      </c>
      <c r="H102" s="36" t="str">
        <f>IFERROR(VLOOKUP(B102,#REF!,12,FALSE),"")</f>
        <v/>
      </c>
    </row>
    <row r="103" spans="1:8" x14ac:dyDescent="0.2">
      <c r="A103" s="49"/>
      <c r="B103" s="49"/>
      <c r="C103" s="49"/>
      <c r="D103" s="50"/>
      <c r="E103" s="50"/>
      <c r="F103" s="50"/>
      <c r="G103" s="50"/>
    </row>
    <row r="104" spans="1:8" x14ac:dyDescent="0.2">
      <c r="A104" s="51"/>
      <c r="B104" s="158" t="s">
        <v>582</v>
      </c>
      <c r="C104" s="158"/>
      <c r="D104" s="158"/>
      <c r="E104" s="158"/>
      <c r="F104" s="158"/>
      <c r="G104" s="158"/>
      <c r="H104" s="158"/>
    </row>
    <row r="105" spans="1:8" x14ac:dyDescent="0.2">
      <c r="A105" s="51"/>
      <c r="B105" s="158" t="s">
        <v>583</v>
      </c>
      <c r="C105" s="158"/>
      <c r="D105" s="158"/>
      <c r="E105" s="158"/>
      <c r="F105" s="158"/>
      <c r="G105" s="158"/>
      <c r="H105" s="158"/>
    </row>
    <row r="106" spans="1:8" x14ac:dyDescent="0.2">
      <c r="A106" s="51"/>
      <c r="B106" s="158" t="s">
        <v>584</v>
      </c>
      <c r="C106" s="158"/>
      <c r="D106" s="158"/>
      <c r="E106" s="158"/>
      <c r="F106" s="158"/>
      <c r="G106" s="158"/>
      <c r="H106" s="158"/>
    </row>
    <row r="107" spans="1:8" x14ac:dyDescent="0.2">
      <c r="A107" s="51"/>
      <c r="B107" s="51"/>
      <c r="C107" s="51"/>
      <c r="D107" s="52"/>
      <c r="E107" s="52"/>
      <c r="F107" s="52"/>
      <c r="G107" s="52"/>
    </row>
    <row r="108" spans="1:8" x14ac:dyDescent="0.2">
      <c r="A108" s="53"/>
      <c r="B108" s="162" t="s">
        <v>106</v>
      </c>
      <c r="C108" s="163"/>
      <c r="D108" s="164"/>
      <c r="E108" s="54"/>
      <c r="F108" s="55"/>
      <c r="G108" s="55"/>
    </row>
    <row r="109" spans="1:8" ht="25.5" x14ac:dyDescent="0.2">
      <c r="A109" s="53"/>
      <c r="B109" s="165" t="s">
        <v>107</v>
      </c>
      <c r="C109" s="166"/>
      <c r="D109" s="70" t="s">
        <v>660</v>
      </c>
      <c r="E109" s="54"/>
      <c r="F109" s="55"/>
      <c r="G109" s="55"/>
    </row>
    <row r="110" spans="1:8" x14ac:dyDescent="0.2">
      <c r="A110" s="53"/>
      <c r="B110" s="165" t="s">
        <v>109</v>
      </c>
      <c r="C110" s="166"/>
      <c r="D110" s="35" t="s">
        <v>108</v>
      </c>
      <c r="E110" s="54"/>
      <c r="F110" s="55"/>
      <c r="G110" s="55"/>
    </row>
    <row r="111" spans="1:8" x14ac:dyDescent="0.2">
      <c r="A111" s="53"/>
      <c r="B111" s="165" t="s">
        <v>110</v>
      </c>
      <c r="C111" s="166"/>
      <c r="D111" s="40" t="s">
        <v>12</v>
      </c>
      <c r="E111" s="54"/>
      <c r="F111" s="55"/>
      <c r="G111" s="55"/>
    </row>
    <row r="112" spans="1:8" x14ac:dyDescent="0.2">
      <c r="A112" s="56"/>
      <c r="B112" s="57" t="s">
        <v>12</v>
      </c>
      <c r="C112" s="57" t="s">
        <v>585</v>
      </c>
      <c r="D112" s="57" t="s">
        <v>111</v>
      </c>
      <c r="E112" s="56"/>
      <c r="F112" s="56"/>
      <c r="G112" s="56"/>
      <c r="H112" s="58"/>
    </row>
    <row r="113" spans="1:10" x14ac:dyDescent="0.2">
      <c r="A113" s="56"/>
      <c r="B113" s="59" t="s">
        <v>112</v>
      </c>
      <c r="C113" s="60">
        <v>45626</v>
      </c>
      <c r="D113" s="60">
        <v>45657</v>
      </c>
      <c r="E113" s="56"/>
      <c r="F113" s="56"/>
      <c r="G113" s="56"/>
    </row>
    <row r="114" spans="1:10" x14ac:dyDescent="0.2">
      <c r="A114" s="61"/>
      <c r="B114" s="43" t="s">
        <v>113</v>
      </c>
      <c r="C114" s="62">
        <v>31.5337</v>
      </c>
      <c r="D114" s="62">
        <v>31.551400000000001</v>
      </c>
      <c r="E114" s="61"/>
      <c r="F114" s="63"/>
      <c r="G114" s="64"/>
    </row>
    <row r="115" spans="1:10" ht="25.5" x14ac:dyDescent="0.2">
      <c r="A115" s="61"/>
      <c r="B115" s="43" t="s">
        <v>705</v>
      </c>
      <c r="C115" s="62">
        <v>13.4849</v>
      </c>
      <c r="D115" s="62">
        <v>13.4473</v>
      </c>
      <c r="E115" s="61"/>
      <c r="F115" s="63"/>
      <c r="G115" s="64"/>
    </row>
    <row r="116" spans="1:10" ht="25.5" x14ac:dyDescent="0.2">
      <c r="A116" s="61"/>
      <c r="B116" s="43" t="s">
        <v>706</v>
      </c>
      <c r="C116" s="62">
        <v>20.757300000000001</v>
      </c>
      <c r="D116" s="62">
        <v>20.768899999999999</v>
      </c>
      <c r="E116" s="61"/>
      <c r="F116" s="63"/>
      <c r="G116" s="64"/>
    </row>
    <row r="117" spans="1:10" ht="25.5" x14ac:dyDescent="0.2">
      <c r="A117" s="61"/>
      <c r="B117" s="43" t="s">
        <v>707</v>
      </c>
      <c r="C117" s="62">
        <v>20.665199999999999</v>
      </c>
      <c r="D117" s="62">
        <v>20.6767</v>
      </c>
      <c r="E117" s="61"/>
      <c r="F117" s="63"/>
      <c r="G117" s="64"/>
    </row>
    <row r="118" spans="1:10" x14ac:dyDescent="0.2">
      <c r="A118" s="61"/>
      <c r="B118" s="43" t="s">
        <v>114</v>
      </c>
      <c r="C118" s="62">
        <v>28.758199999999999</v>
      </c>
      <c r="D118" s="62">
        <v>28.750399999999999</v>
      </c>
      <c r="E118" s="61"/>
      <c r="F118" s="63"/>
      <c r="G118" s="64"/>
    </row>
    <row r="119" spans="1:10" ht="25.5" x14ac:dyDescent="0.2">
      <c r="A119" s="61"/>
      <c r="B119" s="43" t="s">
        <v>709</v>
      </c>
      <c r="C119" s="62">
        <v>13.3567</v>
      </c>
      <c r="D119" s="62">
        <v>13.341699999999999</v>
      </c>
      <c r="E119" s="61"/>
      <c r="F119" s="63"/>
      <c r="G119" s="64"/>
    </row>
    <row r="120" spans="1:10" ht="25.5" x14ac:dyDescent="0.2">
      <c r="A120" s="61"/>
      <c r="B120" s="43" t="s">
        <v>674</v>
      </c>
      <c r="C120" s="62">
        <v>18.819500000000001</v>
      </c>
      <c r="D120" s="62">
        <v>18.814399999999999</v>
      </c>
      <c r="E120" s="61"/>
      <c r="F120" s="63"/>
      <c r="G120" s="64"/>
    </row>
    <row r="121" spans="1:10" ht="25.5" x14ac:dyDescent="0.2">
      <c r="A121" s="61"/>
      <c r="B121" s="43" t="s">
        <v>710</v>
      </c>
      <c r="C121" s="62">
        <v>18.656500000000001</v>
      </c>
      <c r="D121" s="62">
        <v>18.651399999999999</v>
      </c>
      <c r="E121" s="61"/>
      <c r="F121" s="63"/>
      <c r="G121" s="64"/>
    </row>
    <row r="122" spans="1:10" x14ac:dyDescent="0.2">
      <c r="A122" s="61"/>
      <c r="B122" s="61"/>
      <c r="C122" s="61"/>
      <c r="D122" s="61"/>
      <c r="E122" s="61"/>
      <c r="F122" s="61"/>
      <c r="G122" s="61"/>
    </row>
    <row r="123" spans="1:10" x14ac:dyDescent="0.2">
      <c r="A123" s="61"/>
      <c r="B123" s="165" t="s">
        <v>712</v>
      </c>
      <c r="C123" s="166"/>
      <c r="D123" s="35" t="s">
        <v>12</v>
      </c>
      <c r="E123" s="61"/>
      <c r="F123" s="61"/>
      <c r="G123" s="61"/>
    </row>
    <row r="124" spans="1:10" x14ac:dyDescent="0.2">
      <c r="A124" s="61"/>
      <c r="B124" s="65" t="s">
        <v>112</v>
      </c>
      <c r="C124" s="66" t="s">
        <v>115</v>
      </c>
      <c r="D124" s="66" t="s">
        <v>116</v>
      </c>
      <c r="E124" s="61"/>
      <c r="F124" s="61"/>
      <c r="G124" s="61"/>
    </row>
    <row r="125" spans="1:10" ht="25.5" x14ac:dyDescent="0.2">
      <c r="A125" s="61"/>
      <c r="B125" s="43" t="s">
        <v>705</v>
      </c>
      <c r="C125" s="67">
        <v>4.53E-2</v>
      </c>
      <c r="D125" s="47" t="s">
        <v>117</v>
      </c>
      <c r="E125" s="61"/>
      <c r="F125" s="63"/>
      <c r="G125" s="64"/>
    </row>
    <row r="126" spans="1:10" ht="25.5" x14ac:dyDescent="0.2">
      <c r="A126" s="61"/>
      <c r="B126" s="43" t="s">
        <v>709</v>
      </c>
      <c r="C126" s="67">
        <v>1.14E-2</v>
      </c>
      <c r="D126" s="47" t="s">
        <v>117</v>
      </c>
      <c r="E126" s="61"/>
      <c r="F126" s="63"/>
      <c r="G126" s="64"/>
    </row>
    <row r="127" spans="1:10" x14ac:dyDescent="0.2">
      <c r="A127" s="61"/>
      <c r="B127" s="68"/>
      <c r="C127" s="68"/>
      <c r="D127" s="69"/>
      <c r="E127" s="61"/>
      <c r="F127" s="63"/>
      <c r="G127" s="64"/>
    </row>
    <row r="128" spans="1:10" x14ac:dyDescent="0.2">
      <c r="A128" s="56"/>
      <c r="B128" s="159" t="s">
        <v>118</v>
      </c>
      <c r="C128" s="160"/>
      <c r="D128" s="70" t="s">
        <v>108</v>
      </c>
      <c r="E128" s="71"/>
      <c r="F128" s="56"/>
      <c r="G128" s="56"/>
      <c r="J128" s="8"/>
    </row>
    <row r="129" spans="1:18" x14ac:dyDescent="0.2">
      <c r="A129" s="56"/>
      <c r="B129" s="159" t="s">
        <v>119</v>
      </c>
      <c r="C129" s="160"/>
      <c r="D129" s="70" t="s">
        <v>108</v>
      </c>
      <c r="E129" s="71"/>
      <c r="F129" s="56"/>
      <c r="G129" s="56"/>
      <c r="J129" s="8"/>
    </row>
    <row r="130" spans="1:18" x14ac:dyDescent="0.2">
      <c r="A130" s="56"/>
      <c r="B130" s="159" t="s">
        <v>586</v>
      </c>
      <c r="C130" s="160"/>
      <c r="D130" s="70" t="s">
        <v>108</v>
      </c>
      <c r="E130" s="71"/>
      <c r="F130" s="56"/>
      <c r="G130" s="56"/>
      <c r="J130" s="8"/>
    </row>
    <row r="131" spans="1:18" x14ac:dyDescent="0.2">
      <c r="A131" s="72"/>
      <c r="B131" s="72"/>
      <c r="C131" s="72"/>
      <c r="D131" s="72"/>
      <c r="E131" s="72"/>
      <c r="F131" s="72"/>
      <c r="G131" s="72"/>
      <c r="J131" s="8"/>
    </row>
    <row r="132" spans="1:18" s="11" customFormat="1" x14ac:dyDescent="0.2">
      <c r="B132" s="167" t="s">
        <v>587</v>
      </c>
      <c r="C132" s="168"/>
      <c r="D132" s="169"/>
      <c r="I132"/>
      <c r="J132" s="8"/>
      <c r="K132" s="9"/>
      <c r="L132" s="9"/>
      <c r="M132" s="9"/>
      <c r="N132" s="9"/>
      <c r="O132"/>
      <c r="R132"/>
    </row>
    <row r="133" spans="1:18" s="11" customFormat="1" ht="38.25" x14ac:dyDescent="0.2">
      <c r="B133" s="161" t="s">
        <v>588</v>
      </c>
      <c r="C133" s="161"/>
      <c r="D133" s="12" t="s">
        <v>495</v>
      </c>
      <c r="I133"/>
      <c r="J133" s="8"/>
      <c r="K133" s="9"/>
      <c r="L133" s="9"/>
      <c r="M133" s="9"/>
      <c r="N133" s="9"/>
      <c r="O133"/>
      <c r="R133"/>
    </row>
    <row r="134" spans="1:18" s="11" customFormat="1" x14ac:dyDescent="0.2">
      <c r="B134" s="171" t="s">
        <v>589</v>
      </c>
      <c r="C134" s="171"/>
      <c r="D134" s="13"/>
      <c r="I134"/>
      <c r="J134" s="8"/>
      <c r="K134" s="9"/>
      <c r="L134" s="9"/>
      <c r="M134" s="9"/>
      <c r="N134" s="9"/>
      <c r="O134"/>
      <c r="R134"/>
    </row>
    <row r="135" spans="1:18" s="11" customFormat="1" x14ac:dyDescent="0.2">
      <c r="B135" s="171"/>
      <c r="C135" s="171"/>
      <c r="D135" s="14"/>
      <c r="I135"/>
      <c r="J135" s="8"/>
      <c r="K135" s="9"/>
      <c r="L135" s="9"/>
      <c r="M135" s="9"/>
      <c r="N135" s="9"/>
      <c r="O135"/>
    </row>
    <row r="136" spans="1:18" s="11" customFormat="1" x14ac:dyDescent="0.2">
      <c r="B136" s="171" t="s">
        <v>590</v>
      </c>
      <c r="C136" s="171"/>
      <c r="D136" s="19">
        <v>6.8263781441778804</v>
      </c>
      <c r="I136"/>
      <c r="J136" s="8"/>
      <c r="K136" s="9"/>
      <c r="L136" s="9"/>
      <c r="M136" s="9"/>
      <c r="N136" s="9"/>
      <c r="O136"/>
    </row>
    <row r="137" spans="1:18" s="11" customFormat="1" x14ac:dyDescent="0.2">
      <c r="B137" s="171"/>
      <c r="C137" s="171"/>
      <c r="D137" s="14"/>
      <c r="I137"/>
      <c r="J137" s="8"/>
      <c r="K137" s="9"/>
      <c r="L137" s="9"/>
      <c r="M137" s="9"/>
      <c r="N137" s="9"/>
      <c r="O137"/>
    </row>
    <row r="138" spans="1:18" s="11" customFormat="1" x14ac:dyDescent="0.2">
      <c r="B138" s="171" t="s">
        <v>686</v>
      </c>
      <c r="C138" s="171"/>
      <c r="D138" s="19">
        <v>4.9799791913972991</v>
      </c>
      <c r="I138"/>
      <c r="J138" s="8"/>
      <c r="K138" s="9"/>
      <c r="L138" s="9"/>
      <c r="M138" s="9"/>
      <c r="N138" s="9"/>
      <c r="O138"/>
    </row>
    <row r="139" spans="1:18" s="11" customFormat="1" x14ac:dyDescent="0.2">
      <c r="B139" s="171" t="s">
        <v>687</v>
      </c>
      <c r="C139" s="171"/>
      <c r="D139" s="19">
        <v>9.4796387373221762</v>
      </c>
      <c r="I139"/>
      <c r="J139" s="8"/>
      <c r="K139" s="9"/>
      <c r="L139" s="9"/>
      <c r="M139" s="9"/>
      <c r="N139" s="9"/>
      <c r="O139"/>
    </row>
    <row r="140" spans="1:18" s="11" customFormat="1" x14ac:dyDescent="0.2">
      <c r="B140" s="171"/>
      <c r="C140" s="171"/>
      <c r="D140" s="14"/>
      <c r="I140"/>
      <c r="J140" s="8"/>
      <c r="K140" s="9"/>
      <c r="L140" s="9"/>
      <c r="M140" s="9"/>
      <c r="N140" s="9"/>
      <c r="O140"/>
    </row>
    <row r="141" spans="1:18" s="11" customFormat="1" x14ac:dyDescent="0.2">
      <c r="B141" s="171" t="s">
        <v>593</v>
      </c>
      <c r="C141" s="171"/>
      <c r="D141" s="87" t="s">
        <v>699</v>
      </c>
      <c r="I141"/>
      <c r="J141" s="8"/>
      <c r="K141" s="9"/>
      <c r="L141" s="9"/>
      <c r="M141" s="9"/>
      <c r="N141" s="9"/>
      <c r="O141"/>
    </row>
    <row r="142" spans="1:18" s="11" customFormat="1" x14ac:dyDescent="0.2">
      <c r="B142" s="172" t="s">
        <v>594</v>
      </c>
      <c r="C142" s="174"/>
      <c r="D142" s="173"/>
      <c r="I142"/>
      <c r="J142" s="8"/>
      <c r="K142" s="9"/>
      <c r="L142" s="9"/>
      <c r="M142" s="9"/>
      <c r="N142" s="9"/>
      <c r="O142"/>
    </row>
    <row r="143" spans="1:18" x14ac:dyDescent="0.2">
      <c r="J143" s="8"/>
    </row>
    <row r="144" spans="1:18" ht="13.5" x14ac:dyDescent="0.2">
      <c r="B144" s="212" t="s">
        <v>703</v>
      </c>
      <c r="C144" s="212"/>
      <c r="D144" s="212"/>
      <c r="E144" s="212"/>
      <c r="F144" s="212"/>
      <c r="G144" s="212"/>
      <c r="H144" s="212"/>
      <c r="I144" s="9"/>
      <c r="J144" s="8"/>
      <c r="K144" s="9"/>
      <c r="L144" s="9"/>
      <c r="M144" s="9"/>
      <c r="N144" s="9"/>
      <c r="O144" s="9"/>
      <c r="P144" s="9"/>
    </row>
    <row r="145" spans="2:16" s="15" customFormat="1" ht="26.25" customHeight="1" x14ac:dyDescent="0.2">
      <c r="B145" s="88" t="s">
        <v>617</v>
      </c>
      <c r="C145" s="88" t="s">
        <v>618</v>
      </c>
      <c r="D145" s="186" t="s">
        <v>688</v>
      </c>
      <c r="E145" s="186"/>
      <c r="F145" s="186"/>
      <c r="G145" s="185" t="s">
        <v>613</v>
      </c>
      <c r="H145" s="185"/>
      <c r="J145" s="8"/>
      <c r="K145" s="90"/>
      <c r="L145" s="90"/>
      <c r="M145" s="90"/>
      <c r="N145" s="90"/>
      <c r="O145" s="90"/>
      <c r="P145" s="90"/>
    </row>
    <row r="146" spans="2:16" ht="27" x14ac:dyDescent="0.25">
      <c r="B146" s="91" t="s">
        <v>649</v>
      </c>
      <c r="C146" s="92" t="s">
        <v>689</v>
      </c>
      <c r="D146" s="181">
        <v>0</v>
      </c>
      <c r="E146" s="181"/>
      <c r="F146" s="181"/>
      <c r="G146" s="181">
        <v>0</v>
      </c>
      <c r="H146" s="181"/>
      <c r="J146" s="8"/>
      <c r="K146" s="9"/>
      <c r="L146" s="9"/>
      <c r="M146" s="9"/>
      <c r="N146" s="9"/>
      <c r="O146" s="9"/>
      <c r="P146" s="9"/>
    </row>
    <row r="147" spans="2:16" ht="13.5" x14ac:dyDescent="0.25">
      <c r="B147" s="93"/>
      <c r="C147" s="93"/>
      <c r="D147" s="182"/>
      <c r="E147" s="182"/>
      <c r="F147" s="182"/>
      <c r="G147" s="182"/>
      <c r="H147" s="182"/>
      <c r="J147" s="8"/>
      <c r="K147" s="9"/>
      <c r="L147" s="9"/>
      <c r="M147" s="9"/>
      <c r="N147" s="9"/>
      <c r="O147" s="9"/>
      <c r="P147" s="9"/>
    </row>
    <row r="148" spans="2:16" ht="13.5" x14ac:dyDescent="0.25">
      <c r="B148" s="180" t="s">
        <v>625</v>
      </c>
      <c r="C148" s="180"/>
      <c r="D148" s="180"/>
      <c r="E148" s="180"/>
      <c r="F148" s="180"/>
      <c r="G148" s="180"/>
      <c r="H148" s="180"/>
      <c r="J148" s="8"/>
      <c r="K148" s="9"/>
      <c r="L148" s="9"/>
      <c r="M148" s="9"/>
      <c r="N148" s="9"/>
      <c r="O148" s="9"/>
      <c r="P148" s="9"/>
    </row>
    <row r="149" spans="2:16" ht="13.5" customHeight="1" x14ac:dyDescent="0.2">
      <c r="B149" s="185" t="s">
        <v>617</v>
      </c>
      <c r="C149" s="185" t="s">
        <v>618</v>
      </c>
      <c r="D149" s="185" t="s">
        <v>626</v>
      </c>
      <c r="E149" s="185"/>
      <c r="F149" s="185"/>
      <c r="G149" s="185"/>
      <c r="H149" s="186" t="s">
        <v>690</v>
      </c>
      <c r="I149" s="186" t="s">
        <v>691</v>
      </c>
      <c r="J149" s="186" t="s">
        <v>629</v>
      </c>
      <c r="K149" s="9"/>
      <c r="L149" s="9"/>
      <c r="M149" s="9"/>
      <c r="N149" s="9"/>
      <c r="O149" s="9"/>
      <c r="P149" s="9"/>
    </row>
    <row r="150" spans="2:16" ht="121.5" x14ac:dyDescent="0.2">
      <c r="B150" s="185"/>
      <c r="C150" s="185"/>
      <c r="D150" s="89" t="s">
        <v>630</v>
      </c>
      <c r="E150" s="89" t="s">
        <v>631</v>
      </c>
      <c r="F150" s="89" t="s">
        <v>632</v>
      </c>
      <c r="G150" s="89" t="s">
        <v>633</v>
      </c>
      <c r="H150" s="186"/>
      <c r="I150" s="186"/>
      <c r="J150" s="186"/>
      <c r="K150" s="9"/>
      <c r="L150" s="9"/>
      <c r="M150" s="9"/>
      <c r="N150" s="9"/>
      <c r="O150" s="9"/>
    </row>
    <row r="151" spans="2:16" ht="27" x14ac:dyDescent="0.25">
      <c r="B151" s="93" t="s">
        <v>649</v>
      </c>
      <c r="C151" s="92" t="s">
        <v>692</v>
      </c>
      <c r="D151" s="95">
        <v>500</v>
      </c>
      <c r="E151" s="95">
        <v>9.9405737999999992</v>
      </c>
      <c r="F151" s="96">
        <v>16.00737140547945</v>
      </c>
      <c r="G151" s="95">
        <v>525.94794520547941</v>
      </c>
      <c r="H151" s="28">
        <v>233.40679</v>
      </c>
      <c r="I151" s="28">
        <v>4.01</v>
      </c>
      <c r="J151" s="97">
        <f>H151+I151</f>
        <v>237.41678999999999</v>
      </c>
      <c r="K151" s="9"/>
      <c r="L151" s="9"/>
      <c r="M151" s="9"/>
      <c r="N151" s="9"/>
      <c r="O151" s="9"/>
      <c r="P151" s="9"/>
    </row>
    <row r="152" spans="2:16" x14ac:dyDescent="0.2">
      <c r="J152" s="8"/>
      <c r="P152" s="9"/>
    </row>
    <row r="153" spans="2:16" x14ac:dyDescent="0.2">
      <c r="J153" s="8"/>
      <c r="K153" s="9"/>
      <c r="L153" s="9"/>
      <c r="M153" s="9"/>
      <c r="N153" s="9"/>
      <c r="O153" s="9"/>
      <c r="P153" s="9"/>
    </row>
    <row r="154" spans="2:16" ht="13.5" x14ac:dyDescent="0.25">
      <c r="B154" s="98" t="s">
        <v>634</v>
      </c>
      <c r="J154" s="8"/>
      <c r="K154" s="9"/>
      <c r="L154" s="9"/>
      <c r="M154" s="9"/>
      <c r="N154" s="9"/>
      <c r="O154" s="9"/>
      <c r="P154" s="9"/>
    </row>
    <row r="155" spans="2:16" x14ac:dyDescent="0.2">
      <c r="B155" s="9"/>
      <c r="C155" s="9"/>
      <c r="D155" s="9"/>
      <c r="E155" s="9"/>
      <c r="F155" s="9"/>
      <c r="G155" s="9"/>
      <c r="H155" s="9"/>
      <c r="J155" s="8"/>
      <c r="K155" s="9"/>
      <c r="L155" s="9"/>
      <c r="M155" s="9"/>
      <c r="N155" s="9"/>
      <c r="O155" s="9"/>
      <c r="P155" s="9"/>
    </row>
    <row r="156" spans="2:16" x14ac:dyDescent="0.2">
      <c r="B156" s="99" t="s">
        <v>635</v>
      </c>
      <c r="C156" s="9"/>
      <c r="D156" s="9"/>
      <c r="E156" s="9"/>
      <c r="F156" s="9"/>
      <c r="G156" s="9"/>
      <c r="H156" s="9"/>
      <c r="J156" s="8"/>
      <c r="K156" s="9"/>
      <c r="L156" s="9"/>
      <c r="M156" s="9"/>
      <c r="N156" s="9"/>
      <c r="O156" s="9"/>
      <c r="P156" s="9"/>
    </row>
    <row r="157" spans="2:16" x14ac:dyDescent="0.2">
      <c r="B157" s="9"/>
      <c r="C157" s="9"/>
      <c r="D157" s="9"/>
      <c r="E157" s="9"/>
      <c r="F157" s="9"/>
      <c r="G157" s="9"/>
      <c r="H157" s="9"/>
      <c r="J157" s="8"/>
      <c r="K157" s="9"/>
      <c r="L157" s="9"/>
      <c r="M157" s="9"/>
      <c r="N157" s="9"/>
      <c r="O157" s="9"/>
      <c r="P157" s="9"/>
    </row>
    <row r="158" spans="2:16" x14ac:dyDescent="0.2">
      <c r="B158" s="99" t="s">
        <v>636</v>
      </c>
      <c r="C158" s="9"/>
      <c r="D158" s="9"/>
      <c r="E158" s="9"/>
      <c r="F158" s="9"/>
      <c r="G158" s="9"/>
      <c r="H158" s="9"/>
      <c r="J158" s="8"/>
      <c r="K158" s="9"/>
      <c r="L158" s="9"/>
      <c r="M158" s="9"/>
      <c r="N158" s="9"/>
      <c r="O158" s="9"/>
      <c r="P158" s="9"/>
    </row>
    <row r="159" spans="2:16" x14ac:dyDescent="0.2">
      <c r="J159" s="8"/>
      <c r="K159" s="9"/>
      <c r="L159" s="9"/>
      <c r="M159" s="9"/>
      <c r="N159" s="9"/>
      <c r="O159" s="9"/>
    </row>
    <row r="160" spans="2:16" x14ac:dyDescent="0.2">
      <c r="B160" s="99" t="s">
        <v>637</v>
      </c>
      <c r="J160" s="8"/>
      <c r="K160" s="9"/>
      <c r="L160" s="9"/>
      <c r="M160" s="9"/>
      <c r="N160" s="9"/>
      <c r="O160" s="9"/>
    </row>
    <row r="161" spans="2:10" x14ac:dyDescent="0.2">
      <c r="J161" s="8"/>
    </row>
    <row r="162" spans="2:10" ht="25.5" x14ac:dyDescent="0.2">
      <c r="B162" s="16" t="s">
        <v>595</v>
      </c>
    </row>
    <row r="164" spans="2:10" ht="153.75" customHeight="1" x14ac:dyDescent="0.2"/>
    <row r="167" spans="2:10" x14ac:dyDescent="0.2">
      <c r="B167" s="17" t="s">
        <v>693</v>
      </c>
      <c r="C167" s="18"/>
      <c r="D167" s="17"/>
    </row>
    <row r="168" spans="2:10" x14ac:dyDescent="0.2">
      <c r="B168" s="17" t="s">
        <v>694</v>
      </c>
      <c r="D168" s="17"/>
    </row>
    <row r="169" spans="2:10" ht="165" customHeight="1" x14ac:dyDescent="0.2"/>
    <row r="171" spans="2:10" x14ac:dyDescent="0.2">
      <c r="J171" s="8"/>
    </row>
    <row r="172" spans="2:10" x14ac:dyDescent="0.2">
      <c r="J172" s="8"/>
    </row>
    <row r="173" spans="2:10" x14ac:dyDescent="0.2">
      <c r="J173" s="8"/>
    </row>
    <row r="174" spans="2:10" x14ac:dyDescent="0.2">
      <c r="J174" s="8"/>
    </row>
    <row r="175" spans="2:10" x14ac:dyDescent="0.2">
      <c r="J175" s="8"/>
    </row>
    <row r="176" spans="2:10" x14ac:dyDescent="0.2">
      <c r="J176" s="8"/>
    </row>
    <row r="177" spans="10:10" x14ac:dyDescent="0.2">
      <c r="J177" s="8"/>
    </row>
    <row r="178" spans="10:10" x14ac:dyDescent="0.2">
      <c r="J178" s="8"/>
    </row>
    <row r="179" spans="10:10" x14ac:dyDescent="0.2">
      <c r="J179" s="8"/>
    </row>
    <row r="180" spans="10:10" x14ac:dyDescent="0.2">
      <c r="J180" s="8"/>
    </row>
    <row r="181" spans="10:10" x14ac:dyDescent="0.2">
      <c r="J181" s="8"/>
    </row>
  </sheetData>
  <mergeCells count="39">
    <mergeCell ref="I149:I150"/>
    <mergeCell ref="J149:J150"/>
    <mergeCell ref="B148:H148"/>
    <mergeCell ref="B149:B150"/>
    <mergeCell ref="C149:C150"/>
    <mergeCell ref="D149:G149"/>
    <mergeCell ref="H149:H150"/>
    <mergeCell ref="D145:F145"/>
    <mergeCell ref="G145:H145"/>
    <mergeCell ref="D146:F146"/>
    <mergeCell ref="G146:H146"/>
    <mergeCell ref="D147:F147"/>
    <mergeCell ref="G147:H147"/>
    <mergeCell ref="B139:C139"/>
    <mergeCell ref="B140:C140"/>
    <mergeCell ref="B141:C141"/>
    <mergeCell ref="B142:D142"/>
    <mergeCell ref="B144:H144"/>
    <mergeCell ref="B134:C134"/>
    <mergeCell ref="B135:C135"/>
    <mergeCell ref="B136:C136"/>
    <mergeCell ref="B137:C137"/>
    <mergeCell ref="B138:C138"/>
    <mergeCell ref="A1:H1"/>
    <mergeCell ref="A2:H2"/>
    <mergeCell ref="A3:H3"/>
    <mergeCell ref="B104:H104"/>
    <mergeCell ref="B105:H105"/>
    <mergeCell ref="B106:H106"/>
    <mergeCell ref="B130:C130"/>
    <mergeCell ref="B133:C133"/>
    <mergeCell ref="B108:D108"/>
    <mergeCell ref="B109:C109"/>
    <mergeCell ref="B110:C110"/>
    <mergeCell ref="B111:C111"/>
    <mergeCell ref="B123:C123"/>
    <mergeCell ref="B129:C129"/>
    <mergeCell ref="B128:C128"/>
    <mergeCell ref="B132:D132"/>
  </mergeCells>
  <hyperlinks>
    <hyperlink ref="I1" location="Index!B2" display="Index" xr:uid="{7F643FFF-7748-4C37-AC3A-FF8F0BFD181C}"/>
    <hyperlink ref="B156" r:id="rId1" xr:uid="{492F6371-C93A-4898-A178-1BE246CD063E}"/>
    <hyperlink ref="B158" r:id="rId2" xr:uid="{0189CC6A-AEBE-4F59-A2EA-EE2C0FC4C11C}"/>
    <hyperlink ref="B160" r:id="rId3" xr:uid="{B855362D-0074-4F2B-91B5-3CCB54C17029}"/>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00F5E-6D47-4C8D-B29B-454FFC73DD8B}">
  <sheetPr>
    <outlinePr summaryBelow="0" summaryRight="0"/>
  </sheetPr>
  <dimension ref="A1:U119"/>
  <sheetViews>
    <sheetView showGridLines="0" workbookViewId="0">
      <selection sqref="A1:H1"/>
    </sheetView>
  </sheetViews>
  <sheetFormatPr defaultRowHeight="12.75" x14ac:dyDescent="0.2"/>
  <cols>
    <col min="1" max="1" width="5.85546875" bestFit="1" customWidth="1"/>
    <col min="2" max="2" width="21.140625" customWidth="1"/>
    <col min="3" max="3" width="43.140625" customWidth="1"/>
    <col min="4" max="4" width="12.7109375" customWidth="1"/>
    <col min="5" max="5" width="8.7109375" bestFit="1" customWidth="1"/>
    <col min="6" max="6" width="10.140625" bestFit="1" customWidth="1"/>
    <col min="7" max="7" width="14" bestFit="1" customWidth="1"/>
    <col min="8" max="8" width="8" customWidth="1"/>
    <col min="9" max="9" width="5.7109375" bestFit="1" customWidth="1"/>
  </cols>
  <sheetData>
    <row r="1" spans="1:9" ht="15" x14ac:dyDescent="0.2">
      <c r="A1" s="170" t="s">
        <v>0</v>
      </c>
      <c r="B1" s="170"/>
      <c r="C1" s="170"/>
      <c r="D1" s="170"/>
      <c r="E1" s="170"/>
      <c r="F1" s="170"/>
      <c r="G1" s="170"/>
      <c r="H1" s="170"/>
      <c r="I1" s="7" t="s">
        <v>579</v>
      </c>
    </row>
    <row r="2" spans="1:9" ht="15" x14ac:dyDescent="0.2">
      <c r="A2" s="170" t="s">
        <v>562</v>
      </c>
      <c r="B2" s="170"/>
      <c r="C2" s="170"/>
      <c r="D2" s="170"/>
      <c r="E2" s="170"/>
      <c r="F2" s="170"/>
      <c r="G2" s="170"/>
      <c r="H2" s="170"/>
    </row>
    <row r="3" spans="1:9" ht="15" customHeight="1" x14ac:dyDescent="0.2">
      <c r="A3" s="170" t="s">
        <v>715</v>
      </c>
      <c r="B3" s="170"/>
      <c r="C3" s="170"/>
      <c r="D3" s="170"/>
      <c r="E3" s="170"/>
      <c r="F3" s="170"/>
      <c r="G3" s="170"/>
      <c r="H3" s="170"/>
    </row>
    <row r="4" spans="1:9" s="8" customFormat="1" ht="30" x14ac:dyDescent="0.2">
      <c r="A4" s="32" t="s">
        <v>2</v>
      </c>
      <c r="B4" s="32" t="s">
        <v>3</v>
      </c>
      <c r="C4" s="32" t="s">
        <v>4</v>
      </c>
      <c r="D4" s="32" t="s">
        <v>5</v>
      </c>
      <c r="E4" s="32" t="s">
        <v>6</v>
      </c>
      <c r="F4" s="32" t="s">
        <v>7</v>
      </c>
      <c r="G4" s="32" t="s">
        <v>8</v>
      </c>
      <c r="H4" s="33" t="s">
        <v>704</v>
      </c>
    </row>
    <row r="5" spans="1:9" x14ac:dyDescent="0.2">
      <c r="A5" s="34"/>
      <c r="B5" s="34"/>
      <c r="C5" s="35" t="s">
        <v>9</v>
      </c>
      <c r="D5" s="34"/>
      <c r="E5" s="34"/>
      <c r="F5" s="34"/>
      <c r="G5" s="34"/>
      <c r="H5" s="36" t="s">
        <v>12</v>
      </c>
    </row>
    <row r="6" spans="1:9" x14ac:dyDescent="0.2">
      <c r="A6" s="34"/>
      <c r="B6" s="34"/>
      <c r="C6" s="35" t="s">
        <v>10</v>
      </c>
      <c r="D6" s="34"/>
      <c r="E6" s="34"/>
      <c r="F6" s="34"/>
      <c r="G6" s="34"/>
      <c r="H6" s="36" t="s">
        <v>12</v>
      </c>
    </row>
    <row r="7" spans="1:9" x14ac:dyDescent="0.2">
      <c r="A7" s="34"/>
      <c r="B7" s="34"/>
      <c r="C7" s="35" t="s">
        <v>11</v>
      </c>
      <c r="D7" s="34"/>
      <c r="E7" s="34" t="s">
        <v>12</v>
      </c>
      <c r="F7" s="37" t="s">
        <v>13</v>
      </c>
      <c r="G7" s="38">
        <v>0</v>
      </c>
      <c r="H7" s="36" t="s">
        <v>12</v>
      </c>
    </row>
    <row r="8" spans="1:9" x14ac:dyDescent="0.2">
      <c r="A8" s="34"/>
      <c r="B8" s="34"/>
      <c r="C8" s="39"/>
      <c r="D8" s="34"/>
      <c r="E8" s="34"/>
      <c r="F8" s="40"/>
      <c r="G8" s="40"/>
      <c r="H8" s="36" t="s">
        <v>12</v>
      </c>
    </row>
    <row r="9" spans="1:9" x14ac:dyDescent="0.2">
      <c r="A9" s="34"/>
      <c r="B9" s="34"/>
      <c r="C9" s="35" t="s">
        <v>14</v>
      </c>
      <c r="D9" s="34"/>
      <c r="E9" s="34"/>
      <c r="F9" s="34"/>
      <c r="G9" s="34"/>
      <c r="H9" s="36" t="s">
        <v>12</v>
      </c>
    </row>
    <row r="10" spans="1:9" x14ac:dyDescent="0.2">
      <c r="A10" s="34"/>
      <c r="B10" s="34"/>
      <c r="C10" s="35" t="s">
        <v>11</v>
      </c>
      <c r="D10" s="34"/>
      <c r="E10" s="34" t="s">
        <v>12</v>
      </c>
      <c r="F10" s="37" t="s">
        <v>13</v>
      </c>
      <c r="G10" s="38">
        <v>0</v>
      </c>
      <c r="H10" s="36" t="s">
        <v>12</v>
      </c>
    </row>
    <row r="11" spans="1:9" x14ac:dyDescent="0.2">
      <c r="A11" s="34"/>
      <c r="B11" s="34"/>
      <c r="C11" s="39"/>
      <c r="D11" s="34"/>
      <c r="E11" s="34"/>
      <c r="F11" s="40"/>
      <c r="G11" s="40"/>
      <c r="H11" s="36" t="s">
        <v>12</v>
      </c>
    </row>
    <row r="12" spans="1:9" x14ac:dyDescent="0.2">
      <c r="A12" s="34"/>
      <c r="B12" s="34"/>
      <c r="C12" s="35" t="s">
        <v>15</v>
      </c>
      <c r="D12" s="34"/>
      <c r="E12" s="34"/>
      <c r="F12" s="34"/>
      <c r="G12" s="34"/>
      <c r="H12" s="36" t="s">
        <v>12</v>
      </c>
    </row>
    <row r="13" spans="1:9" x14ac:dyDescent="0.2">
      <c r="A13" s="34"/>
      <c r="B13" s="34"/>
      <c r="C13" s="35" t="s">
        <v>11</v>
      </c>
      <c r="D13" s="34"/>
      <c r="E13" s="34" t="s">
        <v>12</v>
      </c>
      <c r="F13" s="37" t="s">
        <v>13</v>
      </c>
      <c r="G13" s="38">
        <v>0</v>
      </c>
      <c r="H13" s="36" t="s">
        <v>12</v>
      </c>
    </row>
    <row r="14" spans="1:9" x14ac:dyDescent="0.2">
      <c r="A14" s="34"/>
      <c r="B14" s="34"/>
      <c r="C14" s="39"/>
      <c r="D14" s="34"/>
      <c r="E14" s="34"/>
      <c r="F14" s="40"/>
      <c r="G14" s="40"/>
      <c r="H14" s="36" t="s">
        <v>12</v>
      </c>
    </row>
    <row r="15" spans="1:9" x14ac:dyDescent="0.2">
      <c r="A15" s="34"/>
      <c r="B15" s="34"/>
      <c r="C15" s="35" t="s">
        <v>16</v>
      </c>
      <c r="D15" s="34"/>
      <c r="E15" s="34"/>
      <c r="F15" s="34"/>
      <c r="G15" s="34"/>
      <c r="H15" s="36" t="s">
        <v>12</v>
      </c>
    </row>
    <row r="16" spans="1:9" x14ac:dyDescent="0.2">
      <c r="A16" s="34"/>
      <c r="B16" s="34"/>
      <c r="C16" s="35" t="s">
        <v>11</v>
      </c>
      <c r="D16" s="34"/>
      <c r="E16" s="34" t="s">
        <v>12</v>
      </c>
      <c r="F16" s="37" t="s">
        <v>13</v>
      </c>
      <c r="G16" s="38">
        <v>0</v>
      </c>
      <c r="H16" s="36" t="s">
        <v>12</v>
      </c>
    </row>
    <row r="17" spans="1:8" x14ac:dyDescent="0.2">
      <c r="A17" s="34"/>
      <c r="B17" s="34"/>
      <c r="C17" s="39"/>
      <c r="D17" s="34"/>
      <c r="E17" s="34"/>
      <c r="F17" s="40"/>
      <c r="G17" s="40"/>
      <c r="H17" s="36" t="s">
        <v>12</v>
      </c>
    </row>
    <row r="18" spans="1:8" x14ac:dyDescent="0.2">
      <c r="A18" s="34"/>
      <c r="B18" s="34"/>
      <c r="C18" s="35" t="s">
        <v>17</v>
      </c>
      <c r="D18" s="34"/>
      <c r="E18" s="34"/>
      <c r="F18" s="40"/>
      <c r="G18" s="40"/>
      <c r="H18" s="36" t="s">
        <v>12</v>
      </c>
    </row>
    <row r="19" spans="1:8" x14ac:dyDescent="0.2">
      <c r="A19" s="34"/>
      <c r="B19" s="34"/>
      <c r="C19" s="35" t="s">
        <v>11</v>
      </c>
      <c r="D19" s="34"/>
      <c r="E19" s="34" t="s">
        <v>12</v>
      </c>
      <c r="F19" s="37" t="s">
        <v>13</v>
      </c>
      <c r="G19" s="38">
        <v>0</v>
      </c>
      <c r="H19" s="36" t="s">
        <v>12</v>
      </c>
    </row>
    <row r="20" spans="1:8" x14ac:dyDescent="0.2">
      <c r="A20" s="34"/>
      <c r="B20" s="34"/>
      <c r="C20" s="39"/>
      <c r="D20" s="34"/>
      <c r="E20" s="34"/>
      <c r="F20" s="40"/>
      <c r="G20" s="40"/>
      <c r="H20" s="36" t="s">
        <v>12</v>
      </c>
    </row>
    <row r="21" spans="1:8" x14ac:dyDescent="0.2">
      <c r="A21" s="34"/>
      <c r="B21" s="34"/>
      <c r="C21" s="35" t="s">
        <v>18</v>
      </c>
      <c r="D21" s="34"/>
      <c r="E21" s="34"/>
      <c r="F21" s="40"/>
      <c r="G21" s="40"/>
      <c r="H21" s="36" t="s">
        <v>12</v>
      </c>
    </row>
    <row r="22" spans="1:8" x14ac:dyDescent="0.2">
      <c r="A22" s="34"/>
      <c r="B22" s="34"/>
      <c r="C22" s="35" t="s">
        <v>11</v>
      </c>
      <c r="D22" s="34"/>
      <c r="E22" s="34" t="s">
        <v>12</v>
      </c>
      <c r="F22" s="37" t="s">
        <v>13</v>
      </c>
      <c r="G22" s="38">
        <v>0</v>
      </c>
      <c r="H22" s="36" t="s">
        <v>12</v>
      </c>
    </row>
    <row r="23" spans="1:8" x14ac:dyDescent="0.2">
      <c r="A23" s="34"/>
      <c r="B23" s="34"/>
      <c r="C23" s="39"/>
      <c r="D23" s="34"/>
      <c r="E23" s="34"/>
      <c r="F23" s="40"/>
      <c r="G23" s="40"/>
      <c r="H23" s="36" t="s">
        <v>12</v>
      </c>
    </row>
    <row r="24" spans="1:8" x14ac:dyDescent="0.2">
      <c r="A24" s="34"/>
      <c r="B24" s="34"/>
      <c r="C24" s="35" t="s">
        <v>19</v>
      </c>
      <c r="D24" s="34"/>
      <c r="E24" s="34"/>
      <c r="F24" s="41">
        <v>0</v>
      </c>
      <c r="G24" s="38">
        <v>0</v>
      </c>
      <c r="H24" s="36" t="s">
        <v>12</v>
      </c>
    </row>
    <row r="25" spans="1:8" x14ac:dyDescent="0.2">
      <c r="A25" s="34"/>
      <c r="B25" s="34"/>
      <c r="C25" s="39"/>
      <c r="D25" s="34"/>
      <c r="E25" s="34"/>
      <c r="F25" s="40"/>
      <c r="G25" s="40"/>
      <c r="H25" s="36" t="s">
        <v>12</v>
      </c>
    </row>
    <row r="26" spans="1:8" x14ac:dyDescent="0.2">
      <c r="A26" s="34"/>
      <c r="B26" s="34"/>
      <c r="C26" s="35" t="s">
        <v>20</v>
      </c>
      <c r="D26" s="34"/>
      <c r="E26" s="34"/>
      <c r="F26" s="40"/>
      <c r="G26" s="40"/>
      <c r="H26" s="36" t="s">
        <v>12</v>
      </c>
    </row>
    <row r="27" spans="1:8" x14ac:dyDescent="0.2">
      <c r="A27" s="34"/>
      <c r="B27" s="34"/>
      <c r="C27" s="35" t="s">
        <v>10</v>
      </c>
      <c r="D27" s="34"/>
      <c r="E27" s="34"/>
      <c r="F27" s="40"/>
      <c r="G27" s="40"/>
      <c r="H27" s="36" t="s">
        <v>12</v>
      </c>
    </row>
    <row r="28" spans="1:8" x14ac:dyDescent="0.2">
      <c r="A28" s="34"/>
      <c r="B28" s="34"/>
      <c r="C28" s="35" t="s">
        <v>11</v>
      </c>
      <c r="D28" s="34"/>
      <c r="E28" s="34" t="s">
        <v>12</v>
      </c>
      <c r="F28" s="37" t="s">
        <v>13</v>
      </c>
      <c r="G28" s="38">
        <v>0</v>
      </c>
      <c r="H28" s="36" t="s">
        <v>12</v>
      </c>
    </row>
    <row r="29" spans="1:8" x14ac:dyDescent="0.2">
      <c r="A29" s="34"/>
      <c r="B29" s="34"/>
      <c r="C29" s="39"/>
      <c r="D29" s="34"/>
      <c r="E29" s="34"/>
      <c r="F29" s="40"/>
      <c r="G29" s="40"/>
      <c r="H29" s="36" t="s">
        <v>12</v>
      </c>
    </row>
    <row r="30" spans="1:8" x14ac:dyDescent="0.2">
      <c r="A30" s="34"/>
      <c r="B30" s="34"/>
      <c r="C30" s="35" t="s">
        <v>71</v>
      </c>
      <c r="D30" s="34"/>
      <c r="E30" s="34"/>
      <c r="F30" s="34"/>
      <c r="G30" s="34"/>
      <c r="H30" s="36" t="s">
        <v>12</v>
      </c>
    </row>
    <row r="31" spans="1:8" x14ac:dyDescent="0.2">
      <c r="A31" s="34"/>
      <c r="B31" s="34"/>
      <c r="C31" s="35" t="s">
        <v>11</v>
      </c>
      <c r="D31" s="34"/>
      <c r="E31" s="34" t="s">
        <v>12</v>
      </c>
      <c r="F31" s="37" t="s">
        <v>13</v>
      </c>
      <c r="G31" s="38">
        <v>0</v>
      </c>
      <c r="H31" s="36" t="s">
        <v>12</v>
      </c>
    </row>
    <row r="32" spans="1:8" x14ac:dyDescent="0.2">
      <c r="A32" s="34"/>
      <c r="B32" s="34"/>
      <c r="C32" s="39"/>
      <c r="D32" s="34"/>
      <c r="E32" s="34"/>
      <c r="F32" s="40"/>
      <c r="G32" s="40"/>
      <c r="H32" s="36" t="s">
        <v>12</v>
      </c>
    </row>
    <row r="33" spans="1:8" x14ac:dyDescent="0.2">
      <c r="A33" s="34"/>
      <c r="B33" s="34"/>
      <c r="C33" s="35" t="s">
        <v>72</v>
      </c>
      <c r="D33" s="34"/>
      <c r="E33" s="34"/>
      <c r="F33" s="34"/>
      <c r="G33" s="34"/>
      <c r="H33" s="36" t="s">
        <v>12</v>
      </c>
    </row>
    <row r="34" spans="1:8" x14ac:dyDescent="0.2">
      <c r="A34" s="34"/>
      <c r="B34" s="34"/>
      <c r="C34" s="35" t="s">
        <v>11</v>
      </c>
      <c r="D34" s="34"/>
      <c r="E34" s="34" t="s">
        <v>12</v>
      </c>
      <c r="F34" s="37" t="s">
        <v>13</v>
      </c>
      <c r="G34" s="38">
        <v>0</v>
      </c>
      <c r="H34" s="36" t="s">
        <v>12</v>
      </c>
    </row>
    <row r="35" spans="1:8" x14ac:dyDescent="0.2">
      <c r="A35" s="34"/>
      <c r="B35" s="34"/>
      <c r="C35" s="39"/>
      <c r="D35" s="34"/>
      <c r="E35" s="34"/>
      <c r="F35" s="40"/>
      <c r="G35" s="40"/>
      <c r="H35" s="36" t="s">
        <v>12</v>
      </c>
    </row>
    <row r="36" spans="1:8" x14ac:dyDescent="0.2">
      <c r="A36" s="34"/>
      <c r="B36" s="34"/>
      <c r="C36" s="35" t="s">
        <v>88</v>
      </c>
      <c r="D36" s="34"/>
      <c r="E36" s="34"/>
      <c r="F36" s="40"/>
      <c r="G36" s="40"/>
      <c r="H36" s="36" t="s">
        <v>12</v>
      </c>
    </row>
    <row r="37" spans="1:8" x14ac:dyDescent="0.2">
      <c r="A37" s="34"/>
      <c r="B37" s="34"/>
      <c r="C37" s="35" t="s">
        <v>11</v>
      </c>
      <c r="D37" s="34"/>
      <c r="E37" s="34" t="s">
        <v>12</v>
      </c>
      <c r="F37" s="37" t="s">
        <v>13</v>
      </c>
      <c r="G37" s="38">
        <v>0</v>
      </c>
      <c r="H37" s="36" t="s">
        <v>12</v>
      </c>
    </row>
    <row r="38" spans="1:8" x14ac:dyDescent="0.2">
      <c r="A38" s="34"/>
      <c r="B38" s="34"/>
      <c r="C38" s="39"/>
      <c r="D38" s="34"/>
      <c r="E38" s="34"/>
      <c r="F38" s="40"/>
      <c r="G38" s="40"/>
      <c r="H38" s="36" t="s">
        <v>12</v>
      </c>
    </row>
    <row r="39" spans="1:8" x14ac:dyDescent="0.2">
      <c r="A39" s="34"/>
      <c r="B39" s="34"/>
      <c r="C39" s="35" t="s">
        <v>89</v>
      </c>
      <c r="D39" s="34"/>
      <c r="E39" s="34"/>
      <c r="F39" s="41">
        <v>0</v>
      </c>
      <c r="G39" s="38">
        <v>0</v>
      </c>
      <c r="H39" s="36" t="s">
        <v>12</v>
      </c>
    </row>
    <row r="40" spans="1:8" x14ac:dyDescent="0.2">
      <c r="A40" s="34"/>
      <c r="B40" s="34"/>
      <c r="C40" s="39"/>
      <c r="D40" s="34"/>
      <c r="E40" s="34"/>
      <c r="F40" s="40"/>
      <c r="G40" s="40"/>
      <c r="H40" s="36" t="s">
        <v>12</v>
      </c>
    </row>
    <row r="41" spans="1:8" x14ac:dyDescent="0.2">
      <c r="A41" s="34"/>
      <c r="B41" s="34"/>
      <c r="C41" s="35" t="s">
        <v>90</v>
      </c>
      <c r="D41" s="34"/>
      <c r="E41" s="34"/>
      <c r="F41" s="40"/>
      <c r="G41" s="40"/>
      <c r="H41" s="36" t="s">
        <v>12</v>
      </c>
    </row>
    <row r="42" spans="1:8" x14ac:dyDescent="0.2">
      <c r="A42" s="34"/>
      <c r="B42" s="34"/>
      <c r="C42" s="35" t="s">
        <v>91</v>
      </c>
      <c r="D42" s="34"/>
      <c r="E42" s="34"/>
      <c r="F42" s="40"/>
      <c r="G42" s="40"/>
      <c r="H42" s="36" t="s">
        <v>12</v>
      </c>
    </row>
    <row r="43" spans="1:8" x14ac:dyDescent="0.2">
      <c r="A43" s="34"/>
      <c r="B43" s="34"/>
      <c r="C43" s="35" t="s">
        <v>11</v>
      </c>
      <c r="D43" s="34"/>
      <c r="E43" s="34" t="s">
        <v>12</v>
      </c>
      <c r="F43" s="37" t="s">
        <v>13</v>
      </c>
      <c r="G43" s="38">
        <v>0</v>
      </c>
      <c r="H43" s="36" t="s">
        <v>12</v>
      </c>
    </row>
    <row r="44" spans="1:8" x14ac:dyDescent="0.2">
      <c r="A44" s="34"/>
      <c r="B44" s="34"/>
      <c r="C44" s="39"/>
      <c r="D44" s="34"/>
      <c r="E44" s="34"/>
      <c r="F44" s="40"/>
      <c r="G44" s="40"/>
      <c r="H44" s="36" t="s">
        <v>12</v>
      </c>
    </row>
    <row r="45" spans="1:8" x14ac:dyDescent="0.2">
      <c r="A45" s="34"/>
      <c r="B45" s="34"/>
      <c r="C45" s="35" t="s">
        <v>92</v>
      </c>
      <c r="D45" s="34"/>
      <c r="E45" s="34"/>
      <c r="F45" s="40"/>
      <c r="G45" s="40"/>
      <c r="H45" s="36" t="s">
        <v>12</v>
      </c>
    </row>
    <row r="46" spans="1:8" x14ac:dyDescent="0.2">
      <c r="A46" s="34"/>
      <c r="B46" s="34"/>
      <c r="C46" s="35" t="s">
        <v>11</v>
      </c>
      <c r="D46" s="34"/>
      <c r="E46" s="34" t="s">
        <v>12</v>
      </c>
      <c r="F46" s="37" t="s">
        <v>13</v>
      </c>
      <c r="G46" s="38">
        <v>0</v>
      </c>
      <c r="H46" s="36" t="s">
        <v>12</v>
      </c>
    </row>
    <row r="47" spans="1:8" x14ac:dyDescent="0.2">
      <c r="A47" s="34"/>
      <c r="B47" s="34"/>
      <c r="C47" s="39"/>
      <c r="D47" s="34"/>
      <c r="E47" s="34"/>
      <c r="F47" s="40"/>
      <c r="G47" s="40"/>
      <c r="H47" s="36" t="s">
        <v>12</v>
      </c>
    </row>
    <row r="48" spans="1:8" x14ac:dyDescent="0.2">
      <c r="A48" s="34"/>
      <c r="B48" s="34"/>
      <c r="C48" s="35" t="s">
        <v>93</v>
      </c>
      <c r="D48" s="34"/>
      <c r="E48" s="34"/>
      <c r="F48" s="40"/>
      <c r="G48" s="40"/>
      <c r="H48" s="36" t="s">
        <v>12</v>
      </c>
    </row>
    <row r="49" spans="1:8" x14ac:dyDescent="0.2">
      <c r="A49" s="42">
        <v>1</v>
      </c>
      <c r="B49" s="43" t="s">
        <v>418</v>
      </c>
      <c r="C49" s="43" t="s">
        <v>419</v>
      </c>
      <c r="D49" s="43" t="s">
        <v>75</v>
      </c>
      <c r="E49" s="44">
        <v>1500000</v>
      </c>
      <c r="F49" s="45">
        <v>1497.8985</v>
      </c>
      <c r="G49" s="46">
        <v>1.9254940000000002E-2</v>
      </c>
      <c r="H49" s="36">
        <v>6.4</v>
      </c>
    </row>
    <row r="50" spans="1:8" x14ac:dyDescent="0.2">
      <c r="A50" s="42">
        <v>2</v>
      </c>
      <c r="B50" s="43" t="s">
        <v>563</v>
      </c>
      <c r="C50" s="43" t="s">
        <v>564</v>
      </c>
      <c r="D50" s="43" t="s">
        <v>75</v>
      </c>
      <c r="E50" s="44">
        <v>1000000</v>
      </c>
      <c r="F50" s="45">
        <v>996.154</v>
      </c>
      <c r="G50" s="46">
        <v>1.2805199999999999E-2</v>
      </c>
      <c r="H50" s="36">
        <v>6.4058999999999999</v>
      </c>
    </row>
    <row r="51" spans="1:8" x14ac:dyDescent="0.2">
      <c r="A51" s="34"/>
      <c r="B51" s="34"/>
      <c r="C51" s="35" t="s">
        <v>11</v>
      </c>
      <c r="D51" s="34"/>
      <c r="E51" s="34" t="s">
        <v>12</v>
      </c>
      <c r="F51" s="41">
        <v>2494.0524999999998</v>
      </c>
      <c r="G51" s="38">
        <v>3.2060140000000001E-2</v>
      </c>
      <c r="H51" s="36" t="s">
        <v>12</v>
      </c>
    </row>
    <row r="52" spans="1:8" x14ac:dyDescent="0.2">
      <c r="A52" s="34"/>
      <c r="B52" s="34"/>
      <c r="C52" s="39"/>
      <c r="D52" s="34"/>
      <c r="E52" s="34"/>
      <c r="F52" s="40"/>
      <c r="G52" s="40"/>
      <c r="H52" s="36" t="s">
        <v>12</v>
      </c>
    </row>
    <row r="53" spans="1:8" x14ac:dyDescent="0.2">
      <c r="A53" s="34"/>
      <c r="B53" s="34"/>
      <c r="C53" s="35" t="s">
        <v>94</v>
      </c>
      <c r="D53" s="34"/>
      <c r="E53" s="34"/>
      <c r="F53" s="40"/>
      <c r="G53" s="40"/>
      <c r="H53" s="36" t="s">
        <v>12</v>
      </c>
    </row>
    <row r="54" spans="1:8" x14ac:dyDescent="0.2">
      <c r="A54" s="42">
        <v>1</v>
      </c>
      <c r="B54" s="43"/>
      <c r="C54" s="43" t="s">
        <v>565</v>
      </c>
      <c r="D54" s="43"/>
      <c r="E54" s="47"/>
      <c r="F54" s="45">
        <v>39999.774333300003</v>
      </c>
      <c r="G54" s="46">
        <v>0.51418266000000001</v>
      </c>
      <c r="H54" s="36">
        <v>6.75</v>
      </c>
    </row>
    <row r="55" spans="1:8" x14ac:dyDescent="0.2">
      <c r="A55" s="42">
        <v>2</v>
      </c>
      <c r="B55" s="43"/>
      <c r="C55" s="43" t="s">
        <v>95</v>
      </c>
      <c r="D55" s="43"/>
      <c r="E55" s="47"/>
      <c r="F55" s="45">
        <v>35092.771743865997</v>
      </c>
      <c r="G55" s="46">
        <v>0.45110491000000003</v>
      </c>
      <c r="H55" s="36">
        <v>6.6</v>
      </c>
    </row>
    <row r="56" spans="1:8" x14ac:dyDescent="0.2">
      <c r="A56" s="34"/>
      <c r="B56" s="34"/>
      <c r="C56" s="35" t="s">
        <v>11</v>
      </c>
      <c r="D56" s="34"/>
      <c r="E56" s="34" t="s">
        <v>12</v>
      </c>
      <c r="F56" s="41">
        <v>75092.546077166</v>
      </c>
      <c r="G56" s="38">
        <v>0.96528756999999998</v>
      </c>
      <c r="H56" s="36" t="s">
        <v>12</v>
      </c>
    </row>
    <row r="57" spans="1:8" x14ac:dyDescent="0.2">
      <c r="A57" s="34"/>
      <c r="B57" s="34"/>
      <c r="C57" s="39"/>
      <c r="D57" s="34"/>
      <c r="E57" s="34"/>
      <c r="F57" s="40"/>
      <c r="G57" s="40"/>
      <c r="H57" s="36" t="s">
        <v>12</v>
      </c>
    </row>
    <row r="58" spans="1:8" x14ac:dyDescent="0.2">
      <c r="A58" s="34"/>
      <c r="B58" s="34"/>
      <c r="C58" s="35" t="s">
        <v>96</v>
      </c>
      <c r="D58" s="34"/>
      <c r="E58" s="34"/>
      <c r="F58" s="41">
        <v>77586.598577166005</v>
      </c>
      <c r="G58" s="38">
        <v>0.99734771</v>
      </c>
      <c r="H58" s="36" t="s">
        <v>12</v>
      </c>
    </row>
    <row r="59" spans="1:8" x14ac:dyDescent="0.2">
      <c r="A59" s="34"/>
      <c r="B59" s="34"/>
      <c r="C59" s="40"/>
      <c r="D59" s="34"/>
      <c r="E59" s="34"/>
      <c r="F59" s="34"/>
      <c r="G59" s="34"/>
      <c r="H59" s="36" t="s">
        <v>12</v>
      </c>
    </row>
    <row r="60" spans="1:8" x14ac:dyDescent="0.2">
      <c r="A60" s="34"/>
      <c r="B60" s="34"/>
      <c r="C60" s="35" t="s">
        <v>97</v>
      </c>
      <c r="D60" s="34"/>
      <c r="E60" s="34"/>
      <c r="F60" s="34"/>
      <c r="G60" s="34"/>
      <c r="H60" s="36" t="s">
        <v>12</v>
      </c>
    </row>
    <row r="61" spans="1:8" x14ac:dyDescent="0.2">
      <c r="A61" s="34"/>
      <c r="B61" s="34"/>
      <c r="C61" s="35" t="s">
        <v>98</v>
      </c>
      <c r="D61" s="34"/>
      <c r="E61" s="34"/>
      <c r="F61" s="34"/>
      <c r="G61" s="34"/>
      <c r="H61" s="36" t="s">
        <v>12</v>
      </c>
    </row>
    <row r="62" spans="1:8" x14ac:dyDescent="0.2">
      <c r="A62" s="34"/>
      <c r="B62" s="34"/>
      <c r="C62" s="35" t="s">
        <v>11</v>
      </c>
      <c r="D62" s="34"/>
      <c r="E62" s="34" t="s">
        <v>12</v>
      </c>
      <c r="F62" s="37" t="s">
        <v>13</v>
      </c>
      <c r="G62" s="38">
        <v>0</v>
      </c>
      <c r="H62" s="36" t="s">
        <v>12</v>
      </c>
    </row>
    <row r="63" spans="1:8" x14ac:dyDescent="0.2">
      <c r="A63" s="34"/>
      <c r="B63" s="34"/>
      <c r="C63" s="39"/>
      <c r="D63" s="34"/>
      <c r="E63" s="34"/>
      <c r="F63" s="40"/>
      <c r="G63" s="40"/>
      <c r="H63" s="36" t="s">
        <v>12</v>
      </c>
    </row>
    <row r="64" spans="1:8" x14ac:dyDescent="0.2">
      <c r="A64" s="34"/>
      <c r="B64" s="34"/>
      <c r="C64" s="35" t="s">
        <v>101</v>
      </c>
      <c r="D64" s="34"/>
      <c r="E64" s="34"/>
      <c r="F64" s="34"/>
      <c r="G64" s="34"/>
      <c r="H64" s="36" t="s">
        <v>12</v>
      </c>
    </row>
    <row r="65" spans="1:8" x14ac:dyDescent="0.2">
      <c r="A65" s="34"/>
      <c r="B65" s="34"/>
      <c r="C65" s="35" t="s">
        <v>102</v>
      </c>
      <c r="D65" s="34"/>
      <c r="E65" s="34"/>
      <c r="F65" s="34"/>
      <c r="G65" s="34"/>
      <c r="H65" s="36" t="s">
        <v>12</v>
      </c>
    </row>
    <row r="66" spans="1:8" x14ac:dyDescent="0.2">
      <c r="A66" s="34"/>
      <c r="B66" s="34"/>
      <c r="C66" s="35" t="s">
        <v>11</v>
      </c>
      <c r="D66" s="34"/>
      <c r="E66" s="34" t="s">
        <v>12</v>
      </c>
      <c r="F66" s="37" t="s">
        <v>13</v>
      </c>
      <c r="G66" s="38">
        <v>0</v>
      </c>
      <c r="H66" s="36" t="s">
        <v>12</v>
      </c>
    </row>
    <row r="67" spans="1:8" x14ac:dyDescent="0.2">
      <c r="A67" s="34"/>
      <c r="B67" s="34"/>
      <c r="C67" s="39"/>
      <c r="D67" s="34"/>
      <c r="E67" s="34"/>
      <c r="F67" s="40"/>
      <c r="G67" s="40"/>
      <c r="H67" s="36" t="s">
        <v>12</v>
      </c>
    </row>
    <row r="68" spans="1:8" x14ac:dyDescent="0.2">
      <c r="A68" s="34"/>
      <c r="B68" s="34"/>
      <c r="C68" s="35" t="s">
        <v>103</v>
      </c>
      <c r="D68" s="34"/>
      <c r="E68" s="34"/>
      <c r="F68" s="40"/>
      <c r="G68" s="40"/>
      <c r="H68" s="36" t="s">
        <v>12</v>
      </c>
    </row>
    <row r="69" spans="1:8" x14ac:dyDescent="0.2">
      <c r="A69" s="34"/>
      <c r="B69" s="34"/>
      <c r="C69" s="35" t="s">
        <v>11</v>
      </c>
      <c r="D69" s="34"/>
      <c r="E69" s="34" t="s">
        <v>12</v>
      </c>
      <c r="F69" s="37" t="s">
        <v>13</v>
      </c>
      <c r="G69" s="38">
        <v>0</v>
      </c>
      <c r="H69" s="36" t="s">
        <v>12</v>
      </c>
    </row>
    <row r="70" spans="1:8" x14ac:dyDescent="0.2">
      <c r="A70" s="34"/>
      <c r="B70" s="34"/>
      <c r="C70" s="39"/>
      <c r="D70" s="34"/>
      <c r="E70" s="34"/>
      <c r="F70" s="40"/>
      <c r="G70" s="40"/>
      <c r="H70" s="36" t="s">
        <v>12</v>
      </c>
    </row>
    <row r="71" spans="1:8" x14ac:dyDescent="0.2">
      <c r="A71" s="47"/>
      <c r="B71" s="43"/>
      <c r="C71" s="43" t="s">
        <v>104</v>
      </c>
      <c r="D71" s="43"/>
      <c r="E71" s="47"/>
      <c r="F71" s="45">
        <f>206.3291612+0.0000300940132141113</f>
        <v>206.32919129401321</v>
      </c>
      <c r="G71" s="46">
        <v>2.6522899999999999E-3</v>
      </c>
      <c r="H71" s="36" t="s">
        <v>12</v>
      </c>
    </row>
    <row r="72" spans="1:8" x14ac:dyDescent="0.2">
      <c r="A72" s="39"/>
      <c r="B72" s="39"/>
      <c r="C72" s="35" t="s">
        <v>105</v>
      </c>
      <c r="D72" s="40"/>
      <c r="E72" s="40"/>
      <c r="F72" s="41">
        <f>77792.927738366+0.0000300940132141113</f>
        <v>77792.927768460009</v>
      </c>
      <c r="G72" s="48">
        <v>1</v>
      </c>
      <c r="H72" s="36" t="s">
        <v>12</v>
      </c>
    </row>
    <row r="73" spans="1:8" x14ac:dyDescent="0.2">
      <c r="A73" s="49"/>
      <c r="B73" s="49"/>
      <c r="C73" s="49"/>
      <c r="D73" s="50"/>
      <c r="E73" s="50"/>
      <c r="F73" s="50"/>
      <c r="G73" s="50"/>
    </row>
    <row r="74" spans="1:8" x14ac:dyDescent="0.2">
      <c r="A74" s="51"/>
      <c r="B74" s="158" t="s">
        <v>582</v>
      </c>
      <c r="C74" s="158"/>
      <c r="D74" s="158"/>
      <c r="E74" s="158"/>
      <c r="F74" s="158"/>
      <c r="G74" s="158"/>
      <c r="H74" s="158"/>
    </row>
    <row r="75" spans="1:8" x14ac:dyDescent="0.2">
      <c r="A75" s="51"/>
      <c r="B75" s="158" t="s">
        <v>583</v>
      </c>
      <c r="C75" s="158"/>
      <c r="D75" s="158"/>
      <c r="E75" s="158"/>
      <c r="F75" s="158"/>
      <c r="G75" s="158"/>
      <c r="H75" s="158"/>
    </row>
    <row r="76" spans="1:8" x14ac:dyDescent="0.2">
      <c r="A76" s="51"/>
      <c r="B76" s="158" t="s">
        <v>584</v>
      </c>
      <c r="C76" s="158"/>
      <c r="D76" s="158"/>
      <c r="E76" s="158"/>
      <c r="F76" s="158"/>
      <c r="G76" s="158"/>
      <c r="H76" s="158"/>
    </row>
    <row r="77" spans="1:8" x14ac:dyDescent="0.2">
      <c r="A77" s="51"/>
      <c r="B77" s="51"/>
      <c r="C77" s="51"/>
      <c r="D77" s="52"/>
      <c r="E77" s="52"/>
      <c r="F77" s="52"/>
      <c r="G77" s="52"/>
    </row>
    <row r="78" spans="1:8" x14ac:dyDescent="0.2">
      <c r="A78" s="53"/>
      <c r="B78" s="162" t="s">
        <v>106</v>
      </c>
      <c r="C78" s="163"/>
      <c r="D78" s="164"/>
      <c r="E78" s="54"/>
      <c r="F78" s="55"/>
      <c r="G78" s="55"/>
    </row>
    <row r="79" spans="1:8" x14ac:dyDescent="0.2">
      <c r="A79" s="53"/>
      <c r="B79" s="165" t="s">
        <v>107</v>
      </c>
      <c r="C79" s="166"/>
      <c r="D79" s="35" t="s">
        <v>108</v>
      </c>
      <c r="E79" s="54"/>
      <c r="F79" s="55"/>
      <c r="G79" s="55"/>
    </row>
    <row r="80" spans="1:8" x14ac:dyDescent="0.2">
      <c r="A80" s="53"/>
      <c r="B80" s="165" t="s">
        <v>109</v>
      </c>
      <c r="C80" s="166"/>
      <c r="D80" s="35" t="s">
        <v>108</v>
      </c>
      <c r="E80" s="54"/>
      <c r="F80" s="55"/>
      <c r="G80" s="55"/>
    </row>
    <row r="81" spans="1:9" x14ac:dyDescent="0.2">
      <c r="A81" s="53"/>
      <c r="B81" s="165" t="s">
        <v>110</v>
      </c>
      <c r="C81" s="166"/>
      <c r="D81" s="40" t="s">
        <v>12</v>
      </c>
      <c r="E81" s="54"/>
      <c r="F81" s="55"/>
      <c r="G81" s="55"/>
    </row>
    <row r="82" spans="1:9" x14ac:dyDescent="0.2">
      <c r="A82" s="56"/>
      <c r="B82" s="57" t="s">
        <v>12</v>
      </c>
      <c r="C82" s="57" t="s">
        <v>585</v>
      </c>
      <c r="D82" s="57" t="s">
        <v>111</v>
      </c>
      <c r="E82" s="56"/>
      <c r="F82" s="56"/>
      <c r="G82" s="56"/>
      <c r="H82" s="58"/>
    </row>
    <row r="83" spans="1:9" x14ac:dyDescent="0.2">
      <c r="A83" s="56"/>
      <c r="B83" s="59" t="s">
        <v>112</v>
      </c>
      <c r="C83" s="60">
        <v>45626</v>
      </c>
      <c r="D83" s="60">
        <v>45657</v>
      </c>
      <c r="E83" s="56"/>
      <c r="F83" s="56"/>
      <c r="G83" s="56"/>
    </row>
    <row r="84" spans="1:9" x14ac:dyDescent="0.2">
      <c r="A84" s="61"/>
      <c r="B84" s="43" t="s">
        <v>113</v>
      </c>
      <c r="C84" s="62">
        <v>1328.0815</v>
      </c>
      <c r="D84" s="62">
        <v>1335.4733000000001</v>
      </c>
      <c r="E84" s="61"/>
      <c r="F84" s="63"/>
      <c r="G84" s="64"/>
    </row>
    <row r="85" spans="1:9" ht="25.5" x14ac:dyDescent="0.2">
      <c r="A85" s="61"/>
      <c r="B85" s="43" t="s">
        <v>705</v>
      </c>
      <c r="C85" s="62">
        <v>1045.2802999999999</v>
      </c>
      <c r="D85" s="62">
        <v>1044.9499000000001</v>
      </c>
      <c r="E85" s="61"/>
      <c r="F85" s="63"/>
      <c r="G85" s="64"/>
    </row>
    <row r="86" spans="1:9" x14ac:dyDescent="0.2">
      <c r="A86" s="61"/>
      <c r="B86" s="43" t="s">
        <v>114</v>
      </c>
      <c r="C86" s="62">
        <v>1320.5371</v>
      </c>
      <c r="D86" s="62">
        <v>1327.7629999999999</v>
      </c>
      <c r="E86" s="61"/>
      <c r="F86" s="63"/>
      <c r="G86" s="64"/>
    </row>
    <row r="87" spans="1:9" ht="25.5" x14ac:dyDescent="0.2">
      <c r="A87" s="61"/>
      <c r="B87" s="43" t="s">
        <v>709</v>
      </c>
      <c r="C87" s="62">
        <v>1041.5382999999999</v>
      </c>
      <c r="D87" s="62">
        <v>1041.2144000000001</v>
      </c>
      <c r="E87" s="61"/>
      <c r="F87" s="63"/>
      <c r="G87" s="64"/>
    </row>
    <row r="88" spans="1:9" x14ac:dyDescent="0.2">
      <c r="A88" s="61"/>
      <c r="B88" s="61"/>
      <c r="C88" s="61"/>
      <c r="D88" s="61"/>
      <c r="E88" s="61"/>
      <c r="F88" s="61"/>
      <c r="G88" s="61"/>
    </row>
    <row r="89" spans="1:9" x14ac:dyDescent="0.2">
      <c r="A89" s="61"/>
      <c r="B89" s="165" t="s">
        <v>712</v>
      </c>
      <c r="C89" s="166"/>
      <c r="D89" s="35" t="s">
        <v>12</v>
      </c>
      <c r="E89" s="61"/>
      <c r="F89" s="61"/>
      <c r="G89" s="61"/>
    </row>
    <row r="90" spans="1:9" x14ac:dyDescent="0.2">
      <c r="A90" s="61"/>
      <c r="B90" s="65" t="s">
        <v>112</v>
      </c>
      <c r="C90" s="66" t="s">
        <v>115</v>
      </c>
      <c r="D90" s="66" t="s">
        <v>116</v>
      </c>
      <c r="E90" s="61"/>
      <c r="F90" s="61"/>
      <c r="G90" s="61"/>
    </row>
    <row r="91" spans="1:9" ht="25.5" x14ac:dyDescent="0.2">
      <c r="A91" s="61"/>
      <c r="B91" s="43" t="s">
        <v>705</v>
      </c>
      <c r="C91" s="67">
        <v>6.1337000000000002</v>
      </c>
      <c r="D91" s="47" t="s">
        <v>117</v>
      </c>
      <c r="E91" s="61"/>
      <c r="F91" s="63"/>
      <c r="G91" s="64"/>
    </row>
    <row r="92" spans="1:9" ht="25.5" x14ac:dyDescent="0.2">
      <c r="A92" s="61"/>
      <c r="B92" s="43" t="s">
        <v>709</v>
      </c>
      <c r="C92" s="67">
        <v>6.0094000000000003</v>
      </c>
      <c r="D92" s="47" t="s">
        <v>117</v>
      </c>
      <c r="E92" s="61"/>
      <c r="F92" s="63"/>
      <c r="G92" s="64"/>
    </row>
    <row r="93" spans="1:9" x14ac:dyDescent="0.2">
      <c r="A93" s="61"/>
      <c r="B93" s="68"/>
      <c r="C93" s="68"/>
      <c r="D93" s="69"/>
      <c r="E93" s="61"/>
      <c r="F93" s="63"/>
      <c r="G93" s="64"/>
    </row>
    <row r="94" spans="1:9" x14ac:dyDescent="0.2">
      <c r="A94" s="56"/>
      <c r="B94" s="159" t="s">
        <v>118</v>
      </c>
      <c r="C94" s="160"/>
      <c r="D94" s="70" t="s">
        <v>108</v>
      </c>
      <c r="E94" s="71"/>
      <c r="F94" s="56"/>
      <c r="G94" s="56"/>
    </row>
    <row r="95" spans="1:9" x14ac:dyDescent="0.2">
      <c r="A95" s="56"/>
      <c r="B95" s="159" t="s">
        <v>119</v>
      </c>
      <c r="C95" s="160"/>
      <c r="D95" s="70" t="s">
        <v>108</v>
      </c>
      <c r="E95" s="71"/>
      <c r="F95" s="56"/>
      <c r="G95" s="56"/>
    </row>
    <row r="96" spans="1:9" x14ac:dyDescent="0.2">
      <c r="A96" s="56"/>
      <c r="B96" s="159" t="s">
        <v>586</v>
      </c>
      <c r="C96" s="160"/>
      <c r="D96" s="70" t="s">
        <v>108</v>
      </c>
      <c r="E96" s="71"/>
      <c r="F96" s="56"/>
      <c r="G96" s="56"/>
      <c r="I96" s="9"/>
    </row>
    <row r="97" spans="1:21" x14ac:dyDescent="0.2">
      <c r="A97" s="72"/>
      <c r="B97" s="72"/>
      <c r="C97" s="72"/>
      <c r="D97" s="72"/>
      <c r="E97" s="72"/>
      <c r="F97" s="72"/>
      <c r="G97" s="72"/>
      <c r="I97" s="9"/>
    </row>
    <row r="98" spans="1:21" s="11" customFormat="1" x14ac:dyDescent="0.2">
      <c r="B98" s="167" t="s">
        <v>587</v>
      </c>
      <c r="C98" s="168"/>
      <c r="D98" s="169"/>
      <c r="I98" s="9"/>
      <c r="J98"/>
      <c r="K98" s="9"/>
      <c r="L98" s="9"/>
      <c r="M98" s="9"/>
      <c r="N98" s="15"/>
      <c r="Q98"/>
      <c r="R98"/>
      <c r="S98"/>
      <c r="T98"/>
      <c r="U98"/>
    </row>
    <row r="99" spans="1:21" s="11" customFormat="1" ht="38.25" x14ac:dyDescent="0.2">
      <c r="B99" s="161" t="s">
        <v>588</v>
      </c>
      <c r="C99" s="161"/>
      <c r="D99" s="12" t="s">
        <v>562</v>
      </c>
      <c r="I99" s="9"/>
      <c r="J99"/>
      <c r="K99" s="9"/>
      <c r="L99" s="9"/>
      <c r="M99" s="9"/>
      <c r="N99" s="15"/>
      <c r="Q99"/>
      <c r="R99"/>
      <c r="S99"/>
      <c r="T99"/>
      <c r="U99"/>
    </row>
    <row r="100" spans="1:21" s="11" customFormat="1" x14ac:dyDescent="0.2">
      <c r="B100" s="171" t="s">
        <v>589</v>
      </c>
      <c r="C100" s="171"/>
      <c r="D100" s="13"/>
      <c r="I100" s="9"/>
      <c r="J100"/>
      <c r="K100" s="9"/>
      <c r="L100" s="9"/>
      <c r="M100" s="9"/>
      <c r="N100" s="15"/>
    </row>
    <row r="101" spans="1:21" s="11" customFormat="1" x14ac:dyDescent="0.2">
      <c r="B101" s="171"/>
      <c r="C101" s="171"/>
      <c r="D101" s="14"/>
      <c r="I101"/>
      <c r="J101"/>
      <c r="K101" s="9"/>
      <c r="L101" s="9"/>
      <c r="M101" s="9"/>
      <c r="N101" s="15"/>
    </row>
    <row r="102" spans="1:21" s="11" customFormat="1" x14ac:dyDescent="0.2">
      <c r="B102" s="171" t="s">
        <v>590</v>
      </c>
      <c r="C102" s="171"/>
      <c r="D102" s="19">
        <v>6.6130235994225037</v>
      </c>
      <c r="I102"/>
      <c r="J102"/>
      <c r="K102" s="9"/>
      <c r="L102" s="9"/>
      <c r="M102" s="9"/>
      <c r="N102" s="15"/>
    </row>
    <row r="103" spans="1:21" s="11" customFormat="1" x14ac:dyDescent="0.2">
      <c r="B103" s="171"/>
      <c r="C103" s="171"/>
      <c r="D103" s="14"/>
      <c r="I103"/>
      <c r="J103"/>
      <c r="K103" s="9"/>
      <c r="L103" s="9"/>
      <c r="M103" s="9"/>
      <c r="N103" s="15"/>
    </row>
    <row r="104" spans="1:21" s="11" customFormat="1" x14ac:dyDescent="0.2">
      <c r="B104" s="171" t="s">
        <v>695</v>
      </c>
      <c r="C104" s="171"/>
      <c r="D104" s="73">
        <v>1</v>
      </c>
      <c r="I104"/>
      <c r="J104"/>
      <c r="K104" s="9"/>
      <c r="L104" s="9"/>
      <c r="M104" s="9"/>
      <c r="N104" s="15"/>
    </row>
    <row r="105" spans="1:21" s="11" customFormat="1" x14ac:dyDescent="0.2">
      <c r="B105" s="171" t="s">
        <v>696</v>
      </c>
      <c r="C105" s="171"/>
      <c r="D105" s="73">
        <v>1</v>
      </c>
      <c r="I105"/>
      <c r="J105"/>
      <c r="K105" s="9"/>
      <c r="L105" s="9"/>
      <c r="M105" s="9"/>
      <c r="N105" s="15"/>
    </row>
    <row r="106" spans="1:21" s="11" customFormat="1" x14ac:dyDescent="0.2">
      <c r="B106" s="171"/>
      <c r="C106" s="171"/>
      <c r="D106" s="14"/>
      <c r="I106"/>
      <c r="J106"/>
      <c r="K106" s="9"/>
      <c r="L106" s="9"/>
      <c r="M106" s="9"/>
      <c r="N106" s="15"/>
    </row>
    <row r="107" spans="1:21" s="11" customFormat="1" x14ac:dyDescent="0.2">
      <c r="B107" s="171" t="s">
        <v>593</v>
      </c>
      <c r="C107" s="171"/>
      <c r="D107" s="74" t="s">
        <v>699</v>
      </c>
      <c r="I107"/>
      <c r="J107"/>
      <c r="K107" s="9"/>
      <c r="L107" s="9"/>
      <c r="M107" s="9"/>
      <c r="N107" s="15"/>
    </row>
    <row r="108" spans="1:21" s="11" customFormat="1" x14ac:dyDescent="0.2">
      <c r="B108" s="172" t="s">
        <v>594</v>
      </c>
      <c r="C108" s="174"/>
      <c r="D108" s="173"/>
      <c r="I108"/>
      <c r="J108"/>
      <c r="K108" s="9"/>
      <c r="L108" s="9"/>
      <c r="M108" s="9"/>
      <c r="N108" s="15"/>
    </row>
    <row r="109" spans="1:21" x14ac:dyDescent="0.2">
      <c r="H109" s="75"/>
    </row>
    <row r="110" spans="1:21" x14ac:dyDescent="0.2">
      <c r="B110" s="16" t="s">
        <v>595</v>
      </c>
    </row>
    <row r="112" spans="1:21" ht="153.75" customHeight="1" x14ac:dyDescent="0.2"/>
    <row r="115" spans="2:10" x14ac:dyDescent="0.2">
      <c r="B115" s="17" t="s">
        <v>596</v>
      </c>
      <c r="C115" s="18"/>
      <c r="D115" s="17" t="s">
        <v>597</v>
      </c>
    </row>
    <row r="116" spans="2:10" x14ac:dyDescent="0.2">
      <c r="B116" s="17" t="s">
        <v>697</v>
      </c>
      <c r="D116" s="17" t="s">
        <v>698</v>
      </c>
    </row>
    <row r="117" spans="2:10" ht="165" customHeight="1" x14ac:dyDescent="0.2"/>
    <row r="119" spans="2:10" x14ac:dyDescent="0.2">
      <c r="J119" s="8"/>
    </row>
  </sheetData>
  <mergeCells count="25">
    <mergeCell ref="B105:C105"/>
    <mergeCell ref="B106:C106"/>
    <mergeCell ref="B107:C107"/>
    <mergeCell ref="B108:D108"/>
    <mergeCell ref="B100:C100"/>
    <mergeCell ref="B101:C101"/>
    <mergeCell ref="B102:C102"/>
    <mergeCell ref="B103:C103"/>
    <mergeCell ref="B104:C104"/>
    <mergeCell ref="A1:H1"/>
    <mergeCell ref="A2:H2"/>
    <mergeCell ref="A3:H3"/>
    <mergeCell ref="B74:H74"/>
    <mergeCell ref="B75:H75"/>
    <mergeCell ref="B76:H76"/>
    <mergeCell ref="B96:C96"/>
    <mergeCell ref="B99:C99"/>
    <mergeCell ref="B78:D78"/>
    <mergeCell ref="B79:C79"/>
    <mergeCell ref="B80:C80"/>
    <mergeCell ref="B81:C81"/>
    <mergeCell ref="B89:C89"/>
    <mergeCell ref="B95:C95"/>
    <mergeCell ref="B94:C94"/>
    <mergeCell ref="B98:D98"/>
  </mergeCells>
  <hyperlinks>
    <hyperlink ref="I1" location="Index!B2" display="Index" xr:uid="{EBA4E738-9BD4-4A58-915D-C72A4C7BD7FA}"/>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Boopathi V - Sundaram Mutual</cp:lastModifiedBy>
  <dcterms:created xsi:type="dcterms:W3CDTF">2025-01-01T07:23:18Z</dcterms:created>
  <dcterms:modified xsi:type="dcterms:W3CDTF">2025-01-09T09:17:59Z</dcterms:modified>
</cp:coreProperties>
</file>